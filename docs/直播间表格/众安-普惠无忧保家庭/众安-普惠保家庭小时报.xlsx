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10" sheetId="2" r:id="rId5"/>
    <sheet name="2026.9" sheetId="3" r:id="rId6"/>
    <sheet name="2026.8" sheetId="4" r:id="rId7"/>
    <sheet name="2026.7" sheetId="5" r:id="rId8"/>
    <sheet name="2026.6" sheetId="6" r:id="rId9"/>
    <sheet name="Sheet6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487" i="4" a="true"/>
  <c r="J487" i="4" a="true"/>
  <c r="G545" i="5" a="true"/>
  <c r="H545" i="5" a="true"/>
  <c r="H209" i="6" a="true"/>
  <c r="G209" i="6" a="true"/>
  <c r="I284" i="2" a="true"/>
  <c r="J284" i="2" a="true"/>
  <c r="J330" i="3" a="true"/>
  <c r="I330" i="3" a="true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<sst xmlns="http://schemas.openxmlformats.org/spreadsheetml/2006/main" count="480" uniqueCount="480">
  <si>
    <t xml:space="preserve">  </t>
  </si>
  <si>
    <t xml:space="preserve">基础信息</t>
  </si>
  <si>
    <t xml:space="preserve">业务数据</t>
  </si>
  <si>
    <t xml:space="preserve">过程指标</t>
  </si>
  <si>
    <t xml:space="preserve">基础数据不做展示</t>
  </si>
  <si>
    <t xml:space="preserve">日期</t>
  </si>
  <si>
    <t xml:space="preserve">时间</t>
  </si>
  <si>
    <t xml:space="preserve">主播</t>
  </si>
  <si>
    <t xml:space="preserve">总消耗</t>
  </si>
  <si>
    <t xml:space="preserve">短视频投放消耗</t>
  </si>
  <si>
    <t xml:space="preserve">直投消耗</t>
  </si>
  <si>
    <t xml:space="preserve">直投2</t>
  </si>
  <si>
    <t xml:space="preserve">素材2</t>
  </si>
  <si>
    <t xml:space="preserve">总保单</t>
  </si>
  <si>
    <t xml:space="preserve">总保费</t>
  </si>
  <si>
    <t xml:space="preserve">夫妻版保单</t>
  </si>
  <si>
    <t xml:space="preserve">小家庭版保单</t>
  </si>
  <si>
    <t xml:space="preserve">全家版保单</t>
  </si>
  <si>
    <t xml:space="preserve">ROI</t>
  </si>
  <si>
    <t xml:space="preserve">业务ROI</t>
  </si>
  <si>
    <t xml:space="preserve">CPM</t>
  </si>
  <si>
    <t xml:space="preserve">外层点击率</t>
  </si>
  <si>
    <t xml:space="preserve">观看成本</t>
  </si>
  <si>
    <t xml:space="preserve">超1分钟观看率</t>
  </si>
  <si>
    <t xml:space="preserve">组建点击率</t>
  </si>
  <si>
    <t xml:space="preserve">组件点击成本</t>
  </si>
  <si>
    <t xml:space="preserve">订单提交率</t>
  </si>
  <si>
    <t xml:space="preserve">保单转化率</t>
  </si>
  <si>
    <t xml:space="preserve">保单成本</t>
  </si>
  <si>
    <t xml:space="preserve">单均</t>
  </si>
  <si>
    <t xml:space="preserve">AD成本</t>
  </si>
  <si>
    <t xml:space="preserve">千元互动率</t>
  </si>
  <si>
    <t xml:space="preserve">投手</t>
  </si>
  <si>
    <t xml:space="preserve">场控</t>
  </si>
  <si>
    <t xml:space="preserve">回传</t>
  </si>
  <si>
    <t xml:space="preserve">展示数</t>
  </si>
  <si>
    <t xml:space="preserve">点击数</t>
  </si>
  <si>
    <t xml:space="preserve">竞价观看数</t>
  </si>
  <si>
    <t xml:space="preserve">超1分钟停留数</t>
  </si>
  <si>
    <t xml:space="preserve">组件点击数</t>
  </si>
  <si>
    <t xml:space="preserve">后台订单提交数</t>
  </si>
  <si>
    <t xml:space="preserve">互动数</t>
  </si>
  <si>
    <t xml:space="preserve">时长</t>
  </si>
  <si>
    <t xml:space="preserve">2026.10.1</t>
  </si>
  <si>
    <t xml:space="preserve">08:00-09:00</t>
  </si>
  <si>
    <t xml:space="preserve">宋博阳</t>
  </si>
  <si>
    <t xml:space="preserve">邓大攀</t>
  </si>
  <si>
    <t xml:space="preserve">代文聪</t>
  </si>
  <si>
    <t xml:space="preserve">09:00-10:00</t>
  </si>
  <si>
    <t xml:space="preserve">10:00-11:00</t>
  </si>
  <si>
    <t xml:space="preserve">11:00-12:00</t>
  </si>
  <si>
    <t xml:space="preserve">分主播汇总</t>
  </si>
  <si>
    <t xml:space="preserve">12:00-13:00</t>
  </si>
  <si>
    <t xml:space="preserve">左璐筠</t>
  </si>
  <si>
    <t xml:space="preserve">13:00-14:00</t>
  </si>
  <si>
    <t xml:space="preserve">14:00-15:00</t>
  </si>
  <si>
    <t xml:space="preserve">15:00-16:00</t>
  </si>
  <si>
    <t xml:space="preserve">时长列需一小时一填！</t>
  </si>
  <si>
    <t xml:space="preserve">合计</t>
  </si>
  <si>
    <t xml:space="preserve">2026.10.2</t>
  </si>
  <si>
    <t xml:space="preserve">2026.10.3</t>
  </si>
  <si>
    <t xml:space="preserve">2026.10.4</t>
  </si>
  <si>
    <t xml:space="preserve">2026.10.5</t>
  </si>
  <si>
    <t xml:space="preserve">2026.10.6</t>
  </si>
  <si>
    <t xml:space="preserve">王浩博</t>
  </si>
  <si>
    <t xml:space="preserve">2026.10.7</t>
  </si>
  <si>
    <t xml:space="preserve">2026.10.8</t>
  </si>
  <si>
    <t xml:space="preserve">16:00-17:00</t>
  </si>
  <si>
    <t xml:space="preserve">2026.10.9</t>
  </si>
  <si>
    <t xml:space="preserve">2026.10.10</t>
  </si>
  <si>
    <t xml:space="preserve">2026.10.11</t>
  </si>
  <si>
    <t xml:space="preserve">王紫鑫</t>
  </si>
  <si>
    <t xml:space="preserve">武周帅</t>
  </si>
  <si>
    <t xml:space="preserve">17:00-18:00</t>
  </si>
  <si>
    <t xml:space="preserve">18:00-19:00</t>
  </si>
  <si>
    <t xml:space="preserve">2026.10.12</t>
  </si>
  <si>
    <t xml:space="preserve">张津津</t>
  </si>
  <si>
    <t xml:space="preserve">2026.10.13</t>
  </si>
  <si>
    <t xml:space="preserve">2026.10.14</t>
  </si>
  <si>
    <t xml:space="preserve">2026.10.15</t>
  </si>
  <si>
    <t xml:space="preserve">李哲</t>
  </si>
  <si>
    <t xml:space="preserve">2026.10.16</t>
  </si>
  <si>
    <t xml:space="preserve">2026.10.17</t>
  </si>
  <si>
    <t xml:space="preserve">2026.10.18</t>
  </si>
  <si>
    <t xml:space="preserve">2026.10.19</t>
  </si>
  <si>
    <t xml:space="preserve">素材1</t>
  </si>
  <si>
    <t xml:space="preserve">直投1</t>
  </si>
  <si>
    <t xml:space="preserve">基础信息</t>
  </si>
  <si>
    <t xml:space="preserve">业务数据</t>
  </si>
  <si>
    <t xml:space="preserve">过程指标</t>
  </si>
  <si>
    <t xml:space="preserve">基础数据不做展示</t>
  </si>
  <si>
    <t xml:space="preserve">日期</t>
  </si>
  <si>
    <t xml:space="preserve">时间</t>
  </si>
  <si>
    <t xml:space="preserve">主播</t>
  </si>
  <si>
    <t xml:space="preserve">总消耗</t>
  </si>
  <si>
    <t xml:space="preserve">短视频投放消耗</t>
  </si>
  <si>
    <t xml:space="preserve">直投消耗</t>
  </si>
  <si>
    <t xml:space="preserve">新户消耗</t>
  </si>
  <si>
    <t xml:space="preserve">新户消耗2</t>
  </si>
  <si>
    <t xml:space="preserve">总保单</t>
  </si>
  <si>
    <t xml:space="preserve">总保费</t>
  </si>
  <si>
    <t xml:space="preserve">夫妻版保单</t>
  </si>
  <si>
    <t xml:space="preserve">小家庭版保单</t>
  </si>
  <si>
    <t xml:space="preserve">全家版保单</t>
  </si>
  <si>
    <t xml:space="preserve">ROI</t>
  </si>
  <si>
    <t xml:space="preserve">业务ROI</t>
  </si>
  <si>
    <t xml:space="preserve">CPM</t>
  </si>
  <si>
    <t xml:space="preserve">外层点击率</t>
  </si>
  <si>
    <t xml:space="preserve">观看成本</t>
  </si>
  <si>
    <t xml:space="preserve">超1分钟观看率</t>
  </si>
  <si>
    <t xml:space="preserve">组建点击率</t>
  </si>
  <si>
    <t xml:space="preserve">组件点击成本</t>
  </si>
  <si>
    <t xml:space="preserve">订单提交率</t>
  </si>
  <si>
    <t xml:space="preserve">保单转化率</t>
  </si>
  <si>
    <t xml:space="preserve">保单成本</t>
  </si>
  <si>
    <t xml:space="preserve">单均</t>
  </si>
  <si>
    <t xml:space="preserve">AD成本</t>
  </si>
  <si>
    <t xml:space="preserve">千元互动率</t>
  </si>
  <si>
    <t xml:space="preserve">投手</t>
  </si>
  <si>
    <t xml:space="preserve">场控</t>
  </si>
  <si>
    <t xml:space="preserve">回传</t>
  </si>
  <si>
    <t xml:space="preserve">展示数</t>
  </si>
  <si>
    <t xml:space="preserve">点击数</t>
  </si>
  <si>
    <t xml:space="preserve">竞价观看数</t>
  </si>
  <si>
    <t xml:space="preserve">超1分钟停留数</t>
  </si>
  <si>
    <t xml:space="preserve">组件点击数</t>
  </si>
  <si>
    <t xml:space="preserve">后台订单提交数</t>
  </si>
  <si>
    <t xml:space="preserve">互动数</t>
  </si>
  <si>
    <t xml:space="preserve">时长</t>
  </si>
  <si>
    <t xml:space="preserve">2026.9.1</t>
  </si>
  <si>
    <t xml:space="preserve">08:00-09:00</t>
  </si>
  <si>
    <t xml:space="preserve">宋博阳</t>
  </si>
  <si>
    <t xml:space="preserve">邓大攀</t>
  </si>
  <si>
    <t xml:space="preserve">李哲</t>
  </si>
  <si>
    <t xml:space="preserve">09:00-10:00</t>
  </si>
  <si>
    <t xml:space="preserve">10:00-11:00</t>
  </si>
  <si>
    <t xml:space="preserve">11:00-12:00</t>
  </si>
  <si>
    <t xml:space="preserve">分主播汇总</t>
  </si>
  <si>
    <t xml:space="preserve">12:00-15:00</t>
  </si>
  <si>
    <t xml:space="preserve">左璐筠</t>
  </si>
  <si>
    <t xml:space="preserve">13:00-14:00</t>
  </si>
  <si>
    <t xml:space="preserve">14:00-15:00</t>
  </si>
  <si>
    <t xml:space="preserve">时长列需一小时一填！</t>
  </si>
  <si>
    <t xml:space="preserve">合计</t>
  </si>
  <si>
    <t xml:space="preserve">2026.9.2</t>
  </si>
  <si>
    <t xml:space="preserve">12:00-13:00</t>
  </si>
  <si>
    <t xml:space="preserve">刘欣瑶</t>
  </si>
  <si>
    <t xml:space="preserve">2026.9.3</t>
  </si>
  <si>
    <t xml:space="preserve">李哲/魏迪</t>
  </si>
  <si>
    <t xml:space="preserve">魏迪</t>
  </si>
  <si>
    <t xml:space="preserve">15:00-16:00</t>
  </si>
  <si>
    <t xml:space="preserve">2026.9.4</t>
  </si>
  <si>
    <t xml:space="preserve">2026.9.5</t>
  </si>
  <si>
    <t xml:space="preserve">代文聪</t>
  </si>
  <si>
    <t xml:space="preserve">2026.9.6</t>
  </si>
  <si>
    <t xml:space="preserve">沈静</t>
  </si>
  <si>
    <t xml:space="preserve">2026.9.7</t>
  </si>
  <si>
    <t xml:space="preserve">2026.9.8</t>
  </si>
  <si>
    <t xml:space="preserve">2026.9.9</t>
  </si>
  <si>
    <t xml:space="preserve">2026.9.10</t>
  </si>
  <si>
    <t xml:space="preserve">2026.9.11</t>
  </si>
  <si>
    <t xml:space="preserve">闫小姗</t>
  </si>
  <si>
    <t xml:space="preserve">2026.9.12</t>
  </si>
  <si>
    <t xml:space="preserve">16:00-17:00</t>
  </si>
  <si>
    <t xml:space="preserve">袁雨萌</t>
  </si>
  <si>
    <t xml:space="preserve">17:00-18:00</t>
  </si>
  <si>
    <t xml:space="preserve">2026.9.13</t>
  </si>
  <si>
    <t xml:space="preserve">王浩博</t>
  </si>
  <si>
    <t xml:space="preserve">2026.9.14</t>
  </si>
  <si>
    <t xml:space="preserve">2026.9.15</t>
  </si>
  <si>
    <t xml:space="preserve">2026.9.16</t>
  </si>
  <si>
    <t xml:space="preserve">2026.9.17</t>
  </si>
  <si>
    <t xml:space="preserve">2026.9.18</t>
  </si>
  <si>
    <t xml:space="preserve">2026.9.19</t>
  </si>
  <si>
    <t xml:space="preserve">2026.9.20</t>
  </si>
  <si>
    <t xml:space="preserve">2026.9.21</t>
  </si>
  <si>
    <t xml:space="preserve">2026.9.23</t>
  </si>
  <si>
    <t xml:space="preserve">董珂言</t>
  </si>
  <si>
    <t xml:space="preserve">董柯言</t>
  </si>
  <si>
    <t xml:space="preserve">2026.9.24</t>
  </si>
  <si>
    <t xml:space="preserve">2026.9.25</t>
  </si>
  <si>
    <t xml:space="preserve">武周帅</t>
  </si>
  <si>
    <t xml:space="preserve">2026.9.26</t>
  </si>
  <si>
    <t xml:space="preserve">2026.9.27</t>
  </si>
  <si>
    <t xml:space="preserve">2026.9.28</t>
  </si>
  <si>
    <t xml:space="preserve">直投2</t>
  </si>
  <si>
    <t xml:space="preserve">素材2</t>
  </si>
  <si>
    <t xml:space="preserve">2026.9.29</t>
  </si>
  <si>
    <t xml:space="preserve">2026.9.30</t>
  </si>
  <si>
    <t xml:space="preserve">基础信息</t>
  </si>
  <si>
    <t xml:space="preserve">业务数据</t>
  </si>
  <si>
    <t xml:space="preserve">过程指标</t>
  </si>
  <si>
    <t xml:space="preserve">基础数据不做展示</t>
  </si>
  <si>
    <t xml:space="preserve">日期</t>
  </si>
  <si>
    <t xml:space="preserve">时间</t>
  </si>
  <si>
    <t xml:space="preserve">主播</t>
  </si>
  <si>
    <t xml:space="preserve">总消耗</t>
  </si>
  <si>
    <t xml:space="preserve">短视频投放消耗</t>
  </si>
  <si>
    <t xml:space="preserve">直投消耗</t>
  </si>
  <si>
    <t xml:space="preserve">总保单</t>
  </si>
  <si>
    <t xml:space="preserve">总保费</t>
  </si>
  <si>
    <t xml:space="preserve">夫妻版保单</t>
  </si>
  <si>
    <t xml:space="preserve">小家庭版保单</t>
  </si>
  <si>
    <t xml:space="preserve">全家版保单</t>
  </si>
  <si>
    <t xml:space="preserve">ROI</t>
  </si>
  <si>
    <t xml:space="preserve">业务ROI</t>
  </si>
  <si>
    <t xml:space="preserve">CPM</t>
  </si>
  <si>
    <t xml:space="preserve">外层点击率</t>
  </si>
  <si>
    <t xml:space="preserve">观看成本</t>
  </si>
  <si>
    <t xml:space="preserve">超1分钟观看率</t>
  </si>
  <si>
    <t xml:space="preserve">组建点击率</t>
  </si>
  <si>
    <t xml:space="preserve">组件点击成本</t>
  </si>
  <si>
    <t xml:space="preserve">订单提交率</t>
  </si>
  <si>
    <t xml:space="preserve">保单转化率</t>
  </si>
  <si>
    <t xml:space="preserve">保单成本</t>
  </si>
  <si>
    <t xml:space="preserve">单均</t>
  </si>
  <si>
    <t xml:space="preserve">AD成本</t>
  </si>
  <si>
    <t xml:space="preserve">千元互动率</t>
  </si>
  <si>
    <t xml:space="preserve">投手</t>
  </si>
  <si>
    <t xml:space="preserve">场控</t>
  </si>
  <si>
    <t xml:space="preserve">回传</t>
  </si>
  <si>
    <t xml:space="preserve">展示数</t>
  </si>
  <si>
    <t xml:space="preserve">点击数</t>
  </si>
  <si>
    <t xml:space="preserve">竞价观看数</t>
  </si>
  <si>
    <t xml:space="preserve">超1分钟停留数</t>
  </si>
  <si>
    <t xml:space="preserve">组件点击数</t>
  </si>
  <si>
    <t xml:space="preserve">后台订单提交数</t>
  </si>
  <si>
    <t xml:space="preserve">互动数</t>
  </si>
  <si>
    <t xml:space="preserve">时长</t>
  </si>
  <si>
    <t xml:space="preserve">2026.8.1</t>
  </si>
  <si>
    <t xml:space="preserve">08:00-09:00</t>
  </si>
  <si>
    <t xml:space="preserve">熊巍宇</t>
  </si>
  <si>
    <t xml:space="preserve">邓大攀</t>
  </si>
  <si>
    <t xml:space="preserve">代文聪</t>
  </si>
  <si>
    <t xml:space="preserve">09:00-10:00</t>
  </si>
  <si>
    <t xml:space="preserve">10:00-11:00</t>
  </si>
  <si>
    <t xml:space="preserve">11:00-12:00</t>
  </si>
  <si>
    <t xml:space="preserve">12:00-13:00</t>
  </si>
  <si>
    <t xml:space="preserve">分主播汇总</t>
  </si>
  <si>
    <t xml:space="preserve">13:00-14:00</t>
  </si>
  <si>
    <t xml:space="preserve">宋博阳</t>
  </si>
  <si>
    <t xml:space="preserve">14:00-15:00</t>
  </si>
  <si>
    <t xml:space="preserve">15:00-16:00</t>
  </si>
  <si>
    <t xml:space="preserve">16:00-17:00</t>
  </si>
  <si>
    <t xml:space="preserve">董柯言</t>
  </si>
  <si>
    <t xml:space="preserve">17:00-18:00</t>
  </si>
  <si>
    <t xml:space="preserve">18:00-19:00</t>
  </si>
  <si>
    <t xml:space="preserve">岳彤</t>
  </si>
  <si>
    <t xml:space="preserve">19:00-20:00</t>
  </si>
  <si>
    <t xml:space="preserve">逐个小时添加时长</t>
  </si>
  <si>
    <t xml:space="preserve">合计</t>
  </si>
  <si>
    <t xml:space="preserve">2026.8.2</t>
  </si>
  <si>
    <t xml:space="preserve">2026.8.3</t>
  </si>
  <si>
    <t xml:space="preserve">2026.8.4</t>
  </si>
  <si>
    <t xml:space="preserve">2026.8.5</t>
  </si>
  <si>
    <t xml:space="preserve">2026.8.6</t>
  </si>
  <si>
    <t xml:space="preserve">新户消耗</t>
  </si>
  <si>
    <t xml:space="preserve">2026.8.7</t>
  </si>
  <si>
    <t xml:space="preserve">王浩博</t>
  </si>
  <si>
    <t xml:space="preserve">2026.8.8</t>
  </si>
  <si>
    <t xml:space="preserve">新户消耗2</t>
  </si>
  <si>
    <t xml:space="preserve">2026.8.9</t>
  </si>
  <si>
    <t xml:space="preserve">武周帅</t>
  </si>
  <si>
    <t xml:space="preserve">2026.8.10</t>
  </si>
  <si>
    <t xml:space="preserve">2026.8.11</t>
  </si>
  <si>
    <t xml:space="preserve">2026.8.12</t>
  </si>
  <si>
    <t xml:space="preserve">2026.8.13</t>
  </si>
  <si>
    <t xml:space="preserve">2026.8.14</t>
  </si>
  <si>
    <t xml:space="preserve">2026.8.15</t>
  </si>
  <si>
    <t xml:space="preserve">2026.8.16</t>
  </si>
  <si>
    <t xml:space="preserve">2026.8.17</t>
  </si>
  <si>
    <t xml:space="preserve">刘园园</t>
  </si>
  <si>
    <t xml:space="preserve">2026.8.18</t>
  </si>
  <si>
    <t xml:space="preserve">时长列勿删！</t>
  </si>
  <si>
    <t xml:space="preserve">2026.8.19</t>
  </si>
  <si>
    <t xml:space="preserve">沈静</t>
  </si>
  <si>
    <t xml:space="preserve">2026.8.20</t>
  </si>
  <si>
    <t xml:space="preserve">2026.8.21</t>
  </si>
  <si>
    <t xml:space="preserve">2026.8.22</t>
  </si>
  <si>
    <t xml:space="preserve">2026.8.23</t>
  </si>
  <si>
    <t xml:space="preserve">2026.8.24</t>
  </si>
  <si>
    <t xml:space="preserve">2026.8.25</t>
  </si>
  <si>
    <t xml:space="preserve">左璐筠</t>
  </si>
  <si>
    <t xml:space="preserve">2026.8.26</t>
  </si>
  <si>
    <t xml:space="preserve">2026.8.27</t>
  </si>
  <si>
    <t xml:space="preserve">2026.8.28</t>
  </si>
  <si>
    <t xml:space="preserve">李哲</t>
  </si>
  <si>
    <t xml:space="preserve">2026.8.29</t>
  </si>
  <si>
    <t xml:space="preserve">时长列需一小时一填！</t>
  </si>
  <si>
    <t xml:space="preserve">2026.8.30</t>
  </si>
  <si>
    <t xml:space="preserve">魏迪</t>
  </si>
  <si>
    <t xml:space="preserve">左璐筠 </t>
  </si>
  <si>
    <t xml:space="preserve">2026.8.31</t>
  </si>
  <si>
    <t xml:space="preserve">直投2</t>
  </si>
  <si>
    <t xml:space="preserve">素材2</t>
  </si>
  <si>
    <t xml:space="preserve">基础信息</t>
  </si>
  <si>
    <t/>
    <r>
      <rPr>
        <b val="true"/>
        <i val="false"/>
        <strike val="false"/>
        <sz val="12"/>
        <color rgb="FF000000"/>
      </rPr>
      <t>业务数据</t>
    </r>
  </si>
  <si>
    <t/>
    <r>
      <rPr>
        <b val="true"/>
        <i val="false"/>
        <strike val="false"/>
        <sz val="12"/>
        <color rgb="FF000000"/>
      </rPr>
      <t>过程指标</t>
    </r>
  </si>
  <si>
    <t xml:space="preserve">基础数据不做展示</t>
  </si>
  <si>
    <t xml:space="preserve">日期</t>
  </si>
  <si>
    <t xml:space="preserve">时间</t>
  </si>
  <si>
    <t xml:space="preserve">主播</t>
  </si>
  <si>
    <t xml:space="preserve">总消耗</t>
  </si>
  <si>
    <t xml:space="preserve">短视频投放消耗</t>
  </si>
  <si>
    <t xml:space="preserve">直投消耗</t>
  </si>
  <si>
    <t xml:space="preserve">保单量</t>
  </si>
  <si>
    <t xml:space="preserve">年化保费</t>
  </si>
  <si>
    <t xml:space="preserve">ROI</t>
  </si>
  <si>
    <t xml:space="preserve">业务ROI</t>
  </si>
  <si>
    <t xml:space="preserve">CPM</t>
  </si>
  <si>
    <t xml:space="preserve">外层点击率</t>
  </si>
  <si>
    <t xml:space="preserve">观看成本</t>
  </si>
  <si>
    <t xml:space="preserve">超1分钟观看率</t>
  </si>
  <si>
    <t xml:space="preserve">组建点击率</t>
  </si>
  <si>
    <t xml:space="preserve">组件点击成本</t>
  </si>
  <si>
    <t xml:space="preserve">订单提交率</t>
  </si>
  <si>
    <t xml:space="preserve">保单转化率</t>
  </si>
  <si>
    <t xml:space="preserve">保单成本</t>
  </si>
  <si>
    <t xml:space="preserve">单均</t>
  </si>
  <si>
    <t xml:space="preserve">AD成本</t>
  </si>
  <si>
    <t xml:space="preserve">千元互动率</t>
  </si>
  <si>
    <t xml:space="preserve">投手</t>
  </si>
  <si>
    <t xml:space="preserve">场控</t>
  </si>
  <si>
    <t xml:space="preserve">回传</t>
  </si>
  <si>
    <t xml:space="preserve">展示数</t>
  </si>
  <si>
    <t xml:space="preserve">点击数</t>
  </si>
  <si>
    <t xml:space="preserve">竞价观看数</t>
  </si>
  <si>
    <t xml:space="preserve">超1分钟停留数</t>
  </si>
  <si>
    <t xml:space="preserve">组件点击数</t>
  </si>
  <si>
    <t xml:space="preserve">后台订单提交数</t>
  </si>
  <si>
    <t xml:space="preserve">互动数</t>
  </si>
  <si>
    <t xml:space="preserve">时长</t>
  </si>
  <si>
    <t xml:space="preserve">2026.7.1</t>
  </si>
  <si>
    <t xml:space="preserve">08:00-09:00</t>
  </si>
  <si>
    <t xml:space="preserve">刘园园</t>
  </si>
  <si>
    <t xml:space="preserve">邓大攀</t>
  </si>
  <si>
    <t xml:space="preserve">李哲</t>
  </si>
  <si>
    <t xml:space="preserve">09:00-10:00</t>
  </si>
  <si>
    <t xml:space="preserve">10:00-11:00</t>
  </si>
  <si>
    <t xml:space="preserve">11:00-12:00</t>
  </si>
  <si>
    <t xml:space="preserve">分主播汇总</t>
  </si>
  <si>
    <t xml:space="preserve">12:00-13:00</t>
  </si>
  <si>
    <t xml:space="preserve">熊巍宇</t>
  </si>
  <si>
    <t xml:space="preserve">13:00-14:00</t>
  </si>
  <si>
    <t xml:space="preserve">14:00-15:00</t>
  </si>
  <si>
    <t xml:space="preserve">15:00-16:00</t>
  </si>
  <si>
    <t xml:space="preserve">16:00-17:00</t>
  </si>
  <si>
    <t xml:space="preserve">宋博阳</t>
  </si>
  <si>
    <t xml:space="preserve">魏迪</t>
  </si>
  <si>
    <t xml:space="preserve">17:00-18:00</t>
  </si>
  <si>
    <t xml:space="preserve">18:00-19:00</t>
  </si>
  <si>
    <t xml:space="preserve">19:00-20:00</t>
  </si>
  <si>
    <t xml:space="preserve">合计</t>
  </si>
  <si>
    <t xml:space="preserve">2026.7.2</t>
  </si>
  <si>
    <t xml:space="preserve">2026.7.3</t>
  </si>
  <si>
    <t xml:space="preserve">2026.7.4</t>
  </si>
  <si>
    <t xml:space="preserve">何彩樱</t>
  </si>
  <si>
    <t xml:space="preserve">王学伟</t>
  </si>
  <si>
    <t xml:space="preserve">2026.7.5</t>
  </si>
  <si>
    <t xml:space="preserve">2026.7.6</t>
  </si>
  <si>
    <t xml:space="preserve">2026.7.7</t>
  </si>
  <si>
    <t xml:space="preserve">2026.7.8</t>
  </si>
  <si>
    <t xml:space="preserve">2026.7.9</t>
  </si>
  <si>
    <t xml:space="preserve">2026.7.10</t>
  </si>
  <si>
    <t xml:space="preserve">代文聪</t>
  </si>
  <si>
    <t xml:space="preserve">2026.7.11</t>
  </si>
  <si>
    <t xml:space="preserve">2026.7.12</t>
  </si>
  <si>
    <t xml:space="preserve">2026.7.13</t>
  </si>
  <si>
    <t xml:space="preserve">2026.7.14</t>
  </si>
  <si>
    <t xml:space="preserve">2026.7.15</t>
  </si>
  <si>
    <t xml:space="preserve">王浩博</t>
  </si>
  <si>
    <t xml:space="preserve">2026.7.16</t>
  </si>
  <si>
    <t xml:space="preserve">2026.7.17</t>
  </si>
  <si>
    <t xml:space="preserve">2026.7.18</t>
  </si>
  <si>
    <t xml:space="preserve">2026.7.19</t>
  </si>
  <si>
    <t xml:space="preserve">2026.7.20</t>
  </si>
  <si>
    <t xml:space="preserve">2026.7.21</t>
  </si>
  <si>
    <t xml:space="preserve">2026.7.22</t>
  </si>
  <si>
    <t xml:space="preserve">蒲奕西</t>
  </si>
  <si>
    <t xml:space="preserve">2026.7.23</t>
  </si>
  <si>
    <t xml:space="preserve">岳彤</t>
  </si>
  <si>
    <t xml:space="preserve">2026.7.24</t>
  </si>
  <si>
    <t xml:space="preserve">2026.7.25</t>
  </si>
  <si>
    <t xml:space="preserve">尹小雨</t>
  </si>
  <si>
    <t xml:space="preserve">2026.7.26</t>
  </si>
  <si>
    <t xml:space="preserve">2026.7.27</t>
  </si>
  <si>
    <t xml:space="preserve">2026.7.28</t>
  </si>
  <si>
    <t xml:space="preserve">逐个小时添加时长</t>
  </si>
  <si>
    <t xml:space="preserve">业务数据</t>
  </si>
  <si>
    <t xml:space="preserve">过程指标</t>
  </si>
  <si>
    <t xml:space="preserve">总保单</t>
  </si>
  <si>
    <t xml:space="preserve">总保费</t>
  </si>
  <si>
    <t xml:space="preserve">夫妻版保单</t>
  </si>
  <si>
    <t xml:space="preserve">小家庭版保单</t>
  </si>
  <si>
    <t xml:space="preserve">全家版保单</t>
  </si>
  <si>
    <t xml:space="preserve">2026.7.29</t>
  </si>
  <si>
    <t xml:space="preserve">2026.7.30</t>
  </si>
  <si>
    <t xml:space="preserve">2026.7.31</t>
  </si>
  <si>
    <t xml:space="preserve">基础信息</t>
  </si>
  <si>
    <t/>
    <r>
      <rPr>
        <b val="true"/>
        <i val="false"/>
        <strike val="false"/>
        <sz val="12"/>
        <color rgb="FF000000"/>
      </rPr>
      <t>业务数据</t>
    </r>
  </si>
  <si>
    <t/>
    <r>
      <rPr>
        <b val="true"/>
        <i val="false"/>
        <strike val="false"/>
        <sz val="12"/>
        <color rgb="FF000000"/>
      </rPr>
      <t>过程指标</t>
    </r>
  </si>
  <si>
    <t xml:space="preserve">基础数据不做展示</t>
  </si>
  <si>
    <t xml:space="preserve">日期</t>
  </si>
  <si>
    <t xml:space="preserve">时间</t>
  </si>
  <si>
    <t xml:space="preserve">主播</t>
  </si>
  <si>
    <t xml:space="preserve">总消耗</t>
  </si>
  <si>
    <t xml:space="preserve">短视频投放消耗</t>
  </si>
  <si>
    <t xml:space="preserve">直投消耗</t>
  </si>
  <si>
    <t xml:space="preserve">保单量</t>
  </si>
  <si>
    <t xml:space="preserve">年化保费</t>
  </si>
  <si>
    <t xml:space="preserve">ROI</t>
  </si>
  <si>
    <t xml:space="preserve">外层点击率</t>
  </si>
  <si>
    <t xml:space="preserve">观看成本</t>
  </si>
  <si>
    <t xml:space="preserve">超1分钟观看率</t>
  </si>
  <si>
    <t xml:space="preserve">组建点击率</t>
  </si>
  <si>
    <t xml:space="preserve">组件点击成本</t>
  </si>
  <si>
    <t xml:space="preserve">订单提交率</t>
  </si>
  <si>
    <t xml:space="preserve">保单转化率</t>
  </si>
  <si>
    <t xml:space="preserve">保单成本</t>
  </si>
  <si>
    <t xml:space="preserve">单均</t>
  </si>
  <si>
    <t xml:space="preserve">AD成本</t>
  </si>
  <si>
    <t xml:space="preserve">千元互动率</t>
  </si>
  <si>
    <t xml:space="preserve">投手</t>
  </si>
  <si>
    <t xml:space="preserve">场控</t>
  </si>
  <si>
    <t xml:space="preserve">回传</t>
  </si>
  <si>
    <t xml:space="preserve">展示数</t>
  </si>
  <si>
    <t xml:space="preserve">点击数</t>
  </si>
  <si>
    <t xml:space="preserve">竞价观看数</t>
  </si>
  <si>
    <t xml:space="preserve">超1分钟停留数</t>
  </si>
  <si>
    <t xml:space="preserve">组件点击数</t>
  </si>
  <si>
    <t xml:space="preserve">后台订单提交数</t>
  </si>
  <si>
    <t xml:space="preserve">互动数</t>
  </si>
  <si>
    <t xml:space="preserve">2026.6.17</t>
  </si>
  <si>
    <t xml:space="preserve">8:00-9:00</t>
  </si>
  <si>
    <t xml:space="preserve">刘园园</t>
  </si>
  <si>
    <t xml:space="preserve">邓大攀</t>
  </si>
  <si>
    <t xml:space="preserve">董柯言</t>
  </si>
  <si>
    <t xml:space="preserve">9:00-10:00</t>
  </si>
  <si>
    <t xml:space="preserve">10:00-11:00</t>
  </si>
  <si>
    <t xml:space="preserve">11:00-12:00</t>
  </si>
  <si>
    <t xml:space="preserve">分主播汇总</t>
  </si>
  <si>
    <t xml:space="preserve">12:00-13:00</t>
  </si>
  <si>
    <t xml:space="preserve">熊巍宇</t>
  </si>
  <si>
    <t xml:space="preserve">13:00-14:00</t>
  </si>
  <si>
    <t xml:space="preserve">合计</t>
  </si>
  <si>
    <t xml:space="preserve">CPM</t>
  </si>
  <si>
    <t xml:space="preserve">2026.6.18</t>
  </si>
  <si>
    <t xml:space="preserve">何彩樱</t>
  </si>
  <si>
    <t xml:space="preserve">2026.6.19</t>
  </si>
  <si>
    <t xml:space="preserve">2026.6.20</t>
  </si>
  <si>
    <t xml:space="preserve">2026.6.21</t>
  </si>
  <si>
    <t xml:space="preserve">14:00-15:00</t>
  </si>
  <si>
    <t xml:space="preserve">15:00-16:00</t>
  </si>
  <si>
    <t xml:space="preserve">2026.6.22</t>
  </si>
  <si>
    <t xml:space="preserve">2026.6.23</t>
  </si>
  <si>
    <t xml:space="preserve">宋博阳</t>
  </si>
  <si>
    <t xml:space="preserve">16:00-17:00</t>
  </si>
  <si>
    <t xml:space="preserve">17:00-18:00</t>
  </si>
  <si>
    <t xml:space="preserve">魏迪</t>
  </si>
  <si>
    <t xml:space="preserve">18:00-19:00</t>
  </si>
  <si>
    <t xml:space="preserve">19:00-20:00</t>
  </si>
  <si>
    <t xml:space="preserve">2026.6.24</t>
  </si>
  <si>
    <t xml:space="preserve">2026.6.25</t>
  </si>
  <si>
    <t xml:space="preserve">08:00-09:00</t>
  </si>
  <si>
    <t xml:space="preserve">09:00-10:00</t>
  </si>
  <si>
    <t xml:space="preserve">郭斯元</t>
  </si>
  <si>
    <t xml:space="preserve">2026.6.26</t>
  </si>
  <si>
    <t xml:space="preserve">2026.6.27</t>
  </si>
  <si>
    <t xml:space="preserve">2026.6.28</t>
  </si>
  <si>
    <t xml:space="preserve">业务ROI</t>
  </si>
  <si>
    <t xml:space="preserve">时长</t>
  </si>
  <si>
    <t xml:space="preserve">2026.6.29</t>
  </si>
  <si>
    <t xml:space="preserve">李哲</t>
  </si>
  <si>
    <t xml:space="preserve">2026.6.30</t>
  </si>
  <si>
    <t xml:space="preserve">10.6 8:00-12:00</t>
  </si>
  <si>
    <t xml:space="preserve">问免赔额用户</t>
  </si>
  <si>
    <t xml:space="preserve">评论人数</t>
  </si>
  <si>
    <t xml:space="preserve">占比</t>
  </si>
  <si>
    <t xml:space="preserve">直播间观看数</t>
  </si>
  <si>
    <t xml:space="preserve">组件点击数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</si>
</sst>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3">
    <numFmt numFmtId="164" formatCode="0.00_);[Red]\(0.00\)"/>
    <numFmt numFmtId="165" formatCode="0.00_ ;[Red]\-0.00\ "/>
    <numFmt numFmtId="166" formatCode="0_);[Red]\(0\)"/>
    <numFmt numFmtId="167" formatCode="0.00%"/>
    <numFmt numFmtId="168" formatCode="0_ ;[Red]\-0\ "/>
    <numFmt numFmtId="169" formatCode="General"/>
    <numFmt numFmtId="170" formatCode="0.00_);[Red](0.00)"/>
    <numFmt numFmtId="171" formatCode="0.00"/>
    <numFmt numFmtId="172" formatCode="0.00_);[Red]\(0.00\)"/>
    <numFmt numFmtId="173" formatCode="0.00_ ;[Red]\-0.00\ "/>
    <numFmt numFmtId="174" formatCode="0_);[Red]\(0\)"/>
    <numFmt numFmtId="175" formatCode="0.00%"/>
    <numFmt numFmtId="176" formatCode="0_ ;[Red]\-0\ "/>
    <numFmt numFmtId="177" formatCode="General"/>
    <numFmt numFmtId="178" formatCode="0.00_);[Red](0.00)"/>
    <numFmt numFmtId="179" formatCode="0.00"/>
    <numFmt numFmtId="180" formatCode="#,##0.00"/>
    <numFmt numFmtId="181" formatCode="0.00_);[Red]\(0.00\)"/>
    <numFmt numFmtId="182" formatCode="0.00_ ;[Red]\-0.00\ "/>
    <numFmt numFmtId="183" formatCode="0_);[Red]\(0\)"/>
    <numFmt numFmtId="184" formatCode="0.00%"/>
    <numFmt numFmtId="185" formatCode="0_ ;[Red]\-0\ "/>
    <numFmt numFmtId="186" formatCode="General"/>
    <numFmt numFmtId="187" formatCode="0.00_);[Red](0.00)"/>
    <numFmt numFmtId="188" formatCode="0.00"/>
    <numFmt numFmtId="189" formatCode="0.00_);[Red]\(0.00\)"/>
    <numFmt numFmtId="190" formatCode="0.00_ ;[Red]\-0.00\ "/>
    <numFmt numFmtId="191" formatCode="0_);[Red]\(0\)"/>
    <numFmt numFmtId="192" formatCode="0.00%"/>
    <numFmt numFmtId="193" formatCode="0_ ;[Red]\-0\ "/>
    <numFmt numFmtId="194" formatCode="General"/>
    <numFmt numFmtId="195" formatCode="0.00_);[Red](0.00)"/>
    <numFmt numFmtId="196" formatCode="0.00"/>
    <numFmt numFmtId="197" formatCode="0.00_);[Red]\(0.00\)"/>
    <numFmt numFmtId="198" formatCode="0.00_ ;[Red]\-0.00\ "/>
    <numFmt numFmtId="199" formatCode="0_);[Red]\(0\)"/>
    <numFmt numFmtId="200" formatCode="0.00%"/>
    <numFmt numFmtId="201" formatCode="0_ ;[Red]\-0\ "/>
    <numFmt numFmtId="202" formatCode="General"/>
    <numFmt numFmtId="203" formatCode="0.00_);[Red](0.00)"/>
    <numFmt numFmtId="204" formatCode="0.00"/>
    <numFmt numFmtId="205" formatCode="0.00%"/>
    <numFmt numFmtId="206" formatCode="#,##0"/>
  </numFmts>
  <fonts count="16">
    <font>
      <sz val="12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FF0000"/>
      <name val="Calibri"/>
      <family val="2"/>
      <scheme val="minor"/>
    </font>
    <font>
      <sz val="12"/>
      <color rgb="FF1F2329"/>
      <name val="Calibri"/>
      <family val="2"/>
      <scheme val="minor"/>
    </font>
    <font>
      <b val="true"/>
      <sz val="12"/>
      <color rgb="FF1F2329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1343B"/>
      <name val="Calibri"/>
      <family val="2"/>
      <scheme val="minor"/>
    </font>
    <font>
      <sz val="9"/>
      <color rgb="FF31343B"/>
      <name val="Noto Sans SC"/>
      <family val="2"/>
    </font>
    <font>
      <sz val="9"/>
      <color rgb="FF31343B"/>
      <name val="PingFang SC"/>
      <family val="2"/>
    </font>
    <font>
      <sz val="12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1F2329"/>
      <name val="Calibri"/>
      <family val="2"/>
      <scheme val="minor"/>
    </font>
  </fonts>
  <fills count="5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9E3"/>
        <bgColor/>
      </patternFill>
    </fill>
    <fill>
      <patternFill patternType="solid">
        <fgColor rgb="FFFDEBFF"/>
        <bgColor/>
      </patternFill>
    </fill>
    <fill>
      <patternFill patternType="solid">
        <fgColor rgb="FFFFC60A"/>
        <bgColor/>
      </patternFill>
    </fill>
    <fill>
      <patternFill patternType="solid">
        <fgColor rgb="FFFFFF00"/>
        <bgColor/>
      </patternFill>
    </fill>
    <fill>
      <patternFill patternType="solid">
        <fgColor rgb="FFBACEFD"/>
        <bgColor/>
      </patternFill>
    </fill>
    <fill>
      <patternFill patternType="solid">
        <fgColor rgb="FFF2F5FD"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9E3"/>
        <bgColor/>
      </patternFill>
    </fill>
    <fill>
      <patternFill patternType="solid">
        <fgColor rgb="FFFDEBFF"/>
        <bgColor/>
      </patternFill>
    </fill>
    <fill>
      <patternFill patternType="solid">
        <fgColor rgb="FFFFC60A"/>
        <bgColor/>
      </patternFill>
    </fill>
    <fill>
      <patternFill patternType="solid">
        <fgColor rgb="FFFFFF00"/>
        <bgColor/>
      </patternFill>
    </fill>
    <fill>
      <patternFill patternType="solid">
        <fgColor rgb="FFFFFFFF"/>
        <bgColor/>
      </patternFill>
    </fill>
    <fill>
      <patternFill patternType="solid">
        <fgColor rgb="FFBACEFD"/>
        <bgColor/>
      </patternFill>
    </fill>
    <fill>
      <patternFill patternType="solid">
        <fgColor rgb="FFF2F5FD"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9E3"/>
        <bgColor/>
      </patternFill>
    </fill>
    <fill>
      <patternFill patternType="solid">
        <fgColor rgb="FFFDEBFF"/>
        <bgColor/>
      </patternFill>
    </fill>
    <fill>
      <patternFill patternType="solid">
        <fgColor rgb="FFFFFFFF"/>
        <bgColor/>
      </patternFill>
    </fill>
    <fill>
      <patternFill patternType="solid">
        <fgColor rgb="FFFFC60A"/>
        <bgColor/>
      </patternFill>
    </fill>
    <fill>
      <patternFill patternType="solid">
        <fgColor rgb="FFFFFF00"/>
        <bgColor/>
      </patternFill>
    </fill>
    <fill>
      <patternFill patternType="solid">
        <fgColor rgb="FFFFC60A"/>
        <bgColor/>
      </patternFill>
    </fill>
    <fill>
      <patternFill patternType="solid">
        <fgColor rgb="FF34C724"/>
        <bgColor/>
      </patternFill>
    </fill>
    <fill>
      <patternFill patternType="solid">
        <fgColor rgb="FFBACEFD"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9E3"/>
        <bgColor/>
      </patternFill>
    </fill>
    <fill>
      <patternFill patternType="solid">
        <fgColor rgb="FFFDEBFF"/>
        <bgColor/>
      </patternFill>
    </fill>
    <fill>
      <patternFill patternType="solid">
        <fgColor rgb="FFFFFFFF"/>
        <bgColor/>
      </patternFill>
    </fill>
    <fill>
      <patternFill patternType="solid">
        <fgColor rgb="FFFFFF00"/>
        <bgColor/>
      </patternFill>
    </fill>
    <fill>
      <patternFill patternType="solid">
        <fgColor rgb="FFFFC60A"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7EDAFB"/>
        <bgColor/>
      </patternFill>
    </fill>
    <fill>
      <patternFill patternType="solid">
        <fgColor rgb="FFFFF9E3"/>
        <bgColor/>
      </patternFill>
    </fill>
    <fill>
      <patternFill patternType="solid">
        <fgColor rgb="FFFDEBFF"/>
        <bgColor/>
      </patternFill>
    </fill>
    <fill>
      <patternFill patternType="solid">
        <fgColor rgb="FFFFFF00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80"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/>
      <bottom style="medium">
        <color rgb="FFEBEBEB"/>
      </bottom>
      <diagonal/>
    </border>
    <border>
      <left/>
      <right/>
      <top/>
      <bottom style="medium">
        <color rgb="FFDFE0E2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/>
      <bottom style="medium">
        <color rgb="FFEBEBEB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1F2329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000000"/>
      </top>
      <bottom/>
      <diagonal/>
    </border>
    <border>
      <left/>
      <right style="thin">
        <color rgb="FF1F2329"/>
      </right>
      <top style="thin">
        <color rgb="FF000000"/>
      </top>
      <bottom/>
      <diagonal/>
    </border>
    <border>
      <left style="thin">
        <color rgb="FF000000"/>
      </left>
      <right style="thin">
        <color rgb="FF1F2329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1F2329"/>
      </right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000000"/>
      </bottom>
      <diagonal/>
    </border>
    <border>
      <left style="thin">
        <color rgb="FF1F2329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000000"/>
      </top>
      <bottom/>
      <diagonal/>
    </border>
    <border>
      <left/>
      <right style="thin">
        <color rgb="FF1F2329"/>
      </right>
      <top style="thin">
        <color rgb="FF000000"/>
      </top>
      <bottom/>
      <diagonal/>
    </border>
    <border>
      <left style="thin">
        <color rgb="FF000000"/>
      </left>
      <right style="thin">
        <color rgb="FF1F2329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 style="thin">
        <color rgb="FF1F2329"/>
      </right>
      <top/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EBEBEB"/>
      </bottom>
      <diagonal/>
    </border>
    <border>
      <left/>
      <right/>
      <top/>
      <bottom style="medium">
        <color rgb="FFDFE0E2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000000"/>
      </top>
      <bottom/>
      <diagonal/>
    </border>
    <border>
      <left/>
      <right style="thin">
        <color rgb="FF1F2329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000000"/>
      </bottom>
      <diagonal/>
    </border>
    <border>
      <left style="thin">
        <color rgb="FF1F2329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000000"/>
      </top>
      <bottom/>
      <diagonal/>
    </border>
    <border>
      <left/>
      <right style="thin">
        <color rgb="FF1F2329"/>
      </right>
      <top style="thin">
        <color rgb="FF000000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000000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1F2329"/>
      </right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1F2329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5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true" applyProtection="false" borderId="2" fillId="3" fontId="1" numFmtId="164" xfId="0">
      <alignment horizontal="center" vertical="center"/>
    </xf>
    <xf applyAlignment="true" applyBorder="false" applyFill="true" applyFont="true" applyNumberFormat="true" applyProtection="false" borderId="3" fillId="4" fontId="1" numFmtId="164" xfId="0">
      <alignment horizontal="center" vertical="center"/>
    </xf>
    <xf applyAlignment="true" applyBorder="false" applyFill="true" applyFont="true" applyNumberFormat="true" applyProtection="false" borderId="2" fillId="3" fontId="2" numFmtId="165" xfId="0">
      <alignment horizontal="center" vertical="center"/>
    </xf>
    <xf applyAlignment="true" applyBorder="false" applyFill="true" applyFont="true" applyNumberFormat="false" applyProtection="false" borderId="0" fillId="5" fontId="3" numFmtId="0" xfId="0">
      <alignment vertical="center"/>
    </xf>
    <xf applyAlignment="true" applyBorder="false" applyFill="true" applyFont="true" applyNumberFormat="false" applyProtection="false" borderId="4" fillId="2" fontId="1" numFmtId="0" xfId="0">
      <alignment horizontal="center" vertical="center"/>
    </xf>
    <xf applyAlignment="true" applyBorder="false" applyFill="true" applyFont="true" applyNumberFormat="true" applyProtection="false" borderId="5" fillId="3" fontId="1" numFmtId="164" xfId="0">
      <alignment horizontal="center" vertical="center"/>
    </xf>
    <xf applyAlignment="true" applyBorder="false" applyFill="true" applyFont="true" applyNumberFormat="false" applyProtection="false" borderId="5" fillId="3" fontId="1" numFmtId="0" xfId="0">
      <alignment horizontal="center" vertical="center"/>
    </xf>
    <xf applyAlignment="true" applyBorder="false" applyFill="true" applyFont="true" applyNumberFormat="false" applyProtection="false" borderId="3" fillId="3" fontId="1" numFmtId="0" xfId="0">
      <alignment horizontal="center" vertical="center"/>
    </xf>
    <xf applyAlignment="true" applyBorder="false" applyFill="true" applyFont="true" applyNumberFormat="true" applyProtection="false" borderId="6" fillId="3" fontId="1" numFmtId="166" xfId="0">
      <alignment horizontal="center" vertical="center"/>
    </xf>
    <xf applyAlignment="true" applyBorder="false" applyFill="true" applyFont="true" applyNumberFormat="true" applyProtection="false" borderId="7" fillId="3" fontId="1" numFmtId="166" xfId="0">
      <alignment horizontal="center" vertical="center"/>
    </xf>
    <xf applyAlignment="true" applyBorder="false" applyFill="true" applyFont="true" applyNumberFormat="true" applyProtection="false" borderId="8" fillId="3" fontId="1" numFmtId="164" xfId="0">
      <alignment horizontal="center" vertical="center"/>
    </xf>
    <xf applyAlignment="true" applyBorder="false" applyFill="true" applyFont="true" applyNumberFormat="true" applyProtection="false" borderId="3" fillId="3" fontId="1" numFmtId="164" xfId="0">
      <alignment horizontal="center" vertical="center"/>
    </xf>
    <xf applyAlignment="true" applyBorder="false" applyFill="true" applyFont="true" applyNumberFormat="true" applyProtection="false" borderId="3" fillId="4" fontId="1" numFmtId="167" xfId="0">
      <alignment horizontal="center" vertical="center"/>
    </xf>
    <xf applyAlignment="true" applyBorder="false" applyFill="false" applyFont="true" applyNumberFormat="true" applyProtection="false" borderId="3" fillId="0" fontId="4" numFmtId="165" xfId="0">
      <alignment horizontal="center" vertical="center"/>
    </xf>
    <xf applyAlignment="true" applyBorder="false" applyFill="false" applyFont="true" applyNumberFormat="true" applyProtection="false" borderId="5" fillId="0" fontId="4" numFmtId="165" xfId="0">
      <alignment horizontal="center" vertical="center"/>
    </xf>
    <xf applyAlignment="true" applyBorder="false" applyFill="true" applyFont="true" applyNumberFormat="true" applyProtection="false" borderId="9" fillId="6" fontId="4" numFmtId="168" xfId="0">
      <alignment horizontal="center" vertical="center"/>
    </xf>
    <xf applyAlignment="true" applyBorder="false" applyFill="false" applyFont="true" applyNumberFormat="false" applyProtection="false" borderId="4" fillId="0" fontId="4" numFmtId="0" xfId="0">
      <alignment horizontal="center" vertical="center"/>
    </xf>
    <xf applyAlignment="true" applyBorder="false" applyFill="false" applyFont="true" applyNumberFormat="false" applyProtection="false" borderId="1" fillId="0" fontId="4" numFmtId="0" xfId="0">
      <alignment horizontal="center" vertical="center"/>
    </xf>
    <xf applyAlignment="true" applyBorder="false" applyFill="false" applyFont="true" applyNumberFormat="false" applyProtection="false" borderId="6" fillId="0" fontId="4" numFmtId="0" xfId="0">
      <alignment horizontal="center" vertical="center"/>
    </xf>
    <xf applyAlignment="true" applyBorder="false" applyFill="false" applyFont="true" applyNumberFormat="true" applyProtection="false" borderId="3" fillId="0" fontId="4" numFmtId="169" xfId="0">
      <alignment horizontal="center" vertical="center"/>
    </xf>
    <xf applyAlignment="true" applyBorder="false" applyFill="false" applyFont="true" applyNumberFormat="true" applyProtection="false" borderId="5" fillId="0" fontId="4" numFmtId="169" xfId="0">
      <alignment horizontal="center" vertical="center"/>
    </xf>
    <xf applyAlignment="true" applyBorder="false" applyFill="false" applyFont="true" applyNumberFormat="true" applyProtection="false" borderId="10" fillId="0" fontId="4" numFmtId="169" xfId="0">
      <alignment horizontal="center" vertical="center"/>
    </xf>
    <xf applyAlignment="true" applyBorder="false" applyFill="false" applyFont="true" applyNumberFormat="true" applyProtection="false" borderId="11" fillId="0" fontId="4" numFmtId="169" xfId="0">
      <alignment horizontal="center" vertical="center"/>
    </xf>
    <xf applyAlignment="true" applyBorder="false" applyFill="false" applyFont="true" applyNumberFormat="true" applyProtection="false" borderId="2" fillId="0" fontId="4" numFmtId="169" xfId="0">
      <alignment horizontal="center" vertical="center"/>
    </xf>
    <xf applyAlignment="true" applyBorder="false" applyFill="false" applyFont="true" applyNumberFormat="true" applyProtection="false" borderId="2" fillId="0" fontId="4" numFmtId="169" xfId="0">
      <alignment horizontal="center" vertical="center"/>
    </xf>
    <xf applyAlignment="true" applyBorder="false" applyFill="false" applyFont="true" applyNumberFormat="true" applyProtection="false" borderId="6" fillId="0" fontId="4" numFmtId="169" xfId="0">
      <alignment horizontal="center" vertical="center"/>
    </xf>
    <xf applyAlignment="true" applyBorder="false" applyFill="false" applyFont="true" applyNumberFormat="true" applyProtection="false" borderId="8" fillId="0" fontId="4" numFmtId="169" xfId="0">
      <alignment horizontal="center" vertical="center"/>
    </xf>
    <xf applyAlignment="true" applyBorder="false" applyFill="true" applyFont="true" applyNumberFormat="true" applyProtection="false" borderId="3" fillId="7" fontId="5" numFmtId="170" xfId="0">
      <alignment horizontal="center" vertical="center"/>
    </xf>
    <xf applyAlignment="true" applyBorder="false" applyFill="false" applyFont="true" applyNumberFormat="true" applyProtection="false" borderId="3" fillId="0" fontId="6" numFmtId="171" xfId="0">
      <alignment horizontal="center" vertical="center"/>
    </xf>
    <xf applyAlignment="true" applyBorder="false" applyFill="false" applyFont="true" applyNumberFormat="true" applyProtection="false" borderId="3" fillId="0" fontId="4" numFmtId="167" xfId="0">
      <alignment horizontal="center" vertical="center"/>
    </xf>
    <xf applyAlignment="true" applyBorder="false" applyFill="false" applyFont="true" applyNumberFormat="true" applyProtection="false" borderId="3" fillId="0" fontId="4" numFmtId="164" xfId="0">
      <alignment horizontal="center" vertical="center"/>
    </xf>
    <xf applyAlignment="true" applyBorder="false" applyFill="false" applyFont="true" applyNumberFormat="true" applyProtection="false" borderId="3" fillId="0" fontId="4" numFmtId="164" xfId="0">
      <alignment horizontal="center" vertical="bottom"/>
    </xf>
    <xf applyAlignment="true" applyBorder="false" applyFill="false" applyFont="true" applyNumberFormat="true" applyProtection="false" borderId="3" fillId="0" fontId="5" numFmtId="165" xfId="0">
      <alignment horizontal="center" vertical="center"/>
    </xf>
    <xf applyAlignment="true" applyBorder="false" applyFill="false" applyFont="true" applyNumberFormat="true" applyProtection="false" borderId="6" fillId="0" fontId="4" numFmtId="165" xfId="0">
      <alignment horizontal="center" vertical="bottom"/>
    </xf>
    <xf applyAlignment="true" applyBorder="false" applyFill="false" applyFont="true" applyNumberFormat="true" applyProtection="false" borderId="11" fillId="0" fontId="4" numFmtId="169" xfId="0">
      <alignment horizontal="center" vertical="bottom"/>
    </xf>
    <xf applyAlignment="true" applyBorder="false" applyFill="false" applyFont="true" applyNumberFormat="true" applyProtection="false" borderId="8" fillId="0" fontId="4" numFmtId="169" xfId="0">
      <alignment horizontal="center" vertical="center"/>
    </xf>
    <xf applyAlignment="true" applyBorder="false" applyFill="false" applyFont="true" applyNumberFormat="true" applyProtection="false" borderId="12" fillId="0" fontId="4" numFmtId="169" xfId="0">
      <alignment horizontal="center" vertical="center"/>
    </xf>
    <xf applyAlignment="true" applyBorder="false" applyFill="false" applyFont="true" applyNumberFormat="true" applyProtection="false" borderId="11" fillId="0" fontId="4" numFmtId="169" xfId="0">
      <alignment horizontal="center" vertical="center"/>
    </xf>
    <xf applyAlignment="true" applyBorder="false" applyFill="false" applyFont="true" applyNumberFormat="true" applyProtection="false" borderId="3" fillId="0" fontId="4" numFmtId="169" xfId="0">
      <alignment horizontal="center" vertical="center"/>
    </xf>
    <xf applyAlignment="true" applyBorder="false" applyFill="false" applyFont="true" applyNumberFormat="true" applyProtection="false" borderId="13" fillId="0" fontId="4" numFmtId="169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6" fillId="0" fontId="4" numFmtId="169" xfId="0">
      <alignment horizontal="center" vertical="center"/>
    </xf>
    <xf applyAlignment="true" applyBorder="false" applyFill="false" applyFont="true" applyNumberFormat="true" applyProtection="false" borderId="7" fillId="0" fontId="4" numFmtId="169" xfId="0">
      <alignment horizontal="center" vertical="center"/>
    </xf>
    <xf applyAlignment="true" applyBorder="false" applyFill="false" applyFont="true" applyNumberFormat="true" applyProtection="false" borderId="14" fillId="0" fontId="4" numFmtId="169" xfId="0">
      <alignment horizontal="center" vertical="center"/>
    </xf>
    <xf applyAlignment="true" applyBorder="false" applyFill="false" applyFont="true" applyNumberFormat="true" applyProtection="false" borderId="15" fillId="0" fontId="4" numFmtId="169" xfId="0">
      <alignment horizontal="center" vertical="center"/>
    </xf>
    <xf applyAlignment="true" applyBorder="false" applyFill="false" applyFont="true" applyNumberFormat="true" applyProtection="false" borderId="14" fillId="0" fontId="4" numFmtId="169" xfId="0">
      <alignment horizontal="center" vertical="center"/>
    </xf>
    <xf applyAlignment="true" applyBorder="false" applyFill="false" applyFont="true" applyNumberFormat="true" applyProtection="false" borderId="1" fillId="0" fontId="4" numFmtId="169" xfId="0">
      <alignment horizontal="center" vertical="center"/>
    </xf>
    <xf applyAlignment="true" applyBorder="false" applyFill="false" applyFont="true" applyNumberFormat="true" applyProtection="false" borderId="16" fillId="0" fontId="4" numFmtId="169" xfId="0">
      <alignment horizontal="center" vertical="center"/>
    </xf>
    <xf applyAlignment="true" applyBorder="false" applyFill="false" applyFont="true" applyNumberFormat="true" applyProtection="false" borderId="17" fillId="0" fontId="4" numFmtId="169" xfId="0">
      <alignment horizontal="center" vertical="center"/>
    </xf>
    <xf applyAlignment="true" applyBorder="false" applyFill="false" applyFont="true" applyNumberFormat="true" applyProtection="false" borderId="1" fillId="0" fontId="4" numFmtId="169" xfId="0">
      <alignment horizontal="center" vertical="center"/>
    </xf>
    <xf applyAlignment="true" applyBorder="false" applyFill="false" applyFont="true" applyNumberFormat="true" applyProtection="false" borderId="18" fillId="0" fontId="4" numFmtId="169" xfId="0">
      <alignment horizontal="center" vertical="center"/>
    </xf>
    <xf applyAlignment="true" applyBorder="false" applyFill="true" applyFont="true" applyNumberFormat="true" applyProtection="false" borderId="3" fillId="8" fontId="1" numFmtId="169" xfId="0">
      <alignment horizontal="center" vertical="center"/>
    </xf>
    <xf applyAlignment="true" applyBorder="false" applyFill="true" applyFont="true" applyNumberFormat="true" applyProtection="false" borderId="3" fillId="8" fontId="5" numFmtId="170" xfId="0">
      <alignment horizontal="center" vertical="center"/>
    </xf>
    <xf applyAlignment="true" applyBorder="false" applyFill="true" applyFont="true" applyNumberFormat="true" applyProtection="false" borderId="5" fillId="8" fontId="5" numFmtId="170" xfId="0">
      <alignment horizontal="center" vertical="center"/>
    </xf>
    <xf applyAlignment="true" applyBorder="false" applyFill="true" applyFont="true" applyNumberFormat="true" applyProtection="false" borderId="5" fillId="8" fontId="7" numFmtId="165" xfId="0">
      <alignment horizontal="center" vertical="center"/>
    </xf>
    <xf applyAlignment="true" applyBorder="false" applyFill="true" applyFont="true" applyNumberFormat="true" applyProtection="false" borderId="5" fillId="8" fontId="1" numFmtId="167" xfId="0">
      <alignment horizontal="center" vertical="center"/>
    </xf>
    <xf applyAlignment="true" applyBorder="false" applyFill="true" applyFont="true" applyNumberFormat="true" applyProtection="false" borderId="5" fillId="8" fontId="1" numFmtId="164" xfId="0">
      <alignment horizontal="center" vertical="center"/>
    </xf>
    <xf applyAlignment="true" applyBorder="false" applyFill="true" applyFont="true" applyNumberFormat="true" applyProtection="false" borderId="3" fillId="8" fontId="1" numFmtId="167" xfId="0">
      <alignment horizontal="center" vertical="center"/>
    </xf>
    <xf applyAlignment="true" applyBorder="false" applyFill="true" applyFont="true" applyNumberFormat="true" applyProtection="false" borderId="3" fillId="8" fontId="1" numFmtId="164" xfId="0">
      <alignment horizontal="center" vertical="center"/>
    </xf>
    <xf applyAlignment="true" applyBorder="false" applyFill="true" applyFont="true" applyNumberFormat="true" applyProtection="false" borderId="3" fillId="8" fontId="1" numFmtId="164" xfId="0">
      <alignment horizontal="center" vertical="bottom"/>
    </xf>
    <xf applyAlignment="true" applyBorder="false" applyFill="true" applyFont="true" applyNumberFormat="true" applyProtection="false" borderId="3" fillId="8" fontId="5" numFmtId="165" xfId="0">
      <alignment horizontal="center" vertical="center"/>
    </xf>
    <xf applyAlignment="true" applyBorder="false" applyFill="true" applyFont="true" applyNumberFormat="true" applyProtection="false" borderId="6" fillId="8" fontId="5" numFmtId="165" xfId="0">
      <alignment horizontal="center" vertical="center"/>
    </xf>
    <xf applyAlignment="true" applyBorder="false" applyFill="true" applyFont="true" applyNumberFormat="true" applyProtection="false" borderId="11" fillId="8" fontId="5" numFmtId="165" xfId="0">
      <alignment horizontal="center" vertical="center"/>
    </xf>
    <xf applyAlignment="true" applyBorder="false" applyFill="true" applyFont="true" applyNumberFormat="true" applyProtection="false" borderId="8" fillId="8" fontId="1" numFmtId="169" xfId="0">
      <alignment horizontal="center" vertical="center"/>
    </xf>
    <xf applyAlignment="true" applyBorder="false" applyFill="true" applyFont="true" applyNumberFormat="true" applyProtection="false" borderId="19" fillId="8" fontId="1" numFmtId="169" xfId="0">
      <alignment horizontal="center" vertical="center"/>
    </xf>
    <xf applyAlignment="true" applyBorder="false" applyFill="false" applyFont="true" applyNumberFormat="true" applyProtection="false" borderId="5" fillId="0" fontId="4" numFmtId="169" xfId="0">
      <alignment horizontal="center" vertical="center"/>
    </xf>
    <xf applyAlignment="true" applyBorder="false" applyFill="true" applyFont="true" applyNumberFormat="true" applyProtection="false" borderId="10" fillId="7" fontId="5" numFmtId="170" xfId="0">
      <alignment horizontal="center" vertical="center"/>
    </xf>
    <xf applyAlignment="true" applyBorder="false" applyFill="true" applyFont="true" applyNumberFormat="true" applyProtection="false" borderId="11" fillId="7" fontId="5" numFmtId="170" xfId="0">
      <alignment horizontal="center" vertical="center"/>
    </xf>
    <xf applyAlignment="true" applyBorder="false" applyFill="false" applyFont="true" applyNumberFormat="true" applyProtection="false" borderId="11" fillId="0" fontId="6" numFmtId="171" xfId="0">
      <alignment horizontal="center" vertical="center"/>
    </xf>
    <xf applyAlignment="true" applyBorder="false" applyFill="false" applyFont="true" applyNumberFormat="true" applyProtection="false" borderId="11" fillId="0" fontId="4" numFmtId="167" xfId="0">
      <alignment horizontal="center" vertical="center"/>
    </xf>
    <xf applyAlignment="true" applyBorder="false" applyFill="false" applyFont="true" applyNumberFormat="true" applyProtection="false" borderId="11" fillId="0" fontId="4" numFmtId="164" xfId="0">
      <alignment horizontal="center" vertical="center"/>
    </xf>
    <xf applyAlignment="true" applyBorder="false" applyFill="false" applyFont="true" applyNumberFormat="true" applyProtection="false" borderId="2" fillId="0" fontId="4" numFmtId="167" xfId="0">
      <alignment horizontal="center" vertical="center"/>
    </xf>
    <xf applyAlignment="true" applyBorder="false" applyFill="false" applyFont="true" applyNumberFormat="true" applyProtection="false" borderId="20" fillId="0" fontId="4" numFmtId="169" xfId="0">
      <alignment horizontal="center" vertical="center"/>
    </xf>
    <xf applyAlignment="true" applyBorder="false" applyFill="false" applyFont="true" applyNumberFormat="true" applyProtection="false" borderId="13" fillId="0" fontId="4" numFmtId="169" xfId="0">
      <alignment horizontal="center" vertical="center"/>
    </xf>
    <xf applyAlignment="true" applyBorder="false" applyFill="true" applyFont="true" applyNumberFormat="true" applyProtection="false" borderId="21" fillId="7" fontId="5" numFmtId="170" xfId="0">
      <alignment horizontal="center" vertical="center"/>
    </xf>
    <xf applyAlignment="true" applyBorder="false" applyFill="false" applyFont="true" applyNumberFormat="true" applyProtection="false" borderId="21" fillId="0" fontId="4" numFmtId="169" xfId="0">
      <alignment horizontal="center" vertical="center"/>
    </xf>
    <xf applyAlignment="true" applyBorder="false" applyFill="true" applyFont="true" applyNumberFormat="true" applyProtection="false" borderId="22" fillId="7" fontId="5" numFmtId="170" xfId="0">
      <alignment horizontal="center" vertical="center"/>
    </xf>
    <xf applyAlignment="true" applyBorder="false" applyFill="true" applyFont="true" applyNumberFormat="true" applyProtection="false" borderId="6" fillId="8" fontId="1" numFmtId="169" xfId="0">
      <alignment horizontal="center" vertical="center"/>
    </xf>
    <xf applyAlignment="true" applyBorder="false" applyFill="true" applyFont="true" applyNumberFormat="true" applyProtection="false" borderId="11" fillId="8" fontId="5" numFmtId="170" xfId="0">
      <alignment horizontal="center" vertical="center"/>
    </xf>
    <xf applyAlignment="true" applyBorder="false" applyFill="true" applyFont="true" applyNumberFormat="true" applyProtection="false" borderId="14" fillId="8" fontId="5" numFmtId="170" xfId="0">
      <alignment horizontal="center" vertical="center"/>
    </xf>
    <xf applyAlignment="true" applyBorder="false" applyFill="true" applyFont="true" applyNumberFormat="true" applyProtection="false" borderId="1" fillId="8" fontId="6" numFmtId="165" xfId="0">
      <alignment horizontal="center" vertical="center"/>
    </xf>
    <xf applyAlignment="true" applyBorder="false" applyFill="true" applyFont="true" applyNumberFormat="true" applyProtection="false" borderId="1" fillId="8" fontId="1" numFmtId="167" xfId="0">
      <alignment horizontal="center" vertical="center"/>
    </xf>
    <xf applyAlignment="true" applyBorder="false" applyFill="true" applyFont="true" applyNumberFormat="true" applyProtection="false" borderId="1" fillId="8" fontId="1" numFmtId="164" xfId="0">
      <alignment horizontal="center" vertical="center"/>
    </xf>
    <xf applyAlignment="true" applyBorder="false" applyFill="true" applyFont="true" applyNumberFormat="true" applyProtection="false" borderId="14" fillId="8" fontId="1" numFmtId="169" xfId="0">
      <alignment horizontal="center" vertical="center"/>
    </xf>
    <xf applyAlignment="true" applyBorder="false" applyFill="true" applyFont="true" applyNumberFormat="true" applyProtection="false" borderId="1" fillId="8" fontId="1" numFmtId="169" xfId="0">
      <alignment horizontal="center" vertical="center"/>
    </xf>
    <xf applyAlignment="true" applyBorder="false" applyFill="true" applyFont="true" applyNumberFormat="false" applyProtection="false" borderId="0" fillId="9" fontId="4" numFmtId="0" xfId="0">
      <alignment vertical="center"/>
    </xf>
    <xf applyAlignment="true" applyBorder="false" applyFill="true" applyFont="true" applyNumberFormat="true" applyProtection="false" borderId="3" fillId="10" fontId="5" numFmtId="169" xfId="0">
      <alignment horizontal="center" vertical="center"/>
    </xf>
    <xf applyAlignment="true" applyBorder="false" applyFill="true" applyFont="true" applyNumberFormat="true" applyProtection="false" borderId="1" fillId="10" fontId="5" numFmtId="170" xfId="0">
      <alignment horizontal="center" vertical="center"/>
    </xf>
    <xf applyAlignment="true" applyBorder="false" applyFill="true" applyFont="true" applyNumberFormat="true" applyProtection="false" borderId="3" fillId="10" fontId="5" numFmtId="170" xfId="0">
      <alignment horizontal="center" vertical="center"/>
    </xf>
    <xf applyAlignment="true" applyBorder="false" applyFill="true" applyFont="true" applyNumberFormat="true" applyProtection="false" borderId="3" fillId="10" fontId="5" numFmtId="165" xfId="0">
      <alignment horizontal="center" vertical="center"/>
    </xf>
    <xf applyAlignment="true" applyBorder="false" applyFill="true" applyFont="true" applyNumberFormat="true" applyProtection="false" borderId="3" fillId="10" fontId="5" numFmtId="167" xfId="0">
      <alignment horizontal="center" vertical="center"/>
    </xf>
    <xf applyAlignment="true" applyBorder="false" applyFill="true" applyFont="true" applyNumberFormat="true" applyProtection="false" borderId="3" fillId="10" fontId="5" numFmtId="164" xfId="0">
      <alignment horizontal="center" vertical="center"/>
    </xf>
    <xf applyAlignment="true" applyBorder="false" applyFill="true" applyFont="true" applyNumberFormat="true" applyProtection="false" borderId="6" fillId="10" fontId="5" numFmtId="165" xfId="0">
      <alignment horizontal="center" vertical="center"/>
    </xf>
    <xf applyAlignment="true" applyBorder="false" applyFill="true" applyFont="true" applyNumberFormat="true" applyProtection="false" borderId="11" fillId="10" fontId="5" numFmtId="165" xfId="0">
      <alignment horizontal="center" vertical="center"/>
    </xf>
    <xf applyAlignment="true" applyBorder="false" applyFill="true" applyFont="true" applyNumberFormat="true" applyProtection="false" borderId="2" fillId="10" fontId="5" numFmtId="169" xfId="0">
      <alignment horizontal="center" vertical="center"/>
    </xf>
    <xf applyAlignment="true" applyBorder="false" applyFill="true" applyFont="true" applyNumberFormat="true" applyProtection="false" borderId="5" fillId="3" fontId="1" numFmtId="166" xfId="0">
      <alignment horizontal="center" vertical="center"/>
    </xf>
    <xf applyAlignment="true" applyBorder="false" applyFill="false" applyFont="true" applyNumberFormat="true" applyProtection="false" borderId="3" fillId="0" fontId="4" numFmtId="169" xfId="0">
      <alignment horizontal="center" vertical="bottom"/>
    </xf>
    <xf applyAlignment="true" applyBorder="false" applyFill="false" applyFont="true" applyNumberFormat="false" applyProtection="false" borderId="6" fillId="0" fontId="4" numFmtId="0" xfId="0">
      <alignment horizontal="center" vertical="center"/>
    </xf>
    <xf applyAlignment="true" applyBorder="false" applyFill="false" applyFont="true" applyNumberFormat="true" applyProtection="false" borderId="16" fillId="0" fontId="4" numFmtId="169" xfId="0">
      <alignment horizontal="center" vertical="center"/>
    </xf>
    <xf applyAlignment="true" applyBorder="false" applyFill="false" applyFont="true" applyNumberFormat="true" applyProtection="false" borderId="17" fillId="0" fontId="4" numFmtId="169" xfId="0">
      <alignment horizontal="center" vertical="center"/>
    </xf>
    <xf applyAlignment="true" applyBorder="false" applyFill="true" applyFont="true" applyNumberFormat="true" applyProtection="false" borderId="2" fillId="8" fontId="1" numFmtId="169" xfId="0">
      <alignment horizontal="center" vertical="center"/>
    </xf>
    <xf applyAlignment="true" applyBorder="false" applyFill="true" applyFont="true" applyNumberFormat="true" applyProtection="false" borderId="6" fillId="7" fontId="5" numFmtId="170" xfId="0">
      <alignment horizontal="center" vertical="center"/>
    </xf>
    <xf applyAlignment="true" applyBorder="false" applyFill="true" applyFont="true" applyNumberFormat="false" applyProtection="false" borderId="0" fillId="9" fontId="4" numFmtId="0" xfId="0">
      <alignment vertical="center"/>
    </xf>
    <xf applyAlignment="true" applyBorder="false" applyFill="false" applyFont="true" applyNumberFormat="true" applyProtection="false" borderId="3" fillId="0" fontId="4" numFmtId="169" xfId="0">
      <alignment horizontal="center" vertical="bottom"/>
    </xf>
    <xf applyAlignment="true" applyBorder="false" applyFill="false" applyFont="true" applyNumberFormat="true" applyProtection="false" borderId="15" fillId="0" fontId="4" numFmtId="169" xfId="0">
      <alignment horizontal="center" vertical="center"/>
    </xf>
    <xf applyAlignment="true" applyBorder="false" applyFill="false" applyFont="true" applyNumberFormat="true" applyProtection="false" borderId="19" fillId="0" fontId="4" numFmtId="169" xfId="0">
      <alignment horizontal="center" vertical="center"/>
    </xf>
    <xf applyAlignment="true" applyBorder="false" applyFill="false" applyFont="true" applyNumberFormat="true" applyProtection="false" borderId="5" fillId="0" fontId="4" numFmtId="167" xfId="0">
      <alignment horizontal="center" vertical="center"/>
    </xf>
    <xf applyAlignment="true" applyBorder="false" applyFill="false" applyFont="true" applyNumberFormat="true" applyProtection="false" borderId="6" fillId="0" fontId="4" numFmtId="169" xfId="0">
      <alignment horizontal="center" vertical="bottom"/>
    </xf>
    <xf applyAlignment="true" applyBorder="false" applyFill="false" applyFont="true" applyNumberFormat="true" applyProtection="false" borderId="6" fillId="0" fontId="6" numFmtId="171" xfId="0">
      <alignment horizontal="center" vertical="center"/>
    </xf>
    <xf applyAlignment="true" applyBorder="false" applyFill="false" applyFont="true" applyNumberFormat="true" applyProtection="false" borderId="2" fillId="0" fontId="4" numFmtId="164" xfId="0">
      <alignment horizontal="center" vertical="center"/>
    </xf>
    <xf applyAlignment="true" applyBorder="false" applyFill="false" applyFont="true" applyNumberFormat="true" applyProtection="false" borderId="1" fillId="0" fontId="4" numFmtId="167" xfId="0">
      <alignment horizontal="center" vertical="center"/>
    </xf>
    <xf applyAlignment="true" applyBorder="false" applyFill="true" applyFont="true" applyNumberFormat="true" applyProtection="false" borderId="5" fillId="10" fontId="5" numFmtId="169" xfId="0">
      <alignment horizontal="center" vertical="center"/>
    </xf>
    <xf applyAlignment="true" applyBorder="false" applyFill="false" applyFont="true" applyNumberFormat="false" applyProtection="false" borderId="11" fillId="0" fontId="4" numFmtId="0" xfId="0">
      <alignment horizontal="center" vertical="center"/>
    </xf>
    <xf applyAlignment="true" applyBorder="false" applyFill="false" applyFont="true" applyNumberFormat="true" applyProtection="false" borderId="12" fillId="0" fontId="4" numFmtId="169" xfId="0">
      <alignment horizontal="center" vertical="center"/>
    </xf>
    <xf applyAlignment="true" applyBorder="false" applyFill="true" applyFont="true" applyNumberFormat="true" applyProtection="false" borderId="5" fillId="8" fontId="1" numFmtId="169" xfId="0">
      <alignment horizontal="center" vertical="center"/>
    </xf>
    <xf applyAlignment="true" applyBorder="false" applyFill="true" applyFont="true" applyNumberFormat="true" applyProtection="false" borderId="6" fillId="10" fontId="5" numFmtId="169" xfId="0">
      <alignment horizontal="center" vertical="center"/>
    </xf>
    <xf applyAlignment="true" applyBorder="false" applyFill="true" applyFont="true" applyNumberFormat="true" applyProtection="false" borderId="11" fillId="10" fontId="5" numFmtId="169" xfId="0">
      <alignment horizontal="center" vertical="center"/>
    </xf>
    <xf applyAlignment="true" applyBorder="false" applyFill="true" applyFont="true" applyNumberFormat="true" applyProtection="false" borderId="19" fillId="10" fontId="5" numFmtId="169" xfId="0">
      <alignment horizontal="center" vertical="center"/>
    </xf>
    <xf applyAlignment="true" applyBorder="false" applyFill="false" applyFont="true" applyNumberFormat="true" applyProtection="false" borderId="3" fillId="0" fontId="4" numFmtId="169" xfId="0">
      <alignment horizontal="center" vertical="center"/>
    </xf>
    <xf applyAlignment="true" applyBorder="false" applyFill="false" applyFont="true" applyNumberFormat="true" applyProtection="false" borderId="13" fillId="0" fontId="4" numFmtId="169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true" applyFont="true" applyNumberFormat="false" applyProtection="false" borderId="15" fillId="3" fontId="1" numFmtId="0" xfId="0">
      <alignment horizontal="center" vertical="center"/>
    </xf>
    <xf applyAlignment="true" applyBorder="false" applyFill="true" applyFont="true" applyNumberFormat="false" applyProtection="false" borderId="15" fillId="3" fontId="1" numFmtId="0" xfId="0">
      <alignment horizontal="center" vertical="center"/>
    </xf>
    <xf applyAlignment="true" applyBorder="false" applyFill="true" applyFont="true" applyNumberFormat="true" applyProtection="false" borderId="11" fillId="3" fontId="1" numFmtId="166" xfId="0">
      <alignment horizontal="center" vertical="center"/>
    </xf>
    <xf applyAlignment="true" applyBorder="false" applyFill="true" applyFont="true" applyNumberFormat="false" applyProtection="false" borderId="0" fillId="11" fontId="9" numFmtId="0" xfId="0">
      <alignment vertical="center"/>
    </xf>
    <xf applyAlignment="true" applyBorder="false" applyFill="true" applyFont="true" applyNumberFormat="false" applyProtection="false" borderId="23" fillId="12" fontId="10" numFmtId="0" xfId="0">
      <alignment horizontal="right" vertical="center" wrapText="true"/>
    </xf>
    <xf applyAlignment="true" applyBorder="false" applyFill="true" applyFont="true" applyNumberFormat="false" applyProtection="false" borderId="23" fillId="12" fontId="10" numFmtId="0" xfId="0">
      <alignment horizontal="right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24" fillId="12" fontId="11" numFmtId="0" xfId="0">
      <alignment horizontal="right" vertical="center" wrapText="true"/>
    </xf>
    <xf applyAlignment="true" applyBorder="false" applyFill="true" applyFont="true" applyNumberFormat="false" applyProtection="false" borderId="0" fillId="5" fontId="10" numFmtId="0" xfId="0">
      <alignment horizontal="right" vertical="center" wrapText="true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true" applyFont="true" applyNumberFormat="false" applyProtection="false" borderId="25" fillId="13" fontId="1" numFmtId="0" xfId="0">
      <alignment horizontal="center" vertical="center"/>
    </xf>
    <xf applyAlignment="true" applyBorder="false" applyFill="true" applyFont="true" applyNumberFormat="true" applyProtection="false" borderId="26" fillId="14" fontId="1" numFmtId="172" xfId="0">
      <alignment horizontal="center" vertical="center"/>
    </xf>
    <xf applyAlignment="true" applyBorder="false" applyFill="true" applyFont="true" applyNumberFormat="true" applyProtection="false" borderId="25" fillId="15" fontId="1" numFmtId="172" xfId="0">
      <alignment horizontal="center" vertical="center"/>
    </xf>
    <xf applyAlignment="true" applyBorder="false" applyFill="true" applyFont="true" applyNumberFormat="true" applyProtection="false" borderId="26" fillId="14" fontId="2" numFmtId="173" xfId="0">
      <alignment horizontal="center" vertical="center"/>
    </xf>
    <xf applyAlignment="true" applyBorder="false" applyFill="true" applyFont="true" applyNumberFormat="false" applyProtection="false" borderId="0" fillId="16" fontId="3" numFmtId="0" xfId="0">
      <alignment vertical="center"/>
    </xf>
    <xf applyAlignment="true" applyBorder="false" applyFill="true" applyFont="true" applyNumberFormat="false" applyProtection="false" borderId="27" fillId="13" fontId="1" numFmtId="0" xfId="0">
      <alignment horizontal="center" vertical="center"/>
    </xf>
    <xf applyAlignment="true" applyBorder="false" applyFill="true" applyFont="true" applyNumberFormat="false" applyProtection="false" borderId="28" fillId="13" fontId="1" numFmtId="0" xfId="0">
      <alignment horizontal="center" vertical="center"/>
    </xf>
    <xf applyAlignment="true" applyBorder="false" applyFill="true" applyFont="true" applyNumberFormat="true" applyProtection="false" borderId="29" fillId="14" fontId="1" numFmtId="172" xfId="0">
      <alignment horizontal="center" vertical="center"/>
    </xf>
    <xf applyAlignment="true" applyBorder="false" applyFill="true" applyFont="true" applyNumberFormat="false" applyProtection="false" borderId="29" fillId="14" fontId="1" numFmtId="0" xfId="0">
      <alignment horizontal="center" vertical="center"/>
    </xf>
    <xf applyAlignment="true" applyBorder="false" applyFill="true" applyFont="true" applyNumberFormat="false" applyProtection="false" borderId="25" fillId="14" fontId="1" numFmtId="0" xfId="0">
      <alignment horizontal="center" vertical="center"/>
    </xf>
    <xf applyAlignment="true" applyBorder="false" applyFill="true" applyFont="true" applyNumberFormat="true" applyProtection="false" borderId="25" fillId="14" fontId="1" numFmtId="174" xfId="0">
      <alignment horizontal="center" vertical="center"/>
    </xf>
    <xf applyAlignment="true" applyBorder="false" applyFill="true" applyFont="true" applyNumberFormat="true" applyProtection="false" borderId="29" fillId="14" fontId="1" numFmtId="174" xfId="0">
      <alignment horizontal="center" vertical="center"/>
    </xf>
    <xf applyAlignment="true" applyBorder="false" applyFill="true" applyFont="true" applyNumberFormat="true" applyProtection="false" borderId="25" fillId="14" fontId="1" numFmtId="172" xfId="0">
      <alignment horizontal="center" vertical="center"/>
    </xf>
    <xf applyAlignment="true" applyBorder="false" applyFill="true" applyFont="true" applyNumberFormat="true" applyProtection="false" borderId="25" fillId="15" fontId="1" numFmtId="175" xfId="0">
      <alignment horizontal="center" vertical="center"/>
    </xf>
    <xf applyAlignment="true" applyBorder="false" applyFill="false" applyFont="true" applyNumberFormat="true" applyProtection="false" borderId="25" fillId="0" fontId="4" numFmtId="173" xfId="0">
      <alignment horizontal="center" vertical="center"/>
    </xf>
    <xf applyAlignment="true" applyBorder="false" applyFill="true" applyFont="true" applyNumberFormat="true" applyProtection="false" borderId="30" fillId="17" fontId="4" numFmtId="176" xfId="0">
      <alignment horizontal="center" vertical="center"/>
    </xf>
    <xf applyAlignment="true" applyBorder="false" applyFill="false" applyFont="true" applyNumberFormat="false" applyProtection="false" borderId="28" fillId="0" fontId="4" numFmtId="0" xfId="0">
      <alignment horizontal="center" vertical="center"/>
    </xf>
    <xf applyAlignment="true" applyBorder="false" applyFill="false" applyFont="true" applyNumberFormat="false" applyProtection="false" borderId="27" fillId="0" fontId="4" numFmtId="0" xfId="0">
      <alignment horizontal="center" vertical="center"/>
    </xf>
    <xf applyAlignment="true" applyBorder="false" applyFill="false" applyFont="true" applyNumberFormat="false" applyProtection="false" borderId="31" fillId="0" fontId="4" numFmtId="0" xfId="0">
      <alignment horizontal="center" vertical="center"/>
    </xf>
    <xf applyAlignment="true" applyBorder="false" applyFill="false" applyFont="true" applyNumberFormat="true" applyProtection="false" borderId="25" fillId="0" fontId="4" numFmtId="177" xfId="0">
      <alignment horizontal="center" vertical="center"/>
    </xf>
    <xf applyAlignment="true" applyBorder="false" applyFill="false" applyFont="true" applyNumberFormat="true" applyProtection="false" borderId="29" fillId="0" fontId="4" numFmtId="177" xfId="0">
      <alignment horizontal="center" vertical="center"/>
    </xf>
    <xf applyAlignment="true" applyBorder="false" applyFill="false" applyFont="true" applyNumberFormat="true" applyProtection="false" borderId="31" fillId="0" fontId="4" numFmtId="177" xfId="0">
      <alignment horizontal="center" vertical="center"/>
    </xf>
    <xf applyAlignment="true" applyBorder="false" applyFill="false" applyFont="true" applyNumberFormat="true" applyProtection="false" borderId="25" fillId="0" fontId="4" numFmtId="177" xfId="0">
      <alignment horizontal="center" vertical="center"/>
    </xf>
    <xf applyAlignment="true" applyBorder="false" applyFill="false" applyFont="true" applyNumberFormat="true" applyProtection="false" borderId="26" fillId="0" fontId="4" numFmtId="177" xfId="0">
      <alignment horizontal="center" vertical="center"/>
    </xf>
    <xf applyAlignment="true" applyBorder="false" applyFill="false" applyFont="true" applyNumberFormat="true" applyProtection="false" borderId="26" fillId="0" fontId="4" numFmtId="177" xfId="0">
      <alignment horizontal="center" vertical="center"/>
    </xf>
    <xf applyAlignment="true" applyBorder="false" applyFill="true" applyFont="true" applyNumberFormat="true" applyProtection="false" borderId="25" fillId="18" fontId="5" numFmtId="178" xfId="0">
      <alignment horizontal="center" vertical="center"/>
    </xf>
    <xf applyAlignment="true" applyBorder="false" applyFill="false" applyFont="true" applyNumberFormat="true" applyProtection="false" borderId="25" fillId="0" fontId="6" numFmtId="179" xfId="0">
      <alignment horizontal="center" vertical="center"/>
    </xf>
    <xf applyAlignment="true" applyBorder="false" applyFill="false" applyFont="true" applyNumberFormat="true" applyProtection="false" borderId="25" fillId="0" fontId="4" numFmtId="175" xfId="0">
      <alignment horizontal="center" vertical="center"/>
    </xf>
    <xf applyAlignment="true" applyBorder="false" applyFill="false" applyFont="true" applyNumberFormat="true" applyProtection="false" borderId="25" fillId="0" fontId="4" numFmtId="172" xfId="0">
      <alignment horizontal="center" vertical="center"/>
    </xf>
    <xf applyAlignment="true" applyBorder="false" applyFill="false" applyFont="true" applyNumberFormat="true" applyProtection="false" borderId="25" fillId="0" fontId="4" numFmtId="172" xfId="0">
      <alignment horizontal="center" vertical="bottom"/>
    </xf>
    <xf applyAlignment="true" applyBorder="false" applyFill="false" applyFont="true" applyNumberFormat="true" applyProtection="false" borderId="25" fillId="0" fontId="5" numFmtId="173" xfId="0">
      <alignment horizontal="center" vertical="center"/>
    </xf>
    <xf applyAlignment="true" applyBorder="false" applyFill="false" applyFont="true" applyNumberFormat="true" applyProtection="false" borderId="25" fillId="0" fontId="4" numFmtId="173" xfId="0">
      <alignment horizontal="center" vertical="bottom"/>
    </xf>
    <xf applyAlignment="true" applyBorder="false" applyFill="false" applyFont="true" applyNumberFormat="true" applyProtection="false" borderId="31" fillId="0" fontId="4" numFmtId="177" xfId="0">
      <alignment horizontal="center" vertical="bottom"/>
    </xf>
    <xf applyAlignment="true" applyBorder="false" applyFill="false" applyFont="true" applyNumberFormat="true" applyProtection="false" borderId="32" fillId="0" fontId="4" numFmtId="177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31" fillId="0" fontId="4" numFmtId="177" xfId="0">
      <alignment horizontal="center" vertical="center"/>
    </xf>
    <xf applyAlignment="true" applyBorder="false" applyFill="false" applyFont="true" applyNumberFormat="true" applyProtection="false" borderId="33" fillId="0" fontId="4" numFmtId="177" xfId="0">
      <alignment horizontal="center" vertical="center"/>
    </xf>
    <xf applyAlignment="true" applyBorder="false" applyFill="false" applyFont="true" applyNumberFormat="true" applyProtection="false" borderId="27" fillId="0" fontId="4" numFmtId="177" xfId="0">
      <alignment horizontal="center" vertical="center"/>
    </xf>
    <xf applyAlignment="true" applyBorder="false" applyFill="false" applyFont="true" applyNumberFormat="true" applyProtection="false" borderId="33" fillId="0" fontId="4" numFmtId="177" xfId="0">
      <alignment horizontal="center" vertical="center"/>
    </xf>
    <xf applyAlignment="true" applyBorder="false" applyFill="false" applyFont="true" applyNumberFormat="true" applyProtection="false" borderId="34" fillId="0" fontId="4" numFmtId="177" xfId="0">
      <alignment horizontal="center" vertical="center"/>
    </xf>
    <xf applyAlignment="true" applyBorder="false" applyFill="false" applyFont="true" applyNumberFormat="true" applyProtection="false" borderId="35" fillId="0" fontId="4" numFmtId="177" xfId="0">
      <alignment horizontal="center" vertical="center"/>
    </xf>
    <xf applyAlignment="true" applyBorder="false" applyFill="false" applyFont="true" applyNumberFormat="true" applyProtection="false" borderId="32" fillId="0" fontId="4" numFmtId="177" xfId="0">
      <alignment horizontal="center" vertical="center"/>
    </xf>
    <xf applyAlignment="true" applyBorder="false" applyFill="true" applyFont="true" applyNumberFormat="true" applyProtection="false" borderId="25" fillId="19" fontId="1" numFmtId="177" xfId="0">
      <alignment horizontal="center" vertical="center"/>
    </xf>
    <xf applyAlignment="true" applyBorder="false" applyFill="true" applyFont="true" applyNumberFormat="true" applyProtection="false" borderId="25" fillId="19" fontId="5" numFmtId="178" xfId="0">
      <alignment horizontal="center" vertical="center"/>
    </xf>
    <xf applyAlignment="true" applyBorder="false" applyFill="true" applyFont="true" applyNumberFormat="true" applyProtection="false" borderId="25" fillId="19" fontId="7" numFmtId="173" xfId="0">
      <alignment horizontal="center" vertical="center"/>
    </xf>
    <xf applyAlignment="true" applyBorder="false" applyFill="true" applyFont="true" applyNumberFormat="true" applyProtection="false" borderId="25" fillId="19" fontId="1" numFmtId="175" xfId="0">
      <alignment horizontal="center" vertical="center"/>
    </xf>
    <xf applyAlignment="true" applyBorder="false" applyFill="true" applyFont="true" applyNumberFormat="true" applyProtection="false" borderId="25" fillId="19" fontId="1" numFmtId="172" xfId="0">
      <alignment horizontal="center" vertical="center"/>
    </xf>
    <xf applyAlignment="true" applyBorder="false" applyFill="true" applyFont="true" applyNumberFormat="true" applyProtection="false" borderId="25" fillId="19" fontId="1" numFmtId="172" xfId="0">
      <alignment horizontal="center" vertical="bottom"/>
    </xf>
    <xf applyAlignment="true" applyBorder="false" applyFill="true" applyFont="true" applyNumberFormat="true" applyProtection="false" borderId="25" fillId="19" fontId="5" numFmtId="173" xfId="0">
      <alignment horizontal="center" vertical="center"/>
    </xf>
    <xf applyAlignment="true" applyBorder="false" applyFill="true" applyFont="true" applyNumberFormat="true" applyProtection="false" borderId="36" fillId="19" fontId="1" numFmtId="177" xfId="0">
      <alignment horizontal="center" vertical="center"/>
    </xf>
    <xf applyAlignment="true" applyBorder="false" applyFill="false" applyFont="true" applyNumberFormat="true" applyProtection="false" borderId="27" fillId="0" fontId="4" numFmtId="177" xfId="0">
      <alignment horizontal="center" vertical="center"/>
    </xf>
    <xf applyAlignment="true" applyBorder="false" applyFill="false" applyFont="true" applyNumberFormat="true" applyProtection="false" borderId="37" fillId="0" fontId="4" numFmtId="177" xfId="0">
      <alignment horizontal="center" vertical="center"/>
    </xf>
    <xf applyAlignment="true" applyBorder="false" applyFill="false" applyFont="true" applyNumberFormat="true" applyProtection="false" borderId="29" fillId="0" fontId="4" numFmtId="177" xfId="0">
      <alignment horizontal="center" vertical="center"/>
    </xf>
    <xf applyAlignment="true" applyBorder="false" applyFill="false" applyFont="true" applyNumberFormat="true" applyProtection="false" borderId="25" fillId="0" fontId="4" numFmtId="177" xfId="0">
      <alignment horizontal="center" vertical="center"/>
    </xf>
    <xf applyAlignment="true" applyBorder="false" applyFill="true" applyFont="true" applyNumberFormat="true" applyProtection="false" borderId="25" fillId="19" fontId="6" numFmtId="173" xfId="0">
      <alignment horizontal="center" vertical="center"/>
    </xf>
    <xf applyAlignment="true" applyBorder="false" applyFill="true" applyFont="true" applyNumberFormat="true" applyProtection="false" borderId="31" fillId="19" fontId="5" numFmtId="173" xfId="0">
      <alignment horizontal="center" vertical="center"/>
    </xf>
    <xf applyAlignment="true" applyBorder="false" applyFill="true" applyFont="true" applyNumberFormat="true" applyProtection="false" borderId="27" fillId="19" fontId="1" numFmtId="177" xfId="0">
      <alignment horizontal="center" vertical="center"/>
    </xf>
    <xf applyAlignment="true" applyBorder="false" applyFill="true" applyFont="true" applyNumberFormat="false" applyProtection="false" borderId="0" fillId="20" fontId="4" numFmtId="0" xfId="0">
      <alignment vertical="center"/>
    </xf>
    <xf applyAlignment="true" applyBorder="false" applyFill="true" applyFont="true" applyNumberFormat="true" applyProtection="false" borderId="25" fillId="21" fontId="5" numFmtId="177" xfId="0">
      <alignment horizontal="center" vertical="center"/>
    </xf>
    <xf applyAlignment="true" applyBorder="false" applyFill="true" applyFont="true" applyNumberFormat="true" applyProtection="false" borderId="25" fillId="21" fontId="5" numFmtId="178" xfId="0">
      <alignment horizontal="center" vertical="center"/>
    </xf>
    <xf applyAlignment="true" applyBorder="false" applyFill="true" applyFont="true" applyNumberFormat="true" applyProtection="false" borderId="25" fillId="21" fontId="5" numFmtId="173" xfId="0">
      <alignment horizontal="center" vertical="center"/>
    </xf>
    <xf applyAlignment="true" applyBorder="false" applyFill="true" applyFont="true" applyNumberFormat="true" applyProtection="false" borderId="25" fillId="21" fontId="5" numFmtId="175" xfId="0">
      <alignment horizontal="center" vertical="center"/>
    </xf>
    <xf applyAlignment="true" applyBorder="false" applyFill="true" applyFont="true" applyNumberFormat="true" applyProtection="false" borderId="25" fillId="21" fontId="5" numFmtId="172" xfId="0">
      <alignment horizontal="center" vertical="center"/>
    </xf>
    <xf applyAlignment="true" applyBorder="false" applyFill="true" applyFont="true" applyNumberFormat="true" applyProtection="false" borderId="26" fillId="21" fontId="5" numFmtId="177" xfId="0">
      <alignment horizontal="center" vertical="center"/>
    </xf>
    <xf applyAlignment="true" applyBorder="false" applyFill="false" applyFont="true" applyNumberFormat="true" applyProtection="false" borderId="38" fillId="0" fontId="4" numFmtId="177" xfId="0">
      <alignment horizontal="center" vertical="bottom"/>
    </xf>
    <xf applyAlignment="true" applyBorder="false" applyFill="false" applyFont="true" applyNumberFormat="true" applyProtection="false" borderId="31" fillId="0" fontId="4" numFmtId="173" xfId="0">
      <alignment horizontal="center" vertical="bottom"/>
    </xf>
    <xf applyAlignment="true" applyBorder="false" applyFill="false" applyFont="true" applyNumberFormat="true" applyProtection="false" borderId="39" fillId="0" fontId="4" numFmtId="177" xfId="0">
      <alignment horizontal="center" vertical="bottom"/>
    </xf>
    <xf applyAlignment="true" applyBorder="false" applyFill="false" applyFont="true" applyNumberFormat="true" applyProtection="false" borderId="34" fillId="0" fontId="4" numFmtId="177" xfId="0">
      <alignment horizontal="center" vertical="center"/>
    </xf>
    <xf applyAlignment="true" applyBorder="false" applyFill="true" applyFont="true" applyNumberFormat="true" applyProtection="false" borderId="39" fillId="19" fontId="5" numFmtId="173" xfId="0">
      <alignment horizontal="center" vertical="center"/>
    </xf>
    <xf applyAlignment="true" applyBorder="false" applyFill="true" applyFont="true" applyNumberFormat="true" applyProtection="false" borderId="40" fillId="19" fontId="5" numFmtId="173" xfId="0">
      <alignment horizontal="center" vertical="center"/>
    </xf>
    <xf applyAlignment="true" applyBorder="false" applyFill="true" applyFont="true" applyNumberFormat="true" applyProtection="false" borderId="36" fillId="14" fontId="1" numFmtId="172" xfId="0">
      <alignment horizontal="center" vertical="center"/>
    </xf>
    <xf applyAlignment="true" applyBorder="false" applyFill="true" applyFont="true" applyNumberFormat="true" applyProtection="false" borderId="38" fillId="14" fontId="1" numFmtId="174" xfId="0">
      <alignment horizontal="center" vertical="center"/>
    </xf>
    <xf applyAlignment="true" applyBorder="false" applyFill="true" applyFont="true" applyNumberFormat="true" applyProtection="false" borderId="39" fillId="14" fontId="1" numFmtId="172" xfId="0">
      <alignment horizontal="center" vertical="center"/>
    </xf>
    <xf applyAlignment="true" applyBorder="false" applyFill="false" applyFont="true" applyNumberFormat="true" applyProtection="false" borderId="38" fillId="0" fontId="4" numFmtId="177" xfId="0">
      <alignment horizontal="center" vertical="center"/>
    </xf>
    <xf applyAlignment="true" applyBorder="false" applyFill="false" applyFont="true" applyNumberFormat="true" applyProtection="false" borderId="39" fillId="0" fontId="4" numFmtId="177" xfId="0">
      <alignment horizontal="center" vertical="center"/>
    </xf>
    <xf applyAlignment="true" applyBorder="false" applyFill="false" applyFont="true" applyNumberFormat="true" applyProtection="false" borderId="39" fillId="0" fontId="4" numFmtId="177" xfId="0">
      <alignment horizontal="center" vertical="center"/>
    </xf>
    <xf applyAlignment="true" applyBorder="false" applyFill="false" applyFont="true" applyNumberFormat="true" applyProtection="false" borderId="35" fillId="0" fontId="4" numFmtId="177" xfId="0">
      <alignment horizontal="center" vertical="center"/>
    </xf>
    <xf applyAlignment="true" applyBorder="false" applyFill="true" applyFont="true" applyNumberFormat="true" applyProtection="false" borderId="39" fillId="19" fontId="1" numFmtId="177" xfId="0">
      <alignment horizontal="center" vertical="center"/>
    </xf>
    <xf applyAlignment="true" applyBorder="false" applyFill="true" applyFont="true" applyNumberFormat="true" applyProtection="false" borderId="33" fillId="19" fontId="1" numFmtId="177" xfId="0">
      <alignment horizontal="center" vertical="center"/>
    </xf>
    <xf applyAlignment="true" applyBorder="false" applyFill="true" applyFont="true" applyNumberFormat="true" applyProtection="false" borderId="33" fillId="21" fontId="5" numFmtId="177" xfId="0">
      <alignment horizontal="center" vertical="center"/>
    </xf>
    <xf applyAlignment="true" applyBorder="false" applyFill="true" applyFont="true" applyNumberFormat="true" applyProtection="false" borderId="41" fillId="14" fontId="1" numFmtId="172" xfId="0">
      <alignment horizontal="center" vertical="center"/>
    </xf>
    <xf applyAlignment="true" applyBorder="false" applyFill="true" applyFont="true" applyNumberFormat="true" applyProtection="false" borderId="31" fillId="14" fontId="1" numFmtId="174" xfId="0">
      <alignment horizontal="center" vertical="center"/>
    </xf>
    <xf applyAlignment="true" applyBorder="false" applyFill="true" applyFont="true" applyNumberFormat="true" applyProtection="false" borderId="39" fillId="14" fontId="1" numFmtId="174" xfId="0">
      <alignment horizontal="center" vertical="center"/>
    </xf>
    <xf applyAlignment="true" applyBorder="false" applyFill="false" applyFont="true" applyNumberFormat="true" applyProtection="false" borderId="40" fillId="0" fontId="4" numFmtId="177" xfId="0">
      <alignment horizontal="center" vertical="center"/>
    </xf>
    <xf applyAlignment="true" applyBorder="false" applyFill="false" applyFont="true" applyNumberFormat="true" applyProtection="false" borderId="42" fillId="0" fontId="4" numFmtId="177" xfId="0">
      <alignment horizontal="center" vertical="center"/>
    </xf>
    <xf applyAlignment="true" applyBorder="false" applyFill="true" applyFont="true" applyNumberFormat="true" applyProtection="false" borderId="41" fillId="14" fontId="1" numFmtId="174" xfId="0">
      <alignment horizontal="center" vertical="center"/>
    </xf>
    <xf applyAlignment="true" applyBorder="false" applyFill="false" applyFont="true" applyNumberFormat="true" applyProtection="false" borderId="29" fillId="0" fontId="4" numFmtId="173" xfId="0">
      <alignment horizontal="center" vertical="center"/>
    </xf>
    <xf applyAlignment="true" applyBorder="false" applyFill="false" applyFont="true" applyNumberFormat="true" applyProtection="false" borderId="36" fillId="0" fontId="4" numFmtId="177" xfId="0">
      <alignment horizontal="center" vertical="center"/>
    </xf>
    <xf applyAlignment="true" applyBorder="false" applyFill="false" applyFont="true" applyNumberFormat="true" applyProtection="false" borderId="43" fillId="0" fontId="4" numFmtId="177" xfId="0">
      <alignment horizontal="center" vertical="center"/>
    </xf>
    <xf applyAlignment="true" applyBorder="false" applyFill="false" applyFont="true" applyNumberFormat="true" applyProtection="false" borderId="44" fillId="0" fontId="4" numFmtId="177" xfId="0">
      <alignment horizontal="center" vertical="center"/>
    </xf>
    <xf applyAlignment="true" applyBorder="false" applyFill="true" applyFont="true" applyNumberFormat="true" applyProtection="false" borderId="45" fillId="19" fontId="1" numFmtId="177" xfId="0">
      <alignment horizontal="center" vertical="center"/>
    </xf>
    <xf applyAlignment="true" applyBorder="false" applyFill="true" applyFont="true" applyNumberFormat="true" applyProtection="false" borderId="46" fillId="19" fontId="1" numFmtId="177" xfId="0">
      <alignment horizontal="center" vertical="center"/>
    </xf>
    <xf applyAlignment="true" applyBorder="false" applyFill="false" applyFont="true" applyNumberFormat="true" applyProtection="false" borderId="37" fillId="0" fontId="4" numFmtId="177" xfId="0">
      <alignment horizontal="center" vertical="center"/>
    </xf>
    <xf applyAlignment="true" applyBorder="false" applyFill="false" applyFont="true" applyNumberFormat="true" applyProtection="false" borderId="47" fillId="0" fontId="4" numFmtId="177" xfId="0">
      <alignment horizontal="center" vertical="center"/>
    </xf>
    <xf applyAlignment="true" applyBorder="false" applyFill="false" applyFont="true" applyNumberFormat="true" applyProtection="false" borderId="45" fillId="0" fontId="4" numFmtId="177" xfId="0">
      <alignment horizontal="center" vertical="bottom"/>
    </xf>
    <xf applyAlignment="true" applyBorder="false" applyFill="false" applyFont="true" applyNumberFormat="true" applyProtection="false" borderId="42" fillId="0" fontId="4" numFmtId="177" xfId="0">
      <alignment horizontal="center" vertical="center"/>
    </xf>
    <xf applyAlignment="true" applyBorder="false" applyFill="false" applyFont="true" applyNumberFormat="true" applyProtection="false" borderId="36" fillId="0" fontId="4" numFmtId="177" xfId="0">
      <alignment horizontal="center" vertical="center"/>
    </xf>
    <xf applyAlignment="true" applyBorder="false" applyFill="true" applyFont="true" applyNumberFormat="true" applyProtection="false" borderId="25" fillId="22" fontId="4" numFmtId="177" xfId="0">
      <alignment horizontal="center" vertical="center"/>
    </xf>
    <xf applyAlignment="true" applyBorder="false" applyFill="true" applyFont="true" applyNumberFormat="true" applyProtection="false" borderId="29" fillId="19" fontId="1" numFmtId="177" xfId="0">
      <alignment horizontal="center" vertical="center"/>
    </xf>
    <xf applyAlignment="true" applyBorder="false" applyFill="false" applyFont="true" applyNumberFormat="true" applyProtection="false" borderId="48" fillId="0" fontId="4" numFmtId="177" xfId="0">
      <alignment horizontal="center" vertical="center"/>
    </xf>
    <xf applyAlignment="true" applyBorder="false" applyFill="false" applyFont="true" applyNumberFormat="true" applyProtection="false" borderId="41" fillId="0" fontId="4" numFmtId="177" xfId="0">
      <alignment horizontal="center" vertical="center"/>
    </xf>
    <xf applyAlignment="true" applyBorder="false" applyFill="true" applyFont="true" applyNumberFormat="true" applyProtection="false" borderId="29" fillId="18" fontId="5" numFmtId="178" xfId="0">
      <alignment horizontal="center" vertical="center"/>
    </xf>
    <xf applyAlignment="true" applyBorder="false" applyFill="false" applyFont="true" applyNumberFormat="true" applyProtection="false" borderId="29" fillId="0" fontId="6" numFmtId="179" xfId="0">
      <alignment horizontal="center" vertical="center"/>
    </xf>
    <xf applyAlignment="true" applyBorder="false" applyFill="false" applyFont="true" applyNumberFormat="true" applyProtection="false" borderId="29" fillId="0" fontId="4" numFmtId="175" xfId="0">
      <alignment horizontal="center" vertical="center"/>
    </xf>
    <xf applyAlignment="true" applyBorder="false" applyFill="false" applyFont="true" applyNumberFormat="true" applyProtection="false" borderId="29" fillId="0" fontId="4" numFmtId="172" xfId="0">
      <alignment horizontal="center" vertical="center"/>
    </xf>
    <xf applyAlignment="true" applyBorder="false" applyFill="true" applyFont="true" applyNumberFormat="true" applyProtection="false" borderId="39" fillId="18" fontId="5" numFmtId="178" xfId="0">
      <alignment horizontal="center" vertical="center"/>
    </xf>
    <xf applyAlignment="true" applyBorder="false" applyFill="false" applyFont="true" applyNumberFormat="true" applyProtection="false" borderId="39" fillId="0" fontId="6" numFmtId="179" xfId="0">
      <alignment horizontal="center" vertical="center"/>
    </xf>
    <xf applyAlignment="true" applyBorder="false" applyFill="false" applyFont="true" applyNumberFormat="true" applyProtection="false" borderId="39" fillId="0" fontId="4" numFmtId="175" xfId="0">
      <alignment horizontal="center" vertical="center"/>
    </xf>
    <xf applyAlignment="true" applyBorder="false" applyFill="false" applyFont="true" applyNumberFormat="true" applyProtection="false" borderId="39" fillId="0" fontId="4" numFmtId="172" xfId="0">
      <alignment horizontal="center" vertical="center"/>
    </xf>
    <xf applyAlignment="true" applyBorder="false" applyFill="false" applyFont="true" applyNumberFormat="true" applyProtection="false" borderId="26" fillId="0" fontId="4" numFmtId="175" xfId="0">
      <alignment horizontal="center" vertical="center"/>
    </xf>
    <xf applyAlignment="true" applyBorder="false" applyFill="true" applyFont="true" applyNumberFormat="true" applyProtection="false" borderId="27" fillId="19" fontId="5" numFmtId="178" xfId="0">
      <alignment horizontal="center" vertical="center"/>
    </xf>
    <xf applyAlignment="true" applyBorder="false" applyFill="true" applyFont="true" applyNumberFormat="true" applyProtection="false" borderId="27" fillId="19" fontId="6" numFmtId="173" xfId="0">
      <alignment horizontal="center" vertical="center"/>
    </xf>
    <xf applyAlignment="true" applyBorder="false" applyFill="true" applyFont="true" applyNumberFormat="true" applyProtection="false" borderId="27" fillId="19" fontId="1" numFmtId="175" xfId="0">
      <alignment horizontal="center" vertical="center"/>
    </xf>
    <xf applyAlignment="true" applyBorder="false" applyFill="true" applyFont="true" applyNumberFormat="true" applyProtection="false" borderId="27" fillId="19" fontId="1" numFmtId="172" xfId="0">
      <alignment horizontal="center" vertical="center"/>
    </xf>
    <xf applyAlignment="true" applyBorder="false" applyFill="false" applyFont="true" applyNumberFormat="false" applyProtection="false" borderId="39" fillId="0" fontId="4" numFmtId="0" xfId="0">
      <alignment horizontal="center" vertical="center"/>
    </xf>
    <xf applyAlignment="true" applyBorder="false" applyFill="true" applyFont="true" applyNumberFormat="true" applyProtection="false" borderId="26" fillId="19" fontId="1" numFmtId="177" xfId="0">
      <alignment horizontal="center" vertical="center"/>
    </xf>
    <xf applyAlignment="true" applyBorder="false" applyFill="false" applyFont="true" applyNumberFormat="true" applyProtection="false" borderId="45" fillId="0" fontId="4" numFmtId="177" xfId="0">
      <alignment horizontal="center" vertical="center"/>
    </xf>
    <xf applyAlignment="true" applyBorder="false" applyFill="true" applyFont="true" applyNumberFormat="true" applyProtection="false" borderId="45" fillId="18" fontId="5" numFmtId="178" xfId="0">
      <alignment horizontal="center" vertical="center"/>
    </xf>
    <xf applyAlignment="true" applyBorder="false" applyFill="false" applyFont="true" applyNumberFormat="true" applyProtection="false" borderId="36" fillId="0" fontId="4" numFmtId="172" xfId="0">
      <alignment horizontal="center" vertical="center"/>
    </xf>
    <xf applyAlignment="true" applyBorder="false" applyFill="true" applyFont="true" applyNumberFormat="true" applyProtection="false" borderId="29" fillId="19" fontId="5" numFmtId="178" xfId="0">
      <alignment horizontal="center" vertical="center"/>
    </xf>
    <xf applyAlignment="true" applyBorder="false" applyFill="true" applyFont="true" applyNumberFormat="true" applyProtection="false" borderId="29" fillId="19" fontId="7" numFmtId="173" xfId="0">
      <alignment horizontal="center" vertical="center"/>
    </xf>
    <xf applyAlignment="true" applyBorder="false" applyFill="true" applyFont="true" applyNumberFormat="true" applyProtection="false" borderId="29" fillId="19" fontId="1" numFmtId="175" xfId="0">
      <alignment horizontal="center" vertical="center"/>
    </xf>
    <xf applyAlignment="true" applyBorder="false" applyFill="true" applyFont="true" applyNumberFormat="true" applyProtection="false" borderId="29" fillId="19" fontId="1" numFmtId="172" xfId="0">
      <alignment horizontal="center" vertical="center"/>
    </xf>
    <xf applyAlignment="true" applyBorder="false" applyFill="true" applyFont="true" applyNumberFormat="true" applyProtection="false" borderId="38" fillId="18" fontId="5" numFmtId="178" xfId="0">
      <alignment horizontal="center" vertical="center"/>
    </xf>
    <xf applyAlignment="true" applyBorder="false" applyFill="false" applyFont="true" applyNumberFormat="true" applyProtection="false" borderId="49" fillId="0" fontId="4" numFmtId="177" xfId="0">
      <alignment horizontal="center" vertical="center"/>
    </xf>
    <xf applyAlignment="true" applyBorder="false" applyFill="false" applyFont="true" applyNumberFormat="true" applyProtection="false" borderId="49" fillId="0" fontId="4" numFmtId="177" xfId="0">
      <alignment horizontal="center" vertical="center"/>
    </xf>
    <xf applyAlignment="true" applyBorder="false" applyFill="false" applyFont="true" applyNumberFormat="true" applyProtection="false" borderId="50" fillId="0" fontId="4" numFmtId="177" xfId="0">
      <alignment horizontal="center" vertical="center"/>
    </xf>
    <xf applyAlignment="true" applyBorder="false" applyFill="true" applyFont="true" applyNumberFormat="true" applyProtection="false" borderId="49" fillId="19" fontId="1" numFmtId="177" xfId="0">
      <alignment horizontal="center" vertical="center"/>
    </xf>
    <xf applyAlignment="true" applyBorder="false" applyFill="true" applyFont="true" applyNumberFormat="true" applyProtection="false" borderId="31" fillId="21" fontId="5" numFmtId="173" xfId="0">
      <alignment horizontal="center" vertical="center"/>
    </xf>
    <xf applyAlignment="true" applyBorder="false" applyFill="true" applyFont="true" applyNumberFormat="true" applyProtection="false" borderId="39" fillId="21" fontId="5" numFmtId="173" xfId="0">
      <alignment horizontal="center" vertical="center"/>
    </xf>
    <xf applyAlignment="true" applyBorder="false" applyFill="true" applyFont="true" applyNumberFormat="true" applyProtection="false" borderId="31" fillId="19" fontId="1" numFmtId="177" xfId="0">
      <alignment horizontal="center" vertical="center"/>
    </xf>
    <xf applyAlignment="true" applyBorder="false" applyFill="true" applyFont="true" applyNumberFormat="true" applyProtection="false" borderId="39" fillId="19" fontId="5" numFmtId="178" xfId="0">
      <alignment horizontal="center" vertical="center"/>
    </xf>
    <xf applyAlignment="true" applyBorder="false" applyFill="true" applyFont="true" applyNumberFormat="true" applyProtection="false" borderId="33" fillId="19" fontId="5" numFmtId="178" xfId="0">
      <alignment horizontal="center" vertical="center"/>
    </xf>
    <xf applyAlignment="true" applyBorder="false" applyFill="true" applyFont="true" applyNumberFormat="true" applyProtection="false" borderId="27" fillId="21" fontId="5" numFmtId="178" xfId="0">
      <alignment horizontal="center" vertical="center"/>
    </xf>
    <xf applyAlignment="true" applyBorder="false" applyFill="true" applyFont="true" applyNumberFormat="true" applyProtection="false" borderId="51" fillId="18" fontId="5" numFmtId="178" xfId="0">
      <alignment horizontal="center" vertical="center"/>
    </xf>
    <xf applyAlignment="true" applyBorder="false" applyFill="true" applyFont="true" applyNumberFormat="true" applyProtection="false" borderId="49" fillId="14" fontId="1" numFmtId="172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true" applyFont="true" applyNumberFormat="false" applyProtection="false" borderId="0" fillId="23" fontId="9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true" applyFont="true" applyNumberFormat="false" applyProtection="false" borderId="52" fillId="24" fontId="12" numFmtId="0" xfId="0">
      <alignment horizontal="right" vertical="center" wrapText="true"/>
    </xf>
    <xf applyAlignment="true" applyBorder="false" applyFill="true" applyFont="true" applyNumberFormat="false" applyProtection="false" borderId="52" fillId="24" fontId="12" numFmtId="0" xfId="0">
      <alignment horizontal="right" vertical="center" wrapText="true"/>
    </xf>
    <xf applyAlignment="true" applyBorder="false" applyFill="true" applyFont="true" applyNumberFormat="false" applyProtection="false" borderId="52" fillId="16" fontId="12" numFmtId="0" xfId="0">
      <alignment horizontal="right" vertical="center" wrapText="true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true" applyFont="true" applyNumberFormat="false" applyProtection="false" borderId="0" fillId="16" fontId="11" numFmtId="0" xfId="0">
      <alignment horizontal="right" vertical="center" wrapText="true"/>
    </xf>
    <xf applyAlignment="true" applyBorder="false" applyFill="false" applyFont="true" applyNumberFormat="true" applyProtection="false" borderId="0" fillId="0" fontId="3" numFmtId="180" xfId="0">
      <alignment vertical="center"/>
    </xf>
    <xf applyAlignment="true" applyBorder="false" applyFill="true" applyFont="true" applyNumberFormat="false" applyProtection="false" borderId="0" fillId="16" fontId="12" numFmtId="0" xfId="0">
      <alignment horizontal="right" vertical="center" wrapText="true"/>
    </xf>
    <xf applyAlignment="true" applyBorder="false" applyFill="false" applyFont="true" applyNumberFormat="false" applyProtection="false" borderId="0" fillId="0" fontId="8" numFmtId="0" xfId="0">
      <alignment horizontal="center" vertical="center"/>
    </xf>
    <xf applyAlignment="true" applyBorder="false" applyFill="true" applyFont="true" applyNumberFormat="false" applyProtection="false" borderId="53" fillId="25" fontId="1" numFmtId="0" xfId="0">
      <alignment horizontal="center" vertical="center"/>
    </xf>
    <xf applyAlignment="true" applyBorder="false" applyFill="true" applyFont="true" applyNumberFormat="true" applyProtection="false" borderId="53" fillId="26" fontId="1" numFmtId="181" xfId="0">
      <alignment horizontal="center" vertical="center"/>
    </xf>
    <xf applyAlignment="true" applyBorder="false" applyFill="true" applyFont="true" applyNumberFormat="true" applyProtection="false" borderId="53" fillId="27" fontId="1" numFmtId="181" xfId="0">
      <alignment horizontal="center" vertical="center"/>
    </xf>
    <xf applyAlignment="true" applyBorder="false" applyFill="true" applyFont="true" applyNumberFormat="true" applyProtection="false" borderId="53" fillId="26" fontId="2" numFmtId="182" xfId="0">
      <alignment horizontal="center" vertical="center"/>
    </xf>
    <xf applyAlignment="true" applyBorder="false" applyFill="true" applyFont="true" applyNumberFormat="false" applyProtection="false" borderId="0" fillId="28" fontId="13" numFmtId="0" xfId="0">
      <alignment vertical="center"/>
    </xf>
    <xf applyAlignment="true" applyBorder="false" applyFill="true" applyFont="true" applyNumberFormat="false" applyProtection="false" borderId="54" fillId="25" fontId="1" numFmtId="0" xfId="0">
      <alignment horizontal="center" vertical="center"/>
    </xf>
    <xf applyAlignment="true" applyBorder="false" applyFill="true" applyFont="true" applyNumberFormat="false" applyProtection="false" borderId="55" fillId="25" fontId="1" numFmtId="0" xfId="0">
      <alignment horizontal="center" vertical="center"/>
    </xf>
    <xf applyAlignment="true" applyBorder="false" applyFill="true" applyFont="true" applyNumberFormat="true" applyProtection="false" borderId="56" fillId="26" fontId="1" numFmtId="181" xfId="0">
      <alignment horizontal="center" vertical="center"/>
    </xf>
    <xf applyAlignment="true" applyBorder="false" applyFill="true" applyFont="true" applyNumberFormat="false" applyProtection="false" borderId="55" fillId="26" fontId="1" numFmtId="0" xfId="0">
      <alignment horizontal="center" vertical="center"/>
    </xf>
    <xf applyAlignment="true" applyBorder="false" applyFill="true" applyFont="true" applyNumberFormat="false" applyProtection="false" borderId="57" fillId="26" fontId="1" numFmtId="0" xfId="0">
      <alignment horizontal="center" vertical="center"/>
    </xf>
    <xf applyAlignment="true" applyBorder="false" applyFill="true" applyFont="true" applyNumberFormat="true" applyProtection="false" borderId="58" fillId="26" fontId="1" numFmtId="183" xfId="0">
      <alignment horizontal="center" vertical="center"/>
    </xf>
    <xf applyAlignment="true" applyBorder="false" applyFill="true" applyFont="true" applyNumberFormat="true" applyProtection="false" borderId="56" fillId="26" fontId="1" numFmtId="181" xfId="0">
      <alignment horizontal="center" vertical="center"/>
    </xf>
    <xf applyAlignment="true" applyBorder="false" applyFill="true" applyFont="true" applyNumberFormat="true" applyProtection="false" borderId="59" fillId="26" fontId="1" numFmtId="181" xfId="0">
      <alignment horizontal="center" vertical="center"/>
    </xf>
    <xf applyAlignment="true" applyBorder="false" applyFill="true" applyFont="true" applyNumberFormat="false" applyProtection="false" borderId="0" fillId="26" fontId="1" numFmtId="0" xfId="0">
      <alignment horizontal="center" vertical="center"/>
    </xf>
    <xf applyAlignment="true" applyBorder="false" applyFill="true" applyFont="true" applyNumberFormat="true" applyProtection="false" borderId="60" fillId="27" fontId="1" numFmtId="181" xfId="0">
      <alignment horizontal="center" vertical="center"/>
    </xf>
    <xf applyAlignment="true" applyBorder="false" applyFill="true" applyFont="true" applyNumberFormat="true" applyProtection="false" borderId="60" fillId="27" fontId="1" numFmtId="184" xfId="0">
      <alignment horizontal="center" vertical="center"/>
    </xf>
    <xf applyAlignment="true" applyBorder="false" applyFill="false" applyFont="true" applyNumberFormat="true" applyProtection="false" borderId="61" fillId="0" fontId="4" numFmtId="182" xfId="0">
      <alignment horizontal="center" vertical="center"/>
    </xf>
    <xf applyAlignment="true" applyBorder="false" applyFill="false" applyFont="true" applyNumberFormat="true" applyProtection="false" borderId="60" fillId="0" fontId="4" numFmtId="182" xfId="0">
      <alignment horizontal="center" vertical="center"/>
    </xf>
    <xf applyAlignment="true" applyBorder="false" applyFill="true" applyFont="true" applyNumberFormat="true" applyProtection="false" borderId="60" fillId="29" fontId="4" numFmtId="185" xfId="0">
      <alignment horizontal="center" vertical="center"/>
    </xf>
    <xf applyAlignment="true" applyBorder="false" applyFill="false" applyFont="true" applyNumberFormat="false" applyProtection="false" borderId="60" fillId="0" fontId="4" numFmtId="0" xfId="0">
      <alignment horizontal="center" vertical="center"/>
    </xf>
    <xf applyAlignment="true" applyBorder="false" applyFill="false" applyFont="true" applyNumberFormat="false" applyProtection="false" borderId="61" fillId="0" fontId="4" numFmtId="0" xfId="0">
      <alignment horizontal="center" vertical="center"/>
    </xf>
    <xf applyAlignment="true" applyBorder="false" applyFill="false" applyFont="true" applyNumberFormat="false" applyProtection="false" borderId="62" fillId="0" fontId="4" numFmtId="0" xfId="0">
      <alignment horizontal="center" vertical="center"/>
    </xf>
    <xf applyAlignment="true" applyBorder="false" applyFill="false" applyFont="true" applyNumberFormat="true" applyProtection="false" borderId="63" fillId="0" fontId="4" numFmtId="186" xfId="0">
      <alignment horizontal="center" vertical="center"/>
    </xf>
    <xf applyAlignment="true" applyBorder="false" applyFill="false" applyFont="true" applyNumberFormat="true" applyProtection="false" borderId="64" fillId="0" fontId="4" numFmtId="186" xfId="0">
      <alignment horizontal="center" vertical="center"/>
    </xf>
    <xf applyAlignment="true" applyBorder="false" applyFill="false" applyFont="true" applyNumberFormat="true" applyProtection="false" borderId="53" fillId="0" fontId="4" numFmtId="186" xfId="0">
      <alignment horizontal="center" vertical="center"/>
    </xf>
    <xf applyAlignment="true" applyBorder="false" applyFill="false" applyFont="true" applyNumberFormat="true" applyProtection="false" borderId="53" fillId="0" fontId="4" numFmtId="186" xfId="0">
      <alignment horizontal="center" vertical="center"/>
    </xf>
    <xf applyAlignment="true" applyBorder="false" applyFill="false" applyFont="true" applyNumberFormat="true" applyProtection="false" borderId="65" fillId="0" fontId="4" numFmtId="186" xfId="0">
      <alignment horizontal="center" vertical="center"/>
    </xf>
    <xf applyAlignment="true" applyBorder="false" applyFill="false" applyFont="true" applyNumberFormat="true" applyProtection="false" borderId="66" fillId="0" fontId="4" numFmtId="186" xfId="0">
      <alignment horizontal="center" vertical="center"/>
    </xf>
    <xf applyAlignment="true" applyBorder="false" applyFill="false" applyFont="true" applyNumberFormat="true" applyProtection="false" borderId="67" fillId="0" fontId="4" numFmtId="186" xfId="0">
      <alignment horizontal="center" vertical="center"/>
    </xf>
    <xf applyAlignment="true" applyBorder="false" applyFill="true" applyFont="true" applyNumberFormat="true" applyProtection="false" borderId="68" fillId="30" fontId="5" numFmtId="187" xfId="0">
      <alignment horizontal="center" vertical="center"/>
    </xf>
    <xf applyAlignment="true" applyBorder="false" applyFill="true" applyFont="true" applyNumberFormat="true" applyProtection="false" borderId="69" fillId="30" fontId="5" numFmtId="187" xfId="0">
      <alignment horizontal="center" vertical="center"/>
    </xf>
    <xf applyAlignment="true" applyBorder="false" applyFill="false" applyFont="true" applyNumberFormat="true" applyProtection="false" borderId="70" fillId="0" fontId="6" numFmtId="188" xfId="0">
      <alignment horizontal="center" vertical="center"/>
    </xf>
    <xf applyAlignment="true" applyBorder="false" applyFill="false" applyFont="true" applyNumberFormat="true" applyProtection="false" borderId="53" fillId="0" fontId="4" numFmtId="184" xfId="0">
      <alignment horizontal="center" vertical="center"/>
    </xf>
    <xf applyAlignment="true" applyBorder="false" applyFill="false" applyFont="true" applyNumberFormat="true" applyProtection="false" borderId="53" fillId="0" fontId="4" numFmtId="181" xfId="0">
      <alignment horizontal="center" vertical="center"/>
    </xf>
    <xf applyAlignment="true" applyBorder="false" applyFill="false" applyFont="true" applyNumberFormat="true" applyProtection="false" borderId="71" fillId="0" fontId="4" numFmtId="184" xfId="0">
      <alignment horizontal="center" vertical="center"/>
    </xf>
    <xf applyAlignment="true" applyBorder="false" applyFill="false" applyFont="true" applyNumberFormat="true" applyProtection="false" borderId="70" fillId="0" fontId="4" numFmtId="181" xfId="0">
      <alignment horizontal="center" vertical="center"/>
    </xf>
    <xf applyAlignment="true" applyBorder="false" applyFill="false" applyFont="true" applyNumberFormat="true" applyProtection="false" borderId="70" fillId="0" fontId="4" numFmtId="184" xfId="0">
      <alignment horizontal="center" vertical="center"/>
    </xf>
    <xf applyAlignment="true" applyBorder="false" applyFill="false" applyFont="true" applyNumberFormat="true" applyProtection="false" borderId="53" fillId="0" fontId="4" numFmtId="181" xfId="0">
      <alignment horizontal="center" vertical="bottom"/>
    </xf>
    <xf applyAlignment="true" applyBorder="false" applyFill="false" applyFont="true" applyNumberFormat="true" applyProtection="false" borderId="63" fillId="0" fontId="5" numFmtId="182" xfId="0">
      <alignment horizontal="center" vertical="center"/>
    </xf>
    <xf applyAlignment="true" applyBorder="false" applyFill="false" applyFont="true" applyNumberFormat="true" applyProtection="false" borderId="64" fillId="0" fontId="4" numFmtId="182" xfId="0">
      <alignment horizontal="center" vertical="bottom"/>
    </xf>
    <xf applyAlignment="true" applyBorder="false" applyFill="false" applyFont="true" applyNumberFormat="false" applyProtection="false" borderId="53" fillId="0" fontId="4" numFmtId="0" xfId="0">
      <alignment horizontal="center" vertical="bottom"/>
    </xf>
    <xf applyAlignment="true" applyBorder="false" applyFill="false" applyFont="true" applyNumberFormat="true" applyProtection="false" borderId="72" fillId="0" fontId="4" numFmtId="186" xfId="0">
      <alignment horizontal="center" vertical="center"/>
    </xf>
    <xf applyAlignment="true" applyBorder="false" applyFill="false" applyFont="true" applyNumberFormat="true" applyProtection="false" borderId="70" fillId="0" fontId="4" numFmtId="186" xfId="0">
      <alignment horizontal="center" vertical="center"/>
    </xf>
    <xf applyAlignment="true" applyBorder="false" applyFill="false" applyFont="true" applyNumberFormat="true" applyProtection="false" borderId="63" fillId="0" fontId="4" numFmtId="186" xfId="0">
      <alignment horizontal="center" vertical="center"/>
    </xf>
    <xf applyAlignment="true" applyBorder="false" applyFill="false" applyFont="true" applyNumberFormat="true" applyProtection="false" borderId="62" fillId="0" fontId="4" numFmtId="186" xfId="0">
      <alignment horizontal="center" vertical="center"/>
    </xf>
    <xf applyAlignment="true" applyBorder="false" applyFill="false" applyFont="true" applyNumberFormat="false" applyProtection="false" borderId="0" fillId="0" fontId="13" numFmtId="0" xfId="0">
      <alignment vertical="center"/>
    </xf>
    <xf applyAlignment="true" applyBorder="false" applyFill="false" applyFont="true" applyNumberFormat="true" applyProtection="false" borderId="70" fillId="0" fontId="4" numFmtId="186" xfId="0">
      <alignment horizontal="center" vertical="center"/>
    </xf>
    <xf applyAlignment="true" applyBorder="false" applyFill="false" applyFont="true" applyNumberFormat="true" applyProtection="false" borderId="59" fillId="0" fontId="4" numFmtId="186" xfId="0">
      <alignment horizontal="center" vertical="center"/>
    </xf>
    <xf applyAlignment="true" applyBorder="false" applyFill="false" applyFont="true" applyNumberFormat="true" applyProtection="false" borderId="73" fillId="0" fontId="4" numFmtId="181" xfId="0">
      <alignment horizontal="center" vertical="center"/>
    </xf>
    <xf applyAlignment="true" applyBorder="false" applyFill="false" applyFont="true" applyNumberFormat="true" applyProtection="false" borderId="74" fillId="0" fontId="5" numFmtId="182" xfId="0">
      <alignment horizontal="center" vertical="center"/>
    </xf>
    <xf applyAlignment="true" applyBorder="false" applyFill="false" applyFont="true" applyNumberFormat="true" applyProtection="false" borderId="75" fillId="0" fontId="4" numFmtId="182" xfId="0">
      <alignment horizontal="center" vertical="bottom"/>
    </xf>
    <xf applyAlignment="true" applyBorder="false" applyFill="false" applyFont="true" applyNumberFormat="true" applyProtection="false" borderId="61" fillId="0" fontId="4" numFmtId="186" xfId="0">
      <alignment horizontal="center" vertical="center"/>
    </xf>
    <xf applyAlignment="true" applyBorder="false" applyFill="false" applyFont="true" applyNumberFormat="true" applyProtection="false" borderId="62" fillId="0" fontId="4" numFmtId="186" xfId="0">
      <alignment horizontal="center" vertical="center"/>
    </xf>
    <xf applyAlignment="true" applyBorder="false" applyFill="false" applyFont="true" applyNumberFormat="true" applyProtection="false" borderId="74" fillId="0" fontId="4" numFmtId="186" xfId="0">
      <alignment horizontal="center" vertical="center"/>
    </xf>
    <xf applyAlignment="true" applyBorder="false" applyFill="false" applyFont="true" applyNumberFormat="true" applyProtection="false" borderId="54" fillId="0" fontId="4" numFmtId="186" xfId="0">
      <alignment horizontal="center" vertical="center"/>
    </xf>
    <xf applyAlignment="true" applyBorder="false" applyFill="false" applyFont="true" applyNumberFormat="true" applyProtection="false" borderId="59" fillId="0" fontId="4" numFmtId="184" xfId="0">
      <alignment horizontal="center" vertical="center"/>
    </xf>
    <xf applyAlignment="true" applyBorder="false" applyFill="false" applyFont="true" applyNumberFormat="true" applyProtection="false" borderId="76" fillId="0" fontId="4" numFmtId="181" xfId="0">
      <alignment horizontal="center" vertical="center"/>
    </xf>
    <xf applyAlignment="true" applyBorder="false" applyFill="false" applyFont="true" applyNumberFormat="true" applyProtection="false" borderId="59" fillId="0" fontId="4" numFmtId="181" xfId="0">
      <alignment horizontal="center" vertical="center"/>
    </xf>
    <xf applyAlignment="true" applyBorder="false" applyFill="false" applyFont="true" applyNumberFormat="true" applyProtection="false" borderId="54" fillId="0" fontId="4" numFmtId="182" xfId="0">
      <alignment horizontal="center" vertical="bottom"/>
    </xf>
    <xf applyAlignment="true" applyBorder="false" applyFill="false" applyFont="true" applyNumberFormat="false" applyProtection="false" borderId="77" fillId="0" fontId="4" numFmtId="0" xfId="0">
      <alignment horizontal="center" vertical="bottom"/>
    </xf>
    <xf applyAlignment="true" applyBorder="false" applyFill="false" applyFont="true" applyNumberFormat="true" applyProtection="false" borderId="78" fillId="0" fontId="4" numFmtId="186" xfId="0">
      <alignment horizontal="center" vertical="center"/>
    </xf>
    <xf applyAlignment="true" applyBorder="false" applyFill="false" applyFont="true" applyNumberFormat="true" applyProtection="false" borderId="79" fillId="0" fontId="4" numFmtId="186" xfId="0">
      <alignment horizontal="center" vertical="center"/>
    </xf>
    <xf applyAlignment="true" applyBorder="false" applyFill="false" applyFont="true" applyNumberFormat="true" applyProtection="false" borderId="61" fillId="0" fontId="4" numFmtId="186" xfId="0">
      <alignment horizontal="center" vertical="center"/>
    </xf>
    <xf applyAlignment="true" applyBorder="false" applyFill="false" applyFont="true" applyNumberFormat="true" applyProtection="false" borderId="80" fillId="0" fontId="4" numFmtId="186" xfId="0">
      <alignment horizontal="center" vertical="center"/>
    </xf>
    <xf applyAlignment="true" applyBorder="false" applyFill="false" applyFont="true" applyNumberFormat="false" applyProtection="false" borderId="81" fillId="0" fontId="4" numFmtId="0" xfId="0">
      <alignment horizontal="center" vertical="bottom"/>
    </xf>
    <xf applyAlignment="true" applyBorder="false" applyFill="true" applyFont="true" applyNumberFormat="true" applyProtection="false" borderId="82" fillId="31" fontId="1" numFmtId="186" xfId="0">
      <alignment horizontal="center" vertical="center"/>
    </xf>
    <xf applyAlignment="true" applyBorder="false" applyFill="true" applyFont="true" applyNumberFormat="true" applyProtection="false" borderId="83" fillId="31" fontId="1" numFmtId="186" xfId="0">
      <alignment horizontal="center" vertical="center"/>
    </xf>
    <xf applyAlignment="true" applyBorder="false" applyFill="true" applyFont="true" applyNumberFormat="true" applyProtection="false" borderId="84" fillId="31" fontId="5" numFmtId="187" xfId="0">
      <alignment horizontal="center" vertical="center"/>
    </xf>
    <xf applyAlignment="true" applyBorder="false" applyFill="true" applyFont="true" applyNumberFormat="true" applyProtection="false" borderId="85" fillId="31" fontId="5" numFmtId="187" xfId="0">
      <alignment horizontal="center" vertical="center"/>
    </xf>
    <xf applyAlignment="true" applyBorder="false" applyFill="true" applyFont="true" applyNumberFormat="true" applyProtection="false" borderId="66" fillId="31" fontId="7" numFmtId="182" xfId="0">
      <alignment horizontal="center" vertical="center"/>
    </xf>
    <xf applyAlignment="true" applyBorder="false" applyFill="true" applyFont="true" applyNumberFormat="true" applyProtection="false" borderId="66" fillId="31" fontId="1" numFmtId="184" xfId="0">
      <alignment horizontal="center" vertical="center"/>
    </xf>
    <xf applyAlignment="true" applyBorder="false" applyFill="true" applyFont="true" applyNumberFormat="true" applyProtection="false" borderId="67" fillId="31" fontId="1" numFmtId="181" xfId="0">
      <alignment horizontal="center" vertical="center"/>
    </xf>
    <xf applyAlignment="true" applyBorder="false" applyFill="true" applyFont="true" applyNumberFormat="true" applyProtection="false" borderId="67" fillId="31" fontId="1" numFmtId="184" xfId="0">
      <alignment horizontal="center" vertical="center"/>
    </xf>
    <xf applyAlignment="true" applyBorder="false" applyFill="true" applyFont="true" applyNumberFormat="true" applyProtection="false" borderId="80" fillId="31" fontId="1" numFmtId="181" xfId="0">
      <alignment horizontal="center" vertical="center"/>
    </xf>
    <xf applyAlignment="true" applyBorder="false" applyFill="true" applyFont="true" applyNumberFormat="true" applyProtection="false" borderId="67" fillId="31" fontId="5" numFmtId="182" xfId="0">
      <alignment horizontal="center" vertical="center"/>
    </xf>
    <xf applyAlignment="true" applyBorder="false" applyFill="true" applyFont="true" applyNumberFormat="true" applyProtection="false" borderId="86" fillId="31" fontId="5" numFmtId="182" xfId="0">
      <alignment horizontal="center" vertical="center"/>
    </xf>
    <xf applyAlignment="true" applyBorder="false" applyFill="false" applyFont="true" applyNumberFormat="true" applyProtection="false" borderId="63" fillId="0" fontId="6" numFmtId="188" xfId="0">
      <alignment horizontal="center" vertical="center"/>
    </xf>
    <xf applyAlignment="true" applyBorder="false" applyFill="false" applyFont="true" applyNumberFormat="true" applyProtection="false" borderId="66" fillId="0" fontId="4" numFmtId="184" xfId="0">
      <alignment horizontal="center" vertical="center"/>
    </xf>
    <xf applyAlignment="true" applyBorder="false" applyFill="false" applyFont="true" applyNumberFormat="true" applyProtection="false" borderId="67" fillId="0" fontId="4" numFmtId="181" xfId="0">
      <alignment horizontal="center" vertical="center"/>
    </xf>
    <xf applyAlignment="true" applyBorder="false" applyFill="false" applyFont="true" applyNumberFormat="true" applyProtection="false" borderId="67" fillId="0" fontId="4" numFmtId="184" xfId="0">
      <alignment horizontal="center" vertical="center"/>
    </xf>
    <xf applyAlignment="true" applyBorder="false" applyFill="false" applyFont="true" applyNumberFormat="true" applyProtection="false" borderId="80" fillId="0" fontId="4" numFmtId="181" xfId="0">
      <alignment horizontal="center" vertical="center"/>
    </xf>
    <xf applyAlignment="true" applyBorder="false" applyFill="false" applyFont="true" applyNumberFormat="true" applyProtection="false" borderId="67" fillId="0" fontId="5" numFmtId="182" xfId="0">
      <alignment horizontal="center" vertical="center"/>
    </xf>
    <xf applyAlignment="true" applyBorder="false" applyFill="false" applyFont="true" applyNumberFormat="true" applyProtection="false" borderId="67" fillId="0" fontId="4" numFmtId="182" xfId="0">
      <alignment horizontal="center" vertical="bottom"/>
    </xf>
    <xf applyAlignment="true" applyBorder="false" applyFill="false" applyFont="true" applyNumberFormat="true" applyProtection="false" borderId="67" fillId="0" fontId="4" numFmtId="186" xfId="0">
      <alignment horizontal="center" vertical="center"/>
    </xf>
    <xf applyAlignment="true" applyBorder="false" applyFill="false" applyFont="true" applyNumberFormat="false" applyProtection="false" borderId="53" fillId="0" fontId="13" numFmtId="0" xfId="0">
      <alignment horizontal="center" vertical="center"/>
    </xf>
    <xf applyAlignment="true" applyBorder="false" applyFill="false" applyFont="true" applyNumberFormat="false" applyProtection="false" borderId="71" fillId="0" fontId="13" numFmtId="0" xfId="0">
      <alignment horizontal="center" vertical="center"/>
    </xf>
    <xf applyAlignment="true" applyBorder="false" applyFill="true" applyFont="true" applyNumberFormat="true" applyProtection="false" borderId="66" fillId="32" fontId="6" numFmtId="182" xfId="0">
      <alignment horizontal="center" vertical="center"/>
    </xf>
    <xf applyAlignment="true" applyBorder="false" applyFill="false" applyFont="true" applyNumberFormat="true" applyProtection="false" borderId="80" fillId="0" fontId="4" numFmtId="186" xfId="0">
      <alignment horizontal="center" vertical="center"/>
    </xf>
    <xf applyAlignment="true" applyBorder="false" applyFill="true" applyFont="true" applyNumberFormat="true" applyProtection="false" borderId="66" fillId="31" fontId="6" numFmtId="182" xfId="0">
      <alignment horizontal="center" vertical="center"/>
    </xf>
    <xf applyAlignment="true" applyBorder="false" applyFill="true" applyFont="true" applyNumberFormat="true" applyProtection="false" borderId="87" fillId="31" fontId="1" numFmtId="186" xfId="0">
      <alignment horizontal="center" vertical="center"/>
    </xf>
    <xf applyAlignment="true" applyBorder="false" applyFill="true" applyFont="true" applyNumberFormat="false" applyProtection="false" borderId="0" fillId="33" fontId="13" numFmtId="0" xfId="0">
      <alignment vertical="center"/>
    </xf>
    <xf applyAlignment="true" applyBorder="false" applyFill="true" applyFont="true" applyNumberFormat="true" applyProtection="false" borderId="62" fillId="34" fontId="5" numFmtId="186" xfId="0">
      <alignment horizontal="center" vertical="center"/>
    </xf>
    <xf applyAlignment="true" applyBorder="false" applyFill="true" applyFont="true" applyNumberFormat="true" applyProtection="false" borderId="64" fillId="34" fontId="5" numFmtId="186" xfId="0">
      <alignment horizontal="center" vertical="center"/>
    </xf>
    <xf applyAlignment="true" applyBorder="false" applyFill="true" applyFont="true" applyNumberFormat="true" applyProtection="false" borderId="88" fillId="34" fontId="5" numFmtId="187" xfId="0">
      <alignment horizontal="center" vertical="center"/>
    </xf>
    <xf applyAlignment="true" applyBorder="false" applyFill="true" applyFont="true" applyNumberFormat="true" applyProtection="false" borderId="81" fillId="34" fontId="5" numFmtId="187" xfId="0">
      <alignment horizontal="center" vertical="center"/>
    </xf>
    <xf applyAlignment="true" applyBorder="false" applyFill="true" applyFont="true" applyNumberFormat="true" applyProtection="false" borderId="89" fillId="34" fontId="5" numFmtId="182" xfId="0">
      <alignment horizontal="center" vertical="center"/>
    </xf>
    <xf applyAlignment="true" applyBorder="false" applyFill="true" applyFont="true" applyNumberFormat="true" applyProtection="false" borderId="74" fillId="34" fontId="5" numFmtId="184" xfId="0">
      <alignment horizontal="center" vertical="center"/>
    </xf>
    <xf applyAlignment="true" applyBorder="false" applyFill="true" applyFont="true" applyNumberFormat="true" applyProtection="false" borderId="67" fillId="34" fontId="5" numFmtId="187" xfId="0">
      <alignment horizontal="center" vertical="center"/>
    </xf>
    <xf applyAlignment="true" applyBorder="false" applyFill="true" applyFont="true" applyNumberFormat="true" applyProtection="false" borderId="67" fillId="34" fontId="5" numFmtId="184" xfId="0">
      <alignment horizontal="center" vertical="center"/>
    </xf>
    <xf applyAlignment="true" applyBorder="false" applyFill="true" applyFont="true" applyNumberFormat="true" applyProtection="false" borderId="75" fillId="34" fontId="5" numFmtId="182" xfId="0">
      <alignment horizontal="center" vertical="center"/>
    </xf>
    <xf applyAlignment="true" applyBorder="false" applyFill="false" applyFont="true" applyNumberFormat="true" applyProtection="false" borderId="71" fillId="0" fontId="4" numFmtId="186" xfId="0">
      <alignment horizontal="center" vertical="center"/>
    </xf>
    <xf applyAlignment="true" applyBorder="false" applyFill="false" applyFont="true" applyNumberFormat="true" applyProtection="false" borderId="76" fillId="0" fontId="4" numFmtId="186" xfId="0">
      <alignment horizontal="center" vertical="center"/>
    </xf>
    <xf applyAlignment="true" applyBorder="false" applyFill="false" applyFont="true" applyNumberFormat="true" applyProtection="false" borderId="67" fillId="0" fontId="4" numFmtId="186" xfId="0">
      <alignment horizontal="center" vertical="center"/>
    </xf>
    <xf applyAlignment="true" applyBorder="false" applyFill="true" applyFont="true" applyNumberFormat="false" applyProtection="false" borderId="57" fillId="26" fontId="1" numFmtId="0" xfId="0">
      <alignment horizontal="center" vertical="center"/>
    </xf>
    <xf applyAlignment="true" applyBorder="false" applyFill="true" applyFont="true" applyNumberFormat="true" applyProtection="false" borderId="90" fillId="30" fontId="5" numFmtId="187" xfId="0">
      <alignment horizontal="center" vertical="center"/>
    </xf>
    <xf applyAlignment="true" applyBorder="false" applyFill="true" applyFont="true" applyNumberFormat="true" applyProtection="false" borderId="91" fillId="30" fontId="5" numFmtId="187" xfId="0">
      <alignment horizontal="center" vertical="center"/>
    </xf>
    <xf applyAlignment="true" applyBorder="false" applyFill="true" applyFont="true" applyNumberFormat="true" applyProtection="false" borderId="62" fillId="28" fontId="4" numFmtId="186" xfId="0">
      <alignment horizontal="center" vertical="center"/>
    </xf>
    <xf applyAlignment="true" applyBorder="false" applyFill="true" applyFont="true" applyNumberFormat="false" applyProtection="false" borderId="62" fillId="25" fontId="1" numFmtId="0" xfId="0">
      <alignment horizontal="center" vertical="center"/>
    </xf>
    <xf applyAlignment="true" applyBorder="false" applyFill="true" applyFont="true" applyNumberFormat="true" applyProtection="false" borderId="62" fillId="26" fontId="1" numFmtId="181" xfId="0">
      <alignment horizontal="center" vertical="center"/>
    </xf>
    <xf applyAlignment="true" applyBorder="false" applyFill="true" applyFont="true" applyNumberFormat="true" applyProtection="false" borderId="62" fillId="27" fontId="1" numFmtId="181" xfId="0">
      <alignment horizontal="center" vertical="center"/>
    </xf>
    <xf applyAlignment="true" applyBorder="false" applyFill="true" applyFont="true" applyNumberFormat="true" applyProtection="false" borderId="62" fillId="26" fontId="2" numFmtId="182" xfId="0">
      <alignment horizontal="center" vertical="center"/>
    </xf>
    <xf applyAlignment="true" applyBorder="false" applyFill="true" applyFont="true" applyNumberFormat="false" applyProtection="false" borderId="0" fillId="32" fontId="4" numFmtId="0" xfId="0">
      <alignment vertical="center"/>
    </xf>
    <xf applyAlignment="true" applyBorder="false" applyFill="true" applyFont="true" applyNumberFormat="false" applyProtection="false" borderId="92" fillId="26" fontId="1" numFmtId="0" xfId="0">
      <alignment horizontal="center" vertical="center"/>
    </xf>
    <xf applyAlignment="true" applyBorder="false" applyFill="true" applyFont="true" applyNumberFormat="true" applyProtection="false" borderId="92" fillId="26" fontId="1" numFmtId="183" xfId="0">
      <alignment horizontal="center" vertical="center"/>
    </xf>
    <xf applyAlignment="true" applyBorder="false" applyFill="true" applyFont="true" applyNumberFormat="true" applyProtection="false" borderId="58" fillId="26" fontId="1" numFmtId="183" xfId="0">
      <alignment horizontal="center" vertical="center"/>
    </xf>
    <xf applyAlignment="true" applyBorder="false" applyFill="true" applyFont="true" applyNumberFormat="true" applyProtection="false" borderId="61" fillId="26" fontId="1" numFmtId="181" xfId="0">
      <alignment horizontal="center" vertical="center"/>
    </xf>
    <xf applyAlignment="true" applyBorder="false" applyFill="true" applyFont="true" applyNumberFormat="true" applyProtection="false" borderId="0" fillId="26" fontId="1" numFmtId="181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62" fillId="0" fontId="4" numFmtId="0" xfId="0">
      <alignment horizontal="center" vertical="center"/>
    </xf>
    <xf applyAlignment="true" applyBorder="false" applyFill="false" applyFont="true" applyNumberFormat="true" applyProtection="false" borderId="64" fillId="0" fontId="4" numFmtId="186" xfId="0">
      <alignment horizontal="center" vertical="center"/>
    </xf>
    <xf applyAlignment="true" applyBorder="false" applyFill="false" applyFont="true" applyNumberFormat="true" applyProtection="false" borderId="66" fillId="0" fontId="4" numFmtId="186" xfId="0">
      <alignment horizontal="center" vertical="center"/>
    </xf>
    <xf applyAlignment="true" applyBorder="false" applyFill="true" applyFont="true" applyNumberFormat="true" applyProtection="false" borderId="93" fillId="30" fontId="5" numFmtId="187" xfId="0">
      <alignment horizontal="center" vertical="center"/>
    </xf>
    <xf applyAlignment="true" applyBorder="false" applyFill="true" applyFont="true" applyNumberFormat="true" applyProtection="false" borderId="94" fillId="30" fontId="5" numFmtId="187" xfId="0">
      <alignment horizontal="center" vertical="center"/>
    </xf>
    <xf applyAlignment="true" applyBorder="false" applyFill="false" applyFont="true" applyNumberFormat="true" applyProtection="false" borderId="62" fillId="0" fontId="4" numFmtId="184" xfId="0">
      <alignment horizontal="center" vertical="center"/>
    </xf>
    <xf applyAlignment="true" applyBorder="false" applyFill="false" applyFont="true" applyNumberFormat="true" applyProtection="false" borderId="62" fillId="0" fontId="4" numFmtId="181" xfId="0">
      <alignment horizontal="center" vertical="center"/>
    </xf>
    <xf applyAlignment="true" applyBorder="false" applyFill="false" applyFont="true" applyNumberFormat="true" applyProtection="false" borderId="64" fillId="0" fontId="4" numFmtId="184" xfId="0">
      <alignment horizontal="center" vertical="center"/>
    </xf>
    <xf applyAlignment="true" applyBorder="false" applyFill="false" applyFont="true" applyNumberFormat="true" applyProtection="false" borderId="63" fillId="0" fontId="4" numFmtId="181" xfId="0">
      <alignment horizontal="center" vertical="center"/>
    </xf>
    <xf applyAlignment="true" applyBorder="false" applyFill="false" applyFont="true" applyNumberFormat="true" applyProtection="false" borderId="63" fillId="0" fontId="4" numFmtId="184" xfId="0">
      <alignment horizontal="center" vertical="center"/>
    </xf>
    <xf applyAlignment="true" applyBorder="false" applyFill="false" applyFont="true" applyNumberFormat="true" applyProtection="false" borderId="62" fillId="0" fontId="4" numFmtId="181" xfId="0">
      <alignment horizontal="center" vertical="bottom"/>
    </xf>
    <xf applyAlignment="true" applyBorder="false" applyFill="false" applyFont="true" applyNumberFormat="true" applyProtection="false" borderId="62" fillId="0" fontId="4" numFmtId="186" xfId="0">
      <alignment horizontal="center" vertical="bottom"/>
    </xf>
    <xf applyAlignment="true" applyBorder="false" applyFill="false" applyFont="true" applyNumberFormat="true" applyProtection="false" borderId="78" fillId="0" fontId="4" numFmtId="186" xfId="0">
      <alignment horizontal="center" vertical="center"/>
    </xf>
    <xf applyAlignment="true" applyBorder="false" applyFill="true" applyFont="true" applyNumberFormat="true" applyProtection="false" borderId="95" fillId="30" fontId="5" numFmtId="187" xfId="0">
      <alignment horizontal="center" vertical="center"/>
    </xf>
    <xf applyAlignment="true" applyBorder="false" applyFill="true" applyFont="true" applyNumberFormat="true" applyProtection="false" borderId="96" fillId="30" fontId="5" numFmtId="187" xfId="0">
      <alignment horizontal="center" vertical="center"/>
    </xf>
    <xf applyAlignment="true" applyBorder="false" applyFill="false" applyFont="true" applyNumberFormat="true" applyProtection="false" borderId="83" fillId="0" fontId="4" numFmtId="181" xfId="0">
      <alignment horizontal="center" vertical="center"/>
    </xf>
    <xf applyAlignment="true" applyBorder="false" applyFill="false" applyFont="true" applyNumberFormat="true" applyProtection="false" borderId="74" fillId="0" fontId="4" numFmtId="186" xfId="0">
      <alignment horizontal="center" vertical="center"/>
    </xf>
    <xf applyAlignment="true" applyBorder="false" applyFill="false" applyFont="true" applyNumberFormat="true" applyProtection="false" borderId="54" fillId="0" fontId="4" numFmtId="186" xfId="0">
      <alignment horizontal="center" vertical="center"/>
    </xf>
    <xf applyAlignment="true" applyBorder="false" applyFill="false" applyFont="true" applyNumberFormat="true" applyProtection="false" borderId="61" fillId="0" fontId="4" numFmtId="184" xfId="0">
      <alignment horizontal="center" vertical="center"/>
    </xf>
    <xf applyAlignment="true" applyBorder="false" applyFill="false" applyFont="true" applyNumberFormat="true" applyProtection="false" borderId="78" fillId="0" fontId="4" numFmtId="181" xfId="0">
      <alignment horizontal="center" vertical="center"/>
    </xf>
    <xf applyAlignment="true" applyBorder="false" applyFill="false" applyFont="true" applyNumberFormat="true" applyProtection="false" borderId="61" fillId="0" fontId="4" numFmtId="181" xfId="0">
      <alignment horizontal="center" vertical="center"/>
    </xf>
    <xf applyAlignment="true" applyBorder="false" applyFill="true" applyFont="true" applyNumberFormat="true" applyProtection="false" borderId="97" fillId="31" fontId="5" numFmtId="187" xfId="0">
      <alignment horizontal="center" vertical="center"/>
    </xf>
    <xf applyAlignment="true" applyBorder="false" applyFill="true" applyFont="true" applyNumberFormat="true" applyProtection="false" borderId="98" fillId="31" fontId="5" numFmtId="187" xfId="0">
      <alignment horizontal="center" vertical="center"/>
    </xf>
    <xf applyAlignment="true" applyBorder="false" applyFill="true" applyFont="true" applyNumberFormat="true" applyProtection="false" borderId="67" fillId="31" fontId="1" numFmtId="181" xfId="0">
      <alignment horizontal="center" vertical="bottom"/>
    </xf>
    <xf applyAlignment="true" applyBorder="false" applyFill="true" applyFont="true" applyNumberFormat="true" applyProtection="false" borderId="99" fillId="31" fontId="5" numFmtId="182" xfId="0">
      <alignment horizontal="center" vertical="center"/>
    </xf>
    <xf applyAlignment="true" applyBorder="false" applyFill="false" applyFont="true" applyNumberFormat="true" applyProtection="false" borderId="100" fillId="0" fontId="4" numFmtId="181" xfId="0">
      <alignment horizontal="center" vertical="bottom"/>
    </xf>
    <xf applyAlignment="true" applyBorder="false" applyFill="true" applyFont="true" applyNumberFormat="false" applyProtection="false" borderId="0" fillId="35" fontId="4" numFmtId="0" xfId="0">
      <alignment vertical="center"/>
    </xf>
    <xf applyAlignment="true" applyBorder="false" applyFill="true" applyFont="true" applyNumberFormat="true" applyProtection="false" borderId="62" fillId="34" fontId="5" numFmtId="187" xfId="0">
      <alignment horizontal="center" vertical="center"/>
    </xf>
    <xf applyAlignment="true" applyBorder="false" applyFill="true" applyFont="true" applyNumberFormat="true" applyProtection="false" borderId="54" fillId="34" fontId="5" numFmtId="181" xfId="0">
      <alignment horizontal="center" vertical="center"/>
    </xf>
    <xf applyAlignment="true" applyBorder="false" applyFill="true" applyFont="true" applyNumberFormat="true" applyProtection="false" borderId="0" fillId="26" fontId="1" numFmtId="183" xfId="0">
      <alignment horizontal="center" vertical="center"/>
    </xf>
    <xf applyAlignment="true" applyBorder="false" applyFill="true" applyFont="true" applyNumberFormat="true" applyProtection="false" borderId="53" fillId="26" fontId="1" numFmtId="181" xfId="0">
      <alignment horizontal="center" vertical="center"/>
    </xf>
    <xf applyAlignment="true" applyBorder="false" applyFill="true" applyFont="true" applyNumberFormat="true" applyProtection="false" borderId="78" fillId="26" fontId="1" numFmtId="181" xfId="0">
      <alignment horizontal="center" vertical="center"/>
    </xf>
    <xf applyAlignment="true" applyBorder="false" applyFill="false" applyFont="true" applyNumberFormat="true" applyProtection="false" borderId="62" fillId="0" fontId="4" numFmtId="186" xfId="0">
      <alignment horizontal="center" vertical="bottom"/>
    </xf>
    <xf applyAlignment="true" applyBorder="false" applyFill="true" applyFont="true" applyNumberFormat="false" applyProtection="false" borderId="0" fillId="32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83" fillId="0" fontId="4" numFmtId="0" xfId="0">
      <alignment horizontal="center" vertical="center"/>
    </xf>
    <xf applyAlignment="true" applyBorder="false" applyFill="true" applyFont="true" applyNumberFormat="true" applyProtection="false" borderId="83" fillId="34" fontId="5" numFmtId="186" xfId="0">
      <alignment horizontal="center" vertical="center"/>
    </xf>
    <xf applyAlignment="true" applyBorder="false" applyFill="true" applyFont="true" applyNumberFormat="true" applyProtection="false" borderId="87" fillId="34" fontId="5" numFmtId="186" xfId="0">
      <alignment horizontal="center" vertical="center"/>
    </xf>
    <xf applyAlignment="true" applyBorder="false" applyFill="true" applyFont="true" applyNumberFormat="true" applyProtection="false" borderId="83" fillId="34" fontId="5" numFmtId="187" xfId="0">
      <alignment horizontal="center" vertical="center"/>
    </xf>
    <xf applyAlignment="true" applyBorder="false" applyFill="true" applyFont="true" applyNumberFormat="true" applyProtection="false" borderId="0" fillId="34" fontId="5" numFmtId="182" xfId="0">
      <alignment horizontal="center" vertical="center"/>
    </xf>
    <xf applyAlignment="true" applyBorder="false" applyFill="true" applyFont="true" applyNumberFormat="true" applyProtection="false" borderId="58" fillId="34" fontId="5" numFmtId="184" xfId="0">
      <alignment horizontal="center" vertical="center"/>
    </xf>
    <xf applyAlignment="true" applyBorder="false" applyFill="true" applyFont="true" applyNumberFormat="true" applyProtection="false" borderId="100" fillId="34" fontId="5" numFmtId="187" xfId="0">
      <alignment horizontal="center" vertical="center"/>
    </xf>
    <xf applyAlignment="true" applyBorder="false" applyFill="true" applyFont="true" applyNumberFormat="true" applyProtection="false" borderId="100" fillId="34" fontId="5" numFmtId="184" xfId="0">
      <alignment horizontal="center" vertical="center"/>
    </xf>
    <xf applyAlignment="true" applyBorder="false" applyFill="true" applyFont="true" applyNumberFormat="true" applyProtection="false" borderId="55" fillId="34" fontId="5" numFmtId="181" xfId="0">
      <alignment horizontal="center" vertical="center"/>
    </xf>
    <xf applyAlignment="true" applyBorder="false" applyFill="true" applyFont="true" applyNumberFormat="true" applyProtection="false" borderId="56" fillId="34" fontId="5" numFmtId="182" xfId="0">
      <alignment horizontal="center" vertical="center"/>
    </xf>
    <xf applyAlignment="true" applyBorder="false" applyFill="true" applyFont="true" applyNumberFormat="true" applyProtection="false" borderId="70" fillId="26" fontId="1" numFmtId="181" xfId="0">
      <alignment horizontal="center" vertical="center"/>
    </xf>
    <xf applyAlignment="true" applyBorder="false" applyFill="true" applyFont="true" applyNumberFormat="true" applyProtection="false" borderId="53" fillId="27" fontId="1" numFmtId="181" xfId="0">
      <alignment horizontal="center" vertical="center"/>
    </xf>
    <xf applyAlignment="true" applyBorder="false" applyFill="true" applyFont="true" applyNumberFormat="true" applyProtection="false" borderId="63" fillId="26" fontId="2" numFmtId="182" xfId="0">
      <alignment horizontal="center" vertical="center"/>
    </xf>
    <xf applyAlignment="true" applyBorder="false" applyFill="true" applyFont="true" applyNumberFormat="false" applyProtection="false" borderId="59" fillId="25" fontId="1" numFmtId="0" xfId="0">
      <alignment horizontal="center" vertical="center"/>
    </xf>
    <xf applyAlignment="true" applyBorder="false" applyFill="true" applyFont="true" applyNumberFormat="false" applyProtection="false" borderId="101" fillId="25" fontId="1" numFmtId="0" xfId="0">
      <alignment horizontal="center" vertical="center"/>
    </xf>
    <xf applyAlignment="true" applyBorder="false" applyFill="true" applyFont="true" applyNumberFormat="true" applyProtection="false" borderId="73" fillId="26" fontId="1" numFmtId="181" xfId="0">
      <alignment horizontal="center" vertical="center"/>
    </xf>
    <xf applyAlignment="true" applyBorder="false" applyFill="true" applyFont="true" applyNumberFormat="false" applyProtection="false" borderId="73" fillId="26" fontId="1" numFmtId="0" xfId="0">
      <alignment horizontal="center" vertical="center"/>
    </xf>
    <xf applyAlignment="true" applyBorder="false" applyFill="true" applyFont="true" applyNumberFormat="false" applyProtection="false" borderId="53" fillId="26" fontId="1" numFmtId="0" xfId="0">
      <alignment horizontal="center" vertical="center"/>
    </xf>
    <xf applyAlignment="true" applyBorder="false" applyFill="true" applyFont="true" applyNumberFormat="true" applyProtection="false" borderId="53" fillId="26" fontId="1" numFmtId="183" xfId="0">
      <alignment horizontal="center" vertical="center"/>
    </xf>
    <xf applyAlignment="true" applyBorder="false" applyFill="true" applyFont="true" applyNumberFormat="true" applyProtection="false" borderId="53" fillId="27" fontId="1" numFmtId="184" xfId="0">
      <alignment horizontal="center" vertical="center"/>
    </xf>
    <xf applyAlignment="true" applyBorder="false" applyFill="false" applyFont="true" applyNumberFormat="true" applyProtection="false" borderId="53" fillId="0" fontId="4" numFmtId="182" xfId="0">
      <alignment horizontal="center" vertical="center"/>
    </xf>
    <xf applyAlignment="true" applyBorder="false" applyFill="true" applyFont="true" applyNumberFormat="true" applyProtection="false" borderId="102" fillId="29" fontId="4" numFmtId="185" xfId="0">
      <alignment horizontal="center" vertical="center"/>
    </xf>
    <xf applyAlignment="true" applyBorder="false" applyFill="false" applyFont="true" applyNumberFormat="false" applyProtection="false" borderId="71" fillId="0" fontId="4" numFmtId="0" xfId="0">
      <alignment horizontal="center" vertical="center"/>
    </xf>
    <xf applyAlignment="true" applyBorder="false" applyFill="true" applyFont="true" applyNumberFormat="true" applyProtection="false" borderId="53" fillId="30" fontId="5" numFmtId="187" xfId="0">
      <alignment horizontal="center" vertical="center"/>
    </xf>
    <xf applyAlignment="true" applyBorder="false" applyFill="false" applyFont="true" applyNumberFormat="true" applyProtection="false" borderId="53" fillId="0" fontId="6" numFmtId="188" xfId="0">
      <alignment horizontal="center" vertical="center"/>
    </xf>
    <xf applyAlignment="true" applyBorder="false" applyFill="false" applyFont="true" applyNumberFormat="true" applyProtection="false" borderId="53" fillId="0" fontId="5" numFmtId="182" xfId="0">
      <alignment horizontal="center" vertical="center"/>
    </xf>
    <xf applyAlignment="true" applyBorder="false" applyFill="false" applyFont="true" applyNumberFormat="true" applyProtection="false" borderId="53" fillId="0" fontId="4" numFmtId="182" xfId="0">
      <alignment horizontal="center" vertical="bottom"/>
    </xf>
    <xf applyAlignment="true" applyBorder="false" applyFill="false" applyFont="true" applyNumberFormat="true" applyProtection="false" borderId="53" fillId="0" fontId="4" numFmtId="186" xfId="0">
      <alignment horizontal="center" vertical="bottom"/>
    </xf>
    <xf applyAlignment="true" applyBorder="false" applyFill="false" applyFont="true" applyNumberFormat="false" applyProtection="false" borderId="71" fillId="0" fontId="4" numFmtId="0" xfId="0">
      <alignment horizontal="center" vertical="center"/>
    </xf>
    <xf applyAlignment="true" applyBorder="false" applyFill="true" applyFont="true" applyNumberFormat="true" applyProtection="false" borderId="53" fillId="31" fontId="1" numFmtId="186" xfId="0">
      <alignment horizontal="center" vertical="center"/>
    </xf>
    <xf applyAlignment="true" applyBorder="false" applyFill="true" applyFont="true" applyNumberFormat="true" applyProtection="false" borderId="70" fillId="31" fontId="1" numFmtId="186" xfId="0">
      <alignment horizontal="center" vertical="center"/>
    </xf>
    <xf applyAlignment="true" applyBorder="false" applyFill="true" applyFont="true" applyNumberFormat="true" applyProtection="false" borderId="53" fillId="31" fontId="5" numFmtId="187" xfId="0">
      <alignment horizontal="center" vertical="center"/>
    </xf>
    <xf applyAlignment="true" applyBorder="false" applyFill="true" applyFont="true" applyNumberFormat="true" applyProtection="false" borderId="53" fillId="31" fontId="7" numFmtId="182" xfId="0">
      <alignment horizontal="center" vertical="center"/>
    </xf>
    <xf applyAlignment="true" applyBorder="false" applyFill="true" applyFont="true" applyNumberFormat="true" applyProtection="false" borderId="53" fillId="31" fontId="1" numFmtId="184" xfId="0">
      <alignment horizontal="center" vertical="center"/>
    </xf>
    <xf applyAlignment="true" applyBorder="false" applyFill="true" applyFont="true" applyNumberFormat="true" applyProtection="false" borderId="53" fillId="31" fontId="1" numFmtId="181" xfId="0">
      <alignment horizontal="center" vertical="center"/>
    </xf>
    <xf applyAlignment="true" applyBorder="false" applyFill="true" applyFont="true" applyNumberFormat="true" applyProtection="false" borderId="53" fillId="31" fontId="1" numFmtId="181" xfId="0">
      <alignment horizontal="center" vertical="bottom"/>
    </xf>
    <xf applyAlignment="true" applyBorder="false" applyFill="true" applyFont="true" applyNumberFormat="true" applyProtection="false" borderId="53" fillId="31" fontId="5" numFmtId="182" xfId="0">
      <alignment horizontal="center" vertical="center"/>
    </xf>
    <xf applyAlignment="true" applyBorder="false" applyFill="false" applyFont="true" applyNumberFormat="false" applyProtection="false" borderId="53" fillId="0" fontId="4" numFmtId="0" xfId="0">
      <alignment horizontal="center" vertical="center"/>
    </xf>
    <xf applyAlignment="true" applyBorder="false" applyFill="false" applyFont="true" applyNumberFormat="true" applyProtection="false" borderId="59" fillId="0" fontId="4" numFmtId="186" xfId="0">
      <alignment horizontal="center" vertical="center"/>
    </xf>
    <xf applyAlignment="true" applyBorder="false" applyFill="true" applyFont="true" applyNumberFormat="true" applyProtection="false" borderId="53" fillId="31" fontId="6" numFmtId="182" xfId="0">
      <alignment horizontal="center" vertical="center"/>
    </xf>
    <xf applyAlignment="true" applyBorder="false" applyFill="false" applyFont="true" applyNumberFormat="false" applyProtection="false" borderId="53" fillId="0" fontId="4" numFmtId="0" xfId="0">
      <alignment horizontal="center" vertical="center"/>
    </xf>
    <xf applyAlignment="true" applyBorder="false" applyFill="true" applyFont="true" applyNumberFormat="true" applyProtection="false" borderId="53" fillId="32" fontId="6" numFmtId="182" xfId="0">
      <alignment horizontal="center" vertical="center"/>
    </xf>
    <xf applyAlignment="true" applyBorder="false" applyFill="false" applyFont="true" applyNumberFormat="true" applyProtection="false" borderId="53" fillId="0" fontId="4" numFmtId="186" xfId="0">
      <alignment horizontal="center" vertical="bottom"/>
    </xf>
    <xf applyAlignment="true" applyBorder="false" applyFill="true" applyFont="true" applyNumberFormat="false" applyProtection="false" borderId="0" fillId="35" fontId="4" numFmtId="0" xfId="0">
      <alignment vertical="center"/>
    </xf>
    <xf applyAlignment="true" applyBorder="false" applyFill="true" applyFont="true" applyNumberFormat="true" applyProtection="false" borderId="53" fillId="34" fontId="5" numFmtId="186" xfId="0">
      <alignment horizontal="center" vertical="center"/>
    </xf>
    <xf applyAlignment="true" applyBorder="false" applyFill="true" applyFont="true" applyNumberFormat="true" applyProtection="false" borderId="53" fillId="34" fontId="5" numFmtId="187" xfId="0">
      <alignment horizontal="center" vertical="center"/>
    </xf>
    <xf applyAlignment="true" applyBorder="false" applyFill="true" applyFont="true" applyNumberFormat="true" applyProtection="false" borderId="53" fillId="34" fontId="5" numFmtId="182" xfId="0">
      <alignment horizontal="center" vertical="center"/>
    </xf>
    <xf applyAlignment="true" applyBorder="false" applyFill="true" applyFont="true" applyNumberFormat="true" applyProtection="false" borderId="53" fillId="34" fontId="5" numFmtId="184" xfId="0">
      <alignment horizontal="center" vertical="center"/>
    </xf>
    <xf applyAlignment="true" applyBorder="false" applyFill="true" applyFont="true" applyNumberFormat="true" applyProtection="false" borderId="53" fillId="34" fontId="5" numFmtId="181" xfId="0">
      <alignment horizontal="center" vertical="center"/>
    </xf>
    <xf applyAlignment="true" applyBorder="false" applyFill="true" applyFont="true" applyNumberFormat="true" applyProtection="false" borderId="63" fillId="34" fontId="5" numFmtId="186" xfId="0">
      <alignment horizontal="center" vertical="center"/>
    </xf>
    <xf applyAlignment="true" applyBorder="false" applyFill="false" applyFont="true" applyNumberFormat="true" applyProtection="false" borderId="103" fillId="0" fontId="4" numFmtId="186" xfId="0">
      <alignment horizontal="center" vertical="center"/>
    </xf>
    <xf applyAlignment="true" applyBorder="false" applyFill="false" applyFont="true" applyNumberFormat="true" applyProtection="false" borderId="76" fillId="0" fontId="4" numFmtId="186" xfId="0">
      <alignment horizontal="center" vertical="center"/>
    </xf>
    <xf applyAlignment="true" applyBorder="false" applyFill="true" applyFont="true" applyNumberFormat="true" applyProtection="false" borderId="63" fillId="26" fontId="1" numFmtId="181" xfId="0">
      <alignment horizontal="center" vertical="center"/>
    </xf>
    <xf applyAlignment="true" applyBorder="false" applyFill="true" applyFont="true" applyNumberFormat="false" applyProtection="false" borderId="61" fillId="25" fontId="1" numFmtId="0" xfId="0">
      <alignment horizontal="center" vertical="center"/>
    </xf>
    <xf applyAlignment="true" applyBorder="false" applyFill="true" applyFont="true" applyNumberFormat="false" applyProtection="false" borderId="60" fillId="25" fontId="1" numFmtId="0" xfId="0">
      <alignment horizontal="center" vertical="center"/>
    </xf>
    <xf applyAlignment="true" applyBorder="false" applyFill="true" applyFont="true" applyNumberFormat="true" applyProtection="false" borderId="83" fillId="26" fontId="1" numFmtId="181" xfId="0">
      <alignment horizontal="center" vertical="center"/>
    </xf>
    <xf applyAlignment="true" applyBorder="false" applyFill="true" applyFont="true" applyNumberFormat="false" applyProtection="false" borderId="83" fillId="26" fontId="1" numFmtId="0" xfId="0">
      <alignment horizontal="center" vertical="center"/>
    </xf>
    <xf applyAlignment="true" applyBorder="false" applyFill="true" applyFont="true" applyNumberFormat="false" applyProtection="false" borderId="62" fillId="26" fontId="1" numFmtId="0" xfId="0">
      <alignment horizontal="center" vertical="center"/>
    </xf>
    <xf applyAlignment="true" applyBorder="false" applyFill="true" applyFont="true" applyNumberFormat="true" applyProtection="false" borderId="62" fillId="26" fontId="1" numFmtId="183" xfId="0">
      <alignment horizontal="center" vertical="center"/>
    </xf>
    <xf applyAlignment="true" applyBorder="false" applyFill="true" applyFont="true" applyNumberFormat="true" applyProtection="false" borderId="62" fillId="27" fontId="1" numFmtId="184" xfId="0">
      <alignment horizontal="center" vertical="center"/>
    </xf>
    <xf applyAlignment="true" applyBorder="false" applyFill="false" applyFont="true" applyNumberFormat="true" applyProtection="false" borderId="62" fillId="0" fontId="4" numFmtId="182" xfId="0">
      <alignment horizontal="center" vertical="center"/>
    </xf>
    <xf applyAlignment="true" applyBorder="false" applyFill="false" applyFont="true" applyNumberFormat="false" applyProtection="false" borderId="64" fillId="0" fontId="4" numFmtId="0" xfId="0">
      <alignment horizontal="center" vertical="center"/>
    </xf>
    <xf applyAlignment="true" applyBorder="false" applyFill="true" applyFont="true" applyNumberFormat="true" applyProtection="false" borderId="62" fillId="30" fontId="5" numFmtId="187" xfId="0">
      <alignment horizontal="center" vertical="center"/>
    </xf>
    <xf applyAlignment="true" applyBorder="false" applyFill="false" applyFont="true" applyNumberFormat="true" applyProtection="false" borderId="62" fillId="0" fontId="6" numFmtId="188" xfId="0">
      <alignment horizontal="center" vertical="center"/>
    </xf>
    <xf applyAlignment="true" applyBorder="false" applyFill="false" applyFont="true" applyNumberFormat="true" applyProtection="false" borderId="62" fillId="0" fontId="5" numFmtId="182" xfId="0">
      <alignment horizontal="center" vertical="center"/>
    </xf>
    <xf applyAlignment="true" applyBorder="false" applyFill="false" applyFont="true" applyNumberFormat="true" applyProtection="false" borderId="62" fillId="0" fontId="4" numFmtId="182" xfId="0">
      <alignment horizontal="center" vertical="bottom"/>
    </xf>
    <xf applyAlignment="true" applyBorder="false" applyFill="true" applyFont="true" applyNumberFormat="true" applyProtection="false" borderId="62" fillId="31" fontId="1" numFmtId="186" xfId="0">
      <alignment horizontal="center" vertical="center"/>
    </xf>
    <xf applyAlignment="true" applyBorder="false" applyFill="true" applyFont="true" applyNumberFormat="true" applyProtection="false" borderId="62" fillId="31" fontId="5" numFmtId="187" xfId="0">
      <alignment horizontal="center" vertical="center"/>
    </xf>
    <xf applyAlignment="true" applyBorder="false" applyFill="true" applyFont="true" applyNumberFormat="true" applyProtection="false" borderId="62" fillId="31" fontId="7" numFmtId="182" xfId="0">
      <alignment horizontal="center" vertical="center"/>
    </xf>
    <xf applyAlignment="true" applyBorder="false" applyFill="true" applyFont="true" applyNumberFormat="true" applyProtection="false" borderId="62" fillId="31" fontId="1" numFmtId="184" xfId="0">
      <alignment horizontal="center" vertical="center"/>
    </xf>
    <xf applyAlignment="true" applyBorder="false" applyFill="true" applyFont="true" applyNumberFormat="true" applyProtection="false" borderId="62" fillId="31" fontId="1" numFmtId="181" xfId="0">
      <alignment horizontal="center" vertical="center"/>
    </xf>
    <xf applyAlignment="true" applyBorder="false" applyFill="true" applyFont="true" applyNumberFormat="true" applyProtection="false" borderId="62" fillId="31" fontId="1" numFmtId="181" xfId="0">
      <alignment horizontal="center" vertical="bottom"/>
    </xf>
    <xf applyAlignment="true" applyBorder="false" applyFill="true" applyFont="true" applyNumberFormat="true" applyProtection="false" borderId="62" fillId="31" fontId="5" numFmtId="182" xfId="0">
      <alignment horizontal="center" vertical="center"/>
    </xf>
    <xf applyAlignment="true" applyBorder="false" applyFill="true" applyFont="true" applyNumberFormat="true" applyProtection="false" borderId="62" fillId="31" fontId="6" numFmtId="182" xfId="0">
      <alignment horizontal="center" vertical="center"/>
    </xf>
    <xf applyAlignment="true" applyBorder="false" applyFill="true" applyFont="true" applyNumberFormat="true" applyProtection="false" borderId="62" fillId="34" fontId="5" numFmtId="182" xfId="0">
      <alignment horizontal="center" vertical="center"/>
    </xf>
    <xf applyAlignment="true" applyBorder="false" applyFill="true" applyFont="true" applyNumberFormat="true" applyProtection="false" borderId="62" fillId="34" fontId="5" numFmtId="184" xfId="0">
      <alignment horizontal="center" vertical="center"/>
    </xf>
    <xf applyAlignment="true" applyBorder="false" applyFill="true" applyFont="true" applyNumberFormat="true" applyProtection="false" borderId="62" fillId="34" fontId="5" numFmtId="181" xfId="0">
      <alignment horizontal="center" vertical="center"/>
    </xf>
    <xf applyAlignment="true" applyBorder="false" applyFill="false" applyFont="true" applyNumberFormat="false" applyProtection="false" borderId="64" fillId="0" fontId="4" numFmtId="0" xfId="0">
      <alignment horizontal="center" vertical="center"/>
    </xf>
    <xf applyAlignment="true" applyBorder="false" applyFill="false" applyFont="true" applyNumberFormat="true" applyProtection="false" borderId="83" fillId="0" fontId="4" numFmtId="186" xfId="0">
      <alignment horizontal="center" vertical="center"/>
    </xf>
    <xf applyAlignment="true" applyBorder="false" applyFill="false" applyFont="true" applyNumberFormat="true" applyProtection="false" borderId="71" fillId="0" fontId="4" numFmtId="186" xfId="0">
      <alignment horizontal="center" vertical="center"/>
    </xf>
    <xf applyAlignment="true" applyBorder="false" applyFill="true" applyFont="true" applyNumberFormat="true" applyProtection="false" borderId="62" fillId="34" fontId="5" numFmtId="186" xfId="0">
      <alignment horizontal="center" vertical="center"/>
    </xf>
    <xf applyAlignment="true" applyBorder="false" applyFill="false" applyFont="true" applyNumberFormat="true" applyProtection="false" borderId="64" fillId="0" fontId="4" numFmtId="186" xfId="0">
      <alignment horizontal="center" vertical="bottom"/>
    </xf>
    <xf applyAlignment="true" applyBorder="false" applyFill="false" applyFont="true" applyNumberFormat="true" applyProtection="false" borderId="82" fillId="0" fontId="4" numFmtId="186" xfId="0">
      <alignment horizontal="center" vertical="center"/>
    </xf>
    <xf applyAlignment="true" applyBorder="false" applyFill="false" applyFont="true" applyNumberFormat="true" applyProtection="false" borderId="104" fillId="0" fontId="4" numFmtId="186" xfId="0">
      <alignment horizontal="center" vertical="center"/>
    </xf>
    <xf applyAlignment="true" applyBorder="false" applyFill="true" applyFont="true" applyNumberFormat="true" applyProtection="false" borderId="83" fillId="26" fontId="1" numFmtId="183" xfId="0">
      <alignment horizontal="center" vertical="center"/>
    </xf>
    <xf applyAlignment="true" applyBorder="false" applyFill="false" applyFont="true" applyNumberFormat="true" applyProtection="false" borderId="105" fillId="0" fontId="4" numFmtId="186" xfId="0">
      <alignment horizontal="center" vertical="center"/>
    </xf>
    <xf applyAlignment="true" applyBorder="false" applyFill="false" applyFont="true" applyNumberFormat="true" applyProtection="false" borderId="100" fillId="0" fontId="4" numFmtId="186" xfId="0">
      <alignment horizontal="center" vertical="center"/>
    </xf>
    <xf applyAlignment="true" applyBorder="false" applyFill="false" applyFont="true" applyNumberFormat="true" applyProtection="false" borderId="100" fillId="0" fontId="4" numFmtId="186" xfId="0">
      <alignment horizontal="center" vertical="center"/>
    </xf>
    <xf applyAlignment="true" applyBorder="false" applyFill="true" applyFont="true" applyNumberFormat="true" applyProtection="false" borderId="64" fillId="31" fontId="5" numFmtId="182" xfId="0">
      <alignment horizontal="center" vertical="center"/>
    </xf>
    <xf applyAlignment="true" applyBorder="false" applyFill="false" applyFont="true" applyNumberFormat="true" applyProtection="false" borderId="73" fillId="0" fontId="4" numFmtId="186" xfId="0">
      <alignment horizontal="center" vertical="center"/>
    </xf>
    <xf applyAlignment="true" applyBorder="false" applyFill="true" applyFont="true" applyNumberFormat="true" applyProtection="false" borderId="59" fillId="31" fontId="1" numFmtId="186" xfId="0">
      <alignment horizontal="center" vertical="center"/>
    </xf>
    <xf applyAlignment="true" applyBorder="false" applyFill="false" applyFont="true" applyNumberFormat="true" applyProtection="false" borderId="64" fillId="0" fontId="4" numFmtId="186" xfId="0">
      <alignment horizontal="center" vertical="bottom"/>
    </xf>
    <xf applyAlignment="true" applyBorder="false" applyFill="false" applyFont="true" applyNumberFormat="true" applyProtection="false" borderId="83" fillId="0" fontId="4" numFmtId="186" xfId="0">
      <alignment horizontal="center" vertical="center"/>
    </xf>
    <xf applyAlignment="true" applyBorder="false" applyFill="false" applyFont="true" applyNumberFormat="true" applyProtection="false" borderId="62" fillId="0" fontId="4" numFmtId="186" xfId="0">
      <alignment horizontal="center" vertical="center"/>
    </xf>
    <xf applyAlignment="true" applyBorder="false" applyFill="true" applyFont="true" applyNumberFormat="true" applyProtection="false" borderId="61" fillId="31" fontId="1" numFmtId="186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0" fillId="36" fontId="14" numFmtId="0" xfId="0">
      <alignment horizontal="center" vertical="center"/>
    </xf>
    <xf applyAlignment="true" applyBorder="false" applyFill="true" applyFont="true" applyNumberFormat="false" applyProtection="false" borderId="0" fillId="37" fontId="9" numFmtId="0" xfId="0">
      <alignment vertical="center"/>
    </xf>
    <xf applyAlignment="true" applyBorder="false" applyFill="true" applyFont="true" applyNumberFormat="false" applyProtection="false" borderId="106" fillId="32" fontId="12" numFmtId="0" xfId="0">
      <alignment horizontal="right" vertical="center" wrapText="true"/>
    </xf>
    <xf applyAlignment="true" applyBorder="false" applyFill="true" applyFont="true" applyNumberFormat="false" applyProtection="false" borderId="0" fillId="32" fontId="12" numFmtId="0" xfId="0">
      <alignment horizontal="right" vertical="center" wrapText="true"/>
    </xf>
    <xf applyAlignment="true" applyBorder="false" applyFill="true" applyFont="true" applyNumberFormat="false" applyProtection="false" borderId="107" fillId="32" fontId="11" numFmtId="0" xfId="0">
      <alignment horizontal="right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0" fillId="28" fontId="3" numFmtId="0" xfId="0">
      <alignment vertical="center"/>
    </xf>
    <xf applyAlignment="true" applyBorder="false" applyFill="true" applyFont="true" applyNumberFormat="false" applyProtection="false" borderId="108" fillId="38" fontId="1" numFmtId="0" xfId="0">
      <alignment horizontal="center" vertical="center"/>
    </xf>
    <xf applyAlignment="true" applyBorder="false" applyFill="true" applyFont="true" applyNumberFormat="true" applyProtection="false" borderId="109" fillId="39" fontId="1" numFmtId="189" xfId="0">
      <alignment horizontal="center" vertical="center"/>
    </xf>
    <xf applyAlignment="true" applyBorder="false" applyFill="true" applyFont="true" applyNumberFormat="true" applyProtection="false" borderId="108" fillId="40" fontId="1" numFmtId="189" xfId="0">
      <alignment horizontal="center" vertical="center"/>
    </xf>
    <xf applyAlignment="true" applyBorder="false" applyFill="true" applyFont="true" applyNumberFormat="true" applyProtection="false" borderId="108" fillId="39" fontId="2" numFmtId="190" xfId="0">
      <alignment horizontal="center" vertical="center"/>
    </xf>
    <xf applyAlignment="true" applyBorder="false" applyFill="true" applyFont="true" applyNumberFormat="false" applyProtection="false" borderId="0" fillId="41" fontId="8" numFmtId="0" xfId="0">
      <alignment vertical="center"/>
    </xf>
    <xf applyAlignment="true" applyBorder="false" applyFill="true" applyFont="true" applyNumberFormat="false" applyProtection="false" borderId="110" fillId="38" fontId="1" numFmtId="0" xfId="0">
      <alignment horizontal="center" vertical="center"/>
    </xf>
    <xf applyAlignment="true" applyBorder="false" applyFill="true" applyFont="true" applyNumberFormat="false" applyProtection="false" borderId="111" fillId="38" fontId="1" numFmtId="0" xfId="0">
      <alignment horizontal="center" vertical="center"/>
    </xf>
    <xf applyAlignment="true" applyBorder="false" applyFill="true" applyFont="true" applyNumberFormat="true" applyProtection="false" borderId="112" fillId="39" fontId="1" numFmtId="189" xfId="0">
      <alignment horizontal="center" vertical="center"/>
    </xf>
    <xf applyAlignment="true" applyBorder="false" applyFill="true" applyFont="true" applyNumberFormat="false" applyProtection="false" borderId="111" fillId="39" fontId="1" numFmtId="0" xfId="0">
      <alignment horizontal="center" vertical="center"/>
    </xf>
    <xf applyAlignment="true" applyBorder="false" applyFill="true" applyFont="true" applyNumberFormat="true" applyProtection="false" borderId="110" fillId="39" fontId="1" numFmtId="191" xfId="0">
      <alignment horizontal="center" vertical="center"/>
    </xf>
    <xf applyAlignment="true" applyBorder="false" applyFill="true" applyFont="true" applyNumberFormat="true" applyProtection="false" borderId="110" fillId="39" fontId="1" numFmtId="189" xfId="0">
      <alignment horizontal="center" vertical="center"/>
    </xf>
    <xf applyAlignment="true" applyBorder="false" applyFill="true" applyFont="true" applyNumberFormat="false" applyProtection="false" borderId="113" fillId="39" fontId="1" numFmtId="0" xfId="0">
      <alignment horizontal="center" vertical="center"/>
    </xf>
    <xf applyAlignment="true" applyBorder="false" applyFill="true" applyFont="true" applyNumberFormat="false" applyProtection="false" borderId="113" fillId="39" fontId="1" numFmtId="0" xfId="0">
      <alignment horizontal="center" vertical="center"/>
    </xf>
    <xf applyAlignment="true" applyBorder="false" applyFill="true" applyFont="true" applyNumberFormat="true" applyProtection="false" borderId="114" fillId="40" fontId="1" numFmtId="189" xfId="0">
      <alignment horizontal="center" vertical="center"/>
    </xf>
    <xf applyAlignment="true" applyBorder="false" applyFill="true" applyFont="true" applyNumberFormat="true" applyProtection="false" borderId="108" fillId="40" fontId="1" numFmtId="192" xfId="0">
      <alignment horizontal="center" vertical="center"/>
    </xf>
    <xf applyAlignment="true" applyBorder="false" applyFill="false" applyFont="true" applyNumberFormat="true" applyProtection="false" borderId="108" fillId="0" fontId="4" numFmtId="190" xfId="0">
      <alignment horizontal="center" vertical="center"/>
    </xf>
    <xf applyAlignment="true" applyBorder="false" applyFill="true" applyFont="true" applyNumberFormat="true" applyProtection="false" borderId="108" fillId="42" fontId="4" numFmtId="193" xfId="0">
      <alignment horizontal="center" vertical="center"/>
    </xf>
    <xf applyAlignment="true" applyBorder="false" applyFill="false" applyFont="true" applyNumberFormat="false" applyProtection="false" borderId="108" fillId="0" fontId="3" numFmtId="0" xfId="0">
      <alignment horizontal="center" vertical="center"/>
    </xf>
    <xf applyAlignment="true" applyBorder="false" applyFill="false" applyFont="true" applyNumberFormat="false" applyProtection="false" borderId="108" fillId="0" fontId="3" numFmtId="0" xfId="0">
      <alignment horizontal="center" vertical="center"/>
    </xf>
    <xf applyAlignment="true" applyBorder="false" applyFill="false" applyFont="true" applyNumberFormat="false" applyProtection="false" borderId="108" fillId="0" fontId="4" numFmtId="0" xfId="0">
      <alignment horizontal="center" vertical="center"/>
    </xf>
    <xf applyAlignment="true" applyBorder="false" applyFill="false" applyFont="true" applyNumberFormat="true" applyProtection="false" borderId="109" fillId="0" fontId="4" numFmtId="194" xfId="0">
      <alignment horizontal="center" vertical="center"/>
    </xf>
    <xf applyAlignment="true" applyBorder="false" applyFill="false" applyFont="true" applyNumberFormat="true" applyProtection="false" borderId="108" fillId="0" fontId="4" numFmtId="194" xfId="0">
      <alignment horizontal="center" vertical="center"/>
    </xf>
    <xf applyAlignment="true" applyBorder="false" applyFill="false" applyFont="true" applyNumberFormat="true" applyProtection="false" borderId="108" fillId="0" fontId="4" numFmtId="194" xfId="0">
      <alignment horizontal="center" vertical="center"/>
    </xf>
    <xf applyAlignment="true" applyBorder="false" applyFill="false" applyFont="true" applyNumberFormat="true" applyProtection="false" borderId="115" fillId="0" fontId="4" numFmtId="194" xfId="0">
      <alignment horizontal="center" vertical="center"/>
    </xf>
    <xf applyAlignment="true" applyBorder="false" applyFill="true" applyFont="true" applyNumberFormat="true" applyProtection="false" borderId="116" fillId="43" fontId="5" numFmtId="195" xfId="0">
      <alignment horizontal="center" vertical="center"/>
    </xf>
    <xf applyAlignment="true" applyBorder="false" applyFill="false" applyFont="true" applyNumberFormat="true" applyProtection="false" borderId="108" fillId="0" fontId="6" numFmtId="196" xfId="0">
      <alignment horizontal="center" vertical="center"/>
    </xf>
    <xf applyAlignment="true" applyBorder="false" applyFill="false" applyFont="true" applyNumberFormat="true" applyProtection="false" borderId="109" fillId="0" fontId="4" numFmtId="192" xfId="0">
      <alignment horizontal="center" vertical="center"/>
    </xf>
    <xf applyAlignment="true" applyBorder="false" applyFill="false" applyFont="true" applyNumberFormat="true" applyProtection="false" borderId="108" fillId="0" fontId="4" numFmtId="189" xfId="0">
      <alignment horizontal="center" vertical="center"/>
    </xf>
    <xf applyAlignment="true" applyBorder="false" applyFill="false" applyFont="true" applyNumberFormat="true" applyProtection="false" borderId="108" fillId="0" fontId="4" numFmtId="192" xfId="0">
      <alignment horizontal="center" vertical="center"/>
    </xf>
    <xf applyAlignment="true" applyBorder="false" applyFill="false" applyFont="true" applyNumberFormat="true" applyProtection="false" borderId="114" fillId="0" fontId="4" numFmtId="189" xfId="0">
      <alignment horizontal="center" vertical="bottom"/>
    </xf>
    <xf applyAlignment="true" applyBorder="false" applyFill="false" applyFont="true" applyNumberFormat="true" applyProtection="false" borderId="108" fillId="0" fontId="5" numFmtId="190" xfId="0">
      <alignment horizontal="center" vertical="center"/>
    </xf>
    <xf applyAlignment="true" applyBorder="false" applyFill="false" applyFont="true" applyNumberFormat="true" applyProtection="false" borderId="108" fillId="0" fontId="4" numFmtId="190" xfId="0">
      <alignment horizontal="center" vertical="bottom"/>
    </xf>
    <xf applyAlignment="true" applyBorder="false" applyFill="false" applyFont="true" applyNumberFormat="false" applyProtection="false" borderId="108" fillId="0" fontId="4" numFmtId="0" xfId="0">
      <alignment horizontal="center" vertical="bottom"/>
    </xf>
    <xf applyAlignment="true" applyBorder="false" applyFill="false" applyFont="true" applyNumberFormat="true" applyProtection="false" borderId="108" fillId="0" fontId="3" numFmtId="194" xfId="0">
      <alignment horizontal="center" vertical="center"/>
    </xf>
    <xf applyAlignment="true" applyBorder="false" applyFill="false" applyFont="true" applyNumberFormat="true" applyProtection="false" borderId="108" fillId="0" fontId="3" numFmtId="194" xfId="0">
      <alignment horizontal="center" vertical="center"/>
    </xf>
    <xf applyAlignment="true" applyBorder="false" applyFill="false" applyFont="true" applyNumberFormat="true" applyProtection="false" borderId="115" fillId="0" fontId="4" numFmtId="194" xfId="0">
      <alignment horizontal="center" vertical="center"/>
    </xf>
    <xf applyAlignment="true" applyBorder="false" applyFill="false" applyFont="true" applyNumberFormat="true" applyProtection="false" borderId="117" fillId="0" fontId="4" numFmtId="192" xfId="0">
      <alignment horizontal="center" vertical="center"/>
    </xf>
    <xf applyAlignment="true" applyBorder="false" applyFill="false" applyFont="true" applyNumberFormat="true" applyProtection="false" borderId="110" fillId="0" fontId="4" numFmtId="189" xfId="0">
      <alignment horizontal="center" vertical="center"/>
    </xf>
    <xf applyAlignment="true" applyBorder="false" applyFill="false" applyFont="true" applyNumberFormat="true" applyProtection="false" borderId="110" fillId="0" fontId="4" numFmtId="192" xfId="0">
      <alignment horizontal="center" vertical="center"/>
    </xf>
    <xf applyAlignment="true" applyBorder="false" applyFill="false" applyFont="true" applyNumberFormat="true" applyProtection="false" borderId="118" fillId="0" fontId="4" numFmtId="189" xfId="0">
      <alignment horizontal="center" vertical="center"/>
    </xf>
    <xf applyAlignment="true" applyBorder="false" applyFill="false" applyFont="true" applyNumberFormat="true" applyProtection="false" borderId="119" fillId="0" fontId="4" numFmtId="189" xfId="0">
      <alignment horizontal="center" vertical="bottom"/>
    </xf>
    <xf applyAlignment="true" applyBorder="false" applyFill="false" applyFont="true" applyNumberFormat="true" applyProtection="false" borderId="113" fillId="0" fontId="4" numFmtId="189" xfId="0">
      <alignment horizontal="center" vertical="center"/>
    </xf>
    <xf applyAlignment="true" applyBorder="false" applyFill="false" applyFont="true" applyNumberFormat="true" applyProtection="false" borderId="110" fillId="0" fontId="5" numFmtId="190" xfId="0">
      <alignment horizontal="center" vertical="center"/>
    </xf>
    <xf applyAlignment="true" applyBorder="false" applyFill="false" applyFont="true" applyNumberFormat="true" applyProtection="false" borderId="110" fillId="0" fontId="4" numFmtId="190" xfId="0">
      <alignment horizontal="center" vertical="bottom"/>
    </xf>
    <xf applyAlignment="true" applyBorder="false" applyFill="false" applyFont="true" applyNumberFormat="true" applyProtection="false" borderId="110" fillId="0" fontId="3" numFmtId="194" xfId="0">
      <alignment horizontal="center" vertical="center"/>
    </xf>
    <xf applyAlignment="true" applyBorder="false" applyFill="false" applyFont="true" applyNumberFormat="true" applyProtection="false" borderId="110" fillId="0" fontId="3" numFmtId="194" xfId="0">
      <alignment horizontal="center" vertical="center"/>
    </xf>
    <xf applyAlignment="true" applyBorder="false" applyFill="false" applyFont="true" applyNumberFormat="true" applyProtection="false" borderId="109" fillId="0" fontId="4" numFmtId="194" xfId="0">
      <alignment horizontal="center" vertical="center"/>
    </xf>
    <xf applyAlignment="true" applyBorder="false" applyFill="false" applyFont="true" applyNumberFormat="true" applyProtection="false" borderId="111" fillId="0" fontId="4" numFmtId="189" xfId="0">
      <alignment horizontal="center" vertical="bottom"/>
    </xf>
    <xf applyAlignment="true" applyBorder="false" applyFill="true" applyFont="true" applyNumberFormat="true" applyProtection="false" borderId="120" fillId="44" fontId="1" numFmtId="194" xfId="0">
      <alignment horizontal="center" vertical="center"/>
    </xf>
    <xf applyAlignment="true" applyBorder="false" applyFill="true" applyFont="true" applyNumberFormat="true" applyProtection="false" borderId="114" fillId="44" fontId="1" numFmtId="194" xfId="0">
      <alignment horizontal="center" vertical="center"/>
    </xf>
    <xf applyAlignment="true" applyBorder="false" applyFill="true" applyFont="true" applyNumberFormat="true" applyProtection="false" borderId="121" fillId="44" fontId="5" numFmtId="195" xfId="0">
      <alignment horizontal="center" vertical="center"/>
    </xf>
    <xf applyAlignment="true" applyBorder="false" applyFill="true" applyFont="true" applyNumberFormat="true" applyProtection="false" borderId="115" fillId="44" fontId="7" numFmtId="190" xfId="0">
      <alignment horizontal="center" vertical="center"/>
    </xf>
    <xf applyAlignment="true" applyBorder="false" applyFill="true" applyFont="true" applyNumberFormat="true" applyProtection="false" borderId="122" fillId="44" fontId="1" numFmtId="192" xfId="0">
      <alignment horizontal="center" vertical="center"/>
    </xf>
    <xf applyAlignment="true" applyBorder="false" applyFill="true" applyFont="true" applyNumberFormat="true" applyProtection="false" borderId="115" fillId="44" fontId="1" numFmtId="189" xfId="0">
      <alignment horizontal="center" vertical="center"/>
    </xf>
    <xf applyAlignment="true" applyBorder="false" applyFill="true" applyFont="true" applyNumberFormat="true" applyProtection="false" borderId="115" fillId="44" fontId="1" numFmtId="192" xfId="0">
      <alignment horizontal="center" vertical="center"/>
    </xf>
    <xf applyAlignment="true" applyBorder="false" applyFill="true" applyFont="true" applyNumberFormat="true" applyProtection="false" borderId="123" fillId="44" fontId="1" numFmtId="189" xfId="0">
      <alignment horizontal="center" vertical="center"/>
    </xf>
    <xf applyAlignment="true" applyBorder="false" applyFill="true" applyFont="true" applyNumberFormat="true" applyProtection="false" borderId="115" fillId="44" fontId="1" numFmtId="189" xfId="0">
      <alignment horizontal="center" vertical="bottom"/>
    </xf>
    <xf applyAlignment="true" applyBorder="false" applyFill="true" applyFont="true" applyNumberFormat="true" applyProtection="false" borderId="115" fillId="44" fontId="5" numFmtId="190" xfId="0">
      <alignment horizontal="center" vertical="center"/>
    </xf>
    <xf applyAlignment="true" applyBorder="false" applyFill="false" applyFont="true" applyNumberFormat="true" applyProtection="false" borderId="122" fillId="0" fontId="4" numFmtId="192" xfId="0">
      <alignment horizontal="center" vertical="center"/>
    </xf>
    <xf applyAlignment="true" applyBorder="false" applyFill="false" applyFont="true" applyNumberFormat="true" applyProtection="false" borderId="115" fillId="0" fontId="4" numFmtId="189" xfId="0">
      <alignment horizontal="center" vertical="center"/>
    </xf>
    <xf applyAlignment="true" applyBorder="false" applyFill="false" applyFont="true" applyNumberFormat="true" applyProtection="false" borderId="115" fillId="0" fontId="4" numFmtId="192" xfId="0">
      <alignment horizontal="center" vertical="center"/>
    </xf>
    <xf applyAlignment="true" applyBorder="false" applyFill="false" applyFont="true" applyNumberFormat="true" applyProtection="false" borderId="123" fillId="0" fontId="4" numFmtId="189" xfId="0">
      <alignment horizontal="center" vertical="center"/>
    </xf>
    <xf applyAlignment="true" applyBorder="false" applyFill="false" applyFont="true" applyNumberFormat="true" applyProtection="false" borderId="124" fillId="0" fontId="4" numFmtId="189" xfId="0">
      <alignment horizontal="center" vertical="bottom"/>
    </xf>
    <xf applyAlignment="true" applyBorder="false" applyFill="false" applyFont="true" applyNumberFormat="true" applyProtection="false" borderId="115" fillId="0" fontId="5" numFmtId="190" xfId="0">
      <alignment horizontal="center" vertical="center"/>
    </xf>
    <xf applyAlignment="true" applyBorder="false" applyFill="false" applyFont="true" applyNumberFormat="true" applyProtection="false" borderId="115" fillId="0" fontId="4" numFmtId="190" xfId="0">
      <alignment horizontal="center" vertical="bottom"/>
    </xf>
    <xf applyAlignment="true" applyBorder="false" applyFill="false" applyFont="true" applyNumberFormat="true" applyProtection="false" borderId="115" fillId="0" fontId="3" numFmtId="194" xfId="0">
      <alignment horizontal="center" vertical="center"/>
    </xf>
    <xf applyAlignment="true" applyBorder="false" applyFill="false" applyFont="true" applyNumberFormat="true" applyProtection="false" borderId="115" fillId="0" fontId="3" numFmtId="194" xfId="0">
      <alignment horizontal="center" vertical="center"/>
    </xf>
    <xf applyAlignment="true" applyBorder="false" applyFill="true" applyFont="true" applyNumberFormat="true" applyProtection="false" borderId="115" fillId="45" fontId="6" numFmtId="190" xfId="0">
      <alignment horizontal="center" vertical="center"/>
    </xf>
    <xf applyAlignment="true" applyBorder="false" applyFill="true" applyFont="true" applyNumberFormat="true" applyProtection="false" borderId="115" fillId="44" fontId="6" numFmtId="190" xfId="0">
      <alignment horizontal="center" vertical="center"/>
    </xf>
    <xf applyAlignment="true" applyBorder="false" applyFill="true" applyFont="true" applyNumberFormat="true" applyProtection="false" borderId="108" fillId="46" fontId="5" numFmtId="194" xfId="0">
      <alignment horizontal="center" vertical="center"/>
    </xf>
    <xf applyAlignment="true" applyBorder="false" applyFill="true" applyFont="true" applyNumberFormat="true" applyProtection="false" borderId="108" fillId="46" fontId="5" numFmtId="195" xfId="0">
      <alignment horizontal="center" vertical="center"/>
    </xf>
    <xf applyAlignment="true" applyBorder="false" applyFill="true" applyFont="true" applyNumberFormat="true" applyProtection="false" borderId="118" fillId="46" fontId="5" numFmtId="190" xfId="0">
      <alignment horizontal="center" vertical="center"/>
    </xf>
    <xf applyAlignment="true" applyBorder="false" applyFill="true" applyFont="true" applyNumberFormat="true" applyProtection="false" borderId="117" fillId="46" fontId="5" numFmtId="192" xfId="0">
      <alignment horizontal="center" vertical="center"/>
    </xf>
    <xf applyAlignment="true" applyBorder="false" applyFill="true" applyFont="true" applyNumberFormat="true" applyProtection="false" borderId="115" fillId="46" fontId="5" numFmtId="195" xfId="0">
      <alignment horizontal="center" vertical="center"/>
    </xf>
    <xf applyAlignment="true" applyBorder="false" applyFill="true" applyFont="true" applyNumberFormat="true" applyProtection="false" borderId="115" fillId="46" fontId="5" numFmtId="192" xfId="0">
      <alignment horizontal="center" vertical="center"/>
    </xf>
    <xf applyAlignment="true" applyBorder="false" applyFill="true" applyFont="true" applyNumberFormat="true" applyProtection="false" borderId="110" fillId="46" fontId="5" numFmtId="189" xfId="0">
      <alignment horizontal="center" vertical="center"/>
    </xf>
    <xf applyAlignment="true" applyBorder="false" applyFill="true" applyFont="true" applyNumberFormat="true" applyProtection="false" borderId="109" fillId="39" fontId="1" numFmtId="189" xfId="0">
      <alignment horizontal="center" vertical="center"/>
    </xf>
    <xf applyAlignment="true" applyBorder="false" applyFill="false" applyFont="true" applyNumberFormat="false" applyProtection="false" borderId="108" fillId="0" fontId="4" numFmtId="0" xfId="0">
      <alignment horizontal="center" vertical="bottom"/>
    </xf>
    <xf applyAlignment="true" applyBorder="false" applyFill="false" applyFont="true" applyNumberFormat="false" applyProtection="false" borderId="108" fillId="0" fontId="4" numFmtId="0" xfId="0">
      <alignment horizontal="center" vertical="center"/>
    </xf>
    <xf applyAlignment="true" applyBorder="false" applyFill="false" applyFont="true" applyNumberFormat="true" applyProtection="false" borderId="108" fillId="0" fontId="4" numFmtId="189" xfId="0">
      <alignment horizontal="center" vertical="bottom"/>
    </xf>
    <xf applyAlignment="true" applyBorder="false" applyFill="true" applyFont="true" applyNumberFormat="true" applyProtection="false" borderId="114" fillId="42" fontId="4" numFmtId="193" xfId="0">
      <alignment horizontal="center" vertical="center"/>
    </xf>
    <xf applyAlignment="true" applyBorder="false" applyFill="false" applyFont="true" applyNumberFormat="false" applyProtection="false" borderId="114" fillId="0" fontId="3" numFmtId="0" xfId="0">
      <alignment horizontal="center" vertical="center"/>
    </xf>
    <xf applyAlignment="true" applyBorder="false" applyFill="false" applyFont="true" applyNumberFormat="true" applyProtection="false" borderId="125" fillId="0" fontId="4" numFmtId="194" xfId="0">
      <alignment horizontal="center" vertical="center"/>
    </xf>
    <xf applyAlignment="true" applyBorder="false" applyFill="false" applyFont="true" applyNumberFormat="true" applyProtection="false" borderId="119" fillId="0" fontId="4" numFmtId="194" xfId="0">
      <alignment horizontal="center" vertical="center"/>
    </xf>
    <xf applyAlignment="true" applyBorder="false" applyFill="false" applyFont="true" applyNumberFormat="false" applyProtection="false" borderId="125" fillId="0" fontId="4" numFmtId="0" xfId="0">
      <alignment horizontal="center" vertical="bottom"/>
    </xf>
    <xf applyAlignment="true" applyBorder="false" applyFill="false" applyFont="true" applyNumberFormat="true" applyProtection="false" borderId="126" fillId="0" fontId="3" numFmtId="194" xfId="0">
      <alignment horizontal="center" vertical="center"/>
    </xf>
    <xf applyAlignment="true" applyBorder="false" applyFill="false" applyFont="true" applyNumberFormat="true" applyProtection="false" borderId="119" fillId="0" fontId="3" numFmtId="194" xfId="0">
      <alignment horizontal="center" vertical="center"/>
    </xf>
    <xf applyAlignment="true" applyBorder="false" applyFill="false" applyFont="true" applyNumberFormat="true" applyProtection="false" borderId="109" fillId="0" fontId="3" numFmtId="194" xfId="0">
      <alignment horizontal="center" vertical="center"/>
    </xf>
    <xf applyAlignment="true" applyBorder="false" applyFill="false" applyFont="true" applyNumberFormat="true" applyProtection="false" borderId="127" fillId="0" fontId="4" numFmtId="194" xfId="0">
      <alignment horizontal="center" vertical="center"/>
    </xf>
    <xf applyAlignment="true" applyBorder="false" applyFill="false" applyFont="true" applyNumberFormat="true" applyProtection="false" borderId="128" fillId="0" fontId="3" numFmtId="194" xfId="0">
      <alignment horizontal="center" vertical="center"/>
    </xf>
    <xf applyAlignment="true" applyBorder="false" applyFill="false" applyFont="true" applyNumberFormat="true" applyProtection="false" borderId="117" fillId="0" fontId="3" numFmtId="194" xfId="0">
      <alignment horizontal="center" vertical="center"/>
    </xf>
    <xf applyAlignment="true" applyBorder="false" applyFill="false" applyFont="true" applyNumberFormat="true" applyProtection="false" borderId="129" fillId="0" fontId="3" numFmtId="194" xfId="0">
      <alignment horizontal="center" vertical="center"/>
    </xf>
    <xf applyAlignment="true" applyBorder="false" applyFill="true" applyFont="true" applyNumberFormat="false" applyProtection="false" borderId="0" fillId="39" fontId="1" numFmtId="0" xfId="0">
      <alignment horizontal="center" vertical="center"/>
    </xf>
    <xf applyAlignment="true" applyBorder="false" applyFill="false" applyFont="true" applyNumberFormat="true" applyProtection="false" borderId="123" fillId="0" fontId="4" numFmtId="194" xfId="0">
      <alignment horizontal="center" vertical="center"/>
    </xf>
    <xf applyAlignment="true" applyBorder="false" applyFill="true" applyFont="true" applyNumberFormat="true" applyProtection="false" borderId="130" fillId="43" fontId="5" numFmtId="195" xfId="0">
      <alignment horizontal="center" vertical="center"/>
    </xf>
    <xf applyAlignment="true" applyBorder="false" applyFill="true" applyFont="true" applyNumberFormat="true" applyProtection="false" borderId="131" fillId="43" fontId="5" numFmtId="195" xfId="0">
      <alignment horizontal="center" vertical="center"/>
    </xf>
    <xf applyAlignment="true" applyBorder="false" applyFill="false" applyFont="true" applyNumberFormat="true" applyProtection="false" borderId="109" fillId="0" fontId="6" numFmtId="196" xfId="0">
      <alignment horizontal="center" vertical="center"/>
    </xf>
    <xf applyAlignment="true" applyBorder="false" applyFill="false" applyFont="true" applyNumberFormat="true" applyProtection="false" borderId="126" fillId="0" fontId="3" numFmtId="194" xfId="0">
      <alignment horizontal="center" vertical="center"/>
    </xf>
    <xf applyAlignment="true" applyBorder="false" applyFill="false" applyFont="true" applyNumberFormat="true" applyProtection="false" borderId="132" fillId="0" fontId="3" numFmtId="194" xfId="0">
      <alignment horizontal="center" vertical="center"/>
    </xf>
    <xf applyAlignment="true" applyBorder="false" applyFill="true" applyFont="true" applyNumberFormat="true" applyProtection="false" borderId="133" fillId="43" fontId="5" numFmtId="195" xfId="0">
      <alignment horizontal="center" vertical="center"/>
    </xf>
    <xf applyAlignment="true" applyBorder="false" applyFill="true" applyFont="true" applyNumberFormat="true" applyProtection="false" borderId="134" fillId="43" fontId="5" numFmtId="195" xfId="0">
      <alignment horizontal="center" vertical="center"/>
    </xf>
    <xf applyAlignment="true" applyBorder="false" applyFill="false" applyFont="true" applyNumberFormat="true" applyProtection="false" borderId="119" fillId="0" fontId="3" numFmtId="194" xfId="0">
      <alignment horizontal="center" vertical="center"/>
    </xf>
    <xf applyAlignment="true" applyBorder="false" applyFill="false" applyFont="true" applyNumberFormat="true" applyProtection="false" borderId="129" fillId="0" fontId="3" numFmtId="194" xfId="0">
      <alignment horizontal="center" vertical="center"/>
    </xf>
    <xf applyAlignment="true" applyBorder="false" applyFill="false" applyFont="true" applyNumberFormat="true" applyProtection="false" borderId="123" fillId="0" fontId="4" numFmtId="194" xfId="0">
      <alignment horizontal="center" vertical="center"/>
    </xf>
    <xf applyAlignment="true" applyBorder="false" applyFill="true" applyFont="true" applyNumberFormat="true" applyProtection="false" borderId="135" fillId="44" fontId="1" numFmtId="194" xfId="0">
      <alignment horizontal="center" vertical="center"/>
    </xf>
    <xf applyAlignment="true" applyBorder="false" applyFill="true" applyFont="true" applyNumberFormat="true" applyProtection="false" borderId="136" fillId="44" fontId="5" numFmtId="195" xfId="0">
      <alignment horizontal="center" vertical="center"/>
    </xf>
    <xf applyAlignment="true" applyBorder="false" applyFill="true" applyFont="true" applyNumberFormat="true" applyProtection="false" borderId="137" fillId="44" fontId="5" numFmtId="195" xfId="0">
      <alignment horizontal="center" vertical="center"/>
    </xf>
    <xf applyAlignment="true" applyBorder="false" applyFill="true" applyFont="true" applyNumberFormat="true" applyProtection="false" borderId="122" fillId="44" fontId="7" numFmtId="190" xfId="0">
      <alignment horizontal="center" vertical="center"/>
    </xf>
    <xf applyAlignment="true" applyBorder="false" applyFill="true" applyFont="true" applyNumberFormat="true" applyProtection="false" borderId="122" fillId="45" fontId="6" numFmtId="190" xfId="0">
      <alignment horizontal="center" vertical="center"/>
    </xf>
    <xf applyAlignment="true" applyBorder="false" applyFill="true" applyFont="true" applyNumberFormat="true" applyProtection="false" borderId="122" fillId="44" fontId="6" numFmtId="190" xfId="0">
      <alignment horizontal="center" vertical="center"/>
    </xf>
    <xf applyAlignment="true" applyBorder="false" applyFill="true" applyFont="true" applyNumberFormat="true" applyProtection="false" borderId="125" fillId="46" fontId="5" numFmtId="194" xfId="0">
      <alignment horizontal="center" vertical="center"/>
    </xf>
    <xf applyAlignment="true" applyBorder="false" applyFill="true" applyFont="true" applyNumberFormat="true" applyProtection="false" borderId="138" fillId="46" fontId="5" numFmtId="195" xfId="0">
      <alignment horizontal="center" vertical="center"/>
    </xf>
    <xf applyAlignment="true" applyBorder="false" applyFill="true" applyFont="true" applyNumberFormat="true" applyProtection="false" borderId="139" fillId="46" fontId="5" numFmtId="195" xfId="0">
      <alignment horizontal="center" vertical="center"/>
    </xf>
    <xf applyAlignment="true" applyBorder="false" applyFill="true" applyFont="true" applyNumberFormat="true" applyProtection="false" borderId="113" fillId="46" fontId="5" numFmtId="190" xfId="0">
      <alignment horizontal="center" vertical="center"/>
    </xf>
    <xf applyAlignment="true" applyBorder="false" applyFill="true" applyFont="true" applyNumberFormat="true" applyProtection="false" borderId="140" fillId="43" fontId="5" numFmtId="195" xfId="0">
      <alignment horizontal="center" vertical="center"/>
    </xf>
    <xf applyAlignment="true" applyBorder="false" applyFill="true" applyFont="true" applyNumberFormat="true" applyProtection="false" borderId="141" fillId="43" fontId="5" numFmtId="195" xfId="0">
      <alignment horizontal="center" vertical="center"/>
    </xf>
    <xf applyAlignment="true" applyBorder="false" applyFill="false" applyFont="true" applyNumberFormat="true" applyProtection="false" borderId="114" fillId="0" fontId="4" numFmtId="189" xfId="0">
      <alignment horizontal="center" vertical="center"/>
    </xf>
    <xf applyAlignment="true" applyBorder="false" applyFill="false" applyFont="true" applyNumberFormat="false" applyProtection="false" borderId="125" fillId="0" fontId="4" numFmtId="0" xfId="0">
      <alignment horizontal="center" vertical="bottom"/>
    </xf>
    <xf applyAlignment="true" applyBorder="false" applyFill="false" applyFont="true" applyNumberFormat="true" applyProtection="false" borderId="109" fillId="0" fontId="3" numFmtId="194" xfId="0">
      <alignment horizontal="center" vertical="center"/>
    </xf>
    <xf applyAlignment="true" applyBorder="false" applyFill="false" applyFont="true" applyNumberFormat="true" applyProtection="false" borderId="125" fillId="0" fontId="3" numFmtId="194" xfId="0">
      <alignment horizontal="center" vertical="center"/>
    </xf>
    <xf applyAlignment="true" applyBorder="false" applyFill="true" applyFont="true" applyNumberFormat="true" applyProtection="false" borderId="142" fillId="43" fontId="5" numFmtId="195" xfId="0">
      <alignment horizontal="center" vertical="center"/>
    </xf>
    <xf applyAlignment="true" applyBorder="false" applyFill="true" applyFont="true" applyNumberFormat="true" applyProtection="false" borderId="143" fillId="43" fontId="5" numFmtId="195" xfId="0">
      <alignment horizontal="center" vertical="center"/>
    </xf>
    <xf applyAlignment="true" applyBorder="false" applyFill="false" applyFont="true" applyNumberFormat="true" applyProtection="false" borderId="113" fillId="0" fontId="4" numFmtId="192" xfId="0">
      <alignment horizontal="center" vertical="center"/>
    </xf>
    <xf applyAlignment="true" applyBorder="false" applyFill="false" applyFont="true" applyNumberFormat="true" applyProtection="false" borderId="119" fillId="0" fontId="4" numFmtId="189" xfId="0">
      <alignment horizontal="center" vertical="center"/>
    </xf>
    <xf applyAlignment="true" applyBorder="false" applyFill="false" applyFont="true" applyNumberFormat="true" applyProtection="false" borderId="127" fillId="0" fontId="3" numFmtId="194" xfId="0">
      <alignment horizontal="center" vertical="center"/>
    </xf>
    <xf applyAlignment="true" applyBorder="false" applyFill="true" applyFont="true" applyNumberFormat="true" applyProtection="false" borderId="144" fillId="44" fontId="5" numFmtId="195" xfId="0">
      <alignment horizontal="center" vertical="center"/>
    </xf>
    <xf applyAlignment="true" applyBorder="false" applyFill="true" applyFont="true" applyNumberFormat="true" applyProtection="false" borderId="145" fillId="44" fontId="5" numFmtId="195" xfId="0">
      <alignment horizontal="center" vertical="center"/>
    </xf>
    <xf applyAlignment="true" applyBorder="false" applyFill="false" applyFont="true" applyNumberFormat="true" applyProtection="false" borderId="0" fillId="0" fontId="4" numFmtId="192" xfId="0">
      <alignment horizontal="center" vertical="center"/>
    </xf>
    <xf applyAlignment="true" applyBorder="false" applyFill="false" applyFont="true" applyNumberFormat="true" applyProtection="false" borderId="146" fillId="0" fontId="6" numFmtId="196" xfId="0">
      <alignment horizontal="center" vertical="center"/>
    </xf>
    <xf applyAlignment="true" applyBorder="false" applyFill="false" applyFont="true" applyNumberFormat="true" applyProtection="false" borderId="119" fillId="0" fontId="4" numFmtId="192" xfId="0">
      <alignment horizontal="center" vertical="center"/>
    </xf>
    <xf applyAlignment="true" applyBorder="false" applyFill="false" applyFont="true" applyNumberFormat="true" applyProtection="false" borderId="117" fillId="0" fontId="4" numFmtId="189" xfId="0">
      <alignment horizontal="center" vertical="center"/>
    </xf>
    <xf applyAlignment="true" applyBorder="false" applyFill="true" applyFont="true" applyNumberFormat="true" applyProtection="false" borderId="114" fillId="40" fontId="1" numFmtId="192" xfId="0">
      <alignment horizontal="center" vertical="center"/>
    </xf>
    <xf applyAlignment="true" applyBorder="false" applyFill="true" applyFont="true" applyNumberFormat="true" applyProtection="false" borderId="147" fillId="43" fontId="5" numFmtId="195" xfId="0">
      <alignment horizontal="center" vertical="center"/>
    </xf>
    <xf applyAlignment="true" applyBorder="false" applyFill="false" applyFont="true" applyNumberFormat="true" applyProtection="false" borderId="119" fillId="0" fontId="6" numFmtId="196" xfId="0">
      <alignment horizontal="center" vertical="center"/>
    </xf>
    <xf applyAlignment="true" applyBorder="false" applyFill="false" applyFont="true" applyNumberFormat="true" applyProtection="false" borderId="109" fillId="0" fontId="5" numFmtId="190" xfId="0">
      <alignment horizontal="center" vertical="center"/>
    </xf>
    <xf applyAlignment="true" applyBorder="false" applyFill="false" applyFont="true" applyNumberFormat="true" applyProtection="false" borderId="117" fillId="0" fontId="5" numFmtId="190" xfId="0">
      <alignment horizontal="center" vertical="center"/>
    </xf>
    <xf applyAlignment="true" applyBorder="false" applyFill="false" applyFont="true" applyNumberFormat="true" applyProtection="false" borderId="148" fillId="0" fontId="6" numFmtId="196" xfId="0">
      <alignment horizontal="center" vertical="center"/>
    </xf>
    <xf applyAlignment="true" applyBorder="false" applyFill="false" applyFont="true" applyNumberFormat="true" applyProtection="false" borderId="132" fillId="0" fontId="4" numFmtId="192" xfId="0">
      <alignment horizontal="center" vertical="center"/>
    </xf>
    <xf applyAlignment="true" applyBorder="false" applyFill="false" applyFont="true" applyNumberFormat="true" applyProtection="false" borderId="128" fillId="0" fontId="4" numFmtId="192" xfId="0">
      <alignment horizontal="center" vertical="center"/>
    </xf>
    <xf applyAlignment="true" applyBorder="false" applyFill="false" applyFont="true" applyNumberFormat="true" applyProtection="false" borderId="129" fillId="0" fontId="4" numFmtId="192" xfId="0">
      <alignment horizontal="center" vertical="center"/>
    </xf>
    <xf applyAlignment="true" applyBorder="false" applyFill="false" applyFont="true" applyNumberFormat="true" applyProtection="false" borderId="129" fillId="0" fontId="4" numFmtId="189" xfId="0">
      <alignment horizontal="center" vertical="center"/>
    </xf>
    <xf applyAlignment="true" applyBorder="false" applyFill="false" applyFont="true" applyNumberFormat="true" applyProtection="false" borderId="126" fillId="0" fontId="4" numFmtId="189" xfId="0">
      <alignment horizontal="center" vertical="center"/>
    </xf>
    <xf applyAlignment="true" applyBorder="false" applyFill="false" applyFont="true" applyNumberFormat="true" applyProtection="false" borderId="115" fillId="0" fontId="3" numFmtId="194" xfId="0">
      <alignment horizontal="center" vertical="center"/>
    </xf>
    <xf applyAlignment="true" applyBorder="false" applyFill="false" applyFont="true" applyNumberFormat="true" applyProtection="false" borderId="119" fillId="0" fontId="4" numFmtId="194" xfId="0">
      <alignment horizontal="center" vertical="center"/>
    </xf>
    <xf applyAlignment="true" applyBorder="false" applyFill="false" applyFont="true" applyNumberFormat="true" applyProtection="false" borderId="127" fillId="0" fontId="4" numFmtId="194" xfId="0">
      <alignment horizontal="center" vertical="center"/>
    </xf>
    <xf applyAlignment="true" applyBorder="false" applyFill="false" applyFont="true" applyNumberFormat="true" applyProtection="false" borderId="127" fillId="0" fontId="3" numFmtId="194" xfId="0">
      <alignment horizontal="center" vertical="center"/>
    </xf>
    <xf applyAlignment="true" applyBorder="false" applyFill="true" applyFont="true" applyNumberFormat="false" applyProtection="false" borderId="0" fillId="47" fontId="8" numFmtId="0" xfId="0">
      <alignment vertical="center"/>
    </xf>
    <xf applyAlignment="true" applyBorder="false" applyFill="true" applyFont="true" applyNumberFormat="false" applyProtection="false" borderId="0" fillId="41" fontId="8" numFmtId="0" xfId="0">
      <alignment vertical="center"/>
    </xf>
    <xf applyAlignment="true" applyBorder="false" applyFill="true" applyFont="true" applyNumberFormat="true" applyProtection="false" borderId="114" fillId="40" fontId="1" numFmtId="189" xfId="0">
      <alignment horizontal="center" vertical="center"/>
    </xf>
    <xf applyAlignment="true" applyBorder="false" applyFill="true" applyFont="true" applyNumberFormat="false" applyProtection="false" borderId="149" fillId="39" fontId="1" numFmtId="0" xfId="0">
      <alignment horizontal="center" vertical="center"/>
    </xf>
    <xf applyAlignment="true" applyBorder="false" applyFill="true" applyFont="true" applyNumberFormat="true" applyProtection="false" borderId="117" fillId="39" fontId="1" numFmtId="191" xfId="0">
      <alignment horizontal="center" vertical="center"/>
    </xf>
    <xf applyAlignment="true" applyBorder="false" applyFill="true" applyFont="true" applyNumberFormat="true" applyProtection="false" borderId="118" fillId="39" fontId="1" numFmtId="189" xfId="0">
      <alignment horizontal="center" vertical="center"/>
    </xf>
    <xf applyAlignment="true" applyBorder="false" applyFill="true" applyFont="true" applyNumberFormat="true" applyProtection="false" borderId="119" fillId="39" fontId="1" numFmtId="189" xfId="0">
      <alignment horizontal="center" vertical="center"/>
    </xf>
    <xf applyAlignment="true" applyBorder="false" applyFill="false" applyFont="true" applyNumberFormat="true" applyProtection="false" borderId="150" fillId="0" fontId="4" numFmtId="194" xfId="0">
      <alignment horizontal="center" vertical="center"/>
    </xf>
    <xf applyAlignment="true" applyBorder="false" applyFill="false" applyFont="true" applyNumberFormat="true" applyProtection="false" borderId="122" fillId="0" fontId="4" numFmtId="194" xfId="0">
      <alignment horizontal="center" vertical="center"/>
    </xf>
    <xf applyAlignment="true" applyBorder="false" applyFill="false" applyFont="true" applyNumberFormat="true" applyProtection="false" borderId="151" fillId="0" fontId="4" numFmtId="194" xfId="0">
      <alignment horizontal="center" vertical="center"/>
    </xf>
    <xf applyAlignment="true" applyBorder="false" applyFill="false" applyFont="true" applyNumberFormat="false" applyProtection="false" borderId="128" fillId="0" fontId="8" numFmtId="0" xfId="0">
      <alignment horizontal="center" vertical="center"/>
    </xf>
    <xf applyAlignment="true" applyBorder="false" applyFill="false" applyFont="true" applyNumberFormat="false" applyProtection="false" borderId="119" fillId="0" fontId="8" numFmtId="0" xfId="0">
      <alignment horizontal="center" vertical="center"/>
    </xf>
    <xf applyAlignment="true" applyBorder="false" applyFill="false" applyFont="true" applyNumberFormat="false" applyProtection="false" borderId="132" fillId="0" fontId="8" numFmtId="0" xfId="0">
      <alignment horizontal="center" vertical="center"/>
    </xf>
    <xf applyAlignment="true" applyBorder="false" applyFill="true" applyFont="true" applyNumberFormat="true" applyProtection="false" borderId="152" fillId="43" fontId="5" numFmtId="195" xfId="0">
      <alignment horizontal="center" vertical="center"/>
    </xf>
    <xf applyAlignment="true" applyBorder="false" applyFill="true" applyFont="true" applyNumberFormat="true" applyProtection="false" borderId="153" fillId="43" fontId="5" numFmtId="195" xfId="0">
      <alignment horizontal="center" vertical="center"/>
    </xf>
    <xf applyAlignment="true" applyBorder="false" applyFill="false" applyFont="true" applyNumberFormat="true" applyProtection="false" borderId="128" fillId="0" fontId="6" numFmtId="196" xfId="0">
      <alignment horizontal="center" vertical="center"/>
    </xf>
    <xf applyAlignment="true" applyBorder="false" applyFill="false" applyFont="true" applyNumberFormat="true" applyProtection="false" borderId="128" fillId="0" fontId="4" numFmtId="189" xfId="0">
      <alignment horizontal="center" vertical="center"/>
    </xf>
    <xf applyAlignment="true" applyBorder="false" applyFill="false" applyFont="true" applyNumberFormat="false" applyProtection="false" borderId="154" fillId="0" fontId="4" numFmtId="0" xfId="0">
      <alignment horizontal="center" vertical="bottom"/>
    </xf>
    <xf applyAlignment="true" applyBorder="false" applyFill="false" applyFont="true" applyNumberFormat="true" applyProtection="false" borderId="155" fillId="0" fontId="3" numFmtId="194" xfId="0">
      <alignment horizontal="center" vertical="center"/>
    </xf>
    <xf applyAlignment="true" applyBorder="false" applyFill="false" applyFont="true" applyNumberFormat="true" applyProtection="false" borderId="154" fillId="0" fontId="3" numFmtId="194" xfId="0">
      <alignment horizontal="center" vertical="center"/>
    </xf>
    <xf applyAlignment="true" applyBorder="false" applyFill="false" applyFont="true" applyNumberFormat="true" applyProtection="false" borderId="154" fillId="0" fontId="4" numFmtId="194" xfId="0">
      <alignment horizontal="center" vertical="center"/>
    </xf>
    <xf applyAlignment="true" applyBorder="false" applyFill="false" applyFont="true" applyNumberFormat="true" applyProtection="false" borderId="156" fillId="0" fontId="4" numFmtId="194" xfId="0">
      <alignment horizontal="center" vertical="center"/>
    </xf>
    <xf applyAlignment="true" applyBorder="false" applyFill="false" applyFont="true" applyNumberFormat="true" applyProtection="false" borderId="128" fillId="0" fontId="3" numFmtId="194" xfId="0">
      <alignment horizontal="center" vertical="center"/>
    </xf>
    <xf applyAlignment="true" applyBorder="false" applyFill="false" applyFont="true" applyNumberFormat="true" applyProtection="false" borderId="157" fillId="0" fontId="4" numFmtId="189" xfId="0">
      <alignment horizontal="center" vertical="center"/>
    </xf>
    <xf applyAlignment="true" applyBorder="false" applyFill="false" applyFont="true" applyNumberFormat="true" applyProtection="false" borderId="156" fillId="0" fontId="3" numFmtId="194" xfId="0">
      <alignment horizontal="center" vertical="center"/>
    </xf>
    <xf applyAlignment="true" applyBorder="false" applyFill="true" applyFont="true" applyNumberFormat="true" applyProtection="false" borderId="151" fillId="44" fontId="5" numFmtId="190" xfId="0">
      <alignment horizontal="center" vertical="center"/>
    </xf>
    <xf applyAlignment="true" applyBorder="false" applyFill="false" applyFont="true" applyNumberFormat="true" applyProtection="false" borderId="122" fillId="0" fontId="3" numFmtId="194" xfId="0">
      <alignment horizontal="center" vertical="center"/>
    </xf>
    <xf applyAlignment="true" applyBorder="false" applyFill="false" applyFont="true" applyNumberFormat="true" applyProtection="false" borderId="122" fillId="0" fontId="3" numFmtId="194" xfId="0">
      <alignment horizontal="center" vertical="center"/>
    </xf>
    <xf applyAlignment="true" applyBorder="false" applyFill="true" applyFont="true" applyNumberFormat="true" applyProtection="false" borderId="158" fillId="46" fontId="5" numFmtId="195" xfId="0">
      <alignment horizontal="center" vertical="center"/>
    </xf>
    <xf applyAlignment="true" applyBorder="false" applyFill="true" applyFont="true" applyNumberFormat="true" applyProtection="false" borderId="154" fillId="46" fontId="5" numFmtId="195" xfId="0">
      <alignment horizontal="center" vertical="center"/>
    </xf>
    <xf applyAlignment="true" applyBorder="false" applyFill="true" applyFont="true" applyNumberFormat="false" applyProtection="false" borderId="0" fillId="41" fontId="13" numFmtId="0" xfId="0">
      <alignment vertical="center"/>
    </xf>
    <xf applyAlignment="true" applyBorder="false" applyFill="false" applyFont="true" applyNumberFormat="false" applyProtection="false" borderId="114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13" numFmtId="0" xfId="0">
      <alignment vertical="center"/>
    </xf>
    <xf applyAlignment="true" applyBorder="false" applyFill="false" applyFont="true" applyNumberFormat="true" applyProtection="false" borderId="126" fillId="0" fontId="4" numFmtId="194" xfId="0">
      <alignment horizontal="center" vertical="center"/>
    </xf>
    <xf applyAlignment="true" applyBorder="false" applyFill="false" applyFont="true" applyNumberFormat="true" applyProtection="false" borderId="155" fillId="0" fontId="4" numFmtId="194" xfId="0">
      <alignment horizontal="center" vertical="center"/>
    </xf>
    <xf applyAlignment="true" applyBorder="false" applyFill="false" applyFont="true" applyNumberFormat="true" applyProtection="false" borderId="128" fillId="0" fontId="4" numFmtId="194" xfId="0">
      <alignment horizontal="center" vertical="center"/>
    </xf>
    <xf applyAlignment="true" applyBorder="false" applyFill="false" applyFont="true" applyNumberFormat="true" applyProtection="false" borderId="128" fillId="0" fontId="4" numFmtId="194" xfId="0">
      <alignment horizontal="center" vertical="center"/>
    </xf>
    <xf applyAlignment="true" applyBorder="false" applyFill="false" applyFont="true" applyNumberFormat="true" applyProtection="false" borderId="117" fillId="0" fontId="4" numFmtId="194" xfId="0">
      <alignment horizontal="center" vertical="center"/>
    </xf>
    <xf applyAlignment="true" applyBorder="false" applyFill="false" applyFont="true" applyNumberFormat="true" applyProtection="false" borderId="110" fillId="0" fontId="4" numFmtId="194" xfId="0">
      <alignment horizontal="center" vertical="center"/>
    </xf>
    <xf applyAlignment="true" applyBorder="false" applyFill="false" applyFont="true" applyNumberFormat="false" applyProtection="false" borderId="119" fillId="0" fontId="13" numFmtId="0" xfId="0">
      <alignment horizontal="center" vertical="center"/>
    </xf>
    <xf applyAlignment="true" applyBorder="false" applyFill="false" applyFont="true" applyNumberFormat="false" applyProtection="false" borderId="132" fillId="0" fontId="13" numFmtId="0" xfId="0">
      <alignment horizontal="center" vertical="center"/>
    </xf>
    <xf applyAlignment="true" applyBorder="false" applyFill="false" applyFont="true" applyNumberFormat="true" applyProtection="false" borderId="122" fillId="0" fontId="4" numFmtId="194" xfId="0">
      <alignment horizontal="center" vertical="center"/>
    </xf>
    <xf applyAlignment="true" applyBorder="false" applyFill="true" applyFont="true" applyNumberFormat="false" applyProtection="false" borderId="0" fillId="47" fontId="1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0" fillId="41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true" applyFont="true" applyNumberFormat="false" applyProtection="false" borderId="159" fillId="48" fontId="1" numFmtId="0" xfId="0">
      <alignment horizontal="center" vertical="center"/>
    </xf>
    <xf applyAlignment="true" applyBorder="false" applyFill="true" applyFont="true" applyNumberFormat="true" applyProtection="false" borderId="160" fillId="49" fontId="1" numFmtId="197" xfId="0">
      <alignment horizontal="center" vertical="center"/>
    </xf>
    <xf applyAlignment="true" applyBorder="false" applyFill="true" applyFont="true" applyNumberFormat="true" applyProtection="false" borderId="161" fillId="49" fontId="1" numFmtId="197" xfId="0">
      <alignment horizontal="center" vertical="center"/>
    </xf>
    <xf applyAlignment="true" applyBorder="false" applyFill="true" applyFont="true" applyNumberFormat="true" applyProtection="false" borderId="162" fillId="50" fontId="1" numFmtId="197" xfId="0">
      <alignment horizontal="center" vertical="center"/>
    </xf>
    <xf applyAlignment="true" applyBorder="false" applyFill="true" applyFont="true" applyNumberFormat="true" applyProtection="false" borderId="162" fillId="49" fontId="2" numFmtId="198" xfId="0">
      <alignment horizontal="center" vertical="center"/>
    </xf>
    <xf applyAlignment="true" applyBorder="false" applyFill="true" applyFont="true" applyNumberFormat="true" applyProtection="false" borderId="162" fillId="49" fontId="2" numFmtId="198" xfId="0">
      <alignment horizontal="center" vertical="center"/>
    </xf>
    <xf applyAlignment="true" applyBorder="false" applyFill="true" applyFont="true" applyNumberFormat="false" applyProtection="false" borderId="163" fillId="48" fontId="1" numFmtId="0" xfId="0">
      <alignment horizontal="center" vertical="center"/>
    </xf>
    <xf applyAlignment="true" applyBorder="false" applyFill="true" applyFont="true" applyNumberFormat="false" applyProtection="false" borderId="164" fillId="48" fontId="1" numFmtId="0" xfId="0">
      <alignment horizontal="center" vertical="center"/>
    </xf>
    <xf applyAlignment="true" applyBorder="false" applyFill="true" applyFont="true" applyNumberFormat="true" applyProtection="false" borderId="165" fillId="49" fontId="1" numFmtId="197" xfId="0">
      <alignment horizontal="center" vertical="center"/>
    </xf>
    <xf applyAlignment="true" applyBorder="false" applyFill="true" applyFont="true" applyNumberFormat="false" applyProtection="false" borderId="164" fillId="49" fontId="1" numFmtId="0" xfId="0">
      <alignment horizontal="center" vertical="center"/>
    </xf>
    <xf applyAlignment="true" applyBorder="false" applyFill="true" applyFont="true" applyNumberFormat="true" applyProtection="false" borderId="163" fillId="49" fontId="1" numFmtId="199" xfId="0">
      <alignment horizontal="center" vertical="center"/>
    </xf>
    <xf applyAlignment="true" applyBorder="false" applyFill="true" applyFont="true" applyNumberFormat="true" applyProtection="false" borderId="163" fillId="49" fontId="1" numFmtId="197" xfId="0">
      <alignment horizontal="center" vertical="center"/>
    </xf>
    <xf applyAlignment="true" applyBorder="false" applyFill="true" applyFont="true" applyNumberFormat="false" applyProtection="false" borderId="166" fillId="49" fontId="1" numFmtId="0" xfId="0">
      <alignment horizontal="center" vertical="center"/>
    </xf>
    <xf applyAlignment="true" applyBorder="false" applyFill="true" applyFont="true" applyNumberFormat="true" applyProtection="false" borderId="162" fillId="50" fontId="1" numFmtId="197" xfId="0">
      <alignment horizontal="center" vertical="center"/>
    </xf>
    <xf applyAlignment="true" applyBorder="false" applyFill="true" applyFont="true" applyNumberFormat="true" applyProtection="false" borderId="162" fillId="50" fontId="1" numFmtId="200" xfId="0">
      <alignment horizontal="center" vertical="center"/>
    </xf>
    <xf applyAlignment="true" applyBorder="false" applyFill="false" applyFont="true" applyNumberFormat="true" applyProtection="false" borderId="162" fillId="0" fontId="4" numFmtId="198" xfId="0">
      <alignment horizontal="center" vertical="center"/>
    </xf>
    <xf applyAlignment="true" applyBorder="false" applyFill="true" applyFont="true" applyNumberFormat="true" applyProtection="false" borderId="162" fillId="51" fontId="4" numFmtId="201" xfId="0">
      <alignment horizontal="center" vertical="center"/>
    </xf>
    <xf applyAlignment="true" applyBorder="false" applyFill="false" applyFont="true" applyNumberFormat="false" applyProtection="false" borderId="162" fillId="0" fontId="3" numFmtId="0" xfId="0">
      <alignment horizontal="center" vertical="center"/>
    </xf>
    <xf applyAlignment="true" applyBorder="false" applyFill="false" applyFont="true" applyNumberFormat="false" applyProtection="false" borderId="159" fillId="0" fontId="4" numFmtId="0" xfId="0">
      <alignment horizontal="center" vertical="center"/>
    </xf>
    <xf applyAlignment="true" applyBorder="false" applyFill="false" applyFont="true" applyNumberFormat="true" applyProtection="false" borderId="160" fillId="0" fontId="4" numFmtId="202" xfId="0">
      <alignment horizontal="center" vertical="center"/>
    </xf>
    <xf applyAlignment="true" applyBorder="false" applyFill="false" applyFont="true" applyNumberFormat="true" applyProtection="false" borderId="159" fillId="0" fontId="4" numFmtId="202" xfId="0">
      <alignment horizontal="center" vertical="center"/>
    </xf>
    <xf applyAlignment="true" applyBorder="false" applyFill="false" applyFont="true" applyNumberFormat="true" applyProtection="false" borderId="167" fillId="0" fontId="4" numFmtId="202" xfId="0">
      <alignment horizontal="center" vertical="center"/>
    </xf>
    <xf applyAlignment="true" applyBorder="false" applyFill="true" applyFont="true" applyNumberFormat="true" applyProtection="false" borderId="168" fillId="52" fontId="5" numFmtId="203" xfId="0">
      <alignment horizontal="center" vertical="center"/>
    </xf>
    <xf applyAlignment="true" applyBorder="false" applyFill="false" applyFont="true" applyNumberFormat="true" applyProtection="false" borderId="162" fillId="0" fontId="4" numFmtId="200" xfId="0">
      <alignment horizontal="center" vertical="center"/>
    </xf>
    <xf applyAlignment="true" applyBorder="false" applyFill="false" applyFont="true" applyNumberFormat="true" applyProtection="false" borderId="162" fillId="0" fontId="4" numFmtId="197" xfId="0">
      <alignment horizontal="center" vertical="center"/>
    </xf>
    <xf applyAlignment="true" applyBorder="false" applyFill="false" applyFont="true" applyNumberFormat="true" applyProtection="false" borderId="162" fillId="0" fontId="4" numFmtId="197" xfId="0">
      <alignment horizontal="center" vertical="bottom"/>
    </xf>
    <xf applyAlignment="true" applyBorder="false" applyFill="false" applyFont="true" applyNumberFormat="true" applyProtection="false" borderId="162" fillId="0" fontId="5" numFmtId="198" xfId="0">
      <alignment horizontal="center" vertical="center"/>
    </xf>
    <xf applyAlignment="true" applyBorder="false" applyFill="false" applyFont="true" applyNumberFormat="true" applyProtection="false" borderId="162" fillId="0" fontId="4" numFmtId="198" xfId="0">
      <alignment horizontal="center" vertical="bottom"/>
    </xf>
    <xf applyAlignment="true" applyBorder="false" applyFill="false" applyFont="true" applyNumberFormat="false" applyProtection="false" borderId="162" fillId="0" fontId="4" numFmtId="0" xfId="0">
      <alignment horizontal="center" vertical="bottom"/>
    </xf>
    <xf applyAlignment="true" applyBorder="false" applyFill="false" applyFont="true" applyNumberFormat="true" applyProtection="false" borderId="162" fillId="0" fontId="3" numFmtId="202" xfId="0">
      <alignment horizontal="center" vertical="center"/>
    </xf>
    <xf applyAlignment="true" applyBorder="false" applyFill="false" applyFont="true" applyNumberFormat="true" applyProtection="false" borderId="162" fillId="0" fontId="3" numFmtId="202" xfId="0">
      <alignment horizontal="center" vertical="center"/>
    </xf>
    <xf applyAlignment="true" applyBorder="false" applyFill="false" applyFont="true" applyNumberFormat="false" applyProtection="false" borderId="159" fillId="0" fontId="4" numFmtId="0" xfId="0">
      <alignment horizontal="center" vertical="center"/>
    </xf>
    <xf applyAlignment="true" applyBorder="false" applyFill="true" applyFont="true" applyNumberFormat="true" applyProtection="false" borderId="169" fillId="52" fontId="5" numFmtId="203" xfId="0">
      <alignment horizontal="center" vertical="center"/>
    </xf>
    <xf applyAlignment="true" applyBorder="false" applyFill="false" applyFont="true" applyNumberFormat="true" applyProtection="false" borderId="163" fillId="0" fontId="4" numFmtId="200" xfId="0">
      <alignment horizontal="center" vertical="center"/>
    </xf>
    <xf applyAlignment="true" applyBorder="false" applyFill="false" applyFont="true" applyNumberFormat="true" applyProtection="false" borderId="163" fillId="0" fontId="4" numFmtId="197" xfId="0">
      <alignment horizontal="center" vertical="center"/>
    </xf>
    <xf applyAlignment="true" applyBorder="false" applyFill="false" applyFont="true" applyNumberFormat="true" applyProtection="false" borderId="170" fillId="0" fontId="4" numFmtId="197" xfId="0">
      <alignment horizontal="center" vertical="center"/>
    </xf>
    <xf applyAlignment="true" applyBorder="false" applyFill="false" applyFont="true" applyNumberFormat="true" applyProtection="false" borderId="164" fillId="0" fontId="4" numFmtId="197" xfId="0">
      <alignment horizontal="center" vertical="bottom"/>
    </xf>
    <xf applyAlignment="true" applyBorder="false" applyFill="false" applyFont="true" applyNumberFormat="true" applyProtection="false" borderId="163" fillId="0" fontId="5" numFmtId="198" xfId="0">
      <alignment horizontal="center" vertical="center"/>
    </xf>
    <xf applyAlignment="true" applyBorder="false" applyFill="false" applyFont="true" applyNumberFormat="true" applyProtection="false" borderId="163" fillId="0" fontId="4" numFmtId="198" xfId="0">
      <alignment horizontal="center" vertical="bottom"/>
    </xf>
    <xf applyAlignment="true" applyBorder="false" applyFill="false" applyFont="true" applyNumberFormat="false" applyProtection="false" borderId="163" fillId="0" fontId="4" numFmtId="0" xfId="0">
      <alignment horizontal="center" vertical="bottom"/>
    </xf>
    <xf applyAlignment="true" applyBorder="false" applyFill="false" applyFont="true" applyNumberFormat="true" applyProtection="false" borderId="163" fillId="0" fontId="3" numFmtId="202" xfId="0">
      <alignment horizontal="center" vertical="center"/>
    </xf>
    <xf applyAlignment="true" applyBorder="false" applyFill="false" applyFont="true" applyNumberFormat="true" applyProtection="false" borderId="163" fillId="0" fontId="3" numFmtId="202" xfId="0">
      <alignment horizontal="center" vertical="center"/>
    </xf>
    <xf applyAlignment="true" applyBorder="false" applyFill="false" applyFont="true" applyNumberFormat="true" applyProtection="false" borderId="167" fillId="0" fontId="4" numFmtId="200" xfId="0">
      <alignment horizontal="center" vertical="center"/>
    </xf>
    <xf applyAlignment="true" applyBorder="false" applyFill="false" applyFont="true" applyNumberFormat="true" applyProtection="false" borderId="167" fillId="0" fontId="4" numFmtId="197" xfId="0">
      <alignment horizontal="center" vertical="center"/>
    </xf>
    <xf applyAlignment="true" applyBorder="false" applyFill="false" applyFont="true" applyNumberFormat="true" applyProtection="false" borderId="171" fillId="0" fontId="4" numFmtId="197" xfId="0">
      <alignment horizontal="center" vertical="center"/>
    </xf>
    <xf applyAlignment="true" applyBorder="false" applyFill="false" applyFont="true" applyNumberFormat="true" applyProtection="false" borderId="172" fillId="0" fontId="4" numFmtId="197" xfId="0">
      <alignment horizontal="center" vertical="bottom"/>
    </xf>
    <xf applyAlignment="true" applyBorder="false" applyFill="false" applyFont="true" applyNumberFormat="true" applyProtection="false" borderId="167" fillId="0" fontId="5" numFmtId="198" xfId="0">
      <alignment horizontal="center" vertical="center"/>
    </xf>
    <xf applyAlignment="true" applyBorder="false" applyFill="false" applyFont="true" applyNumberFormat="true" applyProtection="false" borderId="167" fillId="0" fontId="4" numFmtId="198" xfId="0">
      <alignment horizontal="center" vertical="bottom"/>
    </xf>
    <xf applyAlignment="true" applyBorder="false" applyFill="false" applyFont="true" applyNumberFormat="false" applyProtection="false" borderId="167" fillId="0" fontId="4" numFmtId="0" xfId="0">
      <alignment horizontal="center" vertical="bottom"/>
    </xf>
    <xf applyAlignment="true" applyBorder="false" applyFill="false" applyFont="true" applyNumberFormat="true" applyProtection="false" borderId="167" fillId="0" fontId="3" numFmtId="202" xfId="0">
      <alignment horizontal="center" vertical="center"/>
    </xf>
    <xf applyAlignment="true" applyBorder="false" applyFill="false" applyFont="true" applyNumberFormat="true" applyProtection="false" borderId="167" fillId="0" fontId="3" numFmtId="202" xfId="0">
      <alignment horizontal="center" vertical="center"/>
    </xf>
    <xf applyAlignment="true" applyBorder="false" applyFill="true" applyFont="true" applyNumberFormat="true" applyProtection="false" borderId="173" fillId="53" fontId="1" numFmtId="202" xfId="0">
      <alignment horizontal="center" vertical="center"/>
    </xf>
    <xf applyAlignment="true" applyBorder="false" applyFill="true" applyFont="true" applyNumberFormat="true" applyProtection="false" borderId="174" fillId="53" fontId="1" numFmtId="202" xfId="0">
      <alignment horizontal="center" vertical="center"/>
    </xf>
    <xf applyAlignment="true" applyBorder="false" applyFill="true" applyFont="true" applyNumberFormat="true" applyProtection="false" borderId="175" fillId="53" fontId="5" numFmtId="203" xfId="0">
      <alignment horizontal="center" vertical="center"/>
    </xf>
    <xf applyAlignment="true" applyBorder="false" applyFill="true" applyFont="true" applyNumberFormat="true" applyProtection="false" borderId="167" fillId="53" fontId="1" numFmtId="200" xfId="0">
      <alignment horizontal="center" vertical="center"/>
    </xf>
    <xf applyAlignment="true" applyBorder="false" applyFill="true" applyFont="true" applyNumberFormat="true" applyProtection="false" borderId="167" fillId="53" fontId="1" numFmtId="197" xfId="0">
      <alignment horizontal="center" vertical="center"/>
    </xf>
    <xf applyAlignment="true" applyBorder="false" applyFill="true" applyFont="true" applyNumberFormat="true" applyProtection="false" borderId="171" fillId="53" fontId="1" numFmtId="197" xfId="0">
      <alignment horizontal="center" vertical="center"/>
    </xf>
    <xf applyAlignment="true" applyBorder="false" applyFill="true" applyFont="true" applyNumberFormat="true" applyProtection="false" borderId="167" fillId="53" fontId="1" numFmtId="197" xfId="0">
      <alignment horizontal="center" vertical="bottom"/>
    </xf>
    <xf applyAlignment="true" applyBorder="false" applyFill="true" applyFont="true" applyNumberFormat="true" applyProtection="false" borderId="167" fillId="53" fontId="5" numFmtId="198" xfId="0">
      <alignment horizontal="center" vertical="center"/>
    </xf>
    <xf applyAlignment="true" applyBorder="false" applyFill="false" applyFont="true" applyNumberFormat="true" applyProtection="false" borderId="167" fillId="0" fontId="4" numFmtId="202" xfId="0">
      <alignment horizontal="center" vertical="center"/>
    </xf>
    <xf applyAlignment="true" applyBorder="false" applyFill="true" applyFont="true" applyNumberFormat="true" applyProtection="false" borderId="159" fillId="54" fontId="5" numFmtId="202" xfId="0">
      <alignment horizontal="center" vertical="center"/>
    </xf>
    <xf applyAlignment="true" applyBorder="false" applyFill="true" applyFont="true" applyNumberFormat="true" applyProtection="false" borderId="159" fillId="54" fontId="5" numFmtId="203" xfId="0">
      <alignment horizontal="center" vertical="center"/>
    </xf>
    <xf applyAlignment="true" applyBorder="false" applyFill="true" applyFont="true" applyNumberFormat="true" applyProtection="false" borderId="169" fillId="54" fontId="5" numFmtId="200" xfId="0">
      <alignment horizontal="center" vertical="center"/>
    </xf>
    <xf applyAlignment="true" applyBorder="false" applyFill="true" applyFont="true" applyNumberFormat="true" applyProtection="false" borderId="167" fillId="54" fontId="5" numFmtId="203" xfId="0">
      <alignment horizontal="center" vertical="center"/>
    </xf>
    <xf applyAlignment="true" applyBorder="false" applyFill="true" applyFont="true" applyNumberFormat="true" applyProtection="false" borderId="167" fillId="54" fontId="5" numFmtId="200" xfId="0">
      <alignment horizontal="center" vertical="center"/>
    </xf>
    <xf applyAlignment="true" applyBorder="false" applyFill="true" applyFont="true" applyNumberFormat="true" applyProtection="false" borderId="163" fillId="54" fontId="5" numFmtId="197" xfId="0">
      <alignment horizontal="center" vertical="center"/>
    </xf>
    <xf applyAlignment="true" applyBorder="false" applyFill="true" applyFont="true" applyNumberFormat="true" applyProtection="false" borderId="170" fillId="54" fontId="5" numFmtId="198" xfId="0">
      <alignment horizontal="center" vertical="center"/>
    </xf>
    <xf applyAlignment="true" applyBorder="false" applyFill="true" applyFont="true" applyNumberFormat="true" applyProtection="false" borderId="176" fillId="50" fontId="1" numFmtId="197" xfId="0">
      <alignment horizontal="center" vertical="center"/>
    </xf>
    <xf applyAlignment="true" applyBorder="false" applyFill="false" applyFont="true" applyNumberFormat="true" applyProtection="false" borderId="159" fillId="0" fontId="4" numFmtId="202" xfId="0">
      <alignment horizontal="center" vertical="center"/>
    </xf>
    <xf applyAlignment="true" applyBorder="false" applyFill="false" applyFont="true" applyNumberFormat="true" applyProtection="false" borderId="162" fillId="0" fontId="6" numFmtId="204" xfId="0">
      <alignment horizontal="center" vertical="center"/>
    </xf>
    <xf applyAlignment="true" applyBorder="false" applyFill="false" applyFont="true" applyNumberFormat="true" applyProtection="false" borderId="177" fillId="0" fontId="4" numFmtId="200" xfId="0">
      <alignment horizontal="center" vertical="center"/>
    </xf>
    <xf applyAlignment="true" applyBorder="false" applyFill="false" applyFont="true" applyNumberFormat="true" applyProtection="false" borderId="178" fillId="0" fontId="4" numFmtId="200" xfId="0">
      <alignment horizontal="center" vertical="center"/>
    </xf>
    <xf applyAlignment="true" applyBorder="false" applyFill="false" applyFont="true" applyNumberFormat="true" applyProtection="false" borderId="169" fillId="0" fontId="4" numFmtId="200" xfId="0">
      <alignment horizontal="center" vertical="center"/>
    </xf>
    <xf applyAlignment="true" applyBorder="false" applyFill="true" applyFont="true" applyNumberFormat="true" applyProtection="false" borderId="179" fillId="53" fontId="5" numFmtId="203" xfId="0">
      <alignment horizontal="center" vertical="center"/>
    </xf>
    <xf applyAlignment="true" applyBorder="false" applyFill="true" applyFont="true" applyNumberFormat="true" applyProtection="false" borderId="167" fillId="53" fontId="7" numFmtId="198" xfId="0">
      <alignment horizontal="center" vertical="center"/>
    </xf>
    <xf applyAlignment="true" applyBorder="false" applyFill="true" applyFont="true" applyNumberFormat="true" applyProtection="false" borderId="169" fillId="53" fontId="1" numFmtId="200" xfId="0">
      <alignment horizontal="center" vertical="center"/>
    </xf>
    <xf applyAlignment="true" applyBorder="false" applyFill="true" applyFont="true" applyNumberFormat="true" applyProtection="false" borderId="167" fillId="55" fontId="6" numFmtId="198" xfId="0">
      <alignment horizontal="center" vertical="center"/>
    </xf>
    <xf applyAlignment="true" applyBorder="false" applyFill="true" applyFont="true" applyNumberFormat="true" applyProtection="false" borderId="167" fillId="53" fontId="6" numFmtId="198" xfId="0">
      <alignment horizontal="center" vertical="center"/>
    </xf>
    <xf applyAlignment="true" applyBorder="false" applyFill="true" applyFont="true" applyNumberFormat="true" applyProtection="false" borderId="178" fillId="54" fontId="5" numFmtId="200" xfId="0">
      <alignment horizontal="center" vertical="center"/>
    </xf>
    <xf applyAlignment="true" applyBorder="false" applyFill="true" applyFont="true" applyNumberFormat="true" applyProtection="false" borderId="167" fillId="53" fontId="7" numFmtId="198" xfId="0">
      <alignment horizontal="center" vertical="center"/>
    </xf>
    <xf applyAlignment="true" applyBorder="false" applyFill="true" applyFont="true" applyNumberFormat="true" applyProtection="false" borderId="159" fillId="50" fontId="1" numFmtId="197" xfId="0">
      <alignment horizontal="center" vertical="center"/>
    </xf>
    <xf applyAlignment="true" applyBorder="false" applyFill="true" applyFont="true" applyNumberFormat="true" applyProtection="false" borderId="159" fillId="49" fontId="2" numFmtId="198" xfId="0">
      <alignment horizontal="center" vertical="center"/>
    </xf>
    <xf applyAlignment="true" applyBorder="false" applyFill="true" applyFont="true" applyNumberFormat="true" applyProtection="false" borderId="174" fillId="50" fontId="1" numFmtId="197" xfId="0">
      <alignment horizontal="center" vertical="center"/>
    </xf>
    <xf applyAlignment="true" applyBorder="false" applyFill="true" applyFont="true" applyNumberFormat="true" applyProtection="false" borderId="159" fillId="50" fontId="1" numFmtId="200" xfId="0">
      <alignment horizontal="center" vertical="center"/>
    </xf>
    <xf applyAlignment="true" applyBorder="false" applyFill="false" applyFont="true" applyNumberFormat="true" applyProtection="false" borderId="159" fillId="0" fontId="4" numFmtId="198" xfId="0">
      <alignment horizontal="center" vertical="center"/>
    </xf>
    <xf applyAlignment="true" applyBorder="false" applyFill="true" applyFont="true" applyNumberFormat="true" applyProtection="false" borderId="159" fillId="51" fontId="4" numFmtId="201" xfId="0">
      <alignment horizontal="center" vertical="center"/>
    </xf>
    <xf applyAlignment="true" applyBorder="false" applyFill="false" applyFont="true" applyNumberFormat="false" applyProtection="false" borderId="159" fillId="0" fontId="3" numFmtId="0" xfId="0">
      <alignment horizontal="center" vertical="center"/>
    </xf>
    <xf applyAlignment="true" applyBorder="false" applyFill="false" applyFont="true" applyNumberFormat="true" applyProtection="false" borderId="160" fillId="0" fontId="4" numFmtId="202" xfId="0">
      <alignment horizontal="center" vertical="center"/>
    </xf>
    <xf applyAlignment="true" applyBorder="false" applyFill="false" applyFont="true" applyNumberFormat="true" applyProtection="false" borderId="159" fillId="0" fontId="6" numFmtId="204" xfId="0">
      <alignment horizontal="center" vertical="center"/>
    </xf>
    <xf applyAlignment="true" applyBorder="false" applyFill="false" applyFont="true" applyNumberFormat="true" applyProtection="false" borderId="160" fillId="0" fontId="4" numFmtId="200" xfId="0">
      <alignment horizontal="center" vertical="center"/>
    </xf>
    <xf applyAlignment="true" applyBorder="false" applyFill="false" applyFont="true" applyNumberFormat="true" applyProtection="false" borderId="159" fillId="0" fontId="4" numFmtId="197" xfId="0">
      <alignment horizontal="center" vertical="center"/>
    </xf>
    <xf applyAlignment="true" applyBorder="false" applyFill="false" applyFont="true" applyNumberFormat="true" applyProtection="false" borderId="159" fillId="0" fontId="4" numFmtId="200" xfId="0">
      <alignment horizontal="center" vertical="center"/>
    </xf>
    <xf applyAlignment="true" applyBorder="false" applyFill="false" applyFont="true" applyNumberFormat="true" applyProtection="false" borderId="159" fillId="0" fontId="4" numFmtId="197" xfId="0">
      <alignment horizontal="center" vertical="bottom"/>
    </xf>
    <xf applyAlignment="true" applyBorder="false" applyFill="false" applyFont="true" applyNumberFormat="true" applyProtection="false" borderId="159" fillId="0" fontId="5" numFmtId="198" xfId="0">
      <alignment horizontal="center" vertical="center"/>
    </xf>
    <xf applyAlignment="true" applyBorder="false" applyFill="false" applyFont="true" applyNumberFormat="true" applyProtection="false" borderId="159" fillId="0" fontId="4" numFmtId="198" xfId="0">
      <alignment horizontal="center" vertical="bottom"/>
    </xf>
    <xf applyAlignment="true" applyBorder="false" applyFill="false" applyFont="true" applyNumberFormat="false" applyProtection="false" borderId="159" fillId="0" fontId="4" numFmtId="0" xfId="0">
      <alignment horizontal="center" vertical="bottom"/>
    </xf>
    <xf applyAlignment="true" applyBorder="false" applyFill="false" applyFont="true" applyNumberFormat="true" applyProtection="false" borderId="159" fillId="0" fontId="3" numFmtId="202" xfId="0">
      <alignment horizontal="center" vertical="center"/>
    </xf>
    <xf applyAlignment="true" applyBorder="false" applyFill="false" applyFont="true" applyNumberFormat="true" applyProtection="false" borderId="159" fillId="0" fontId="3" numFmtId="202" xfId="0">
      <alignment horizontal="center" vertical="center"/>
    </xf>
    <xf applyAlignment="true" applyBorder="false" applyFill="false" applyFont="true" applyNumberFormat="true" applyProtection="false" borderId="163" fillId="0" fontId="4" numFmtId="198" xfId="0">
      <alignment horizontal="center" vertical="bottom"/>
    </xf>
    <xf applyAlignment="true" applyBorder="false" applyFill="false" applyFont="true" applyNumberFormat="false" applyProtection="false" borderId="163" fillId="0" fontId="4" numFmtId="0" xfId="0">
      <alignment horizontal="center" vertical="bottom"/>
    </xf>
    <xf applyAlignment="true" applyBorder="false" applyFill="false" applyFont="true" applyNumberFormat="true" applyProtection="false" borderId="167" fillId="0" fontId="4" numFmtId="198" xfId="0">
      <alignment horizontal="center" vertical="bottom"/>
    </xf>
    <xf applyAlignment="true" applyBorder="false" applyFill="false" applyFont="true" applyNumberFormat="false" applyProtection="false" borderId="167" fillId="0" fontId="4" numFmtId="0" xfId="0">
      <alignment horizontal="center" vertical="bottom"/>
    </xf>
    <xf applyAlignment="true" applyBorder="false" applyFill="true" applyFont="true" applyNumberFormat="true" applyProtection="false" borderId="167" fillId="56" fontId="6" numFmtId="198" xfId="0">
      <alignment horizontal="center" vertical="center"/>
    </xf>
    <xf applyAlignment="true" applyBorder="false" applyFill="true" applyFont="true" applyNumberFormat="true" applyProtection="false" borderId="167" fillId="53" fontId="6" numFmtId="198" xfId="0">
      <alignment horizontal="center" vertical="center"/>
    </xf>
    <xf applyAlignment="true" applyBorder="false" applyFill="false" applyFont="true" applyNumberFormat="true" applyProtection="false" borderId="174" fillId="0" fontId="4" numFmtId="197" xfId="0">
      <alignment horizontal="center" vertical="bottom"/>
    </xf>
    <xf applyAlignment="true" applyBorder="false" applyFill="false" applyFont="true" applyNumberFormat="true" applyProtection="false" borderId="166" fillId="0" fontId="4" numFmtId="197" xfId="0">
      <alignment horizontal="center" vertical="center"/>
    </xf>
    <xf applyAlignment="true" applyBorder="false" applyFill="true" applyFont="true" applyNumberFormat="true" applyProtection="false" borderId="160" fillId="49" fontId="1" numFmtId="197" xfId="0">
      <alignment horizontal="center" vertical="center"/>
    </xf>
    <xf applyAlignment="true" applyBorder="false" applyFill="true" applyFont="true" applyNumberFormat="false" applyProtection="false" borderId="166" fillId="49" fontId="1" numFmtId="0" xfId="0">
      <alignment horizontal="center" vertical="center"/>
    </xf>
    <xf applyAlignment="true" applyBorder="false" applyFill="false" applyFont="true" applyNumberFormat="false" applyProtection="false" borderId="159" fillId="0" fontId="3" numFmtId="0" xfId="0">
      <alignment horizontal="center" vertical="center"/>
    </xf>
    <xf applyAlignment="true" applyBorder="false" applyFill="false" applyFont="true" applyNumberFormat="false" applyProtection="false" borderId="159" fillId="0" fontId="4" numFmtId="0" xfId="0">
      <alignment horizontal="center" vertical="bottom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false" applyFont="true" applyNumberFormat="false" applyProtection="false" borderId="0" fillId="0" fontId="15" numFmtId="0" xfId="0">
      <alignment vertical="center"/>
    </xf>
    <xf applyAlignment="true" applyBorder="false" applyFill="false" applyFont="true" applyNumberFormat="true" applyProtection="false" borderId="0" fillId="0" fontId="8" numFmtId="205" xfId="0">
      <alignment vertical="center"/>
    </xf>
    <xf applyAlignment="true" applyBorder="false" applyFill="false" applyFont="true" applyNumberFormat="false" applyProtection="false" borderId="0" fillId="0" fontId="8" numFmtId="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false" applyFont="true" applyNumberFormat="true" applyProtection="false" borderId="0" fillId="0" fontId="8" numFmtId="206" xfId="0">
      <alignment vertical="center"/>
    </xf>
    <xf applyAlignment="true" applyBorder="false" applyFill="false" applyFont="true" applyNumberFormat="true" applyProtection="false" borderId="0" fillId="0" fontId="8" numFmtId="205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calcChain.xml" Type="http://schemas.openxmlformats.org/officeDocument/2006/relationships/calcChain"></Relationship><Relationship Id="rId12" Target="metadata.xml" Type="http://schemas.openxmlformats.org/officeDocument/2006/relationships/sheetMetadata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9" min="9" style="0" width="11.211267605633802"/>
    <col collapsed="false" customWidth="true" hidden="false" max="11" min="11" style="0" width="11.211267605633802"/>
    <col collapsed="false" customWidth="true" hidden="false" max="13" min="13" style="0" width="11.211267605633802"/>
    <col collapsed="false" customWidth="true" hidden="false" max="37" min="37" style="0" width="12.788732394366198"/>
    <col collapsed="false" customWidth="true" hidden="false" max="39" min="39" style="0" width="18.637424107774205"/>
    <col collapsed="false" customWidth="true" hidden="false" max="8" min="8" style="0" width="11.211267605633802"/>
    <col collapsed="false" customWidth="true" hidden="true" max="8" min="8" style="0" width="11.211267605633802"/>
    <col collapsed="false" customWidth="true" hidden="false" max="10" min="10" style="0" width="11.211267605633802"/>
    <col collapsed="false" customWidth="true" hidden="false" max="12" min="12" style="0" width="11.211267605633802"/>
    <col collapsed="false" customWidth="true" hidden="false" max="36" min="36" style="0" width="12.826291079812172"/>
    <col collapsed="false" customWidth="true" hidden="false" max="6" min="6" style="0" width="11.211267605633802"/>
    <col collapsed="false" customWidth="true" hidden="true" max="6" min="6" style="0" width="11.211267605633802"/>
  </cols>
  <sheetData>
    <row r="1">
      <c r="A1" s="1" t="s">
        <v>1</v>
      </c>
      <c r="B1" s="1"/>
      <c r="C1" s="1"/>
      <c r="D1" s="2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3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4" t="s">
        <v>4</v>
      </c>
      <c r="AE1" s="4"/>
      <c r="AF1" s="4"/>
      <c r="AG1" s="4"/>
      <c r="AH1" s="4"/>
      <c r="AI1" s="4"/>
      <c r="AJ1" s="4"/>
      <c r="AK1" s="4"/>
      <c r="AL1" s="4"/>
      <c r="AM1" s="5"/>
    </row>
    <row r="2">
      <c r="A2" s="1" t="s">
        <v>5</v>
      </c>
      <c r="B2" s="6" t="s">
        <v>6</v>
      </c>
      <c r="C2" s="6" t="s">
        <v>7</v>
      </c>
      <c r="D2" s="7" t="s">
        <v>8</v>
      </c>
      <c r="E2" s="8" t="s">
        <v>9</v>
      </c>
      <c r="F2" s="8" t="s">
        <v>10</v>
      </c>
      <c r="G2" s="9" t="s">
        <v>11</v>
      </c>
      <c r="H2" s="10" t="s">
        <v>12</v>
      </c>
      <c r="I2" s="11" t="s">
        <v>13</v>
      </c>
      <c r="J2" s="12" t="s">
        <v>14</v>
      </c>
      <c r="K2" s="2" t="s">
        <v>15</v>
      </c>
      <c r="L2" s="13" t="s">
        <v>16</v>
      </c>
      <c r="M2" s="13" t="s">
        <v>17</v>
      </c>
      <c r="N2" s="9" t="s">
        <v>18</v>
      </c>
      <c r="O2" s="13" t="s">
        <v>19</v>
      </c>
      <c r="P2" s="3" t="s">
        <v>20</v>
      </c>
      <c r="Q2" s="3" t="s">
        <v>21</v>
      </c>
      <c r="R2" s="3" t="s">
        <v>22</v>
      </c>
      <c r="S2" s="14" t="s">
        <v>23</v>
      </c>
      <c r="T2" s="14" t="s">
        <v>24</v>
      </c>
      <c r="U2" s="3" t="s">
        <v>25</v>
      </c>
      <c r="V2" s="14" t="s">
        <v>26</v>
      </c>
      <c r="W2" s="14" t="s">
        <v>27</v>
      </c>
      <c r="X2" s="3" t="s">
        <v>28</v>
      </c>
      <c r="Y2" s="14" t="s">
        <v>29</v>
      </c>
      <c r="Z2" s="3" t="s">
        <v>30</v>
      </c>
      <c r="AA2" s="15" t="s">
        <v>31</v>
      </c>
      <c r="AB2" s="15" t="s">
        <v>32</v>
      </c>
      <c r="AC2" s="16" t="s">
        <v>33</v>
      </c>
      <c r="AD2" s="17" t="s">
        <v>34</v>
      </c>
      <c r="AE2" s="18" t="s">
        <v>35</v>
      </c>
      <c r="AF2" s="18" t="s">
        <v>36</v>
      </c>
      <c r="AG2" s="18" t="s">
        <v>37</v>
      </c>
      <c r="AH2" s="18" t="s">
        <v>38</v>
      </c>
      <c r="AI2" s="18" t="s">
        <v>39</v>
      </c>
      <c r="AJ2" s="19" t="s">
        <v>40</v>
      </c>
      <c r="AK2" s="19" t="s">
        <v>41</v>
      </c>
      <c r="AL2" s="19" t="s">
        <v>42</v>
      </c>
      <c r="AM2" s="5"/>
    </row>
    <row r="3">
      <c r="A3" s="20" t="s">
        <v>43</v>
      </c>
      <c r="B3" s="21" t="s">
        <v>44</v>
      </c>
      <c r="C3" s="22" t="s">
        <v>45</v>
      </c>
      <c r="D3" s="23">
        <f t="shared" ref="D3:D6" si="38">E3+F3+G3+H3</f>
      </c>
      <c r="E3" s="24">
        <v>1847.47</v>
      </c>
      <c r="F3" s="25"/>
      <c r="G3" s="26">
        <v>1592.04</v>
      </c>
      <c r="H3" s="27"/>
      <c r="I3" s="24">
        <v>1</v>
      </c>
      <c r="J3" s="28">
        <v>2268</v>
      </c>
      <c r="K3" s="24">
        <v>0</v>
      </c>
      <c r="L3" s="24">
        <v>0</v>
      </c>
      <c r="M3" s="24">
        <v>1</v>
      </c>
      <c r="N3" s="29">
        <f t="shared" ref="N3:N13" si="0">J3/D3</f>
      </c>
      <c r="O3" s="29">
        <f t="shared" ref="O3:O13" si="255">J3/(D3+300*AL3)</f>
      </c>
      <c r="P3" s="30">
        <f t="shared" ref="P3:P13" si="217">(D3/AE3)*1000</f>
      </c>
      <c r="Q3" s="31">
        <f t="shared" ref="Q3:Q13" si="160">AF3/AE3</f>
      </c>
      <c r="R3" s="32">
        <f t="shared" ref="R3:R13" si="122">D3/AG3</f>
      </c>
      <c r="S3" s="31">
        <f t="shared" ref="S3:S13" si="179">AH3/AG3</f>
      </c>
      <c r="T3" s="31">
        <f t="shared" ref="T3:T13" si="103">AI3/AG3</f>
      </c>
      <c r="U3" s="32">
        <f t="shared" ref="U3:U13" si="84">D3/AI3</f>
      </c>
      <c r="V3" s="31">
        <f t="shared" ref="V3:V13" si="65">AJ3/AI3</f>
      </c>
      <c r="W3" s="31">
        <f t="shared" ref="W3:W13" si="19">I3/AJ3</f>
      </c>
      <c r="X3" s="32">
        <f t="shared" ref="X3:X13" si="274">D3/I3</f>
      </c>
      <c r="Y3" s="33">
        <f t="shared" ref="Y3:Y13" si="236">J3/I3</f>
      </c>
      <c r="Z3" s="32">
        <f t="shared" ref="Z3:Z13" si="198">D3/AD3</f>
      </c>
      <c r="AA3" s="34">
        <f t="shared" ref="AA3:AA13" si="141">AK3*1000/D3</f>
      </c>
      <c r="AB3" s="35" t="s">
        <v>46</v>
      </c>
      <c r="AC3" s="36" t="s">
        <v>47</v>
      </c>
      <c r="AD3" s="37">
        <v>1</v>
      </c>
      <c r="AE3" s="38">
        <v>10556</v>
      </c>
      <c r="AF3" s="39">
        <v>484</v>
      </c>
      <c r="AG3" s="26">
        <v>783</v>
      </c>
      <c r="AH3" s="26">
        <v>117</v>
      </c>
      <c r="AI3" s="21">
        <v>45</v>
      </c>
      <c r="AJ3" s="25">
        <v>3</v>
      </c>
      <c r="AK3" s="40">
        <v>16</v>
      </c>
      <c r="AL3" s="41">
        <v>1</v>
      </c>
      <c r="AM3" s="42"/>
    </row>
    <row r="4">
      <c r="A4" s="20"/>
      <c r="B4" s="43" t="s">
        <v>48</v>
      </c>
      <c r="C4" s="44" t="s">
        <v>45</v>
      </c>
      <c r="D4" s="26">
        <f t="shared" si="38"/>
      </c>
      <c r="E4" s="45">
        <v>2452.43</v>
      </c>
      <c r="F4" s="45"/>
      <c r="G4" s="21">
        <v>926.23</v>
      </c>
      <c r="H4" s="27"/>
      <c r="I4" s="46">
        <v>3</v>
      </c>
      <c r="J4" s="39">
        <v>5004</v>
      </c>
      <c r="K4" s="25">
        <v>1</v>
      </c>
      <c r="L4" s="40">
        <v>0</v>
      </c>
      <c r="M4" s="40">
        <v>2</v>
      </c>
      <c r="N4" s="29">
        <f t="shared" si="0"/>
      </c>
      <c r="O4" s="29">
        <f t="shared" si="255"/>
      </c>
      <c r="P4" s="30">
        <f t="shared" si="217"/>
      </c>
      <c r="Q4" s="31">
        <f t="shared" si="160"/>
      </c>
      <c r="R4" s="32">
        <f t="shared" si="122"/>
      </c>
      <c r="S4" s="31">
        <f t="shared" si="179"/>
      </c>
      <c r="T4" s="31">
        <f t="shared" si="103"/>
      </c>
      <c r="U4" s="32">
        <f t="shared" si="84"/>
      </c>
      <c r="V4" s="31">
        <f t="shared" si="65"/>
      </c>
      <c r="W4" s="31">
        <f t="shared" si="19"/>
      </c>
      <c r="X4" s="32">
        <f t="shared" si="274"/>
      </c>
      <c r="Y4" s="33">
        <f t="shared" si="236"/>
      </c>
      <c r="Z4" s="32">
        <f t="shared" si="198"/>
      </c>
      <c r="AA4" s="34">
        <f t="shared" si="141"/>
      </c>
      <c r="AB4" s="35" t="s">
        <v>46</v>
      </c>
      <c r="AC4" s="36" t="s">
        <v>47</v>
      </c>
      <c r="AD4" s="28">
        <v>2</v>
      </c>
      <c r="AE4" s="47">
        <v>10723</v>
      </c>
      <c r="AF4" s="47">
        <v>438</v>
      </c>
      <c r="AG4" s="48">
        <v>654</v>
      </c>
      <c r="AH4" s="21">
        <v>123</v>
      </c>
      <c r="AI4" s="21">
        <v>35</v>
      </c>
      <c r="AJ4" s="49">
        <v>6</v>
      </c>
      <c r="AK4" s="50">
        <v>20</v>
      </c>
      <c r="AL4" s="41">
        <v>1</v>
      </c>
      <c r="AM4" s="42"/>
    </row>
    <row r="5">
      <c r="A5" s="20"/>
      <c r="B5" s="43" t="s">
        <v>49</v>
      </c>
      <c r="C5" s="39" t="s">
        <v>45</v>
      </c>
      <c r="D5" s="26">
        <f t="shared" si="38"/>
      </c>
      <c r="E5" s="25">
        <v>1605.44</v>
      </c>
      <c r="F5" s="25"/>
      <c r="G5" s="21">
        <v>1325.93</v>
      </c>
      <c r="H5" s="40"/>
      <c r="I5" s="51">
        <v>3</v>
      </c>
      <c r="J5" s="51">
        <v>6804</v>
      </c>
      <c r="K5" s="51">
        <v>0</v>
      </c>
      <c r="L5" s="51">
        <v>0</v>
      </c>
      <c r="M5" s="51">
        <v>3</v>
      </c>
      <c r="N5" s="29">
        <f t="shared" si="0"/>
      </c>
      <c r="O5" s="29">
        <f t="shared" si="255"/>
      </c>
      <c r="P5" s="30">
        <f t="shared" si="217"/>
      </c>
      <c r="Q5" s="31">
        <f t="shared" si="160"/>
      </c>
      <c r="R5" s="32">
        <f t="shared" si="122"/>
      </c>
      <c r="S5" s="31">
        <f t="shared" si="179"/>
      </c>
      <c r="T5" s="31">
        <f t="shared" si="103"/>
      </c>
      <c r="U5" s="32">
        <f t="shared" si="84"/>
      </c>
      <c r="V5" s="31">
        <f t="shared" si="65"/>
      </c>
      <c r="W5" s="31">
        <f t="shared" si="19"/>
      </c>
      <c r="X5" s="32">
        <f t="shared" si="274"/>
      </c>
      <c r="Y5" s="33">
        <f t="shared" si="236"/>
      </c>
      <c r="Z5" s="32">
        <f t="shared" si="198"/>
      </c>
      <c r="AA5" s="34">
        <f t="shared" si="141"/>
      </c>
      <c r="AB5" s="35" t="s">
        <v>46</v>
      </c>
      <c r="AC5" s="36" t="s">
        <v>47</v>
      </c>
      <c r="AD5" s="28">
        <v>3</v>
      </c>
      <c r="AE5" s="26">
        <v>8469</v>
      </c>
      <c r="AF5" s="26">
        <v>354</v>
      </c>
      <c r="AG5" s="21">
        <v>548</v>
      </c>
      <c r="AH5" s="21">
        <v>81</v>
      </c>
      <c r="AI5" s="21">
        <v>31</v>
      </c>
      <c r="AJ5" s="49">
        <v>5</v>
      </c>
      <c r="AK5" s="50">
        <v>14</v>
      </c>
      <c r="AL5" s="41">
        <v>1</v>
      </c>
      <c r="AM5" s="42"/>
    </row>
    <row r="6">
      <c r="A6" s="20"/>
      <c r="B6" s="43" t="s">
        <v>50</v>
      </c>
      <c r="C6" s="48" t="s">
        <v>45</v>
      </c>
      <c r="D6" s="26">
        <f t="shared" si="38"/>
      </c>
      <c r="E6" s="25">
        <v>2264.37</v>
      </c>
      <c r="F6" s="25"/>
      <c r="G6" s="21">
        <v>929.78</v>
      </c>
      <c r="H6" s="40"/>
      <c r="I6" s="40">
        <v>2</v>
      </c>
      <c r="J6" s="40">
        <v>4536</v>
      </c>
      <c r="K6" s="40">
        <v>0</v>
      </c>
      <c r="L6" s="40">
        <v>0</v>
      </c>
      <c r="M6" s="40">
        <v>2</v>
      </c>
      <c r="N6" s="29">
        <f t="shared" si="0"/>
      </c>
      <c r="O6" s="29">
        <f t="shared" si="255"/>
      </c>
      <c r="P6" s="30">
        <f t="shared" si="217"/>
      </c>
      <c r="Q6" s="31">
        <f t="shared" si="160"/>
      </c>
      <c r="R6" s="32">
        <f t="shared" si="122"/>
      </c>
      <c r="S6" s="31">
        <f t="shared" si="179"/>
      </c>
      <c r="T6" s="31">
        <f t="shared" si="103"/>
      </c>
      <c r="U6" s="32">
        <f t="shared" si="84"/>
      </c>
      <c r="V6" s="31">
        <f t="shared" si="65"/>
      </c>
      <c r="W6" s="31">
        <f t="shared" si="19"/>
      </c>
      <c r="X6" s="32">
        <f t="shared" si="274"/>
      </c>
      <c r="Y6" s="33">
        <f t="shared" si="236"/>
      </c>
      <c r="Z6" s="32">
        <f t="shared" si="198"/>
      </c>
      <c r="AA6" s="34">
        <f t="shared" si="141"/>
      </c>
      <c r="AB6" s="35" t="s">
        <v>46</v>
      </c>
      <c r="AC6" s="36" t="s">
        <v>47</v>
      </c>
      <c r="AD6" s="52">
        <v>2</v>
      </c>
      <c r="AE6" s="47">
        <v>9638</v>
      </c>
      <c r="AF6" s="21">
        <v>338</v>
      </c>
      <c r="AG6" s="21">
        <v>467</v>
      </c>
      <c r="AH6" s="21">
        <v>76</v>
      </c>
      <c r="AI6" s="21">
        <v>36</v>
      </c>
      <c r="AJ6" s="49">
        <v>5</v>
      </c>
      <c r="AK6" s="50">
        <v>14</v>
      </c>
      <c r="AL6" s="41">
        <v>1</v>
      </c>
      <c r="AM6" s="42"/>
    </row>
    <row r="7">
      <c r="A7" s="20"/>
      <c r="B7" s="53" t="s">
        <v>51</v>
      </c>
      <c r="C7" s="53"/>
      <c r="D7" s="53">
        <f>SUM(D3:D6)</f>
      </c>
      <c r="E7" s="53">
        <f>SUM(E3:E6)</f>
      </c>
      <c r="F7" s="53">
        <f>SUM(F3:F6)</f>
      </c>
      <c r="G7" s="53">
        <f>SUM(G3:G6)</f>
      </c>
      <c r="H7" s="53">
        <f>SUM(H3:H6)</f>
      </c>
      <c r="I7" s="53">
        <f>SUM(I3:I6)</f>
      </c>
      <c r="J7" s="53">
        <f>SUM(J3:J6)</f>
      </c>
      <c r="K7" s="53">
        <f>SUM(K3:K6)</f>
      </c>
      <c r="L7" s="53">
        <f>SUM(L3:L6)</f>
      </c>
      <c r="M7" s="53">
        <f>SUM(M3:M6)</f>
      </c>
      <c r="N7" s="54">
        <f t="shared" si="0"/>
      </c>
      <c r="O7" s="55">
        <f t="shared" si="255"/>
      </c>
      <c r="P7" s="56">
        <f t="shared" si="217"/>
      </c>
      <c r="Q7" s="57">
        <f t="shared" si="160"/>
      </c>
      <c r="R7" s="58">
        <f t="shared" si="122"/>
      </c>
      <c r="S7" s="57">
        <f t="shared" si="179"/>
      </c>
      <c r="T7" s="59">
        <f t="shared" si="103"/>
      </c>
      <c r="U7" s="60">
        <f t="shared" si="84"/>
      </c>
      <c r="V7" s="59">
        <f t="shared" si="65"/>
      </c>
      <c r="W7" s="59">
        <f t="shared" si="19"/>
      </c>
      <c r="X7" s="60">
        <f t="shared" si="274"/>
      </c>
      <c r="Y7" s="61">
        <f t="shared" si="236"/>
      </c>
      <c r="Z7" s="60">
        <f t="shared" si="198"/>
      </c>
      <c r="AA7" s="62">
        <f t="shared" si="141"/>
      </c>
      <c r="AB7" s="63"/>
      <c r="AC7" s="64"/>
      <c r="AD7" s="65">
        <f>SUM(AD3:AD6)</f>
      </c>
      <c r="AE7" s="66">
        <f>SUM(AE3:AE6)</f>
      </c>
      <c r="AF7" s="66">
        <f>SUM(AF3:AF6)</f>
      </c>
      <c r="AG7" s="66">
        <f>SUM(AG3:AG6)</f>
      </c>
      <c r="AH7" s="66">
        <f>SUM(AH3:AH6)</f>
      </c>
      <c r="AI7" s="66">
        <f>SUM(AI3:AI6)</f>
      </c>
      <c r="AJ7" s="66">
        <f>SUM(AJ3:AJ6)</f>
      </c>
      <c r="AK7" s="66">
        <f>SUM(AK3:AK6)</f>
      </c>
      <c r="AL7" s="66">
        <f>SUM(AL3:AL6)</f>
      </c>
      <c r="AM7" s="42"/>
    </row>
    <row r="8">
      <c r="A8" s="20"/>
      <c r="B8" s="51" t="s">
        <v>52</v>
      </c>
      <c r="C8" s="22" t="s">
        <v>53</v>
      </c>
      <c r="D8" s="21">
        <f t="shared" ref="D8:D11" si="39">E8+F8+G8+H8</f>
      </c>
      <c r="E8" s="40">
        <v>1768.88</v>
      </c>
      <c r="F8" s="25"/>
      <c r="G8" s="21">
        <v>952.38</v>
      </c>
      <c r="H8" s="40"/>
      <c r="I8" s="40">
        <v>2</v>
      </c>
      <c r="J8" s="21">
        <v>3216</v>
      </c>
      <c r="K8" s="40">
        <v>0</v>
      </c>
      <c r="L8" s="40">
        <v>1</v>
      </c>
      <c r="M8" s="67">
        <v>1</v>
      </c>
      <c r="N8" s="68">
        <f t="shared" si="0"/>
      </c>
      <c r="O8" s="69">
        <f t="shared" si="255"/>
      </c>
      <c r="P8" s="70">
        <f t="shared" si="217"/>
      </c>
      <c r="Q8" s="71">
        <f t="shared" si="160"/>
      </c>
      <c r="R8" s="72">
        <f t="shared" si="122"/>
      </c>
      <c r="S8" s="71">
        <f t="shared" si="179"/>
      </c>
      <c r="T8" s="73">
        <f t="shared" si="103"/>
      </c>
      <c r="U8" s="32">
        <f t="shared" si="84"/>
      </c>
      <c r="V8" s="31">
        <f t="shared" si="65"/>
      </c>
      <c r="W8" s="31">
        <f t="shared" si="19"/>
      </c>
      <c r="X8" s="32">
        <f t="shared" si="274"/>
      </c>
      <c r="Y8" s="33">
        <f t="shared" si="236"/>
      </c>
      <c r="Z8" s="32">
        <f t="shared" si="198"/>
      </c>
      <c r="AA8" s="34">
        <f t="shared" si="141"/>
      </c>
      <c r="AB8" s="35" t="s">
        <v>46</v>
      </c>
      <c r="AC8" s="36" t="s">
        <v>47</v>
      </c>
      <c r="AD8" s="28">
        <v>1</v>
      </c>
      <c r="AE8" s="74">
        <v>9061</v>
      </c>
      <c r="AF8" s="75">
        <v>325</v>
      </c>
      <c r="AG8" s="75">
        <v>453</v>
      </c>
      <c r="AH8" s="75">
        <v>68</v>
      </c>
      <c r="AI8" s="75">
        <v>28</v>
      </c>
      <c r="AJ8" s="41">
        <v>2</v>
      </c>
      <c r="AK8" s="41">
        <v>16</v>
      </c>
      <c r="AL8" s="41">
        <v>1</v>
      </c>
      <c r="AM8" s="42"/>
    </row>
    <row r="9">
      <c r="A9" s="20"/>
      <c r="B9" s="48" t="s">
        <v>54</v>
      </c>
      <c r="C9" s="22" t="s">
        <v>53</v>
      </c>
      <c r="D9" s="21">
        <f t="shared" si="39"/>
      </c>
      <c r="E9" s="40">
        <v>1198.24</v>
      </c>
      <c r="F9" s="25"/>
      <c r="G9" s="21">
        <v>1592.4</v>
      </c>
      <c r="H9" s="40"/>
      <c r="I9" s="40">
        <v>2</v>
      </c>
      <c r="J9" s="21">
        <v>4536</v>
      </c>
      <c r="K9" s="40">
        <v>0</v>
      </c>
      <c r="L9" s="40">
        <v>0</v>
      </c>
      <c r="M9" s="67">
        <v>2</v>
      </c>
      <c r="N9" s="68">
        <f t="shared" si="0"/>
      </c>
      <c r="O9" s="69">
        <f t="shared" si="255"/>
      </c>
      <c r="P9" s="70">
        <f t="shared" si="217"/>
      </c>
      <c r="Q9" s="71">
        <f t="shared" si="160"/>
      </c>
      <c r="R9" s="72">
        <f t="shared" si="122"/>
      </c>
      <c r="S9" s="71">
        <f t="shared" si="179"/>
      </c>
      <c r="T9" s="73">
        <f t="shared" si="103"/>
      </c>
      <c r="U9" s="32">
        <f t="shared" si="84"/>
      </c>
      <c r="V9" s="31">
        <f t="shared" si="65"/>
      </c>
      <c r="W9" s="31">
        <f t="shared" si="19"/>
      </c>
      <c r="X9" s="32">
        <f t="shared" si="274"/>
      </c>
      <c r="Y9" s="33">
        <f t="shared" si="236"/>
      </c>
      <c r="Z9" s="32">
        <f t="shared" si="198"/>
      </c>
      <c r="AA9" s="34">
        <f t="shared" si="141"/>
      </c>
      <c r="AB9" s="35" t="s">
        <v>46</v>
      </c>
      <c r="AC9" s="36" t="s">
        <v>47</v>
      </c>
      <c r="AD9" s="28">
        <v>3</v>
      </c>
      <c r="AE9" s="74">
        <v>8007</v>
      </c>
      <c r="AF9" s="75">
        <v>382</v>
      </c>
      <c r="AG9" s="75">
        <v>505</v>
      </c>
      <c r="AH9" s="75">
        <v>69</v>
      </c>
      <c r="AI9" s="75">
        <v>36</v>
      </c>
      <c r="AJ9" s="41">
        <v>5</v>
      </c>
      <c r="AK9" s="41">
        <v>18</v>
      </c>
      <c r="AL9" s="41">
        <v>1</v>
      </c>
      <c r="AM9" s="42"/>
    </row>
    <row r="10">
      <c r="A10" s="20"/>
      <c r="B10" s="40" t="s">
        <v>55</v>
      </c>
      <c r="C10" s="22" t="s">
        <v>53</v>
      </c>
      <c r="D10" s="21">
        <f t="shared" si="39"/>
      </c>
      <c r="E10" s="40">
        <v>1141.55</v>
      </c>
      <c r="F10" s="25"/>
      <c r="G10" s="21">
        <v>1424.59</v>
      </c>
      <c r="H10" s="40"/>
      <c r="I10" s="40">
        <v>4</v>
      </c>
      <c r="J10" s="40">
        <v>6432</v>
      </c>
      <c r="K10" s="40">
        <v>0</v>
      </c>
      <c r="L10" s="40">
        <v>2</v>
      </c>
      <c r="M10" s="40">
        <v>2</v>
      </c>
      <c r="N10" s="76">
        <f t="shared" si="0"/>
      </c>
      <c r="O10" s="69">
        <f t="shared" si="255"/>
      </c>
      <c r="P10" s="70">
        <f t="shared" si="217"/>
      </c>
      <c r="Q10" s="71">
        <f t="shared" si="160"/>
      </c>
      <c r="R10" s="72">
        <f t="shared" si="122"/>
      </c>
      <c r="S10" s="71">
        <f t="shared" si="179"/>
      </c>
      <c r="T10" s="73">
        <f t="shared" si="103"/>
      </c>
      <c r="U10" s="32">
        <f t="shared" si="84"/>
      </c>
      <c r="V10" s="31">
        <f t="shared" si="65"/>
      </c>
      <c r="W10" s="31">
        <f t="shared" si="19"/>
      </c>
      <c r="X10" s="32">
        <f t="shared" si="274"/>
      </c>
      <c r="Y10" s="33">
        <f t="shared" si="236"/>
      </c>
      <c r="Z10" s="32">
        <f t="shared" si="198"/>
      </c>
      <c r="AA10" s="34">
        <f t="shared" si="141"/>
      </c>
      <c r="AB10" s="35" t="s">
        <v>46</v>
      </c>
      <c r="AC10" s="36" t="s">
        <v>47</v>
      </c>
      <c r="AD10" s="28">
        <v>4</v>
      </c>
      <c r="AE10" s="74">
        <v>7604</v>
      </c>
      <c r="AF10" s="75">
        <v>369</v>
      </c>
      <c r="AG10" s="75">
        <v>592</v>
      </c>
      <c r="AH10" s="75">
        <v>81</v>
      </c>
      <c r="AI10" s="75">
        <v>42</v>
      </c>
      <c r="AJ10" s="41">
        <v>4</v>
      </c>
      <c r="AK10" s="41">
        <v>24</v>
      </c>
      <c r="AL10" s="41">
        <v>1</v>
      </c>
      <c r="AM10" s="42"/>
    </row>
    <row r="11">
      <c r="A11" s="20"/>
      <c r="B11" s="27" t="s">
        <v>56</v>
      </c>
      <c r="C11" s="39" t="s">
        <v>53</v>
      </c>
      <c r="D11" s="26">
        <f t="shared" si="39"/>
      </c>
      <c r="E11" s="40">
        <v>1718.29</v>
      </c>
      <c r="F11" s="25"/>
      <c r="G11" s="21">
        <v>1348.89</v>
      </c>
      <c r="H11" s="40"/>
      <c r="I11" s="40">
        <v>4</v>
      </c>
      <c r="J11" s="21">
        <v>7673</v>
      </c>
      <c r="K11" s="40">
        <v>0</v>
      </c>
      <c r="L11" s="27">
        <v>1</v>
      </c>
      <c r="M11" s="77">
        <v>3</v>
      </c>
      <c r="N11" s="78">
        <f t="shared" si="0"/>
      </c>
      <c r="O11" s="69">
        <f t="shared" si="255"/>
      </c>
      <c r="P11" s="70">
        <f t="shared" si="217"/>
      </c>
      <c r="Q11" s="71">
        <f t="shared" si="160"/>
      </c>
      <c r="R11" s="72">
        <f t="shared" si="122"/>
      </c>
      <c r="S11" s="71">
        <f t="shared" si="179"/>
      </c>
      <c r="T11" s="73">
        <f t="shared" si="103"/>
      </c>
      <c r="U11" s="32">
        <f t="shared" si="84"/>
      </c>
      <c r="V11" s="31">
        <f t="shared" si="65"/>
      </c>
      <c r="W11" s="31">
        <f t="shared" si="19"/>
      </c>
      <c r="X11" s="32">
        <f t="shared" si="274"/>
      </c>
      <c r="Y11" s="33">
        <f t="shared" si="236"/>
      </c>
      <c r="Z11" s="32">
        <f t="shared" si="198"/>
      </c>
      <c r="AA11" s="34">
        <f t="shared" si="141"/>
      </c>
      <c r="AB11" s="35" t="s">
        <v>46</v>
      </c>
      <c r="AC11" s="36" t="s">
        <v>47</v>
      </c>
      <c r="AD11" s="28">
        <v>4</v>
      </c>
      <c r="AE11" s="74">
        <v>12729</v>
      </c>
      <c r="AF11" s="75">
        <v>527</v>
      </c>
      <c r="AG11" s="75">
        <v>763</v>
      </c>
      <c r="AH11" s="75">
        <v>94</v>
      </c>
      <c r="AI11" s="75">
        <v>46</v>
      </c>
      <c r="AJ11" s="41">
        <v>17</v>
      </c>
      <c r="AK11" s="41">
        <v>21</v>
      </c>
      <c r="AL11" s="41">
        <v>1</v>
      </c>
      <c r="AM11" s="42"/>
    </row>
    <row r="12">
      <c r="A12" s="20"/>
      <c r="B12" s="53" t="s">
        <v>51</v>
      </c>
      <c r="C12" s="53"/>
      <c r="D12" s="53">
        <f>SUM(D8:D11)</f>
      </c>
      <c r="E12" s="53">
        <f>SUM(E8:E11)</f>
      </c>
      <c r="F12" s="53">
        <f>SUM(F8:F11)</f>
      </c>
      <c r="G12" s="53">
        <f>SUM(G8:G11)</f>
      </c>
      <c r="H12" s="53">
        <f>SUM(H8:H11)</f>
      </c>
      <c r="I12" s="53">
        <f>SUM(I8:I11)</f>
      </c>
      <c r="J12" s="53">
        <f>SUM(J8:J11)</f>
      </c>
      <c r="K12" s="53">
        <f>SUM(K8:K11)</f>
      </c>
      <c r="L12" s="53">
        <f>SUM(L8:L11)</f>
      </c>
      <c r="M12" s="79">
        <f>SUM(M8:M11)</f>
      </c>
      <c r="N12" s="80">
        <f t="shared" si="0"/>
      </c>
      <c r="O12" s="81">
        <f t="shared" si="255"/>
      </c>
      <c r="P12" s="82">
        <f t="shared" si="217"/>
      </c>
      <c r="Q12" s="83">
        <f t="shared" si="160"/>
      </c>
      <c r="R12" s="84">
        <f t="shared" si="122"/>
      </c>
      <c r="S12" s="83">
        <f t="shared" si="179"/>
      </c>
      <c r="T12" s="59">
        <f t="shared" si="103"/>
      </c>
      <c r="U12" s="60">
        <f t="shared" si="84"/>
      </c>
      <c r="V12" s="59">
        <f t="shared" si="65"/>
      </c>
      <c r="W12" s="59">
        <f t="shared" si="19"/>
      </c>
      <c r="X12" s="60">
        <f t="shared" si="274"/>
      </c>
      <c r="Y12" s="61">
        <f t="shared" si="236"/>
      </c>
      <c r="Z12" s="60">
        <f t="shared" si="198"/>
      </c>
      <c r="AA12" s="62">
        <f t="shared" si="141"/>
      </c>
      <c r="AB12" s="63"/>
      <c r="AC12" s="64"/>
      <c r="AD12" s="85">
        <f>SUM(AD8:AD11)</f>
      </c>
      <c r="AE12" s="86">
        <f>SUM(AE8:AE11)</f>
      </c>
      <c r="AF12" s="86">
        <f>SUM(AF8:AF11)</f>
      </c>
      <c r="AG12" s="86">
        <f>SUM(AG8:AG11)</f>
      </c>
      <c r="AH12" s="86">
        <f>SUM(AH8:AH11)</f>
      </c>
      <c r="AI12" s="86">
        <f>SUM(AI8:AI11)</f>
      </c>
      <c r="AJ12" s="86">
        <f>SUM(AJ8:AJ11)</f>
      </c>
      <c r="AK12" s="86">
        <f>SUM(AK8:AK11)</f>
      </c>
      <c r="AL12" s="86">
        <f>SUM(AL8:AL11)</f>
      </c>
      <c r="AM12" s="87" t="s">
        <v>57</v>
      </c>
    </row>
    <row r="13">
      <c r="A13" s="20"/>
      <c r="B13" s="88" t="s">
        <v>58</v>
      </c>
      <c r="C13" s="88"/>
      <c r="D13" s="88">
        <f>D7+D12</f>
      </c>
      <c r="E13" s="88">
        <f>E7+E12</f>
      </c>
      <c r="F13" s="88">
        <f>F7+F12</f>
      </c>
      <c r="G13" s="88">
        <f>G7+G12</f>
      </c>
      <c r="H13" s="88">
        <f>H7+H12</f>
      </c>
      <c r="I13" s="88">
        <f>I7+I12</f>
      </c>
      <c r="J13" s="88">
        <f>J7+J12</f>
      </c>
      <c r="K13" s="88">
        <f>K7+K12</f>
      </c>
      <c r="L13" s="88">
        <f>L7+L12</f>
      </c>
      <c r="M13" s="88">
        <f>M7+M12</f>
      </c>
      <c r="N13" s="89">
        <f t="shared" si="0"/>
      </c>
      <c r="O13" s="90">
        <f t="shared" si="255"/>
      </c>
      <c r="P13" s="91">
        <f t="shared" si="217"/>
      </c>
      <c r="Q13" s="92">
        <f t="shared" si="160"/>
      </c>
      <c r="R13" s="90">
        <f t="shared" si="122"/>
      </c>
      <c r="S13" s="92">
        <f t="shared" si="179"/>
      </c>
      <c r="T13" s="92">
        <f t="shared" si="103"/>
      </c>
      <c r="U13" s="90">
        <f t="shared" si="84"/>
      </c>
      <c r="V13" s="92">
        <f t="shared" si="65"/>
      </c>
      <c r="W13" s="92">
        <f t="shared" si="19"/>
      </c>
      <c r="X13" s="90">
        <f t="shared" si="274"/>
      </c>
      <c r="Y13" s="93">
        <f t="shared" si="236"/>
      </c>
      <c r="Z13" s="90">
        <f t="shared" si="198"/>
      </c>
      <c r="AA13" s="91">
        <f t="shared" si="141"/>
      </c>
      <c r="AB13" s="94"/>
      <c r="AC13" s="95"/>
      <c r="AD13" s="96">
        <f>AD7+AD12</f>
      </c>
      <c r="AE13" s="96">
        <f>AE7+AE12</f>
      </c>
      <c r="AF13" s="96">
        <f>AF7+AF12</f>
      </c>
      <c r="AG13" s="96">
        <f>AG7+AG12</f>
      </c>
      <c r="AH13" s="96">
        <f>AH7+AH12</f>
      </c>
      <c r="AI13" s="96">
        <f>AI7+AI12</f>
      </c>
      <c r="AJ13" s="96">
        <f>AJ7+AJ12</f>
      </c>
      <c r="AK13" s="96">
        <f>AK7+AK12</f>
      </c>
      <c r="AL13" s="96">
        <f>AL7+AL12</f>
      </c>
      <c r="AM13" s="87"/>
    </row>
    <row r="14">
      <c r="A14" s="1" t="s">
        <v>1</v>
      </c>
      <c r="B14" s="1"/>
      <c r="C14" s="1"/>
      <c r="D14" s="2" t="s">
        <v>2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3" t="s">
        <v>3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4" t="s">
        <v>4</v>
      </c>
      <c r="AE14" s="4"/>
      <c r="AF14" s="4"/>
      <c r="AG14" s="4"/>
      <c r="AH14" s="4"/>
      <c r="AI14" s="4"/>
      <c r="AJ14" s="4"/>
      <c r="AK14" s="4"/>
      <c r="AL14" s="4"/>
      <c r="AM14" s="5"/>
    </row>
    <row r="15">
      <c r="A15" s="1" t="s">
        <v>5</v>
      </c>
      <c r="B15" s="6" t="s">
        <v>6</v>
      </c>
      <c r="C15" s="6" t="s">
        <v>7</v>
      </c>
      <c r="D15" s="7" t="s">
        <v>8</v>
      </c>
      <c r="E15" s="8" t="s">
        <v>9</v>
      </c>
      <c r="F15" s="8" t="s">
        <v>10</v>
      </c>
      <c r="G15" s="9" t="s">
        <v>11</v>
      </c>
      <c r="H15" s="10" t="s">
        <v>12</v>
      </c>
      <c r="I15" s="11" t="s">
        <v>13</v>
      </c>
      <c r="J15" s="12" t="s">
        <v>14</v>
      </c>
      <c r="K15" s="2" t="s">
        <v>15</v>
      </c>
      <c r="L15" s="13" t="s">
        <v>16</v>
      </c>
      <c r="M15" s="13" t="s">
        <v>17</v>
      </c>
      <c r="N15" s="9" t="s">
        <v>18</v>
      </c>
      <c r="O15" s="13" t="s">
        <v>19</v>
      </c>
      <c r="P15" s="3" t="s">
        <v>20</v>
      </c>
      <c r="Q15" s="3" t="s">
        <v>21</v>
      </c>
      <c r="R15" s="3" t="s">
        <v>22</v>
      </c>
      <c r="S15" s="14" t="s">
        <v>23</v>
      </c>
      <c r="T15" s="14" t="s">
        <v>24</v>
      </c>
      <c r="U15" s="3" t="s">
        <v>25</v>
      </c>
      <c r="V15" s="14" t="s">
        <v>26</v>
      </c>
      <c r="W15" s="14" t="s">
        <v>27</v>
      </c>
      <c r="X15" s="3" t="s">
        <v>28</v>
      </c>
      <c r="Y15" s="14" t="s">
        <v>29</v>
      </c>
      <c r="Z15" s="3" t="s">
        <v>30</v>
      </c>
      <c r="AA15" s="15" t="s">
        <v>31</v>
      </c>
      <c r="AB15" s="15" t="s">
        <v>32</v>
      </c>
      <c r="AC15" s="16" t="s">
        <v>33</v>
      </c>
      <c r="AD15" s="17" t="s">
        <v>34</v>
      </c>
      <c r="AE15" s="18" t="s">
        <v>35</v>
      </c>
      <c r="AF15" s="18" t="s">
        <v>36</v>
      </c>
      <c r="AG15" s="18" t="s">
        <v>37</v>
      </c>
      <c r="AH15" s="18" t="s">
        <v>38</v>
      </c>
      <c r="AI15" s="18" t="s">
        <v>39</v>
      </c>
      <c r="AJ15" s="19" t="s">
        <v>40</v>
      </c>
      <c r="AK15" s="19" t="s">
        <v>41</v>
      </c>
      <c r="AL15" s="19" t="s">
        <v>42</v>
      </c>
      <c r="AM15" s="5"/>
    </row>
    <row r="16">
      <c r="A16" s="20" t="s">
        <v>59</v>
      </c>
      <c r="B16" s="21" t="s">
        <v>44</v>
      </c>
      <c r="C16" s="22" t="s">
        <v>45</v>
      </c>
      <c r="D16" s="23">
        <f t="shared" ref="D16:D19" si="40">E16+F16+G16+H16</f>
      </c>
      <c r="E16" s="24">
        <v>2313.07</v>
      </c>
      <c r="F16" s="25"/>
      <c r="G16" s="26">
        <v>1773.14</v>
      </c>
      <c r="H16" s="27"/>
      <c r="I16" s="24">
        <v>3</v>
      </c>
      <c r="J16" s="28">
        <v>6804</v>
      </c>
      <c r="K16" s="24">
        <v>0</v>
      </c>
      <c r="L16" s="24">
        <v>0</v>
      </c>
      <c r="M16" s="24">
        <v>3</v>
      </c>
      <c r="N16" s="29">
        <f t="shared" ref="N16:N26" si="1">J16/D16</f>
      </c>
      <c r="O16" s="29">
        <f t="shared" ref="O16:O26" si="256">J16/(D16+300*AL16)</f>
      </c>
      <c r="P16" s="30">
        <f t="shared" ref="P16:P26" si="218">(D16/AE16)*1000</f>
      </c>
      <c r="Q16" s="31">
        <f t="shared" ref="Q16:Q26" si="161">AF16/AE16</f>
      </c>
      <c r="R16" s="32">
        <f t="shared" ref="R16:R26" si="123">D16/AG16</f>
      </c>
      <c r="S16" s="31">
        <f t="shared" ref="S16:S26" si="180">AH16/AG16</f>
      </c>
      <c r="T16" s="31">
        <f t="shared" ref="T16:T26" si="104">AI16/AG16</f>
      </c>
      <c r="U16" s="32">
        <f t="shared" ref="U16:U26" si="85">D16/AI16</f>
      </c>
      <c r="V16" s="31">
        <f t="shared" ref="V16:V26" si="66">AJ16/AI16</f>
      </c>
      <c r="W16" s="31">
        <f t="shared" ref="W16:W26" si="20">I16/AJ16</f>
      </c>
      <c r="X16" s="32">
        <f t="shared" ref="X16:X26" si="275">D16/I16</f>
      </c>
      <c r="Y16" s="33">
        <f t="shared" ref="Y16:Y26" si="237">J16/I16</f>
      </c>
      <c r="Z16" s="32">
        <f t="shared" ref="Z16:Z26" si="199">D16/AD16</f>
      </c>
      <c r="AA16" s="34">
        <f t="shared" ref="AA16:AA26" si="142">AK16*1000/D16</f>
      </c>
      <c r="AB16" s="35" t="s">
        <v>46</v>
      </c>
      <c r="AC16" s="36" t="s">
        <v>47</v>
      </c>
      <c r="AD16" s="37">
        <v>3</v>
      </c>
      <c r="AE16" s="38">
        <v>10155</v>
      </c>
      <c r="AF16" s="39">
        <v>482</v>
      </c>
      <c r="AG16" s="26">
        <v>622</v>
      </c>
      <c r="AH16" s="26">
        <v>101</v>
      </c>
      <c r="AI16" s="21">
        <v>48</v>
      </c>
      <c r="AJ16" s="25">
        <v>9</v>
      </c>
      <c r="AK16" s="40">
        <v>19</v>
      </c>
      <c r="AL16" s="41">
        <v>1</v>
      </c>
      <c r="AM16" s="42"/>
    </row>
    <row r="17">
      <c r="A17" s="20"/>
      <c r="B17" s="43" t="s">
        <v>48</v>
      </c>
      <c r="C17" s="44" t="s">
        <v>45</v>
      </c>
      <c r="D17" s="26">
        <f t="shared" si="40"/>
      </c>
      <c r="E17" s="45">
        <v>3325.36</v>
      </c>
      <c r="F17" s="45"/>
      <c r="G17" s="21">
        <v>2080.78</v>
      </c>
      <c r="H17" s="27"/>
      <c r="I17" s="46">
        <v>5</v>
      </c>
      <c r="J17" s="39">
        <v>10020</v>
      </c>
      <c r="K17" s="25">
        <v>0</v>
      </c>
      <c r="L17" s="40">
        <v>1</v>
      </c>
      <c r="M17" s="40">
        <v>4</v>
      </c>
      <c r="N17" s="29">
        <f t="shared" si="1"/>
      </c>
      <c r="O17" s="29">
        <f t="shared" si="256"/>
      </c>
      <c r="P17" s="30">
        <f t="shared" si="218"/>
      </c>
      <c r="Q17" s="31">
        <f t="shared" si="161"/>
      </c>
      <c r="R17" s="32">
        <f t="shared" si="123"/>
      </c>
      <c r="S17" s="31">
        <f t="shared" si="180"/>
      </c>
      <c r="T17" s="31">
        <f t="shared" si="104"/>
      </c>
      <c r="U17" s="32">
        <f t="shared" si="85"/>
      </c>
      <c r="V17" s="31">
        <f t="shared" si="66"/>
      </c>
      <c r="W17" s="31">
        <f t="shared" si="20"/>
      </c>
      <c r="X17" s="32">
        <f t="shared" si="275"/>
      </c>
      <c r="Y17" s="33">
        <f t="shared" si="237"/>
      </c>
      <c r="Z17" s="32">
        <f t="shared" si="199"/>
      </c>
      <c r="AA17" s="34">
        <f t="shared" si="142"/>
      </c>
      <c r="AB17" s="35" t="s">
        <v>46</v>
      </c>
      <c r="AC17" s="36" t="s">
        <v>47</v>
      </c>
      <c r="AD17" s="28">
        <v>5</v>
      </c>
      <c r="AE17" s="47">
        <v>15727</v>
      </c>
      <c r="AF17" s="47">
        <v>573</v>
      </c>
      <c r="AG17" s="48">
        <v>785</v>
      </c>
      <c r="AH17" s="21">
        <v>147</v>
      </c>
      <c r="AI17" s="21">
        <v>54</v>
      </c>
      <c r="AJ17" s="49">
        <v>15</v>
      </c>
      <c r="AK17" s="50">
        <v>27</v>
      </c>
      <c r="AL17" s="41">
        <v>1</v>
      </c>
      <c r="AM17" s="42"/>
    </row>
    <row r="18">
      <c r="A18" s="20"/>
      <c r="B18" s="43" t="s">
        <v>49</v>
      </c>
      <c r="C18" s="39" t="s">
        <v>45</v>
      </c>
      <c r="D18" s="26">
        <f t="shared" si="40"/>
      </c>
      <c r="E18" s="25">
        <v>3223.59</v>
      </c>
      <c r="F18" s="25"/>
      <c r="G18" s="21">
        <v>825.58</v>
      </c>
      <c r="H18" s="40"/>
      <c r="I18" s="51">
        <v>5</v>
      </c>
      <c r="J18" s="51">
        <v>10020</v>
      </c>
      <c r="K18" s="51">
        <v>0</v>
      </c>
      <c r="L18" s="51">
        <v>1</v>
      </c>
      <c r="M18" s="51">
        <v>4</v>
      </c>
      <c r="N18" s="29">
        <f t="shared" si="1"/>
      </c>
      <c r="O18" s="29">
        <f t="shared" si="256"/>
      </c>
      <c r="P18" s="30">
        <f t="shared" si="218"/>
      </c>
      <c r="Q18" s="31">
        <f t="shared" si="161"/>
      </c>
      <c r="R18" s="32">
        <f t="shared" si="123"/>
      </c>
      <c r="S18" s="31">
        <f t="shared" si="180"/>
      </c>
      <c r="T18" s="31">
        <f t="shared" si="104"/>
      </c>
      <c r="U18" s="32">
        <f t="shared" si="85"/>
      </c>
      <c r="V18" s="31">
        <f t="shared" si="66"/>
      </c>
      <c r="W18" s="31">
        <f t="shared" si="20"/>
      </c>
      <c r="X18" s="32">
        <f t="shared" si="275"/>
      </c>
      <c r="Y18" s="33">
        <f t="shared" si="237"/>
      </c>
      <c r="Z18" s="32">
        <f t="shared" si="199"/>
      </c>
      <c r="AA18" s="34">
        <f t="shared" si="142"/>
      </c>
      <c r="AB18" s="35" t="s">
        <v>46</v>
      </c>
      <c r="AC18" s="36" t="s">
        <v>47</v>
      </c>
      <c r="AD18" s="28">
        <v>4</v>
      </c>
      <c r="AE18" s="26">
        <v>11121</v>
      </c>
      <c r="AF18" s="26">
        <v>370</v>
      </c>
      <c r="AG18" s="21">
        <v>537</v>
      </c>
      <c r="AH18" s="21">
        <v>116</v>
      </c>
      <c r="AI18" s="21">
        <v>35</v>
      </c>
      <c r="AJ18" s="49">
        <v>8</v>
      </c>
      <c r="AK18" s="50">
        <v>19</v>
      </c>
      <c r="AL18" s="41">
        <v>1</v>
      </c>
      <c r="AM18" s="42"/>
    </row>
    <row r="19">
      <c r="A19" s="20"/>
      <c r="B19" s="43" t="s">
        <v>50</v>
      </c>
      <c r="C19" s="48" t="s">
        <v>45</v>
      </c>
      <c r="D19" s="26">
        <f t="shared" si="40"/>
      </c>
      <c r="E19" s="25">
        <v>4803.94</v>
      </c>
      <c r="F19" s="25"/>
      <c r="G19" s="21">
        <v>1315.92</v>
      </c>
      <c r="H19" s="40"/>
      <c r="I19" s="40">
        <v>6</v>
      </c>
      <c r="J19" s="40">
        <v>13608</v>
      </c>
      <c r="K19" s="40">
        <v>0</v>
      </c>
      <c r="L19" s="40">
        <v>0</v>
      </c>
      <c r="M19" s="40">
        <v>6</v>
      </c>
      <c r="N19" s="29">
        <f t="shared" si="1"/>
      </c>
      <c r="O19" s="29">
        <f t="shared" si="256"/>
      </c>
      <c r="P19" s="30">
        <f t="shared" si="218"/>
      </c>
      <c r="Q19" s="31">
        <f t="shared" si="161"/>
      </c>
      <c r="R19" s="32">
        <f t="shared" si="123"/>
      </c>
      <c r="S19" s="31">
        <f t="shared" si="180"/>
      </c>
      <c r="T19" s="31">
        <f t="shared" si="104"/>
      </c>
      <c r="U19" s="32">
        <f t="shared" si="85"/>
      </c>
      <c r="V19" s="31">
        <f t="shared" si="66"/>
      </c>
      <c r="W19" s="31">
        <f t="shared" si="20"/>
      </c>
      <c r="X19" s="32">
        <f t="shared" si="275"/>
      </c>
      <c r="Y19" s="33">
        <f t="shared" si="237"/>
      </c>
      <c r="Z19" s="32">
        <f t="shared" si="199"/>
      </c>
      <c r="AA19" s="34">
        <f t="shared" si="142"/>
      </c>
      <c r="AB19" s="35" t="s">
        <v>46</v>
      </c>
      <c r="AC19" s="36" t="s">
        <v>47</v>
      </c>
      <c r="AD19" s="52">
        <v>6</v>
      </c>
      <c r="AE19" s="47">
        <v>19825</v>
      </c>
      <c r="AF19" s="21">
        <v>653</v>
      </c>
      <c r="AG19" s="21">
        <v>912</v>
      </c>
      <c r="AH19" s="21">
        <v>167</v>
      </c>
      <c r="AI19" s="21">
        <v>58</v>
      </c>
      <c r="AJ19" s="49">
        <v>11</v>
      </c>
      <c r="AK19" s="50">
        <v>32</v>
      </c>
      <c r="AL19" s="41">
        <v>1</v>
      </c>
      <c r="AM19" s="42"/>
    </row>
    <row r="20">
      <c r="A20" s="20"/>
      <c r="B20" s="53" t="s">
        <v>51</v>
      </c>
      <c r="C20" s="53"/>
      <c r="D20" s="53">
        <f>SUM(D16:D19)</f>
      </c>
      <c r="E20" s="53">
        <f>SUM(E16:E19)</f>
      </c>
      <c r="F20" s="53">
        <f>SUM(F16:F19)</f>
      </c>
      <c r="G20" s="53">
        <f>SUM(G16:G19)</f>
      </c>
      <c r="H20" s="53">
        <f>SUM(H16:H19)</f>
      </c>
      <c r="I20" s="53">
        <f>SUM(I16:I19)</f>
      </c>
      <c r="J20" s="53">
        <f>SUM(J16:J19)</f>
      </c>
      <c r="K20" s="53">
        <f>SUM(K16:K19)</f>
      </c>
      <c r="L20" s="53">
        <f>SUM(L16:L19)</f>
      </c>
      <c r="M20" s="53">
        <f>SUM(M16:M19)</f>
      </c>
      <c r="N20" s="54">
        <f t="shared" si="1"/>
      </c>
      <c r="O20" s="55">
        <f t="shared" si="256"/>
      </c>
      <c r="P20" s="56">
        <f t="shared" si="218"/>
      </c>
      <c r="Q20" s="57">
        <f t="shared" si="161"/>
      </c>
      <c r="R20" s="58">
        <f t="shared" si="123"/>
      </c>
      <c r="S20" s="57">
        <f t="shared" si="180"/>
      </c>
      <c r="T20" s="59">
        <f t="shared" si="104"/>
      </c>
      <c r="U20" s="60">
        <f t="shared" si="85"/>
      </c>
      <c r="V20" s="59">
        <f t="shared" si="66"/>
      </c>
      <c r="W20" s="59">
        <f t="shared" si="20"/>
      </c>
      <c r="X20" s="60">
        <f t="shared" si="275"/>
      </c>
      <c r="Y20" s="61">
        <f t="shared" si="237"/>
      </c>
      <c r="Z20" s="60">
        <f t="shared" si="199"/>
      </c>
      <c r="AA20" s="62">
        <f t="shared" si="142"/>
      </c>
      <c r="AB20" s="63"/>
      <c r="AC20" s="64"/>
      <c r="AD20" s="65">
        <f>SUM(AD16:AD19)</f>
      </c>
      <c r="AE20" s="66">
        <f>SUM(AE16:AE19)</f>
      </c>
      <c r="AF20" s="66">
        <f>SUM(AF16:AF19)</f>
      </c>
      <c r="AG20" s="66">
        <f>SUM(AG16:AG19)</f>
      </c>
      <c r="AH20" s="66">
        <f>SUM(AH16:AH19)</f>
      </c>
      <c r="AI20" s="66">
        <f>SUM(AI16:AI19)</f>
      </c>
      <c r="AJ20" s="66">
        <f>SUM(AJ16:AJ19)</f>
      </c>
      <c r="AK20" s="66">
        <f>SUM(AK16:AK19)</f>
      </c>
      <c r="AL20" s="66">
        <f>SUM(AL16:AL19)</f>
      </c>
      <c r="AM20" s="42"/>
    </row>
    <row r="21">
      <c r="A21" s="20"/>
      <c r="B21" s="51" t="s">
        <v>52</v>
      </c>
      <c r="C21" s="22" t="s">
        <v>53</v>
      </c>
      <c r="D21" s="21">
        <f t="shared" ref="D21:D24" si="41">E21+F21+G21+H21</f>
      </c>
      <c r="E21" s="40">
        <v>2206.96</v>
      </c>
      <c r="F21" s="25"/>
      <c r="G21" s="21">
        <v>2340.04</v>
      </c>
      <c r="H21" s="40"/>
      <c r="I21" s="40">
        <v>3</v>
      </c>
      <c r="J21" s="21">
        <v>6804</v>
      </c>
      <c r="K21" s="40">
        <v>0</v>
      </c>
      <c r="L21" s="40">
        <v>0</v>
      </c>
      <c r="M21" s="67">
        <v>3</v>
      </c>
      <c r="N21" s="68">
        <f t="shared" si="1"/>
      </c>
      <c r="O21" s="69">
        <f t="shared" si="256"/>
      </c>
      <c r="P21" s="70">
        <f t="shared" si="218"/>
      </c>
      <c r="Q21" s="71">
        <f t="shared" si="161"/>
      </c>
      <c r="R21" s="72">
        <f t="shared" si="123"/>
      </c>
      <c r="S21" s="71">
        <f t="shared" si="180"/>
      </c>
      <c r="T21" s="73">
        <f t="shared" si="104"/>
      </c>
      <c r="U21" s="32">
        <f t="shared" si="85"/>
      </c>
      <c r="V21" s="31">
        <f t="shared" si="66"/>
      </c>
      <c r="W21" s="31">
        <f t="shared" si="20"/>
      </c>
      <c r="X21" s="32">
        <f t="shared" si="275"/>
      </c>
      <c r="Y21" s="33">
        <f t="shared" si="237"/>
      </c>
      <c r="Z21" s="32">
        <f t="shared" si="199"/>
      </c>
      <c r="AA21" s="34">
        <f t="shared" si="142"/>
      </c>
      <c r="AB21" s="35" t="s">
        <v>46</v>
      </c>
      <c r="AC21" s="36" t="s">
        <v>47</v>
      </c>
      <c r="AD21" s="28">
        <v>3</v>
      </c>
      <c r="AE21" s="74">
        <v>15713</v>
      </c>
      <c r="AF21" s="75">
        <v>648</v>
      </c>
      <c r="AG21" s="75">
        <v>920</v>
      </c>
      <c r="AH21" s="75">
        <v>131</v>
      </c>
      <c r="AI21" s="75">
        <v>56</v>
      </c>
      <c r="AJ21" s="41">
        <v>12</v>
      </c>
      <c r="AK21" s="41">
        <v>21</v>
      </c>
      <c r="AL21" s="41">
        <v>1</v>
      </c>
      <c r="AM21" s="42"/>
    </row>
    <row r="22">
      <c r="A22" s="20"/>
      <c r="B22" s="48" t="s">
        <v>54</v>
      </c>
      <c r="C22" s="22" t="s">
        <v>53</v>
      </c>
      <c r="D22" s="21">
        <f t="shared" si="41"/>
      </c>
      <c r="E22" s="40">
        <v>1147.18</v>
      </c>
      <c r="F22" s="25"/>
      <c r="G22" s="21">
        <v>3117.84</v>
      </c>
      <c r="H22" s="40"/>
      <c r="I22" s="40">
        <v>3</v>
      </c>
      <c r="J22" s="21">
        <v>4644</v>
      </c>
      <c r="K22" s="40">
        <v>0</v>
      </c>
      <c r="L22" s="40">
        <v>0</v>
      </c>
      <c r="M22" s="67">
        <v>2</v>
      </c>
      <c r="N22" s="68">
        <f t="shared" si="1"/>
      </c>
      <c r="O22" s="69">
        <f t="shared" si="256"/>
      </c>
      <c r="P22" s="70">
        <f t="shared" si="218"/>
      </c>
      <c r="Q22" s="71">
        <f t="shared" si="161"/>
      </c>
      <c r="R22" s="72">
        <f t="shared" si="123"/>
      </c>
      <c r="S22" s="71">
        <f t="shared" si="180"/>
      </c>
      <c r="T22" s="73">
        <f t="shared" si="104"/>
      </c>
      <c r="U22" s="32">
        <f t="shared" si="85"/>
      </c>
      <c r="V22" s="31">
        <f t="shared" si="66"/>
      </c>
      <c r="W22" s="31">
        <f t="shared" si="20"/>
      </c>
      <c r="X22" s="32">
        <f t="shared" si="275"/>
      </c>
      <c r="Y22" s="33">
        <f t="shared" si="237"/>
      </c>
      <c r="Z22" s="32">
        <f t="shared" si="199"/>
      </c>
      <c r="AA22" s="34">
        <f t="shared" si="142"/>
      </c>
      <c r="AB22" s="35" t="s">
        <v>46</v>
      </c>
      <c r="AC22" s="36" t="s">
        <v>47</v>
      </c>
      <c r="AD22" s="28">
        <v>3</v>
      </c>
      <c r="AE22" s="74">
        <v>15990</v>
      </c>
      <c r="AF22" s="75">
        <v>845</v>
      </c>
      <c r="AG22" s="75">
        <v>1087</v>
      </c>
      <c r="AH22" s="75">
        <v>109</v>
      </c>
      <c r="AI22" s="75">
        <v>47</v>
      </c>
      <c r="AJ22" s="41">
        <v>11</v>
      </c>
      <c r="AK22" s="41">
        <v>25</v>
      </c>
      <c r="AL22" s="41">
        <v>1</v>
      </c>
      <c r="AM22" s="42"/>
    </row>
    <row r="23">
      <c r="A23" s="20"/>
      <c r="B23" s="40" t="s">
        <v>55</v>
      </c>
      <c r="C23" s="22" t="s">
        <v>53</v>
      </c>
      <c r="D23" s="21">
        <f t="shared" si="41"/>
      </c>
      <c r="E23" s="40">
        <v>1614.74</v>
      </c>
      <c r="F23" s="25"/>
      <c r="G23" s="21">
        <v>2318.83</v>
      </c>
      <c r="H23" s="40"/>
      <c r="I23" s="40">
        <v>3</v>
      </c>
      <c r="J23" s="40">
        <v>5484</v>
      </c>
      <c r="K23" s="40">
        <v>0</v>
      </c>
      <c r="L23" s="40">
        <v>1</v>
      </c>
      <c r="M23" s="40">
        <v>2</v>
      </c>
      <c r="N23" s="76">
        <f t="shared" si="1"/>
      </c>
      <c r="O23" s="69">
        <f t="shared" si="256"/>
      </c>
      <c r="P23" s="70">
        <f t="shared" si="218"/>
      </c>
      <c r="Q23" s="71">
        <f t="shared" si="161"/>
      </c>
      <c r="R23" s="72">
        <f t="shared" si="123"/>
      </c>
      <c r="S23" s="71">
        <f t="shared" si="180"/>
      </c>
      <c r="T23" s="73">
        <f t="shared" si="104"/>
      </c>
      <c r="U23" s="32">
        <f t="shared" si="85"/>
      </c>
      <c r="V23" s="31">
        <f t="shared" si="66"/>
      </c>
      <c r="W23" s="31">
        <f t="shared" si="20"/>
      </c>
      <c r="X23" s="32">
        <f t="shared" si="275"/>
      </c>
      <c r="Y23" s="33">
        <f t="shared" si="237"/>
      </c>
      <c r="Z23" s="32">
        <f t="shared" si="199"/>
      </c>
      <c r="AA23" s="34">
        <f t="shared" si="142"/>
      </c>
      <c r="AB23" s="35" t="s">
        <v>46</v>
      </c>
      <c r="AC23" s="36" t="s">
        <v>47</v>
      </c>
      <c r="AD23" s="28">
        <v>3</v>
      </c>
      <c r="AE23" s="74">
        <v>11645</v>
      </c>
      <c r="AF23" s="75">
        <v>637</v>
      </c>
      <c r="AG23" s="75">
        <v>809</v>
      </c>
      <c r="AH23" s="75">
        <v>102</v>
      </c>
      <c r="AI23" s="75">
        <v>51</v>
      </c>
      <c r="AJ23" s="41">
        <v>10</v>
      </c>
      <c r="AK23" s="41">
        <v>25</v>
      </c>
      <c r="AL23" s="41">
        <v>1</v>
      </c>
      <c r="AM23" s="42"/>
    </row>
    <row r="24">
      <c r="A24" s="20"/>
      <c r="B24" s="27" t="s">
        <v>56</v>
      </c>
      <c r="C24" s="39" t="s">
        <v>53</v>
      </c>
      <c r="D24" s="26">
        <f t="shared" si="41"/>
      </c>
      <c r="E24" s="40">
        <v>1775.07</v>
      </c>
      <c r="F24" s="25"/>
      <c r="G24" s="21">
        <v>1762.25</v>
      </c>
      <c r="H24" s="40"/>
      <c r="I24" s="40">
        <v>2</v>
      </c>
      <c r="J24" s="40">
        <v>3096</v>
      </c>
      <c r="K24" s="40">
        <v>0</v>
      </c>
      <c r="L24" s="40">
        <v>0</v>
      </c>
      <c r="M24" s="40">
        <v>1</v>
      </c>
      <c r="N24" s="78">
        <f t="shared" si="1"/>
      </c>
      <c r="O24" s="69">
        <f t="shared" si="256"/>
      </c>
      <c r="P24" s="70">
        <f t="shared" si="218"/>
      </c>
      <c r="Q24" s="71">
        <f t="shared" si="161"/>
      </c>
      <c r="R24" s="72">
        <f t="shared" si="123"/>
      </c>
      <c r="S24" s="71">
        <f t="shared" si="180"/>
      </c>
      <c r="T24" s="73">
        <f t="shared" si="104"/>
      </c>
      <c r="U24" s="32">
        <f t="shared" si="85"/>
      </c>
      <c r="V24" s="31">
        <f t="shared" si="66"/>
      </c>
      <c r="W24" s="31">
        <f t="shared" si="20"/>
      </c>
      <c r="X24" s="32">
        <f t="shared" si="275"/>
      </c>
      <c r="Y24" s="33">
        <f t="shared" si="237"/>
      </c>
      <c r="Z24" s="32">
        <f t="shared" si="199"/>
      </c>
      <c r="AA24" s="34">
        <f t="shared" si="142"/>
      </c>
      <c r="AB24" s="35" t="s">
        <v>46</v>
      </c>
      <c r="AC24" s="36" t="s">
        <v>47</v>
      </c>
      <c r="AD24" s="28">
        <v>2</v>
      </c>
      <c r="AE24" s="74">
        <v>10371</v>
      </c>
      <c r="AF24" s="75">
        <v>425</v>
      </c>
      <c r="AG24" s="75">
        <v>654</v>
      </c>
      <c r="AH24" s="75">
        <v>93</v>
      </c>
      <c r="AI24" s="75">
        <v>49</v>
      </c>
      <c r="AJ24" s="41">
        <v>7</v>
      </c>
      <c r="AK24" s="41">
        <v>20</v>
      </c>
      <c r="AL24" s="41">
        <v>1</v>
      </c>
      <c r="AM24" s="42"/>
    </row>
    <row r="25">
      <c r="A25" s="20"/>
      <c r="B25" s="53" t="s">
        <v>51</v>
      </c>
      <c r="C25" s="53"/>
      <c r="D25" s="53">
        <f>SUM(D21:D24)</f>
      </c>
      <c r="E25" s="53">
        <f>SUM(E21:E24)</f>
      </c>
      <c r="F25" s="53">
        <f>SUM(F21:F24)</f>
      </c>
      <c r="G25" s="53">
        <f>SUM(G21:G24)</f>
      </c>
      <c r="H25" s="53">
        <f>SUM(H21:H24)</f>
      </c>
      <c r="I25" s="53">
        <f>SUM(I21:I24)</f>
      </c>
      <c r="J25" s="53">
        <f>SUM(J21:J24)</f>
      </c>
      <c r="K25" s="53">
        <f>SUM(K21:K24)</f>
      </c>
      <c r="L25" s="53">
        <f>SUM(L21:L24)</f>
      </c>
      <c r="M25" s="79">
        <f>SUM(M21:M24)</f>
      </c>
      <c r="N25" s="80">
        <f t="shared" si="1"/>
      </c>
      <c r="O25" s="81">
        <f t="shared" si="256"/>
      </c>
      <c r="P25" s="82">
        <f t="shared" si="218"/>
      </c>
      <c r="Q25" s="83">
        <f t="shared" si="161"/>
      </c>
      <c r="R25" s="84">
        <f t="shared" si="123"/>
      </c>
      <c r="S25" s="83">
        <f t="shared" si="180"/>
      </c>
      <c r="T25" s="59">
        <f t="shared" si="104"/>
      </c>
      <c r="U25" s="60">
        <f t="shared" si="85"/>
      </c>
      <c r="V25" s="59">
        <f t="shared" si="66"/>
      </c>
      <c r="W25" s="59">
        <f t="shared" si="20"/>
      </c>
      <c r="X25" s="60">
        <f t="shared" si="275"/>
      </c>
      <c r="Y25" s="61">
        <f t="shared" si="237"/>
      </c>
      <c r="Z25" s="60">
        <f t="shared" si="199"/>
      </c>
      <c r="AA25" s="62">
        <f t="shared" si="142"/>
      </c>
      <c r="AB25" s="63"/>
      <c r="AC25" s="64"/>
      <c r="AD25" s="85">
        <f>SUM(AD21:AD24)</f>
      </c>
      <c r="AE25" s="86">
        <f>SUM(AE21:AE24)</f>
      </c>
      <c r="AF25" s="86">
        <f>SUM(AF21:AF24)</f>
      </c>
      <c r="AG25" s="86">
        <f>SUM(AG21:AG24)</f>
      </c>
      <c r="AH25" s="86">
        <f>SUM(AH21:AH24)</f>
      </c>
      <c r="AI25" s="86">
        <f>SUM(AI21:AI24)</f>
      </c>
      <c r="AJ25" s="86">
        <f>SUM(AJ21:AJ24)</f>
      </c>
      <c r="AK25" s="86">
        <f>SUM(AK21:AK24)</f>
      </c>
      <c r="AL25" s="86">
        <f>SUM(AL21:AL24)</f>
      </c>
      <c r="AM25" s="87" t="s">
        <v>57</v>
      </c>
    </row>
    <row r="26">
      <c r="A26" s="20"/>
      <c r="B26" s="88" t="s">
        <v>58</v>
      </c>
      <c r="C26" s="88"/>
      <c r="D26" s="88">
        <f>D20+D25</f>
      </c>
      <c r="E26" s="88">
        <f>E20+E25</f>
      </c>
      <c r="F26" s="88">
        <f>F20+F25</f>
      </c>
      <c r="G26" s="88">
        <f>G20+G25</f>
      </c>
      <c r="H26" s="88">
        <f>H20+H25</f>
      </c>
      <c r="I26" s="88">
        <f>I20+I25</f>
      </c>
      <c r="J26" s="88">
        <f>J20+J25</f>
      </c>
      <c r="K26" s="88">
        <f>K20+K25</f>
      </c>
      <c r="L26" s="88">
        <f>L20+L25</f>
      </c>
      <c r="M26" s="88">
        <f>M20+M25</f>
      </c>
      <c r="N26" s="89">
        <f t="shared" si="1"/>
      </c>
      <c r="O26" s="90">
        <f t="shared" si="256"/>
      </c>
      <c r="P26" s="91">
        <f t="shared" si="218"/>
      </c>
      <c r="Q26" s="92">
        <f t="shared" si="161"/>
      </c>
      <c r="R26" s="90">
        <f t="shared" si="123"/>
      </c>
      <c r="S26" s="92">
        <f t="shared" si="180"/>
      </c>
      <c r="T26" s="92">
        <f t="shared" si="104"/>
      </c>
      <c r="U26" s="90">
        <f t="shared" si="85"/>
      </c>
      <c r="V26" s="92">
        <f t="shared" si="66"/>
      </c>
      <c r="W26" s="92">
        <f t="shared" si="20"/>
      </c>
      <c r="X26" s="90">
        <f t="shared" si="275"/>
      </c>
      <c r="Y26" s="93">
        <f t="shared" si="237"/>
      </c>
      <c r="Z26" s="90">
        <f t="shared" si="199"/>
      </c>
      <c r="AA26" s="91">
        <f t="shared" si="142"/>
      </c>
      <c r="AB26" s="94"/>
      <c r="AC26" s="95"/>
      <c r="AD26" s="96">
        <f>AD20+AD25</f>
      </c>
      <c r="AE26" s="96">
        <f>AE20+AE25</f>
      </c>
      <c r="AF26" s="96">
        <f>AF20+AF25</f>
      </c>
      <c r="AG26" s="96">
        <f>AG20+AG25</f>
      </c>
      <c r="AH26" s="96">
        <f>AH20+AH25</f>
      </c>
      <c r="AI26" s="96">
        <f>AI20+AI25</f>
      </c>
      <c r="AJ26" s="96">
        <f>AJ20+AJ25</f>
      </c>
      <c r="AK26" s="96">
        <f>AK20+AK25</f>
      </c>
      <c r="AL26" s="96">
        <f>AL20+AL25</f>
      </c>
      <c r="AM26" s="87"/>
    </row>
    <row r="27">
      <c r="A27" s="1" t="s">
        <v>1</v>
      </c>
      <c r="B27" s="1"/>
      <c r="C27" s="1"/>
      <c r="D27" s="2" t="s">
        <v>2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3" t="s">
        <v>3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4" t="s">
        <v>4</v>
      </c>
      <c r="AE27" s="4"/>
      <c r="AF27" s="4"/>
      <c r="AG27" s="4"/>
      <c r="AH27" s="4"/>
      <c r="AI27" s="4"/>
      <c r="AJ27" s="4"/>
      <c r="AK27" s="4"/>
      <c r="AL27" s="4"/>
      <c r="AM27" s="5"/>
    </row>
    <row r="28">
      <c r="A28" s="1" t="s">
        <v>5</v>
      </c>
      <c r="B28" s="6" t="s">
        <v>6</v>
      </c>
      <c r="C28" s="6" t="s">
        <v>7</v>
      </c>
      <c r="D28" s="7" t="s">
        <v>8</v>
      </c>
      <c r="E28" s="8" t="s">
        <v>9</v>
      </c>
      <c r="F28" s="8" t="s">
        <v>10</v>
      </c>
      <c r="G28" s="9" t="s">
        <v>11</v>
      </c>
      <c r="H28" s="10" t="s">
        <v>12</v>
      </c>
      <c r="I28" s="97" t="s">
        <v>13</v>
      </c>
      <c r="J28" s="2" t="s">
        <v>14</v>
      </c>
      <c r="K28" s="2" t="s">
        <v>15</v>
      </c>
      <c r="L28" s="13" t="s">
        <v>16</v>
      </c>
      <c r="M28" s="13" t="s">
        <v>17</v>
      </c>
      <c r="N28" s="9" t="s">
        <v>18</v>
      </c>
      <c r="O28" s="13" t="s">
        <v>19</v>
      </c>
      <c r="P28" s="3" t="s">
        <v>20</v>
      </c>
      <c r="Q28" s="3" t="s">
        <v>21</v>
      </c>
      <c r="R28" s="3" t="s">
        <v>22</v>
      </c>
      <c r="S28" s="14" t="s">
        <v>23</v>
      </c>
      <c r="T28" s="14" t="s">
        <v>24</v>
      </c>
      <c r="U28" s="3" t="s">
        <v>25</v>
      </c>
      <c r="V28" s="14" t="s">
        <v>26</v>
      </c>
      <c r="W28" s="14" t="s">
        <v>27</v>
      </c>
      <c r="X28" s="3" t="s">
        <v>28</v>
      </c>
      <c r="Y28" s="14" t="s">
        <v>29</v>
      </c>
      <c r="Z28" s="3" t="s">
        <v>30</v>
      </c>
      <c r="AA28" s="15" t="s">
        <v>31</v>
      </c>
      <c r="AB28" s="15" t="s">
        <v>32</v>
      </c>
      <c r="AC28" s="16" t="s">
        <v>33</v>
      </c>
      <c r="AD28" s="17" t="s">
        <v>34</v>
      </c>
      <c r="AE28" s="18" t="s">
        <v>35</v>
      </c>
      <c r="AF28" s="18" t="s">
        <v>36</v>
      </c>
      <c r="AG28" s="18" t="s">
        <v>37</v>
      </c>
      <c r="AH28" s="18" t="s">
        <v>38</v>
      </c>
      <c r="AI28" s="18" t="s">
        <v>39</v>
      </c>
      <c r="AJ28" s="19" t="s">
        <v>40</v>
      </c>
      <c r="AK28" s="19" t="s">
        <v>41</v>
      </c>
      <c r="AL28" s="19" t="s">
        <v>42</v>
      </c>
      <c r="AM28" s="5"/>
    </row>
    <row r="29">
      <c r="A29" s="20" t="s">
        <v>60</v>
      </c>
      <c r="B29" s="21" t="s">
        <v>44</v>
      </c>
      <c r="C29" s="22" t="s">
        <v>45</v>
      </c>
      <c r="D29" s="23">
        <f t="shared" ref="D29:D32" si="42">E29+F29+G29+H29</f>
      </c>
      <c r="E29" s="21">
        <v>2119.78</v>
      </c>
      <c r="F29" s="26"/>
      <c r="G29" s="26">
        <v>2414.78</v>
      </c>
      <c r="H29" s="43"/>
      <c r="I29" s="21">
        <v>4</v>
      </c>
      <c r="J29" s="26">
        <v>9072</v>
      </c>
      <c r="K29" s="40">
        <v>0</v>
      </c>
      <c r="L29" s="40">
        <v>0</v>
      </c>
      <c r="M29" s="40">
        <v>4</v>
      </c>
      <c r="N29" s="29">
        <f t="shared" ref="N29:N39" si="2">J29/D29</f>
      </c>
      <c r="O29" s="29">
        <f t="shared" ref="O29:O39" si="257">J29/(D29+300*AL29)</f>
      </c>
      <c r="P29" s="30">
        <f t="shared" ref="P29:P39" si="219">(D29/AE29)*1000</f>
      </c>
      <c r="Q29" s="31">
        <f t="shared" ref="Q29:Q39" si="162">AF29/AE29</f>
      </c>
      <c r="R29" s="32">
        <f t="shared" ref="R29:R39" si="124">D29/AG29</f>
      </c>
      <c r="S29" s="31">
        <f t="shared" ref="S29:S39" si="181">AH29/AG29</f>
      </c>
      <c r="T29" s="31">
        <f t="shared" ref="T29:T39" si="105">AI29/AG29</f>
      </c>
      <c r="U29" s="32">
        <f t="shared" ref="U29:U39" si="86">D29/AI29</f>
      </c>
      <c r="V29" s="31">
        <f t="shared" ref="V29:V39" si="67">AJ29/AI29</f>
      </c>
      <c r="W29" s="31">
        <f t="shared" ref="W29:W39" si="21">I29/AJ29</f>
      </c>
      <c r="X29" s="32">
        <f t="shared" ref="X29:X39" si="276">D29/I29</f>
      </c>
      <c r="Y29" s="33">
        <f t="shared" ref="Y29:Y39" si="238">J29/I29</f>
      </c>
      <c r="Z29" s="32">
        <f t="shared" ref="Z29:Z39" si="200">D29/AD29</f>
      </c>
      <c r="AA29" s="34">
        <f t="shared" ref="AA29:AA39" si="143">AK29*1000/D29</f>
      </c>
      <c r="AB29" s="35" t="s">
        <v>46</v>
      </c>
      <c r="AC29" s="98" t="s">
        <v>47</v>
      </c>
      <c r="AD29" s="26">
        <v>3</v>
      </c>
      <c r="AE29" s="38">
        <v>14364</v>
      </c>
      <c r="AF29" s="21">
        <v>746</v>
      </c>
      <c r="AG29" s="26">
        <v>1050</v>
      </c>
      <c r="AH29" s="26">
        <v>158</v>
      </c>
      <c r="AI29" s="21">
        <v>74</v>
      </c>
      <c r="AJ29" s="25">
        <v>13</v>
      </c>
      <c r="AK29" s="40">
        <v>33</v>
      </c>
      <c r="AL29" s="41">
        <v>1</v>
      </c>
      <c r="AM29" s="42"/>
    </row>
    <row r="30">
      <c r="A30" s="99"/>
      <c r="B30" s="43" t="s">
        <v>48</v>
      </c>
      <c r="C30" s="22" t="s">
        <v>45</v>
      </c>
      <c r="D30" s="26">
        <f t="shared" si="42"/>
      </c>
      <c r="E30" s="47">
        <v>1938.53</v>
      </c>
      <c r="F30" s="47"/>
      <c r="G30" s="21">
        <v>2794.02</v>
      </c>
      <c r="H30" s="43"/>
      <c r="I30" s="48">
        <v>6</v>
      </c>
      <c r="J30" s="21">
        <v>12100</v>
      </c>
      <c r="K30" s="25">
        <v>0</v>
      </c>
      <c r="L30" s="40">
        <v>1</v>
      </c>
      <c r="M30" s="40">
        <v>5</v>
      </c>
      <c r="N30" s="29">
        <f t="shared" si="2"/>
      </c>
      <c r="O30" s="29">
        <f t="shared" si="257"/>
      </c>
      <c r="P30" s="30">
        <f t="shared" si="219"/>
      </c>
      <c r="Q30" s="31">
        <f t="shared" si="162"/>
      </c>
      <c r="R30" s="32">
        <f t="shared" si="124"/>
      </c>
      <c r="S30" s="31">
        <f t="shared" si="181"/>
      </c>
      <c r="T30" s="31">
        <f t="shared" si="105"/>
      </c>
      <c r="U30" s="32">
        <f t="shared" si="86"/>
      </c>
      <c r="V30" s="31">
        <f t="shared" si="67"/>
      </c>
      <c r="W30" s="31">
        <f t="shared" si="21"/>
      </c>
      <c r="X30" s="32">
        <f t="shared" si="276"/>
      </c>
      <c r="Y30" s="33">
        <f t="shared" si="238"/>
      </c>
      <c r="Z30" s="32">
        <f t="shared" si="200"/>
      </c>
      <c r="AA30" s="34">
        <f t="shared" si="143"/>
      </c>
      <c r="AB30" s="35" t="s">
        <v>46</v>
      </c>
      <c r="AC30" s="98" t="s">
        <v>47</v>
      </c>
      <c r="AD30" s="26">
        <v>7</v>
      </c>
      <c r="AE30" s="47">
        <v>13345</v>
      </c>
      <c r="AF30" s="47">
        <v>679</v>
      </c>
      <c r="AG30" s="48">
        <v>1039</v>
      </c>
      <c r="AH30" s="21">
        <v>134</v>
      </c>
      <c r="AI30" s="21">
        <v>75</v>
      </c>
      <c r="AJ30" s="49">
        <v>11</v>
      </c>
      <c r="AK30" s="50">
        <v>34</v>
      </c>
      <c r="AL30" s="41">
        <v>1</v>
      </c>
      <c r="AM30" s="42"/>
    </row>
    <row r="31">
      <c r="A31" s="99"/>
      <c r="B31" s="43" t="s">
        <v>49</v>
      </c>
      <c r="C31" s="21" t="s">
        <v>45</v>
      </c>
      <c r="D31" s="26">
        <f t="shared" si="42"/>
      </c>
      <c r="E31" s="26">
        <v>2766.85</v>
      </c>
      <c r="F31" s="26"/>
      <c r="G31" s="21">
        <v>1684.56</v>
      </c>
      <c r="H31" s="21"/>
      <c r="I31" s="48">
        <v>5</v>
      </c>
      <c r="J31" s="48">
        <v>8220</v>
      </c>
      <c r="K31" s="51">
        <v>1</v>
      </c>
      <c r="L31" s="51">
        <v>1</v>
      </c>
      <c r="M31" s="51">
        <v>3</v>
      </c>
      <c r="N31" s="29">
        <f t="shared" si="2"/>
      </c>
      <c r="O31" s="29">
        <f t="shared" si="257"/>
      </c>
      <c r="P31" s="30">
        <f t="shared" si="219"/>
      </c>
      <c r="Q31" s="31">
        <f t="shared" si="162"/>
      </c>
      <c r="R31" s="32">
        <f t="shared" si="124"/>
      </c>
      <c r="S31" s="31">
        <f t="shared" si="181"/>
      </c>
      <c r="T31" s="31">
        <f t="shared" si="105"/>
      </c>
      <c r="U31" s="32">
        <f t="shared" si="86"/>
      </c>
      <c r="V31" s="31">
        <f t="shared" si="67"/>
      </c>
      <c r="W31" s="31">
        <f t="shared" si="21"/>
      </c>
      <c r="X31" s="32">
        <f t="shared" si="276"/>
      </c>
      <c r="Y31" s="33">
        <f t="shared" si="238"/>
      </c>
      <c r="Z31" s="32">
        <f t="shared" si="200"/>
      </c>
      <c r="AA31" s="34">
        <f t="shared" si="143"/>
      </c>
      <c r="AB31" s="35" t="s">
        <v>46</v>
      </c>
      <c r="AC31" s="98" t="s">
        <v>47</v>
      </c>
      <c r="AD31" s="26">
        <v>5</v>
      </c>
      <c r="AE31" s="26">
        <v>12131</v>
      </c>
      <c r="AF31" s="26">
        <v>548</v>
      </c>
      <c r="AG31" s="21">
        <v>831</v>
      </c>
      <c r="AH31" s="21">
        <v>157</v>
      </c>
      <c r="AI31" s="21">
        <v>60</v>
      </c>
      <c r="AJ31" s="100">
        <v>15</v>
      </c>
      <c r="AK31" s="101">
        <v>41</v>
      </c>
      <c r="AL31" s="75">
        <v>1</v>
      </c>
      <c r="AM31" s="42"/>
    </row>
    <row r="32">
      <c r="A32" s="99"/>
      <c r="B32" s="43" t="s">
        <v>50</v>
      </c>
      <c r="C32" s="48" t="s">
        <v>45</v>
      </c>
      <c r="D32" s="26">
        <f t="shared" si="42"/>
      </c>
      <c r="E32" s="26">
        <v>2298.32</v>
      </c>
      <c r="F32" s="26"/>
      <c r="G32" s="21">
        <v>2819.9</v>
      </c>
      <c r="H32" s="21"/>
      <c r="I32" s="21">
        <v>6</v>
      </c>
      <c r="J32" s="21">
        <v>12209</v>
      </c>
      <c r="K32" s="40">
        <v>0</v>
      </c>
      <c r="L32" s="40">
        <v>1</v>
      </c>
      <c r="M32" s="40">
        <v>5</v>
      </c>
      <c r="N32" s="29">
        <f t="shared" si="2"/>
      </c>
      <c r="O32" s="29">
        <f t="shared" si="257"/>
      </c>
      <c r="P32" s="30">
        <f t="shared" si="219"/>
      </c>
      <c r="Q32" s="31">
        <f t="shared" si="162"/>
      </c>
      <c r="R32" s="32">
        <f t="shared" si="124"/>
      </c>
      <c r="S32" s="31">
        <f t="shared" si="181"/>
      </c>
      <c r="T32" s="31">
        <f t="shared" si="105"/>
      </c>
      <c r="U32" s="32">
        <f t="shared" si="86"/>
      </c>
      <c r="V32" s="31">
        <f t="shared" si="67"/>
      </c>
      <c r="W32" s="31">
        <f t="shared" si="21"/>
      </c>
      <c r="X32" s="32">
        <f t="shared" si="276"/>
      </c>
      <c r="Y32" s="33">
        <f t="shared" si="238"/>
      </c>
      <c r="Z32" s="32">
        <f t="shared" si="200"/>
      </c>
      <c r="AA32" s="34">
        <f t="shared" si="143"/>
      </c>
      <c r="AB32" s="35" t="s">
        <v>46</v>
      </c>
      <c r="AC32" s="98" t="s">
        <v>47</v>
      </c>
      <c r="AD32" s="47">
        <v>4</v>
      </c>
      <c r="AE32" s="47">
        <v>16093</v>
      </c>
      <c r="AF32" s="21">
        <v>711</v>
      </c>
      <c r="AG32" s="21">
        <v>1021</v>
      </c>
      <c r="AH32" s="21">
        <v>145</v>
      </c>
      <c r="AI32" s="21">
        <v>68</v>
      </c>
      <c r="AJ32" s="49">
        <v>16</v>
      </c>
      <c r="AK32" s="50">
        <v>38</v>
      </c>
      <c r="AL32" s="41">
        <v>1</v>
      </c>
      <c r="AM32" s="42"/>
    </row>
    <row r="33">
      <c r="A33" s="99"/>
      <c r="B33" s="53" t="s">
        <v>51</v>
      </c>
      <c r="C33" s="53"/>
      <c r="D33" s="53">
        <f>SUM(D29:D32)</f>
      </c>
      <c r="E33" s="53">
        <f>SUM(E29:E32)</f>
      </c>
      <c r="F33" s="53">
        <f>SUM(F29:F32)</f>
      </c>
      <c r="G33" s="53">
        <f>SUM(G29:G32)</f>
      </c>
      <c r="H33" s="53">
        <f>SUM(H29:H32)</f>
      </c>
      <c r="I33" s="53">
        <f>SUM(I29:I32)</f>
      </c>
      <c r="J33" s="53">
        <f>SUM(J29:J32)</f>
      </c>
      <c r="K33" s="53">
        <f>SUM(K29:K32)</f>
      </c>
      <c r="L33" s="53">
        <f>SUM(L29:L32)</f>
      </c>
      <c r="M33" s="53">
        <f>SUM(M29:M32)</f>
      </c>
      <c r="N33" s="54">
        <f t="shared" si="2"/>
      </c>
      <c r="O33" s="55">
        <f t="shared" si="257"/>
      </c>
      <c r="P33" s="56">
        <f t="shared" si="219"/>
      </c>
      <c r="Q33" s="57">
        <f t="shared" si="162"/>
      </c>
      <c r="R33" s="58">
        <f t="shared" si="124"/>
      </c>
      <c r="S33" s="57">
        <f t="shared" si="181"/>
      </c>
      <c r="T33" s="59">
        <f t="shared" si="105"/>
      </c>
      <c r="U33" s="60">
        <f t="shared" si="86"/>
      </c>
      <c r="V33" s="59">
        <f t="shared" si="67"/>
      </c>
      <c r="W33" s="59">
        <f t="shared" si="21"/>
      </c>
      <c r="X33" s="60">
        <f t="shared" si="276"/>
      </c>
      <c r="Y33" s="61">
        <f t="shared" si="238"/>
      </c>
      <c r="Z33" s="60">
        <f t="shared" si="200"/>
      </c>
      <c r="AA33" s="62">
        <f t="shared" si="143"/>
      </c>
      <c r="AB33" s="63"/>
      <c r="AC33" s="62"/>
      <c r="AD33" s="102">
        <f>SUM(AD29:AD32)</f>
      </c>
      <c r="AE33" s="66">
        <f>SUM(AE29:AE32)</f>
      </c>
      <c r="AF33" s="66">
        <f>SUM(AF29:AF32)</f>
      </c>
      <c r="AG33" s="66">
        <f>SUM(AG29:AG32)</f>
      </c>
      <c r="AH33" s="66">
        <f>SUM(AH29:AH32)</f>
      </c>
      <c r="AI33" s="66">
        <f>SUM(AI29:AI32)</f>
      </c>
      <c r="AJ33" s="66">
        <f>SUM(AJ29:AJ32)</f>
      </c>
      <c r="AK33" s="66">
        <f>SUM(AK29:AK32)</f>
      </c>
      <c r="AL33" s="66">
        <f>SUM(AL29:AL32)</f>
      </c>
      <c r="AM33" s="42"/>
    </row>
    <row r="34">
      <c r="A34" s="99"/>
      <c r="B34" s="48" t="s">
        <v>52</v>
      </c>
      <c r="C34" s="22" t="s">
        <v>53</v>
      </c>
      <c r="D34" s="21">
        <f t="shared" ref="D34:D37" si="43">E34+F34+G34+H34</f>
      </c>
      <c r="E34" s="21">
        <v>2199.52</v>
      </c>
      <c r="F34" s="26"/>
      <c r="G34" s="21">
        <v>2992.54</v>
      </c>
      <c r="H34" s="21"/>
      <c r="I34" s="21">
        <v>6</v>
      </c>
      <c r="J34" s="21">
        <v>10968</v>
      </c>
      <c r="K34" s="40">
        <v>0</v>
      </c>
      <c r="L34" s="40">
        <v>2</v>
      </c>
      <c r="M34" s="67">
        <v>4</v>
      </c>
      <c r="N34" s="68">
        <f t="shared" si="2"/>
      </c>
      <c r="O34" s="29">
        <f t="shared" si="257"/>
      </c>
      <c r="P34" s="30">
        <f t="shared" si="219"/>
      </c>
      <c r="Q34" s="31">
        <f t="shared" si="162"/>
      </c>
      <c r="R34" s="32">
        <f t="shared" si="124"/>
      </c>
      <c r="S34" s="31">
        <f t="shared" si="181"/>
      </c>
      <c r="T34" s="73">
        <f t="shared" si="105"/>
      </c>
      <c r="U34" s="32">
        <f t="shared" si="86"/>
      </c>
      <c r="V34" s="31">
        <f t="shared" si="67"/>
      </c>
      <c r="W34" s="31">
        <f t="shared" si="21"/>
      </c>
      <c r="X34" s="32">
        <f t="shared" si="276"/>
      </c>
      <c r="Y34" s="33">
        <f t="shared" si="238"/>
      </c>
      <c r="Z34" s="32">
        <f t="shared" si="200"/>
      </c>
      <c r="AA34" s="34">
        <f t="shared" si="143"/>
      </c>
      <c r="AB34" s="35" t="s">
        <v>46</v>
      </c>
      <c r="AC34" s="98" t="s">
        <v>47</v>
      </c>
      <c r="AD34" s="26">
        <v>7</v>
      </c>
      <c r="AE34" s="74">
        <v>17437</v>
      </c>
      <c r="AF34" s="75">
        <v>780</v>
      </c>
      <c r="AG34" s="75">
        <v>1119</v>
      </c>
      <c r="AH34" s="75">
        <v>128</v>
      </c>
      <c r="AI34" s="75">
        <v>59</v>
      </c>
      <c r="AJ34" s="75">
        <v>9</v>
      </c>
      <c r="AK34" s="75">
        <v>26</v>
      </c>
      <c r="AL34" s="41">
        <v>1</v>
      </c>
      <c r="AM34" s="42"/>
    </row>
    <row r="35">
      <c r="A35" s="99"/>
      <c r="B35" s="48" t="s">
        <v>54</v>
      </c>
      <c r="C35" s="22" t="s">
        <v>53</v>
      </c>
      <c r="D35" s="21">
        <f t="shared" si="43"/>
      </c>
      <c r="E35" s="21">
        <v>1809.41</v>
      </c>
      <c r="F35" s="26"/>
      <c r="G35" s="21">
        <v>2304.88</v>
      </c>
      <c r="H35" s="21"/>
      <c r="I35" s="21">
        <v>3</v>
      </c>
      <c r="J35" s="21">
        <v>2865</v>
      </c>
      <c r="K35" s="40">
        <v>1</v>
      </c>
      <c r="L35" s="40">
        <v>0</v>
      </c>
      <c r="M35" s="67">
        <v>1</v>
      </c>
      <c r="N35" s="68">
        <f t="shared" si="2"/>
      </c>
      <c r="O35" s="29">
        <f t="shared" si="257"/>
      </c>
      <c r="P35" s="30">
        <f t="shared" si="219"/>
      </c>
      <c r="Q35" s="31">
        <f t="shared" si="162"/>
      </c>
      <c r="R35" s="32">
        <f t="shared" si="124"/>
      </c>
      <c r="S35" s="31">
        <f t="shared" si="181"/>
      </c>
      <c r="T35" s="73">
        <f t="shared" si="105"/>
      </c>
      <c r="U35" s="32">
        <f t="shared" si="86"/>
      </c>
      <c r="V35" s="31">
        <f t="shared" si="67"/>
      </c>
      <c r="W35" s="31">
        <f t="shared" si="21"/>
      </c>
      <c r="X35" s="32">
        <f t="shared" si="276"/>
      </c>
      <c r="Y35" s="33">
        <f t="shared" si="238"/>
      </c>
      <c r="Z35" s="32">
        <f t="shared" si="200"/>
      </c>
      <c r="AA35" s="34">
        <f t="shared" si="143"/>
      </c>
      <c r="AB35" s="35" t="s">
        <v>46</v>
      </c>
      <c r="AC35" s="98" t="s">
        <v>47</v>
      </c>
      <c r="AD35" s="26">
        <v>2</v>
      </c>
      <c r="AE35" s="74">
        <v>15256</v>
      </c>
      <c r="AF35" s="75">
        <v>726</v>
      </c>
      <c r="AG35" s="75">
        <v>935</v>
      </c>
      <c r="AH35" s="75">
        <v>106</v>
      </c>
      <c r="AI35" s="75">
        <v>59</v>
      </c>
      <c r="AJ35" s="41">
        <v>5</v>
      </c>
      <c r="AK35" s="41">
        <v>29</v>
      </c>
      <c r="AL35" s="41">
        <v>1</v>
      </c>
      <c r="AM35" s="42"/>
    </row>
    <row r="36">
      <c r="A36" s="99"/>
      <c r="B36" s="21" t="s">
        <v>55</v>
      </c>
      <c r="C36" s="22" t="s">
        <v>53</v>
      </c>
      <c r="D36" s="21">
        <f t="shared" si="43"/>
      </c>
      <c r="E36" s="21">
        <v>2154.29</v>
      </c>
      <c r="F36" s="26"/>
      <c r="G36" s="21">
        <v>2955.82</v>
      </c>
      <c r="H36" s="21"/>
      <c r="I36" s="21">
        <v>5</v>
      </c>
      <c r="J36" s="21">
        <v>9540</v>
      </c>
      <c r="K36" s="40">
        <v>1</v>
      </c>
      <c r="L36" s="40">
        <v>0</v>
      </c>
      <c r="M36" s="40">
        <v>4</v>
      </c>
      <c r="N36" s="103">
        <f t="shared" si="2"/>
      </c>
      <c r="O36" s="29">
        <f t="shared" si="257"/>
      </c>
      <c r="P36" s="30">
        <f t="shared" si="219"/>
      </c>
      <c r="Q36" s="31">
        <f t="shared" si="162"/>
      </c>
      <c r="R36" s="32">
        <f t="shared" si="124"/>
      </c>
      <c r="S36" s="31">
        <f t="shared" si="181"/>
      </c>
      <c r="T36" s="73">
        <f t="shared" si="105"/>
      </c>
      <c r="U36" s="32">
        <f t="shared" si="86"/>
      </c>
      <c r="V36" s="31">
        <f t="shared" si="67"/>
      </c>
      <c r="W36" s="31">
        <f t="shared" si="21"/>
      </c>
      <c r="X36" s="32">
        <f t="shared" si="276"/>
      </c>
      <c r="Y36" s="33">
        <f t="shared" si="238"/>
      </c>
      <c r="Z36" s="32">
        <f t="shared" si="200"/>
      </c>
      <c r="AA36" s="34">
        <f t="shared" si="143"/>
      </c>
      <c r="AB36" s="35" t="s">
        <v>46</v>
      </c>
      <c r="AC36" s="98" t="s">
        <v>47</v>
      </c>
      <c r="AD36" s="26">
        <v>5</v>
      </c>
      <c r="AE36" s="74">
        <v>17732</v>
      </c>
      <c r="AF36" s="75">
        <v>949</v>
      </c>
      <c r="AG36" s="75">
        <v>1254</v>
      </c>
      <c r="AH36" s="75">
        <v>169</v>
      </c>
      <c r="AI36" s="75">
        <v>73</v>
      </c>
      <c r="AJ36" s="41">
        <v>14</v>
      </c>
      <c r="AK36" s="41">
        <v>27</v>
      </c>
      <c r="AL36" s="41">
        <v>1</v>
      </c>
      <c r="AM36" s="42"/>
    </row>
    <row r="37">
      <c r="A37" s="99"/>
      <c r="B37" s="43" t="s">
        <v>56</v>
      </c>
      <c r="C37" s="21" t="s">
        <v>53</v>
      </c>
      <c r="D37" s="26">
        <f t="shared" si="43"/>
      </c>
      <c r="E37" s="21">
        <v>2562.51</v>
      </c>
      <c r="F37" s="26"/>
      <c r="G37" s="21">
        <v>1719.57</v>
      </c>
      <c r="H37" s="21"/>
      <c r="I37" s="21">
        <v>3</v>
      </c>
      <c r="J37" s="21">
        <v>5484</v>
      </c>
      <c r="K37" s="40">
        <v>0</v>
      </c>
      <c r="L37" s="40">
        <v>1</v>
      </c>
      <c r="M37" s="40">
        <v>2</v>
      </c>
      <c r="N37" s="68">
        <f t="shared" si="2"/>
      </c>
      <c r="O37" s="29">
        <f t="shared" si="257"/>
      </c>
      <c r="P37" s="30">
        <f t="shared" si="219"/>
      </c>
      <c r="Q37" s="31">
        <f t="shared" si="162"/>
      </c>
      <c r="R37" s="32">
        <f t="shared" si="124"/>
      </c>
      <c r="S37" s="31">
        <f t="shared" si="181"/>
      </c>
      <c r="T37" s="73">
        <f t="shared" si="105"/>
      </c>
      <c r="U37" s="32">
        <f t="shared" si="86"/>
      </c>
      <c r="V37" s="31">
        <f t="shared" si="67"/>
      </c>
      <c r="W37" s="31">
        <f t="shared" si="21"/>
      </c>
      <c r="X37" s="32">
        <f t="shared" si="276"/>
      </c>
      <c r="Y37" s="33">
        <f t="shared" si="238"/>
      </c>
      <c r="Z37" s="32">
        <f t="shared" si="200"/>
      </c>
      <c r="AA37" s="34">
        <f t="shared" si="143"/>
      </c>
      <c r="AB37" s="35" t="s">
        <v>46</v>
      </c>
      <c r="AC37" s="98" t="s">
        <v>47</v>
      </c>
      <c r="AD37" s="26">
        <v>3</v>
      </c>
      <c r="AE37" s="74">
        <v>13789</v>
      </c>
      <c r="AF37" s="75">
        <v>582</v>
      </c>
      <c r="AG37" s="75">
        <v>805</v>
      </c>
      <c r="AH37" s="75">
        <v>131</v>
      </c>
      <c r="AI37" s="75">
        <v>47</v>
      </c>
      <c r="AJ37" s="41">
        <v>15</v>
      </c>
      <c r="AK37" s="41">
        <v>28</v>
      </c>
      <c r="AL37" s="41">
        <v>1</v>
      </c>
      <c r="AM37" s="42"/>
    </row>
    <row r="38">
      <c r="A38" s="99"/>
      <c r="B38" s="53" t="s">
        <v>51</v>
      </c>
      <c r="C38" s="53"/>
      <c r="D38" s="53">
        <f>SUM(D34:D37)</f>
      </c>
      <c r="E38" s="53">
        <f>SUM(E34:E37)</f>
      </c>
      <c r="F38" s="53">
        <f>SUM(F34:F37)</f>
      </c>
      <c r="G38" s="53">
        <f>SUM(G34:G37)</f>
      </c>
      <c r="H38" s="53">
        <f>SUM(H34:H37)</f>
      </c>
      <c r="I38" s="53">
        <f>SUM(I34:I37)</f>
      </c>
      <c r="J38" s="53">
        <f>SUM(J34:J37)</f>
      </c>
      <c r="K38" s="53">
        <f>SUM(K34:K37)</f>
      </c>
      <c r="L38" s="53">
        <f>SUM(L34:L37)</f>
      </c>
      <c r="M38" s="79">
        <f>SUM(M34:M37)</f>
      </c>
      <c r="N38" s="54">
        <f t="shared" si="2"/>
      </c>
      <c r="O38" s="81">
        <f t="shared" si="257"/>
      </c>
      <c r="P38" s="82">
        <f t="shared" si="219"/>
      </c>
      <c r="Q38" s="83">
        <f t="shared" si="162"/>
      </c>
      <c r="R38" s="84">
        <f t="shared" si="124"/>
      </c>
      <c r="S38" s="83">
        <f t="shared" si="181"/>
      </c>
      <c r="T38" s="59">
        <f t="shared" si="105"/>
      </c>
      <c r="U38" s="60">
        <f t="shared" si="86"/>
      </c>
      <c r="V38" s="59">
        <f t="shared" si="67"/>
      </c>
      <c r="W38" s="59">
        <f t="shared" si="21"/>
      </c>
      <c r="X38" s="60">
        <f t="shared" si="276"/>
      </c>
      <c r="Y38" s="61">
        <f t="shared" si="238"/>
      </c>
      <c r="Z38" s="60">
        <f t="shared" si="200"/>
      </c>
      <c r="AA38" s="62">
        <f t="shared" si="143"/>
      </c>
      <c r="AB38" s="63"/>
      <c r="AC38" s="62"/>
      <c r="AD38" s="85">
        <f>SUM(AD34:AD37)</f>
      </c>
      <c r="AE38" s="86">
        <f>SUM(AE34:AE37)</f>
      </c>
      <c r="AF38" s="86">
        <f>SUM(AF34:AF37)</f>
      </c>
      <c r="AG38" s="86">
        <f>SUM(AG34:AG37)</f>
      </c>
      <c r="AH38" s="86">
        <f>SUM(AH34:AH37)</f>
      </c>
      <c r="AI38" s="86">
        <f>SUM(AI34:AI37)</f>
      </c>
      <c r="AJ38" s="86">
        <f>SUM(AJ34:AJ37)</f>
      </c>
      <c r="AK38" s="86">
        <f>SUM(AK34:AK37)</f>
      </c>
      <c r="AL38" s="86">
        <f>SUM(AL34:AL37)</f>
      </c>
      <c r="AM38" s="104" t="s">
        <v>57</v>
      </c>
    </row>
    <row r="39">
      <c r="A39" s="99"/>
      <c r="B39" s="88" t="s">
        <v>58</v>
      </c>
      <c r="C39" s="88"/>
      <c r="D39" s="88">
        <f>D33+D38</f>
      </c>
      <c r="E39" s="88">
        <f>E33+E38</f>
      </c>
      <c r="F39" s="88">
        <f>F33+F38</f>
      </c>
      <c r="G39" s="88">
        <f>G33+G38</f>
      </c>
      <c r="H39" s="88">
        <f>H33+H38</f>
      </c>
      <c r="I39" s="88">
        <f>I33+I38</f>
      </c>
      <c r="J39" s="88">
        <f>J33+J38</f>
      </c>
      <c r="K39" s="88">
        <f>K33+K38</f>
      </c>
      <c r="L39" s="88">
        <f>L33+L38</f>
      </c>
      <c r="M39" s="88">
        <f>M33+M38</f>
      </c>
      <c r="N39" s="89">
        <f t="shared" si="2"/>
      </c>
      <c r="O39" s="90">
        <f t="shared" si="257"/>
      </c>
      <c r="P39" s="91">
        <f t="shared" si="219"/>
      </c>
      <c r="Q39" s="92">
        <f t="shared" si="162"/>
      </c>
      <c r="R39" s="90">
        <f t="shared" si="124"/>
      </c>
      <c r="S39" s="92">
        <f t="shared" si="181"/>
      </c>
      <c r="T39" s="92">
        <f t="shared" si="105"/>
      </c>
      <c r="U39" s="90">
        <f t="shared" si="86"/>
      </c>
      <c r="V39" s="92">
        <f t="shared" si="67"/>
      </c>
      <c r="W39" s="92">
        <f t="shared" si="21"/>
      </c>
      <c r="X39" s="90">
        <f t="shared" si="276"/>
      </c>
      <c r="Y39" s="93">
        <f t="shared" si="238"/>
      </c>
      <c r="Z39" s="90">
        <f t="shared" si="200"/>
      </c>
      <c r="AA39" s="91">
        <f t="shared" si="143"/>
      </c>
      <c r="AB39" s="94"/>
      <c r="AC39" s="91"/>
      <c r="AD39" s="96">
        <f>AD33+AD38</f>
      </c>
      <c r="AE39" s="96">
        <f>AE33+AE38</f>
      </c>
      <c r="AF39" s="96">
        <f>AF33+AF38</f>
      </c>
      <c r="AG39" s="96">
        <f>AG33+AG38</f>
      </c>
      <c r="AH39" s="96">
        <f>AH33+AH38</f>
      </c>
      <c r="AI39" s="96">
        <f>AI33+AI38</f>
      </c>
      <c r="AJ39" s="96">
        <f>AJ33+AJ38</f>
      </c>
      <c r="AK39" s="96">
        <f>AK33+AK38</f>
      </c>
      <c r="AL39" s="96">
        <f>AL33+AL38</f>
      </c>
      <c r="AM39" s="104"/>
    </row>
    <row r="40">
      <c r="A40" s="1" t="s">
        <v>1</v>
      </c>
      <c r="B40" s="1"/>
      <c r="C40" s="1"/>
      <c r="D40" s="2" t="s">
        <v>2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 t="s">
        <v>3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4" t="s">
        <v>4</v>
      </c>
      <c r="AE40" s="4"/>
      <c r="AF40" s="4"/>
      <c r="AG40" s="4"/>
      <c r="AH40" s="4"/>
      <c r="AI40" s="4"/>
      <c r="AJ40" s="4"/>
      <c r="AK40" s="4"/>
      <c r="AL40" s="4"/>
      <c r="AM40" s="5"/>
    </row>
    <row r="41">
      <c r="A41" s="1" t="s">
        <v>5</v>
      </c>
      <c r="B41" s="6" t="s">
        <v>6</v>
      </c>
      <c r="C41" s="6" t="s">
        <v>7</v>
      </c>
      <c r="D41" s="7" t="s">
        <v>8</v>
      </c>
      <c r="E41" s="8" t="s">
        <v>9</v>
      </c>
      <c r="F41" s="8" t="s">
        <v>10</v>
      </c>
      <c r="G41" s="9" t="s">
        <v>11</v>
      </c>
      <c r="H41" s="10" t="s">
        <v>12</v>
      </c>
      <c r="I41" s="97" t="s">
        <v>13</v>
      </c>
      <c r="J41" s="2" t="s">
        <v>14</v>
      </c>
      <c r="K41" s="2" t="s">
        <v>15</v>
      </c>
      <c r="L41" s="13" t="s">
        <v>16</v>
      </c>
      <c r="M41" s="13" t="s">
        <v>17</v>
      </c>
      <c r="N41" s="9" t="s">
        <v>18</v>
      </c>
      <c r="O41" s="13" t="s">
        <v>19</v>
      </c>
      <c r="P41" s="3" t="s">
        <v>20</v>
      </c>
      <c r="Q41" s="3" t="s">
        <v>21</v>
      </c>
      <c r="R41" s="3" t="s">
        <v>22</v>
      </c>
      <c r="S41" s="14" t="s">
        <v>23</v>
      </c>
      <c r="T41" s="14" t="s">
        <v>24</v>
      </c>
      <c r="U41" s="3" t="s">
        <v>25</v>
      </c>
      <c r="V41" s="14" t="s">
        <v>26</v>
      </c>
      <c r="W41" s="14" t="s">
        <v>27</v>
      </c>
      <c r="X41" s="3" t="s">
        <v>28</v>
      </c>
      <c r="Y41" s="14" t="s">
        <v>29</v>
      </c>
      <c r="Z41" s="3" t="s">
        <v>30</v>
      </c>
      <c r="AA41" s="15" t="s">
        <v>31</v>
      </c>
      <c r="AB41" s="15" t="s">
        <v>32</v>
      </c>
      <c r="AC41" s="16" t="s">
        <v>33</v>
      </c>
      <c r="AD41" s="17" t="s">
        <v>34</v>
      </c>
      <c r="AE41" s="18" t="s">
        <v>35</v>
      </c>
      <c r="AF41" s="18" t="s">
        <v>36</v>
      </c>
      <c r="AG41" s="18" t="s">
        <v>37</v>
      </c>
      <c r="AH41" s="18" t="s">
        <v>38</v>
      </c>
      <c r="AI41" s="18" t="s">
        <v>39</v>
      </c>
      <c r="AJ41" s="19" t="s">
        <v>40</v>
      </c>
      <c r="AK41" s="19" t="s">
        <v>41</v>
      </c>
      <c r="AL41" s="19" t="s">
        <v>42</v>
      </c>
      <c r="AM41" s="5"/>
    </row>
    <row r="42">
      <c r="A42" s="20" t="s">
        <v>61</v>
      </c>
      <c r="B42" s="21" t="s">
        <v>44</v>
      </c>
      <c r="C42" s="22" t="s">
        <v>45</v>
      </c>
      <c r="D42" s="23">
        <f t="shared" ref="D42:D45" si="44">E42+F42+G42+H42</f>
      </c>
      <c r="E42" s="21">
        <v>2361.63</v>
      </c>
      <c r="F42" s="26"/>
      <c r="G42" s="26">
        <v>3411.83</v>
      </c>
      <c r="H42" s="43"/>
      <c r="I42" s="21">
        <v>4</v>
      </c>
      <c r="J42" s="26">
        <v>3964.7999999999997</v>
      </c>
      <c r="K42" s="40">
        <v>0</v>
      </c>
      <c r="L42" s="40">
        <v>1</v>
      </c>
      <c r="M42" s="40">
        <v>1</v>
      </c>
      <c r="N42" s="29">
        <f t="shared" ref="N42:N52" si="3">J42/D42</f>
      </c>
      <c r="O42" s="29">
        <f t="shared" ref="O42:O52" si="258">J42/(D42+300*AL42)</f>
      </c>
      <c r="P42" s="30">
        <f t="shared" ref="P42:P52" si="220">(D42/AE42)*1000</f>
      </c>
      <c r="Q42" s="31">
        <f t="shared" ref="Q42:Q52" si="163">AF42/AE42</f>
      </c>
      <c r="R42" s="32">
        <f t="shared" ref="R42:R52" si="125">D42/AG42</f>
      </c>
      <c r="S42" s="31">
        <f t="shared" ref="S42:S52" si="182">AH42/AG42</f>
      </c>
      <c r="T42" s="31">
        <f t="shared" ref="T42:T52" si="106">AI42/AG42</f>
      </c>
      <c r="U42" s="32">
        <f t="shared" ref="U42:U52" si="87">D42/AI42</f>
      </c>
      <c r="V42" s="31">
        <f t="shared" ref="V42:V52" si="68">AJ42/AI42</f>
      </c>
      <c r="W42" s="31">
        <f t="shared" ref="W42:W52" si="22">I42/AJ42</f>
      </c>
      <c r="X42" s="32">
        <f t="shared" ref="X42:X52" si="277">D42/I42</f>
      </c>
      <c r="Y42" s="33">
        <f t="shared" ref="Y42:Y52" si="239">J42/I42</f>
      </c>
      <c r="Z42" s="32">
        <f t="shared" ref="Z42:Z52" si="201">D42/AD42</f>
      </c>
      <c r="AA42" s="34">
        <f t="shared" ref="AA42:AA52" si="144">AK42*1000/D42</f>
      </c>
      <c r="AB42" s="35" t="s">
        <v>46</v>
      </c>
      <c r="AC42" s="98" t="s">
        <v>47</v>
      </c>
      <c r="AD42" s="26">
        <v>3</v>
      </c>
      <c r="AE42" s="38">
        <v>17097</v>
      </c>
      <c r="AF42" s="21">
        <v>884</v>
      </c>
      <c r="AG42" s="26">
        <v>1148</v>
      </c>
      <c r="AH42" s="26">
        <v>139</v>
      </c>
      <c r="AI42" s="21">
        <v>67</v>
      </c>
      <c r="AJ42" s="25">
        <v>11</v>
      </c>
      <c r="AK42" s="40">
        <v>30</v>
      </c>
      <c r="AL42" s="41">
        <v>1</v>
      </c>
      <c r="AM42" s="42"/>
    </row>
    <row r="43">
      <c r="A43" s="20"/>
      <c r="B43" s="43" t="s">
        <v>48</v>
      </c>
      <c r="C43" s="22" t="s">
        <v>45</v>
      </c>
      <c r="D43" s="26">
        <f t="shared" si="44"/>
      </c>
      <c r="E43" s="47">
        <v>1545.4</v>
      </c>
      <c r="F43" s="47"/>
      <c r="G43" s="21">
        <v>1565.17</v>
      </c>
      <c r="H43" s="43"/>
      <c r="I43" s="48">
        <v>1</v>
      </c>
      <c r="J43" s="21">
        <v>2079.9999999999995</v>
      </c>
      <c r="K43" s="25">
        <v>0</v>
      </c>
      <c r="L43" s="40">
        <v>0</v>
      </c>
      <c r="M43" s="40">
        <v>1</v>
      </c>
      <c r="N43" s="29">
        <f t="shared" si="3"/>
      </c>
      <c r="O43" s="29">
        <f t="shared" si="258"/>
      </c>
      <c r="P43" s="30">
        <f t="shared" si="220"/>
      </c>
      <c r="Q43" s="31">
        <f t="shared" si="163"/>
      </c>
      <c r="R43" s="32">
        <f t="shared" si="125"/>
      </c>
      <c r="S43" s="31">
        <f t="shared" si="182"/>
      </c>
      <c r="T43" s="31">
        <f t="shared" si="106"/>
      </c>
      <c r="U43" s="32">
        <f t="shared" si="87"/>
      </c>
      <c r="V43" s="31">
        <f t="shared" si="68"/>
      </c>
      <c r="W43" s="31">
        <f t="shared" si="22"/>
      </c>
      <c r="X43" s="32">
        <f t="shared" si="277"/>
      </c>
      <c r="Y43" s="33">
        <f t="shared" si="239"/>
      </c>
      <c r="Z43" s="32">
        <f t="shared" si="201"/>
      </c>
      <c r="AA43" s="34">
        <f t="shared" si="144"/>
      </c>
      <c r="AB43" s="35" t="s">
        <v>46</v>
      </c>
      <c r="AC43" s="98" t="s">
        <v>47</v>
      </c>
      <c r="AD43" s="26">
        <v>1</v>
      </c>
      <c r="AE43" s="47">
        <v>8125</v>
      </c>
      <c r="AF43" s="47">
        <v>388</v>
      </c>
      <c r="AG43" s="48">
        <v>503</v>
      </c>
      <c r="AH43" s="21">
        <v>56</v>
      </c>
      <c r="AI43" s="21">
        <v>36</v>
      </c>
      <c r="AJ43" s="49">
        <v>2</v>
      </c>
      <c r="AK43" s="50">
        <v>13</v>
      </c>
      <c r="AL43" s="41">
        <v>1</v>
      </c>
      <c r="AM43" s="42"/>
    </row>
    <row r="44">
      <c r="A44" s="20"/>
      <c r="B44" s="43" t="s">
        <v>49</v>
      </c>
      <c r="C44" s="39" t="s">
        <v>45</v>
      </c>
      <c r="D44" s="26">
        <f t="shared" si="44"/>
      </c>
      <c r="E44" s="26">
        <v>1944.67</v>
      </c>
      <c r="F44" s="26"/>
      <c r="G44" s="21">
        <v>1937.42</v>
      </c>
      <c r="H44" s="21"/>
      <c r="I44" s="48">
        <v>1</v>
      </c>
      <c r="J44" s="48">
        <v>2268</v>
      </c>
      <c r="K44" s="51">
        <v>0</v>
      </c>
      <c r="L44" s="51">
        <v>0</v>
      </c>
      <c r="M44" s="51">
        <v>1</v>
      </c>
      <c r="N44" s="29">
        <f t="shared" si="3"/>
      </c>
      <c r="O44" s="29">
        <f t="shared" si="258"/>
      </c>
      <c r="P44" s="30">
        <f t="shared" si="220"/>
      </c>
      <c r="Q44" s="31">
        <f t="shared" si="163"/>
      </c>
      <c r="R44" s="32">
        <f t="shared" si="125"/>
      </c>
      <c r="S44" s="31">
        <f t="shared" si="182"/>
      </c>
      <c r="T44" s="31">
        <f t="shared" si="106"/>
      </c>
      <c r="U44" s="32">
        <f t="shared" si="87"/>
      </c>
      <c r="V44" s="31">
        <f t="shared" si="68"/>
      </c>
      <c r="W44" s="31">
        <f t="shared" si="22"/>
      </c>
      <c r="X44" s="32">
        <f t="shared" si="277"/>
      </c>
      <c r="Y44" s="33">
        <f t="shared" si="239"/>
      </c>
      <c r="Z44" s="32">
        <f t="shared" si="201"/>
      </c>
      <c r="AA44" s="34">
        <f t="shared" si="144"/>
      </c>
      <c r="AB44" s="35" t="s">
        <v>46</v>
      </c>
      <c r="AC44" s="98" t="s">
        <v>47</v>
      </c>
      <c r="AD44" s="26">
        <v>1</v>
      </c>
      <c r="AE44" s="26">
        <v>13148</v>
      </c>
      <c r="AF44" s="26">
        <v>560</v>
      </c>
      <c r="AG44" s="21">
        <v>728</v>
      </c>
      <c r="AH44" s="21">
        <v>102</v>
      </c>
      <c r="AI44" s="21">
        <v>37</v>
      </c>
      <c r="AJ44" s="49">
        <v>6</v>
      </c>
      <c r="AK44" s="50">
        <v>17</v>
      </c>
      <c r="AL44" s="41">
        <v>1</v>
      </c>
      <c r="AM44" s="42"/>
    </row>
    <row r="45">
      <c r="A45" s="20"/>
      <c r="B45" s="43" t="s">
        <v>50</v>
      </c>
      <c r="C45" s="48" t="s">
        <v>45</v>
      </c>
      <c r="D45" s="26">
        <f t="shared" si="44"/>
      </c>
      <c r="E45" s="26">
        <v>1464.3</v>
      </c>
      <c r="F45" s="26"/>
      <c r="G45" s="21">
        <v>1808.71</v>
      </c>
      <c r="H45" s="21"/>
      <c r="I45" s="21">
        <v>1</v>
      </c>
      <c r="J45" s="21">
        <v>2268</v>
      </c>
      <c r="K45" s="40">
        <v>0</v>
      </c>
      <c r="L45" s="40">
        <v>0</v>
      </c>
      <c r="M45" s="40">
        <v>1</v>
      </c>
      <c r="N45" s="29">
        <f t="shared" si="3"/>
      </c>
      <c r="O45" s="29">
        <f t="shared" si="258"/>
      </c>
      <c r="P45" s="30">
        <f t="shared" si="220"/>
      </c>
      <c r="Q45" s="31">
        <f t="shared" si="163"/>
      </c>
      <c r="R45" s="32">
        <f t="shared" si="125"/>
      </c>
      <c r="S45" s="31">
        <f t="shared" si="182"/>
      </c>
      <c r="T45" s="31">
        <f t="shared" si="106"/>
      </c>
      <c r="U45" s="32">
        <f t="shared" si="87"/>
      </c>
      <c r="V45" s="31">
        <f t="shared" si="68"/>
      </c>
      <c r="W45" s="31">
        <f t="shared" si="22"/>
      </c>
      <c r="X45" s="32">
        <f t="shared" si="277"/>
      </c>
      <c r="Y45" s="33">
        <f t="shared" si="239"/>
      </c>
      <c r="Z45" s="32">
        <f t="shared" si="201"/>
      </c>
      <c r="AA45" s="34">
        <f t="shared" si="144"/>
      </c>
      <c r="AB45" s="35" t="s">
        <v>46</v>
      </c>
      <c r="AC45" s="98" t="s">
        <v>47</v>
      </c>
      <c r="AD45" s="47">
        <v>0</v>
      </c>
      <c r="AE45" s="47">
        <v>11540</v>
      </c>
      <c r="AF45" s="21">
        <v>510</v>
      </c>
      <c r="AG45" s="21">
        <v>731</v>
      </c>
      <c r="AH45" s="21">
        <v>85</v>
      </c>
      <c r="AI45" s="21">
        <v>31</v>
      </c>
      <c r="AJ45" s="49">
        <v>3</v>
      </c>
      <c r="AK45" s="50">
        <v>15</v>
      </c>
      <c r="AL45" s="41">
        <v>1</v>
      </c>
      <c r="AM45" s="42"/>
    </row>
    <row r="46">
      <c r="A46" s="20"/>
      <c r="B46" s="53" t="s">
        <v>51</v>
      </c>
      <c r="C46" s="53"/>
      <c r="D46" s="53">
        <f>SUM(D42:D45)</f>
      </c>
      <c r="E46" s="53">
        <f>SUM(E42:E45)</f>
      </c>
      <c r="F46" s="53">
        <f>SUM(F42:F45)</f>
      </c>
      <c r="G46" s="53">
        <f>SUM(G42:G45)</f>
      </c>
      <c r="H46" s="53">
        <f>SUM(H42:H45)</f>
      </c>
      <c r="I46" s="53">
        <f>SUM(I42:I45)</f>
      </c>
      <c r="J46" s="53">
        <f>SUM(J42:J45)</f>
      </c>
      <c r="K46" s="53">
        <f>SUM(K42:K45)</f>
      </c>
      <c r="L46" s="53">
        <f>SUM(L42:L45)</f>
      </c>
      <c r="M46" s="53">
        <f>SUM(M42:M45)</f>
      </c>
      <c r="N46" s="54">
        <f t="shared" si="3"/>
      </c>
      <c r="O46" s="55">
        <f t="shared" si="258"/>
      </c>
      <c r="P46" s="56">
        <f t="shared" si="220"/>
      </c>
      <c r="Q46" s="57">
        <f t="shared" si="163"/>
      </c>
      <c r="R46" s="58">
        <f t="shared" si="125"/>
      </c>
      <c r="S46" s="57">
        <f t="shared" si="182"/>
      </c>
      <c r="T46" s="59">
        <f t="shared" si="106"/>
      </c>
      <c r="U46" s="60">
        <f t="shared" si="87"/>
      </c>
      <c r="V46" s="59">
        <f t="shared" si="68"/>
      </c>
      <c r="W46" s="59">
        <f t="shared" si="22"/>
      </c>
      <c r="X46" s="60">
        <f t="shared" si="277"/>
      </c>
      <c r="Y46" s="61">
        <f t="shared" si="239"/>
      </c>
      <c r="Z46" s="60">
        <f t="shared" si="201"/>
      </c>
      <c r="AA46" s="62">
        <f t="shared" si="144"/>
      </c>
      <c r="AB46" s="63"/>
      <c r="AC46" s="62"/>
      <c r="AD46" s="102">
        <f>SUM(AD42:AD45)</f>
      </c>
      <c r="AE46" s="66">
        <f>SUM(AE42:AE45)</f>
      </c>
      <c r="AF46" s="66">
        <f>SUM(AF42:AF45)</f>
      </c>
      <c r="AG46" s="66">
        <f>SUM(AG42:AG45)</f>
      </c>
      <c r="AH46" s="66">
        <f>SUM(AH42:AH45)</f>
      </c>
      <c r="AI46" s="66">
        <f>SUM(AI42:AI45)</f>
      </c>
      <c r="AJ46" s="66">
        <f>SUM(AJ42:AJ45)</f>
      </c>
      <c r="AK46" s="66">
        <f>SUM(AK42:AK45)</f>
      </c>
      <c r="AL46" s="66">
        <f>SUM(AL42:AL45)</f>
      </c>
      <c r="AM46" s="42"/>
    </row>
    <row r="47">
      <c r="A47" s="20"/>
      <c r="B47" s="48" t="s">
        <v>52</v>
      </c>
      <c r="C47" s="22" t="s">
        <v>53</v>
      </c>
      <c r="D47" s="21">
        <f t="shared" ref="D47:D50" si="45">E47+F47+G47+H47</f>
      </c>
      <c r="E47" s="21">
        <v>2095.36</v>
      </c>
      <c r="F47" s="26"/>
      <c r="G47" s="21">
        <v>1336.58</v>
      </c>
      <c r="H47" s="21"/>
      <c r="I47" s="21">
        <v>4</v>
      </c>
      <c r="J47" s="21">
        <v>8884</v>
      </c>
      <c r="K47" s="40">
        <v>0</v>
      </c>
      <c r="L47" s="40">
        <v>0</v>
      </c>
      <c r="M47" s="67">
        <v>4</v>
      </c>
      <c r="N47" s="68">
        <f t="shared" si="3"/>
      </c>
      <c r="O47" s="29">
        <f t="shared" si="258"/>
      </c>
      <c r="P47" s="30">
        <f t="shared" si="220"/>
      </c>
      <c r="Q47" s="31">
        <f t="shared" si="163"/>
      </c>
      <c r="R47" s="32">
        <f t="shared" si="125"/>
      </c>
      <c r="S47" s="31">
        <f t="shared" si="182"/>
      </c>
      <c r="T47" s="73">
        <f t="shared" si="106"/>
      </c>
      <c r="U47" s="32">
        <f t="shared" si="87"/>
      </c>
      <c r="V47" s="31">
        <f t="shared" si="68"/>
      </c>
      <c r="W47" s="31">
        <f t="shared" si="22"/>
      </c>
      <c r="X47" s="32">
        <f t="shared" si="277"/>
      </c>
      <c r="Y47" s="33">
        <f t="shared" si="239"/>
      </c>
      <c r="Z47" s="32">
        <f t="shared" si="201"/>
      </c>
      <c r="AA47" s="34">
        <f t="shared" si="144"/>
      </c>
      <c r="AB47" s="35" t="s">
        <v>46</v>
      </c>
      <c r="AC47" s="98" t="s">
        <v>47</v>
      </c>
      <c r="AD47" s="26">
        <v>4</v>
      </c>
      <c r="AE47" s="74">
        <v>11936</v>
      </c>
      <c r="AF47" s="75">
        <v>510</v>
      </c>
      <c r="AG47" s="75">
        <v>714</v>
      </c>
      <c r="AH47" s="75">
        <v>112</v>
      </c>
      <c r="AI47" s="75">
        <v>37</v>
      </c>
      <c r="AJ47" s="41">
        <v>10</v>
      </c>
      <c r="AK47" s="41">
        <v>20</v>
      </c>
      <c r="AL47" s="41">
        <v>1</v>
      </c>
      <c r="AM47" s="42"/>
    </row>
    <row r="48">
      <c r="A48" s="20"/>
      <c r="B48" s="48" t="s">
        <v>54</v>
      </c>
      <c r="C48" s="22" t="s">
        <v>53</v>
      </c>
      <c r="D48" s="21">
        <f t="shared" si="45"/>
      </c>
      <c r="E48" s="21">
        <v>1407.81</v>
      </c>
      <c r="F48" s="26"/>
      <c r="G48" s="21">
        <v>1898.69</v>
      </c>
      <c r="H48" s="21"/>
      <c r="I48" s="21">
        <v>1</v>
      </c>
      <c r="J48" s="21">
        <v>2268</v>
      </c>
      <c r="K48" s="40">
        <v>0</v>
      </c>
      <c r="L48" s="40">
        <v>0</v>
      </c>
      <c r="M48" s="67">
        <v>1</v>
      </c>
      <c r="N48" s="68">
        <f t="shared" si="3"/>
      </c>
      <c r="O48" s="29">
        <f t="shared" si="258"/>
      </c>
      <c r="P48" s="30">
        <f t="shared" si="220"/>
      </c>
      <c r="Q48" s="31">
        <f t="shared" si="163"/>
      </c>
      <c r="R48" s="32">
        <f t="shared" si="125"/>
      </c>
      <c r="S48" s="31">
        <f t="shared" si="182"/>
      </c>
      <c r="T48" s="73">
        <f t="shared" si="106"/>
      </c>
      <c r="U48" s="32">
        <f t="shared" si="87"/>
      </c>
      <c r="V48" s="31">
        <f t="shared" si="68"/>
      </c>
      <c r="W48" s="31">
        <f t="shared" si="22"/>
      </c>
      <c r="X48" s="32">
        <f t="shared" si="277"/>
      </c>
      <c r="Y48" s="33">
        <f t="shared" si="239"/>
      </c>
      <c r="Z48" s="32">
        <f t="shared" si="201"/>
      </c>
      <c r="AA48" s="34">
        <f t="shared" si="144"/>
      </c>
      <c r="AB48" s="35" t="s">
        <v>46</v>
      </c>
      <c r="AC48" s="98" t="s">
        <v>47</v>
      </c>
      <c r="AD48" s="26">
        <v>1</v>
      </c>
      <c r="AE48" s="74">
        <v>10618</v>
      </c>
      <c r="AF48" s="75">
        <v>555</v>
      </c>
      <c r="AG48" s="75">
        <v>698</v>
      </c>
      <c r="AH48" s="75">
        <v>88</v>
      </c>
      <c r="AI48" s="75">
        <v>49</v>
      </c>
      <c r="AJ48" s="41">
        <v>3</v>
      </c>
      <c r="AK48" s="41">
        <v>20</v>
      </c>
      <c r="AL48" s="41">
        <v>1</v>
      </c>
      <c r="AM48" s="42"/>
    </row>
    <row r="49">
      <c r="A49" s="20"/>
      <c r="B49" s="21" t="s">
        <v>55</v>
      </c>
      <c r="C49" s="22" t="s">
        <v>53</v>
      </c>
      <c r="D49" s="21">
        <f t="shared" si="45"/>
      </c>
      <c r="E49" s="21">
        <v>1571.2</v>
      </c>
      <c r="F49" s="26"/>
      <c r="G49" s="21">
        <v>1800.58</v>
      </c>
      <c r="H49" s="21"/>
      <c r="I49" s="21">
        <v>4</v>
      </c>
      <c r="J49" s="21">
        <v>6912</v>
      </c>
      <c r="K49" s="40">
        <v>0</v>
      </c>
      <c r="L49" s="40">
        <v>0</v>
      </c>
      <c r="M49" s="40">
        <v>3</v>
      </c>
      <c r="N49" s="103">
        <f t="shared" si="3"/>
      </c>
      <c r="O49" s="29">
        <f t="shared" si="258"/>
      </c>
      <c r="P49" s="30">
        <f t="shared" si="220"/>
      </c>
      <c r="Q49" s="31">
        <f t="shared" si="163"/>
      </c>
      <c r="R49" s="32">
        <f t="shared" si="125"/>
      </c>
      <c r="S49" s="31">
        <f t="shared" si="182"/>
      </c>
      <c r="T49" s="73">
        <f t="shared" si="106"/>
      </c>
      <c r="U49" s="32">
        <f t="shared" si="87"/>
      </c>
      <c r="V49" s="31">
        <f t="shared" si="68"/>
      </c>
      <c r="W49" s="31">
        <f t="shared" si="22"/>
      </c>
      <c r="X49" s="32">
        <f t="shared" si="277"/>
      </c>
      <c r="Y49" s="33">
        <f t="shared" si="239"/>
      </c>
      <c r="Z49" s="32">
        <f t="shared" si="201"/>
      </c>
      <c r="AA49" s="34">
        <f t="shared" si="144"/>
      </c>
      <c r="AB49" s="35" t="s">
        <v>46</v>
      </c>
      <c r="AC49" s="98" t="s">
        <v>47</v>
      </c>
      <c r="AD49" s="26">
        <v>2</v>
      </c>
      <c r="AE49" s="74">
        <v>11419</v>
      </c>
      <c r="AF49" s="75">
        <v>484</v>
      </c>
      <c r="AG49" s="75">
        <v>816</v>
      </c>
      <c r="AH49" s="75">
        <v>90</v>
      </c>
      <c r="AI49" s="75">
        <v>41</v>
      </c>
      <c r="AJ49" s="41">
        <v>9</v>
      </c>
      <c r="AK49" s="41">
        <v>16</v>
      </c>
      <c r="AL49" s="41">
        <v>1</v>
      </c>
      <c r="AM49" s="42"/>
    </row>
    <row r="50">
      <c r="A50" s="20"/>
      <c r="B50" s="43" t="s">
        <v>56</v>
      </c>
      <c r="C50" s="21" t="s">
        <v>53</v>
      </c>
      <c r="D50" s="26">
        <f t="shared" si="45"/>
      </c>
      <c r="E50" s="21">
        <v>806.05</v>
      </c>
      <c r="F50" s="26"/>
      <c r="G50" s="21">
        <v>1633.19</v>
      </c>
      <c r="H50" s="21"/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 s="68">
        <f t="shared" si="3"/>
      </c>
      <c r="O50" s="29">
        <f t="shared" si="258"/>
      </c>
      <c r="P50" s="30">
        <f t="shared" si="220"/>
      </c>
      <c r="Q50" s="31">
        <f t="shared" si="163"/>
      </c>
      <c r="R50" s="32">
        <f t="shared" si="125"/>
      </c>
      <c r="S50" s="31">
        <f t="shared" si="182"/>
      </c>
      <c r="T50" s="73">
        <f t="shared" si="106"/>
      </c>
      <c r="U50" s="32">
        <f t="shared" si="87"/>
      </c>
      <c r="V50" s="31">
        <f t="shared" si="68"/>
      </c>
      <c r="W50" s="31">
        <f t="shared" si="22"/>
      </c>
      <c r="X50" s="32">
        <f t="shared" si="277"/>
      </c>
      <c r="Y50" s="33">
        <f t="shared" si="239"/>
      </c>
      <c r="Z50" s="32">
        <f t="shared" si="201"/>
      </c>
      <c r="AA50" s="34">
        <f t="shared" si="144"/>
      </c>
      <c r="AB50" s="35" t="s">
        <v>46</v>
      </c>
      <c r="AC50" s="98" t="s">
        <v>47</v>
      </c>
      <c r="AD50" s="26">
        <v>0</v>
      </c>
      <c r="AE50" s="74">
        <v>8296</v>
      </c>
      <c r="AF50" s="75">
        <v>462</v>
      </c>
      <c r="AG50" s="75">
        <v>676</v>
      </c>
      <c r="AH50" s="75">
        <v>69</v>
      </c>
      <c r="AI50" s="75">
        <v>34</v>
      </c>
      <c r="AJ50" s="41">
        <v>5</v>
      </c>
      <c r="AK50" s="41">
        <v>18</v>
      </c>
      <c r="AL50" s="41">
        <v>1</v>
      </c>
      <c r="AM50" s="42"/>
    </row>
    <row r="51">
      <c r="A51" s="20"/>
      <c r="B51" s="53" t="s">
        <v>51</v>
      </c>
      <c r="C51" s="53"/>
      <c r="D51" s="53">
        <f>SUM(D47:D50)</f>
      </c>
      <c r="E51" s="53">
        <f>SUM(E47:E50)</f>
      </c>
      <c r="F51" s="53">
        <f>SUM(F47:F50)</f>
      </c>
      <c r="G51" s="53">
        <f>SUM(G47:G50)</f>
      </c>
      <c r="H51" s="53">
        <f>SUM(H47:H50)</f>
      </c>
      <c r="I51" s="53">
        <f>SUM(I47:I50)</f>
      </c>
      <c r="J51" s="53">
        <f>SUM(J47:J50)</f>
      </c>
      <c r="K51" s="53">
        <f>SUM(K47:K50)</f>
      </c>
      <c r="L51" s="53">
        <f>SUM(L47:L50)</f>
      </c>
      <c r="M51" s="79">
        <f>SUM(M47:M50)</f>
      </c>
      <c r="N51" s="54">
        <f t="shared" si="3"/>
      </c>
      <c r="O51" s="81">
        <f t="shared" si="258"/>
      </c>
      <c r="P51" s="82">
        <f t="shared" si="220"/>
      </c>
      <c r="Q51" s="83">
        <f t="shared" si="163"/>
      </c>
      <c r="R51" s="84">
        <f t="shared" si="125"/>
      </c>
      <c r="S51" s="83">
        <f t="shared" si="182"/>
      </c>
      <c r="T51" s="59">
        <f t="shared" si="106"/>
      </c>
      <c r="U51" s="60">
        <f t="shared" si="87"/>
      </c>
      <c r="V51" s="59">
        <f t="shared" si="68"/>
      </c>
      <c r="W51" s="59">
        <f t="shared" si="22"/>
      </c>
      <c r="X51" s="60">
        <f t="shared" si="277"/>
      </c>
      <c r="Y51" s="61">
        <f t="shared" si="239"/>
      </c>
      <c r="Z51" s="60">
        <f t="shared" si="201"/>
      </c>
      <c r="AA51" s="62">
        <f t="shared" si="144"/>
      </c>
      <c r="AB51" s="63"/>
      <c r="AC51" s="62"/>
      <c r="AD51" s="85">
        <f>SUM(AD47:AD50)</f>
      </c>
      <c r="AE51" s="86">
        <f>SUM(AE47:AE50)</f>
      </c>
      <c r="AF51" s="86">
        <f>SUM(AF47:AF50)</f>
      </c>
      <c r="AG51" s="86">
        <f>SUM(AG47:AG50)</f>
      </c>
      <c r="AH51" s="86">
        <f>SUM(AH47:AH50)</f>
      </c>
      <c r="AI51" s="86">
        <f>SUM(AI47:AI50)</f>
      </c>
      <c r="AJ51" s="86">
        <f>SUM(AJ47:AJ50)</f>
      </c>
      <c r="AK51" s="86">
        <f>SUM(AK47:AK50)</f>
      </c>
      <c r="AL51" s="86">
        <f>SUM(AL47:AL50)</f>
      </c>
      <c r="AM51" s="104" t="s">
        <v>57</v>
      </c>
    </row>
    <row r="52">
      <c r="A52" s="20"/>
      <c r="B52" s="88" t="s">
        <v>58</v>
      </c>
      <c r="C52" s="88"/>
      <c r="D52" s="88">
        <f>D46+D51</f>
      </c>
      <c r="E52" s="88">
        <f>E46+E51</f>
      </c>
      <c r="F52" s="88">
        <f>F46+F51</f>
      </c>
      <c r="G52" s="88">
        <f>G46+G51</f>
      </c>
      <c r="H52" s="88">
        <f>H46+H51</f>
      </c>
      <c r="I52" s="88">
        <f>I46+I51</f>
      </c>
      <c r="J52" s="88">
        <f>J46+J51</f>
      </c>
      <c r="K52" s="88">
        <f>K46+K51</f>
      </c>
      <c r="L52" s="88">
        <f>L46+L51</f>
      </c>
      <c r="M52" s="88">
        <f>M46+M51</f>
      </c>
      <c r="N52" s="89">
        <f t="shared" si="3"/>
      </c>
      <c r="O52" s="90">
        <f t="shared" si="258"/>
      </c>
      <c r="P52" s="91">
        <f t="shared" si="220"/>
      </c>
      <c r="Q52" s="92">
        <f t="shared" si="163"/>
      </c>
      <c r="R52" s="90">
        <f t="shared" si="125"/>
      </c>
      <c r="S52" s="92">
        <f t="shared" si="182"/>
      </c>
      <c r="T52" s="92">
        <f t="shared" si="106"/>
      </c>
      <c r="U52" s="90">
        <f t="shared" si="87"/>
      </c>
      <c r="V52" s="92">
        <f t="shared" si="68"/>
      </c>
      <c r="W52" s="92">
        <f t="shared" si="22"/>
      </c>
      <c r="X52" s="90">
        <f t="shared" si="277"/>
      </c>
      <c r="Y52" s="93">
        <f t="shared" si="239"/>
      </c>
      <c r="Z52" s="90">
        <f t="shared" si="201"/>
      </c>
      <c r="AA52" s="91">
        <f t="shared" si="144"/>
      </c>
      <c r="AB52" s="94"/>
      <c r="AC52" s="91"/>
      <c r="AD52" s="96">
        <f>AD46+AD51</f>
      </c>
      <c r="AE52" s="96">
        <f>AE46+AE51</f>
      </c>
      <c r="AF52" s="96">
        <f>AF46+AF51</f>
      </c>
      <c r="AG52" s="96">
        <f>AG46+AG51</f>
      </c>
      <c r="AH52" s="96">
        <f>AH46+AH51</f>
      </c>
      <c r="AI52" s="96">
        <f>AI46+AI51</f>
      </c>
      <c r="AJ52" s="96">
        <f>AJ46+AJ51</f>
      </c>
      <c r="AK52" s="96">
        <f>AK46+AK51</f>
      </c>
      <c r="AL52" s="96">
        <f>AL46+AL51</f>
      </c>
      <c r="AM52" s="104"/>
    </row>
    <row r="53">
      <c r="A53" s="1" t="s">
        <v>1</v>
      </c>
      <c r="B53" s="1"/>
      <c r="C53" s="1"/>
      <c r="D53" s="2" t="s">
        <v>2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 t="s">
        <v>3</v>
      </c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4" t="s">
        <v>4</v>
      </c>
      <c r="AE53" s="4"/>
      <c r="AF53" s="4"/>
      <c r="AG53" s="4"/>
      <c r="AH53" s="4"/>
      <c r="AI53" s="4"/>
      <c r="AJ53" s="4"/>
      <c r="AK53" s="4"/>
      <c r="AL53" s="4"/>
      <c r="AM53" s="5"/>
    </row>
    <row r="54">
      <c r="A54" s="1" t="s">
        <v>5</v>
      </c>
      <c r="B54" s="6" t="s">
        <v>6</v>
      </c>
      <c r="C54" s="6" t="s">
        <v>7</v>
      </c>
      <c r="D54" s="7" t="s">
        <v>8</v>
      </c>
      <c r="E54" s="8" t="s">
        <v>9</v>
      </c>
      <c r="F54" s="8" t="s">
        <v>10</v>
      </c>
      <c r="G54" s="9" t="s">
        <v>11</v>
      </c>
      <c r="H54" s="10" t="s">
        <v>12</v>
      </c>
      <c r="I54" s="97" t="s">
        <v>13</v>
      </c>
      <c r="J54" s="2" t="s">
        <v>14</v>
      </c>
      <c r="K54" s="2" t="s">
        <v>15</v>
      </c>
      <c r="L54" s="13" t="s">
        <v>16</v>
      </c>
      <c r="M54" s="13" t="s">
        <v>17</v>
      </c>
      <c r="N54" s="9" t="s">
        <v>18</v>
      </c>
      <c r="O54" s="13" t="s">
        <v>19</v>
      </c>
      <c r="P54" s="3" t="s">
        <v>20</v>
      </c>
      <c r="Q54" s="3" t="s">
        <v>21</v>
      </c>
      <c r="R54" s="3" t="s">
        <v>22</v>
      </c>
      <c r="S54" s="14" t="s">
        <v>23</v>
      </c>
      <c r="T54" s="14" t="s">
        <v>24</v>
      </c>
      <c r="U54" s="3" t="s">
        <v>25</v>
      </c>
      <c r="V54" s="14" t="s">
        <v>26</v>
      </c>
      <c r="W54" s="14" t="s">
        <v>27</v>
      </c>
      <c r="X54" s="3" t="s">
        <v>28</v>
      </c>
      <c r="Y54" s="14" t="s">
        <v>29</v>
      </c>
      <c r="Z54" s="3" t="s">
        <v>30</v>
      </c>
      <c r="AA54" s="15" t="s">
        <v>31</v>
      </c>
      <c r="AB54" s="15" t="s">
        <v>32</v>
      </c>
      <c r="AC54" s="16" t="s">
        <v>33</v>
      </c>
      <c r="AD54" s="17" t="s">
        <v>34</v>
      </c>
      <c r="AE54" s="18" t="s">
        <v>35</v>
      </c>
      <c r="AF54" s="18" t="s">
        <v>36</v>
      </c>
      <c r="AG54" s="18" t="s">
        <v>37</v>
      </c>
      <c r="AH54" s="18" t="s">
        <v>38</v>
      </c>
      <c r="AI54" s="18" t="s">
        <v>39</v>
      </c>
      <c r="AJ54" s="19" t="s">
        <v>40</v>
      </c>
      <c r="AK54" s="19" t="s">
        <v>41</v>
      </c>
      <c r="AL54" s="19" t="s">
        <v>42</v>
      </c>
      <c r="AM54" s="5"/>
    </row>
    <row r="55">
      <c r="A55" s="20" t="s">
        <v>62</v>
      </c>
      <c r="B55" s="21" t="s">
        <v>44</v>
      </c>
      <c r="C55" s="22" t="s">
        <v>45</v>
      </c>
      <c r="D55" s="23">
        <f t="shared" ref="D55:D58" si="46">E55+F55+G55+H55</f>
      </c>
      <c r="E55" s="39">
        <v>2970.91</v>
      </c>
      <c r="F55" s="26"/>
      <c r="G55" s="26">
        <v>1428.53</v>
      </c>
      <c r="H55" s="43"/>
      <c r="I55" s="39">
        <v>4</v>
      </c>
      <c r="J55" s="26">
        <v>7752</v>
      </c>
      <c r="K55" s="40">
        <v>0</v>
      </c>
      <c r="L55" s="40">
        <v>1</v>
      </c>
      <c r="M55" s="40">
        <v>3</v>
      </c>
      <c r="N55" s="29">
        <f t="shared" ref="N55:N65" si="4">J55/D55</f>
      </c>
      <c r="O55" s="29">
        <f t="shared" ref="O55:O65" si="259">J55/(D55+300*AL55)</f>
      </c>
      <c r="P55" s="30">
        <f t="shared" ref="P55:P65" si="221">(D55/AE55)*1000</f>
      </c>
      <c r="Q55" s="31">
        <f t="shared" ref="Q55:Q65" si="164">AF55/AE55</f>
      </c>
      <c r="R55" s="32">
        <f t="shared" ref="R55:R65" si="126">D55/AG55</f>
      </c>
      <c r="S55" s="31">
        <f t="shared" ref="S55:S65" si="183">AH55/AG55</f>
      </c>
      <c r="T55" s="31">
        <f t="shared" ref="T55:T65" si="107">AI55/AG55</f>
      </c>
      <c r="U55" s="32">
        <f t="shared" ref="U55:U65" si="88">D55/AI55</f>
      </c>
      <c r="V55" s="31">
        <f t="shared" ref="V55:V65" si="69">AJ55/AI55</f>
      </c>
      <c r="W55" s="31">
        <f t="shared" ref="W55:W65" si="23">I55/AJ55</f>
      </c>
      <c r="X55" s="32">
        <f t="shared" ref="X55:X65" si="278">D55/I55</f>
      </c>
      <c r="Y55" s="33">
        <f t="shared" ref="Y55:Y65" si="240">J55/I55</f>
      </c>
      <c r="Z55" s="32">
        <f t="shared" ref="Z55:Z65" si="202">D55/AD55</f>
      </c>
      <c r="AA55" s="34">
        <f t="shared" ref="AA55:AA65" si="145">AK55*1000/D55</f>
      </c>
      <c r="AB55" s="35" t="s">
        <v>46</v>
      </c>
      <c r="AC55" s="98" t="s">
        <v>47</v>
      </c>
      <c r="AD55" s="26">
        <v>4</v>
      </c>
      <c r="AE55" s="38">
        <v>10071</v>
      </c>
      <c r="AF55" s="21">
        <v>493</v>
      </c>
      <c r="AG55" s="26">
        <v>665</v>
      </c>
      <c r="AH55" s="26">
        <v>106</v>
      </c>
      <c r="AI55" s="21">
        <v>43</v>
      </c>
      <c r="AJ55" s="25">
        <v>11</v>
      </c>
      <c r="AK55" s="40">
        <v>18</v>
      </c>
      <c r="AL55" s="41">
        <v>1</v>
      </c>
      <c r="AM55" s="42"/>
    </row>
    <row r="56">
      <c r="A56" s="20"/>
      <c r="B56" s="43" t="s">
        <v>48</v>
      </c>
      <c r="C56" s="22" t="s">
        <v>45</v>
      </c>
      <c r="D56" s="26">
        <f t="shared" si="46"/>
      </c>
      <c r="E56" s="47">
        <v>2562.26</v>
      </c>
      <c r="F56" s="47"/>
      <c r="G56" s="21">
        <v>1325.16</v>
      </c>
      <c r="H56" s="43"/>
      <c r="I56" s="48">
        <v>4</v>
      </c>
      <c r="J56" s="21">
        <v>5952</v>
      </c>
      <c r="K56" s="25">
        <v>1</v>
      </c>
      <c r="L56" s="40">
        <v>1</v>
      </c>
      <c r="M56" s="40">
        <v>2</v>
      </c>
      <c r="N56" s="29">
        <f t="shared" si="4"/>
      </c>
      <c r="O56" s="29">
        <f t="shared" si="259"/>
      </c>
      <c r="P56" s="30">
        <f t="shared" si="221"/>
      </c>
      <c r="Q56" s="31">
        <f t="shared" si="164"/>
      </c>
      <c r="R56" s="32">
        <f t="shared" si="126"/>
      </c>
      <c r="S56" s="31">
        <f t="shared" si="183"/>
      </c>
      <c r="T56" s="31">
        <f t="shared" si="107"/>
      </c>
      <c r="U56" s="32">
        <f t="shared" si="88"/>
      </c>
      <c r="V56" s="31">
        <f t="shared" si="69"/>
      </c>
      <c r="W56" s="31">
        <f t="shared" si="23"/>
      </c>
      <c r="X56" s="32">
        <f t="shared" si="278"/>
      </c>
      <c r="Y56" s="33">
        <f t="shared" si="240"/>
      </c>
      <c r="Z56" s="32">
        <f t="shared" si="202"/>
      </c>
      <c r="AA56" s="34">
        <f t="shared" si="145"/>
      </c>
      <c r="AB56" s="35" t="s">
        <v>46</v>
      </c>
      <c r="AC56" s="98" t="s">
        <v>47</v>
      </c>
      <c r="AD56" s="26">
        <v>3</v>
      </c>
      <c r="AE56" s="47">
        <v>8880</v>
      </c>
      <c r="AF56" s="47">
        <v>486</v>
      </c>
      <c r="AG56" s="48">
        <v>690</v>
      </c>
      <c r="AH56" s="21">
        <v>104</v>
      </c>
      <c r="AI56" s="21">
        <v>55</v>
      </c>
      <c r="AJ56" s="49">
        <v>5</v>
      </c>
      <c r="AK56" s="50">
        <v>23</v>
      </c>
      <c r="AL56" s="41">
        <v>1</v>
      </c>
      <c r="AM56" s="42"/>
    </row>
    <row r="57">
      <c r="A57" s="20"/>
      <c r="B57" s="43" t="s">
        <v>49</v>
      </c>
      <c r="C57" s="39" t="s">
        <v>45</v>
      </c>
      <c r="D57" s="26">
        <f t="shared" si="46"/>
      </c>
      <c r="E57" s="26">
        <v>1887.91</v>
      </c>
      <c r="F57" s="26"/>
      <c r="G57" s="21">
        <v>1147.13</v>
      </c>
      <c r="H57" s="21"/>
      <c r="I57" s="48">
        <v>2</v>
      </c>
      <c r="J57" s="48">
        <v>3216</v>
      </c>
      <c r="K57" s="51">
        <v>0</v>
      </c>
      <c r="L57" s="51">
        <v>1</v>
      </c>
      <c r="M57" s="51">
        <v>1</v>
      </c>
      <c r="N57" s="29">
        <f t="shared" si="4"/>
      </c>
      <c r="O57" s="29">
        <f t="shared" si="259"/>
      </c>
      <c r="P57" s="30">
        <f t="shared" si="221"/>
      </c>
      <c r="Q57" s="31">
        <f t="shared" si="164"/>
      </c>
      <c r="R57" s="32">
        <f t="shared" si="126"/>
      </c>
      <c r="S57" s="31">
        <f t="shared" si="183"/>
      </c>
      <c r="T57" s="31">
        <f t="shared" si="107"/>
      </c>
      <c r="U57" s="32">
        <f t="shared" si="88"/>
      </c>
      <c r="V57" s="31">
        <f t="shared" si="69"/>
      </c>
      <c r="W57" s="31">
        <f t="shared" si="23"/>
      </c>
      <c r="X57" s="32">
        <f t="shared" si="278"/>
      </c>
      <c r="Y57" s="33">
        <f t="shared" si="240"/>
      </c>
      <c r="Z57" s="32">
        <f t="shared" si="202"/>
      </c>
      <c r="AA57" s="34">
        <f t="shared" si="145"/>
      </c>
      <c r="AB57" s="35" t="s">
        <v>46</v>
      </c>
      <c r="AC57" s="98" t="s">
        <v>47</v>
      </c>
      <c r="AD57" s="26">
        <v>1</v>
      </c>
      <c r="AE57" s="26">
        <v>7257</v>
      </c>
      <c r="AF57" s="26">
        <v>342</v>
      </c>
      <c r="AG57" s="21">
        <v>487</v>
      </c>
      <c r="AH57" s="21">
        <v>80</v>
      </c>
      <c r="AI57" s="21">
        <v>41</v>
      </c>
      <c r="AJ57" s="49">
        <v>5</v>
      </c>
      <c r="AK57" s="50">
        <v>13</v>
      </c>
      <c r="AL57" s="41">
        <v>1</v>
      </c>
      <c r="AM57" s="42"/>
    </row>
    <row r="58">
      <c r="A58" s="20"/>
      <c r="B58" s="43" t="s">
        <v>50</v>
      </c>
      <c r="C58" s="48" t="s">
        <v>45</v>
      </c>
      <c r="D58" s="26">
        <f t="shared" si="46"/>
      </c>
      <c r="E58" s="26">
        <v>1278.99</v>
      </c>
      <c r="F58" s="26"/>
      <c r="G58" s="21">
        <v>1032.92</v>
      </c>
      <c r="H58" s="21"/>
      <c r="I58" s="21">
        <v>1</v>
      </c>
      <c r="J58" s="21">
        <v>2268</v>
      </c>
      <c r="K58" s="40">
        <v>0</v>
      </c>
      <c r="L58" s="40">
        <v>0</v>
      </c>
      <c r="M58" s="40">
        <v>1</v>
      </c>
      <c r="N58" s="29">
        <f t="shared" si="4"/>
      </c>
      <c r="O58" s="29">
        <f t="shared" si="259"/>
      </c>
      <c r="P58" s="30">
        <f t="shared" si="221"/>
      </c>
      <c r="Q58" s="31">
        <f t="shared" si="164"/>
      </c>
      <c r="R58" s="32">
        <f t="shared" si="126"/>
      </c>
      <c r="S58" s="31">
        <f t="shared" si="183"/>
      </c>
      <c r="T58" s="31">
        <f t="shared" si="107"/>
      </c>
      <c r="U58" s="32">
        <f t="shared" si="88"/>
      </c>
      <c r="V58" s="31">
        <f t="shared" si="69"/>
      </c>
      <c r="W58" s="31">
        <f t="shared" si="23"/>
      </c>
      <c r="X58" s="32">
        <f t="shared" si="278"/>
      </c>
      <c r="Y58" s="33">
        <f t="shared" si="240"/>
      </c>
      <c r="Z58" s="32">
        <f t="shared" si="202"/>
      </c>
      <c r="AA58" s="34">
        <f t="shared" si="145"/>
      </c>
      <c r="AB58" s="35" t="s">
        <v>46</v>
      </c>
      <c r="AC58" s="98" t="s">
        <v>47</v>
      </c>
      <c r="AD58" s="47">
        <v>1</v>
      </c>
      <c r="AE58" s="47">
        <v>5733</v>
      </c>
      <c r="AF58" s="21">
        <v>240</v>
      </c>
      <c r="AG58" s="21">
        <v>356</v>
      </c>
      <c r="AH58" s="21">
        <v>47</v>
      </c>
      <c r="AI58" s="21">
        <v>26</v>
      </c>
      <c r="AJ58" s="49">
        <v>4</v>
      </c>
      <c r="AK58" s="50">
        <v>8</v>
      </c>
      <c r="AL58" s="41">
        <v>1</v>
      </c>
      <c r="AM58" s="42"/>
    </row>
    <row r="59">
      <c r="A59" s="20"/>
      <c r="B59" s="53" t="s">
        <v>51</v>
      </c>
      <c r="C59" s="53"/>
      <c r="D59" s="53">
        <f>SUM(D55:D58)</f>
      </c>
      <c r="E59" s="53">
        <f>SUM(E55:E58)</f>
      </c>
      <c r="F59" s="53">
        <f>SUM(F55:F58)</f>
      </c>
      <c r="G59" s="53">
        <f>SUM(G55:G58)</f>
      </c>
      <c r="H59" s="53">
        <f>SUM(H55:H58)</f>
      </c>
      <c r="I59" s="53">
        <f>SUM(I55:I58)</f>
      </c>
      <c r="J59" s="53">
        <f>SUM(J55:J58)</f>
      </c>
      <c r="K59" s="53">
        <f>SUM(K55:K58)</f>
      </c>
      <c r="L59" s="53">
        <f>SUM(L55:L58)</f>
      </c>
      <c r="M59" s="53">
        <f>SUM(M55:M58)</f>
      </c>
      <c r="N59" s="54">
        <f t="shared" si="4"/>
      </c>
      <c r="O59" s="55">
        <f t="shared" si="259"/>
      </c>
      <c r="P59" s="56">
        <f t="shared" si="221"/>
      </c>
      <c r="Q59" s="57">
        <f t="shared" si="164"/>
      </c>
      <c r="R59" s="58">
        <f t="shared" si="126"/>
      </c>
      <c r="S59" s="57">
        <f t="shared" si="183"/>
      </c>
      <c r="T59" s="59">
        <f t="shared" si="107"/>
      </c>
      <c r="U59" s="60">
        <f t="shared" si="88"/>
      </c>
      <c r="V59" s="59">
        <f t="shared" si="69"/>
      </c>
      <c r="W59" s="59">
        <f t="shared" si="23"/>
      </c>
      <c r="X59" s="60">
        <f t="shared" si="278"/>
      </c>
      <c r="Y59" s="61">
        <f t="shared" si="240"/>
      </c>
      <c r="Z59" s="60">
        <f t="shared" si="202"/>
      </c>
      <c r="AA59" s="62">
        <f t="shared" si="145"/>
      </c>
      <c r="AB59" s="63"/>
      <c r="AC59" s="62"/>
      <c r="AD59" s="102">
        <f>SUM(AD55:AD58)</f>
      </c>
      <c r="AE59" s="66">
        <f>SUM(AE55:AE58)</f>
      </c>
      <c r="AF59" s="66">
        <f>SUM(AF55:AF58)</f>
      </c>
      <c r="AG59" s="66">
        <f>SUM(AG55:AG58)</f>
      </c>
      <c r="AH59" s="66">
        <f>SUM(AH55:AH58)</f>
      </c>
      <c r="AI59" s="66">
        <f>SUM(AI55:AI58)</f>
      </c>
      <c r="AJ59" s="66">
        <f>SUM(AJ55:AJ58)</f>
      </c>
      <c r="AK59" s="66">
        <f>SUM(AK55:AK58)</f>
      </c>
      <c r="AL59" s="66">
        <f>SUM(AL55:AL58)</f>
      </c>
      <c r="AM59" s="42"/>
    </row>
    <row r="60">
      <c r="A60" s="20"/>
      <c r="B60" s="48" t="s">
        <v>52</v>
      </c>
      <c r="C60" s="22" t="s">
        <v>53</v>
      </c>
      <c r="D60" s="21">
        <f t="shared" ref="D60:D63" si="47">E60+F60+G60+H60</f>
      </c>
      <c r="E60" s="21">
        <v>1475.6</v>
      </c>
      <c r="F60" s="26"/>
      <c r="G60" s="21">
        <v>1607.18</v>
      </c>
      <c r="H60" s="21"/>
      <c r="I60" s="21">
        <v>3</v>
      </c>
      <c r="J60" s="21">
        <v>6804</v>
      </c>
      <c r="K60" s="40">
        <v>0</v>
      </c>
      <c r="L60" s="40">
        <v>0</v>
      </c>
      <c r="M60" s="67">
        <v>3</v>
      </c>
      <c r="N60" s="68">
        <f t="shared" si="4"/>
      </c>
      <c r="O60" s="29">
        <f t="shared" si="259"/>
      </c>
      <c r="P60" s="30">
        <f t="shared" si="221"/>
      </c>
      <c r="Q60" s="31">
        <f t="shared" si="164"/>
      </c>
      <c r="R60" s="32">
        <f t="shared" si="126"/>
      </c>
      <c r="S60" s="31">
        <f t="shared" si="183"/>
      </c>
      <c r="T60" s="73">
        <f t="shared" si="107"/>
      </c>
      <c r="U60" s="32">
        <f t="shared" si="88"/>
      </c>
      <c r="V60" s="31">
        <f t="shared" si="69"/>
      </c>
      <c r="W60" s="31">
        <f t="shared" si="23"/>
      </c>
      <c r="X60" s="32">
        <f t="shared" si="278"/>
      </c>
      <c r="Y60" s="33">
        <f t="shared" si="240"/>
      </c>
      <c r="Z60" s="32">
        <f t="shared" si="202"/>
      </c>
      <c r="AA60" s="34">
        <f t="shared" si="145"/>
      </c>
      <c r="AB60" s="35" t="s">
        <v>46</v>
      </c>
      <c r="AC60" s="98" t="s">
        <v>47</v>
      </c>
      <c r="AD60" s="26">
        <v>3</v>
      </c>
      <c r="AE60" s="74">
        <v>11116</v>
      </c>
      <c r="AF60" s="75">
        <v>449</v>
      </c>
      <c r="AG60" s="75">
        <v>623</v>
      </c>
      <c r="AH60" s="75">
        <v>70</v>
      </c>
      <c r="AI60" s="75">
        <v>42</v>
      </c>
      <c r="AJ60" s="41">
        <v>5</v>
      </c>
      <c r="AK60" s="41">
        <v>17</v>
      </c>
      <c r="AL60" s="41">
        <v>1</v>
      </c>
      <c r="AM60" s="42"/>
    </row>
    <row r="61">
      <c r="A61" s="20"/>
      <c r="B61" s="48" t="s">
        <v>54</v>
      </c>
      <c r="C61" s="22" t="s">
        <v>53</v>
      </c>
      <c r="D61" s="21">
        <f t="shared" si="47"/>
      </c>
      <c r="E61" s="21">
        <v>1579.74</v>
      </c>
      <c r="F61" s="26"/>
      <c r="G61" s="21">
        <v>1171.53</v>
      </c>
      <c r="H61" s="21"/>
      <c r="I61" s="40">
        <v>0</v>
      </c>
      <c r="J61" s="40">
        <v>0</v>
      </c>
      <c r="K61" s="40">
        <v>0</v>
      </c>
      <c r="L61" s="40">
        <v>0</v>
      </c>
      <c r="M61" s="40">
        <v>0</v>
      </c>
      <c r="N61" s="68">
        <f t="shared" si="4"/>
      </c>
      <c r="O61" s="29">
        <f t="shared" si="259"/>
      </c>
      <c r="P61" s="30">
        <f t="shared" si="221"/>
      </c>
      <c r="Q61" s="31">
        <f t="shared" si="164"/>
      </c>
      <c r="R61" s="32">
        <f t="shared" si="126"/>
      </c>
      <c r="S61" s="31">
        <f t="shared" si="183"/>
      </c>
      <c r="T61" s="73">
        <f t="shared" si="107"/>
      </c>
      <c r="U61" s="32">
        <f t="shared" si="88"/>
      </c>
      <c r="V61" s="31">
        <f t="shared" si="69"/>
      </c>
      <c r="W61" s="31">
        <f t="shared" si="23"/>
      </c>
      <c r="X61" s="32">
        <f t="shared" si="278"/>
      </c>
      <c r="Y61" s="33">
        <f t="shared" si="240"/>
      </c>
      <c r="Z61" s="32">
        <f t="shared" si="202"/>
      </c>
      <c r="AA61" s="34">
        <f t="shared" si="145"/>
      </c>
      <c r="AB61" s="35" t="s">
        <v>46</v>
      </c>
      <c r="AC61" s="98" t="s">
        <v>47</v>
      </c>
      <c r="AD61" s="26">
        <v>0</v>
      </c>
      <c r="AE61" s="74">
        <v>7946</v>
      </c>
      <c r="AF61" s="75">
        <v>361</v>
      </c>
      <c r="AG61" s="75">
        <v>523</v>
      </c>
      <c r="AH61" s="75">
        <v>63</v>
      </c>
      <c r="AI61" s="75">
        <v>27</v>
      </c>
      <c r="AJ61" s="41">
        <v>3</v>
      </c>
      <c r="AK61" s="41">
        <v>16</v>
      </c>
      <c r="AL61" s="41">
        <v>1</v>
      </c>
      <c r="AM61" s="42"/>
    </row>
    <row r="62">
      <c r="A62" s="20"/>
      <c r="B62" s="21" t="s">
        <v>55</v>
      </c>
      <c r="C62" s="22" t="s">
        <v>53</v>
      </c>
      <c r="D62" s="21">
        <f t="shared" si="47"/>
      </c>
      <c r="E62" s="21">
        <v>1476.13</v>
      </c>
      <c r="F62" s="26"/>
      <c r="G62" s="21">
        <v>1397.03</v>
      </c>
      <c r="H62" s="21"/>
      <c r="I62" s="21">
        <v>2</v>
      </c>
      <c r="J62" s="21">
        <v>4536</v>
      </c>
      <c r="K62" s="40">
        <v>0</v>
      </c>
      <c r="L62" s="40">
        <v>0</v>
      </c>
      <c r="M62" s="40">
        <v>2</v>
      </c>
      <c r="N62" s="103">
        <f t="shared" si="4"/>
      </c>
      <c r="O62" s="29">
        <f t="shared" si="259"/>
      </c>
      <c r="P62" s="30">
        <f t="shared" si="221"/>
      </c>
      <c r="Q62" s="31">
        <f t="shared" si="164"/>
      </c>
      <c r="R62" s="32">
        <f t="shared" si="126"/>
      </c>
      <c r="S62" s="31">
        <f t="shared" si="183"/>
      </c>
      <c r="T62" s="73">
        <f t="shared" si="107"/>
      </c>
      <c r="U62" s="32">
        <f t="shared" si="88"/>
      </c>
      <c r="V62" s="31">
        <f t="shared" si="69"/>
      </c>
      <c r="W62" s="31">
        <f t="shared" si="23"/>
      </c>
      <c r="X62" s="32">
        <f t="shared" si="278"/>
      </c>
      <c r="Y62" s="33">
        <f t="shared" si="240"/>
      </c>
      <c r="Z62" s="32">
        <f t="shared" si="202"/>
      </c>
      <c r="AA62" s="34">
        <f t="shared" si="145"/>
      </c>
      <c r="AB62" s="35" t="s">
        <v>46</v>
      </c>
      <c r="AC62" s="98" t="s">
        <v>47</v>
      </c>
      <c r="AD62" s="26">
        <v>2</v>
      </c>
      <c r="AE62" s="74">
        <v>9060</v>
      </c>
      <c r="AF62" s="75">
        <v>513</v>
      </c>
      <c r="AG62" s="75">
        <v>712</v>
      </c>
      <c r="AH62" s="75">
        <v>76</v>
      </c>
      <c r="AI62" s="75">
        <v>37</v>
      </c>
      <c r="AJ62" s="41">
        <v>4</v>
      </c>
      <c r="AK62" s="41">
        <v>17</v>
      </c>
      <c r="AL62" s="41">
        <v>1</v>
      </c>
      <c r="AM62" s="42"/>
    </row>
    <row r="63">
      <c r="A63" s="20"/>
      <c r="B63" s="43" t="s">
        <v>56</v>
      </c>
      <c r="C63" s="21" t="s">
        <v>53</v>
      </c>
      <c r="D63" s="26">
        <f t="shared" si="47"/>
      </c>
      <c r="E63" s="21">
        <v>1720.72</v>
      </c>
      <c r="F63" s="26"/>
      <c r="G63" s="21">
        <v>1099</v>
      </c>
      <c r="H63" s="21"/>
      <c r="I63" s="40">
        <v>2</v>
      </c>
      <c r="J63" s="40">
        <v>3216</v>
      </c>
      <c r="K63" s="40">
        <v>0</v>
      </c>
      <c r="L63" s="40">
        <v>1</v>
      </c>
      <c r="M63" s="40">
        <v>1</v>
      </c>
      <c r="N63" s="68">
        <f t="shared" si="4"/>
      </c>
      <c r="O63" s="29">
        <f t="shared" si="259"/>
      </c>
      <c r="P63" s="30">
        <f t="shared" si="221"/>
      </c>
      <c r="Q63" s="31">
        <f t="shared" si="164"/>
      </c>
      <c r="R63" s="32">
        <f t="shared" si="126"/>
      </c>
      <c r="S63" s="31">
        <f t="shared" si="183"/>
      </c>
      <c r="T63" s="73">
        <f t="shared" si="107"/>
      </c>
      <c r="U63" s="32">
        <f t="shared" si="88"/>
      </c>
      <c r="V63" s="31">
        <f t="shared" si="69"/>
      </c>
      <c r="W63" s="31">
        <f t="shared" si="23"/>
      </c>
      <c r="X63" s="32">
        <f t="shared" si="278"/>
      </c>
      <c r="Y63" s="33">
        <f t="shared" si="240"/>
      </c>
      <c r="Z63" s="32">
        <f t="shared" si="202"/>
      </c>
      <c r="AA63" s="34">
        <f t="shared" si="145"/>
      </c>
      <c r="AB63" s="35" t="s">
        <v>46</v>
      </c>
      <c r="AC63" s="98" t="s">
        <v>47</v>
      </c>
      <c r="AD63" s="26">
        <v>2</v>
      </c>
      <c r="AE63" s="74">
        <v>8645</v>
      </c>
      <c r="AF63" s="75">
        <v>433</v>
      </c>
      <c r="AG63" s="75">
        <v>541</v>
      </c>
      <c r="AH63" s="75">
        <v>75</v>
      </c>
      <c r="AI63" s="75">
        <v>23</v>
      </c>
      <c r="AJ63" s="41">
        <v>7</v>
      </c>
      <c r="AK63" s="41">
        <v>16</v>
      </c>
      <c r="AL63" s="41">
        <v>1</v>
      </c>
      <c r="AM63" s="42"/>
    </row>
    <row r="64">
      <c r="A64" s="20"/>
      <c r="B64" s="53" t="s">
        <v>51</v>
      </c>
      <c r="C64" s="53"/>
      <c r="D64" s="53">
        <f>SUM(D60:D63)</f>
      </c>
      <c r="E64" s="53">
        <f>SUM(E60:E63)</f>
      </c>
      <c r="F64" s="53">
        <f>SUM(F60:F63)</f>
      </c>
      <c r="G64" s="53">
        <f>SUM(G60:G63)</f>
      </c>
      <c r="H64" s="53">
        <f>SUM(H60:H63)</f>
      </c>
      <c r="I64" s="53">
        <f>SUM(I60:I63)</f>
      </c>
      <c r="J64" s="53">
        <f>SUM(J60:J63)</f>
      </c>
      <c r="K64" s="53">
        <f>SUM(K60:K63)</f>
      </c>
      <c r="L64" s="53">
        <f>SUM(L60:L63)</f>
      </c>
      <c r="M64" s="79">
        <f>SUM(M60:M63)</f>
      </c>
      <c r="N64" s="54">
        <f t="shared" si="4"/>
      </c>
      <c r="O64" s="81">
        <f t="shared" si="259"/>
      </c>
      <c r="P64" s="82">
        <f t="shared" si="221"/>
      </c>
      <c r="Q64" s="83">
        <f t="shared" si="164"/>
      </c>
      <c r="R64" s="84">
        <f t="shared" si="126"/>
      </c>
      <c r="S64" s="83">
        <f t="shared" si="183"/>
      </c>
      <c r="T64" s="59">
        <f t="shared" si="107"/>
      </c>
      <c r="U64" s="60">
        <f t="shared" si="88"/>
      </c>
      <c r="V64" s="59">
        <f t="shared" si="69"/>
      </c>
      <c r="W64" s="59">
        <f t="shared" si="23"/>
      </c>
      <c r="X64" s="60">
        <f t="shared" si="278"/>
      </c>
      <c r="Y64" s="61">
        <f t="shared" si="240"/>
      </c>
      <c r="Z64" s="60">
        <f t="shared" si="202"/>
      </c>
      <c r="AA64" s="62">
        <f t="shared" si="145"/>
      </c>
      <c r="AB64" s="63"/>
      <c r="AC64" s="62"/>
      <c r="AD64" s="85">
        <f>SUM(AD60:AD63)</f>
      </c>
      <c r="AE64" s="86">
        <f>SUM(AE60:AE63)</f>
      </c>
      <c r="AF64" s="86">
        <f>SUM(AF60:AF63)</f>
      </c>
      <c r="AG64" s="86">
        <f>SUM(AG60:AG63)</f>
      </c>
      <c r="AH64" s="86">
        <f>SUM(AH60:AH63)</f>
      </c>
      <c r="AI64" s="86">
        <f>SUM(AI60:AI63)</f>
      </c>
      <c r="AJ64" s="86">
        <f>SUM(AJ60:AJ63)</f>
      </c>
      <c r="AK64" s="86">
        <f>SUM(AK60:AK63)</f>
      </c>
      <c r="AL64" s="86">
        <f>SUM(AL60:AL63)</f>
      </c>
      <c r="AM64" s="104" t="s">
        <v>57</v>
      </c>
    </row>
    <row r="65">
      <c r="A65" s="20"/>
      <c r="B65" s="88" t="s">
        <v>58</v>
      </c>
      <c r="C65" s="88"/>
      <c r="D65" s="88">
        <f>D59+D64</f>
      </c>
      <c r="E65" s="88">
        <f>E59+E64</f>
      </c>
      <c r="F65" s="88">
        <f>F59+F64</f>
      </c>
      <c r="G65" s="88">
        <f>G59+G64</f>
      </c>
      <c r="H65" s="88">
        <f>H59+H64</f>
      </c>
      <c r="I65" s="88">
        <f>I59+I64</f>
      </c>
      <c r="J65" s="88">
        <f>J59+J64</f>
      </c>
      <c r="K65" s="88">
        <f>K59+K64</f>
      </c>
      <c r="L65" s="88">
        <f>L59+L64</f>
      </c>
      <c r="M65" s="88">
        <f>M59+M64</f>
      </c>
      <c r="N65" s="89">
        <f t="shared" si="4"/>
      </c>
      <c r="O65" s="90">
        <f t="shared" si="259"/>
      </c>
      <c r="P65" s="91">
        <f t="shared" si="221"/>
      </c>
      <c r="Q65" s="92">
        <f t="shared" si="164"/>
      </c>
      <c r="R65" s="90">
        <f t="shared" si="126"/>
      </c>
      <c r="S65" s="92">
        <f t="shared" si="183"/>
      </c>
      <c r="T65" s="92">
        <f t="shared" si="107"/>
      </c>
      <c r="U65" s="90">
        <f t="shared" si="88"/>
      </c>
      <c r="V65" s="92">
        <f t="shared" si="69"/>
      </c>
      <c r="W65" s="92">
        <f t="shared" si="23"/>
      </c>
      <c r="X65" s="90">
        <f t="shared" si="278"/>
      </c>
      <c r="Y65" s="93">
        <f t="shared" si="240"/>
      </c>
      <c r="Z65" s="90">
        <f t="shared" si="202"/>
      </c>
      <c r="AA65" s="91">
        <f t="shared" si="145"/>
      </c>
      <c r="AB65" s="94"/>
      <c r="AC65" s="91"/>
      <c r="AD65" s="96">
        <f>AD59+AD64</f>
      </c>
      <c r="AE65" s="96">
        <f>AE59+AE64</f>
      </c>
      <c r="AF65" s="96">
        <f>AF59+AF64</f>
      </c>
      <c r="AG65" s="96">
        <f>AG59+AG64</f>
      </c>
      <c r="AH65" s="96">
        <f>AH59+AH64</f>
      </c>
      <c r="AI65" s="96">
        <f>AI59+AI64</f>
      </c>
      <c r="AJ65" s="96">
        <f>AJ59+AJ64</f>
      </c>
      <c r="AK65" s="96">
        <f>AK59+AK64</f>
      </c>
      <c r="AL65" s="96">
        <f>AL59+AL64</f>
      </c>
      <c r="AM65" s="104"/>
    </row>
    <row r="66">
      <c r="A66" s="1" t="s">
        <v>1</v>
      </c>
      <c r="B66" s="1"/>
      <c r="C66" s="1"/>
      <c r="D66" s="2" t="s">
        <v>2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 t="s">
        <v>3</v>
      </c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4" t="s">
        <v>4</v>
      </c>
      <c r="AE66" s="4"/>
      <c r="AF66" s="4"/>
      <c r="AG66" s="4"/>
      <c r="AH66" s="4"/>
      <c r="AI66" s="4"/>
      <c r="AJ66" s="4"/>
      <c r="AK66" s="4"/>
      <c r="AL66" s="4"/>
      <c r="AM66" s="5"/>
    </row>
    <row r="67">
      <c r="A67" s="1" t="s">
        <v>5</v>
      </c>
      <c r="B67" s="6" t="s">
        <v>6</v>
      </c>
      <c r="C67" s="6" t="s">
        <v>7</v>
      </c>
      <c r="D67" s="7" t="s">
        <v>8</v>
      </c>
      <c r="E67" s="8" t="s">
        <v>9</v>
      </c>
      <c r="F67" s="8" t="s">
        <v>10</v>
      </c>
      <c r="G67" s="9" t="s">
        <v>11</v>
      </c>
      <c r="H67" s="10" t="s">
        <v>12</v>
      </c>
      <c r="I67" s="97" t="s">
        <v>13</v>
      </c>
      <c r="J67" s="2" t="s">
        <v>14</v>
      </c>
      <c r="K67" s="2" t="s">
        <v>15</v>
      </c>
      <c r="L67" s="13" t="s">
        <v>16</v>
      </c>
      <c r="M67" s="13" t="s">
        <v>17</v>
      </c>
      <c r="N67" s="9" t="s">
        <v>18</v>
      </c>
      <c r="O67" s="13" t="s">
        <v>19</v>
      </c>
      <c r="P67" s="3" t="s">
        <v>20</v>
      </c>
      <c r="Q67" s="3" t="s">
        <v>21</v>
      </c>
      <c r="R67" s="3" t="s">
        <v>22</v>
      </c>
      <c r="S67" s="14" t="s">
        <v>23</v>
      </c>
      <c r="T67" s="14" t="s">
        <v>24</v>
      </c>
      <c r="U67" s="3" t="s">
        <v>25</v>
      </c>
      <c r="V67" s="14" t="s">
        <v>26</v>
      </c>
      <c r="W67" s="14" t="s">
        <v>27</v>
      </c>
      <c r="X67" s="3" t="s">
        <v>28</v>
      </c>
      <c r="Y67" s="14" t="s">
        <v>29</v>
      </c>
      <c r="Z67" s="3" t="s">
        <v>30</v>
      </c>
      <c r="AA67" s="15" t="s">
        <v>31</v>
      </c>
      <c r="AB67" s="15" t="s">
        <v>32</v>
      </c>
      <c r="AC67" s="16" t="s">
        <v>33</v>
      </c>
      <c r="AD67" s="17" t="s">
        <v>34</v>
      </c>
      <c r="AE67" s="18" t="s">
        <v>35</v>
      </c>
      <c r="AF67" s="18" t="s">
        <v>36</v>
      </c>
      <c r="AG67" s="18" t="s">
        <v>37</v>
      </c>
      <c r="AH67" s="18" t="s">
        <v>38</v>
      </c>
      <c r="AI67" s="18" t="s">
        <v>39</v>
      </c>
      <c r="AJ67" s="19" t="s">
        <v>40</v>
      </c>
      <c r="AK67" s="19" t="s">
        <v>41</v>
      </c>
      <c r="AL67" s="19" t="s">
        <v>42</v>
      </c>
      <c r="AM67" s="5"/>
    </row>
    <row r="68">
      <c r="A68" s="20" t="s">
        <v>63</v>
      </c>
      <c r="B68" s="21" t="s">
        <v>44</v>
      </c>
      <c r="C68" s="22" t="s">
        <v>45</v>
      </c>
      <c r="D68" s="23">
        <f t="shared" ref="D68:D71" si="48">E68+F68+G68+H68</f>
      </c>
      <c r="E68" s="39">
        <v>1975.85</v>
      </c>
      <c r="F68" s="26"/>
      <c r="G68" s="26">
        <v>1423.96</v>
      </c>
      <c r="H68" s="43"/>
      <c r="I68" s="24">
        <v>1</v>
      </c>
      <c r="J68" s="25">
        <v>2268</v>
      </c>
      <c r="K68" s="40">
        <v>0</v>
      </c>
      <c r="L68" s="40">
        <v>0</v>
      </c>
      <c r="M68" s="40">
        <v>1</v>
      </c>
      <c r="N68" s="29">
        <f t="shared" ref="N68:N78" si="5">J68/D68</f>
      </c>
      <c r="O68" s="29">
        <f t="shared" ref="O68:O78" si="260">J68/(D68+300*AL68)</f>
      </c>
      <c r="P68" s="30">
        <f t="shared" ref="P68:P78" si="222">(D68/AE68)*1000</f>
      </c>
      <c r="Q68" s="31">
        <f t="shared" ref="Q68:Q78" si="165">AF68/AE68</f>
      </c>
      <c r="R68" s="32">
        <f t="shared" ref="R68:R78" si="127">D68/AG68</f>
      </c>
      <c r="S68" s="31">
        <f t="shared" ref="S68:S78" si="184">AH68/AG68</f>
      </c>
      <c r="T68" s="31">
        <f t="shared" ref="T68:T78" si="108">AI68/AG68</f>
      </c>
      <c r="U68" s="32">
        <f t="shared" ref="U68:U78" si="89">D68/AI68</f>
      </c>
      <c r="V68" s="31">
        <f t="shared" ref="V68:V78" si="70">AJ68/AI68</f>
      </c>
      <c r="W68" s="31">
        <f t="shared" ref="W68:W78" si="24">I68/AJ68</f>
      </c>
      <c r="X68" s="32">
        <f t="shared" ref="X68:X78" si="279">D68/I68</f>
      </c>
      <c r="Y68" s="33">
        <f t="shared" ref="Y68:Y78" si="241">J68/I68</f>
      </c>
      <c r="Z68" s="32">
        <f t="shared" ref="Z68:Z78" si="203">D68/AD68</f>
      </c>
      <c r="AA68" s="34">
        <f t="shared" ref="AA68:AA78" si="146">AK68*1000/D68</f>
      </c>
      <c r="AB68" s="35" t="s">
        <v>46</v>
      </c>
      <c r="AC68" s="105" t="s">
        <v>64</v>
      </c>
      <c r="AD68" s="25">
        <v>1</v>
      </c>
      <c r="AE68" s="38">
        <v>8403</v>
      </c>
      <c r="AF68" s="21">
        <v>456</v>
      </c>
      <c r="AG68" s="26">
        <v>590</v>
      </c>
      <c r="AH68" s="26">
        <v>78</v>
      </c>
      <c r="AI68" s="21">
        <v>45</v>
      </c>
      <c r="AJ68" s="25">
        <v>3</v>
      </c>
      <c r="AK68" s="40">
        <v>21</v>
      </c>
      <c r="AL68" s="41">
        <v>1</v>
      </c>
      <c r="AM68" s="42"/>
    </row>
    <row r="69">
      <c r="A69" s="20"/>
      <c r="B69" s="43" t="s">
        <v>48</v>
      </c>
      <c r="C69" s="22" t="s">
        <v>45</v>
      </c>
      <c r="D69" s="26">
        <f t="shared" si="48"/>
      </c>
      <c r="E69" s="47">
        <v>1994.91</v>
      </c>
      <c r="F69" s="47"/>
      <c r="G69" s="21">
        <v>1451.65</v>
      </c>
      <c r="H69" s="43"/>
      <c r="I69" s="48">
        <v>3</v>
      </c>
      <c r="J69" s="21">
        <v>5004</v>
      </c>
      <c r="K69" s="25">
        <v>1</v>
      </c>
      <c r="L69" s="40">
        <v>0</v>
      </c>
      <c r="M69" s="40">
        <v>2</v>
      </c>
      <c r="N69" s="29">
        <f t="shared" si="5"/>
      </c>
      <c r="O69" s="29">
        <f t="shared" si="260"/>
      </c>
      <c r="P69" s="30">
        <f t="shared" si="222"/>
      </c>
      <c r="Q69" s="31">
        <f t="shared" si="165"/>
      </c>
      <c r="R69" s="32">
        <f t="shared" si="127"/>
      </c>
      <c r="S69" s="31">
        <f t="shared" si="184"/>
      </c>
      <c r="T69" s="31">
        <f t="shared" si="108"/>
      </c>
      <c r="U69" s="32">
        <f t="shared" si="89"/>
      </c>
      <c r="V69" s="31">
        <f t="shared" si="70"/>
      </c>
      <c r="W69" s="31">
        <f t="shared" si="24"/>
      </c>
      <c r="X69" s="32">
        <f t="shared" si="279"/>
      </c>
      <c r="Y69" s="33">
        <f t="shared" si="241"/>
      </c>
      <c r="Z69" s="32">
        <f t="shared" si="203"/>
      </c>
      <c r="AA69" s="34">
        <f t="shared" si="146"/>
      </c>
      <c r="AB69" s="35" t="s">
        <v>46</v>
      </c>
      <c r="AC69" s="105" t="s">
        <v>64</v>
      </c>
      <c r="AD69" s="26">
        <v>3</v>
      </c>
      <c r="AE69" s="47">
        <v>8399</v>
      </c>
      <c r="AF69" s="47">
        <v>436</v>
      </c>
      <c r="AG69" s="48">
        <v>593</v>
      </c>
      <c r="AH69" s="21">
        <v>78</v>
      </c>
      <c r="AI69" s="21">
        <v>24</v>
      </c>
      <c r="AJ69" s="49">
        <v>8</v>
      </c>
      <c r="AK69" s="50">
        <v>19</v>
      </c>
      <c r="AL69" s="41">
        <v>1</v>
      </c>
      <c r="AM69" s="42"/>
    </row>
    <row r="70">
      <c r="A70" s="20"/>
      <c r="B70" s="43" t="s">
        <v>49</v>
      </c>
      <c r="C70" s="39" t="s">
        <v>45</v>
      </c>
      <c r="D70" s="26">
        <f t="shared" si="48"/>
      </c>
      <c r="E70" s="26">
        <v>1430.53</v>
      </c>
      <c r="F70" s="26"/>
      <c r="G70" s="21">
        <v>1327.04</v>
      </c>
      <c r="H70" s="21"/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29">
        <f t="shared" si="5"/>
      </c>
      <c r="O70" s="29">
        <f t="shared" si="260"/>
      </c>
      <c r="P70" s="30">
        <f t="shared" si="222"/>
      </c>
      <c r="Q70" s="31">
        <f t="shared" si="165"/>
      </c>
      <c r="R70" s="32">
        <f t="shared" si="127"/>
      </c>
      <c r="S70" s="31">
        <f t="shared" si="184"/>
      </c>
      <c r="T70" s="31">
        <f t="shared" si="108"/>
      </c>
      <c r="U70" s="32">
        <f t="shared" si="89"/>
      </c>
      <c r="V70" s="31">
        <f t="shared" si="70"/>
      </c>
      <c r="W70" s="31">
        <f t="shared" si="24"/>
      </c>
      <c r="X70" s="32">
        <f t="shared" si="279"/>
      </c>
      <c r="Y70" s="33">
        <f t="shared" si="241"/>
      </c>
      <c r="Z70" s="32">
        <f t="shared" si="203"/>
      </c>
      <c r="AA70" s="34">
        <f t="shared" si="146"/>
      </c>
      <c r="AB70" s="35" t="s">
        <v>46</v>
      </c>
      <c r="AC70" s="105" t="s">
        <v>64</v>
      </c>
      <c r="AD70" s="26">
        <v>0</v>
      </c>
      <c r="AE70" s="26">
        <v>7514</v>
      </c>
      <c r="AF70" s="26">
        <v>356</v>
      </c>
      <c r="AG70" s="21">
        <v>548</v>
      </c>
      <c r="AH70" s="21">
        <v>81</v>
      </c>
      <c r="AI70" s="21">
        <v>24</v>
      </c>
      <c r="AJ70" s="49">
        <v>2</v>
      </c>
      <c r="AK70" s="50">
        <v>13</v>
      </c>
      <c r="AL70" s="41">
        <v>1</v>
      </c>
      <c r="AM70" s="42"/>
    </row>
    <row r="71">
      <c r="A71" s="20"/>
      <c r="B71" s="43" t="s">
        <v>50</v>
      </c>
      <c r="C71" s="48" t="s">
        <v>45</v>
      </c>
      <c r="D71" s="26">
        <f t="shared" si="48"/>
      </c>
      <c r="E71" s="26">
        <v>1213.74</v>
      </c>
      <c r="F71" s="26"/>
      <c r="G71" s="21">
        <v>1198.95</v>
      </c>
      <c r="H71" s="21"/>
      <c r="I71" s="40">
        <v>0</v>
      </c>
      <c r="J71" s="40">
        <v>0</v>
      </c>
      <c r="K71" s="40">
        <v>0</v>
      </c>
      <c r="L71" s="40">
        <v>0</v>
      </c>
      <c r="M71" s="40">
        <v>0</v>
      </c>
      <c r="N71" s="29">
        <f t="shared" si="5"/>
      </c>
      <c r="O71" s="29">
        <f t="shared" si="260"/>
      </c>
      <c r="P71" s="30">
        <f t="shared" si="222"/>
      </c>
      <c r="Q71" s="31">
        <f t="shared" si="165"/>
      </c>
      <c r="R71" s="32">
        <f t="shared" si="127"/>
      </c>
      <c r="S71" s="31">
        <f t="shared" si="184"/>
      </c>
      <c r="T71" s="31">
        <f t="shared" si="108"/>
      </c>
      <c r="U71" s="32">
        <f t="shared" si="89"/>
      </c>
      <c r="V71" s="31">
        <f t="shared" si="70"/>
      </c>
      <c r="W71" s="31">
        <f t="shared" si="24"/>
      </c>
      <c r="X71" s="32">
        <f t="shared" si="279"/>
      </c>
      <c r="Y71" s="33">
        <f t="shared" si="241"/>
      </c>
      <c r="Z71" s="32">
        <f t="shared" si="203"/>
      </c>
      <c r="AA71" s="34">
        <f t="shared" si="146"/>
      </c>
      <c r="AB71" s="35" t="s">
        <v>46</v>
      </c>
      <c r="AC71" s="105" t="s">
        <v>64</v>
      </c>
      <c r="AD71" s="47">
        <v>0</v>
      </c>
      <c r="AE71" s="47">
        <v>6483</v>
      </c>
      <c r="AF71" s="21">
        <v>278</v>
      </c>
      <c r="AG71" s="21">
        <v>407</v>
      </c>
      <c r="AH71" s="21">
        <v>51</v>
      </c>
      <c r="AI71" s="21">
        <v>22</v>
      </c>
      <c r="AJ71" s="49">
        <v>4</v>
      </c>
      <c r="AK71" s="50">
        <v>9</v>
      </c>
      <c r="AL71" s="41">
        <v>1</v>
      </c>
      <c r="AM71" s="42"/>
    </row>
    <row r="72">
      <c r="A72" s="20"/>
      <c r="B72" s="53" t="s">
        <v>51</v>
      </c>
      <c r="C72" s="53"/>
      <c r="D72" s="53">
        <f>SUM(D68:D71)</f>
      </c>
      <c r="E72" s="53">
        <f>SUM(E68:E71)</f>
      </c>
      <c r="F72" s="53">
        <f>SUM(F68:F71)</f>
      </c>
      <c r="G72" s="53">
        <f>SUM(G68:G71)</f>
      </c>
      <c r="H72" s="53">
        <f>SUM(H68:H71)</f>
      </c>
      <c r="I72" s="53">
        <f>SUM(I68:I71)</f>
      </c>
      <c r="J72" s="53">
        <f>SUM(J68:J71)</f>
      </c>
      <c r="K72" s="53">
        <f>SUM(K68:K71)</f>
      </c>
      <c r="L72" s="53">
        <f>SUM(L68:L71)</f>
      </c>
      <c r="M72" s="53">
        <f>SUM(M68:M71)</f>
      </c>
      <c r="N72" s="54">
        <f t="shared" si="5"/>
      </c>
      <c r="O72" s="55">
        <f t="shared" si="260"/>
      </c>
      <c r="P72" s="56">
        <f t="shared" si="222"/>
      </c>
      <c r="Q72" s="57">
        <f t="shared" si="165"/>
      </c>
      <c r="R72" s="58">
        <f t="shared" si="127"/>
      </c>
      <c r="S72" s="57">
        <f t="shared" si="184"/>
      </c>
      <c r="T72" s="59">
        <f t="shared" si="108"/>
      </c>
      <c r="U72" s="60">
        <f t="shared" si="89"/>
      </c>
      <c r="V72" s="59">
        <f t="shared" si="70"/>
      </c>
      <c r="W72" s="59">
        <f t="shared" si="24"/>
      </c>
      <c r="X72" s="60">
        <f t="shared" si="279"/>
      </c>
      <c r="Y72" s="61">
        <f t="shared" si="241"/>
      </c>
      <c r="Z72" s="60">
        <f t="shared" si="203"/>
      </c>
      <c r="AA72" s="62">
        <f t="shared" si="146"/>
      </c>
      <c r="AB72" s="63"/>
      <c r="AC72" s="62"/>
      <c r="AD72" s="102">
        <f>SUM(AD68:AD71)</f>
      </c>
      <c r="AE72" s="66">
        <f>SUM(AE68:AE71)</f>
      </c>
      <c r="AF72" s="66">
        <f>SUM(AF68:AF71)</f>
      </c>
      <c r="AG72" s="66">
        <f>SUM(AG68:AG71)</f>
      </c>
      <c r="AH72" s="66">
        <f>SUM(AH68:AH71)</f>
      </c>
      <c r="AI72" s="66">
        <f>SUM(AI68:AI71)</f>
      </c>
      <c r="AJ72" s="66">
        <f>SUM(AJ68:AJ71)</f>
      </c>
      <c r="AK72" s="66">
        <f>SUM(AK68:AK71)</f>
      </c>
      <c r="AL72" s="66">
        <f>SUM(AL68:AL71)</f>
      </c>
      <c r="AM72" s="42"/>
    </row>
    <row r="73">
      <c r="A73" s="20"/>
      <c r="B73" s="48" t="s">
        <v>52</v>
      </c>
      <c r="C73" s="22" t="s">
        <v>53</v>
      </c>
      <c r="D73" s="21">
        <f t="shared" ref="D73:D76" si="49">E73+F73+G73+H73</f>
      </c>
      <c r="E73" s="21">
        <v>2121.2</v>
      </c>
      <c r="F73" s="26"/>
      <c r="G73" s="21">
        <v>1191.35</v>
      </c>
      <c r="H73" s="21"/>
      <c r="I73" s="21">
        <v>3</v>
      </c>
      <c r="J73" s="21">
        <v>5484</v>
      </c>
      <c r="K73" s="40">
        <v>0</v>
      </c>
      <c r="L73" s="40">
        <v>1</v>
      </c>
      <c r="M73" s="67">
        <v>2</v>
      </c>
      <c r="N73" s="68">
        <f t="shared" si="5"/>
      </c>
      <c r="O73" s="29">
        <f t="shared" si="260"/>
      </c>
      <c r="P73" s="30">
        <f t="shared" si="222"/>
      </c>
      <c r="Q73" s="31">
        <f t="shared" si="165"/>
      </c>
      <c r="R73" s="32">
        <f t="shared" si="127"/>
      </c>
      <c r="S73" s="31">
        <f t="shared" si="184"/>
      </c>
      <c r="T73" s="73">
        <f t="shared" si="108"/>
      </c>
      <c r="U73" s="32">
        <f t="shared" si="89"/>
      </c>
      <c r="V73" s="31">
        <f t="shared" si="70"/>
      </c>
      <c r="W73" s="31">
        <f t="shared" si="24"/>
      </c>
      <c r="X73" s="32">
        <f t="shared" si="279"/>
      </c>
      <c r="Y73" s="33">
        <f t="shared" si="241"/>
      </c>
      <c r="Z73" s="32">
        <f t="shared" si="203"/>
      </c>
      <c r="AA73" s="34">
        <f t="shared" si="146"/>
      </c>
      <c r="AB73" s="35" t="s">
        <v>46</v>
      </c>
      <c r="AC73" s="98" t="s">
        <v>64</v>
      </c>
      <c r="AD73" s="26">
        <v>3</v>
      </c>
      <c r="AE73" s="74">
        <v>11498</v>
      </c>
      <c r="AF73" s="75">
        <v>474</v>
      </c>
      <c r="AG73" s="75">
        <v>730</v>
      </c>
      <c r="AH73" s="75">
        <v>84</v>
      </c>
      <c r="AI73" s="75">
        <v>38</v>
      </c>
      <c r="AJ73" s="41">
        <v>9</v>
      </c>
      <c r="AK73" s="41">
        <v>34</v>
      </c>
      <c r="AL73" s="41">
        <v>1</v>
      </c>
      <c r="AM73" s="42"/>
    </row>
    <row r="74">
      <c r="A74" s="20"/>
      <c r="B74" s="48" t="s">
        <v>54</v>
      </c>
      <c r="C74" s="22" t="s">
        <v>53</v>
      </c>
      <c r="D74" s="21">
        <f t="shared" si="49"/>
      </c>
      <c r="E74" s="21">
        <v>2380.54</v>
      </c>
      <c r="F74" s="26"/>
      <c r="G74" s="21">
        <v>874.21</v>
      </c>
      <c r="H74" s="21"/>
      <c r="I74" s="40">
        <v>4</v>
      </c>
      <c r="J74" s="40">
        <v>7564</v>
      </c>
      <c r="K74" s="40">
        <v>0</v>
      </c>
      <c r="L74" s="40">
        <v>1</v>
      </c>
      <c r="M74" s="40">
        <v>3</v>
      </c>
      <c r="N74" s="68">
        <f t="shared" si="5"/>
      </c>
      <c r="O74" s="29">
        <f t="shared" si="260"/>
      </c>
      <c r="P74" s="30">
        <f t="shared" si="222"/>
      </c>
      <c r="Q74" s="31">
        <f t="shared" si="165"/>
      </c>
      <c r="R74" s="32">
        <f t="shared" si="127"/>
      </c>
      <c r="S74" s="31">
        <f t="shared" si="184"/>
      </c>
      <c r="T74" s="73">
        <f t="shared" si="108"/>
      </c>
      <c r="U74" s="32">
        <f t="shared" si="89"/>
      </c>
      <c r="V74" s="31">
        <f t="shared" si="70"/>
      </c>
      <c r="W74" s="31">
        <f t="shared" si="24"/>
      </c>
      <c r="X74" s="32">
        <f t="shared" si="279"/>
      </c>
      <c r="Y74" s="33">
        <f t="shared" si="241"/>
      </c>
      <c r="Z74" s="32">
        <f t="shared" si="203"/>
      </c>
      <c r="AA74" s="34">
        <f t="shared" si="146"/>
      </c>
      <c r="AB74" s="35" t="s">
        <v>46</v>
      </c>
      <c r="AC74" s="98" t="s">
        <v>64</v>
      </c>
      <c r="AD74" s="26">
        <v>3</v>
      </c>
      <c r="AE74" s="74">
        <v>10320</v>
      </c>
      <c r="AF74" s="75">
        <v>451</v>
      </c>
      <c r="AG74" s="75">
        <v>678</v>
      </c>
      <c r="AH74" s="75">
        <v>83</v>
      </c>
      <c r="AI74" s="75">
        <v>24</v>
      </c>
      <c r="AJ74" s="41">
        <v>7</v>
      </c>
      <c r="AK74" s="41">
        <v>19</v>
      </c>
      <c r="AL74" s="41">
        <v>1</v>
      </c>
      <c r="AM74" s="42"/>
    </row>
    <row r="75">
      <c r="A75" s="20"/>
      <c r="B75" s="21" t="s">
        <v>55</v>
      </c>
      <c r="C75" s="22" t="s">
        <v>53</v>
      </c>
      <c r="D75" s="21">
        <f t="shared" si="49"/>
      </c>
      <c r="E75" s="21">
        <v>1962.09</v>
      </c>
      <c r="F75" s="26"/>
      <c r="G75" s="21">
        <v>1487.01</v>
      </c>
      <c r="H75" s="21"/>
      <c r="I75" s="21">
        <v>3</v>
      </c>
      <c r="J75" s="21">
        <v>5484</v>
      </c>
      <c r="K75" s="40">
        <v>0</v>
      </c>
      <c r="L75" s="40">
        <v>1</v>
      </c>
      <c r="M75" s="40">
        <v>2</v>
      </c>
      <c r="N75" s="103">
        <f t="shared" si="5"/>
      </c>
      <c r="O75" s="29">
        <f t="shared" si="260"/>
      </c>
      <c r="P75" s="30">
        <f t="shared" si="222"/>
      </c>
      <c r="Q75" s="31">
        <f t="shared" si="165"/>
      </c>
      <c r="R75" s="32">
        <f t="shared" si="127"/>
      </c>
      <c r="S75" s="31">
        <f t="shared" si="184"/>
      </c>
      <c r="T75" s="73">
        <f t="shared" si="108"/>
      </c>
      <c r="U75" s="32">
        <f t="shared" si="89"/>
      </c>
      <c r="V75" s="31">
        <f t="shared" si="70"/>
      </c>
      <c r="W75" s="31">
        <f t="shared" si="24"/>
      </c>
      <c r="X75" s="32">
        <f t="shared" si="279"/>
      </c>
      <c r="Y75" s="33">
        <f t="shared" si="241"/>
      </c>
      <c r="Z75" s="32">
        <f t="shared" si="203"/>
      </c>
      <c r="AA75" s="34">
        <f t="shared" si="146"/>
      </c>
      <c r="AB75" s="35" t="s">
        <v>46</v>
      </c>
      <c r="AC75" s="98" t="s">
        <v>64</v>
      </c>
      <c r="AD75" s="26">
        <v>3</v>
      </c>
      <c r="AE75" s="74">
        <v>12494</v>
      </c>
      <c r="AF75" s="75">
        <v>603</v>
      </c>
      <c r="AG75" s="75">
        <v>851</v>
      </c>
      <c r="AH75" s="75">
        <v>111</v>
      </c>
      <c r="AI75" s="41">
        <v>40</v>
      </c>
      <c r="AJ75" s="41">
        <v>8</v>
      </c>
      <c r="AK75" s="41">
        <v>38</v>
      </c>
      <c r="AL75" s="41">
        <v>1</v>
      </c>
      <c r="AM75" s="42"/>
    </row>
    <row r="76">
      <c r="A76" s="20"/>
      <c r="B76" s="43" t="s">
        <v>56</v>
      </c>
      <c r="C76" s="21" t="s">
        <v>53</v>
      </c>
      <c r="D76" s="26">
        <f t="shared" si="49"/>
      </c>
      <c r="E76" s="21">
        <v>1662.78</v>
      </c>
      <c r="F76" s="26"/>
      <c r="G76" s="21">
        <v>1117.22</v>
      </c>
      <c r="H76" s="21"/>
      <c r="I76" s="40">
        <v>1</v>
      </c>
      <c r="J76" s="40">
        <v>2268</v>
      </c>
      <c r="K76" s="40">
        <v>0</v>
      </c>
      <c r="L76" s="40">
        <v>0</v>
      </c>
      <c r="M76" s="40">
        <v>1</v>
      </c>
      <c r="N76" s="68">
        <f t="shared" si="5"/>
      </c>
      <c r="O76" s="29">
        <f t="shared" si="260"/>
      </c>
      <c r="P76" s="30">
        <f t="shared" si="222"/>
      </c>
      <c r="Q76" s="31">
        <f t="shared" si="165"/>
      </c>
      <c r="R76" s="32">
        <f t="shared" si="127"/>
      </c>
      <c r="S76" s="31">
        <f t="shared" si="184"/>
      </c>
      <c r="T76" s="73">
        <f t="shared" si="108"/>
      </c>
      <c r="U76" s="32">
        <f t="shared" si="89"/>
      </c>
      <c r="V76" s="31">
        <f t="shared" si="70"/>
      </c>
      <c r="W76" s="31">
        <f t="shared" si="24"/>
      </c>
      <c r="X76" s="32">
        <f t="shared" si="279"/>
      </c>
      <c r="Y76" s="33">
        <f t="shared" si="241"/>
      </c>
      <c r="Z76" s="32">
        <f t="shared" si="203"/>
      </c>
      <c r="AA76" s="34">
        <f t="shared" si="146"/>
      </c>
      <c r="AB76" s="35" t="s">
        <v>46</v>
      </c>
      <c r="AC76" s="98" t="s">
        <v>64</v>
      </c>
      <c r="AD76" s="26">
        <v>1</v>
      </c>
      <c r="AE76" s="74">
        <v>8904</v>
      </c>
      <c r="AF76" s="75">
        <v>384</v>
      </c>
      <c r="AG76" s="75">
        <v>635</v>
      </c>
      <c r="AH76" s="75">
        <v>80</v>
      </c>
      <c r="AI76" s="75">
        <v>27</v>
      </c>
      <c r="AJ76" s="41">
        <v>6</v>
      </c>
      <c r="AK76" s="41">
        <v>22</v>
      </c>
      <c r="AL76" s="41">
        <v>1</v>
      </c>
      <c r="AM76" s="42"/>
    </row>
    <row r="77">
      <c r="A77" s="20"/>
      <c r="B77" s="53" t="s">
        <v>51</v>
      </c>
      <c r="C77" s="53"/>
      <c r="D77" s="53">
        <f>SUM(D73:D76)</f>
      </c>
      <c r="E77" s="53">
        <f>SUM(E73:E76)</f>
      </c>
      <c r="F77" s="53">
        <f>SUM(F73:F76)</f>
      </c>
      <c r="G77" s="53">
        <f>SUM(G73:G76)</f>
      </c>
      <c r="H77" s="53">
        <f>SUM(H73:H76)</f>
      </c>
      <c r="I77" s="53">
        <f>SUM(I73:I76)</f>
      </c>
      <c r="J77" s="53">
        <f>SUM(J73:J76)</f>
      </c>
      <c r="K77" s="53">
        <f>SUM(K73:K76)</f>
      </c>
      <c r="L77" s="53">
        <f>SUM(L73:L76)</f>
      </c>
      <c r="M77" s="79">
        <f>SUM(M73:M76)</f>
      </c>
      <c r="N77" s="54">
        <f t="shared" si="5"/>
      </c>
      <c r="O77" s="81">
        <f t="shared" si="260"/>
      </c>
      <c r="P77" s="82">
        <f t="shared" si="222"/>
      </c>
      <c r="Q77" s="83">
        <f t="shared" si="165"/>
      </c>
      <c r="R77" s="84">
        <f t="shared" si="127"/>
      </c>
      <c r="S77" s="83">
        <f t="shared" si="184"/>
      </c>
      <c r="T77" s="59">
        <f t="shared" si="108"/>
      </c>
      <c r="U77" s="60">
        <f t="shared" si="89"/>
      </c>
      <c r="V77" s="59">
        <f t="shared" si="70"/>
      </c>
      <c r="W77" s="59">
        <f t="shared" si="24"/>
      </c>
      <c r="X77" s="60">
        <f t="shared" si="279"/>
      </c>
      <c r="Y77" s="61">
        <f t="shared" si="241"/>
      </c>
      <c r="Z77" s="60">
        <f t="shared" si="203"/>
      </c>
      <c r="AA77" s="62">
        <f t="shared" si="146"/>
      </c>
      <c r="AB77" s="63"/>
      <c r="AC77" s="62"/>
      <c r="AD77" s="85">
        <f>SUM(AD73:AD76)</f>
      </c>
      <c r="AE77" s="86">
        <f>SUM(AE73:AE76)</f>
      </c>
      <c r="AF77" s="86">
        <f>SUM(AF73:AF76)</f>
      </c>
      <c r="AG77" s="86">
        <f>SUM(AG73:AG76)</f>
      </c>
      <c r="AH77" s="86">
        <f>SUM(AH73:AH76)</f>
      </c>
      <c r="AI77" s="86">
        <f>SUM(AI73:AI76)</f>
      </c>
      <c r="AJ77" s="86">
        <f>SUM(AJ73:AJ76)</f>
      </c>
      <c r="AK77" s="86">
        <f>SUM(AK73:AK76)</f>
      </c>
      <c r="AL77" s="86">
        <f>SUM(AL73:AL76)</f>
      </c>
      <c r="AM77" s="104" t="s">
        <v>57</v>
      </c>
    </row>
    <row r="78">
      <c r="A78" s="20"/>
      <c r="B78" s="88" t="s">
        <v>58</v>
      </c>
      <c r="C78" s="88"/>
      <c r="D78" s="88">
        <f>D72+D77</f>
      </c>
      <c r="E78" s="88">
        <f>E72+E77</f>
      </c>
      <c r="F78" s="88">
        <f>F72+F77</f>
      </c>
      <c r="G78" s="88">
        <f>G72+G77</f>
      </c>
      <c r="H78" s="88">
        <f>H72+H77</f>
      </c>
      <c r="I78" s="88">
        <f>I72+I77</f>
      </c>
      <c r="J78" s="88">
        <f>J72+J77</f>
      </c>
      <c r="K78" s="88">
        <f>K72+K77</f>
      </c>
      <c r="L78" s="88">
        <f>L72+L77</f>
      </c>
      <c r="M78" s="88">
        <f>M72+M77</f>
      </c>
      <c r="N78" s="89">
        <f t="shared" si="5"/>
      </c>
      <c r="O78" s="90">
        <f t="shared" si="260"/>
      </c>
      <c r="P78" s="91">
        <f t="shared" si="222"/>
      </c>
      <c r="Q78" s="92">
        <f t="shared" si="165"/>
      </c>
      <c r="R78" s="90">
        <f t="shared" si="127"/>
      </c>
      <c r="S78" s="92">
        <f t="shared" si="184"/>
      </c>
      <c r="T78" s="92">
        <f t="shared" si="108"/>
      </c>
      <c r="U78" s="90">
        <f t="shared" si="89"/>
      </c>
      <c r="V78" s="92">
        <f t="shared" si="70"/>
      </c>
      <c r="W78" s="92">
        <f t="shared" si="24"/>
      </c>
      <c r="X78" s="90">
        <f t="shared" si="279"/>
      </c>
      <c r="Y78" s="93">
        <f t="shared" si="241"/>
      </c>
      <c r="Z78" s="90">
        <f t="shared" si="203"/>
      </c>
      <c r="AA78" s="91">
        <f t="shared" si="146"/>
      </c>
      <c r="AB78" s="94"/>
      <c r="AC78" s="91"/>
      <c r="AD78" s="96">
        <f>AD72+AD77</f>
      </c>
      <c r="AE78" s="96">
        <f>AE72+AE77</f>
      </c>
      <c r="AF78" s="96">
        <f>AF72+AF77</f>
      </c>
      <c r="AG78" s="96">
        <f>AG72+AG77</f>
      </c>
      <c r="AH78" s="96">
        <f>AH72+AH77</f>
      </c>
      <c r="AI78" s="96">
        <f>AI72+AI77</f>
      </c>
      <c r="AJ78" s="96">
        <f>AJ72+AJ77</f>
      </c>
      <c r="AK78" s="96">
        <f>AK72+AK77</f>
      </c>
      <c r="AL78" s="96">
        <f>AL72+AL77</f>
      </c>
      <c r="AM78" s="104"/>
    </row>
    <row r="79">
      <c r="A79" s="1" t="s">
        <v>1</v>
      </c>
      <c r="B79" s="1"/>
      <c r="C79" s="1"/>
      <c r="D79" s="2" t="s">
        <v>2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 t="s">
        <v>3</v>
      </c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4" t="s">
        <v>4</v>
      </c>
      <c r="AE79" s="4"/>
      <c r="AF79" s="4"/>
      <c r="AG79" s="4"/>
      <c r="AH79" s="4"/>
      <c r="AI79" s="4"/>
      <c r="AJ79" s="4"/>
      <c r="AK79" s="4"/>
      <c r="AL79" s="4"/>
      <c r="AM79" s="5"/>
    </row>
    <row r="80">
      <c r="A80" s="1" t="s">
        <v>5</v>
      </c>
      <c r="B80" s="6" t="s">
        <v>6</v>
      </c>
      <c r="C80" s="6" t="s">
        <v>7</v>
      </c>
      <c r="D80" s="7" t="s">
        <v>8</v>
      </c>
      <c r="E80" s="8" t="s">
        <v>9</v>
      </c>
      <c r="F80" s="8" t="s">
        <v>10</v>
      </c>
      <c r="G80" s="9" t="s">
        <v>11</v>
      </c>
      <c r="H80" s="10" t="s">
        <v>12</v>
      </c>
      <c r="I80" s="97" t="s">
        <v>13</v>
      </c>
      <c r="J80" s="2" t="s">
        <v>14</v>
      </c>
      <c r="K80" s="2" t="s">
        <v>15</v>
      </c>
      <c r="L80" s="13" t="s">
        <v>16</v>
      </c>
      <c r="M80" s="13" t="s">
        <v>17</v>
      </c>
      <c r="N80" s="9" t="s">
        <v>18</v>
      </c>
      <c r="O80" s="13" t="s">
        <v>19</v>
      </c>
      <c r="P80" s="3" t="s">
        <v>20</v>
      </c>
      <c r="Q80" s="3" t="s">
        <v>21</v>
      </c>
      <c r="R80" s="3" t="s">
        <v>22</v>
      </c>
      <c r="S80" s="14" t="s">
        <v>23</v>
      </c>
      <c r="T80" s="14" t="s">
        <v>24</v>
      </c>
      <c r="U80" s="3" t="s">
        <v>25</v>
      </c>
      <c r="V80" s="14" t="s">
        <v>26</v>
      </c>
      <c r="W80" s="14" t="s">
        <v>27</v>
      </c>
      <c r="X80" s="3" t="s">
        <v>28</v>
      </c>
      <c r="Y80" s="14" t="s">
        <v>29</v>
      </c>
      <c r="Z80" s="3" t="s">
        <v>30</v>
      </c>
      <c r="AA80" s="15" t="s">
        <v>31</v>
      </c>
      <c r="AB80" s="15" t="s">
        <v>32</v>
      </c>
      <c r="AC80" s="16" t="s">
        <v>33</v>
      </c>
      <c r="AD80" s="17" t="s">
        <v>34</v>
      </c>
      <c r="AE80" s="18" t="s">
        <v>35</v>
      </c>
      <c r="AF80" s="18" t="s">
        <v>36</v>
      </c>
      <c r="AG80" s="18" t="s">
        <v>37</v>
      </c>
      <c r="AH80" s="18" t="s">
        <v>38</v>
      </c>
      <c r="AI80" s="18" t="s">
        <v>39</v>
      </c>
      <c r="AJ80" s="19" t="s">
        <v>40</v>
      </c>
      <c r="AK80" s="19" t="s">
        <v>41</v>
      </c>
      <c r="AL80" s="19" t="s">
        <v>42</v>
      </c>
      <c r="AM80" s="5"/>
    </row>
    <row r="81">
      <c r="A81" s="20" t="s">
        <v>65</v>
      </c>
      <c r="B81" s="21" t="s">
        <v>44</v>
      </c>
      <c r="C81" s="22" t="s">
        <v>45</v>
      </c>
      <c r="D81" s="23">
        <f t="shared" ref="D81:D84" si="50">E81+F81+G81+H81</f>
      </c>
      <c r="E81" s="39">
        <v>1743.61</v>
      </c>
      <c r="F81" s="26"/>
      <c r="G81" s="26">
        <v>1967.36</v>
      </c>
      <c r="H81" s="43"/>
      <c r="I81" s="24">
        <v>2</v>
      </c>
      <c r="J81" s="25">
        <v>4536</v>
      </c>
      <c r="K81" s="40">
        <v>0</v>
      </c>
      <c r="L81" s="40">
        <v>0</v>
      </c>
      <c r="M81" s="40">
        <v>2</v>
      </c>
      <c r="N81" s="29">
        <f t="shared" ref="N81:N91" si="6">J81/D81</f>
      </c>
      <c r="O81" s="29">
        <f t="shared" ref="O81:O91" si="261">J81/(D81+300*AL81)</f>
      </c>
      <c r="P81" s="30">
        <f t="shared" ref="P81:P91" si="223">(D81/AE81)*1000</f>
      </c>
      <c r="Q81" s="31">
        <f t="shared" ref="Q81:Q91" si="166">AF81/AE81</f>
      </c>
      <c r="R81" s="32">
        <f t="shared" ref="R81:R91" si="128">D81/AG81</f>
      </c>
      <c r="S81" s="31">
        <f t="shared" ref="S81:S91" si="185">AH81/AG81</f>
      </c>
      <c r="T81" s="31">
        <f t="shared" ref="T81:T91" si="109">AI81/AG81</f>
      </c>
      <c r="U81" s="32">
        <f t="shared" ref="U81:U91" si="90">D81/AI81</f>
      </c>
      <c r="V81" s="31">
        <f t="shared" ref="V81:V91" si="71">AJ81/AI81</f>
      </c>
      <c r="W81" s="31">
        <f t="shared" ref="W81:W91" si="25">I81/AJ81</f>
      </c>
      <c r="X81" s="32">
        <f t="shared" ref="X81:X91" si="280">D81/I81</f>
      </c>
      <c r="Y81" s="33">
        <f t="shared" ref="Y81:Y91" si="242">J81/I81</f>
      </c>
      <c r="Z81" s="32">
        <f t="shared" ref="Z81:Z91" si="204">D81/AD81</f>
      </c>
      <c r="AA81" s="34">
        <f t="shared" ref="AA81:AA91" si="147">AK81*1000/D81</f>
      </c>
      <c r="AB81" s="35" t="s">
        <v>46</v>
      </c>
      <c r="AC81" s="105" t="s">
        <v>64</v>
      </c>
      <c r="AD81" s="25">
        <v>2</v>
      </c>
      <c r="AE81" s="38">
        <v>11140</v>
      </c>
      <c r="AF81" s="21">
        <v>544</v>
      </c>
      <c r="AG81" s="26">
        <v>740</v>
      </c>
      <c r="AH81" s="26">
        <v>100</v>
      </c>
      <c r="AI81" s="21">
        <v>33</v>
      </c>
      <c r="AJ81" s="25">
        <v>9</v>
      </c>
      <c r="AK81" s="40">
        <v>17</v>
      </c>
      <c r="AL81" s="41">
        <v>1</v>
      </c>
      <c r="AM81" s="42"/>
    </row>
    <row r="82">
      <c r="A82" s="20"/>
      <c r="B82" s="43" t="s">
        <v>48</v>
      </c>
      <c r="C82" s="22" t="s">
        <v>45</v>
      </c>
      <c r="D82" s="26">
        <f t="shared" si="50"/>
      </c>
      <c r="E82" s="47">
        <v>2130.7</v>
      </c>
      <c r="F82" s="47"/>
      <c r="G82" s="21">
        <v>1264.91</v>
      </c>
      <c r="H82" s="43"/>
      <c r="I82" s="48">
        <v>3</v>
      </c>
      <c r="J82" s="21">
        <v>5004</v>
      </c>
      <c r="K82" s="25">
        <v>1</v>
      </c>
      <c r="L82" s="40">
        <v>0</v>
      </c>
      <c r="M82" s="40">
        <v>2</v>
      </c>
      <c r="N82" s="29">
        <f t="shared" si="6"/>
      </c>
      <c r="O82" s="29">
        <f t="shared" si="261"/>
      </c>
      <c r="P82" s="30">
        <f t="shared" si="223"/>
      </c>
      <c r="Q82" s="31">
        <f t="shared" si="166"/>
      </c>
      <c r="R82" s="32">
        <f t="shared" si="128"/>
      </c>
      <c r="S82" s="31">
        <f t="shared" si="185"/>
      </c>
      <c r="T82" s="31">
        <f t="shared" si="109"/>
      </c>
      <c r="U82" s="32">
        <f t="shared" si="90"/>
      </c>
      <c r="V82" s="31">
        <f t="shared" si="71"/>
      </c>
      <c r="W82" s="31">
        <f t="shared" si="25"/>
      </c>
      <c r="X82" s="32">
        <f t="shared" si="280"/>
      </c>
      <c r="Y82" s="33">
        <f t="shared" si="242"/>
      </c>
      <c r="Z82" s="32">
        <f t="shared" si="204"/>
      </c>
      <c r="AA82" s="34">
        <f t="shared" si="147"/>
      </c>
      <c r="AB82" s="35" t="s">
        <v>46</v>
      </c>
      <c r="AC82" s="105" t="s">
        <v>64</v>
      </c>
      <c r="AD82" s="26">
        <v>3</v>
      </c>
      <c r="AE82" s="47">
        <v>7888</v>
      </c>
      <c r="AF82" s="47">
        <v>449</v>
      </c>
      <c r="AG82" s="48">
        <v>574</v>
      </c>
      <c r="AH82" s="21">
        <v>108</v>
      </c>
      <c r="AI82" s="21">
        <v>36</v>
      </c>
      <c r="AJ82" s="49">
        <v>10</v>
      </c>
      <c r="AK82" s="50">
        <v>30</v>
      </c>
      <c r="AL82" s="41">
        <v>1</v>
      </c>
      <c r="AM82" s="42"/>
    </row>
    <row r="83">
      <c r="A83" s="20"/>
      <c r="B83" s="43" t="s">
        <v>49</v>
      </c>
      <c r="C83" s="39" t="s">
        <v>45</v>
      </c>
      <c r="D83" s="26">
        <f t="shared" si="50"/>
      </c>
      <c r="E83" s="26">
        <v>2172.57</v>
      </c>
      <c r="F83" s="26"/>
      <c r="G83" s="21">
        <v>522.07</v>
      </c>
      <c r="H83" s="21"/>
      <c r="I83" s="51">
        <v>2</v>
      </c>
      <c r="J83" s="51">
        <v>4348</v>
      </c>
      <c r="K83" s="51">
        <v>0</v>
      </c>
      <c r="L83" s="51">
        <v>0</v>
      </c>
      <c r="M83" s="51">
        <v>2</v>
      </c>
      <c r="N83" s="29">
        <f t="shared" si="6"/>
      </c>
      <c r="O83" s="29">
        <f t="shared" si="261"/>
      </c>
      <c r="P83" s="30">
        <f t="shared" si="223"/>
      </c>
      <c r="Q83" s="31">
        <f t="shared" si="166"/>
      </c>
      <c r="R83" s="32">
        <f t="shared" si="128"/>
      </c>
      <c r="S83" s="31">
        <f t="shared" si="185"/>
      </c>
      <c r="T83" s="31">
        <f t="shared" si="109"/>
      </c>
      <c r="U83" s="32">
        <f t="shared" si="90"/>
      </c>
      <c r="V83" s="31">
        <f t="shared" si="71"/>
      </c>
      <c r="W83" s="31">
        <f t="shared" si="25"/>
      </c>
      <c r="X83" s="32">
        <f t="shared" si="280"/>
      </c>
      <c r="Y83" s="33">
        <f t="shared" si="242"/>
      </c>
      <c r="Z83" s="32">
        <f t="shared" si="204"/>
      </c>
      <c r="AA83" s="34">
        <f t="shared" si="147"/>
      </c>
      <c r="AB83" s="35" t="s">
        <v>46</v>
      </c>
      <c r="AC83" s="105" t="s">
        <v>64</v>
      </c>
      <c r="AD83" s="25">
        <v>2</v>
      </c>
      <c r="AE83" s="26">
        <v>5464</v>
      </c>
      <c r="AF83" s="26">
        <v>231</v>
      </c>
      <c r="AG83" s="21">
        <v>343</v>
      </c>
      <c r="AH83" s="21">
        <v>50</v>
      </c>
      <c r="AI83" s="21">
        <v>29</v>
      </c>
      <c r="AJ83" s="49">
        <v>4</v>
      </c>
      <c r="AK83" s="50">
        <v>17</v>
      </c>
      <c r="AL83" s="41">
        <v>1</v>
      </c>
      <c r="AM83" s="42"/>
    </row>
    <row r="84">
      <c r="A84" s="20"/>
      <c r="B84" s="43" t="s">
        <v>50</v>
      </c>
      <c r="C84" s="48" t="s">
        <v>45</v>
      </c>
      <c r="D84" s="26">
        <f t="shared" si="50"/>
      </c>
      <c r="E84" s="26">
        <v>2625.8</v>
      </c>
      <c r="F84" s="26"/>
      <c r="G84" s="21">
        <v>534.34</v>
      </c>
      <c r="H84" s="21"/>
      <c r="I84" s="40">
        <v>2</v>
      </c>
      <c r="J84" s="40">
        <v>4536</v>
      </c>
      <c r="K84" s="40">
        <v>0</v>
      </c>
      <c r="L84" s="40">
        <v>0</v>
      </c>
      <c r="M84" s="40">
        <v>2</v>
      </c>
      <c r="N84" s="29">
        <f t="shared" si="6"/>
      </c>
      <c r="O84" s="29">
        <f t="shared" si="261"/>
      </c>
      <c r="P84" s="30">
        <f t="shared" si="223"/>
      </c>
      <c r="Q84" s="31">
        <f t="shared" si="166"/>
      </c>
      <c r="R84" s="32">
        <f t="shared" si="128"/>
      </c>
      <c r="S84" s="31">
        <f t="shared" si="185"/>
      </c>
      <c r="T84" s="31">
        <f t="shared" si="109"/>
      </c>
      <c r="U84" s="32">
        <f t="shared" si="90"/>
      </c>
      <c r="V84" s="31">
        <f t="shared" si="71"/>
      </c>
      <c r="W84" s="31">
        <f t="shared" si="25"/>
      </c>
      <c r="X84" s="32">
        <f t="shared" si="280"/>
      </c>
      <c r="Y84" s="33">
        <f t="shared" si="242"/>
      </c>
      <c r="Z84" s="32">
        <f t="shared" si="204"/>
      </c>
      <c r="AA84" s="34">
        <f t="shared" si="147"/>
      </c>
      <c r="AB84" s="35" t="s">
        <v>46</v>
      </c>
      <c r="AC84" s="105" t="s">
        <v>64</v>
      </c>
      <c r="AD84" s="45">
        <v>2</v>
      </c>
      <c r="AE84" s="47">
        <v>7681</v>
      </c>
      <c r="AF84" s="21">
        <v>268</v>
      </c>
      <c r="AG84" s="21">
        <v>401</v>
      </c>
      <c r="AH84" s="21">
        <v>64</v>
      </c>
      <c r="AI84" s="21">
        <v>24</v>
      </c>
      <c r="AJ84" s="49">
        <v>4</v>
      </c>
      <c r="AK84" s="50">
        <v>12</v>
      </c>
      <c r="AL84" s="41">
        <v>1</v>
      </c>
      <c r="AM84" s="42"/>
    </row>
    <row r="85">
      <c r="A85" s="20"/>
      <c r="B85" s="53" t="s">
        <v>51</v>
      </c>
      <c r="C85" s="53"/>
      <c r="D85" s="53">
        <f>SUM(D81:D84)</f>
      </c>
      <c r="E85" s="53">
        <f>SUM(E81:E84)</f>
      </c>
      <c r="F85" s="53">
        <f>SUM(F81:F84)</f>
      </c>
      <c r="G85" s="53">
        <f>SUM(G81:G84)</f>
      </c>
      <c r="H85" s="53">
        <f>SUM(H81:H84)</f>
      </c>
      <c r="I85" s="53">
        <f>SUM(I81:I84)</f>
      </c>
      <c r="J85" s="53">
        <f>SUM(J81:J84)</f>
      </c>
      <c r="K85" s="53">
        <f>SUM(K81:K84)</f>
      </c>
      <c r="L85" s="53">
        <f>SUM(L81:L84)</f>
      </c>
      <c r="M85" s="53">
        <f>SUM(M81:M84)</f>
      </c>
      <c r="N85" s="54">
        <f t="shared" si="6"/>
      </c>
      <c r="O85" s="55">
        <f t="shared" si="261"/>
      </c>
      <c r="P85" s="56">
        <f t="shared" si="223"/>
      </c>
      <c r="Q85" s="57">
        <f t="shared" si="166"/>
      </c>
      <c r="R85" s="58">
        <f t="shared" si="128"/>
      </c>
      <c r="S85" s="57">
        <f t="shared" si="185"/>
      </c>
      <c r="T85" s="59">
        <f t="shared" si="109"/>
      </c>
      <c r="U85" s="60">
        <f t="shared" si="90"/>
      </c>
      <c r="V85" s="59">
        <f t="shared" si="71"/>
      </c>
      <c r="W85" s="59">
        <f t="shared" si="25"/>
      </c>
      <c r="X85" s="60">
        <f t="shared" si="280"/>
      </c>
      <c r="Y85" s="61">
        <f t="shared" si="242"/>
      </c>
      <c r="Z85" s="60">
        <f t="shared" si="204"/>
      </c>
      <c r="AA85" s="62">
        <f t="shared" si="147"/>
      </c>
      <c r="AB85" s="63"/>
      <c r="AC85" s="62"/>
      <c r="AD85" s="102">
        <f>SUM(AD81:AD84)</f>
      </c>
      <c r="AE85" s="66">
        <f>SUM(AE81:AE84)</f>
      </c>
      <c r="AF85" s="66">
        <f>SUM(AF81:AF84)</f>
      </c>
      <c r="AG85" s="66">
        <f>SUM(AG81:AG84)</f>
      </c>
      <c r="AH85" s="66">
        <f>SUM(AH81:AH84)</f>
      </c>
      <c r="AI85" s="66">
        <f>SUM(AI81:AI84)</f>
      </c>
      <c r="AJ85" s="66">
        <f>SUM(AJ81:AJ84)</f>
      </c>
      <c r="AK85" s="66">
        <f>SUM(AK81:AK84)</f>
      </c>
      <c r="AL85" s="66">
        <f>SUM(AL81:AL84)</f>
      </c>
      <c r="AM85" s="42"/>
    </row>
    <row r="86">
      <c r="A86" s="20"/>
      <c r="B86" s="48" t="s">
        <v>52</v>
      </c>
      <c r="C86" s="22" t="s">
        <v>53</v>
      </c>
      <c r="D86" s="21">
        <f t="shared" ref="D86:D89" si="51">E86+F86+G86+H86</f>
      </c>
      <c r="E86" s="21">
        <v>2460.59</v>
      </c>
      <c r="F86" s="26"/>
      <c r="G86" s="21">
        <v>889.21</v>
      </c>
      <c r="H86" s="21"/>
      <c r="I86" s="21">
        <v>4</v>
      </c>
      <c r="J86" s="21">
        <v>7752</v>
      </c>
      <c r="K86" s="40">
        <v>0</v>
      </c>
      <c r="L86" s="40">
        <v>1</v>
      </c>
      <c r="M86" s="67">
        <v>3</v>
      </c>
      <c r="N86" s="68">
        <f t="shared" si="6"/>
      </c>
      <c r="O86" s="29">
        <f t="shared" si="261"/>
      </c>
      <c r="P86" s="30">
        <f t="shared" si="223"/>
      </c>
      <c r="Q86" s="31">
        <f t="shared" si="166"/>
      </c>
      <c r="R86" s="32">
        <f t="shared" si="128"/>
      </c>
      <c r="S86" s="31">
        <f t="shared" si="185"/>
      </c>
      <c r="T86" s="73">
        <f t="shared" si="109"/>
      </c>
      <c r="U86" s="32">
        <f t="shared" si="90"/>
      </c>
      <c r="V86" s="31">
        <f t="shared" si="71"/>
      </c>
      <c r="W86" s="31">
        <f t="shared" si="25"/>
      </c>
      <c r="X86" s="32">
        <f t="shared" si="280"/>
      </c>
      <c r="Y86" s="33">
        <f t="shared" si="242"/>
      </c>
      <c r="Z86" s="32">
        <f t="shared" si="204"/>
      </c>
      <c r="AA86" s="34">
        <f t="shared" si="147"/>
      </c>
      <c r="AB86" s="35" t="s">
        <v>46</v>
      </c>
      <c r="AC86" s="98" t="s">
        <v>64</v>
      </c>
      <c r="AD86" s="26">
        <v>4</v>
      </c>
      <c r="AE86" s="74">
        <v>9169</v>
      </c>
      <c r="AF86" s="75">
        <v>365</v>
      </c>
      <c r="AG86" s="75">
        <v>537</v>
      </c>
      <c r="AH86" s="75">
        <v>60</v>
      </c>
      <c r="AI86" s="75">
        <v>35</v>
      </c>
      <c r="AJ86" s="41">
        <v>10</v>
      </c>
      <c r="AK86" s="41">
        <v>20</v>
      </c>
      <c r="AL86" s="41">
        <v>1</v>
      </c>
      <c r="AM86" s="42"/>
    </row>
    <row r="87">
      <c r="A87" s="20"/>
      <c r="B87" s="48" t="s">
        <v>54</v>
      </c>
      <c r="C87" s="22" t="s">
        <v>53</v>
      </c>
      <c r="D87" s="21">
        <f t="shared" si="51"/>
      </c>
      <c r="E87" s="21">
        <v>2434.14</v>
      </c>
      <c r="F87" s="26"/>
      <c r="G87" s="21">
        <v>987.03</v>
      </c>
      <c r="H87" s="21"/>
      <c r="I87" s="40">
        <v>5</v>
      </c>
      <c r="J87" s="40">
        <v>6540</v>
      </c>
      <c r="K87" s="40">
        <v>0</v>
      </c>
      <c r="L87" s="40">
        <v>2</v>
      </c>
      <c r="M87" s="40">
        <v>2</v>
      </c>
      <c r="N87" s="68">
        <f t="shared" si="6"/>
      </c>
      <c r="O87" s="29">
        <f t="shared" si="261"/>
      </c>
      <c r="P87" s="30">
        <f t="shared" si="223"/>
      </c>
      <c r="Q87" s="31">
        <f t="shared" si="166"/>
      </c>
      <c r="R87" s="32">
        <f t="shared" si="128"/>
      </c>
      <c r="S87" s="31">
        <f t="shared" si="185"/>
      </c>
      <c r="T87" s="73">
        <f t="shared" si="109"/>
      </c>
      <c r="U87" s="32">
        <f t="shared" si="90"/>
      </c>
      <c r="V87" s="31">
        <f t="shared" si="71"/>
      </c>
      <c r="W87" s="31">
        <f t="shared" si="25"/>
      </c>
      <c r="X87" s="32">
        <f t="shared" si="280"/>
      </c>
      <c r="Y87" s="33">
        <f t="shared" si="242"/>
      </c>
      <c r="Z87" s="32">
        <f t="shared" si="204"/>
      </c>
      <c r="AA87" s="34">
        <f t="shared" si="147"/>
      </c>
      <c r="AB87" s="35" t="s">
        <v>46</v>
      </c>
      <c r="AC87" s="98" t="s">
        <v>64</v>
      </c>
      <c r="AD87" s="26">
        <v>5</v>
      </c>
      <c r="AE87" s="74">
        <v>9819</v>
      </c>
      <c r="AF87" s="75">
        <v>452</v>
      </c>
      <c r="AG87" s="75">
        <v>614</v>
      </c>
      <c r="AH87" s="75">
        <v>75</v>
      </c>
      <c r="AI87" s="75">
        <v>35</v>
      </c>
      <c r="AJ87" s="41">
        <v>10</v>
      </c>
      <c r="AK87" s="41">
        <v>27</v>
      </c>
      <c r="AL87" s="41">
        <v>1</v>
      </c>
      <c r="AM87" s="42"/>
    </row>
    <row r="88">
      <c r="A88" s="20"/>
      <c r="B88" s="21" t="s">
        <v>55</v>
      </c>
      <c r="C88" s="22" t="s">
        <v>53</v>
      </c>
      <c r="D88" s="21">
        <f t="shared" si="51"/>
      </c>
      <c r="E88" s="21">
        <v>3384.8</v>
      </c>
      <c r="F88" s="26"/>
      <c r="G88" s="21">
        <v>902.91</v>
      </c>
      <c r="H88" s="21"/>
      <c r="I88" s="21">
        <v>5</v>
      </c>
      <c r="J88" s="21">
        <v>9832</v>
      </c>
      <c r="K88" s="40">
        <v>0</v>
      </c>
      <c r="L88" s="40">
        <v>1</v>
      </c>
      <c r="M88" s="40">
        <v>4</v>
      </c>
      <c r="N88" s="103">
        <f t="shared" si="6"/>
      </c>
      <c r="O88" s="29">
        <f t="shared" si="261"/>
      </c>
      <c r="P88" s="30">
        <f t="shared" si="223"/>
      </c>
      <c r="Q88" s="31">
        <f t="shared" si="166"/>
      </c>
      <c r="R88" s="32">
        <f t="shared" si="128"/>
      </c>
      <c r="S88" s="31">
        <f t="shared" si="185"/>
      </c>
      <c r="T88" s="73">
        <f t="shared" si="109"/>
      </c>
      <c r="U88" s="32">
        <f t="shared" si="90"/>
      </c>
      <c r="V88" s="31">
        <f t="shared" si="71"/>
      </c>
      <c r="W88" s="31">
        <f t="shared" si="25"/>
      </c>
      <c r="X88" s="32">
        <f t="shared" si="280"/>
      </c>
      <c r="Y88" s="33">
        <f t="shared" si="242"/>
      </c>
      <c r="Z88" s="32">
        <f t="shared" si="204"/>
      </c>
      <c r="AA88" s="34">
        <f t="shared" si="147"/>
      </c>
      <c r="AB88" s="35" t="s">
        <v>46</v>
      </c>
      <c r="AC88" s="98" t="s">
        <v>64</v>
      </c>
      <c r="AD88" s="26">
        <v>4</v>
      </c>
      <c r="AE88" s="74">
        <v>11979</v>
      </c>
      <c r="AF88" s="75">
        <v>441</v>
      </c>
      <c r="AG88" s="75">
        <v>737</v>
      </c>
      <c r="AH88" s="75">
        <v>93</v>
      </c>
      <c r="AI88" s="41">
        <v>45</v>
      </c>
      <c r="AJ88" s="41">
        <v>10</v>
      </c>
      <c r="AK88" s="41">
        <v>33</v>
      </c>
      <c r="AL88" s="41">
        <v>1</v>
      </c>
      <c r="AM88" s="42"/>
    </row>
    <row r="89">
      <c r="A89" s="20"/>
      <c r="B89" s="43" t="s">
        <v>56</v>
      </c>
      <c r="C89" s="21" t="s">
        <v>53</v>
      </c>
      <c r="D89" s="26">
        <f t="shared" si="51"/>
      </c>
      <c r="E89" s="21">
        <v>2308.54</v>
      </c>
      <c r="F89" s="26"/>
      <c r="G89" s="21">
        <v>1059.38</v>
      </c>
      <c r="H89" s="21"/>
      <c r="I89" s="40">
        <v>2</v>
      </c>
      <c r="J89" s="40">
        <v>4536</v>
      </c>
      <c r="K89" s="40">
        <v>0</v>
      </c>
      <c r="L89" s="40">
        <v>0</v>
      </c>
      <c r="M89" s="40">
        <v>2</v>
      </c>
      <c r="N89" s="68">
        <f t="shared" si="6"/>
      </c>
      <c r="O89" s="29">
        <f t="shared" si="261"/>
      </c>
      <c r="P89" s="30">
        <f t="shared" si="223"/>
      </c>
      <c r="Q89" s="31">
        <f t="shared" si="166"/>
      </c>
      <c r="R89" s="32">
        <f t="shared" si="128"/>
      </c>
      <c r="S89" s="31">
        <f t="shared" si="185"/>
      </c>
      <c r="T89" s="73">
        <f t="shared" si="109"/>
      </c>
      <c r="U89" s="32">
        <f t="shared" si="90"/>
      </c>
      <c r="V89" s="31">
        <f t="shared" si="71"/>
      </c>
      <c r="W89" s="31">
        <f t="shared" si="25"/>
      </c>
      <c r="X89" s="32">
        <f t="shared" si="280"/>
      </c>
      <c r="Y89" s="33">
        <f t="shared" si="242"/>
      </c>
      <c r="Z89" s="32">
        <f t="shared" si="204"/>
      </c>
      <c r="AA89" s="34">
        <f t="shared" si="147"/>
      </c>
      <c r="AB89" s="35" t="s">
        <v>46</v>
      </c>
      <c r="AC89" s="98" t="s">
        <v>64</v>
      </c>
      <c r="AD89" s="26">
        <v>3</v>
      </c>
      <c r="AE89" s="74">
        <v>9203</v>
      </c>
      <c r="AF89" s="75">
        <v>392</v>
      </c>
      <c r="AG89" s="75">
        <v>541</v>
      </c>
      <c r="AH89" s="75">
        <v>63</v>
      </c>
      <c r="AI89" s="75">
        <v>28</v>
      </c>
      <c r="AJ89" s="41">
        <v>6</v>
      </c>
      <c r="AK89" s="41">
        <v>12</v>
      </c>
      <c r="AL89" s="41">
        <v>1</v>
      </c>
      <c r="AM89" s="42"/>
    </row>
    <row r="90">
      <c r="A90" s="20"/>
      <c r="B90" s="53" t="s">
        <v>51</v>
      </c>
      <c r="C90" s="53"/>
      <c r="D90" s="53">
        <f>SUM(D86:D89)</f>
      </c>
      <c r="E90" s="53">
        <f>SUM(E86:E89)</f>
      </c>
      <c r="F90" s="53">
        <f>SUM(F86:F89)</f>
      </c>
      <c r="G90" s="53">
        <f>SUM(G86:G89)</f>
      </c>
      <c r="H90" s="53">
        <f>SUM(H86:H89)</f>
      </c>
      <c r="I90" s="53">
        <f>SUM(I86:I89)</f>
      </c>
      <c r="J90" s="53">
        <f>SUM(J86:J89)</f>
      </c>
      <c r="K90" s="53">
        <f>SUM(K86:K89)</f>
      </c>
      <c r="L90" s="53">
        <f>SUM(L86:L89)</f>
      </c>
      <c r="M90" s="79">
        <f>SUM(M86:M89)</f>
      </c>
      <c r="N90" s="54">
        <f t="shared" si="6"/>
      </c>
      <c r="O90" s="81">
        <f t="shared" si="261"/>
      </c>
      <c r="P90" s="82">
        <f t="shared" si="223"/>
      </c>
      <c r="Q90" s="83">
        <f t="shared" si="166"/>
      </c>
      <c r="R90" s="84">
        <f t="shared" si="128"/>
      </c>
      <c r="S90" s="83">
        <f t="shared" si="185"/>
      </c>
      <c r="T90" s="59">
        <f t="shared" si="109"/>
      </c>
      <c r="U90" s="60">
        <f t="shared" si="90"/>
      </c>
      <c r="V90" s="59">
        <f t="shared" si="71"/>
      </c>
      <c r="W90" s="59">
        <f t="shared" si="25"/>
      </c>
      <c r="X90" s="60">
        <f t="shared" si="280"/>
      </c>
      <c r="Y90" s="61">
        <f t="shared" si="242"/>
      </c>
      <c r="Z90" s="60">
        <f t="shared" si="204"/>
      </c>
      <c r="AA90" s="62">
        <f t="shared" si="147"/>
      </c>
      <c r="AB90" s="63"/>
      <c r="AC90" s="62"/>
      <c r="AD90" s="85">
        <f>SUM(AD86:AD89)</f>
      </c>
      <c r="AE90" s="86">
        <f>SUM(AE86:AE89)</f>
      </c>
      <c r="AF90" s="86">
        <f>SUM(AF86:AF89)</f>
      </c>
      <c r="AG90" s="86">
        <f>SUM(AG86:AG89)</f>
      </c>
      <c r="AH90" s="86">
        <f>SUM(AH86:AH89)</f>
      </c>
      <c r="AI90" s="86">
        <f>SUM(AI86:AI89)</f>
      </c>
      <c r="AJ90" s="86">
        <f>SUM(AJ86:AJ89)</f>
      </c>
      <c r="AK90" s="86">
        <f>SUM(AK86:AK89)</f>
      </c>
      <c r="AL90" s="86">
        <f>SUM(AL86:AL89)</f>
      </c>
      <c r="AM90" s="104" t="s">
        <v>57</v>
      </c>
    </row>
    <row r="91">
      <c r="A91" s="20"/>
      <c r="B91" s="88" t="s">
        <v>58</v>
      </c>
      <c r="C91" s="88"/>
      <c r="D91" s="88">
        <f>D85+D90</f>
      </c>
      <c r="E91" s="88">
        <f>E85+E90</f>
      </c>
      <c r="F91" s="88">
        <f>F85+F90</f>
      </c>
      <c r="G91" s="88">
        <f>G85+G90</f>
      </c>
      <c r="H91" s="88">
        <f>H85+H90</f>
      </c>
      <c r="I91" s="88">
        <f>I85+I90</f>
      </c>
      <c r="J91" s="88">
        <f>J85+J90</f>
      </c>
      <c r="K91" s="88">
        <f>K85+K90</f>
      </c>
      <c r="L91" s="88">
        <f>L85+L90</f>
      </c>
      <c r="M91" s="88">
        <f>M85+M90</f>
      </c>
      <c r="N91" s="89">
        <f t="shared" si="6"/>
      </c>
      <c r="O91" s="90">
        <f t="shared" si="261"/>
      </c>
      <c r="P91" s="91">
        <f t="shared" si="223"/>
      </c>
      <c r="Q91" s="92">
        <f t="shared" si="166"/>
      </c>
      <c r="R91" s="90">
        <f t="shared" si="128"/>
      </c>
      <c r="S91" s="92">
        <f t="shared" si="185"/>
      </c>
      <c r="T91" s="92">
        <f t="shared" si="109"/>
      </c>
      <c r="U91" s="90">
        <f t="shared" si="90"/>
      </c>
      <c r="V91" s="92">
        <f t="shared" si="71"/>
      </c>
      <c r="W91" s="92">
        <f t="shared" si="25"/>
      </c>
      <c r="X91" s="90">
        <f t="shared" si="280"/>
      </c>
      <c r="Y91" s="93">
        <f t="shared" si="242"/>
      </c>
      <c r="Z91" s="90">
        <f t="shared" si="204"/>
      </c>
      <c r="AA91" s="91">
        <f t="shared" si="147"/>
      </c>
      <c r="AB91" s="94"/>
      <c r="AC91" s="91"/>
      <c r="AD91" s="96">
        <f>AD85+AD90</f>
      </c>
      <c r="AE91" s="96">
        <f>AE85+AE90</f>
      </c>
      <c r="AF91" s="96">
        <f>AF85+AF90</f>
      </c>
      <c r="AG91" s="96">
        <f>AG85+AG90</f>
      </c>
      <c r="AH91" s="96">
        <f>AH85+AH90</f>
      </c>
      <c r="AI91" s="96">
        <f>AI85+AI90</f>
      </c>
      <c r="AJ91" s="96">
        <f>AJ85+AJ90</f>
      </c>
      <c r="AK91" s="96">
        <f>AK85+AK90</f>
      </c>
      <c r="AL91" s="96">
        <f>AL85+AL90</f>
      </c>
      <c r="AM91" s="104"/>
    </row>
    <row r="92">
      <c r="A92" s="1" t="s">
        <v>1</v>
      </c>
      <c r="B92" s="1"/>
      <c r="C92" s="1"/>
      <c r="D92" s="2" t="s">
        <v>2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 t="s">
        <v>3</v>
      </c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4" t="s">
        <v>4</v>
      </c>
      <c r="AE92" s="4"/>
      <c r="AF92" s="4"/>
      <c r="AG92" s="4"/>
      <c r="AH92" s="4"/>
      <c r="AI92" s="4"/>
      <c r="AJ92" s="4"/>
      <c r="AK92" s="4"/>
      <c r="AL92" s="4"/>
      <c r="AM92" s="5"/>
    </row>
    <row r="93">
      <c r="A93" s="1" t="s">
        <v>5</v>
      </c>
      <c r="B93" s="6" t="s">
        <v>6</v>
      </c>
      <c r="C93" s="6" t="s">
        <v>7</v>
      </c>
      <c r="D93" s="7" t="s">
        <v>8</v>
      </c>
      <c r="E93" s="8" t="s">
        <v>9</v>
      </c>
      <c r="F93" s="8" t="s">
        <v>10</v>
      </c>
      <c r="G93" s="9" t="s">
        <v>11</v>
      </c>
      <c r="H93" s="10" t="s">
        <v>12</v>
      </c>
      <c r="I93" s="97" t="s">
        <v>13</v>
      </c>
      <c r="J93" s="2" t="s">
        <v>14</v>
      </c>
      <c r="K93" s="2" t="s">
        <v>15</v>
      </c>
      <c r="L93" s="13" t="s">
        <v>16</v>
      </c>
      <c r="M93" s="13" t="s">
        <v>17</v>
      </c>
      <c r="N93" s="9" t="s">
        <v>18</v>
      </c>
      <c r="O93" s="13" t="s">
        <v>19</v>
      </c>
      <c r="P93" s="3" t="s">
        <v>20</v>
      </c>
      <c r="Q93" s="3" t="s">
        <v>21</v>
      </c>
      <c r="R93" s="3" t="s">
        <v>22</v>
      </c>
      <c r="S93" s="14" t="s">
        <v>23</v>
      </c>
      <c r="T93" s="14" t="s">
        <v>24</v>
      </c>
      <c r="U93" s="3" t="s">
        <v>25</v>
      </c>
      <c r="V93" s="14" t="s">
        <v>26</v>
      </c>
      <c r="W93" s="14" t="s">
        <v>27</v>
      </c>
      <c r="X93" s="3" t="s">
        <v>28</v>
      </c>
      <c r="Y93" s="14" t="s">
        <v>29</v>
      </c>
      <c r="Z93" s="3" t="s">
        <v>30</v>
      </c>
      <c r="AA93" s="15" t="s">
        <v>31</v>
      </c>
      <c r="AB93" s="15" t="s">
        <v>32</v>
      </c>
      <c r="AC93" s="16" t="s">
        <v>33</v>
      </c>
      <c r="AD93" s="17" t="s">
        <v>34</v>
      </c>
      <c r="AE93" s="18" t="s">
        <v>35</v>
      </c>
      <c r="AF93" s="18" t="s">
        <v>36</v>
      </c>
      <c r="AG93" s="18" t="s">
        <v>37</v>
      </c>
      <c r="AH93" s="18" t="s">
        <v>38</v>
      </c>
      <c r="AI93" s="18" t="s">
        <v>39</v>
      </c>
      <c r="AJ93" s="19" t="s">
        <v>40</v>
      </c>
      <c r="AK93" s="19" t="s">
        <v>41</v>
      </c>
      <c r="AL93" s="19" t="s">
        <v>42</v>
      </c>
      <c r="AM93" s="5"/>
    </row>
    <row r="94">
      <c r="A94" s="20" t="s">
        <v>66</v>
      </c>
      <c r="B94" s="21" t="s">
        <v>44</v>
      </c>
      <c r="C94" s="22" t="s">
        <v>45</v>
      </c>
      <c r="D94" s="23">
        <f t="shared" ref="D94:D97" si="52">E94+F94+G94+H94</f>
      </c>
      <c r="E94" s="39">
        <v>2176.98</v>
      </c>
      <c r="F94" s="26"/>
      <c r="G94" s="26">
        <v>1340.13</v>
      </c>
      <c r="H94" s="43"/>
      <c r="I94" s="24">
        <v>4</v>
      </c>
      <c r="J94" s="25">
        <v>9072</v>
      </c>
      <c r="K94" s="40">
        <v>0</v>
      </c>
      <c r="L94" s="40">
        <v>0</v>
      </c>
      <c r="M94" s="40">
        <v>4</v>
      </c>
      <c r="N94" s="29">
        <f t="shared" ref="N94:N105" si="7">J94/D94</f>
      </c>
      <c r="O94" s="29">
        <f t="shared" ref="O94:O105" si="262">J94/(D94+300*AL94)</f>
      </c>
      <c r="P94" s="30">
        <f t="shared" ref="P94:P105" si="224">(D94/AE94)*1000</f>
      </c>
      <c r="Q94" s="31">
        <f t="shared" ref="Q94:Q105" si="167">AF94/AE94</f>
      </c>
      <c r="R94" s="32">
        <f t="shared" ref="R94:R105" si="129">D94/AG94</f>
      </c>
      <c r="S94" s="31">
        <f t="shared" ref="S94:S105" si="186">AH94/AG94</f>
      </c>
      <c r="T94" s="31">
        <f t="shared" ref="T94:T105" si="110">AI94/AG94</f>
      </c>
      <c r="U94" s="32">
        <f t="shared" ref="U94:U105" si="91">D94/AI94</f>
      </c>
      <c r="V94" s="31">
        <f t="shared" ref="V94:V105" si="72">AJ94/AI94</f>
      </c>
      <c r="W94" s="31">
        <f t="shared" ref="W94:W105" si="26">I94/AJ94</f>
      </c>
      <c r="X94" s="32">
        <f t="shared" ref="X94:X105" si="281">D94/I94</f>
      </c>
      <c r="Y94" s="33">
        <f t="shared" ref="Y94:Y105" si="243">J94/I94</f>
      </c>
      <c r="Z94" s="32">
        <f t="shared" ref="Z94:Z105" si="205">D94/AD94</f>
      </c>
      <c r="AA94" s="34">
        <f t="shared" ref="AA94:AA105" si="148">AK94*1000/D94</f>
      </c>
      <c r="AB94" s="35" t="s">
        <v>46</v>
      </c>
      <c r="AC94" s="105" t="s">
        <v>64</v>
      </c>
      <c r="AD94" s="25">
        <v>4</v>
      </c>
      <c r="AE94" s="38">
        <v>10233</v>
      </c>
      <c r="AF94" s="21">
        <v>427</v>
      </c>
      <c r="AG94" s="26">
        <v>560</v>
      </c>
      <c r="AH94" s="26">
        <v>87</v>
      </c>
      <c r="AI94" s="21">
        <v>36</v>
      </c>
      <c r="AJ94" s="25">
        <v>10</v>
      </c>
      <c r="AK94" s="40">
        <v>17</v>
      </c>
      <c r="AL94" s="41">
        <v>1</v>
      </c>
      <c r="AM94" s="42"/>
    </row>
    <row r="95">
      <c r="A95" s="20"/>
      <c r="B95" s="43" t="s">
        <v>48</v>
      </c>
      <c r="C95" s="22" t="s">
        <v>45</v>
      </c>
      <c r="D95" s="26">
        <f t="shared" si="52"/>
      </c>
      <c r="E95" s="47">
        <v>2229.59</v>
      </c>
      <c r="F95" s="47"/>
      <c r="G95" s="21">
        <v>522.82</v>
      </c>
      <c r="H95" s="43"/>
      <c r="I95" s="48">
        <v>3</v>
      </c>
      <c r="J95" s="21">
        <v>6804</v>
      </c>
      <c r="K95" s="25">
        <v>0</v>
      </c>
      <c r="L95" s="40">
        <v>0</v>
      </c>
      <c r="M95" s="40">
        <v>3</v>
      </c>
      <c r="N95" s="29">
        <f t="shared" si="7"/>
      </c>
      <c r="O95" s="29">
        <f t="shared" si="262"/>
      </c>
      <c r="P95" s="30">
        <f t="shared" si="224"/>
      </c>
      <c r="Q95" s="31">
        <f t="shared" si="167"/>
      </c>
      <c r="R95" s="32">
        <f t="shared" si="129"/>
      </c>
      <c r="S95" s="31">
        <f t="shared" si="186"/>
      </c>
      <c r="T95" s="31">
        <f t="shared" si="110"/>
      </c>
      <c r="U95" s="32">
        <f t="shared" si="91"/>
      </c>
      <c r="V95" s="31">
        <f t="shared" si="72"/>
      </c>
      <c r="W95" s="31">
        <f t="shared" si="26"/>
      </c>
      <c r="X95" s="32">
        <f t="shared" si="281"/>
      </c>
      <c r="Y95" s="33">
        <f t="shared" si="243"/>
      </c>
      <c r="Z95" s="32">
        <f t="shared" si="205"/>
      </c>
      <c r="AA95" s="34">
        <f t="shared" si="148"/>
      </c>
      <c r="AB95" s="35" t="s">
        <v>46</v>
      </c>
      <c r="AC95" s="105" t="s">
        <v>64</v>
      </c>
      <c r="AD95" s="26">
        <v>2</v>
      </c>
      <c r="AE95" s="47">
        <v>7083</v>
      </c>
      <c r="AF95" s="47">
        <v>278</v>
      </c>
      <c r="AG95" s="48">
        <v>401</v>
      </c>
      <c r="AH95" s="21">
        <v>83</v>
      </c>
      <c r="AI95" s="21">
        <v>36</v>
      </c>
      <c r="AJ95" s="49">
        <v>9</v>
      </c>
      <c r="AK95" s="50">
        <v>26</v>
      </c>
      <c r="AL95" s="41">
        <v>1</v>
      </c>
      <c r="AM95" s="42"/>
    </row>
    <row r="96">
      <c r="A96" s="20"/>
      <c r="B96" s="43" t="s">
        <v>49</v>
      </c>
      <c r="C96" s="39" t="s">
        <v>45</v>
      </c>
      <c r="D96" s="26">
        <f t="shared" si="52"/>
      </c>
      <c r="E96" s="26">
        <v>1947.06</v>
      </c>
      <c r="F96" s="26"/>
      <c r="G96" s="21">
        <v>588.88</v>
      </c>
      <c r="H96" s="21"/>
      <c r="I96" s="51">
        <v>2</v>
      </c>
      <c r="J96" s="51">
        <v>2736</v>
      </c>
      <c r="K96" s="51">
        <v>1</v>
      </c>
      <c r="L96" s="51">
        <v>0</v>
      </c>
      <c r="M96" s="51">
        <v>1</v>
      </c>
      <c r="N96" s="29">
        <f t="shared" si="7"/>
      </c>
      <c r="O96" s="29">
        <f t="shared" si="262"/>
      </c>
      <c r="P96" s="30">
        <f t="shared" si="224"/>
      </c>
      <c r="Q96" s="31">
        <f t="shared" si="167"/>
      </c>
      <c r="R96" s="32">
        <f t="shared" si="129"/>
      </c>
      <c r="S96" s="31">
        <f t="shared" si="186"/>
      </c>
      <c r="T96" s="31">
        <f t="shared" si="110"/>
      </c>
      <c r="U96" s="32">
        <f t="shared" si="91"/>
      </c>
      <c r="V96" s="31">
        <f t="shared" si="72"/>
      </c>
      <c r="W96" s="31">
        <f t="shared" si="26"/>
      </c>
      <c r="X96" s="32">
        <f t="shared" si="281"/>
      </c>
      <c r="Y96" s="33">
        <f t="shared" si="243"/>
      </c>
      <c r="Z96" s="32">
        <f t="shared" si="205"/>
      </c>
      <c r="AA96" s="34">
        <f t="shared" si="148"/>
      </c>
      <c r="AB96" s="35" t="s">
        <v>46</v>
      </c>
      <c r="AC96" s="105" t="s">
        <v>64</v>
      </c>
      <c r="AD96" s="25">
        <v>1</v>
      </c>
      <c r="AE96" s="26">
        <v>6034</v>
      </c>
      <c r="AF96" s="26">
        <v>227</v>
      </c>
      <c r="AG96" s="21">
        <v>333</v>
      </c>
      <c r="AH96" s="21">
        <v>47</v>
      </c>
      <c r="AI96" s="21">
        <v>19</v>
      </c>
      <c r="AJ96" s="49">
        <v>2</v>
      </c>
      <c r="AK96" s="50">
        <v>15</v>
      </c>
      <c r="AL96" s="41">
        <v>1</v>
      </c>
      <c r="AM96" s="42"/>
    </row>
    <row r="97">
      <c r="A97" s="20"/>
      <c r="B97" s="43" t="s">
        <v>50</v>
      </c>
      <c r="C97" s="48" t="s">
        <v>45</v>
      </c>
      <c r="D97" s="26">
        <f t="shared" si="52"/>
      </c>
      <c r="E97" s="26">
        <v>2085.26</v>
      </c>
      <c r="F97" s="26"/>
      <c r="G97" s="21">
        <v>739.89</v>
      </c>
      <c r="H97" s="21"/>
      <c r="I97" s="40">
        <v>2</v>
      </c>
      <c r="J97" s="40">
        <v>4536</v>
      </c>
      <c r="K97" s="40">
        <v>0</v>
      </c>
      <c r="L97" s="40">
        <v>0</v>
      </c>
      <c r="M97" s="40">
        <v>2</v>
      </c>
      <c r="N97" s="29">
        <f t="shared" si="7"/>
      </c>
      <c r="O97" s="29">
        <f t="shared" si="262"/>
      </c>
      <c r="P97" s="30">
        <f t="shared" si="224"/>
      </c>
      <c r="Q97" s="31">
        <f t="shared" si="167"/>
      </c>
      <c r="R97" s="32">
        <f t="shared" si="129"/>
      </c>
      <c r="S97" s="31">
        <f t="shared" si="186"/>
      </c>
      <c r="T97" s="31">
        <f t="shared" si="110"/>
      </c>
      <c r="U97" s="32">
        <f t="shared" si="91"/>
      </c>
      <c r="V97" s="31">
        <f t="shared" si="72"/>
      </c>
      <c r="W97" s="31">
        <f t="shared" si="26"/>
      </c>
      <c r="X97" s="32">
        <f t="shared" si="281"/>
      </c>
      <c r="Y97" s="33">
        <f t="shared" si="243"/>
      </c>
      <c r="Z97" s="32">
        <f t="shared" si="205"/>
      </c>
      <c r="AA97" s="34">
        <f t="shared" si="148"/>
      </c>
      <c r="AB97" s="35" t="s">
        <v>46</v>
      </c>
      <c r="AC97" s="105" t="s">
        <v>64</v>
      </c>
      <c r="AD97" s="45">
        <v>1</v>
      </c>
      <c r="AE97" s="47">
        <v>7281</v>
      </c>
      <c r="AF97" s="21">
        <v>307</v>
      </c>
      <c r="AG97" s="21">
        <v>423</v>
      </c>
      <c r="AH97" s="21">
        <v>72</v>
      </c>
      <c r="AI97" s="21">
        <v>37</v>
      </c>
      <c r="AJ97" s="49">
        <v>7</v>
      </c>
      <c r="AK97" s="50">
        <v>18</v>
      </c>
      <c r="AL97" s="41">
        <v>1</v>
      </c>
      <c r="AM97" s="42"/>
    </row>
    <row r="98">
      <c r="A98" s="20"/>
      <c r="B98" s="53" t="s">
        <v>51</v>
      </c>
      <c r="C98" s="53"/>
      <c r="D98" s="53">
        <f>SUM(D94:D97)</f>
      </c>
      <c r="E98" s="53">
        <f>SUM(E94:E97)</f>
      </c>
      <c r="F98" s="53">
        <f>SUM(F94:F97)</f>
      </c>
      <c r="G98" s="53">
        <f>SUM(G94:G97)</f>
      </c>
      <c r="H98" s="53">
        <f>SUM(H94:H97)</f>
      </c>
      <c r="I98" s="53">
        <f>SUM(I94:I97)</f>
      </c>
      <c r="J98" s="53">
        <f>SUM(J94:J97)</f>
      </c>
      <c r="K98" s="53">
        <f>SUM(K94:K97)</f>
      </c>
      <c r="L98" s="53">
        <f>SUM(L94:L97)</f>
      </c>
      <c r="M98" s="53">
        <f>SUM(M94:M97)</f>
      </c>
      <c r="N98" s="54">
        <f t="shared" si="7"/>
      </c>
      <c r="O98" s="55">
        <f t="shared" si="262"/>
      </c>
      <c r="P98" s="56">
        <f t="shared" si="224"/>
      </c>
      <c r="Q98" s="57">
        <f t="shared" si="167"/>
      </c>
      <c r="R98" s="58">
        <f t="shared" si="129"/>
      </c>
      <c r="S98" s="57">
        <f t="shared" si="186"/>
      </c>
      <c r="T98" s="59">
        <f t="shared" si="110"/>
      </c>
      <c r="U98" s="60">
        <f t="shared" si="91"/>
      </c>
      <c r="V98" s="59">
        <f t="shared" si="72"/>
      </c>
      <c r="W98" s="59">
        <f t="shared" si="26"/>
      </c>
      <c r="X98" s="60">
        <f t="shared" si="281"/>
      </c>
      <c r="Y98" s="61">
        <f t="shared" si="243"/>
      </c>
      <c r="Z98" s="60">
        <f t="shared" si="205"/>
      </c>
      <c r="AA98" s="62">
        <f t="shared" si="148"/>
      </c>
      <c r="AB98" s="63"/>
      <c r="AC98" s="62"/>
      <c r="AD98" s="102">
        <f>SUM(AD94:AD97)</f>
      </c>
      <c r="AE98" s="66">
        <f>SUM(AE94:AE97)</f>
      </c>
      <c r="AF98" s="66">
        <f>SUM(AF94:AF97)</f>
      </c>
      <c r="AG98" s="66">
        <f>SUM(AG94:AG97)</f>
      </c>
      <c r="AH98" s="66">
        <f>SUM(AH94:AH97)</f>
      </c>
      <c r="AI98" s="66">
        <f>SUM(AI94:AI97)</f>
      </c>
      <c r="AJ98" s="66">
        <f>SUM(AJ94:AJ97)</f>
      </c>
      <c r="AK98" s="66">
        <f>SUM(AK94:AK97)</f>
      </c>
      <c r="AL98" s="66">
        <f>SUM(AL94:AL97)</f>
      </c>
      <c r="AM98" s="42"/>
    </row>
    <row r="99">
      <c r="A99" s="20"/>
      <c r="B99" s="48" t="s">
        <v>52</v>
      </c>
      <c r="C99" s="22" t="s">
        <v>53</v>
      </c>
      <c r="D99" s="21">
        <f t="shared" ref="D99:D103" si="53">E99+F99+G99+H99</f>
      </c>
      <c r="E99" s="21">
        <v>1683.42</v>
      </c>
      <c r="F99" s="26"/>
      <c r="G99" s="21">
        <v>729.71</v>
      </c>
      <c r="H99" s="21"/>
      <c r="I99" s="21">
        <v>1</v>
      </c>
      <c r="J99" s="21">
        <v>2268</v>
      </c>
      <c r="K99" s="40">
        <v>0</v>
      </c>
      <c r="L99" s="40">
        <v>0</v>
      </c>
      <c r="M99" s="67">
        <v>1</v>
      </c>
      <c r="N99" s="68">
        <f t="shared" si="7"/>
      </c>
      <c r="O99" s="29">
        <f t="shared" si="262"/>
      </c>
      <c r="P99" s="30">
        <f t="shared" si="224"/>
      </c>
      <c r="Q99" s="31">
        <f t="shared" si="167"/>
      </c>
      <c r="R99" s="32">
        <f t="shared" si="129"/>
      </c>
      <c r="S99" s="31">
        <f t="shared" si="186"/>
      </c>
      <c r="T99" s="73">
        <f t="shared" si="110"/>
      </c>
      <c r="U99" s="32">
        <f t="shared" si="91"/>
      </c>
      <c r="V99" s="31">
        <f t="shared" si="72"/>
      </c>
      <c r="W99" s="31">
        <f t="shared" si="26"/>
      </c>
      <c r="X99" s="32">
        <f t="shared" si="281"/>
      </c>
      <c r="Y99" s="33">
        <f t="shared" si="243"/>
      </c>
      <c r="Z99" s="32">
        <f t="shared" si="205"/>
      </c>
      <c r="AA99" s="34">
        <f t="shared" si="148"/>
      </c>
      <c r="AB99" s="35" t="s">
        <v>46</v>
      </c>
      <c r="AC99" s="98" t="s">
        <v>64</v>
      </c>
      <c r="AD99" s="26">
        <v>1</v>
      </c>
      <c r="AE99" s="74">
        <v>6923</v>
      </c>
      <c r="AF99" s="75">
        <v>256</v>
      </c>
      <c r="AG99" s="75">
        <v>338</v>
      </c>
      <c r="AH99" s="75">
        <v>52</v>
      </c>
      <c r="AI99" s="75">
        <v>29</v>
      </c>
      <c r="AJ99" s="41">
        <v>3</v>
      </c>
      <c r="AK99" s="41">
        <v>14</v>
      </c>
      <c r="AL99" s="41">
        <v>1</v>
      </c>
      <c r="AM99" s="42"/>
    </row>
    <row r="100">
      <c r="A100" s="20"/>
      <c r="B100" s="48" t="s">
        <v>54</v>
      </c>
      <c r="C100" s="22" t="s">
        <v>53</v>
      </c>
      <c r="D100" s="21">
        <f t="shared" si="53"/>
      </c>
      <c r="E100" s="21">
        <v>2260.95</v>
      </c>
      <c r="F100" s="26"/>
      <c r="G100" s="21">
        <v>799.31</v>
      </c>
      <c r="H100" s="21"/>
      <c r="I100" s="40">
        <v>1</v>
      </c>
      <c r="J100" s="40">
        <v>2268</v>
      </c>
      <c r="K100" s="40">
        <v>0</v>
      </c>
      <c r="L100" s="40">
        <v>0</v>
      </c>
      <c r="M100" s="40">
        <v>1</v>
      </c>
      <c r="N100" s="68">
        <f t="shared" si="7"/>
      </c>
      <c r="O100" s="29">
        <f t="shared" si="262"/>
      </c>
      <c r="P100" s="30">
        <f t="shared" si="224"/>
      </c>
      <c r="Q100" s="31">
        <f t="shared" si="167"/>
      </c>
      <c r="R100" s="32">
        <f t="shared" si="129"/>
      </c>
      <c r="S100" s="31">
        <f t="shared" si="186"/>
      </c>
      <c r="T100" s="73">
        <f t="shared" si="110"/>
      </c>
      <c r="U100" s="32">
        <f t="shared" si="91"/>
      </c>
      <c r="V100" s="31">
        <f t="shared" si="72"/>
      </c>
      <c r="W100" s="31">
        <f t="shared" si="26"/>
      </c>
      <c r="X100" s="32">
        <f t="shared" si="281"/>
      </c>
      <c r="Y100" s="33">
        <f t="shared" si="243"/>
      </c>
      <c r="Z100" s="32">
        <f t="shared" si="205"/>
      </c>
      <c r="AA100" s="34">
        <f t="shared" si="148"/>
      </c>
      <c r="AB100" s="35" t="s">
        <v>46</v>
      </c>
      <c r="AC100" s="98" t="s">
        <v>64</v>
      </c>
      <c r="AD100" s="26">
        <v>1</v>
      </c>
      <c r="AE100" s="74">
        <v>8178</v>
      </c>
      <c r="AF100" s="75">
        <v>319</v>
      </c>
      <c r="AG100" s="75">
        <v>445</v>
      </c>
      <c r="AH100" s="75">
        <v>74</v>
      </c>
      <c r="AI100" s="75">
        <v>28</v>
      </c>
      <c r="AJ100" s="41">
        <v>4</v>
      </c>
      <c r="AK100" s="41">
        <v>12</v>
      </c>
      <c r="AL100" s="41">
        <v>1</v>
      </c>
      <c r="AM100" s="42"/>
    </row>
    <row r="101">
      <c r="A101" s="20"/>
      <c r="B101" s="21" t="s">
        <v>55</v>
      </c>
      <c r="C101" s="22" t="s">
        <v>53</v>
      </c>
      <c r="D101" s="21">
        <f t="shared" si="53"/>
      </c>
      <c r="E101" s="21">
        <v>2403.33</v>
      </c>
      <c r="F101" s="26"/>
      <c r="G101" s="21">
        <v>713.58</v>
      </c>
      <c r="H101" s="21"/>
      <c r="I101" s="21">
        <v>0</v>
      </c>
      <c r="J101" s="21">
        <v>0</v>
      </c>
      <c r="K101" s="40">
        <v>0</v>
      </c>
      <c r="L101" s="40">
        <v>0</v>
      </c>
      <c r="M101" s="40">
        <v>0</v>
      </c>
      <c r="N101" s="103">
        <f t="shared" si="7"/>
      </c>
      <c r="O101" s="29">
        <f t="shared" si="262"/>
      </c>
      <c r="P101" s="30">
        <f t="shared" si="224"/>
      </c>
      <c r="Q101" s="31">
        <f t="shared" si="167"/>
      </c>
      <c r="R101" s="32">
        <f t="shared" si="129"/>
      </c>
      <c r="S101" s="31">
        <f t="shared" si="186"/>
      </c>
      <c r="T101" s="73">
        <f t="shared" si="110"/>
      </c>
      <c r="U101" s="32">
        <f t="shared" si="91"/>
      </c>
      <c r="V101" s="31">
        <f t="shared" si="72"/>
      </c>
      <c r="W101" s="31">
        <f t="shared" si="26"/>
      </c>
      <c r="X101" s="32">
        <f t="shared" si="281"/>
      </c>
      <c r="Y101" s="33">
        <f t="shared" si="243"/>
      </c>
      <c r="Z101" s="32">
        <f t="shared" si="205"/>
      </c>
      <c r="AA101" s="34">
        <f t="shared" si="148"/>
      </c>
      <c r="AB101" s="35" t="s">
        <v>46</v>
      </c>
      <c r="AC101" s="98" t="s">
        <v>64</v>
      </c>
      <c r="AD101" s="26">
        <v>0</v>
      </c>
      <c r="AE101" s="74">
        <v>7469</v>
      </c>
      <c r="AF101" s="75">
        <v>274</v>
      </c>
      <c r="AG101" s="75">
        <v>474</v>
      </c>
      <c r="AH101" s="75">
        <v>68</v>
      </c>
      <c r="AI101" s="41">
        <v>30</v>
      </c>
      <c r="AJ101" s="41">
        <v>0</v>
      </c>
      <c r="AK101" s="41">
        <v>9</v>
      </c>
      <c r="AL101" s="41">
        <v>1</v>
      </c>
      <c r="AM101" s="42"/>
    </row>
    <row r="102">
      <c r="A102" s="20"/>
      <c r="B102" s="43" t="s">
        <v>56</v>
      </c>
      <c r="C102" s="21" t="s">
        <v>53</v>
      </c>
      <c r="D102" s="26">
        <f t="shared" si="53"/>
      </c>
      <c r="E102" s="21">
        <v>2022.97</v>
      </c>
      <c r="F102" s="26"/>
      <c r="G102" s="21">
        <v>806.71</v>
      </c>
      <c r="H102" s="21"/>
      <c r="I102" s="40">
        <v>4</v>
      </c>
      <c r="J102" s="40">
        <v>7272</v>
      </c>
      <c r="K102" s="40">
        <v>1</v>
      </c>
      <c r="L102" s="40">
        <v>0</v>
      </c>
      <c r="M102" s="40">
        <v>3</v>
      </c>
      <c r="N102" s="68">
        <f t="shared" si="7"/>
      </c>
      <c r="O102" s="29">
        <f t="shared" si="262"/>
      </c>
      <c r="P102" s="30">
        <f t="shared" si="224"/>
      </c>
      <c r="Q102" s="31">
        <f t="shared" si="167"/>
      </c>
      <c r="R102" s="32">
        <f t="shared" si="129"/>
      </c>
      <c r="S102" s="31">
        <f t="shared" si="186"/>
      </c>
      <c r="T102" s="73">
        <f t="shared" si="110"/>
      </c>
      <c r="U102" s="32">
        <f t="shared" si="91"/>
      </c>
      <c r="V102" s="31">
        <f t="shared" si="72"/>
      </c>
      <c r="W102" s="31">
        <f t="shared" si="26"/>
      </c>
      <c r="X102" s="32">
        <f t="shared" si="281"/>
      </c>
      <c r="Y102" s="33">
        <f t="shared" si="243"/>
      </c>
      <c r="Z102" s="32">
        <f t="shared" si="205"/>
      </c>
      <c r="AA102" s="34">
        <f t="shared" si="148"/>
      </c>
      <c r="AB102" s="35" t="s">
        <v>46</v>
      </c>
      <c r="AC102" s="98" t="s">
        <v>64</v>
      </c>
      <c r="AD102" s="26">
        <v>4</v>
      </c>
      <c r="AE102" s="74">
        <v>7923</v>
      </c>
      <c r="AF102" s="75">
        <v>311</v>
      </c>
      <c r="AG102" s="75">
        <v>548</v>
      </c>
      <c r="AH102" s="75">
        <v>70</v>
      </c>
      <c r="AI102" s="75">
        <v>36</v>
      </c>
      <c r="AJ102" s="41">
        <v>8</v>
      </c>
      <c r="AK102" s="41">
        <v>21</v>
      </c>
      <c r="AL102" s="41">
        <v>1</v>
      </c>
      <c r="AM102" s="42"/>
    </row>
    <row customHeight="true" ht="18.452380952380953" r="103">
      <c r="A103" s="20"/>
      <c r="B103" s="27" t="s">
        <v>67</v>
      </c>
      <c r="C103" s="21" t="s">
        <v>53</v>
      </c>
      <c r="D103" s="26">
        <f t="shared" si="53"/>
      </c>
      <c r="E103" s="21">
        <v>2592.35</v>
      </c>
      <c r="F103" s="26"/>
      <c r="G103" s="21">
        <v>562.17</v>
      </c>
      <c r="H103" s="21"/>
      <c r="I103" s="40">
        <v>3</v>
      </c>
      <c r="J103" s="40">
        <v>6804</v>
      </c>
      <c r="K103" s="40">
        <v>0</v>
      </c>
      <c r="L103" s="40">
        <v>0</v>
      </c>
      <c r="M103" s="40">
        <v>3</v>
      </c>
      <c r="N103" s="68">
        <f t="shared" si="7"/>
      </c>
      <c r="O103" s="29">
        <f t="shared" si="262"/>
      </c>
      <c r="P103" s="30">
        <f t="shared" si="224"/>
      </c>
      <c r="Q103" s="31">
        <f t="shared" si="167"/>
      </c>
      <c r="R103" s="32">
        <f t="shared" si="129"/>
      </c>
      <c r="S103" s="31">
        <f t="shared" si="186"/>
      </c>
      <c r="T103" s="73">
        <f t="shared" si="110"/>
      </c>
      <c r="U103" s="32">
        <f t="shared" si="91"/>
      </c>
      <c r="V103" s="31">
        <f t="shared" si="72"/>
      </c>
      <c r="W103" s="31">
        <f t="shared" si="26"/>
      </c>
      <c r="X103" s="32">
        <f t="shared" si="281"/>
      </c>
      <c r="Y103" s="33">
        <f t="shared" si="243"/>
      </c>
      <c r="Z103" s="32">
        <f t="shared" si="205"/>
      </c>
      <c r="AA103" s="34">
        <f t="shared" si="148"/>
      </c>
      <c r="AB103" s="35" t="s">
        <v>46</v>
      </c>
      <c r="AC103" s="98" t="s">
        <v>64</v>
      </c>
      <c r="AD103" s="26">
        <v>3</v>
      </c>
      <c r="AE103" s="74">
        <v>8066</v>
      </c>
      <c r="AF103" s="75">
        <v>271</v>
      </c>
      <c r="AG103" s="75">
        <v>467</v>
      </c>
      <c r="AH103" s="75">
        <v>62</v>
      </c>
      <c r="AI103" s="75">
        <v>28</v>
      </c>
      <c r="AJ103" s="41">
        <v>7</v>
      </c>
      <c r="AK103" s="41">
        <v>14</v>
      </c>
      <c r="AL103" s="41">
        <v>1</v>
      </c>
      <c r="AM103" s="42"/>
    </row>
    <row r="104">
      <c r="A104" s="20"/>
      <c r="B104" s="53" t="s">
        <v>51</v>
      </c>
      <c r="C104" s="53"/>
      <c r="D104" s="53">
        <f>SUM(D99:D103)</f>
      </c>
      <c r="E104" s="53">
        <f>SUM(E99:E103)</f>
      </c>
      <c r="F104" s="53">
        <f>SUM(F99:F103)</f>
      </c>
      <c r="G104" s="53">
        <f>SUM(G99:G103)</f>
      </c>
      <c r="H104" s="53">
        <f>SUM(H99:H103)</f>
      </c>
      <c r="I104" s="53">
        <f>SUM(I99:I103)</f>
      </c>
      <c r="J104" s="53">
        <f>SUM(J99:J103)</f>
      </c>
      <c r="K104" s="53">
        <f>SUM(K99:K103)</f>
      </c>
      <c r="L104" s="53">
        <f>SUM(L99:L103)</f>
      </c>
      <c r="M104" s="53">
        <f>SUM(M99:M103)</f>
      </c>
      <c r="N104" s="54">
        <f t="shared" si="7"/>
      </c>
      <c r="O104" s="81">
        <f t="shared" si="262"/>
      </c>
      <c r="P104" s="82">
        <f t="shared" si="224"/>
      </c>
      <c r="Q104" s="83">
        <f t="shared" si="167"/>
      </c>
      <c r="R104" s="84">
        <f t="shared" si="129"/>
      </c>
      <c r="S104" s="83">
        <f t="shared" si="186"/>
      </c>
      <c r="T104" s="59">
        <f t="shared" si="110"/>
      </c>
      <c r="U104" s="60">
        <f t="shared" si="91"/>
      </c>
      <c r="V104" s="59">
        <f t="shared" si="72"/>
      </c>
      <c r="W104" s="59">
        <f t="shared" si="26"/>
      </c>
      <c r="X104" s="60">
        <f t="shared" si="281"/>
      </c>
      <c r="Y104" s="61">
        <f t="shared" si="243"/>
      </c>
      <c r="Z104" s="60">
        <f t="shared" si="205"/>
      </c>
      <c r="AA104" s="62">
        <f t="shared" si="148"/>
      </c>
      <c r="AB104" s="63"/>
      <c r="AC104" s="62"/>
      <c r="AD104" s="85">
        <f>SUM(AD99:AD103)</f>
      </c>
      <c r="AE104" s="85">
        <f>SUM(AE99:AE103)</f>
      </c>
      <c r="AF104" s="85">
        <f>SUM(AF99:AF103)</f>
      </c>
      <c r="AG104" s="85">
        <f>SUM(AG99:AG103)</f>
      </c>
      <c r="AH104" s="85">
        <f>SUM(AH99:AH103)</f>
      </c>
      <c r="AI104" s="85">
        <f>SUM(AI99:AI103)</f>
      </c>
      <c r="AJ104" s="85">
        <f>SUM(AJ99:AJ103)</f>
      </c>
      <c r="AK104" s="85">
        <f>SUM(AK99:AK103)</f>
      </c>
      <c r="AL104" s="85">
        <f>SUM(AL99:AL103)</f>
      </c>
      <c r="AM104" s="104" t="s">
        <v>57</v>
      </c>
    </row>
    <row r="105">
      <c r="A105" s="20"/>
      <c r="B105" s="88" t="s">
        <v>58</v>
      </c>
      <c r="C105" s="88"/>
      <c r="D105" s="88">
        <f>D98+D104</f>
      </c>
      <c r="E105" s="88">
        <f>E98+E104</f>
      </c>
      <c r="F105" s="88">
        <f>F98+F104</f>
      </c>
      <c r="G105" s="88">
        <f>G98+G104</f>
      </c>
      <c r="H105" s="88">
        <f>H98+H104</f>
      </c>
      <c r="I105" s="88">
        <f>I98+I104</f>
      </c>
      <c r="J105" s="88">
        <f>J98+J104</f>
      </c>
      <c r="K105" s="88">
        <f>K98+K104</f>
      </c>
      <c r="L105" s="88">
        <f>L98+L104</f>
      </c>
      <c r="M105" s="88">
        <f>M98+M104</f>
      </c>
      <c r="N105" s="89">
        <f t="shared" si="7"/>
      </c>
      <c r="O105" s="90">
        <f t="shared" si="262"/>
      </c>
      <c r="P105" s="91">
        <f t="shared" si="224"/>
      </c>
      <c r="Q105" s="92">
        <f t="shared" si="167"/>
      </c>
      <c r="R105" s="90">
        <f t="shared" si="129"/>
      </c>
      <c r="S105" s="92">
        <f t="shared" si="186"/>
      </c>
      <c r="T105" s="92">
        <f t="shared" si="110"/>
      </c>
      <c r="U105" s="90">
        <f t="shared" si="91"/>
      </c>
      <c r="V105" s="92">
        <f t="shared" si="72"/>
      </c>
      <c r="W105" s="92">
        <f t="shared" si="26"/>
      </c>
      <c r="X105" s="90">
        <f t="shared" si="281"/>
      </c>
      <c r="Y105" s="93">
        <f t="shared" si="243"/>
      </c>
      <c r="Z105" s="90">
        <f t="shared" si="205"/>
      </c>
      <c r="AA105" s="91">
        <f t="shared" si="148"/>
      </c>
      <c r="AB105" s="94"/>
      <c r="AC105" s="91"/>
      <c r="AD105" s="96">
        <f>AD98+AD104</f>
      </c>
      <c r="AE105" s="96">
        <f>AE98+AE104</f>
      </c>
      <c r="AF105" s="96">
        <f>AF98+AF104</f>
      </c>
      <c r="AG105" s="96">
        <f>AG98+AG104</f>
      </c>
      <c r="AH105" s="96">
        <f>AH98+AH104</f>
      </c>
      <c r="AI105" s="96">
        <f>AI98+AI104</f>
      </c>
      <c r="AJ105" s="96">
        <f>AJ98+AJ104</f>
      </c>
      <c r="AK105" s="96">
        <f>AK98+AK104</f>
      </c>
      <c r="AL105" s="96">
        <f>AL98+AL104</f>
      </c>
      <c r="AM105" s="104"/>
    </row>
    <row r="106">
      <c r="A106" s="1" t="s">
        <v>1</v>
      </c>
      <c r="B106" s="1"/>
      <c r="C106" s="1"/>
      <c r="D106" s="2" t="s">
        <v>2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 t="s">
        <v>3</v>
      </c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4" t="s">
        <v>4</v>
      </c>
      <c r="AE106" s="4"/>
      <c r="AF106" s="4"/>
      <c r="AG106" s="4"/>
      <c r="AH106" s="4"/>
      <c r="AI106" s="4"/>
      <c r="AJ106" s="4"/>
      <c r="AK106" s="4"/>
      <c r="AL106" s="4"/>
      <c r="AM106" s="5"/>
    </row>
    <row r="107">
      <c r="A107" s="1" t="s">
        <v>5</v>
      </c>
      <c r="B107" s="6" t="s">
        <v>6</v>
      </c>
      <c r="C107" s="6" t="s">
        <v>7</v>
      </c>
      <c r="D107" s="7" t="s">
        <v>8</v>
      </c>
      <c r="E107" s="8" t="s">
        <v>9</v>
      </c>
      <c r="F107" s="8" t="s">
        <v>10</v>
      </c>
      <c r="G107" s="9" t="s">
        <v>11</v>
      </c>
      <c r="H107" s="10" t="s">
        <v>12</v>
      </c>
      <c r="I107" s="97" t="s">
        <v>13</v>
      </c>
      <c r="J107" s="2" t="s">
        <v>14</v>
      </c>
      <c r="K107" s="2" t="s">
        <v>15</v>
      </c>
      <c r="L107" s="13" t="s">
        <v>16</v>
      </c>
      <c r="M107" s="13" t="s">
        <v>17</v>
      </c>
      <c r="N107" s="9" t="s">
        <v>18</v>
      </c>
      <c r="O107" s="13" t="s">
        <v>19</v>
      </c>
      <c r="P107" s="3" t="s">
        <v>20</v>
      </c>
      <c r="Q107" s="3" t="s">
        <v>21</v>
      </c>
      <c r="R107" s="3" t="s">
        <v>22</v>
      </c>
      <c r="S107" s="14" t="s">
        <v>23</v>
      </c>
      <c r="T107" s="14" t="s">
        <v>24</v>
      </c>
      <c r="U107" s="3" t="s">
        <v>25</v>
      </c>
      <c r="V107" s="14" t="s">
        <v>26</v>
      </c>
      <c r="W107" s="14" t="s">
        <v>27</v>
      </c>
      <c r="X107" s="3" t="s">
        <v>28</v>
      </c>
      <c r="Y107" s="14" t="s">
        <v>29</v>
      </c>
      <c r="Z107" s="3" t="s">
        <v>30</v>
      </c>
      <c r="AA107" s="15" t="s">
        <v>31</v>
      </c>
      <c r="AB107" s="15" t="s">
        <v>32</v>
      </c>
      <c r="AC107" s="16" t="s">
        <v>33</v>
      </c>
      <c r="AD107" s="17" t="s">
        <v>34</v>
      </c>
      <c r="AE107" s="18" t="s">
        <v>35</v>
      </c>
      <c r="AF107" s="18" t="s">
        <v>36</v>
      </c>
      <c r="AG107" s="18" t="s">
        <v>37</v>
      </c>
      <c r="AH107" s="18" t="s">
        <v>38</v>
      </c>
      <c r="AI107" s="18" t="s">
        <v>39</v>
      </c>
      <c r="AJ107" s="19" t="s">
        <v>40</v>
      </c>
      <c r="AK107" s="19" t="s">
        <v>41</v>
      </c>
      <c r="AL107" s="19" t="s">
        <v>42</v>
      </c>
      <c r="AM107" s="5"/>
    </row>
    <row r="108">
      <c r="A108" s="20" t="s">
        <v>68</v>
      </c>
      <c r="B108" s="21" t="s">
        <v>44</v>
      </c>
      <c r="C108" s="22" t="s">
        <v>45</v>
      </c>
      <c r="D108" s="23">
        <f t="shared" ref="D108:D111" si="54">E108+F108+G108+H108</f>
      </c>
      <c r="E108" s="39">
        <v>1220.22</v>
      </c>
      <c r="F108" s="26"/>
      <c r="G108" s="26">
        <v>998.27</v>
      </c>
      <c r="H108" s="43"/>
      <c r="I108" s="24">
        <v>1</v>
      </c>
      <c r="J108" s="25">
        <v>948</v>
      </c>
      <c r="K108" s="40">
        <v>0</v>
      </c>
      <c r="L108" s="40">
        <v>1</v>
      </c>
      <c r="M108" s="40">
        <v>0</v>
      </c>
      <c r="N108" s="29">
        <f t="shared" ref="N108:N118" si="8">J108/D108</f>
      </c>
      <c r="O108" s="29">
        <f t="shared" ref="O108:O118" si="263">J108/(D108+300*AL108)</f>
      </c>
      <c r="P108" s="30">
        <f t="shared" ref="P108:P118" si="225">(D108/AE108)*1000</f>
      </c>
      <c r="Q108" s="31">
        <f t="shared" ref="Q108:Q118" si="168">AF108/AE108</f>
      </c>
      <c r="R108" s="32">
        <f t="shared" ref="R108:R118" si="130">D108/AG108</f>
      </c>
      <c r="S108" s="31">
        <f t="shared" ref="S108:S118" si="187">AH108/AG108</f>
      </c>
      <c r="T108" s="31">
        <f t="shared" ref="T108:T118" si="111">AI108/AG108</f>
      </c>
      <c r="U108" s="32">
        <f t="shared" ref="U108:U118" si="92">D108/AI108</f>
      </c>
      <c r="V108" s="31">
        <f t="shared" ref="V108:V118" si="73">AJ108/AI108</f>
      </c>
      <c r="W108" s="31">
        <f t="shared" ref="W108:W118" si="27">I108/AJ108</f>
      </c>
      <c r="X108" s="32">
        <f t="shared" ref="X108:X118" si="282">D108/I108</f>
      </c>
      <c r="Y108" s="33">
        <f t="shared" ref="Y108:Y118" si="244">J108/I108</f>
      </c>
      <c r="Z108" s="32">
        <f t="shared" ref="Z108:Z118" si="206">D108/AD108</f>
      </c>
      <c r="AA108" s="34">
        <f t="shared" ref="AA108:AA118" si="149">AK108*1000/D108</f>
      </c>
      <c r="AB108" s="35" t="s">
        <v>46</v>
      </c>
      <c r="AC108" s="105" t="s">
        <v>64</v>
      </c>
      <c r="AD108" s="25">
        <v>1</v>
      </c>
      <c r="AE108" s="38">
        <v>6342</v>
      </c>
      <c r="AF108" s="21">
        <v>306</v>
      </c>
      <c r="AG108" s="26">
        <v>465</v>
      </c>
      <c r="AH108" s="26">
        <v>58</v>
      </c>
      <c r="AI108" s="21">
        <v>25</v>
      </c>
      <c r="AJ108" s="25">
        <v>5</v>
      </c>
      <c r="AK108" s="40">
        <v>26</v>
      </c>
      <c r="AL108" s="41">
        <v>1</v>
      </c>
      <c r="AM108" s="42"/>
    </row>
    <row r="109">
      <c r="A109" s="20"/>
      <c r="B109" s="43" t="s">
        <v>48</v>
      </c>
      <c r="C109" s="22" t="s">
        <v>45</v>
      </c>
      <c r="D109" s="26">
        <f t="shared" si="54"/>
      </c>
      <c r="E109" s="47">
        <v>1670.77</v>
      </c>
      <c r="F109" s="47"/>
      <c r="G109" s="21">
        <v>631.26</v>
      </c>
      <c r="H109" s="43"/>
      <c r="I109" s="48">
        <v>1</v>
      </c>
      <c r="J109" s="21">
        <v>2268</v>
      </c>
      <c r="K109" s="25">
        <v>0</v>
      </c>
      <c r="L109" s="40">
        <v>0</v>
      </c>
      <c r="M109" s="40">
        <v>1</v>
      </c>
      <c r="N109" s="29">
        <f t="shared" si="8"/>
      </c>
      <c r="O109" s="29">
        <f t="shared" si="263"/>
      </c>
      <c r="P109" s="30">
        <f t="shared" si="225"/>
      </c>
      <c r="Q109" s="31">
        <f t="shared" si="168"/>
      </c>
      <c r="R109" s="32">
        <f t="shared" si="130"/>
      </c>
      <c r="S109" s="31">
        <f t="shared" si="187"/>
      </c>
      <c r="T109" s="31">
        <f t="shared" si="111"/>
      </c>
      <c r="U109" s="32">
        <f t="shared" si="92"/>
      </c>
      <c r="V109" s="31">
        <f t="shared" si="73"/>
      </c>
      <c r="W109" s="31">
        <f t="shared" si="27"/>
      </c>
      <c r="X109" s="32">
        <f t="shared" si="282"/>
      </c>
      <c r="Y109" s="33">
        <f t="shared" si="244"/>
      </c>
      <c r="Z109" s="32">
        <f t="shared" si="206"/>
      </c>
      <c r="AA109" s="34">
        <f t="shared" si="149"/>
      </c>
      <c r="AB109" s="35" t="s">
        <v>46</v>
      </c>
      <c r="AC109" s="105" t="s">
        <v>64</v>
      </c>
      <c r="AD109" s="26">
        <v>1</v>
      </c>
      <c r="AE109" s="47">
        <v>6689</v>
      </c>
      <c r="AF109" s="47">
        <v>280</v>
      </c>
      <c r="AG109" s="48">
        <v>471</v>
      </c>
      <c r="AH109" s="21">
        <v>57</v>
      </c>
      <c r="AI109" s="21">
        <v>37</v>
      </c>
      <c r="AJ109" s="49">
        <v>4</v>
      </c>
      <c r="AK109" s="50">
        <v>7</v>
      </c>
      <c r="AL109" s="41">
        <v>1</v>
      </c>
      <c r="AM109" s="42"/>
    </row>
    <row r="110">
      <c r="A110" s="20"/>
      <c r="B110" s="43" t="s">
        <v>49</v>
      </c>
      <c r="C110" s="39" t="s">
        <v>45</v>
      </c>
      <c r="D110" s="26">
        <f t="shared" si="54"/>
      </c>
      <c r="E110" s="26">
        <v>1710.71</v>
      </c>
      <c r="F110" s="26"/>
      <c r="G110" s="21">
        <v>1016.91</v>
      </c>
      <c r="H110" s="21"/>
      <c r="I110" s="51">
        <v>3</v>
      </c>
      <c r="J110" s="51">
        <v>3136</v>
      </c>
      <c r="K110" s="51">
        <v>0</v>
      </c>
      <c r="L110" s="51">
        <v>1</v>
      </c>
      <c r="M110" s="51">
        <v>1</v>
      </c>
      <c r="N110" s="29">
        <f t="shared" si="8"/>
      </c>
      <c r="O110" s="29">
        <f t="shared" si="263"/>
      </c>
      <c r="P110" s="30">
        <f t="shared" si="225"/>
      </c>
      <c r="Q110" s="31">
        <f t="shared" si="168"/>
      </c>
      <c r="R110" s="32">
        <f t="shared" si="130"/>
      </c>
      <c r="S110" s="31">
        <f t="shared" si="187"/>
      </c>
      <c r="T110" s="31">
        <f t="shared" si="111"/>
      </c>
      <c r="U110" s="32">
        <f t="shared" si="92"/>
      </c>
      <c r="V110" s="31">
        <f t="shared" si="73"/>
      </c>
      <c r="W110" s="31">
        <f t="shared" si="27"/>
      </c>
      <c r="X110" s="32">
        <f t="shared" si="282"/>
      </c>
      <c r="Y110" s="33">
        <f t="shared" si="244"/>
      </c>
      <c r="Z110" s="32">
        <f t="shared" si="206"/>
      </c>
      <c r="AA110" s="34">
        <f t="shared" si="149"/>
      </c>
      <c r="AB110" s="35" t="s">
        <v>46</v>
      </c>
      <c r="AC110" s="105" t="s">
        <v>64</v>
      </c>
      <c r="AD110" s="25">
        <v>3</v>
      </c>
      <c r="AE110" s="26">
        <v>8072</v>
      </c>
      <c r="AF110" s="26">
        <v>334</v>
      </c>
      <c r="AG110" s="21">
        <v>527</v>
      </c>
      <c r="AH110" s="21">
        <v>70</v>
      </c>
      <c r="AI110" s="21">
        <v>24</v>
      </c>
      <c r="AJ110" s="49">
        <v>7</v>
      </c>
      <c r="AK110" s="50">
        <v>21</v>
      </c>
      <c r="AL110" s="41">
        <v>1</v>
      </c>
      <c r="AM110" s="42"/>
    </row>
    <row r="111">
      <c r="A111" s="20"/>
      <c r="B111" s="43" t="s">
        <v>50</v>
      </c>
      <c r="C111" s="48" t="s">
        <v>45</v>
      </c>
      <c r="D111" s="26">
        <f t="shared" si="54"/>
      </c>
      <c r="E111" s="26">
        <v>1985.25</v>
      </c>
      <c r="F111" s="26"/>
      <c r="G111" s="21">
        <v>1375.1</v>
      </c>
      <c r="H111" s="21"/>
      <c r="I111" s="40">
        <v>2</v>
      </c>
      <c r="J111" s="40">
        <v>3137</v>
      </c>
      <c r="K111" s="40">
        <v>0</v>
      </c>
      <c r="L111" s="40">
        <v>1</v>
      </c>
      <c r="M111" s="40">
        <v>1</v>
      </c>
      <c r="N111" s="29">
        <f t="shared" si="8"/>
      </c>
      <c r="O111" s="29">
        <f t="shared" si="263"/>
      </c>
      <c r="P111" s="30">
        <f t="shared" si="225"/>
      </c>
      <c r="Q111" s="31">
        <f t="shared" si="168"/>
      </c>
      <c r="R111" s="32">
        <f t="shared" si="130"/>
      </c>
      <c r="S111" s="31">
        <f t="shared" si="187"/>
      </c>
      <c r="T111" s="31">
        <f t="shared" si="111"/>
      </c>
      <c r="U111" s="32">
        <f t="shared" si="92"/>
      </c>
      <c r="V111" s="31">
        <f t="shared" si="73"/>
      </c>
      <c r="W111" s="31">
        <f t="shared" si="27"/>
      </c>
      <c r="X111" s="32">
        <f t="shared" si="282"/>
      </c>
      <c r="Y111" s="33">
        <f t="shared" si="244"/>
      </c>
      <c r="Z111" s="32">
        <f t="shared" si="206"/>
      </c>
      <c r="AA111" s="34">
        <f t="shared" si="149"/>
      </c>
      <c r="AB111" s="35" t="s">
        <v>46</v>
      </c>
      <c r="AC111" s="105" t="s">
        <v>64</v>
      </c>
      <c r="AD111" s="45">
        <v>1</v>
      </c>
      <c r="AE111" s="47">
        <v>11326</v>
      </c>
      <c r="AF111" s="21">
        <v>508</v>
      </c>
      <c r="AG111" s="21">
        <v>688</v>
      </c>
      <c r="AH111" s="21">
        <v>91</v>
      </c>
      <c r="AI111" s="21">
        <v>46</v>
      </c>
      <c r="AJ111" s="49">
        <v>5</v>
      </c>
      <c r="AK111" s="50">
        <v>24</v>
      </c>
      <c r="AL111" s="41">
        <v>1</v>
      </c>
      <c r="AM111" s="42"/>
    </row>
    <row r="112">
      <c r="A112" s="20"/>
      <c r="B112" s="53" t="s">
        <v>51</v>
      </c>
      <c r="C112" s="53"/>
      <c r="D112" s="53">
        <f>SUM(D108:D111)</f>
      </c>
      <c r="E112" s="53">
        <f>SUM(E108:E111)</f>
      </c>
      <c r="F112" s="53">
        <f>SUM(F108:F111)</f>
      </c>
      <c r="G112" s="53">
        <f>SUM(G108:G111)</f>
      </c>
      <c r="H112" s="53">
        <f>SUM(H108:H111)</f>
      </c>
      <c r="I112" s="53">
        <f>SUM(I108:I111)</f>
      </c>
      <c r="J112" s="53">
        <f>SUM(J108:J111)</f>
      </c>
      <c r="K112" s="53">
        <f>SUM(K108:K111)</f>
      </c>
      <c r="L112" s="53">
        <f>SUM(L108:L111)</f>
      </c>
      <c r="M112" s="53">
        <f>SUM(M108:M111)</f>
      </c>
      <c r="N112" s="54">
        <f t="shared" si="8"/>
      </c>
      <c r="O112" s="55">
        <f t="shared" si="263"/>
      </c>
      <c r="P112" s="56">
        <f t="shared" si="225"/>
      </c>
      <c r="Q112" s="57">
        <f t="shared" si="168"/>
      </c>
      <c r="R112" s="58">
        <f t="shared" si="130"/>
      </c>
      <c r="S112" s="57">
        <f t="shared" si="187"/>
      </c>
      <c r="T112" s="59">
        <f t="shared" si="111"/>
      </c>
      <c r="U112" s="60">
        <f t="shared" si="92"/>
      </c>
      <c r="V112" s="59">
        <f t="shared" si="73"/>
      </c>
      <c r="W112" s="59">
        <f t="shared" si="27"/>
      </c>
      <c r="X112" s="60">
        <f t="shared" si="282"/>
      </c>
      <c r="Y112" s="61">
        <f t="shared" si="244"/>
      </c>
      <c r="Z112" s="60">
        <f t="shared" si="206"/>
      </c>
      <c r="AA112" s="62">
        <f t="shared" si="149"/>
      </c>
      <c r="AB112" s="63"/>
      <c r="AC112" s="62"/>
      <c r="AD112" s="102">
        <f>SUM(AD108:AD111)</f>
      </c>
      <c r="AE112" s="66">
        <f>SUM(AE108:AE111)</f>
      </c>
      <c r="AF112" s="66">
        <f>SUM(AF108:AF111)</f>
      </c>
      <c r="AG112" s="66">
        <f>SUM(AG108:AG111)</f>
      </c>
      <c r="AH112" s="66">
        <f>SUM(AH108:AH111)</f>
      </c>
      <c r="AI112" s="66">
        <f>SUM(AI108:AI111)</f>
      </c>
      <c r="AJ112" s="66">
        <f>SUM(AJ108:AJ111)</f>
      </c>
      <c r="AK112" s="66">
        <f>SUM(AK108:AK111)</f>
      </c>
      <c r="AL112" s="66">
        <f>SUM(AL108:AL111)</f>
      </c>
      <c r="AM112" s="42"/>
    </row>
    <row r="113">
      <c r="A113" s="20"/>
      <c r="B113" s="48" t="s">
        <v>52</v>
      </c>
      <c r="C113" s="22" t="s">
        <v>53</v>
      </c>
      <c r="D113" s="21">
        <f t="shared" ref="D113:D116" si="293">E113+G113</f>
      </c>
      <c r="E113" s="21">
        <v>1330.99</v>
      </c>
      <c r="F113" s="26"/>
      <c r="G113" s="21">
        <v>1254.38</v>
      </c>
      <c r="H113" s="21"/>
      <c r="I113" s="40">
        <v>0</v>
      </c>
      <c r="J113" s="40">
        <v>0</v>
      </c>
      <c r="K113" s="40">
        <v>0</v>
      </c>
      <c r="L113" s="40">
        <v>0</v>
      </c>
      <c r="M113" s="67">
        <v>0</v>
      </c>
      <c r="N113" s="68">
        <f t="shared" si="8"/>
      </c>
      <c r="O113" s="29">
        <f t="shared" si="263"/>
      </c>
      <c r="P113" s="30">
        <f t="shared" si="225"/>
      </c>
      <c r="Q113" s="31">
        <f t="shared" si="168"/>
      </c>
      <c r="R113" s="32">
        <f t="shared" si="130"/>
      </c>
      <c r="S113" s="31">
        <f t="shared" si="187"/>
      </c>
      <c r="T113" s="73">
        <f t="shared" si="111"/>
      </c>
      <c r="U113" s="32">
        <f t="shared" si="92"/>
      </c>
      <c r="V113" s="31">
        <f t="shared" si="73"/>
      </c>
      <c r="W113" s="31">
        <f t="shared" si="27"/>
      </c>
      <c r="X113" s="32">
        <f t="shared" si="282"/>
      </c>
      <c r="Y113" s="33">
        <f t="shared" si="244"/>
      </c>
      <c r="Z113" s="32">
        <f t="shared" si="206"/>
      </c>
      <c r="AA113" s="34">
        <f t="shared" si="149"/>
      </c>
      <c r="AB113" s="35" t="s">
        <v>46</v>
      </c>
      <c r="AC113" s="98" t="s">
        <v>64</v>
      </c>
      <c r="AD113" s="26">
        <v>0</v>
      </c>
      <c r="AE113" s="74">
        <v>8798</v>
      </c>
      <c r="AF113" s="75">
        <v>370</v>
      </c>
      <c r="AG113" s="75">
        <v>667</v>
      </c>
      <c r="AH113" s="75">
        <v>79</v>
      </c>
      <c r="AI113" s="75">
        <v>28</v>
      </c>
      <c r="AJ113" s="41">
        <v>3</v>
      </c>
      <c r="AK113" s="41">
        <v>11</v>
      </c>
      <c r="AL113" s="41">
        <v>1</v>
      </c>
      <c r="AM113" s="42"/>
    </row>
    <row r="114">
      <c r="A114" s="20"/>
      <c r="B114" s="48" t="s">
        <v>54</v>
      </c>
      <c r="C114" s="22" t="s">
        <v>53</v>
      </c>
      <c r="D114" s="21">
        <f t="shared" si="293"/>
      </c>
      <c r="E114" s="21">
        <v>1927.39</v>
      </c>
      <c r="F114" s="26"/>
      <c r="G114" s="21">
        <v>1034.93</v>
      </c>
      <c r="H114" s="21"/>
      <c r="I114" s="40">
        <v>3</v>
      </c>
      <c r="J114" s="40">
        <v>5405</v>
      </c>
      <c r="K114" s="40">
        <v>0</v>
      </c>
      <c r="L114" s="40">
        <v>1</v>
      </c>
      <c r="M114" s="40">
        <v>2</v>
      </c>
      <c r="N114" s="68">
        <f t="shared" si="8"/>
      </c>
      <c r="O114" s="29">
        <f t="shared" si="263"/>
      </c>
      <c r="P114" s="30">
        <f t="shared" si="225"/>
      </c>
      <c r="Q114" s="31">
        <f t="shared" si="168"/>
      </c>
      <c r="R114" s="32">
        <f t="shared" si="130"/>
      </c>
      <c r="S114" s="31">
        <f t="shared" si="187"/>
      </c>
      <c r="T114" s="73">
        <f t="shared" si="111"/>
      </c>
      <c r="U114" s="32">
        <f t="shared" si="92"/>
      </c>
      <c r="V114" s="31">
        <f t="shared" si="73"/>
      </c>
      <c r="W114" s="31">
        <f t="shared" si="27"/>
      </c>
      <c r="X114" s="32">
        <f t="shared" si="282"/>
      </c>
      <c r="Y114" s="33">
        <f t="shared" si="244"/>
      </c>
      <c r="Z114" s="32">
        <f t="shared" si="206"/>
      </c>
      <c r="AA114" s="34">
        <f t="shared" si="149"/>
      </c>
      <c r="AB114" s="35" t="s">
        <v>46</v>
      </c>
      <c r="AC114" s="98" t="s">
        <v>64</v>
      </c>
      <c r="AD114" s="26">
        <v>3</v>
      </c>
      <c r="AE114" s="74">
        <v>8666</v>
      </c>
      <c r="AF114" s="75">
        <v>355</v>
      </c>
      <c r="AG114" s="75">
        <v>561</v>
      </c>
      <c r="AH114" s="75">
        <v>80</v>
      </c>
      <c r="AI114" s="75">
        <v>27</v>
      </c>
      <c r="AJ114" s="41">
        <v>8</v>
      </c>
      <c r="AK114" s="41">
        <v>21</v>
      </c>
      <c r="AL114" s="41">
        <v>1</v>
      </c>
      <c r="AM114" s="42"/>
    </row>
    <row r="115">
      <c r="A115" s="20"/>
      <c r="B115" s="21" t="s">
        <v>55</v>
      </c>
      <c r="C115" s="22" t="s">
        <v>53</v>
      </c>
      <c r="D115" s="21">
        <f t="shared" si="293"/>
      </c>
      <c r="E115" s="21">
        <v>1296.32</v>
      </c>
      <c r="F115" s="26"/>
      <c r="G115" s="21">
        <v>525.46</v>
      </c>
      <c r="H115" s="21"/>
      <c r="I115" s="40">
        <v>0</v>
      </c>
      <c r="J115" s="40">
        <v>0</v>
      </c>
      <c r="K115" s="40">
        <v>0</v>
      </c>
      <c r="L115" s="40">
        <v>0</v>
      </c>
      <c r="M115" s="40">
        <v>0</v>
      </c>
      <c r="N115" s="103">
        <f t="shared" si="8"/>
      </c>
      <c r="O115" s="29">
        <f t="shared" si="263"/>
      </c>
      <c r="P115" s="30">
        <f t="shared" si="225"/>
      </c>
      <c r="Q115" s="31">
        <f t="shared" si="168"/>
      </c>
      <c r="R115" s="32">
        <f t="shared" si="130"/>
      </c>
      <c r="S115" s="31">
        <f t="shared" si="187"/>
      </c>
      <c r="T115" s="73">
        <f t="shared" si="111"/>
      </c>
      <c r="U115" s="32">
        <f t="shared" si="92"/>
      </c>
      <c r="V115" s="31">
        <f t="shared" si="73"/>
      </c>
      <c r="W115" s="31">
        <f t="shared" si="27"/>
      </c>
      <c r="X115" s="32">
        <f t="shared" si="282"/>
      </c>
      <c r="Y115" s="33">
        <f t="shared" si="244"/>
      </c>
      <c r="Z115" s="32">
        <f t="shared" si="206"/>
      </c>
      <c r="AA115" s="34">
        <f t="shared" si="149"/>
      </c>
      <c r="AB115" s="35" t="s">
        <v>46</v>
      </c>
      <c r="AC115" s="98" t="s">
        <v>64</v>
      </c>
      <c r="AD115" s="26">
        <v>0</v>
      </c>
      <c r="AE115" s="74">
        <v>4532</v>
      </c>
      <c r="AF115" s="75">
        <v>176</v>
      </c>
      <c r="AG115" s="75">
        <v>335</v>
      </c>
      <c r="AH115" s="75">
        <v>40</v>
      </c>
      <c r="AI115" s="41">
        <v>9</v>
      </c>
      <c r="AJ115" s="41">
        <v>7</v>
      </c>
      <c r="AK115" s="41">
        <v>12</v>
      </c>
      <c r="AL115" s="41">
        <v>1</v>
      </c>
      <c r="AM115" s="42"/>
    </row>
    <row r="116">
      <c r="A116" s="20"/>
      <c r="B116" s="43" t="s">
        <v>56</v>
      </c>
      <c r="C116" s="21" t="s">
        <v>53</v>
      </c>
      <c r="D116" s="21">
        <f t="shared" si="293"/>
      </c>
      <c r="E116" s="21">
        <v>1207.04</v>
      </c>
      <c r="F116" s="26"/>
      <c r="G116" s="40">
        <v>572.11</v>
      </c>
      <c r="H116" s="21"/>
      <c r="I116" s="40">
        <v>2</v>
      </c>
      <c r="J116" s="40">
        <v>4536</v>
      </c>
      <c r="K116" s="40">
        <v>0</v>
      </c>
      <c r="L116" s="40">
        <v>0</v>
      </c>
      <c r="M116" s="40">
        <v>2</v>
      </c>
      <c r="N116" s="68">
        <f t="shared" si="8"/>
      </c>
      <c r="O116" s="29">
        <f t="shared" si="263"/>
      </c>
      <c r="P116" s="30">
        <f t="shared" si="225"/>
      </c>
      <c r="Q116" s="31">
        <f t="shared" si="168"/>
      </c>
      <c r="R116" s="32">
        <f t="shared" si="130"/>
      </c>
      <c r="S116" s="31">
        <f t="shared" si="187"/>
      </c>
      <c r="T116" s="73">
        <f t="shared" si="111"/>
      </c>
      <c r="U116" s="32">
        <f t="shared" si="92"/>
      </c>
      <c r="V116" s="31">
        <f t="shared" si="73"/>
      </c>
      <c r="W116" s="31">
        <f t="shared" si="27"/>
      </c>
      <c r="X116" s="32">
        <f t="shared" si="282"/>
      </c>
      <c r="Y116" s="33">
        <f t="shared" si="244"/>
      </c>
      <c r="Z116" s="32">
        <f t="shared" si="206"/>
      </c>
      <c r="AA116" s="34">
        <f t="shared" si="149"/>
      </c>
      <c r="AB116" s="35" t="s">
        <v>46</v>
      </c>
      <c r="AC116" s="98" t="s">
        <v>64</v>
      </c>
      <c r="AD116" s="26">
        <v>2</v>
      </c>
      <c r="AE116" s="74">
        <v>4217</v>
      </c>
      <c r="AF116" s="75">
        <v>196</v>
      </c>
      <c r="AG116" s="75">
        <v>365</v>
      </c>
      <c r="AH116" s="75">
        <v>50</v>
      </c>
      <c r="AI116" s="75">
        <v>23</v>
      </c>
      <c r="AJ116" s="41">
        <v>3</v>
      </c>
      <c r="AK116" s="41">
        <v>10</v>
      </c>
      <c r="AL116" s="41">
        <v>1</v>
      </c>
      <c r="AM116" s="42"/>
    </row>
    <row r="117">
      <c r="A117" s="20"/>
      <c r="B117" s="53" t="s">
        <v>51</v>
      </c>
      <c r="C117" s="53"/>
      <c r="D117" s="53">
        <f>SUM(D113:D116)</f>
      </c>
      <c r="E117" s="53">
        <f>SUM(E113:E116)</f>
      </c>
      <c r="F117" s="53">
        <f>SUM(F113:F116)</f>
      </c>
      <c r="G117" s="53">
        <f>SUM(G113:G116)</f>
      </c>
      <c r="H117" s="53">
        <f>SUM(H113:H116)</f>
      </c>
      <c r="I117" s="53">
        <f>SUM(I113:I116)</f>
      </c>
      <c r="J117" s="53">
        <f>SUM(J113:J116)</f>
      </c>
      <c r="K117" s="53">
        <f>SUM(K113:K116)</f>
      </c>
      <c r="L117" s="53">
        <f>SUM(L113:L116)</f>
      </c>
      <c r="M117" s="53">
        <f>SUM(M113:M116)</f>
      </c>
      <c r="N117" s="54">
        <f t="shared" si="8"/>
      </c>
      <c r="O117" s="81">
        <f t="shared" si="263"/>
      </c>
      <c r="P117" s="82">
        <f t="shared" si="225"/>
      </c>
      <c r="Q117" s="83">
        <f t="shared" si="168"/>
      </c>
      <c r="R117" s="84">
        <f t="shared" si="130"/>
      </c>
      <c r="S117" s="83">
        <f t="shared" si="187"/>
      </c>
      <c r="T117" s="59">
        <f t="shared" si="111"/>
      </c>
      <c r="U117" s="60">
        <f t="shared" si="92"/>
      </c>
      <c r="V117" s="59">
        <f t="shared" si="73"/>
      </c>
      <c r="W117" s="59">
        <f t="shared" si="27"/>
      </c>
      <c r="X117" s="60">
        <f t="shared" si="282"/>
      </c>
      <c r="Y117" s="61">
        <f t="shared" si="244"/>
      </c>
      <c r="Z117" s="60">
        <f t="shared" si="206"/>
      </c>
      <c r="AA117" s="62">
        <f t="shared" si="149"/>
      </c>
      <c r="AB117" s="63"/>
      <c r="AC117" s="62"/>
      <c r="AD117" s="85">
        <f>SUM(AD113:AD116)</f>
      </c>
      <c r="AE117" s="85">
        <f>SUM(AE113:AE116)</f>
      </c>
      <c r="AF117" s="85">
        <f>SUM(AF113:AF116)</f>
      </c>
      <c r="AG117" s="85">
        <f>SUM(AG113:AG116)</f>
      </c>
      <c r="AH117" s="85">
        <f>SUM(AH113:AH116)</f>
      </c>
      <c r="AI117" s="85">
        <f>SUM(AI113:AI116)</f>
      </c>
      <c r="AJ117" s="85">
        <f>SUM(AJ113:AJ116)</f>
      </c>
      <c r="AK117" s="85">
        <f>SUM(AK113:AK116)</f>
      </c>
      <c r="AL117" s="85">
        <f>SUM(AL113:AL116)</f>
      </c>
      <c r="AM117" s="104" t="s">
        <v>57</v>
      </c>
    </row>
    <row r="118">
      <c r="A118" s="20"/>
      <c r="B118" s="88" t="s">
        <v>58</v>
      </c>
      <c r="C118" s="88"/>
      <c r="D118" s="88">
        <f>D112+D117</f>
      </c>
      <c r="E118" s="88">
        <f>E112+E117</f>
      </c>
      <c r="F118" s="88">
        <f>F112+F117</f>
      </c>
      <c r="G118" s="88">
        <f>G112+G117</f>
      </c>
      <c r="H118" s="88">
        <f>H112+H117</f>
      </c>
      <c r="I118" s="88">
        <f>I112+I117</f>
      </c>
      <c r="J118" s="88">
        <f>J112+J117</f>
      </c>
      <c r="K118" s="88">
        <f>K112+K117</f>
      </c>
      <c r="L118" s="88">
        <f>L112+L117</f>
      </c>
      <c r="M118" s="88">
        <f>M112+M117</f>
      </c>
      <c r="N118" s="89">
        <f t="shared" si="8"/>
      </c>
      <c r="O118" s="90">
        <f t="shared" si="263"/>
      </c>
      <c r="P118" s="91">
        <f t="shared" si="225"/>
      </c>
      <c r="Q118" s="92">
        <f t="shared" si="168"/>
      </c>
      <c r="R118" s="90">
        <f t="shared" si="130"/>
      </c>
      <c r="S118" s="92">
        <f t="shared" si="187"/>
      </c>
      <c r="T118" s="92">
        <f t="shared" si="111"/>
      </c>
      <c r="U118" s="90">
        <f t="shared" si="92"/>
      </c>
      <c r="V118" s="92">
        <f t="shared" si="73"/>
      </c>
      <c r="W118" s="92">
        <f t="shared" si="27"/>
      </c>
      <c r="X118" s="90">
        <f t="shared" si="282"/>
      </c>
      <c r="Y118" s="93">
        <f t="shared" si="244"/>
      </c>
      <c r="Z118" s="90">
        <f t="shared" si="206"/>
      </c>
      <c r="AA118" s="91">
        <f t="shared" si="149"/>
      </c>
      <c r="AB118" s="94"/>
      <c r="AC118" s="91"/>
      <c r="AD118" s="96">
        <f>AD112+AD117</f>
      </c>
      <c r="AE118" s="96">
        <f>AE112+AE117</f>
      </c>
      <c r="AF118" s="96">
        <f>AF112+AF117</f>
      </c>
      <c r="AG118" s="96">
        <f>AG112+AG117</f>
      </c>
      <c r="AH118" s="96">
        <f>AH112+AH117</f>
      </c>
      <c r="AI118" s="96">
        <f>AI112+AI117</f>
      </c>
      <c r="AJ118" s="96">
        <f>AJ112+AJ117</f>
      </c>
      <c r="AK118" s="96">
        <f>AK112+AK117</f>
      </c>
      <c r="AL118" s="96">
        <f>AL112+AL117</f>
      </c>
      <c r="AM118" s="104"/>
    </row>
    <row r="119">
      <c r="A119" s="1" t="s">
        <v>1</v>
      </c>
      <c r="B119" s="1"/>
      <c r="C119" s="1"/>
      <c r="D119" s="2" t="s">
        <v>2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 t="s">
        <v>3</v>
      </c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4" t="s">
        <v>4</v>
      </c>
      <c r="AE119" s="4"/>
      <c r="AF119" s="4"/>
      <c r="AG119" s="4"/>
      <c r="AH119" s="4"/>
      <c r="AI119" s="4"/>
      <c r="AJ119" s="4"/>
      <c r="AK119" s="4"/>
      <c r="AL119" s="4"/>
      <c r="AM119" s="5"/>
    </row>
    <row r="120">
      <c r="A120" s="1" t="s">
        <v>5</v>
      </c>
      <c r="B120" s="6" t="s">
        <v>6</v>
      </c>
      <c r="C120" s="6" t="s">
        <v>7</v>
      </c>
      <c r="D120" s="7" t="s">
        <v>8</v>
      </c>
      <c r="E120" s="8" t="s">
        <v>9</v>
      </c>
      <c r="F120" s="8" t="s">
        <v>10</v>
      </c>
      <c r="G120" s="9" t="s">
        <v>11</v>
      </c>
      <c r="H120" s="10" t="s">
        <v>12</v>
      </c>
      <c r="I120" s="97" t="s">
        <v>13</v>
      </c>
      <c r="J120" s="2" t="s">
        <v>14</v>
      </c>
      <c r="K120" s="2" t="s">
        <v>15</v>
      </c>
      <c r="L120" s="13" t="s">
        <v>16</v>
      </c>
      <c r="M120" s="13" t="s">
        <v>17</v>
      </c>
      <c r="N120" s="9" t="s">
        <v>18</v>
      </c>
      <c r="O120" s="13" t="s">
        <v>19</v>
      </c>
      <c r="P120" s="3" t="s">
        <v>20</v>
      </c>
      <c r="Q120" s="3" t="s">
        <v>21</v>
      </c>
      <c r="R120" s="3" t="s">
        <v>22</v>
      </c>
      <c r="S120" s="14" t="s">
        <v>23</v>
      </c>
      <c r="T120" s="14" t="s">
        <v>24</v>
      </c>
      <c r="U120" s="3" t="s">
        <v>25</v>
      </c>
      <c r="V120" s="14" t="s">
        <v>26</v>
      </c>
      <c r="W120" s="14" t="s">
        <v>27</v>
      </c>
      <c r="X120" s="3" t="s">
        <v>28</v>
      </c>
      <c r="Y120" s="14" t="s">
        <v>29</v>
      </c>
      <c r="Z120" s="3" t="s">
        <v>30</v>
      </c>
      <c r="AA120" s="15" t="s">
        <v>31</v>
      </c>
      <c r="AB120" s="15" t="s">
        <v>32</v>
      </c>
      <c r="AC120" s="16" t="s">
        <v>33</v>
      </c>
      <c r="AD120" s="17" t="s">
        <v>34</v>
      </c>
      <c r="AE120" s="18" t="s">
        <v>35</v>
      </c>
      <c r="AF120" s="18" t="s">
        <v>36</v>
      </c>
      <c r="AG120" s="18" t="s">
        <v>37</v>
      </c>
      <c r="AH120" s="18" t="s">
        <v>38</v>
      </c>
      <c r="AI120" s="18" t="s">
        <v>39</v>
      </c>
      <c r="AJ120" s="19" t="s">
        <v>40</v>
      </c>
      <c r="AK120" s="19" t="s">
        <v>41</v>
      </c>
      <c r="AL120" s="19" t="s">
        <v>42</v>
      </c>
      <c r="AM120" s="5"/>
    </row>
    <row r="121">
      <c r="A121" s="20" t="s">
        <v>69</v>
      </c>
      <c r="B121" s="21" t="s">
        <v>44</v>
      </c>
      <c r="C121" s="22" t="s">
        <v>45</v>
      </c>
      <c r="D121" s="23">
        <f t="shared" ref="D121:D124" si="55">E121+F121+G121+H121</f>
      </c>
      <c r="E121" s="39">
        <v>1597.48</v>
      </c>
      <c r="F121" s="26"/>
      <c r="G121" s="26">
        <v>1361.72</v>
      </c>
      <c r="H121" s="43"/>
      <c r="I121" s="24">
        <v>2</v>
      </c>
      <c r="J121" s="25">
        <v>4536</v>
      </c>
      <c r="K121" s="40">
        <v>0</v>
      </c>
      <c r="L121" s="40">
        <v>0</v>
      </c>
      <c r="M121" s="40">
        <v>2</v>
      </c>
      <c r="N121" s="29">
        <f t="shared" ref="N121:N131" si="9">J121/D121</f>
      </c>
      <c r="O121" s="29">
        <f t="shared" ref="O121:O131" si="264">J121/(D121+300*AL121)</f>
      </c>
      <c r="P121" s="30">
        <f t="shared" ref="P121:P131" si="226">(D121/AE121)*1000</f>
      </c>
      <c r="Q121" s="31">
        <f t="shared" ref="Q121:Q131" si="169">AF121/AE121</f>
      </c>
      <c r="R121" s="32">
        <f t="shared" ref="R121:R131" si="131">D121/AG121</f>
      </c>
      <c r="S121" s="31">
        <f t="shared" ref="S121:S131" si="188">AH121/AG121</f>
      </c>
      <c r="T121" s="31">
        <f t="shared" ref="T121:T131" si="112">AI121/AG121</f>
      </c>
      <c r="U121" s="32">
        <f t="shared" ref="U121:U131" si="93">D121/AI121</f>
      </c>
      <c r="V121" s="31">
        <f t="shared" ref="V121:V131" si="74">AJ121/AI121</f>
      </c>
      <c r="W121" s="31">
        <f t="shared" ref="W121:W131" si="28">I121/AJ121</f>
      </c>
      <c r="X121" s="32">
        <f t="shared" ref="X121:X131" si="283">D121/I121</f>
      </c>
      <c r="Y121" s="33">
        <f t="shared" ref="Y121:Y131" si="245">J121/I121</f>
      </c>
      <c r="Z121" s="32">
        <f t="shared" ref="Z121:Z131" si="207">D121/AD121</f>
      </c>
      <c r="AA121" s="34">
        <f t="shared" ref="AA121:AA131" si="150">AK121*1000/D121</f>
      </c>
      <c r="AB121" s="35" t="s">
        <v>46</v>
      </c>
      <c r="AC121" s="105" t="s">
        <v>47</v>
      </c>
      <c r="AD121" s="25">
        <v>1</v>
      </c>
      <c r="AE121" s="38">
        <v>7876</v>
      </c>
      <c r="AF121" s="21">
        <v>370</v>
      </c>
      <c r="AG121" s="26">
        <v>545</v>
      </c>
      <c r="AH121" s="26">
        <v>85</v>
      </c>
      <c r="AI121" s="21">
        <v>31</v>
      </c>
      <c r="AJ121" s="25">
        <v>3</v>
      </c>
      <c r="AK121" s="40">
        <v>24</v>
      </c>
      <c r="AL121" s="41">
        <v>1</v>
      </c>
      <c r="AM121" s="42"/>
    </row>
    <row r="122">
      <c r="A122" s="20"/>
      <c r="B122" s="43" t="s">
        <v>48</v>
      </c>
      <c r="C122" s="39" t="s">
        <v>45</v>
      </c>
      <c r="D122" s="26">
        <f t="shared" si="55"/>
      </c>
      <c r="E122" s="47">
        <v>1744.44</v>
      </c>
      <c r="F122" s="47"/>
      <c r="G122" s="21">
        <v>1411.82</v>
      </c>
      <c r="H122" s="43"/>
      <c r="I122" s="48">
        <v>5</v>
      </c>
      <c r="J122" s="21">
        <v>10020</v>
      </c>
      <c r="K122" s="25">
        <v>0</v>
      </c>
      <c r="L122" s="40">
        <v>1</v>
      </c>
      <c r="M122" s="40">
        <v>4</v>
      </c>
      <c r="N122" s="29">
        <f t="shared" si="9"/>
      </c>
      <c r="O122" s="29">
        <f t="shared" si="264"/>
      </c>
      <c r="P122" s="30">
        <f t="shared" si="226"/>
      </c>
      <c r="Q122" s="31">
        <f t="shared" si="169"/>
      </c>
      <c r="R122" s="32">
        <f t="shared" si="131"/>
      </c>
      <c r="S122" s="31">
        <f t="shared" si="188"/>
      </c>
      <c r="T122" s="31">
        <f t="shared" si="112"/>
      </c>
      <c r="U122" s="32">
        <f t="shared" si="93"/>
      </c>
      <c r="V122" s="31">
        <f t="shared" si="74"/>
      </c>
      <c r="W122" s="31">
        <f t="shared" si="28"/>
      </c>
      <c r="X122" s="32">
        <f t="shared" si="283"/>
      </c>
      <c r="Y122" s="33">
        <f t="shared" si="245"/>
      </c>
      <c r="Z122" s="32">
        <f t="shared" si="207"/>
      </c>
      <c r="AA122" s="34">
        <f t="shared" si="150"/>
      </c>
      <c r="AB122" s="35" t="s">
        <v>46</v>
      </c>
      <c r="AC122" s="105" t="s">
        <v>47</v>
      </c>
      <c r="AD122" s="26">
        <v>3</v>
      </c>
      <c r="AE122" s="47">
        <v>7708</v>
      </c>
      <c r="AF122" s="47">
        <v>347</v>
      </c>
      <c r="AG122" s="48">
        <v>546</v>
      </c>
      <c r="AH122" s="21">
        <v>75</v>
      </c>
      <c r="AI122" s="21">
        <v>32</v>
      </c>
      <c r="AJ122" s="49">
        <v>8</v>
      </c>
      <c r="AK122" s="50">
        <v>19</v>
      </c>
      <c r="AL122" s="41">
        <v>1</v>
      </c>
      <c r="AM122" s="42"/>
    </row>
    <row r="123">
      <c r="A123" s="20"/>
      <c r="B123" s="43" t="s">
        <v>49</v>
      </c>
      <c r="C123" s="106" t="s">
        <v>45</v>
      </c>
      <c r="D123" s="26">
        <f t="shared" si="55"/>
      </c>
      <c r="E123" s="26">
        <v>1870.56</v>
      </c>
      <c r="F123" s="26"/>
      <c r="G123" s="21">
        <v>868.77</v>
      </c>
      <c r="H123" s="21"/>
      <c r="I123" s="51">
        <v>3</v>
      </c>
      <c r="J123" s="51">
        <v>2844</v>
      </c>
      <c r="K123" s="51">
        <v>0</v>
      </c>
      <c r="L123" s="51">
        <v>3</v>
      </c>
      <c r="M123" s="51">
        <v>0</v>
      </c>
      <c r="N123" s="29">
        <f t="shared" si="9"/>
      </c>
      <c r="O123" s="29">
        <f t="shared" si="264"/>
      </c>
      <c r="P123" s="30">
        <f t="shared" si="226"/>
      </c>
      <c r="Q123" s="31">
        <f t="shared" si="169"/>
      </c>
      <c r="R123" s="32">
        <f t="shared" si="131"/>
      </c>
      <c r="S123" s="31">
        <f t="shared" si="188"/>
      </c>
      <c r="T123" s="31">
        <f t="shared" si="112"/>
      </c>
      <c r="U123" s="32">
        <f t="shared" si="93"/>
      </c>
      <c r="V123" s="31">
        <f t="shared" si="74"/>
      </c>
      <c r="W123" s="31">
        <f t="shared" si="28"/>
      </c>
      <c r="X123" s="32">
        <f t="shared" si="283"/>
      </c>
      <c r="Y123" s="33">
        <f t="shared" si="245"/>
      </c>
      <c r="Z123" s="32">
        <f t="shared" si="207"/>
      </c>
      <c r="AA123" s="34">
        <f t="shared" si="150"/>
      </c>
      <c r="AB123" s="35" t="s">
        <v>46</v>
      </c>
      <c r="AC123" s="105" t="s">
        <v>47</v>
      </c>
      <c r="AD123" s="25">
        <v>2</v>
      </c>
      <c r="AE123" s="26">
        <v>6928</v>
      </c>
      <c r="AF123" s="26">
        <v>220</v>
      </c>
      <c r="AG123" s="21">
        <v>372</v>
      </c>
      <c r="AH123" s="21">
        <v>63</v>
      </c>
      <c r="AI123" s="21">
        <v>14</v>
      </c>
      <c r="AJ123" s="49">
        <v>7</v>
      </c>
      <c r="AK123" s="50">
        <v>11</v>
      </c>
      <c r="AL123" s="41">
        <v>1</v>
      </c>
      <c r="AM123" s="42"/>
    </row>
    <row r="124">
      <c r="A124" s="20"/>
      <c r="B124" s="43" t="s">
        <v>50</v>
      </c>
      <c r="C124" s="48" t="s">
        <v>45</v>
      </c>
      <c r="D124" s="26">
        <f t="shared" si="55"/>
      </c>
      <c r="E124" s="26">
        <v>1689.77</v>
      </c>
      <c r="F124" s="26"/>
      <c r="G124" s="21">
        <v>1016.9</v>
      </c>
      <c r="H124" s="21"/>
      <c r="I124" s="40">
        <v>2</v>
      </c>
      <c r="J124" s="40">
        <v>4536</v>
      </c>
      <c r="K124" s="40">
        <v>0</v>
      </c>
      <c r="L124" s="40">
        <v>0</v>
      </c>
      <c r="M124" s="40">
        <v>2</v>
      </c>
      <c r="N124" s="29">
        <f t="shared" si="9"/>
      </c>
      <c r="O124" s="29">
        <f t="shared" si="264"/>
      </c>
      <c r="P124" s="30">
        <f t="shared" si="226"/>
      </c>
      <c r="Q124" s="31">
        <f t="shared" si="169"/>
      </c>
      <c r="R124" s="32">
        <f t="shared" si="131"/>
      </c>
      <c r="S124" s="31">
        <f t="shared" si="188"/>
      </c>
      <c r="T124" s="31">
        <f t="shared" si="112"/>
      </c>
      <c r="U124" s="32">
        <f t="shared" si="93"/>
      </c>
      <c r="V124" s="31">
        <f t="shared" si="74"/>
      </c>
      <c r="W124" s="31">
        <f t="shared" si="28"/>
      </c>
      <c r="X124" s="32">
        <f t="shared" si="283"/>
      </c>
      <c r="Y124" s="33">
        <f t="shared" si="245"/>
      </c>
      <c r="Z124" s="32">
        <f t="shared" si="207"/>
      </c>
      <c r="AA124" s="34">
        <f t="shared" si="150"/>
      </c>
      <c r="AB124" s="35" t="s">
        <v>46</v>
      </c>
      <c r="AC124" s="105" t="s">
        <v>47</v>
      </c>
      <c r="AD124" s="45">
        <v>1</v>
      </c>
      <c r="AE124" s="47">
        <v>7138</v>
      </c>
      <c r="AF124" s="21">
        <v>310</v>
      </c>
      <c r="AG124" s="21">
        <v>464</v>
      </c>
      <c r="AH124" s="21">
        <v>51</v>
      </c>
      <c r="AI124" s="21">
        <v>28</v>
      </c>
      <c r="AJ124" s="49">
        <v>5</v>
      </c>
      <c r="AK124" s="50">
        <v>14</v>
      </c>
      <c r="AL124" s="41">
        <v>1</v>
      </c>
      <c r="AM124" s="42"/>
    </row>
    <row r="125">
      <c r="A125" s="20"/>
      <c r="B125" s="53" t="s">
        <v>51</v>
      </c>
      <c r="C125" s="53"/>
      <c r="D125" s="53">
        <f>SUM(D121:D124)</f>
      </c>
      <c r="E125" s="53">
        <f>SUM(E121:E124)</f>
      </c>
      <c r="F125" s="53">
        <f>SUM(F121:F124)</f>
      </c>
      <c r="G125" s="53">
        <f>SUM(G121:G124)</f>
      </c>
      <c r="H125" s="53">
        <f>SUM(H121:H124)</f>
      </c>
      <c r="I125" s="53">
        <f>SUM(I121:I124)</f>
      </c>
      <c r="J125" s="53">
        <f>SUM(J121:J124)</f>
      </c>
      <c r="K125" s="53">
        <f>SUM(K121:K124)</f>
      </c>
      <c r="L125" s="53">
        <f>SUM(L121:L124)</f>
      </c>
      <c r="M125" s="53">
        <f>SUM(M121:M124)</f>
      </c>
      <c r="N125" s="54">
        <f t="shared" si="9"/>
      </c>
      <c r="O125" s="55">
        <f t="shared" si="264"/>
      </c>
      <c r="P125" s="56">
        <f t="shared" si="226"/>
      </c>
      <c r="Q125" s="57">
        <f t="shared" si="169"/>
      </c>
      <c r="R125" s="58">
        <f t="shared" si="131"/>
      </c>
      <c r="S125" s="57">
        <f t="shared" si="188"/>
      </c>
      <c r="T125" s="59">
        <f t="shared" si="112"/>
      </c>
      <c r="U125" s="60">
        <f t="shared" si="93"/>
      </c>
      <c r="V125" s="59">
        <f t="shared" si="74"/>
      </c>
      <c r="W125" s="59">
        <f t="shared" si="28"/>
      </c>
      <c r="X125" s="60">
        <f t="shared" si="283"/>
      </c>
      <c r="Y125" s="61">
        <f t="shared" si="245"/>
      </c>
      <c r="Z125" s="60">
        <f t="shared" si="207"/>
      </c>
      <c r="AA125" s="62">
        <f t="shared" si="150"/>
      </c>
      <c r="AB125" s="63"/>
      <c r="AC125" s="62"/>
      <c r="AD125" s="102">
        <f>SUM(AD121:AD124)</f>
      </c>
      <c r="AE125" s="66">
        <f>SUM(AE121:AE124)</f>
      </c>
      <c r="AF125" s="66">
        <f>SUM(AF121:AF124)</f>
      </c>
      <c r="AG125" s="66">
        <f>SUM(AG121:AG124)</f>
      </c>
      <c r="AH125" s="66">
        <f>SUM(AH121:AH124)</f>
      </c>
      <c r="AI125" s="66">
        <f>SUM(AI121:AI124)</f>
      </c>
      <c r="AJ125" s="66">
        <f>SUM(AJ121:AJ124)</f>
      </c>
      <c r="AK125" s="66">
        <f>SUM(AK121:AK124)</f>
      </c>
      <c r="AL125" s="66">
        <f>SUM(AL121:AL124)</f>
      </c>
      <c r="AM125" s="42"/>
    </row>
    <row r="126">
      <c r="A126" s="20"/>
      <c r="B126" s="48" t="s">
        <v>52</v>
      </c>
      <c r="C126" s="22" t="s">
        <v>53</v>
      </c>
      <c r="D126" s="21">
        <f t="shared" ref="D126:D129" si="294">E126+G126</f>
      </c>
      <c r="E126" s="21">
        <v>1650.64</v>
      </c>
      <c r="F126" s="26"/>
      <c r="G126" s="21">
        <v>1500.19</v>
      </c>
      <c r="H126" s="21"/>
      <c r="I126" s="40">
        <v>2</v>
      </c>
      <c r="J126" s="40">
        <v>4536</v>
      </c>
      <c r="K126" s="40">
        <v>0</v>
      </c>
      <c r="L126" s="40">
        <v>0</v>
      </c>
      <c r="M126" s="67">
        <v>2</v>
      </c>
      <c r="N126" s="68">
        <f t="shared" si="9"/>
      </c>
      <c r="O126" s="29">
        <f t="shared" si="264"/>
      </c>
      <c r="P126" s="30">
        <f t="shared" si="226"/>
      </c>
      <c r="Q126" s="31">
        <f t="shared" si="169"/>
      </c>
      <c r="R126" s="32">
        <f t="shared" si="131"/>
      </c>
      <c r="S126" s="31">
        <f t="shared" si="188"/>
      </c>
      <c r="T126" s="73">
        <f t="shared" si="112"/>
      </c>
      <c r="U126" s="32">
        <f t="shared" si="93"/>
      </c>
      <c r="V126" s="31">
        <f t="shared" si="74"/>
      </c>
      <c r="W126" s="31">
        <f t="shared" si="28"/>
      </c>
      <c r="X126" s="32">
        <f t="shared" si="283"/>
      </c>
      <c r="Y126" s="33">
        <f t="shared" si="245"/>
      </c>
      <c r="Z126" s="32">
        <f t="shared" si="207"/>
      </c>
      <c r="AA126" s="34">
        <f t="shared" si="150"/>
      </c>
      <c r="AB126" s="35" t="s">
        <v>46</v>
      </c>
      <c r="AC126" s="105" t="s">
        <v>47</v>
      </c>
      <c r="AD126" s="26">
        <v>2</v>
      </c>
      <c r="AE126" s="74">
        <v>9999</v>
      </c>
      <c r="AF126" s="75">
        <v>442</v>
      </c>
      <c r="AG126" s="75">
        <v>620</v>
      </c>
      <c r="AH126" s="75">
        <v>75</v>
      </c>
      <c r="AI126" s="75">
        <v>37</v>
      </c>
      <c r="AJ126" s="41">
        <v>6</v>
      </c>
      <c r="AK126" s="41">
        <v>17</v>
      </c>
      <c r="AL126" s="41">
        <v>1</v>
      </c>
      <c r="AM126" s="42"/>
    </row>
    <row r="127">
      <c r="A127" s="20"/>
      <c r="B127" s="48" t="s">
        <v>54</v>
      </c>
      <c r="C127" s="22" t="s">
        <v>53</v>
      </c>
      <c r="D127" s="21">
        <f t="shared" si="294"/>
      </c>
      <c r="E127" s="21">
        <v>2834.56</v>
      </c>
      <c r="F127" s="26"/>
      <c r="G127" s="21">
        <v>705.83</v>
      </c>
      <c r="H127" s="21"/>
      <c r="I127" s="40">
        <v>4</v>
      </c>
      <c r="J127" s="40">
        <v>9072</v>
      </c>
      <c r="K127" s="40">
        <v>0</v>
      </c>
      <c r="L127" s="40">
        <v>0</v>
      </c>
      <c r="M127" s="40">
        <v>4</v>
      </c>
      <c r="N127" s="68">
        <f t="shared" si="9"/>
      </c>
      <c r="O127" s="29">
        <f t="shared" si="264"/>
      </c>
      <c r="P127" s="30">
        <f t="shared" si="226"/>
      </c>
      <c r="Q127" s="31">
        <f t="shared" si="169"/>
      </c>
      <c r="R127" s="32">
        <f t="shared" si="131"/>
      </c>
      <c r="S127" s="31">
        <f t="shared" si="188"/>
      </c>
      <c r="T127" s="73">
        <f t="shared" si="112"/>
      </c>
      <c r="U127" s="32">
        <f t="shared" si="93"/>
      </c>
      <c r="V127" s="31">
        <f t="shared" si="74"/>
      </c>
      <c r="W127" s="31">
        <f t="shared" si="28"/>
      </c>
      <c r="X127" s="32">
        <f t="shared" si="283"/>
      </c>
      <c r="Y127" s="33">
        <f t="shared" si="245"/>
      </c>
      <c r="Z127" s="32">
        <f t="shared" si="207"/>
      </c>
      <c r="AA127" s="34">
        <f t="shared" si="150"/>
      </c>
      <c r="AB127" s="35" t="s">
        <v>46</v>
      </c>
      <c r="AC127" s="105" t="s">
        <v>47</v>
      </c>
      <c r="AD127" s="26">
        <v>4</v>
      </c>
      <c r="AE127" s="74">
        <v>9122</v>
      </c>
      <c r="AF127" s="75">
        <v>344</v>
      </c>
      <c r="AG127" s="75">
        <v>566</v>
      </c>
      <c r="AH127" s="75">
        <v>96</v>
      </c>
      <c r="AI127" s="75">
        <v>26</v>
      </c>
      <c r="AJ127" s="41">
        <v>8</v>
      </c>
      <c r="AK127" s="41">
        <v>30</v>
      </c>
      <c r="AL127" s="41">
        <v>1</v>
      </c>
      <c r="AM127" s="42"/>
    </row>
    <row r="128">
      <c r="A128" s="20"/>
      <c r="B128" s="21" t="s">
        <v>55</v>
      </c>
      <c r="C128" s="22" t="s">
        <v>53</v>
      </c>
      <c r="D128" s="21">
        <f t="shared" si="294"/>
      </c>
      <c r="E128" s="21">
        <v>3667.99</v>
      </c>
      <c r="F128" s="26"/>
      <c r="G128" s="21">
        <v>495.87</v>
      </c>
      <c r="H128" s="21"/>
      <c r="I128" s="40">
        <v>3</v>
      </c>
      <c r="J128" s="40">
        <v>6804</v>
      </c>
      <c r="K128" s="40">
        <v>0</v>
      </c>
      <c r="L128" s="40">
        <v>0</v>
      </c>
      <c r="M128" s="40">
        <v>3</v>
      </c>
      <c r="N128" s="103">
        <f t="shared" si="9"/>
      </c>
      <c r="O128" s="29">
        <f t="shared" si="264"/>
      </c>
      <c r="P128" s="30">
        <f t="shared" si="226"/>
      </c>
      <c r="Q128" s="31">
        <f t="shared" si="169"/>
      </c>
      <c r="R128" s="32">
        <f t="shared" si="131"/>
      </c>
      <c r="S128" s="31">
        <f t="shared" si="188"/>
      </c>
      <c r="T128" s="73">
        <f t="shared" si="112"/>
      </c>
      <c r="U128" s="32">
        <f t="shared" si="93"/>
      </c>
      <c r="V128" s="31">
        <f t="shared" si="74"/>
      </c>
      <c r="W128" s="31">
        <f t="shared" si="28"/>
      </c>
      <c r="X128" s="32">
        <f t="shared" si="283"/>
      </c>
      <c r="Y128" s="33">
        <f t="shared" si="245"/>
      </c>
      <c r="Z128" s="32">
        <f t="shared" si="207"/>
      </c>
      <c r="AA128" s="34">
        <f t="shared" si="150"/>
      </c>
      <c r="AB128" s="35" t="s">
        <v>46</v>
      </c>
      <c r="AC128" s="105" t="s">
        <v>47</v>
      </c>
      <c r="AD128" s="26">
        <v>4</v>
      </c>
      <c r="AE128" s="74">
        <v>11847</v>
      </c>
      <c r="AF128" s="75">
        <v>338</v>
      </c>
      <c r="AG128" s="75">
        <v>657</v>
      </c>
      <c r="AH128" s="75">
        <v>86</v>
      </c>
      <c r="AI128" s="41">
        <v>21</v>
      </c>
      <c r="AJ128" s="41">
        <v>9</v>
      </c>
      <c r="AK128" s="41">
        <v>17</v>
      </c>
      <c r="AL128" s="41">
        <v>1</v>
      </c>
      <c r="AM128" s="42"/>
    </row>
    <row r="129">
      <c r="A129" s="20"/>
      <c r="B129" s="43" t="s">
        <v>56</v>
      </c>
      <c r="C129" s="21" t="s">
        <v>53</v>
      </c>
      <c r="D129" s="21">
        <f t="shared" si="294"/>
      </c>
      <c r="E129" s="21">
        <v>2804.89</v>
      </c>
      <c r="F129" s="26"/>
      <c r="G129" s="21">
        <v>255.9</v>
      </c>
      <c r="H129" s="21"/>
      <c r="I129" s="40">
        <v>3</v>
      </c>
      <c r="J129" s="40">
        <v>6804</v>
      </c>
      <c r="K129" s="40">
        <v>0</v>
      </c>
      <c r="L129" s="40">
        <v>0</v>
      </c>
      <c r="M129" s="40">
        <v>3</v>
      </c>
      <c r="N129" s="68">
        <f t="shared" si="9"/>
      </c>
      <c r="O129" s="29">
        <f t="shared" si="264"/>
      </c>
      <c r="P129" s="30">
        <f t="shared" si="226"/>
      </c>
      <c r="Q129" s="31">
        <f t="shared" si="169"/>
      </c>
      <c r="R129" s="32">
        <f t="shared" si="131"/>
      </c>
      <c r="S129" s="31">
        <f t="shared" si="188"/>
      </c>
      <c r="T129" s="73">
        <f t="shared" si="112"/>
      </c>
      <c r="U129" s="32">
        <f t="shared" si="93"/>
      </c>
      <c r="V129" s="31">
        <f t="shared" si="74"/>
      </c>
      <c r="W129" s="31">
        <f t="shared" si="28"/>
      </c>
      <c r="X129" s="32">
        <f t="shared" si="283"/>
      </c>
      <c r="Y129" s="33">
        <f t="shared" si="245"/>
      </c>
      <c r="Z129" s="32">
        <f t="shared" si="207"/>
      </c>
      <c r="AA129" s="34">
        <f t="shared" si="150"/>
      </c>
      <c r="AB129" s="35" t="s">
        <v>46</v>
      </c>
      <c r="AC129" s="105" t="s">
        <v>47</v>
      </c>
      <c r="AD129" s="26">
        <v>2</v>
      </c>
      <c r="AE129" s="74">
        <v>9570</v>
      </c>
      <c r="AF129" s="75">
        <v>235</v>
      </c>
      <c r="AG129" s="75">
        <v>392</v>
      </c>
      <c r="AH129" s="75">
        <v>63</v>
      </c>
      <c r="AI129" s="75">
        <v>9</v>
      </c>
      <c r="AJ129" s="41">
        <v>7</v>
      </c>
      <c r="AK129" s="41">
        <v>14</v>
      </c>
      <c r="AL129" s="41">
        <v>1</v>
      </c>
      <c r="AM129" s="42"/>
    </row>
    <row r="130">
      <c r="A130" s="20"/>
      <c r="B130" s="53" t="s">
        <v>51</v>
      </c>
      <c r="C130" s="53"/>
      <c r="D130" s="53">
        <f>SUM(D126:D129)</f>
      </c>
      <c r="E130" s="53">
        <f>SUM(E126:E129)</f>
      </c>
      <c r="F130" s="53">
        <f>SUM(F126:F129)</f>
      </c>
      <c r="G130" s="53">
        <f>SUM(G126:G129)</f>
      </c>
      <c r="H130" s="53">
        <f>SUM(H126:H129)</f>
      </c>
      <c r="I130" s="53">
        <f>SUM(I126:I129)</f>
      </c>
      <c r="J130" s="53">
        <f>SUM(J126:J129)</f>
      </c>
      <c r="K130" s="53">
        <f>SUM(K126:K129)</f>
      </c>
      <c r="L130" s="53">
        <f>SUM(L126:L129)</f>
      </c>
      <c r="M130" s="53">
        <f>SUM(M126:M129)</f>
      </c>
      <c r="N130" s="54">
        <f t="shared" si="9"/>
      </c>
      <c r="O130" s="81">
        <f t="shared" si="264"/>
      </c>
      <c r="P130" s="82">
        <f t="shared" si="226"/>
      </c>
      <c r="Q130" s="83">
        <f t="shared" si="169"/>
      </c>
      <c r="R130" s="84">
        <f t="shared" si="131"/>
      </c>
      <c r="S130" s="83">
        <f t="shared" si="188"/>
      </c>
      <c r="T130" s="59">
        <f t="shared" si="112"/>
      </c>
      <c r="U130" s="60">
        <f t="shared" si="93"/>
      </c>
      <c r="V130" s="59">
        <f t="shared" si="74"/>
      </c>
      <c r="W130" s="59">
        <f t="shared" si="28"/>
      </c>
      <c r="X130" s="60">
        <f t="shared" si="283"/>
      </c>
      <c r="Y130" s="61">
        <f t="shared" si="245"/>
      </c>
      <c r="Z130" s="60">
        <f t="shared" si="207"/>
      </c>
      <c r="AA130" s="62">
        <f t="shared" si="150"/>
      </c>
      <c r="AB130" s="63"/>
      <c r="AC130" s="62"/>
      <c r="AD130" s="85">
        <f>SUM(AD126:AD129)</f>
      </c>
      <c r="AE130" s="85">
        <f>SUM(AE126:AE129)</f>
      </c>
      <c r="AF130" s="85">
        <f>SUM(AF126:AF129)</f>
      </c>
      <c r="AG130" s="85">
        <f>SUM(AG126:AG129)</f>
      </c>
      <c r="AH130" s="85">
        <f>SUM(AH126:AH129)</f>
      </c>
      <c r="AI130" s="85">
        <f>SUM(AI126:AI129)</f>
      </c>
      <c r="AJ130" s="85">
        <f>SUM(AJ126:AJ129)</f>
      </c>
      <c r="AK130" s="85">
        <f>SUM(AK126:AK129)</f>
      </c>
      <c r="AL130" s="85">
        <f>SUM(AL126:AL129)</f>
      </c>
      <c r="AM130" s="104" t="s">
        <v>57</v>
      </c>
    </row>
    <row r="131">
      <c r="A131" s="20"/>
      <c r="B131" s="88" t="s">
        <v>58</v>
      </c>
      <c r="C131" s="88"/>
      <c r="D131" s="88">
        <f>D125+D130</f>
      </c>
      <c r="E131" s="88">
        <f>E125+E130</f>
      </c>
      <c r="F131" s="88">
        <f>F125+F130</f>
      </c>
      <c r="G131" s="88">
        <f>G125+G130</f>
      </c>
      <c r="H131" s="88">
        <f>H125+H130</f>
      </c>
      <c r="I131" s="88">
        <f>I125+I130</f>
      </c>
      <c r="J131" s="88">
        <f>J125+J130</f>
      </c>
      <c r="K131" s="88">
        <f>K125+K130</f>
      </c>
      <c r="L131" s="88">
        <f>L125+L130</f>
      </c>
      <c r="M131" s="88">
        <f>M125+M130</f>
      </c>
      <c r="N131" s="89">
        <f t="shared" si="9"/>
      </c>
      <c r="O131" s="90">
        <f t="shared" si="264"/>
      </c>
      <c r="P131" s="91">
        <f t="shared" si="226"/>
      </c>
      <c r="Q131" s="92">
        <f t="shared" si="169"/>
      </c>
      <c r="R131" s="90">
        <f t="shared" si="131"/>
      </c>
      <c r="S131" s="92">
        <f t="shared" si="188"/>
      </c>
      <c r="T131" s="92">
        <f t="shared" si="112"/>
      </c>
      <c r="U131" s="90">
        <f t="shared" si="93"/>
      </c>
      <c r="V131" s="92">
        <f t="shared" si="74"/>
      </c>
      <c r="W131" s="92">
        <f t="shared" si="28"/>
      </c>
      <c r="X131" s="90">
        <f t="shared" si="283"/>
      </c>
      <c r="Y131" s="93">
        <f t="shared" si="245"/>
      </c>
      <c r="Z131" s="90">
        <f t="shared" si="207"/>
      </c>
      <c r="AA131" s="91">
        <f t="shared" si="150"/>
      </c>
      <c r="AB131" s="94"/>
      <c r="AC131" s="91"/>
      <c r="AD131" s="96">
        <f>AD125+AD130</f>
      </c>
      <c r="AE131" s="96">
        <f>AE125+AE130</f>
      </c>
      <c r="AF131" s="96">
        <f>AF125+AF130</f>
      </c>
      <c r="AG131" s="96">
        <f>AG125+AG130</f>
      </c>
      <c r="AH131" s="96">
        <f>AH125+AH130</f>
      </c>
      <c r="AI131" s="96">
        <f>AI125+AI130</f>
      </c>
      <c r="AJ131" s="96">
        <f>AJ125+AJ130</f>
      </c>
      <c r="AK131" s="96">
        <f>AK125+AK130</f>
      </c>
      <c r="AL131" s="96">
        <f>AL125+AL130</f>
      </c>
      <c r="AM131" s="104"/>
    </row>
    <row r="132">
      <c r="A132" s="1" t="s">
        <v>1</v>
      </c>
      <c r="B132" s="1"/>
      <c r="C132" s="1"/>
      <c r="D132" s="2" t="s">
        <v>2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 t="s">
        <v>3</v>
      </c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4" t="s">
        <v>4</v>
      </c>
      <c r="AE132" s="4"/>
      <c r="AF132" s="4"/>
      <c r="AG132" s="4"/>
      <c r="AH132" s="4"/>
      <c r="AI132" s="4"/>
      <c r="AJ132" s="4"/>
      <c r="AK132" s="4"/>
      <c r="AL132" s="4"/>
      <c r="AM132" s="5"/>
    </row>
    <row r="133">
      <c r="A133" s="1" t="s">
        <v>5</v>
      </c>
      <c r="B133" s="6" t="s">
        <v>6</v>
      </c>
      <c r="C133" s="6" t="s">
        <v>7</v>
      </c>
      <c r="D133" s="7" t="s">
        <v>8</v>
      </c>
      <c r="E133" s="8" t="s">
        <v>9</v>
      </c>
      <c r="F133" s="8" t="s">
        <v>10</v>
      </c>
      <c r="G133" s="9" t="s">
        <v>11</v>
      </c>
      <c r="H133" s="10" t="s">
        <v>12</v>
      </c>
      <c r="I133" s="97" t="s">
        <v>13</v>
      </c>
      <c r="J133" s="2" t="s">
        <v>14</v>
      </c>
      <c r="K133" s="2" t="s">
        <v>15</v>
      </c>
      <c r="L133" s="13" t="s">
        <v>16</v>
      </c>
      <c r="M133" s="13" t="s">
        <v>17</v>
      </c>
      <c r="N133" s="9" t="s">
        <v>18</v>
      </c>
      <c r="O133" s="13" t="s">
        <v>19</v>
      </c>
      <c r="P133" s="3" t="s">
        <v>20</v>
      </c>
      <c r="Q133" s="3" t="s">
        <v>21</v>
      </c>
      <c r="R133" s="3" t="s">
        <v>22</v>
      </c>
      <c r="S133" s="14" t="s">
        <v>23</v>
      </c>
      <c r="T133" s="14" t="s">
        <v>24</v>
      </c>
      <c r="U133" s="3" t="s">
        <v>25</v>
      </c>
      <c r="V133" s="14" t="s">
        <v>26</v>
      </c>
      <c r="W133" s="14" t="s">
        <v>27</v>
      </c>
      <c r="X133" s="3" t="s">
        <v>28</v>
      </c>
      <c r="Y133" s="14" t="s">
        <v>29</v>
      </c>
      <c r="Z133" s="3" t="s">
        <v>30</v>
      </c>
      <c r="AA133" s="15" t="s">
        <v>31</v>
      </c>
      <c r="AB133" s="15" t="s">
        <v>32</v>
      </c>
      <c r="AC133" s="16" t="s">
        <v>33</v>
      </c>
      <c r="AD133" s="17" t="s">
        <v>34</v>
      </c>
      <c r="AE133" s="18" t="s">
        <v>35</v>
      </c>
      <c r="AF133" s="18" t="s">
        <v>36</v>
      </c>
      <c r="AG133" s="18" t="s">
        <v>37</v>
      </c>
      <c r="AH133" s="18" t="s">
        <v>38</v>
      </c>
      <c r="AI133" s="18" t="s">
        <v>39</v>
      </c>
      <c r="AJ133" s="19" t="s">
        <v>40</v>
      </c>
      <c r="AK133" s="19" t="s">
        <v>41</v>
      </c>
      <c r="AL133" s="19" t="s">
        <v>42</v>
      </c>
      <c r="AM133" s="5"/>
    </row>
    <row r="134">
      <c r="A134" s="20" t="s">
        <v>70</v>
      </c>
      <c r="B134" s="21" t="s">
        <v>44</v>
      </c>
      <c r="C134" s="22" t="s">
        <v>45</v>
      </c>
      <c r="D134" s="23">
        <f t="shared" ref="D134:D137" si="56">E134+F134+G134+H134</f>
      </c>
      <c r="E134" s="39">
        <v>2143.9</v>
      </c>
      <c r="F134" s="26"/>
      <c r="G134" s="26">
        <v>1923.67</v>
      </c>
      <c r="H134" s="43"/>
      <c r="I134" s="24">
        <v>6</v>
      </c>
      <c r="J134" s="25">
        <v>13608</v>
      </c>
      <c r="K134" s="40">
        <v>0</v>
      </c>
      <c r="L134" s="40">
        <v>0</v>
      </c>
      <c r="M134" s="40">
        <v>6</v>
      </c>
      <c r="N134" s="29">
        <f t="shared" ref="N134:N148" si="10">J134/D134</f>
      </c>
      <c r="O134" s="29">
        <f t="shared" ref="O134:O148" si="265">J134/(D134+300*AL134)</f>
      </c>
      <c r="P134" s="30">
        <f t="shared" ref="P134:P148" si="227">(D134/AE134)*1000</f>
      </c>
      <c r="Q134" s="31">
        <f t="shared" ref="Q134:Q148" si="170">AF134/AE134</f>
      </c>
      <c r="R134" s="32">
        <f t="shared" ref="R134:R148" si="132">D134/AG134</f>
      </c>
      <c r="S134" s="31">
        <f t="shared" ref="S134:S148" si="189">AH134/AG134</f>
      </c>
      <c r="T134" s="31">
        <f t="shared" ref="T134:T148" si="113">AI134/AG134</f>
      </c>
      <c r="U134" s="32">
        <f t="shared" ref="U134:U148" si="94">D134/AI134</f>
      </c>
      <c r="V134" s="31">
        <f t="shared" ref="V134:V148" si="75">AJ134/AI134</f>
      </c>
      <c r="W134" s="31">
        <f t="shared" ref="W134:W148" si="29">I134/AJ134</f>
      </c>
      <c r="X134" s="32">
        <f t="shared" ref="X134:X148" si="284">D134/I134</f>
      </c>
      <c r="Y134" s="33">
        <f t="shared" ref="Y134:Y148" si="246">J134/I134</f>
      </c>
      <c r="Z134" s="32">
        <f t="shared" ref="Z134:Z148" si="208">D134/AD134</f>
      </c>
      <c r="AA134" s="34">
        <f t="shared" ref="AA134:AA148" si="151">AK134*1000/D134</f>
      </c>
      <c r="AB134" s="35" t="s">
        <v>46</v>
      </c>
      <c r="AC134" s="105" t="s">
        <v>47</v>
      </c>
      <c r="AD134" s="107">
        <v>6</v>
      </c>
      <c r="AE134" s="38">
        <v>12354</v>
      </c>
      <c r="AF134" s="21">
        <v>617</v>
      </c>
      <c r="AG134" s="26">
        <v>884</v>
      </c>
      <c r="AH134" s="26">
        <v>114</v>
      </c>
      <c r="AI134" s="21">
        <v>49</v>
      </c>
      <c r="AJ134" s="25">
        <v>11</v>
      </c>
      <c r="AK134" s="40">
        <v>25</v>
      </c>
      <c r="AL134" s="41">
        <v>1</v>
      </c>
      <c r="AM134" s="42"/>
    </row>
    <row r="135">
      <c r="A135" s="20"/>
      <c r="B135" s="43" t="s">
        <v>48</v>
      </c>
      <c r="C135" s="39" t="s">
        <v>45</v>
      </c>
      <c r="D135" s="26">
        <f t="shared" si="56"/>
      </c>
      <c r="E135" s="47">
        <v>2088.05</v>
      </c>
      <c r="F135" s="47"/>
      <c r="G135" s="21">
        <v>2085.13</v>
      </c>
      <c r="H135" s="43"/>
      <c r="I135" s="48">
        <v>5</v>
      </c>
      <c r="J135" s="21">
        <v>11152</v>
      </c>
      <c r="K135" s="25">
        <v>0</v>
      </c>
      <c r="L135" s="40">
        <v>0</v>
      </c>
      <c r="M135" s="40">
        <v>5</v>
      </c>
      <c r="N135" s="29">
        <f t="shared" si="10"/>
      </c>
      <c r="O135" s="29">
        <f t="shared" si="265"/>
      </c>
      <c r="P135" s="30">
        <f t="shared" si="227"/>
      </c>
      <c r="Q135" s="108">
        <f t="shared" si="170"/>
      </c>
      <c r="R135" s="32">
        <f t="shared" si="132"/>
      </c>
      <c r="S135" s="31">
        <f t="shared" si="189"/>
      </c>
      <c r="T135" s="31">
        <f t="shared" si="113"/>
      </c>
      <c r="U135" s="32">
        <f t="shared" si="94"/>
      </c>
      <c r="V135" s="31">
        <f t="shared" si="75"/>
      </c>
      <c r="W135" s="31">
        <f t="shared" si="29"/>
      </c>
      <c r="X135" s="32">
        <f t="shared" si="284"/>
      </c>
      <c r="Y135" s="33">
        <f t="shared" si="246"/>
      </c>
      <c r="Z135" s="32">
        <f t="shared" si="208"/>
      </c>
      <c r="AA135" s="34">
        <f t="shared" si="151"/>
      </c>
      <c r="AB135" s="35" t="s">
        <v>46</v>
      </c>
      <c r="AC135" s="109" t="s">
        <v>47</v>
      </c>
      <c r="AD135" s="39">
        <v>5</v>
      </c>
      <c r="AE135" s="47">
        <v>12601</v>
      </c>
      <c r="AF135" s="47">
        <v>702</v>
      </c>
      <c r="AG135" s="48">
        <v>990</v>
      </c>
      <c r="AH135" s="21">
        <v>131</v>
      </c>
      <c r="AI135" s="21">
        <v>53</v>
      </c>
      <c r="AJ135" s="49">
        <v>10</v>
      </c>
      <c r="AK135" s="50">
        <v>29</v>
      </c>
      <c r="AL135" s="41">
        <v>1</v>
      </c>
      <c r="AM135" s="42"/>
    </row>
    <row r="136">
      <c r="A136" s="20"/>
      <c r="B136" s="43" t="s">
        <v>49</v>
      </c>
      <c r="C136" s="106" t="s">
        <v>45</v>
      </c>
      <c r="D136" s="26">
        <f t="shared" si="56"/>
      </c>
      <c r="E136" s="26">
        <v>1747.7</v>
      </c>
      <c r="F136" s="26"/>
      <c r="G136" s="21">
        <v>2253.91</v>
      </c>
      <c r="H136" s="21"/>
      <c r="I136" s="51">
        <v>2</v>
      </c>
      <c r="J136" s="51">
        <v>4348</v>
      </c>
      <c r="K136" s="51">
        <v>0</v>
      </c>
      <c r="L136" s="51">
        <v>0</v>
      </c>
      <c r="M136" s="51">
        <v>2</v>
      </c>
      <c r="N136" s="29">
        <f t="shared" si="10"/>
      </c>
      <c r="O136" s="29">
        <f t="shared" si="265"/>
      </c>
      <c r="P136" s="110">
        <f t="shared" si="227"/>
      </c>
      <c r="Q136" s="71">
        <f t="shared" si="170"/>
      </c>
      <c r="R136" s="111">
        <f t="shared" si="132"/>
      </c>
      <c r="S136" s="31">
        <f t="shared" si="189"/>
      </c>
      <c r="T136" s="31">
        <f t="shared" si="113"/>
      </c>
      <c r="U136" s="32">
        <f t="shared" si="94"/>
      </c>
      <c r="V136" s="31">
        <f t="shared" si="75"/>
      </c>
      <c r="W136" s="31">
        <f t="shared" si="29"/>
      </c>
      <c r="X136" s="32">
        <f t="shared" si="284"/>
      </c>
      <c r="Y136" s="33">
        <f t="shared" si="246"/>
      </c>
      <c r="Z136" s="32">
        <f t="shared" si="208"/>
      </c>
      <c r="AA136" s="34">
        <f t="shared" si="151"/>
      </c>
      <c r="AB136" s="35" t="s">
        <v>46</v>
      </c>
      <c r="AC136" s="105" t="s">
        <v>47</v>
      </c>
      <c r="AD136" s="45">
        <v>2</v>
      </c>
      <c r="AE136" s="26">
        <v>13628</v>
      </c>
      <c r="AF136" s="26">
        <v>670</v>
      </c>
      <c r="AG136" s="21">
        <v>969</v>
      </c>
      <c r="AH136" s="21">
        <v>112</v>
      </c>
      <c r="AI136" s="21">
        <v>59</v>
      </c>
      <c r="AJ136" s="49">
        <v>7</v>
      </c>
      <c r="AK136" s="50">
        <v>21</v>
      </c>
      <c r="AL136" s="41">
        <v>1</v>
      </c>
      <c r="AM136" s="42"/>
    </row>
    <row r="137">
      <c r="A137" s="20"/>
      <c r="B137" s="43" t="s">
        <v>50</v>
      </c>
      <c r="C137" s="48" t="s">
        <v>45</v>
      </c>
      <c r="D137" s="26">
        <f t="shared" si="56"/>
      </c>
      <c r="E137" s="26">
        <v>1679.24</v>
      </c>
      <c r="F137" s="26"/>
      <c r="G137" s="21">
        <v>2207.08</v>
      </c>
      <c r="H137" s="21"/>
      <c r="I137" s="40">
        <v>3</v>
      </c>
      <c r="J137" s="40">
        <v>6804</v>
      </c>
      <c r="K137" s="40">
        <v>0</v>
      </c>
      <c r="L137" s="40">
        <v>0</v>
      </c>
      <c r="M137" s="40">
        <v>3</v>
      </c>
      <c r="N137" s="29">
        <f t="shared" si="10"/>
      </c>
      <c r="O137" s="29">
        <f t="shared" si="265"/>
      </c>
      <c r="P137" s="30">
        <f t="shared" si="227"/>
      </c>
      <c r="Q137" s="112">
        <f t="shared" si="170"/>
      </c>
      <c r="R137" s="32">
        <f t="shared" si="132"/>
      </c>
      <c r="S137" s="31">
        <f t="shared" si="189"/>
      </c>
      <c r="T137" s="31">
        <f t="shared" si="113"/>
      </c>
      <c r="U137" s="32">
        <f t="shared" si="94"/>
      </c>
      <c r="V137" s="31">
        <f t="shared" si="75"/>
      </c>
      <c r="W137" s="31">
        <f t="shared" si="29"/>
      </c>
      <c r="X137" s="32">
        <f t="shared" si="284"/>
      </c>
      <c r="Y137" s="33">
        <f t="shared" si="246"/>
      </c>
      <c r="Z137" s="32">
        <f t="shared" si="208"/>
      </c>
      <c r="AA137" s="34">
        <f t="shared" si="151"/>
      </c>
      <c r="AB137" s="35" t="s">
        <v>46</v>
      </c>
      <c r="AC137" s="105" t="s">
        <v>47</v>
      </c>
      <c r="AD137" s="45">
        <v>3</v>
      </c>
      <c r="AE137" s="47">
        <v>12915</v>
      </c>
      <c r="AF137" s="21">
        <v>654</v>
      </c>
      <c r="AG137" s="21">
        <v>873</v>
      </c>
      <c r="AH137" s="21">
        <v>90</v>
      </c>
      <c r="AI137" s="21">
        <v>50</v>
      </c>
      <c r="AJ137" s="49">
        <v>6</v>
      </c>
      <c r="AK137" s="50">
        <v>24</v>
      </c>
      <c r="AL137" s="41">
        <v>1</v>
      </c>
      <c r="AM137" s="42"/>
    </row>
    <row r="138">
      <c r="A138" s="20"/>
      <c r="B138" s="53" t="s">
        <v>51</v>
      </c>
      <c r="C138" s="53"/>
      <c r="D138" s="53">
        <f>SUM(D134:D137)</f>
      </c>
      <c r="E138" s="53">
        <f>SUM(E134:E137)</f>
      </c>
      <c r="F138" s="53">
        <f>SUM(F134:F137)</f>
      </c>
      <c r="G138" s="53">
        <f>SUM(G134:G137)</f>
      </c>
      <c r="H138" s="53">
        <f>SUM(H134:H137)</f>
      </c>
      <c r="I138" s="53">
        <f>SUM(I134:I137)</f>
      </c>
      <c r="J138" s="53">
        <f>SUM(J134:J137)</f>
      </c>
      <c r="K138" s="53">
        <f>SUM(K134:K137)</f>
      </c>
      <c r="L138" s="53">
        <f>SUM(L134:L137)</f>
      </c>
      <c r="M138" s="53">
        <f>SUM(M134:M137)</f>
      </c>
      <c r="N138" s="54">
        <f t="shared" si="10"/>
      </c>
      <c r="O138" s="55">
        <f t="shared" si="265"/>
      </c>
      <c r="P138" s="56">
        <f t="shared" si="227"/>
      </c>
      <c r="Q138" s="57">
        <f t="shared" si="170"/>
      </c>
      <c r="R138" s="58">
        <f t="shared" si="132"/>
      </c>
      <c r="S138" s="57">
        <f t="shared" si="189"/>
      </c>
      <c r="T138" s="59">
        <f t="shared" si="113"/>
      </c>
      <c r="U138" s="60">
        <f t="shared" si="94"/>
      </c>
      <c r="V138" s="59">
        <f t="shared" si="75"/>
      </c>
      <c r="W138" s="59">
        <f t="shared" si="29"/>
      </c>
      <c r="X138" s="60">
        <f t="shared" si="284"/>
      </c>
      <c r="Y138" s="61">
        <f t="shared" si="246"/>
      </c>
      <c r="Z138" s="60">
        <f t="shared" si="208"/>
      </c>
      <c r="AA138" s="62">
        <f t="shared" si="151"/>
      </c>
      <c r="AB138" s="63"/>
      <c r="AC138" s="62"/>
      <c r="AD138" s="102">
        <f>SUM(AD134:AD137)</f>
      </c>
      <c r="AE138" s="66">
        <f>SUM(AE134:AE137)</f>
      </c>
      <c r="AF138" s="66">
        <f>SUM(AF134:AF137)</f>
      </c>
      <c r="AG138" s="66">
        <f>SUM(AG134:AG137)</f>
      </c>
      <c r="AH138" s="66">
        <f>SUM(AH134:AH137)</f>
      </c>
      <c r="AI138" s="66">
        <f>SUM(AI134:AI137)</f>
      </c>
      <c r="AJ138" s="66">
        <f>SUM(AJ134:AJ137)</f>
      </c>
      <c r="AK138" s="66">
        <f>SUM(AK134:AK137)</f>
      </c>
      <c r="AL138" s="66">
        <f>SUM(AL134:AL137)</f>
      </c>
      <c r="AM138" s="42"/>
    </row>
    <row r="139">
      <c r="A139" s="20"/>
      <c r="B139" s="48" t="s">
        <v>52</v>
      </c>
      <c r="C139" s="22" t="s">
        <v>53</v>
      </c>
      <c r="D139" s="21">
        <f t="shared" ref="D139:D142" si="295">E139+G139</f>
      </c>
      <c r="E139" s="21">
        <v>942.48</v>
      </c>
      <c r="F139" s="26"/>
      <c r="G139" s="21">
        <v>2878.99</v>
      </c>
      <c r="H139" s="21"/>
      <c r="I139" s="40">
        <v>2</v>
      </c>
      <c r="J139" s="40">
        <v>3216</v>
      </c>
      <c r="K139" s="40">
        <v>0</v>
      </c>
      <c r="L139" s="40">
        <v>1</v>
      </c>
      <c r="M139" s="67">
        <v>1</v>
      </c>
      <c r="N139" s="68">
        <f t="shared" si="10"/>
      </c>
      <c r="O139" s="29">
        <f t="shared" si="265"/>
      </c>
      <c r="P139" s="30">
        <f t="shared" si="227"/>
      </c>
      <c r="Q139" s="31">
        <f t="shared" si="170"/>
      </c>
      <c r="R139" s="32">
        <f t="shared" si="132"/>
      </c>
      <c r="S139" s="31">
        <f t="shared" si="189"/>
      </c>
      <c r="T139" s="73">
        <f t="shared" si="113"/>
      </c>
      <c r="U139" s="32">
        <f t="shared" si="94"/>
      </c>
      <c r="V139" s="31">
        <f t="shared" si="75"/>
      </c>
      <c r="W139" s="31">
        <f t="shared" si="29"/>
      </c>
      <c r="X139" s="32">
        <f t="shared" si="284"/>
      </c>
      <c r="Y139" s="33">
        <f t="shared" si="246"/>
      </c>
      <c r="Z139" s="32">
        <f t="shared" si="208"/>
      </c>
      <c r="AA139" s="34">
        <f t="shared" si="151"/>
      </c>
      <c r="AB139" s="35" t="s">
        <v>46</v>
      </c>
      <c r="AC139" s="105" t="s">
        <v>47</v>
      </c>
      <c r="AD139" s="26">
        <v>2</v>
      </c>
      <c r="AE139" s="74">
        <v>18657</v>
      </c>
      <c r="AF139" s="75">
        <v>990</v>
      </c>
      <c r="AG139" s="75">
        <v>1514</v>
      </c>
      <c r="AH139" s="75">
        <v>101</v>
      </c>
      <c r="AI139" s="75">
        <v>41</v>
      </c>
      <c r="AJ139" s="41">
        <v>5</v>
      </c>
      <c r="AK139" s="41">
        <v>16</v>
      </c>
      <c r="AL139" s="41">
        <v>1</v>
      </c>
      <c r="AM139" s="42"/>
    </row>
    <row r="140">
      <c r="A140" s="20"/>
      <c r="B140" s="48" t="s">
        <v>54</v>
      </c>
      <c r="C140" s="22" t="s">
        <v>53</v>
      </c>
      <c r="D140" s="21">
        <f t="shared" si="295"/>
      </c>
      <c r="E140" s="21">
        <v>1177.47</v>
      </c>
      <c r="F140" s="26"/>
      <c r="G140" s="21">
        <v>2074.19</v>
      </c>
      <c r="H140" s="21"/>
      <c r="I140" s="40">
        <v>1</v>
      </c>
      <c r="J140" s="40">
        <v>2268</v>
      </c>
      <c r="K140" s="40">
        <v>0</v>
      </c>
      <c r="L140" s="40">
        <v>0</v>
      </c>
      <c r="M140" s="40">
        <v>1</v>
      </c>
      <c r="N140" s="68">
        <f t="shared" si="10"/>
      </c>
      <c r="O140" s="29">
        <f t="shared" si="265"/>
      </c>
      <c r="P140" s="30">
        <f t="shared" si="227"/>
      </c>
      <c r="Q140" s="31">
        <f t="shared" si="170"/>
      </c>
      <c r="R140" s="32">
        <f t="shared" si="132"/>
      </c>
      <c r="S140" s="31">
        <f t="shared" si="189"/>
      </c>
      <c r="T140" s="73">
        <f t="shared" si="113"/>
      </c>
      <c r="U140" s="32">
        <f t="shared" si="94"/>
      </c>
      <c r="V140" s="31">
        <f t="shared" si="75"/>
      </c>
      <c r="W140" s="31">
        <f t="shared" si="29"/>
      </c>
      <c r="X140" s="32">
        <f t="shared" si="284"/>
      </c>
      <c r="Y140" s="33">
        <f t="shared" si="246"/>
      </c>
      <c r="Z140" s="32">
        <f t="shared" si="208"/>
      </c>
      <c r="AA140" s="34">
        <f t="shared" si="151"/>
      </c>
      <c r="AB140" s="35" t="s">
        <v>46</v>
      </c>
      <c r="AC140" s="105" t="s">
        <v>47</v>
      </c>
      <c r="AD140" s="26">
        <v>1</v>
      </c>
      <c r="AE140" s="74">
        <v>13664</v>
      </c>
      <c r="AF140" s="75">
        <v>679</v>
      </c>
      <c r="AG140" s="75">
        <v>1054</v>
      </c>
      <c r="AH140" s="75">
        <v>105</v>
      </c>
      <c r="AI140" s="75">
        <v>39</v>
      </c>
      <c r="AJ140" s="41">
        <v>3</v>
      </c>
      <c r="AK140" s="41">
        <v>13</v>
      </c>
      <c r="AL140" s="41">
        <v>1</v>
      </c>
      <c r="AM140" s="42"/>
    </row>
    <row r="141">
      <c r="A141" s="20"/>
      <c r="B141" s="21" t="s">
        <v>55</v>
      </c>
      <c r="C141" s="22" t="s">
        <v>53</v>
      </c>
      <c r="D141" s="21">
        <f t="shared" si="295"/>
      </c>
      <c r="E141" s="21">
        <v>1120.11</v>
      </c>
      <c r="F141" s="26"/>
      <c r="G141" s="21">
        <v>2345.74</v>
      </c>
      <c r="H141" s="21"/>
      <c r="I141" s="40">
        <v>1</v>
      </c>
      <c r="J141" s="40">
        <v>2268</v>
      </c>
      <c r="K141" s="40">
        <v>0</v>
      </c>
      <c r="L141" s="40">
        <v>0</v>
      </c>
      <c r="M141" s="40">
        <v>1</v>
      </c>
      <c r="N141" s="103">
        <f t="shared" si="10"/>
      </c>
      <c r="O141" s="29">
        <f t="shared" si="265"/>
      </c>
      <c r="P141" s="30">
        <f t="shared" si="227"/>
      </c>
      <c r="Q141" s="31">
        <f t="shared" si="170"/>
      </c>
      <c r="R141" s="32">
        <f t="shared" si="132"/>
      </c>
      <c r="S141" s="31">
        <f t="shared" si="189"/>
      </c>
      <c r="T141" s="73">
        <f t="shared" si="113"/>
      </c>
      <c r="U141" s="32">
        <f t="shared" si="94"/>
      </c>
      <c r="V141" s="31">
        <f t="shared" si="75"/>
      </c>
      <c r="W141" s="31">
        <f t="shared" si="29"/>
      </c>
      <c r="X141" s="32">
        <f t="shared" si="284"/>
      </c>
      <c r="Y141" s="33">
        <f t="shared" si="246"/>
      </c>
      <c r="Z141" s="32">
        <f t="shared" si="208"/>
      </c>
      <c r="AA141" s="34">
        <f t="shared" si="151"/>
      </c>
      <c r="AB141" s="35" t="s">
        <v>46</v>
      </c>
      <c r="AC141" s="105" t="s">
        <v>47</v>
      </c>
      <c r="AD141" s="26">
        <v>0</v>
      </c>
      <c r="AE141" s="74">
        <v>12640</v>
      </c>
      <c r="AF141" s="75">
        <v>666</v>
      </c>
      <c r="AG141" s="75">
        <v>1089</v>
      </c>
      <c r="AH141" s="75">
        <v>96</v>
      </c>
      <c r="AI141" s="41">
        <v>46</v>
      </c>
      <c r="AJ141" s="41">
        <v>3</v>
      </c>
      <c r="AK141" s="41">
        <v>20</v>
      </c>
      <c r="AL141" s="41">
        <v>1</v>
      </c>
      <c r="AM141" s="42"/>
    </row>
    <row r="142">
      <c r="A142" s="20"/>
      <c r="B142" s="43" t="s">
        <v>56</v>
      </c>
      <c r="C142" s="21" t="s">
        <v>53</v>
      </c>
      <c r="D142" s="21">
        <f t="shared" si="295"/>
      </c>
      <c r="E142" s="21">
        <v>1098.22</v>
      </c>
      <c r="F142" s="26"/>
      <c r="G142" s="21">
        <v>1776.97</v>
      </c>
      <c r="H142" s="21"/>
      <c r="I142" s="40">
        <v>2</v>
      </c>
      <c r="J142" s="40">
        <v>4536</v>
      </c>
      <c r="K142" s="40">
        <v>0</v>
      </c>
      <c r="L142" s="40">
        <v>0</v>
      </c>
      <c r="M142" s="40">
        <v>2</v>
      </c>
      <c r="N142" s="68">
        <f t="shared" si="10"/>
      </c>
      <c r="O142" s="29">
        <f t="shared" si="265"/>
      </c>
      <c r="P142" s="30">
        <f t="shared" si="227"/>
      </c>
      <c r="Q142" s="31">
        <f t="shared" si="170"/>
      </c>
      <c r="R142" s="32">
        <f t="shared" si="132"/>
      </c>
      <c r="S142" s="31">
        <f t="shared" si="189"/>
      </c>
      <c r="T142" s="73">
        <f t="shared" si="113"/>
      </c>
      <c r="U142" s="32">
        <f t="shared" si="94"/>
      </c>
      <c r="V142" s="31">
        <f t="shared" si="75"/>
      </c>
      <c r="W142" s="31">
        <f t="shared" si="29"/>
      </c>
      <c r="X142" s="32">
        <f t="shared" si="284"/>
      </c>
      <c r="Y142" s="33">
        <f t="shared" si="246"/>
      </c>
      <c r="Z142" s="32">
        <f t="shared" si="208"/>
      </c>
      <c r="AA142" s="34">
        <f t="shared" si="151"/>
      </c>
      <c r="AB142" s="35" t="s">
        <v>46</v>
      </c>
      <c r="AC142" s="105" t="s">
        <v>47</v>
      </c>
      <c r="AD142" s="26">
        <v>3</v>
      </c>
      <c r="AE142" s="74">
        <v>9415</v>
      </c>
      <c r="AF142" s="75">
        <v>472</v>
      </c>
      <c r="AG142" s="75">
        <v>808</v>
      </c>
      <c r="AH142" s="75">
        <v>73</v>
      </c>
      <c r="AI142" s="75">
        <v>43</v>
      </c>
      <c r="AJ142" s="41">
        <v>2</v>
      </c>
      <c r="AK142" s="41">
        <v>17</v>
      </c>
      <c r="AL142" s="41">
        <v>1</v>
      </c>
      <c r="AM142" s="42"/>
    </row>
    <row r="143">
      <c r="A143" s="20"/>
      <c r="B143" s="53" t="s">
        <v>51</v>
      </c>
      <c r="C143" s="53"/>
      <c r="D143" s="53">
        <f>SUM(D139:D142)</f>
      </c>
      <c r="E143" s="53">
        <f>SUM(E139:E142)</f>
      </c>
      <c r="F143" s="53">
        <f>SUM(F139:F142)</f>
      </c>
      <c r="G143" s="53">
        <f>SUM(G139:G142)</f>
      </c>
      <c r="H143" s="53">
        <f>SUM(H139:H142)</f>
      </c>
      <c r="I143" s="53">
        <f>SUM(I139:I142)</f>
      </c>
      <c r="J143" s="53">
        <f>SUM(J139:J142)</f>
      </c>
      <c r="K143" s="53">
        <f>SUM(K139:K142)</f>
      </c>
      <c r="L143" s="53">
        <f>SUM(L139:L142)</f>
      </c>
      <c r="M143" s="53">
        <f>SUM(M139:M142)</f>
      </c>
      <c r="N143" s="54">
        <f t="shared" si="10"/>
      </c>
      <c r="O143" s="81">
        <f t="shared" si="265"/>
      </c>
      <c r="P143" s="82">
        <f t="shared" si="227"/>
      </c>
      <c r="Q143" s="83">
        <f t="shared" si="170"/>
      </c>
      <c r="R143" s="84">
        <f t="shared" si="132"/>
      </c>
      <c r="S143" s="83">
        <f t="shared" si="189"/>
      </c>
      <c r="T143" s="59">
        <f t="shared" si="113"/>
      </c>
      <c r="U143" s="60">
        <f t="shared" si="94"/>
      </c>
      <c r="V143" s="59">
        <f t="shared" si="75"/>
      </c>
      <c r="W143" s="59">
        <f t="shared" si="29"/>
      </c>
      <c r="X143" s="60">
        <f t="shared" si="284"/>
      </c>
      <c r="Y143" s="61">
        <f t="shared" si="246"/>
      </c>
      <c r="Z143" s="60">
        <f t="shared" si="208"/>
      </c>
      <c r="AA143" s="62">
        <f t="shared" si="151"/>
      </c>
      <c r="AB143" s="63"/>
      <c r="AC143" s="62"/>
      <c r="AD143" s="85">
        <f>SUM(AD139:AD142)</f>
      </c>
      <c r="AE143" s="85">
        <f>SUM(AE139:AE142)</f>
      </c>
      <c r="AF143" s="85">
        <f>SUM(AF139:AF142)</f>
      </c>
      <c r="AG143" s="85">
        <f>SUM(AG139:AG142)</f>
      </c>
      <c r="AH143" s="85">
        <f>SUM(AH139:AH142)</f>
      </c>
      <c r="AI143" s="85">
        <f>SUM(AI139:AI142)</f>
      </c>
      <c r="AJ143" s="85">
        <f>SUM(AJ139:AJ142)</f>
      </c>
      <c r="AK143" s="85">
        <f>SUM(AK139:AK142)</f>
      </c>
      <c r="AL143" s="85">
        <f>SUM(AL139:AL142)</f>
      </c>
      <c r="AM143" s="42"/>
    </row>
    <row customHeight="true" ht="18.452380952380953" r="144">
      <c r="A144" s="20"/>
      <c r="B144" s="51" t="s">
        <v>67</v>
      </c>
      <c r="C144" s="67" t="s">
        <v>71</v>
      </c>
      <c r="D144" s="21">
        <f t="shared" ref="D144:D146" si="296">E144+G144</f>
      </c>
      <c r="E144" s="21">
        <v>554.38</v>
      </c>
      <c r="F144" s="26"/>
      <c r="G144" s="21">
        <v>2211.14</v>
      </c>
      <c r="H144" s="21"/>
      <c r="I144" s="40">
        <v>3</v>
      </c>
      <c r="J144" s="40">
        <v>6804</v>
      </c>
      <c r="K144" s="40">
        <v>0</v>
      </c>
      <c r="L144" s="40">
        <v>0</v>
      </c>
      <c r="M144" s="40">
        <v>3</v>
      </c>
      <c r="N144" s="68">
        <f t="shared" si="10"/>
      </c>
      <c r="O144" s="29">
        <f t="shared" si="265"/>
      </c>
      <c r="P144" s="30">
        <f t="shared" si="227"/>
      </c>
      <c r="Q144" s="31">
        <f t="shared" si="170"/>
      </c>
      <c r="R144" s="32">
        <f t="shared" si="132"/>
      </c>
      <c r="S144" s="31">
        <f t="shared" si="189"/>
      </c>
      <c r="T144" s="73">
        <f t="shared" si="113"/>
      </c>
      <c r="U144" s="32">
        <f t="shared" si="94"/>
      </c>
      <c r="V144" s="31">
        <f t="shared" si="75"/>
      </c>
      <c r="W144" s="31">
        <f t="shared" si="29"/>
      </c>
      <c r="X144" s="32">
        <f t="shared" si="284"/>
      </c>
      <c r="Y144" s="33">
        <f t="shared" si="246"/>
      </c>
      <c r="Z144" s="32">
        <f t="shared" si="208"/>
      </c>
      <c r="AA144" s="34">
        <f t="shared" si="151"/>
      </c>
      <c r="AB144" s="35" t="s">
        <v>46</v>
      </c>
      <c r="AC144" s="105" t="s">
        <v>72</v>
      </c>
      <c r="AD144" s="26">
        <v>3</v>
      </c>
      <c r="AE144" s="74">
        <v>9862</v>
      </c>
      <c r="AF144" s="75">
        <v>586</v>
      </c>
      <c r="AG144" s="75">
        <v>925</v>
      </c>
      <c r="AH144" s="75">
        <v>93</v>
      </c>
      <c r="AI144" s="75">
        <v>40</v>
      </c>
      <c r="AJ144" s="41">
        <v>6</v>
      </c>
      <c r="AK144" s="41">
        <v>22</v>
      </c>
      <c r="AL144" s="41">
        <v>1</v>
      </c>
      <c r="AM144" s="42"/>
    </row>
    <row customHeight="true" ht="18.452380952380953" r="145">
      <c r="A145" s="20"/>
      <c r="B145" s="40" t="s">
        <v>73</v>
      </c>
      <c r="C145" s="67" t="s">
        <v>71</v>
      </c>
      <c r="D145" s="21">
        <f t="shared" si="296"/>
      </c>
      <c r="E145" s="21">
        <v>818.42</v>
      </c>
      <c r="F145" s="26"/>
      <c r="G145" s="21">
        <v>2177.31</v>
      </c>
      <c r="H145" s="21"/>
      <c r="I145" s="40">
        <v>3</v>
      </c>
      <c r="J145" s="40">
        <v>6804</v>
      </c>
      <c r="K145" s="40">
        <v>0</v>
      </c>
      <c r="L145" s="40">
        <v>0</v>
      </c>
      <c r="M145" s="40">
        <v>3</v>
      </c>
      <c r="N145" s="103">
        <f t="shared" si="10"/>
      </c>
      <c r="O145" s="29">
        <f t="shared" si="265"/>
      </c>
      <c r="P145" s="30">
        <f t="shared" si="227"/>
      </c>
      <c r="Q145" s="31">
        <f t="shared" si="170"/>
      </c>
      <c r="R145" s="32">
        <f t="shared" si="132"/>
      </c>
      <c r="S145" s="31">
        <f t="shared" si="189"/>
      </c>
      <c r="T145" s="73">
        <f t="shared" si="113"/>
      </c>
      <c r="U145" s="32">
        <f t="shared" si="94"/>
      </c>
      <c r="V145" s="31">
        <f t="shared" si="75"/>
      </c>
      <c r="W145" s="31">
        <f t="shared" si="29"/>
      </c>
      <c r="X145" s="32">
        <f t="shared" si="284"/>
      </c>
      <c r="Y145" s="33">
        <f t="shared" si="246"/>
      </c>
      <c r="Z145" s="32">
        <f t="shared" si="208"/>
      </c>
      <c r="AA145" s="34">
        <f t="shared" si="151"/>
      </c>
      <c r="AB145" s="35" t="s">
        <v>46</v>
      </c>
      <c r="AC145" s="105" t="s">
        <v>72</v>
      </c>
      <c r="AD145" s="26">
        <v>3</v>
      </c>
      <c r="AE145" s="74">
        <v>10956</v>
      </c>
      <c r="AF145" s="75">
        <v>604</v>
      </c>
      <c r="AG145" s="75">
        <v>970</v>
      </c>
      <c r="AH145" s="75">
        <v>66</v>
      </c>
      <c r="AI145" s="41">
        <v>34</v>
      </c>
      <c r="AJ145" s="41">
        <v>5</v>
      </c>
      <c r="AK145" s="41">
        <v>22</v>
      </c>
      <c r="AL145" s="41">
        <v>1</v>
      </c>
      <c r="AM145" s="42"/>
    </row>
    <row customHeight="true" ht="18.452380952380953" r="146">
      <c r="A146" s="20"/>
      <c r="B146" s="27" t="s">
        <v>74</v>
      </c>
      <c r="C146" s="67" t="s">
        <v>71</v>
      </c>
      <c r="D146" s="21">
        <f t="shared" si="296"/>
      </c>
      <c r="E146" s="21">
        <f>1896.03+70.81</f>
      </c>
      <c r="F146" s="26"/>
      <c r="G146" s="21">
        <f>2785.36+66</f>
      </c>
      <c r="H146" s="21"/>
      <c r="I146" s="40">
        <v>7</v>
      </c>
      <c r="J146" s="40">
        <v>15876</v>
      </c>
      <c r="K146" s="40">
        <v>0</v>
      </c>
      <c r="L146" s="40">
        <v>0</v>
      </c>
      <c r="M146" s="40">
        <v>7</v>
      </c>
      <c r="N146" s="68">
        <f t="shared" si="10"/>
      </c>
      <c r="O146" s="29">
        <f t="shared" si="265"/>
      </c>
      <c r="P146" s="30">
        <f t="shared" si="227"/>
      </c>
      <c r="Q146" s="31">
        <f t="shared" si="170"/>
      </c>
      <c r="R146" s="32">
        <f t="shared" si="132"/>
      </c>
      <c r="S146" s="31">
        <f t="shared" si="189"/>
      </c>
      <c r="T146" s="73">
        <f t="shared" si="113"/>
      </c>
      <c r="U146" s="32">
        <f t="shared" si="94"/>
      </c>
      <c r="V146" s="31">
        <f t="shared" si="75"/>
      </c>
      <c r="W146" s="31">
        <f t="shared" si="29"/>
      </c>
      <c r="X146" s="32">
        <f t="shared" si="284"/>
      </c>
      <c r="Y146" s="33">
        <f t="shared" si="246"/>
      </c>
      <c r="Z146" s="32">
        <f t="shared" si="208"/>
      </c>
      <c r="AA146" s="34">
        <f t="shared" si="151"/>
      </c>
      <c r="AB146" s="35" t="s">
        <v>46</v>
      </c>
      <c r="AC146" s="105" t="s">
        <v>72</v>
      </c>
      <c r="AD146" s="26">
        <v>6</v>
      </c>
      <c r="AE146" s="74">
        <v>18062</v>
      </c>
      <c r="AF146" s="75">
        <v>874</v>
      </c>
      <c r="AG146" s="75">
        <v>1308</v>
      </c>
      <c r="AH146" s="75">
        <v>97</v>
      </c>
      <c r="AI146" s="75">
        <v>63</v>
      </c>
      <c r="AJ146" s="41">
        <v>11</v>
      </c>
      <c r="AK146" s="41">
        <v>29</v>
      </c>
      <c r="AL146" s="41">
        <v>1</v>
      </c>
      <c r="AM146" s="42"/>
    </row>
    <row customHeight="true" ht="18.452380952380953" r="147">
      <c r="A147" s="20"/>
      <c r="B147" s="53" t="s">
        <v>51</v>
      </c>
      <c r="C147" s="53"/>
      <c r="D147" s="53">
        <f>SUM(D144:D146)</f>
      </c>
      <c r="E147" s="53">
        <f>SUM(E144:E146)</f>
      </c>
      <c r="F147" s="53">
        <f>SUM(F144:F146)</f>
      </c>
      <c r="G147" s="53">
        <f>SUM(G144:G146)</f>
      </c>
      <c r="H147" s="53">
        <f>SUM(H144:H146)</f>
      </c>
      <c r="I147" s="53">
        <f>SUM(I144:I146)</f>
      </c>
      <c r="J147" s="53">
        <f>SUM(J144:J146)</f>
      </c>
      <c r="K147" s="53">
        <f>SUM(K144:K146)</f>
      </c>
      <c r="L147" s="53">
        <f>SUM(L144:L146)</f>
      </c>
      <c r="M147" s="53">
        <f>SUM(M144:M146)</f>
      </c>
      <c r="N147" s="54">
        <f t="shared" si="10"/>
      </c>
      <c r="O147" s="81">
        <f t="shared" si="265"/>
      </c>
      <c r="P147" s="82">
        <f t="shared" si="227"/>
      </c>
      <c r="Q147" s="83">
        <f t="shared" si="170"/>
      </c>
      <c r="R147" s="84">
        <f t="shared" si="132"/>
      </c>
      <c r="S147" s="83">
        <f t="shared" si="189"/>
      </c>
      <c r="T147" s="59">
        <f t="shared" si="113"/>
      </c>
      <c r="U147" s="60">
        <f t="shared" si="94"/>
      </c>
      <c r="V147" s="59">
        <f t="shared" si="75"/>
      </c>
      <c r="W147" s="59">
        <f t="shared" si="29"/>
      </c>
      <c r="X147" s="60">
        <f t="shared" si="284"/>
      </c>
      <c r="Y147" s="61">
        <f t="shared" si="246"/>
      </c>
      <c r="Z147" s="60">
        <f t="shared" si="208"/>
      </c>
      <c r="AA147" s="62">
        <f t="shared" si="151"/>
      </c>
      <c r="AB147" s="63"/>
      <c r="AC147" s="62"/>
      <c r="AD147" s="85">
        <f>SUM(AD144:AD146)</f>
      </c>
      <c r="AE147" s="85">
        <f>SUM(AE144:AE146)</f>
      </c>
      <c r="AF147" s="85">
        <f>SUM(AF144:AF146)</f>
      </c>
      <c r="AG147" s="85">
        <f>SUM(AG144:AG146)</f>
      </c>
      <c r="AH147" s="85">
        <f>SUM(AH144:AH146)</f>
      </c>
      <c r="AI147" s="85">
        <f>SUM(AI144:AI146)</f>
      </c>
      <c r="AJ147" s="85">
        <f>SUM(AJ144:AJ146)</f>
      </c>
      <c r="AK147" s="85">
        <f>SUM(AK144:AK146)</f>
      </c>
      <c r="AL147" s="85">
        <f>SUM(AL144:AL146)</f>
      </c>
      <c r="AM147" s="104" t="s">
        <v>57</v>
      </c>
    </row>
    <row r="148">
      <c r="A148" s="20"/>
      <c r="B148" s="88" t="s">
        <v>58</v>
      </c>
      <c r="C148" s="88"/>
      <c r="D148" s="88">
        <f>D138+D143+D147</f>
      </c>
      <c r="E148" s="88">
        <f>E138+E143+E147</f>
      </c>
      <c r="F148" s="88">
        <f>F138+F143+F147</f>
      </c>
      <c r="G148" s="88">
        <f>G138+G143+G147</f>
      </c>
      <c r="H148" s="88">
        <f>H138+H143+H147</f>
      </c>
      <c r="I148" s="88">
        <f>I138+I143+I147</f>
      </c>
      <c r="J148" s="88">
        <f>J138+J143+J147</f>
      </c>
      <c r="K148" s="88">
        <f>K138+K143+K147</f>
      </c>
      <c r="L148" s="88">
        <f>L138+L143+L147</f>
      </c>
      <c r="M148" s="88">
        <f>M138+M143+M147</f>
      </c>
      <c r="N148" s="89">
        <f t="shared" si="10"/>
      </c>
      <c r="O148" s="90">
        <f t="shared" si="265"/>
      </c>
      <c r="P148" s="91">
        <f t="shared" si="227"/>
      </c>
      <c r="Q148" s="92">
        <f t="shared" si="170"/>
      </c>
      <c r="R148" s="90">
        <f t="shared" si="132"/>
      </c>
      <c r="S148" s="92">
        <f t="shared" si="189"/>
      </c>
      <c r="T148" s="92">
        <f t="shared" si="113"/>
      </c>
      <c r="U148" s="90">
        <f t="shared" si="94"/>
      </c>
      <c r="V148" s="92">
        <f t="shared" si="75"/>
      </c>
      <c r="W148" s="92">
        <f t="shared" si="29"/>
      </c>
      <c r="X148" s="90">
        <f t="shared" si="284"/>
      </c>
      <c r="Y148" s="93">
        <f t="shared" si="246"/>
      </c>
      <c r="Z148" s="90">
        <f t="shared" si="208"/>
      </c>
      <c r="AA148" s="91">
        <f t="shared" si="151"/>
      </c>
      <c r="AB148" s="94"/>
      <c r="AC148" s="91"/>
      <c r="AD148" s="96">
        <f>AD138+AD143+AD147</f>
      </c>
      <c r="AE148" s="96">
        <f>AE138+AE143+AE147</f>
      </c>
      <c r="AF148" s="96">
        <f>AF138+AF143+AF147</f>
      </c>
      <c r="AG148" s="96">
        <f>AG138+AG143+AG147</f>
      </c>
      <c r="AH148" s="96">
        <f>AH138+AH143+AH147</f>
      </c>
      <c r="AI148" s="96">
        <f>AI138+AI143+AI147</f>
      </c>
      <c r="AJ148" s="96">
        <f>AJ138+AJ143+AJ147</f>
      </c>
      <c r="AK148" s="96">
        <f>AK138+AK143+AK147</f>
      </c>
      <c r="AL148" s="96">
        <f>AL138+AL143+AL147</f>
      </c>
      <c r="AM148" s="104"/>
    </row>
    <row r="149">
      <c r="A149" s="1" t="s">
        <v>1</v>
      </c>
      <c r="B149" s="1"/>
      <c r="C149" s="1"/>
      <c r="D149" s="2" t="s">
        <v>2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 t="s">
        <v>3</v>
      </c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4" t="s">
        <v>4</v>
      </c>
      <c r="AE149" s="4"/>
      <c r="AF149" s="4"/>
      <c r="AG149" s="4"/>
      <c r="AH149" s="4"/>
      <c r="AI149" s="4"/>
      <c r="AJ149" s="4"/>
      <c r="AK149" s="4"/>
      <c r="AL149" s="4"/>
      <c r="AM149" s="5"/>
    </row>
    <row r="150">
      <c r="A150" s="1" t="s">
        <v>5</v>
      </c>
      <c r="B150" s="6" t="s">
        <v>6</v>
      </c>
      <c r="C150" s="6" t="s">
        <v>7</v>
      </c>
      <c r="D150" s="7" t="s">
        <v>8</v>
      </c>
      <c r="E150" s="8" t="s">
        <v>9</v>
      </c>
      <c r="F150" s="8" t="s">
        <v>10</v>
      </c>
      <c r="G150" s="9" t="s">
        <v>11</v>
      </c>
      <c r="H150" s="10" t="s">
        <v>12</v>
      </c>
      <c r="I150" s="97" t="s">
        <v>13</v>
      </c>
      <c r="J150" s="2" t="s">
        <v>14</v>
      </c>
      <c r="K150" s="2" t="s">
        <v>15</v>
      </c>
      <c r="L150" s="13" t="s">
        <v>16</v>
      </c>
      <c r="M150" s="13" t="s">
        <v>17</v>
      </c>
      <c r="N150" s="9" t="s">
        <v>18</v>
      </c>
      <c r="O150" s="13" t="s">
        <v>19</v>
      </c>
      <c r="P150" s="3" t="s">
        <v>20</v>
      </c>
      <c r="Q150" s="3" t="s">
        <v>21</v>
      </c>
      <c r="R150" s="3" t="s">
        <v>22</v>
      </c>
      <c r="S150" s="14" t="s">
        <v>23</v>
      </c>
      <c r="T150" s="14" t="s">
        <v>24</v>
      </c>
      <c r="U150" s="3" t="s">
        <v>25</v>
      </c>
      <c r="V150" s="14" t="s">
        <v>26</v>
      </c>
      <c r="W150" s="14" t="s">
        <v>27</v>
      </c>
      <c r="X150" s="3" t="s">
        <v>28</v>
      </c>
      <c r="Y150" s="14" t="s">
        <v>29</v>
      </c>
      <c r="Z150" s="3" t="s">
        <v>30</v>
      </c>
      <c r="AA150" s="15" t="s">
        <v>31</v>
      </c>
      <c r="AB150" s="15" t="s">
        <v>32</v>
      </c>
      <c r="AC150" s="16" t="s">
        <v>33</v>
      </c>
      <c r="AD150" s="17" t="s">
        <v>34</v>
      </c>
      <c r="AE150" s="18" t="s">
        <v>35</v>
      </c>
      <c r="AF150" s="18" t="s">
        <v>36</v>
      </c>
      <c r="AG150" s="18" t="s">
        <v>37</v>
      </c>
      <c r="AH150" s="18" t="s">
        <v>38</v>
      </c>
      <c r="AI150" s="18" t="s">
        <v>39</v>
      </c>
      <c r="AJ150" s="19" t="s">
        <v>40</v>
      </c>
      <c r="AK150" s="19" t="s">
        <v>41</v>
      </c>
      <c r="AL150" s="19" t="s">
        <v>42</v>
      </c>
      <c r="AM150" s="5"/>
    </row>
    <row r="151">
      <c r="A151" s="20" t="s">
        <v>75</v>
      </c>
      <c r="B151" s="21" t="s">
        <v>44</v>
      </c>
      <c r="C151" s="22" t="s">
        <v>45</v>
      </c>
      <c r="D151" s="23">
        <f t="shared" ref="D151:D154" si="57">E151+F151+G151+H151</f>
      </c>
      <c r="E151" s="39">
        <v>2138.35</v>
      </c>
      <c r="F151" s="26"/>
      <c r="G151" s="26">
        <v>1281.1</v>
      </c>
      <c r="H151" s="43"/>
      <c r="I151" s="24">
        <v>1</v>
      </c>
      <c r="J151" s="25">
        <v>869</v>
      </c>
      <c r="K151" s="40">
        <v>0</v>
      </c>
      <c r="L151" s="40">
        <v>1</v>
      </c>
      <c r="M151" s="40">
        <v>0</v>
      </c>
      <c r="N151" s="29">
        <f t="shared" ref="N151:N165" si="11">J151/D151</f>
      </c>
      <c r="O151" s="29">
        <f t="shared" ref="O151:O165" si="266">J151/(D151+300*AL151)</f>
      </c>
      <c r="P151" s="30">
        <f t="shared" ref="P151:P165" si="228">(D151/AE151)*1000</f>
      </c>
      <c r="Q151" s="31">
        <f t="shared" ref="Q151:Q165" si="171">AF151/AE151</f>
      </c>
      <c r="R151" s="32">
        <f t="shared" ref="R151:R165" si="133">D151/AG151</f>
      </c>
      <c r="S151" s="31">
        <f t="shared" ref="S151:S165" si="190">AH151/AG151</f>
      </c>
      <c r="T151" s="31">
        <f t="shared" ref="T151:T165" si="114">AI151/AG151</f>
      </c>
      <c r="U151" s="32">
        <f t="shared" ref="U151:U165" si="95">D151/AI151</f>
      </c>
      <c r="V151" s="31">
        <f t="shared" ref="V151:V165" si="76">AJ151/AI151</f>
      </c>
      <c r="W151" s="31">
        <f t="shared" ref="W151:W165" si="30">I151/AJ151</f>
      </c>
      <c r="X151" s="32">
        <f t="shared" ref="X151:X165" si="285">D151/I151</f>
      </c>
      <c r="Y151" s="33">
        <f t="shared" ref="Y151:Y165" si="247">J151/I151</f>
      </c>
      <c r="Z151" s="32">
        <f t="shared" ref="Z151:Z165" si="209">D151/AD151</f>
      </c>
      <c r="AA151" s="34">
        <f t="shared" ref="AA151:AA165" si="152">AK151*1000/D151</f>
      </c>
      <c r="AB151" s="35" t="s">
        <v>46</v>
      </c>
      <c r="AC151" s="105" t="s">
        <v>47</v>
      </c>
      <c r="AD151" s="107">
        <v>1</v>
      </c>
      <c r="AE151" s="38">
        <v>12145</v>
      </c>
      <c r="AF151" s="21">
        <v>507</v>
      </c>
      <c r="AG151" s="26">
        <v>834</v>
      </c>
      <c r="AH151" s="26">
        <v>69</v>
      </c>
      <c r="AI151" s="21">
        <v>21</v>
      </c>
      <c r="AJ151" s="25">
        <v>3</v>
      </c>
      <c r="AK151" s="40">
        <v>14</v>
      </c>
      <c r="AL151" s="41">
        <v>1</v>
      </c>
      <c r="AM151" s="42"/>
    </row>
    <row r="152">
      <c r="A152" s="20"/>
      <c r="B152" s="43" t="s">
        <v>48</v>
      </c>
      <c r="C152" s="44" t="s">
        <v>45</v>
      </c>
      <c r="D152" s="26">
        <f t="shared" si="57"/>
      </c>
      <c r="E152" s="47">
        <v>2219.97</v>
      </c>
      <c r="F152" s="47"/>
      <c r="G152" s="21">
        <v>712.45</v>
      </c>
      <c r="H152" s="43"/>
      <c r="I152" s="48">
        <v>2</v>
      </c>
      <c r="J152" s="21">
        <v>4536</v>
      </c>
      <c r="K152" s="25">
        <v>0</v>
      </c>
      <c r="L152" s="40">
        <v>0</v>
      </c>
      <c r="M152" s="40">
        <v>2</v>
      </c>
      <c r="N152" s="29">
        <f t="shared" si="11"/>
      </c>
      <c r="O152" s="29">
        <f t="shared" si="266"/>
      </c>
      <c r="P152" s="30">
        <f t="shared" si="228"/>
      </c>
      <c r="Q152" s="108">
        <f t="shared" si="171"/>
      </c>
      <c r="R152" s="32">
        <f t="shared" si="133"/>
      </c>
      <c r="S152" s="31">
        <f t="shared" si="190"/>
      </c>
      <c r="T152" s="31">
        <f t="shared" si="114"/>
      </c>
      <c r="U152" s="32">
        <f t="shared" si="95"/>
      </c>
      <c r="V152" s="31">
        <f t="shared" si="76"/>
      </c>
      <c r="W152" s="31">
        <f t="shared" si="30"/>
      </c>
      <c r="X152" s="32">
        <f t="shared" si="285"/>
      </c>
      <c r="Y152" s="33">
        <f t="shared" si="247"/>
      </c>
      <c r="Z152" s="32">
        <f t="shared" si="209"/>
      </c>
      <c r="AA152" s="34">
        <f t="shared" si="152"/>
      </c>
      <c r="AB152" s="35" t="s">
        <v>46</v>
      </c>
      <c r="AC152" s="109" t="s">
        <v>47</v>
      </c>
      <c r="AD152" s="39">
        <v>2</v>
      </c>
      <c r="AE152" s="47">
        <v>6927</v>
      </c>
      <c r="AF152" s="47">
        <v>260</v>
      </c>
      <c r="AG152" s="48">
        <v>428</v>
      </c>
      <c r="AH152" s="21">
        <v>62</v>
      </c>
      <c r="AI152" s="21">
        <v>22</v>
      </c>
      <c r="AJ152" s="49">
        <v>6</v>
      </c>
      <c r="AK152" s="50">
        <v>16</v>
      </c>
      <c r="AL152" s="41">
        <v>1</v>
      </c>
      <c r="AM152" s="42"/>
    </row>
    <row r="153">
      <c r="A153" s="20"/>
      <c r="B153" s="43" t="s">
        <v>49</v>
      </c>
      <c r="C153" s="39" t="s">
        <v>45</v>
      </c>
      <c r="D153" s="26">
        <f t="shared" si="57"/>
      </c>
      <c r="E153" s="26">
        <v>1900.25</v>
      </c>
      <c r="F153" s="26"/>
      <c r="G153" s="21">
        <v>1343.8</v>
      </c>
      <c r="H153" s="21"/>
      <c r="I153" s="51">
        <v>2</v>
      </c>
      <c r="J153" s="51">
        <v>3216</v>
      </c>
      <c r="K153" s="51">
        <v>0</v>
      </c>
      <c r="L153" s="51">
        <v>1</v>
      </c>
      <c r="M153" s="51">
        <v>1</v>
      </c>
      <c r="N153" s="29">
        <f t="shared" si="11"/>
      </c>
      <c r="O153" s="29">
        <f t="shared" si="266"/>
      </c>
      <c r="P153" s="110">
        <f t="shared" si="228"/>
      </c>
      <c r="Q153" s="71">
        <f t="shared" si="171"/>
      </c>
      <c r="R153" s="111">
        <f t="shared" si="133"/>
      </c>
      <c r="S153" s="31">
        <f t="shared" si="190"/>
      </c>
      <c r="T153" s="31">
        <f t="shared" si="114"/>
      </c>
      <c r="U153" s="32">
        <f t="shared" si="95"/>
      </c>
      <c r="V153" s="31">
        <f t="shared" si="76"/>
      </c>
      <c r="W153" s="31">
        <f t="shared" si="30"/>
      </c>
      <c r="X153" s="32">
        <f t="shared" si="285"/>
      </c>
      <c r="Y153" s="33">
        <f t="shared" si="247"/>
      </c>
      <c r="Z153" s="32">
        <f t="shared" si="209"/>
      </c>
      <c r="AA153" s="34">
        <f t="shared" si="152"/>
      </c>
      <c r="AB153" s="35" t="s">
        <v>46</v>
      </c>
      <c r="AC153" s="105" t="s">
        <v>47</v>
      </c>
      <c r="AD153" s="45">
        <v>1</v>
      </c>
      <c r="AE153" s="26">
        <v>9187</v>
      </c>
      <c r="AF153" s="26">
        <v>405</v>
      </c>
      <c r="AG153" s="21">
        <v>589</v>
      </c>
      <c r="AH153" s="21">
        <v>63</v>
      </c>
      <c r="AI153" s="21">
        <v>36</v>
      </c>
      <c r="AJ153" s="49">
        <v>5</v>
      </c>
      <c r="AK153" s="50">
        <v>13</v>
      </c>
      <c r="AL153" s="41">
        <v>1</v>
      </c>
      <c r="AM153" s="42"/>
    </row>
    <row r="154">
      <c r="A154" s="20"/>
      <c r="B154" s="43" t="s">
        <v>50</v>
      </c>
      <c r="C154" s="48" t="s">
        <v>45</v>
      </c>
      <c r="D154" s="26">
        <f t="shared" si="57"/>
      </c>
      <c r="E154" s="26">
        <v>1294.91</v>
      </c>
      <c r="F154" s="26"/>
      <c r="G154" s="21">
        <v>1129.93</v>
      </c>
      <c r="H154" s="21"/>
      <c r="I154" s="40">
        <v>0</v>
      </c>
      <c r="J154" s="40">
        <v>0</v>
      </c>
      <c r="K154" s="40">
        <v>0</v>
      </c>
      <c r="L154" s="40">
        <v>0</v>
      </c>
      <c r="M154" s="40">
        <v>0</v>
      </c>
      <c r="N154" s="29">
        <f t="shared" si="11"/>
      </c>
      <c r="O154" s="29">
        <f t="shared" si="266"/>
      </c>
      <c r="P154" s="30">
        <f t="shared" si="228"/>
      </c>
      <c r="Q154" s="112">
        <f t="shared" si="171"/>
      </c>
      <c r="R154" s="32">
        <f t="shared" si="133"/>
      </c>
      <c r="S154" s="31">
        <f t="shared" si="190"/>
      </c>
      <c r="T154" s="31">
        <f t="shared" si="114"/>
      </c>
      <c r="U154" s="32">
        <f t="shared" si="95"/>
      </c>
      <c r="V154" s="31">
        <f t="shared" si="76"/>
      </c>
      <c r="W154" s="31">
        <f t="shared" si="30"/>
      </c>
      <c r="X154" s="32">
        <f t="shared" si="285"/>
      </c>
      <c r="Y154" s="33">
        <f t="shared" si="247"/>
      </c>
      <c r="Z154" s="32">
        <f t="shared" si="209"/>
      </c>
      <c r="AA154" s="34">
        <f t="shared" si="152"/>
      </c>
      <c r="AB154" s="35" t="s">
        <v>46</v>
      </c>
      <c r="AC154" s="105" t="s">
        <v>47</v>
      </c>
      <c r="AD154" s="45">
        <v>0</v>
      </c>
      <c r="AE154" s="47">
        <v>6754</v>
      </c>
      <c r="AF154" s="21">
        <v>242</v>
      </c>
      <c r="AG154" s="21">
        <v>462</v>
      </c>
      <c r="AH154" s="21">
        <v>39</v>
      </c>
      <c r="AI154" s="21">
        <v>19</v>
      </c>
      <c r="AJ154" s="49">
        <v>1</v>
      </c>
      <c r="AK154" s="50">
        <v>15</v>
      </c>
      <c r="AL154" s="41">
        <v>1</v>
      </c>
      <c r="AM154" s="42"/>
    </row>
    <row r="155">
      <c r="A155" s="20"/>
      <c r="B155" s="53" t="s">
        <v>51</v>
      </c>
      <c r="C155" s="53"/>
      <c r="D155" s="53">
        <f>SUM(D151:D154)</f>
      </c>
      <c r="E155" s="53">
        <f>SUM(E151:E154)</f>
      </c>
      <c r="F155" s="53">
        <f>SUM(F151:F154)</f>
      </c>
      <c r="G155" s="53">
        <f>SUM(G151:G154)</f>
      </c>
      <c r="H155" s="53">
        <f>SUM(H151:H154)</f>
      </c>
      <c r="I155" s="53">
        <f>SUM(I151:I154)</f>
      </c>
      <c r="J155" s="53">
        <f>SUM(J151:J154)</f>
      </c>
      <c r="K155" s="53">
        <f>SUM(K151:K154)</f>
      </c>
      <c r="L155" s="53">
        <f>SUM(L151:L154)</f>
      </c>
      <c r="M155" s="53">
        <f>SUM(M151:M154)</f>
      </c>
      <c r="N155" s="54">
        <f t="shared" si="11"/>
      </c>
      <c r="O155" s="55">
        <f t="shared" si="266"/>
      </c>
      <c r="P155" s="56">
        <f t="shared" si="228"/>
      </c>
      <c r="Q155" s="57">
        <f t="shared" si="171"/>
      </c>
      <c r="R155" s="58">
        <f t="shared" si="133"/>
      </c>
      <c r="S155" s="57">
        <f t="shared" si="190"/>
      </c>
      <c r="T155" s="59">
        <f t="shared" si="114"/>
      </c>
      <c r="U155" s="60">
        <f t="shared" si="95"/>
      </c>
      <c r="V155" s="59">
        <f t="shared" si="76"/>
      </c>
      <c r="W155" s="59">
        <f t="shared" si="30"/>
      </c>
      <c r="X155" s="60">
        <f t="shared" si="285"/>
      </c>
      <c r="Y155" s="61">
        <f t="shared" si="247"/>
      </c>
      <c r="Z155" s="60">
        <f t="shared" si="209"/>
      </c>
      <c r="AA155" s="62">
        <f t="shared" si="152"/>
      </c>
      <c r="AB155" s="63"/>
      <c r="AC155" s="62"/>
      <c r="AD155" s="102">
        <f>SUM(AD151:AD154)</f>
      </c>
      <c r="AE155" s="66">
        <f>SUM(AE151:AE154)</f>
      </c>
      <c r="AF155" s="66">
        <f>SUM(AF151:AF154)</f>
      </c>
      <c r="AG155" s="66">
        <f>SUM(AG151:AG154)</f>
      </c>
      <c r="AH155" s="66">
        <f>SUM(AH151:AH154)</f>
      </c>
      <c r="AI155" s="66">
        <f>SUM(AI151:AI154)</f>
      </c>
      <c r="AJ155" s="66">
        <f>SUM(AJ151:AJ154)</f>
      </c>
      <c r="AK155" s="66">
        <f>SUM(AK151:AK154)</f>
      </c>
      <c r="AL155" s="66">
        <f>SUM(AL151:AL154)</f>
      </c>
      <c r="AM155" s="42"/>
    </row>
    <row r="156">
      <c r="A156" s="20"/>
      <c r="B156" s="48" t="s">
        <v>52</v>
      </c>
      <c r="C156" s="22" t="s">
        <v>53</v>
      </c>
      <c r="D156" s="21">
        <f t="shared" ref="D156:D159" si="297">E156+G156</f>
      </c>
      <c r="E156" s="21">
        <v>2080.45</v>
      </c>
      <c r="F156" s="26"/>
      <c r="G156" s="21">
        <v>1833.41</v>
      </c>
      <c r="H156" s="21"/>
      <c r="I156" s="40">
        <v>4</v>
      </c>
      <c r="J156" s="40">
        <v>7752</v>
      </c>
      <c r="K156" s="40">
        <v>0</v>
      </c>
      <c r="L156" s="40">
        <v>1</v>
      </c>
      <c r="M156" s="67">
        <v>3</v>
      </c>
      <c r="N156" s="68">
        <f t="shared" si="11"/>
      </c>
      <c r="O156" s="29">
        <f t="shared" si="266"/>
      </c>
      <c r="P156" s="30">
        <f t="shared" si="228"/>
      </c>
      <c r="Q156" s="31">
        <f t="shared" si="171"/>
      </c>
      <c r="R156" s="32">
        <f t="shared" si="133"/>
      </c>
      <c r="S156" s="31">
        <f t="shared" si="190"/>
      </c>
      <c r="T156" s="73">
        <f t="shared" si="114"/>
      </c>
      <c r="U156" s="32">
        <f t="shared" si="95"/>
      </c>
      <c r="V156" s="31">
        <f t="shared" si="76"/>
      </c>
      <c r="W156" s="31">
        <f t="shared" si="30"/>
      </c>
      <c r="X156" s="32">
        <f t="shared" si="285"/>
      </c>
      <c r="Y156" s="33">
        <f t="shared" si="247"/>
      </c>
      <c r="Z156" s="32">
        <f t="shared" si="209"/>
      </c>
      <c r="AA156" s="34">
        <f t="shared" si="152"/>
      </c>
      <c r="AB156" s="35" t="s">
        <v>46</v>
      </c>
      <c r="AC156" s="105" t="s">
        <v>47</v>
      </c>
      <c r="AD156" s="26">
        <v>4</v>
      </c>
      <c r="AE156" s="74">
        <v>13526</v>
      </c>
      <c r="AF156" s="75">
        <v>522</v>
      </c>
      <c r="AG156" s="75">
        <v>822</v>
      </c>
      <c r="AH156" s="75">
        <v>82</v>
      </c>
      <c r="AI156" s="75">
        <v>38</v>
      </c>
      <c r="AJ156" s="41">
        <v>11</v>
      </c>
      <c r="AK156" s="41">
        <v>18</v>
      </c>
      <c r="AL156" s="41">
        <v>1</v>
      </c>
      <c r="AM156" s="42"/>
    </row>
    <row r="157">
      <c r="A157" s="20"/>
      <c r="B157" s="48" t="s">
        <v>54</v>
      </c>
      <c r="C157" s="22" t="s">
        <v>53</v>
      </c>
      <c r="D157" s="21">
        <f t="shared" si="297"/>
      </c>
      <c r="E157" s="21">
        <v>1251.22</v>
      </c>
      <c r="F157" s="26"/>
      <c r="G157" s="21">
        <v>1630.78</v>
      </c>
      <c r="H157" s="21"/>
      <c r="I157" s="40">
        <v>3</v>
      </c>
      <c r="J157" s="40">
        <v>6804</v>
      </c>
      <c r="K157" s="40">
        <v>0</v>
      </c>
      <c r="L157" s="40">
        <v>0</v>
      </c>
      <c r="M157" s="40">
        <v>3</v>
      </c>
      <c r="N157" s="68">
        <f t="shared" si="11"/>
      </c>
      <c r="O157" s="29">
        <f t="shared" si="266"/>
      </c>
      <c r="P157" s="30">
        <f t="shared" si="228"/>
      </c>
      <c r="Q157" s="31">
        <f t="shared" si="171"/>
      </c>
      <c r="R157" s="32">
        <f t="shared" si="133"/>
      </c>
      <c r="S157" s="31">
        <f t="shared" si="190"/>
      </c>
      <c r="T157" s="73">
        <f t="shared" si="114"/>
      </c>
      <c r="U157" s="32">
        <f t="shared" si="95"/>
      </c>
      <c r="V157" s="31">
        <f t="shared" si="76"/>
      </c>
      <c r="W157" s="31">
        <f t="shared" si="30"/>
      </c>
      <c r="X157" s="32">
        <f t="shared" si="285"/>
      </c>
      <c r="Y157" s="33">
        <f t="shared" si="247"/>
      </c>
      <c r="Z157" s="32">
        <f t="shared" si="209"/>
      </c>
      <c r="AA157" s="34">
        <f t="shared" si="152"/>
      </c>
      <c r="AB157" s="35" t="s">
        <v>46</v>
      </c>
      <c r="AC157" s="105" t="s">
        <v>47</v>
      </c>
      <c r="AD157" s="26">
        <v>3</v>
      </c>
      <c r="AE157" s="74">
        <v>9936</v>
      </c>
      <c r="AF157" s="75">
        <v>473</v>
      </c>
      <c r="AG157" s="75">
        <v>747</v>
      </c>
      <c r="AH157" s="75">
        <v>92</v>
      </c>
      <c r="AI157" s="75">
        <v>39</v>
      </c>
      <c r="AJ157" s="41">
        <v>5</v>
      </c>
      <c r="AK157" s="41">
        <v>23</v>
      </c>
      <c r="AL157" s="41">
        <v>1</v>
      </c>
      <c r="AM157" s="42"/>
    </row>
    <row r="158">
      <c r="A158" s="20"/>
      <c r="B158" s="21" t="s">
        <v>55</v>
      </c>
      <c r="C158" s="22" t="s">
        <v>53</v>
      </c>
      <c r="D158" s="21">
        <f t="shared" si="297"/>
      </c>
      <c r="E158" s="21">
        <v>1306.16</v>
      </c>
      <c r="F158" s="26"/>
      <c r="G158" s="21">
        <v>1490.54</v>
      </c>
      <c r="H158" s="21"/>
      <c r="I158" s="40">
        <v>2</v>
      </c>
      <c r="J158" s="40">
        <v>3216</v>
      </c>
      <c r="K158" s="40">
        <v>0</v>
      </c>
      <c r="L158" s="40">
        <v>1</v>
      </c>
      <c r="M158" s="40">
        <v>1</v>
      </c>
      <c r="N158" s="103">
        <f t="shared" si="11"/>
      </c>
      <c r="O158" s="29">
        <f t="shared" si="266"/>
      </c>
      <c r="P158" s="30">
        <f t="shared" si="228"/>
      </c>
      <c r="Q158" s="31">
        <f t="shared" si="171"/>
      </c>
      <c r="R158" s="32">
        <f t="shared" si="133"/>
      </c>
      <c r="S158" s="31">
        <f t="shared" si="190"/>
      </c>
      <c r="T158" s="73">
        <f t="shared" si="114"/>
      </c>
      <c r="U158" s="32">
        <f t="shared" si="95"/>
      </c>
      <c r="V158" s="31">
        <f t="shared" si="76"/>
      </c>
      <c r="W158" s="31">
        <f t="shared" si="30"/>
      </c>
      <c r="X158" s="32">
        <f t="shared" si="285"/>
      </c>
      <c r="Y158" s="33">
        <f t="shared" si="247"/>
      </c>
      <c r="Z158" s="32">
        <f t="shared" si="209"/>
      </c>
      <c r="AA158" s="34">
        <f t="shared" si="152"/>
      </c>
      <c r="AB158" s="35" t="s">
        <v>46</v>
      </c>
      <c r="AC158" s="105" t="s">
        <v>47</v>
      </c>
      <c r="AD158" s="26">
        <v>0</v>
      </c>
      <c r="AE158" s="74">
        <v>9043</v>
      </c>
      <c r="AF158" s="75">
        <v>441</v>
      </c>
      <c r="AG158" s="75">
        <v>659</v>
      </c>
      <c r="AH158" s="75">
        <v>63</v>
      </c>
      <c r="AI158" s="41">
        <v>32</v>
      </c>
      <c r="AJ158" s="41">
        <v>4</v>
      </c>
      <c r="AK158" s="41">
        <v>15</v>
      </c>
      <c r="AL158" s="41">
        <v>1</v>
      </c>
      <c r="AM158" s="42"/>
    </row>
    <row r="159">
      <c r="A159" s="20"/>
      <c r="B159" s="43" t="s">
        <v>56</v>
      </c>
      <c r="C159" s="21" t="s">
        <v>53</v>
      </c>
      <c r="D159" s="21">
        <f t="shared" si="297"/>
      </c>
      <c r="E159" s="21">
        <v>1445.07</v>
      </c>
      <c r="F159" s="26"/>
      <c r="G159" s="21">
        <v>1028.02</v>
      </c>
      <c r="H159" s="21"/>
      <c r="I159" s="40">
        <v>1</v>
      </c>
      <c r="J159" s="40">
        <v>2268</v>
      </c>
      <c r="K159" s="40">
        <v>0</v>
      </c>
      <c r="L159" s="40">
        <v>0</v>
      </c>
      <c r="M159" s="40">
        <v>1</v>
      </c>
      <c r="N159" s="68">
        <f t="shared" si="11"/>
      </c>
      <c r="O159" s="29">
        <f t="shared" si="266"/>
      </c>
      <c r="P159" s="30">
        <f t="shared" si="228"/>
      </c>
      <c r="Q159" s="31">
        <f t="shared" si="171"/>
      </c>
      <c r="R159" s="32">
        <f t="shared" si="133"/>
      </c>
      <c r="S159" s="31">
        <f t="shared" si="190"/>
      </c>
      <c r="T159" s="73">
        <f t="shared" si="114"/>
      </c>
      <c r="U159" s="32">
        <f t="shared" si="95"/>
      </c>
      <c r="V159" s="31">
        <f t="shared" si="76"/>
      </c>
      <c r="W159" s="31">
        <f t="shared" si="30"/>
      </c>
      <c r="X159" s="32">
        <f t="shared" si="285"/>
      </c>
      <c r="Y159" s="33">
        <f t="shared" si="247"/>
      </c>
      <c r="Z159" s="32">
        <f t="shared" si="209"/>
      </c>
      <c r="AA159" s="34">
        <f t="shared" si="152"/>
      </c>
      <c r="AB159" s="35" t="s">
        <v>46</v>
      </c>
      <c r="AC159" s="105" t="s">
        <v>47</v>
      </c>
      <c r="AD159" s="26">
        <v>2</v>
      </c>
      <c r="AE159" s="74">
        <v>6627</v>
      </c>
      <c r="AF159" s="75">
        <v>318</v>
      </c>
      <c r="AG159" s="75">
        <v>508</v>
      </c>
      <c r="AH159" s="75">
        <v>72</v>
      </c>
      <c r="AI159" s="75">
        <v>24</v>
      </c>
      <c r="AJ159" s="41">
        <v>3</v>
      </c>
      <c r="AK159" s="41">
        <v>17</v>
      </c>
      <c r="AL159" s="41">
        <v>1</v>
      </c>
      <c r="AM159" s="42"/>
    </row>
    <row r="160">
      <c r="A160" s="20"/>
      <c r="B160" s="53" t="s">
        <v>51</v>
      </c>
      <c r="C160" s="53"/>
      <c r="D160" s="53">
        <f>SUM(D156:D159)</f>
      </c>
      <c r="E160" s="53">
        <f>SUM(E156:E159)</f>
      </c>
      <c r="F160" s="53">
        <f>SUM(F156:F159)</f>
      </c>
      <c r="G160" s="53">
        <f>SUM(G156:G159)</f>
      </c>
      <c r="H160" s="53">
        <f>SUM(H156:H159)</f>
      </c>
      <c r="I160" s="53">
        <f>SUM(I156:I159)</f>
      </c>
      <c r="J160" s="53">
        <f>SUM(J156:J159)</f>
      </c>
      <c r="K160" s="53">
        <f>SUM(K156:K159)</f>
      </c>
      <c r="L160" s="53">
        <f>SUM(L156:L159)</f>
      </c>
      <c r="M160" s="53">
        <f>SUM(M156:M159)</f>
      </c>
      <c r="N160" s="54">
        <f t="shared" si="11"/>
      </c>
      <c r="O160" s="81">
        <f t="shared" si="266"/>
      </c>
      <c r="P160" s="82">
        <f t="shared" si="228"/>
      </c>
      <c r="Q160" s="83">
        <f t="shared" si="171"/>
      </c>
      <c r="R160" s="84">
        <f t="shared" si="133"/>
      </c>
      <c r="S160" s="83">
        <f t="shared" si="190"/>
      </c>
      <c r="T160" s="59">
        <f t="shared" si="114"/>
      </c>
      <c r="U160" s="60">
        <f t="shared" si="95"/>
      </c>
      <c r="V160" s="59">
        <f t="shared" si="76"/>
      </c>
      <c r="W160" s="59">
        <f t="shared" si="30"/>
      </c>
      <c r="X160" s="60">
        <f t="shared" si="285"/>
      </c>
      <c r="Y160" s="61">
        <f t="shared" si="247"/>
      </c>
      <c r="Z160" s="60">
        <f t="shared" si="209"/>
      </c>
      <c r="AA160" s="62">
        <f t="shared" si="152"/>
      </c>
      <c r="AB160" s="63"/>
      <c r="AC160" s="62"/>
      <c r="AD160" s="85">
        <f>SUM(AD156:AD159)</f>
      </c>
      <c r="AE160" s="85">
        <f>SUM(AE156:AE159)</f>
      </c>
      <c r="AF160" s="85">
        <f>SUM(AF156:AF159)</f>
      </c>
      <c r="AG160" s="85">
        <f>SUM(AG156:AG159)</f>
      </c>
      <c r="AH160" s="85">
        <f>SUM(AH156:AH159)</f>
      </c>
      <c r="AI160" s="85">
        <f>SUM(AI156:AI159)</f>
      </c>
      <c r="AJ160" s="85">
        <f>SUM(AJ156:AJ159)</f>
      </c>
      <c r="AK160" s="85">
        <f>SUM(AK156:AK159)</f>
      </c>
      <c r="AL160" s="85">
        <f>SUM(AL156:AL159)</f>
      </c>
      <c r="AM160" s="42"/>
    </row>
    <row r="161">
      <c r="A161" s="20"/>
      <c r="B161" s="51" t="s">
        <v>67</v>
      </c>
      <c r="C161" s="67" t="s">
        <v>76</v>
      </c>
      <c r="D161" s="21">
        <f t="shared" ref="D161:D163" si="298">E161+G161</f>
      </c>
      <c r="E161" s="21">
        <v>2159.28</v>
      </c>
      <c r="F161" s="26"/>
      <c r="G161" s="21">
        <v>810.44</v>
      </c>
      <c r="H161" s="21"/>
      <c r="I161" s="40">
        <v>3</v>
      </c>
      <c r="J161" s="40">
        <v>6804</v>
      </c>
      <c r="K161" s="40">
        <v>0</v>
      </c>
      <c r="L161" s="40">
        <v>0</v>
      </c>
      <c r="M161" s="40">
        <v>3</v>
      </c>
      <c r="N161" s="68">
        <f t="shared" si="11"/>
      </c>
      <c r="O161" s="29">
        <f t="shared" si="266"/>
      </c>
      <c r="P161" s="30">
        <f t="shared" si="228"/>
      </c>
      <c r="Q161" s="31">
        <f t="shared" si="171"/>
      </c>
      <c r="R161" s="32">
        <f t="shared" si="133"/>
      </c>
      <c r="S161" s="31">
        <f t="shared" si="190"/>
      </c>
      <c r="T161" s="73">
        <f t="shared" si="114"/>
      </c>
      <c r="U161" s="32">
        <f t="shared" si="95"/>
      </c>
      <c r="V161" s="31">
        <f t="shared" si="76"/>
      </c>
      <c r="W161" s="31">
        <f t="shared" si="30"/>
      </c>
      <c r="X161" s="32">
        <f t="shared" si="285"/>
      </c>
      <c r="Y161" s="33">
        <f t="shared" si="247"/>
      </c>
      <c r="Z161" s="32">
        <f t="shared" si="209"/>
      </c>
      <c r="AA161" s="34">
        <f t="shared" si="152"/>
      </c>
      <c r="AB161" s="35" t="s">
        <v>46</v>
      </c>
      <c r="AC161" s="105" t="s">
        <v>72</v>
      </c>
      <c r="AD161" s="26">
        <v>2</v>
      </c>
      <c r="AE161" s="74">
        <v>9547</v>
      </c>
      <c r="AF161" s="75">
        <v>340</v>
      </c>
      <c r="AG161" s="75">
        <v>572</v>
      </c>
      <c r="AH161" s="75">
        <v>73</v>
      </c>
      <c r="AI161" s="75">
        <v>26</v>
      </c>
      <c r="AJ161" s="41">
        <v>6</v>
      </c>
      <c r="AK161" s="41">
        <v>13</v>
      </c>
      <c r="AL161" s="41">
        <v>1</v>
      </c>
      <c r="AM161" s="42"/>
    </row>
    <row r="162">
      <c r="A162" s="20"/>
      <c r="B162" s="40" t="s">
        <v>73</v>
      </c>
      <c r="C162" s="67" t="s">
        <v>76</v>
      </c>
      <c r="D162" s="21">
        <f t="shared" si="298"/>
      </c>
      <c r="E162" s="21">
        <v>1961.93</v>
      </c>
      <c r="F162" s="26"/>
      <c r="G162" s="21">
        <v>687.98</v>
      </c>
      <c r="H162" s="21"/>
      <c r="I162" s="40">
        <v>1</v>
      </c>
      <c r="J162" s="40">
        <v>2268</v>
      </c>
      <c r="K162" s="40">
        <v>0</v>
      </c>
      <c r="L162" s="40">
        <v>0</v>
      </c>
      <c r="M162" s="40">
        <v>1</v>
      </c>
      <c r="N162" s="103">
        <f t="shared" si="11"/>
      </c>
      <c r="O162" s="29">
        <f t="shared" si="266"/>
      </c>
      <c r="P162" s="30">
        <f t="shared" si="228"/>
      </c>
      <c r="Q162" s="31">
        <f t="shared" si="171"/>
      </c>
      <c r="R162" s="32">
        <f t="shared" si="133"/>
      </c>
      <c r="S162" s="31">
        <f t="shared" si="190"/>
      </c>
      <c r="T162" s="73">
        <f t="shared" si="114"/>
      </c>
      <c r="U162" s="32">
        <f t="shared" si="95"/>
      </c>
      <c r="V162" s="31">
        <f t="shared" si="76"/>
      </c>
      <c r="W162" s="31">
        <f t="shared" si="30"/>
      </c>
      <c r="X162" s="32">
        <f t="shared" si="285"/>
      </c>
      <c r="Y162" s="33">
        <f t="shared" si="247"/>
      </c>
      <c r="Z162" s="32">
        <f t="shared" si="209"/>
      </c>
      <c r="AA162" s="34">
        <f t="shared" si="152"/>
      </c>
      <c r="AB162" s="35" t="s">
        <v>46</v>
      </c>
      <c r="AC162" s="105" t="s">
        <v>72</v>
      </c>
      <c r="AD162" s="26">
        <v>2</v>
      </c>
      <c r="AE162" s="74">
        <v>9731</v>
      </c>
      <c r="AF162" s="75">
        <v>302</v>
      </c>
      <c r="AG162" s="75">
        <v>564</v>
      </c>
      <c r="AH162" s="75">
        <v>79</v>
      </c>
      <c r="AI162" s="41">
        <v>29</v>
      </c>
      <c r="AJ162" s="41">
        <v>2</v>
      </c>
      <c r="AK162" s="41">
        <v>15</v>
      </c>
      <c r="AL162" s="41">
        <v>1</v>
      </c>
      <c r="AM162" s="42"/>
    </row>
    <row r="163">
      <c r="A163" s="20"/>
      <c r="B163" s="27" t="s">
        <v>74</v>
      </c>
      <c r="C163" s="67" t="s">
        <v>76</v>
      </c>
      <c r="D163" s="21">
        <f t="shared" si="298"/>
      </c>
      <c r="E163" s="21">
        <f>1516.16+1.15</f>
      </c>
      <c r="F163" s="26"/>
      <c r="G163" s="21">
        <f>834.34+9.59</f>
      </c>
      <c r="H163" s="21"/>
      <c r="I163" s="40">
        <v>4</v>
      </c>
      <c r="J163" s="40">
        <v>7752</v>
      </c>
      <c r="K163" s="40">
        <v>0</v>
      </c>
      <c r="L163" s="40">
        <v>1</v>
      </c>
      <c r="M163" s="40">
        <v>3</v>
      </c>
      <c r="N163" s="68">
        <f t="shared" si="11"/>
      </c>
      <c r="O163" s="29">
        <f t="shared" si="266"/>
      </c>
      <c r="P163" s="30">
        <f t="shared" si="228"/>
      </c>
      <c r="Q163" s="31">
        <f t="shared" si="171"/>
      </c>
      <c r="R163" s="32">
        <f t="shared" si="133"/>
      </c>
      <c r="S163" s="31">
        <f t="shared" si="190"/>
      </c>
      <c r="T163" s="73">
        <f t="shared" si="114"/>
      </c>
      <c r="U163" s="32">
        <f t="shared" si="95"/>
      </c>
      <c r="V163" s="31">
        <f t="shared" si="76"/>
      </c>
      <c r="W163" s="31">
        <f t="shared" si="30"/>
      </c>
      <c r="X163" s="32">
        <f t="shared" si="285"/>
      </c>
      <c r="Y163" s="33">
        <f t="shared" si="247"/>
      </c>
      <c r="Z163" s="32">
        <f t="shared" si="209"/>
      </c>
      <c r="AA163" s="34">
        <f t="shared" si="152"/>
      </c>
      <c r="AB163" s="35" t="s">
        <v>46</v>
      </c>
      <c r="AC163" s="105" t="s">
        <v>72</v>
      </c>
      <c r="AD163" s="26">
        <v>4</v>
      </c>
      <c r="AE163" s="74">
        <v>11549</v>
      </c>
      <c r="AF163" s="75">
        <v>400</v>
      </c>
      <c r="AG163" s="75">
        <v>824</v>
      </c>
      <c r="AH163" s="75">
        <v>89</v>
      </c>
      <c r="AI163" s="75">
        <v>22</v>
      </c>
      <c r="AJ163" s="41">
        <v>7</v>
      </c>
      <c r="AK163" s="41">
        <v>18</v>
      </c>
      <c r="AL163" s="41">
        <v>1</v>
      </c>
      <c r="AM163" s="42"/>
    </row>
    <row r="164">
      <c r="A164" s="20"/>
      <c r="B164" s="53" t="s">
        <v>51</v>
      </c>
      <c r="C164" s="53"/>
      <c r="D164" s="53">
        <f>SUM(D161:D163)</f>
      </c>
      <c r="E164" s="53">
        <f>SUM(E161:E163)</f>
      </c>
      <c r="F164" s="53">
        <f>SUM(F161:F163)</f>
      </c>
      <c r="G164" s="53">
        <f>SUM(G161:G163)</f>
      </c>
      <c r="H164" s="53">
        <f>SUM(H161:H163)</f>
      </c>
      <c r="I164" s="53">
        <f>SUM(I161:I163)</f>
      </c>
      <c r="J164" s="53">
        <f>SUM(J161:J163)</f>
      </c>
      <c r="K164" s="53">
        <f>SUM(K161:K163)</f>
      </c>
      <c r="L164" s="53">
        <f>SUM(L161:L163)</f>
      </c>
      <c r="M164" s="53">
        <f>SUM(M161:M163)</f>
      </c>
      <c r="N164" s="54">
        <f t="shared" si="11"/>
      </c>
      <c r="O164" s="81">
        <f t="shared" si="266"/>
      </c>
      <c r="P164" s="82">
        <f t="shared" si="228"/>
      </c>
      <c r="Q164" s="83">
        <f t="shared" si="171"/>
      </c>
      <c r="R164" s="84">
        <f t="shared" si="133"/>
      </c>
      <c r="S164" s="83">
        <f t="shared" si="190"/>
      </c>
      <c r="T164" s="59">
        <f t="shared" si="114"/>
      </c>
      <c r="U164" s="60">
        <f t="shared" si="95"/>
      </c>
      <c r="V164" s="59">
        <f t="shared" si="76"/>
      </c>
      <c r="W164" s="59">
        <f t="shared" si="30"/>
      </c>
      <c r="X164" s="60">
        <f t="shared" si="285"/>
      </c>
      <c r="Y164" s="61">
        <f t="shared" si="247"/>
      </c>
      <c r="Z164" s="60">
        <f t="shared" si="209"/>
      </c>
      <c r="AA164" s="62">
        <f t="shared" si="152"/>
      </c>
      <c r="AB164" s="63"/>
      <c r="AC164" s="62"/>
      <c r="AD164" s="85">
        <f>SUM(AD161:AD163)</f>
      </c>
      <c r="AE164" s="85">
        <f>SUM(AE161:AE163)</f>
      </c>
      <c r="AF164" s="85">
        <f>SUM(AF161:AF163)</f>
      </c>
      <c r="AG164" s="85">
        <f>SUM(AG161:AG163)</f>
      </c>
      <c r="AH164" s="85">
        <f>SUM(AH161:AH163)</f>
      </c>
      <c r="AI164" s="85">
        <f>SUM(AI161:AI163)</f>
      </c>
      <c r="AJ164" s="85">
        <f>SUM(AJ161:AJ163)</f>
      </c>
      <c r="AK164" s="85">
        <f>SUM(AK161:AK163)</f>
      </c>
      <c r="AL164" s="85">
        <f>SUM(AL161:AL163)</f>
      </c>
      <c r="AM164" s="104" t="s">
        <v>57</v>
      </c>
    </row>
    <row r="165">
      <c r="A165" s="20"/>
      <c r="B165" s="88" t="s">
        <v>58</v>
      </c>
      <c r="C165" s="88"/>
      <c r="D165" s="88">
        <f>D155+D160+D164</f>
      </c>
      <c r="E165" s="88">
        <f>E155+E160+E164</f>
      </c>
      <c r="F165" s="88">
        <f>F155+F160+F164</f>
      </c>
      <c r="G165" s="88">
        <f>G155+G160+G164</f>
      </c>
      <c r="H165" s="88">
        <f>H155+H160+H164</f>
      </c>
      <c r="I165" s="88">
        <f>I155+I160+I164</f>
      </c>
      <c r="J165" s="88">
        <f>J155+J160+J164</f>
      </c>
      <c r="K165" s="88">
        <f>K155+K160+K164</f>
      </c>
      <c r="L165" s="88">
        <f>L155+L160+L164</f>
      </c>
      <c r="M165" s="88">
        <f>M155+M160+M164</f>
      </c>
      <c r="N165" s="89">
        <f t="shared" si="11"/>
      </c>
      <c r="O165" s="90">
        <f t="shared" si="266"/>
      </c>
      <c r="P165" s="91">
        <f t="shared" si="228"/>
      </c>
      <c r="Q165" s="92">
        <f t="shared" si="171"/>
      </c>
      <c r="R165" s="90">
        <f t="shared" si="133"/>
      </c>
      <c r="S165" s="92">
        <f t="shared" si="190"/>
      </c>
      <c r="T165" s="92">
        <f t="shared" si="114"/>
      </c>
      <c r="U165" s="90">
        <f t="shared" si="95"/>
      </c>
      <c r="V165" s="92">
        <f t="shared" si="76"/>
      </c>
      <c r="W165" s="92">
        <f t="shared" si="30"/>
      </c>
      <c r="X165" s="90">
        <f t="shared" si="285"/>
      </c>
      <c r="Y165" s="93">
        <f t="shared" si="247"/>
      </c>
      <c r="Z165" s="90">
        <f t="shared" si="209"/>
      </c>
      <c r="AA165" s="91">
        <f t="shared" si="152"/>
      </c>
      <c r="AB165" s="94"/>
      <c r="AC165" s="91"/>
      <c r="AD165" s="96">
        <f>AD155+AD160+AD164</f>
      </c>
      <c r="AE165" s="96">
        <f>AE155+AE160+AE164</f>
      </c>
      <c r="AF165" s="96">
        <f>AF155+AF160+AF164</f>
      </c>
      <c r="AG165" s="96">
        <f>AG155+AG160+AG164</f>
      </c>
      <c r="AH165" s="96">
        <f>AH155+AH160+AH164</f>
      </c>
      <c r="AI165" s="96">
        <f>AI155+AI160+AI164</f>
      </c>
      <c r="AJ165" s="96">
        <f>AJ155+AJ160+AJ164</f>
      </c>
      <c r="AK165" s="96">
        <f>AK155+AK160+AK164</f>
      </c>
      <c r="AL165" s="96">
        <f>AL155+AL160+AL164</f>
      </c>
      <c r="AM165" s="104"/>
    </row>
    <row r="166">
      <c r="A166" s="1" t="s">
        <v>1</v>
      </c>
      <c r="B166" s="1"/>
      <c r="C166" s="1"/>
      <c r="D166" s="2" t="s">
        <v>2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3" t="s">
        <v>3</v>
      </c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4" t="s">
        <v>4</v>
      </c>
      <c r="AE166" s="4"/>
      <c r="AF166" s="4"/>
      <c r="AG166" s="4"/>
      <c r="AH166" s="4"/>
      <c r="AI166" s="4"/>
      <c r="AJ166" s="4"/>
      <c r="AK166" s="4"/>
      <c r="AL166" s="4"/>
      <c r="AM166" s="5"/>
    </row>
    <row r="167">
      <c r="A167" s="1" t="s">
        <v>5</v>
      </c>
      <c r="B167" s="6" t="s">
        <v>6</v>
      </c>
      <c r="C167" s="6" t="s">
        <v>7</v>
      </c>
      <c r="D167" s="7" t="s">
        <v>8</v>
      </c>
      <c r="E167" s="8" t="s">
        <v>9</v>
      </c>
      <c r="F167" s="8" t="s">
        <v>10</v>
      </c>
      <c r="G167" s="9" t="s">
        <v>11</v>
      </c>
      <c r="H167" s="10" t="s">
        <v>12</v>
      </c>
      <c r="I167" s="97" t="s">
        <v>13</v>
      </c>
      <c r="J167" s="2" t="s">
        <v>14</v>
      </c>
      <c r="K167" s="2" t="s">
        <v>15</v>
      </c>
      <c r="L167" s="13" t="s">
        <v>16</v>
      </c>
      <c r="M167" s="13" t="s">
        <v>17</v>
      </c>
      <c r="N167" s="9" t="s">
        <v>18</v>
      </c>
      <c r="O167" s="13" t="s">
        <v>19</v>
      </c>
      <c r="P167" s="3" t="s">
        <v>20</v>
      </c>
      <c r="Q167" s="3" t="s">
        <v>21</v>
      </c>
      <c r="R167" s="3" t="s">
        <v>22</v>
      </c>
      <c r="S167" s="14" t="s">
        <v>23</v>
      </c>
      <c r="T167" s="14" t="s">
        <v>24</v>
      </c>
      <c r="U167" s="3" t="s">
        <v>25</v>
      </c>
      <c r="V167" s="14" t="s">
        <v>26</v>
      </c>
      <c r="W167" s="14" t="s">
        <v>27</v>
      </c>
      <c r="X167" s="3" t="s">
        <v>28</v>
      </c>
      <c r="Y167" s="14" t="s">
        <v>29</v>
      </c>
      <c r="Z167" s="3" t="s">
        <v>30</v>
      </c>
      <c r="AA167" s="15" t="s">
        <v>31</v>
      </c>
      <c r="AB167" s="15" t="s">
        <v>32</v>
      </c>
      <c r="AC167" s="16" t="s">
        <v>33</v>
      </c>
      <c r="AD167" s="17" t="s">
        <v>34</v>
      </c>
      <c r="AE167" s="18" t="s">
        <v>35</v>
      </c>
      <c r="AF167" s="18" t="s">
        <v>36</v>
      </c>
      <c r="AG167" s="18" t="s">
        <v>37</v>
      </c>
      <c r="AH167" s="18" t="s">
        <v>38</v>
      </c>
      <c r="AI167" s="18" t="s">
        <v>39</v>
      </c>
      <c r="AJ167" s="19" t="s">
        <v>40</v>
      </c>
      <c r="AK167" s="19" t="s">
        <v>41</v>
      </c>
      <c r="AL167" s="19" t="s">
        <v>42</v>
      </c>
      <c r="AM167" s="5"/>
    </row>
    <row r="168">
      <c r="A168" s="20" t="s">
        <v>77</v>
      </c>
      <c r="B168" s="21" t="s">
        <v>44</v>
      </c>
      <c r="C168" s="22" t="s">
        <v>45</v>
      </c>
      <c r="D168" s="23">
        <f t="shared" ref="D168:D171" si="58">E168+F168+G168+H168</f>
      </c>
      <c r="E168" s="39">
        <v>2352.63</v>
      </c>
      <c r="F168" s="26"/>
      <c r="G168" s="26">
        <v>912.62</v>
      </c>
      <c r="H168" s="43"/>
      <c r="I168" s="24">
        <v>3</v>
      </c>
      <c r="J168" s="25">
        <v>5484</v>
      </c>
      <c r="K168" s="40">
        <v>0</v>
      </c>
      <c r="L168" s="40">
        <v>1</v>
      </c>
      <c r="M168" s="40">
        <v>2</v>
      </c>
      <c r="N168" s="29">
        <f t="shared" ref="N168:N182" si="12">J168/D168</f>
      </c>
      <c r="O168" s="29">
        <f t="shared" ref="O168:O182" si="267">J168/(D168+300*AL168)</f>
      </c>
      <c r="P168" s="30">
        <f t="shared" ref="P168:P182" si="229">(D168/AE168)*1000</f>
      </c>
      <c r="Q168" s="31">
        <f t="shared" ref="Q168:Q182" si="172">AF168/AE168</f>
      </c>
      <c r="R168" s="32">
        <f t="shared" ref="R168:R182" si="134">D168/AG168</f>
      </c>
      <c r="S168" s="31">
        <f t="shared" ref="S168:S182" si="191">AH168/AG168</f>
      </c>
      <c r="T168" s="31">
        <f t="shared" ref="T168:T182" si="115">AI168/AG168</f>
      </c>
      <c r="U168" s="32">
        <f t="shared" ref="U168:U182" si="96">D168/AI168</f>
      </c>
      <c r="V168" s="31">
        <f t="shared" ref="V168:V182" si="77">AJ168/AI168</f>
      </c>
      <c r="W168" s="31">
        <f t="shared" ref="W168:W182" si="31">I168/AJ168</f>
      </c>
      <c r="X168" s="32">
        <f t="shared" ref="X168:X182" si="286">D168/I168</f>
      </c>
      <c r="Y168" s="33">
        <f t="shared" ref="Y168:Y182" si="248">J168/I168</f>
      </c>
      <c r="Z168" s="32">
        <f t="shared" ref="Z168:Z182" si="210">D168/AD168</f>
      </c>
      <c r="AA168" s="34">
        <f t="shared" ref="AA168:AA182" si="153">AK168*1000/D168</f>
      </c>
      <c r="AB168" s="35" t="s">
        <v>46</v>
      </c>
      <c r="AC168" s="105" t="s">
        <v>47</v>
      </c>
      <c r="AD168" s="107">
        <v>3</v>
      </c>
      <c r="AE168" s="38">
        <v>10810</v>
      </c>
      <c r="AF168" s="21">
        <v>454</v>
      </c>
      <c r="AG168" s="26">
        <v>708</v>
      </c>
      <c r="AH168" s="26">
        <v>115</v>
      </c>
      <c r="AI168" s="21">
        <v>45</v>
      </c>
      <c r="AJ168" s="25">
        <v>10</v>
      </c>
      <c r="AK168" s="40">
        <v>22</v>
      </c>
      <c r="AL168" s="41">
        <v>1</v>
      </c>
      <c r="AM168" s="42"/>
    </row>
    <row r="169">
      <c r="A169" s="20"/>
      <c r="B169" s="43" t="s">
        <v>48</v>
      </c>
      <c r="C169" s="44" t="s">
        <v>45</v>
      </c>
      <c r="D169" s="26">
        <f t="shared" si="58"/>
      </c>
      <c r="E169" s="47">
        <v>3096.07</v>
      </c>
      <c r="F169" s="47"/>
      <c r="G169" s="21">
        <v>1332.67</v>
      </c>
      <c r="H169" s="43"/>
      <c r="I169" s="48">
        <v>3</v>
      </c>
      <c r="J169" s="21">
        <v>6804</v>
      </c>
      <c r="K169" s="25">
        <v>0</v>
      </c>
      <c r="L169" s="40">
        <v>0</v>
      </c>
      <c r="M169" s="40">
        <v>3</v>
      </c>
      <c r="N169" s="29">
        <f t="shared" si="12"/>
      </c>
      <c r="O169" s="29">
        <f t="shared" si="267"/>
      </c>
      <c r="P169" s="30">
        <f t="shared" si="229"/>
      </c>
      <c r="Q169" s="108">
        <f t="shared" si="172"/>
      </c>
      <c r="R169" s="32">
        <f t="shared" si="134"/>
      </c>
      <c r="S169" s="31">
        <f t="shared" si="191"/>
      </c>
      <c r="T169" s="31">
        <f t="shared" si="115"/>
      </c>
      <c r="U169" s="32">
        <f t="shared" si="96"/>
      </c>
      <c r="V169" s="31">
        <f t="shared" si="77"/>
      </c>
      <c r="W169" s="31">
        <f t="shared" si="31"/>
      </c>
      <c r="X169" s="32">
        <f t="shared" si="286"/>
      </c>
      <c r="Y169" s="33">
        <f t="shared" si="248"/>
      </c>
      <c r="Z169" s="32">
        <f t="shared" si="210"/>
      </c>
      <c r="AA169" s="34">
        <f t="shared" si="153"/>
      </c>
      <c r="AB169" s="35" t="s">
        <v>46</v>
      </c>
      <c r="AC169" s="109" t="s">
        <v>47</v>
      </c>
      <c r="AD169" s="39">
        <v>2</v>
      </c>
      <c r="AE169" s="47">
        <v>13391</v>
      </c>
      <c r="AF169" s="47">
        <v>509</v>
      </c>
      <c r="AG169" s="48">
        <v>811</v>
      </c>
      <c r="AH169" s="21">
        <v>109</v>
      </c>
      <c r="AI169" s="21">
        <v>55</v>
      </c>
      <c r="AJ169" s="49">
        <v>11</v>
      </c>
      <c r="AK169" s="50">
        <v>19</v>
      </c>
      <c r="AL169" s="41">
        <v>1</v>
      </c>
      <c r="AM169" s="42"/>
    </row>
    <row r="170">
      <c r="A170" s="20"/>
      <c r="B170" s="43" t="s">
        <v>49</v>
      </c>
      <c r="C170" s="39" t="s">
        <v>45</v>
      </c>
      <c r="D170" s="26">
        <f t="shared" si="58"/>
      </c>
      <c r="E170" s="26">
        <v>2689.62</v>
      </c>
      <c r="F170" s="26"/>
      <c r="G170" s="21">
        <v>808.86</v>
      </c>
      <c r="H170" s="21"/>
      <c r="I170" s="51">
        <v>3</v>
      </c>
      <c r="J170" s="51">
        <v>5004</v>
      </c>
      <c r="K170" s="51">
        <v>1</v>
      </c>
      <c r="L170" s="51">
        <v>0</v>
      </c>
      <c r="M170" s="51">
        <v>2</v>
      </c>
      <c r="N170" s="29">
        <f t="shared" si="12"/>
      </c>
      <c r="O170" s="29">
        <f t="shared" si="267"/>
      </c>
      <c r="P170" s="110">
        <f t="shared" si="229"/>
      </c>
      <c r="Q170" s="71">
        <f t="shared" si="172"/>
      </c>
      <c r="R170" s="111">
        <f t="shared" si="134"/>
      </c>
      <c r="S170" s="31">
        <f t="shared" si="191"/>
      </c>
      <c r="T170" s="31">
        <f t="shared" si="115"/>
      </c>
      <c r="U170" s="32">
        <f t="shared" si="96"/>
      </c>
      <c r="V170" s="31">
        <f t="shared" si="77"/>
      </c>
      <c r="W170" s="31">
        <f t="shared" si="31"/>
      </c>
      <c r="X170" s="32">
        <f t="shared" si="286"/>
      </c>
      <c r="Y170" s="33">
        <f t="shared" si="248"/>
      </c>
      <c r="Z170" s="32">
        <f t="shared" si="210"/>
      </c>
      <c r="AA170" s="34">
        <f t="shared" si="153"/>
      </c>
      <c r="AB170" s="35" t="s">
        <v>46</v>
      </c>
      <c r="AC170" s="105" t="s">
        <v>47</v>
      </c>
      <c r="AD170" s="45">
        <v>3</v>
      </c>
      <c r="AE170" s="26">
        <v>10501</v>
      </c>
      <c r="AF170" s="26">
        <v>351</v>
      </c>
      <c r="AG170" s="21">
        <v>571</v>
      </c>
      <c r="AH170" s="21">
        <v>67</v>
      </c>
      <c r="AI170" s="21">
        <v>39</v>
      </c>
      <c r="AJ170" s="49">
        <v>10</v>
      </c>
      <c r="AK170" s="50">
        <v>13</v>
      </c>
      <c r="AL170" s="41">
        <v>1</v>
      </c>
      <c r="AM170" s="42"/>
    </row>
    <row r="171">
      <c r="A171" s="20"/>
      <c r="B171" s="43" t="s">
        <v>50</v>
      </c>
      <c r="C171" s="48" t="s">
        <v>45</v>
      </c>
      <c r="D171" s="26">
        <f t="shared" si="58"/>
      </c>
      <c r="E171" s="26">
        <v>1735.54</v>
      </c>
      <c r="F171" s="26"/>
      <c r="G171" s="21">
        <v>833.78</v>
      </c>
      <c r="H171" s="21"/>
      <c r="I171" s="40">
        <v>0</v>
      </c>
      <c r="J171" s="40">
        <v>0</v>
      </c>
      <c r="K171" s="40">
        <v>0</v>
      </c>
      <c r="L171" s="40">
        <v>0</v>
      </c>
      <c r="M171" s="40">
        <v>0</v>
      </c>
      <c r="N171" s="29">
        <f t="shared" si="12"/>
      </c>
      <c r="O171" s="29">
        <f t="shared" si="267"/>
      </c>
      <c r="P171" s="30">
        <f t="shared" si="229"/>
      </c>
      <c r="Q171" s="112">
        <f t="shared" si="172"/>
      </c>
      <c r="R171" s="32">
        <f t="shared" si="134"/>
      </c>
      <c r="S171" s="31">
        <f t="shared" si="191"/>
      </c>
      <c r="T171" s="31">
        <f t="shared" si="115"/>
      </c>
      <c r="U171" s="32">
        <f t="shared" si="96"/>
      </c>
      <c r="V171" s="31">
        <f t="shared" si="77"/>
      </c>
      <c r="W171" s="31">
        <f t="shared" si="31"/>
      </c>
      <c r="X171" s="32">
        <f t="shared" si="286"/>
      </c>
      <c r="Y171" s="33">
        <f t="shared" si="248"/>
      </c>
      <c r="Z171" s="32">
        <f t="shared" si="210"/>
      </c>
      <c r="AA171" s="34">
        <f t="shared" si="153"/>
      </c>
      <c r="AB171" s="35" t="s">
        <v>46</v>
      </c>
      <c r="AC171" s="105" t="s">
        <v>47</v>
      </c>
      <c r="AD171" s="45">
        <v>0</v>
      </c>
      <c r="AE171" s="47">
        <v>7196</v>
      </c>
      <c r="AF171" s="21">
        <v>295</v>
      </c>
      <c r="AG171" s="21">
        <v>436</v>
      </c>
      <c r="AH171" s="21">
        <v>59</v>
      </c>
      <c r="AI171" s="21">
        <v>28</v>
      </c>
      <c r="AJ171" s="49">
        <v>4</v>
      </c>
      <c r="AK171" s="50">
        <v>16</v>
      </c>
      <c r="AL171" s="41">
        <v>1</v>
      </c>
      <c r="AM171" s="42"/>
    </row>
    <row r="172">
      <c r="A172" s="20"/>
      <c r="B172" s="53" t="s">
        <v>51</v>
      </c>
      <c r="C172" s="53"/>
      <c r="D172" s="53">
        <f>SUM(D168:D171)</f>
      </c>
      <c r="E172" s="53">
        <f>SUM(E168:E171)</f>
      </c>
      <c r="F172" s="53">
        <f>SUM(F168:F171)</f>
      </c>
      <c r="G172" s="53">
        <f>SUM(G168:G171)</f>
      </c>
      <c r="H172" s="53">
        <f>SUM(H168:H171)</f>
      </c>
      <c r="I172" s="53">
        <f>SUM(I168:I171)</f>
      </c>
      <c r="J172" s="53">
        <f>SUM(J168:J171)</f>
      </c>
      <c r="K172" s="53">
        <f>SUM(K168:K171)</f>
      </c>
      <c r="L172" s="53">
        <f>SUM(L168:L171)</f>
      </c>
      <c r="M172" s="53">
        <f>SUM(M168:M171)</f>
      </c>
      <c r="N172" s="54">
        <f t="shared" si="12"/>
      </c>
      <c r="O172" s="55">
        <f t="shared" si="267"/>
      </c>
      <c r="P172" s="56">
        <f t="shared" si="229"/>
      </c>
      <c r="Q172" s="57">
        <f t="shared" si="172"/>
      </c>
      <c r="R172" s="58">
        <f t="shared" si="134"/>
      </c>
      <c r="S172" s="57">
        <f t="shared" si="191"/>
      </c>
      <c r="T172" s="59">
        <f t="shared" si="115"/>
      </c>
      <c r="U172" s="60">
        <f t="shared" si="96"/>
      </c>
      <c r="V172" s="59">
        <f t="shared" si="77"/>
      </c>
      <c r="W172" s="59">
        <f t="shared" si="31"/>
      </c>
      <c r="X172" s="60">
        <f t="shared" si="286"/>
      </c>
      <c r="Y172" s="61">
        <f t="shared" si="248"/>
      </c>
      <c r="Z172" s="60">
        <f t="shared" si="210"/>
      </c>
      <c r="AA172" s="62">
        <f t="shared" si="153"/>
      </c>
      <c r="AB172" s="63"/>
      <c r="AC172" s="62"/>
      <c r="AD172" s="102">
        <f>SUM(AD168:AD171)</f>
      </c>
      <c r="AE172" s="66">
        <f>SUM(AE168:AE171)</f>
      </c>
      <c r="AF172" s="66">
        <f>SUM(AF168:AF171)</f>
      </c>
      <c r="AG172" s="66">
        <f>SUM(AG168:AG171)</f>
      </c>
      <c r="AH172" s="66">
        <f>SUM(AH168:AH171)</f>
      </c>
      <c r="AI172" s="66">
        <f>SUM(AI168:AI171)</f>
      </c>
      <c r="AJ172" s="66">
        <f>SUM(AJ168:AJ171)</f>
      </c>
      <c r="AK172" s="66">
        <f>SUM(AK168:AK171)</f>
      </c>
      <c r="AL172" s="66">
        <f>SUM(AL168:AL171)</f>
      </c>
      <c r="AM172" s="42"/>
    </row>
    <row r="173">
      <c r="A173" s="20"/>
      <c r="B173" s="48" t="s">
        <v>52</v>
      </c>
      <c r="C173" s="22" t="s">
        <v>53</v>
      </c>
      <c r="D173" s="21">
        <f t="shared" ref="D173:D176" si="299">E173+G173</f>
      </c>
      <c r="E173" s="21">
        <v>2424.79</v>
      </c>
      <c r="F173" s="26"/>
      <c r="G173" s="21">
        <v>970.63</v>
      </c>
      <c r="H173" s="21"/>
      <c r="I173" s="40">
        <v>2</v>
      </c>
      <c r="J173" s="40">
        <v>3216</v>
      </c>
      <c r="K173" s="40">
        <v>0</v>
      </c>
      <c r="L173" s="40">
        <v>1</v>
      </c>
      <c r="M173" s="67">
        <v>1</v>
      </c>
      <c r="N173" s="68">
        <f t="shared" si="12"/>
      </c>
      <c r="O173" s="29">
        <f t="shared" si="267"/>
      </c>
      <c r="P173" s="30">
        <f t="shared" si="229"/>
      </c>
      <c r="Q173" s="31">
        <f t="shared" si="172"/>
      </c>
      <c r="R173" s="32">
        <f t="shared" si="134"/>
      </c>
      <c r="S173" s="31">
        <f t="shared" si="191"/>
      </c>
      <c r="T173" s="73">
        <f t="shared" si="115"/>
      </c>
      <c r="U173" s="32">
        <f t="shared" si="96"/>
      </c>
      <c r="V173" s="31">
        <f t="shared" si="77"/>
      </c>
      <c r="W173" s="31">
        <f t="shared" si="31"/>
      </c>
      <c r="X173" s="32">
        <f t="shared" si="286"/>
      </c>
      <c r="Y173" s="33">
        <f t="shared" si="248"/>
      </c>
      <c r="Z173" s="32">
        <f t="shared" si="210"/>
      </c>
      <c r="AA173" s="34">
        <f t="shared" si="153"/>
      </c>
      <c r="AB173" s="35" t="s">
        <v>46</v>
      </c>
      <c r="AC173" s="105" t="s">
        <v>47</v>
      </c>
      <c r="AD173" s="26">
        <v>1</v>
      </c>
      <c r="AE173" s="74">
        <v>14145</v>
      </c>
      <c r="AF173" s="75">
        <v>438</v>
      </c>
      <c r="AG173" s="75">
        <v>627</v>
      </c>
      <c r="AH173" s="75">
        <v>89</v>
      </c>
      <c r="AI173" s="75">
        <v>27</v>
      </c>
      <c r="AJ173" s="41">
        <v>4</v>
      </c>
      <c r="AK173" s="41">
        <v>23</v>
      </c>
      <c r="AL173" s="41">
        <v>1</v>
      </c>
      <c r="AM173" s="42"/>
    </row>
    <row r="174">
      <c r="A174" s="20"/>
      <c r="B174" s="48" t="s">
        <v>54</v>
      </c>
      <c r="C174" s="22" t="s">
        <v>53</v>
      </c>
      <c r="D174" s="21">
        <f t="shared" si="299"/>
      </c>
      <c r="E174" s="21">
        <v>1781.22</v>
      </c>
      <c r="F174" s="26"/>
      <c r="G174" s="21">
        <v>1087.88</v>
      </c>
      <c r="H174" s="21"/>
      <c r="I174" s="40">
        <v>3</v>
      </c>
      <c r="J174" s="40">
        <v>6616</v>
      </c>
      <c r="K174" s="40">
        <v>0</v>
      </c>
      <c r="L174" s="40">
        <v>0</v>
      </c>
      <c r="M174" s="40">
        <v>3</v>
      </c>
      <c r="N174" s="68">
        <f t="shared" si="12"/>
      </c>
      <c r="O174" s="29">
        <f t="shared" si="267"/>
      </c>
      <c r="P174" s="30">
        <f t="shared" si="229"/>
      </c>
      <c r="Q174" s="31">
        <f t="shared" si="172"/>
      </c>
      <c r="R174" s="32">
        <f t="shared" si="134"/>
      </c>
      <c r="S174" s="31">
        <f t="shared" si="191"/>
      </c>
      <c r="T174" s="73">
        <f t="shared" si="115"/>
      </c>
      <c r="U174" s="32">
        <f t="shared" si="96"/>
      </c>
      <c r="V174" s="31">
        <f t="shared" si="77"/>
      </c>
      <c r="W174" s="31">
        <f t="shared" si="31"/>
      </c>
      <c r="X174" s="32">
        <f t="shared" si="286"/>
      </c>
      <c r="Y174" s="33">
        <f t="shared" si="248"/>
      </c>
      <c r="Z174" s="32">
        <f t="shared" si="210"/>
      </c>
      <c r="AA174" s="34">
        <f t="shared" si="153"/>
      </c>
      <c r="AB174" s="35" t="s">
        <v>46</v>
      </c>
      <c r="AC174" s="105" t="s">
        <v>47</v>
      </c>
      <c r="AD174" s="26">
        <v>2</v>
      </c>
      <c r="AE174" s="74">
        <v>11194</v>
      </c>
      <c r="AF174" s="75">
        <v>435</v>
      </c>
      <c r="AG174" s="75">
        <v>644</v>
      </c>
      <c r="AH174" s="75">
        <v>90</v>
      </c>
      <c r="AI174" s="75">
        <v>36</v>
      </c>
      <c r="AJ174" s="41">
        <v>8</v>
      </c>
      <c r="AK174" s="41">
        <v>20</v>
      </c>
      <c r="AL174" s="41">
        <v>1</v>
      </c>
      <c r="AM174" s="42"/>
    </row>
    <row r="175">
      <c r="A175" s="20"/>
      <c r="B175" s="21" t="s">
        <v>55</v>
      </c>
      <c r="C175" s="22" t="s">
        <v>53</v>
      </c>
      <c r="D175" s="21">
        <f t="shared" si="299"/>
      </c>
      <c r="E175" s="21">
        <v>2280.51</v>
      </c>
      <c r="F175" s="26"/>
      <c r="G175" s="21">
        <v>957.12</v>
      </c>
      <c r="H175" s="21"/>
      <c r="I175" s="40">
        <v>5</v>
      </c>
      <c r="J175" s="40">
        <v>11340</v>
      </c>
      <c r="K175" s="40">
        <v>0</v>
      </c>
      <c r="L175" s="40">
        <v>0</v>
      </c>
      <c r="M175" s="40">
        <v>5</v>
      </c>
      <c r="N175" s="103">
        <f t="shared" si="12"/>
      </c>
      <c r="O175" s="29">
        <f t="shared" si="267"/>
      </c>
      <c r="P175" s="30">
        <f t="shared" si="229"/>
      </c>
      <c r="Q175" s="31">
        <f t="shared" si="172"/>
      </c>
      <c r="R175" s="32">
        <f t="shared" si="134"/>
      </c>
      <c r="S175" s="31">
        <f t="shared" si="191"/>
      </c>
      <c r="T175" s="73">
        <f t="shared" si="115"/>
      </c>
      <c r="U175" s="32">
        <f t="shared" si="96"/>
      </c>
      <c r="V175" s="31">
        <f t="shared" si="77"/>
      </c>
      <c r="W175" s="31">
        <f t="shared" si="31"/>
      </c>
      <c r="X175" s="32">
        <f t="shared" si="286"/>
      </c>
      <c r="Y175" s="33">
        <f t="shared" si="248"/>
      </c>
      <c r="Z175" s="32">
        <f t="shared" si="210"/>
      </c>
      <c r="AA175" s="34">
        <f t="shared" si="153"/>
      </c>
      <c r="AB175" s="35" t="s">
        <v>46</v>
      </c>
      <c r="AC175" s="105" t="s">
        <v>47</v>
      </c>
      <c r="AD175" s="26">
        <v>4</v>
      </c>
      <c r="AE175" s="74">
        <v>11356</v>
      </c>
      <c r="AF175" s="75">
        <v>445</v>
      </c>
      <c r="AG175" s="75">
        <v>925</v>
      </c>
      <c r="AH175" s="75">
        <v>111</v>
      </c>
      <c r="AI175" s="41">
        <v>25</v>
      </c>
      <c r="AJ175" s="41">
        <v>8</v>
      </c>
      <c r="AK175" s="41">
        <v>18</v>
      </c>
      <c r="AL175" s="41">
        <v>1</v>
      </c>
      <c r="AM175" s="42"/>
    </row>
    <row r="176">
      <c r="A176" s="20"/>
      <c r="B176" s="43" t="s">
        <v>56</v>
      </c>
      <c r="C176" s="21" t="s">
        <v>53</v>
      </c>
      <c r="D176" s="21">
        <f t="shared" si="299"/>
      </c>
      <c r="E176" s="21">
        <v>3088.56</v>
      </c>
      <c r="F176" s="26"/>
      <c r="G176" s="21">
        <v>774.54</v>
      </c>
      <c r="H176" s="21"/>
      <c r="I176" s="40">
        <v>5</v>
      </c>
      <c r="J176" s="40">
        <v>11340</v>
      </c>
      <c r="K176" s="40">
        <v>0</v>
      </c>
      <c r="L176" s="40">
        <v>0</v>
      </c>
      <c r="M176" s="40">
        <v>5</v>
      </c>
      <c r="N176" s="68">
        <f t="shared" si="12"/>
      </c>
      <c r="O176" s="29">
        <f t="shared" si="267"/>
      </c>
      <c r="P176" s="30">
        <f t="shared" si="229"/>
      </c>
      <c r="Q176" s="31">
        <f t="shared" si="172"/>
      </c>
      <c r="R176" s="32">
        <f t="shared" si="134"/>
      </c>
      <c r="S176" s="31">
        <f t="shared" si="191"/>
      </c>
      <c r="T176" s="73">
        <f t="shared" si="115"/>
      </c>
      <c r="U176" s="32">
        <f t="shared" si="96"/>
      </c>
      <c r="V176" s="31">
        <f t="shared" si="77"/>
      </c>
      <c r="W176" s="31">
        <f t="shared" si="31"/>
      </c>
      <c r="X176" s="32">
        <f t="shared" si="286"/>
      </c>
      <c r="Y176" s="33">
        <f t="shared" si="248"/>
      </c>
      <c r="Z176" s="32">
        <f t="shared" si="210"/>
      </c>
      <c r="AA176" s="34">
        <f t="shared" si="153"/>
      </c>
      <c r="AB176" s="35" t="s">
        <v>46</v>
      </c>
      <c r="AC176" s="105" t="s">
        <v>47</v>
      </c>
      <c r="AD176" s="26">
        <v>3</v>
      </c>
      <c r="AE176" s="74">
        <v>12885</v>
      </c>
      <c r="AF176" s="75">
        <v>445</v>
      </c>
      <c r="AG176" s="75">
        <v>955</v>
      </c>
      <c r="AH176" s="75">
        <v>117</v>
      </c>
      <c r="AI176" s="75">
        <v>23</v>
      </c>
      <c r="AJ176" s="41">
        <v>8</v>
      </c>
      <c r="AK176" s="41">
        <v>21</v>
      </c>
      <c r="AL176" s="41">
        <v>1</v>
      </c>
      <c r="AM176" s="42"/>
    </row>
    <row r="177">
      <c r="A177" s="20"/>
      <c r="B177" s="53" t="s">
        <v>51</v>
      </c>
      <c r="C177" s="53"/>
      <c r="D177" s="53">
        <f>SUM(D173:D176)</f>
      </c>
      <c r="E177" s="53">
        <f>SUM(E173:E176)</f>
      </c>
      <c r="F177" s="53">
        <f>SUM(F173:F176)</f>
      </c>
      <c r="G177" s="53">
        <f>SUM(G173:G176)</f>
      </c>
      <c r="H177" s="53">
        <f>SUM(H173:H176)</f>
      </c>
      <c r="I177" s="53">
        <f>SUM(I173:I176)</f>
      </c>
      <c r="J177" s="53">
        <f>SUM(J173:J176)</f>
      </c>
      <c r="K177" s="53">
        <f>SUM(K173:K176)</f>
      </c>
      <c r="L177" s="53">
        <f>SUM(L173:L176)</f>
      </c>
      <c r="M177" s="53">
        <f>SUM(M173:M176)</f>
      </c>
      <c r="N177" s="54">
        <f t="shared" si="12"/>
      </c>
      <c r="O177" s="81">
        <f t="shared" si="267"/>
      </c>
      <c r="P177" s="82">
        <f t="shared" si="229"/>
      </c>
      <c r="Q177" s="83">
        <f t="shared" si="172"/>
      </c>
      <c r="R177" s="84">
        <f t="shared" si="134"/>
      </c>
      <c r="S177" s="83">
        <f t="shared" si="191"/>
      </c>
      <c r="T177" s="59">
        <f t="shared" si="115"/>
      </c>
      <c r="U177" s="60">
        <f t="shared" si="96"/>
      </c>
      <c r="V177" s="59">
        <f t="shared" si="77"/>
      </c>
      <c r="W177" s="59">
        <f t="shared" si="31"/>
      </c>
      <c r="X177" s="60">
        <f t="shared" si="286"/>
      </c>
      <c r="Y177" s="61">
        <f t="shared" si="248"/>
      </c>
      <c r="Z177" s="60">
        <f t="shared" si="210"/>
      </c>
      <c r="AA177" s="62">
        <f t="shared" si="153"/>
      </c>
      <c r="AB177" s="63"/>
      <c r="AC177" s="62"/>
      <c r="AD177" s="85">
        <f>SUM(AD173:AD176)</f>
      </c>
      <c r="AE177" s="85">
        <f>SUM(AE173:AE176)</f>
      </c>
      <c r="AF177" s="85">
        <f>SUM(AF173:AF176)</f>
      </c>
      <c r="AG177" s="85">
        <f>SUM(AG173:AG176)</f>
      </c>
      <c r="AH177" s="85">
        <f>SUM(AH173:AH176)</f>
      </c>
      <c r="AI177" s="85">
        <f>SUM(AI173:AI176)</f>
      </c>
      <c r="AJ177" s="85">
        <f>SUM(AJ173:AJ176)</f>
      </c>
      <c r="AK177" s="85">
        <f>SUM(AK173:AK176)</f>
      </c>
      <c r="AL177" s="85">
        <f>SUM(AL173:AL176)</f>
      </c>
      <c r="AM177" s="42"/>
    </row>
    <row r="178">
      <c r="A178" s="20"/>
      <c r="B178" s="51" t="s">
        <v>67</v>
      </c>
      <c r="C178" s="67" t="s">
        <v>71</v>
      </c>
      <c r="D178" s="21">
        <f t="shared" ref="D178:D180" si="300">E178+G178</f>
      </c>
      <c r="E178" s="21">
        <v>2215.83</v>
      </c>
      <c r="F178" s="26"/>
      <c r="G178" s="21">
        <v>768.89</v>
      </c>
      <c r="H178" s="21"/>
      <c r="I178" s="40">
        <v>0</v>
      </c>
      <c r="J178" s="40">
        <v>0</v>
      </c>
      <c r="K178" s="40">
        <v>0</v>
      </c>
      <c r="L178" s="40">
        <v>0</v>
      </c>
      <c r="M178" s="40">
        <v>0</v>
      </c>
      <c r="N178" s="68">
        <f t="shared" si="12"/>
      </c>
      <c r="O178" s="29">
        <f t="shared" si="267"/>
      </c>
      <c r="P178" s="30">
        <f t="shared" si="229"/>
      </c>
      <c r="Q178" s="31">
        <f t="shared" si="172"/>
      </c>
      <c r="R178" s="32">
        <f t="shared" si="134"/>
      </c>
      <c r="S178" s="31">
        <f t="shared" si="191"/>
      </c>
      <c r="T178" s="73">
        <f t="shared" si="115"/>
      </c>
      <c r="U178" s="32">
        <f t="shared" si="96"/>
      </c>
      <c r="V178" s="31">
        <f t="shared" si="77"/>
      </c>
      <c r="W178" s="31">
        <f t="shared" si="31"/>
      </c>
      <c r="X178" s="32">
        <f t="shared" si="286"/>
      </c>
      <c r="Y178" s="33">
        <f t="shared" si="248"/>
      </c>
      <c r="Z178" s="32">
        <f t="shared" si="210"/>
      </c>
      <c r="AA178" s="34">
        <f t="shared" si="153"/>
      </c>
      <c r="AB178" s="35" t="s">
        <v>46</v>
      </c>
      <c r="AC178" s="105" t="s">
        <v>72</v>
      </c>
      <c r="AD178" s="26">
        <v>0</v>
      </c>
      <c r="AE178" s="74">
        <v>10231</v>
      </c>
      <c r="AF178" s="75">
        <v>328</v>
      </c>
      <c r="AG178" s="75">
        <v>802</v>
      </c>
      <c r="AH178" s="75">
        <v>97</v>
      </c>
      <c r="AI178" s="75">
        <v>25</v>
      </c>
      <c r="AJ178" s="41">
        <v>5</v>
      </c>
      <c r="AK178" s="41">
        <v>12</v>
      </c>
      <c r="AL178" s="41">
        <v>1</v>
      </c>
      <c r="AM178" s="42"/>
    </row>
    <row r="179">
      <c r="A179" s="20"/>
      <c r="B179" s="40" t="s">
        <v>73</v>
      </c>
      <c r="C179" s="67" t="s">
        <v>71</v>
      </c>
      <c r="D179" s="21">
        <f t="shared" si="300"/>
      </c>
      <c r="E179" s="21">
        <v>2054.54</v>
      </c>
      <c r="F179" s="26"/>
      <c r="G179" s="21">
        <v>457.41</v>
      </c>
      <c r="H179" s="21"/>
      <c r="I179" s="40">
        <v>3</v>
      </c>
      <c r="J179" s="40">
        <v>6616</v>
      </c>
      <c r="K179" s="40">
        <v>0</v>
      </c>
      <c r="L179" s="40">
        <v>0</v>
      </c>
      <c r="M179" s="40">
        <v>3</v>
      </c>
      <c r="N179" s="103">
        <f t="shared" si="12"/>
      </c>
      <c r="O179" s="29">
        <f t="shared" si="267"/>
      </c>
      <c r="P179" s="30">
        <f t="shared" si="229"/>
      </c>
      <c r="Q179" s="31">
        <f t="shared" si="172"/>
      </c>
      <c r="R179" s="32">
        <f t="shared" si="134"/>
      </c>
      <c r="S179" s="31">
        <f t="shared" si="191"/>
      </c>
      <c r="T179" s="73">
        <f t="shared" si="115"/>
      </c>
      <c r="U179" s="32">
        <f t="shared" si="96"/>
      </c>
      <c r="V179" s="31">
        <f t="shared" si="77"/>
      </c>
      <c r="W179" s="31">
        <f t="shared" si="31"/>
      </c>
      <c r="X179" s="32">
        <f t="shared" si="286"/>
      </c>
      <c r="Y179" s="33">
        <f t="shared" si="248"/>
      </c>
      <c r="Z179" s="32">
        <f t="shared" si="210"/>
      </c>
      <c r="AA179" s="34">
        <f t="shared" si="153"/>
      </c>
      <c r="AB179" s="35" t="s">
        <v>46</v>
      </c>
      <c r="AC179" s="105" t="s">
        <v>72</v>
      </c>
      <c r="AD179" s="26">
        <v>3</v>
      </c>
      <c r="AE179" s="74">
        <v>9000</v>
      </c>
      <c r="AF179" s="75">
        <v>278</v>
      </c>
      <c r="AG179" s="75">
        <v>579</v>
      </c>
      <c r="AH179" s="75">
        <v>55</v>
      </c>
      <c r="AI179" s="41">
        <v>15</v>
      </c>
      <c r="AJ179" s="41">
        <v>5</v>
      </c>
      <c r="AK179" s="41">
        <v>12</v>
      </c>
      <c r="AL179" s="41">
        <v>1</v>
      </c>
      <c r="AM179" s="42"/>
    </row>
    <row r="180">
      <c r="A180" s="20"/>
      <c r="B180" s="27" t="s">
        <v>74</v>
      </c>
      <c r="C180" s="67" t="s">
        <v>71</v>
      </c>
      <c r="D180" s="21">
        <f t="shared" si="300"/>
      </c>
      <c r="E180" s="21">
        <v>1952.71</v>
      </c>
      <c r="F180" s="26"/>
      <c r="G180" s="21">
        <v>375.66</v>
      </c>
      <c r="H180" s="21"/>
      <c r="I180" s="40">
        <v>1</v>
      </c>
      <c r="J180" s="40">
        <v>2080</v>
      </c>
      <c r="K180" s="40">
        <v>0</v>
      </c>
      <c r="L180" s="40">
        <v>0</v>
      </c>
      <c r="M180" s="40">
        <v>1</v>
      </c>
      <c r="N180" s="68">
        <f t="shared" si="12"/>
      </c>
      <c r="O180" s="29">
        <f t="shared" si="267"/>
      </c>
      <c r="P180" s="30">
        <f t="shared" si="229"/>
      </c>
      <c r="Q180" s="31">
        <f t="shared" si="172"/>
      </c>
      <c r="R180" s="32">
        <f t="shared" si="134"/>
      </c>
      <c r="S180" s="31">
        <f t="shared" si="191"/>
      </c>
      <c r="T180" s="73">
        <f t="shared" si="115"/>
      </c>
      <c r="U180" s="32">
        <f t="shared" si="96"/>
      </c>
      <c r="V180" s="31">
        <f t="shared" si="77"/>
      </c>
      <c r="W180" s="31">
        <f t="shared" si="31"/>
      </c>
      <c r="X180" s="32">
        <f t="shared" si="286"/>
      </c>
      <c r="Y180" s="33">
        <f t="shared" si="248"/>
      </c>
      <c r="Z180" s="32">
        <f t="shared" si="210"/>
      </c>
      <c r="AA180" s="34">
        <f t="shared" si="153"/>
      </c>
      <c r="AB180" s="35" t="s">
        <v>46</v>
      </c>
      <c r="AC180" s="105" t="s">
        <v>72</v>
      </c>
      <c r="AD180" s="26">
        <v>1</v>
      </c>
      <c r="AE180" s="74">
        <v>9997</v>
      </c>
      <c r="AF180" s="75">
        <v>264</v>
      </c>
      <c r="AG180" s="75">
        <v>546</v>
      </c>
      <c r="AH180" s="75">
        <v>56</v>
      </c>
      <c r="AI180" s="75">
        <v>12</v>
      </c>
      <c r="AJ180" s="41">
        <v>5</v>
      </c>
      <c r="AK180" s="41">
        <v>14</v>
      </c>
      <c r="AL180" s="41">
        <v>1</v>
      </c>
      <c r="AM180" s="42"/>
    </row>
    <row r="181">
      <c r="A181" s="20"/>
      <c r="B181" s="53" t="s">
        <v>51</v>
      </c>
      <c r="C181" s="53"/>
      <c r="D181" s="53">
        <f>SUM(D178:D180)</f>
      </c>
      <c r="E181" s="53">
        <f>SUM(E178:E180)</f>
      </c>
      <c r="F181" s="53">
        <f>SUM(F178:F180)</f>
      </c>
      <c r="G181" s="53">
        <f>SUM(G178:G180)</f>
      </c>
      <c r="H181" s="53">
        <f>SUM(H178:H180)</f>
      </c>
      <c r="I181" s="53">
        <f>SUM(I178:I180)</f>
      </c>
      <c r="J181" s="53">
        <f>SUM(J178:J180)</f>
      </c>
      <c r="K181" s="53">
        <f>SUM(K178:K180)</f>
      </c>
      <c r="L181" s="53">
        <f>SUM(L178:L180)</f>
      </c>
      <c r="M181" s="53">
        <f>SUM(M178:M180)</f>
      </c>
      <c r="N181" s="54">
        <f t="shared" si="12"/>
      </c>
      <c r="O181" s="81">
        <f t="shared" si="267"/>
      </c>
      <c r="P181" s="82">
        <f t="shared" si="229"/>
      </c>
      <c r="Q181" s="83">
        <f t="shared" si="172"/>
      </c>
      <c r="R181" s="84">
        <f t="shared" si="134"/>
      </c>
      <c r="S181" s="83">
        <f t="shared" si="191"/>
      </c>
      <c r="T181" s="59">
        <f t="shared" si="115"/>
      </c>
      <c r="U181" s="60">
        <f t="shared" si="96"/>
      </c>
      <c r="V181" s="59">
        <f t="shared" si="77"/>
      </c>
      <c r="W181" s="59">
        <f t="shared" si="31"/>
      </c>
      <c r="X181" s="60">
        <f t="shared" si="286"/>
      </c>
      <c r="Y181" s="61">
        <f t="shared" si="248"/>
      </c>
      <c r="Z181" s="60">
        <f t="shared" si="210"/>
      </c>
      <c r="AA181" s="62">
        <f t="shared" si="153"/>
      </c>
      <c r="AB181" s="63"/>
      <c r="AC181" s="62"/>
      <c r="AD181" s="85">
        <f>SUM(AD178:AD180)</f>
      </c>
      <c r="AE181" s="85">
        <f>SUM(AE178:AE180)</f>
      </c>
      <c r="AF181" s="85">
        <f>SUM(AF178:AF180)</f>
      </c>
      <c r="AG181" s="85">
        <f>SUM(AG178:AG180)</f>
      </c>
      <c r="AH181" s="85">
        <f>SUM(AH178:AH180)</f>
      </c>
      <c r="AI181" s="85">
        <f>SUM(AI178:AI180)</f>
      </c>
      <c r="AJ181" s="85">
        <f>SUM(AJ178:AJ180)</f>
      </c>
      <c r="AK181" s="85">
        <f>SUM(AK178:AK180)</f>
      </c>
      <c r="AL181" s="85">
        <f>SUM(AL178:AL180)</f>
      </c>
      <c r="AM181" s="104" t="s">
        <v>57</v>
      </c>
    </row>
    <row r="182">
      <c r="A182" s="20"/>
      <c r="B182" s="88" t="s">
        <v>58</v>
      </c>
      <c r="C182" s="88"/>
      <c r="D182" s="88">
        <f>D172+D177+D181</f>
      </c>
      <c r="E182" s="88">
        <f>E172+E177+E181</f>
      </c>
      <c r="F182" s="88">
        <f>F172+F177+F181</f>
      </c>
      <c r="G182" s="88">
        <f>G172+G177+G181</f>
      </c>
      <c r="H182" s="88">
        <f>H172+H177+H181</f>
      </c>
      <c r="I182" s="88">
        <f>I172+I177+I181</f>
      </c>
      <c r="J182" s="88">
        <f>J172+J177+J181</f>
      </c>
      <c r="K182" s="88">
        <f>K172+K177+K181</f>
      </c>
      <c r="L182" s="88">
        <f>L172+L177+L181</f>
      </c>
      <c r="M182" s="88">
        <f>M172+M177+M181</f>
      </c>
      <c r="N182" s="89">
        <f t="shared" si="12"/>
      </c>
      <c r="O182" s="90">
        <f t="shared" si="267"/>
      </c>
      <c r="P182" s="91">
        <f t="shared" si="229"/>
      </c>
      <c r="Q182" s="92">
        <f t="shared" si="172"/>
      </c>
      <c r="R182" s="90">
        <f t="shared" si="134"/>
      </c>
      <c r="S182" s="92">
        <f t="shared" si="191"/>
      </c>
      <c r="T182" s="92">
        <f t="shared" si="115"/>
      </c>
      <c r="U182" s="90">
        <f t="shared" si="96"/>
      </c>
      <c r="V182" s="92">
        <f t="shared" si="77"/>
      </c>
      <c r="W182" s="92">
        <f t="shared" si="31"/>
      </c>
      <c r="X182" s="90">
        <f t="shared" si="286"/>
      </c>
      <c r="Y182" s="93">
        <f t="shared" si="248"/>
      </c>
      <c r="Z182" s="90">
        <f t="shared" si="210"/>
      </c>
      <c r="AA182" s="91">
        <f t="shared" si="153"/>
      </c>
      <c r="AB182" s="94"/>
      <c r="AC182" s="91"/>
      <c r="AD182" s="96">
        <f>AD172+AD177+AD181</f>
      </c>
      <c r="AE182" s="96">
        <f>AE172+AE177+AE181</f>
      </c>
      <c r="AF182" s="96">
        <f>AF172+AF177+AF181</f>
      </c>
      <c r="AG182" s="96">
        <f>AG172+AG177+AG181</f>
      </c>
      <c r="AH182" s="96">
        <f>AH172+AH177+AH181</f>
      </c>
      <c r="AI182" s="96">
        <f>AI172+AI177+AI181</f>
      </c>
      <c r="AJ182" s="96">
        <f>AJ172+AJ177+AJ181</f>
      </c>
      <c r="AK182" s="96">
        <f>AK172+AK177+AK181</f>
      </c>
      <c r="AL182" s="96">
        <f>AL172+AL177+AL181</f>
      </c>
      <c r="AM182" s="104"/>
    </row>
    <row r="183">
      <c r="A183" s="1" t="s">
        <v>1</v>
      </c>
      <c r="B183" s="1"/>
      <c r="C183" s="1"/>
      <c r="D183" s="2" t="s">
        <v>2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3" t="s">
        <v>3</v>
      </c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4" t="s">
        <v>4</v>
      </c>
      <c r="AE183" s="4"/>
      <c r="AF183" s="4"/>
      <c r="AG183" s="4"/>
      <c r="AH183" s="4"/>
      <c r="AI183" s="4"/>
      <c r="AJ183" s="4"/>
      <c r="AK183" s="4"/>
      <c r="AL183" s="4"/>
      <c r="AM183" s="5"/>
    </row>
    <row r="184">
      <c r="A184" s="1" t="s">
        <v>5</v>
      </c>
      <c r="B184" s="6" t="s">
        <v>6</v>
      </c>
      <c r="C184" s="6" t="s">
        <v>7</v>
      </c>
      <c r="D184" s="7" t="s">
        <v>8</v>
      </c>
      <c r="E184" s="8" t="s">
        <v>9</v>
      </c>
      <c r="F184" s="8" t="s">
        <v>10</v>
      </c>
      <c r="G184" s="9" t="s">
        <v>11</v>
      </c>
      <c r="H184" s="10" t="s">
        <v>12</v>
      </c>
      <c r="I184" s="97" t="s">
        <v>13</v>
      </c>
      <c r="J184" s="2" t="s">
        <v>14</v>
      </c>
      <c r="K184" s="2" t="s">
        <v>15</v>
      </c>
      <c r="L184" s="13" t="s">
        <v>16</v>
      </c>
      <c r="M184" s="13" t="s">
        <v>17</v>
      </c>
      <c r="N184" s="9" t="s">
        <v>18</v>
      </c>
      <c r="O184" s="13" t="s">
        <v>19</v>
      </c>
      <c r="P184" s="3" t="s">
        <v>20</v>
      </c>
      <c r="Q184" s="3" t="s">
        <v>21</v>
      </c>
      <c r="R184" s="3" t="s">
        <v>22</v>
      </c>
      <c r="S184" s="14" t="s">
        <v>23</v>
      </c>
      <c r="T184" s="14" t="s">
        <v>24</v>
      </c>
      <c r="U184" s="3" t="s">
        <v>25</v>
      </c>
      <c r="V184" s="14" t="s">
        <v>26</v>
      </c>
      <c r="W184" s="14" t="s">
        <v>27</v>
      </c>
      <c r="X184" s="3" t="s">
        <v>28</v>
      </c>
      <c r="Y184" s="14" t="s">
        <v>29</v>
      </c>
      <c r="Z184" s="3" t="s">
        <v>30</v>
      </c>
      <c r="AA184" s="15" t="s">
        <v>31</v>
      </c>
      <c r="AB184" s="15" t="s">
        <v>32</v>
      </c>
      <c r="AC184" s="16" t="s">
        <v>33</v>
      </c>
      <c r="AD184" s="17" t="s">
        <v>34</v>
      </c>
      <c r="AE184" s="18" t="s">
        <v>35</v>
      </c>
      <c r="AF184" s="18" t="s">
        <v>36</v>
      </c>
      <c r="AG184" s="18" t="s">
        <v>37</v>
      </c>
      <c r="AH184" s="18" t="s">
        <v>38</v>
      </c>
      <c r="AI184" s="18" t="s">
        <v>39</v>
      </c>
      <c r="AJ184" s="19" t="s">
        <v>40</v>
      </c>
      <c r="AK184" s="19" t="s">
        <v>41</v>
      </c>
      <c r="AL184" s="19" t="s">
        <v>42</v>
      </c>
      <c r="AM184" s="5"/>
    </row>
    <row r="185">
      <c r="A185" s="20" t="s">
        <v>78</v>
      </c>
      <c r="B185" s="21" t="s">
        <v>44</v>
      </c>
      <c r="C185" s="22" t="s">
        <v>45</v>
      </c>
      <c r="D185" s="23">
        <f t="shared" ref="D185:D188" si="59">E185+F185+G185+H185</f>
      </c>
      <c r="E185" s="39">
        <v>2098.13</v>
      </c>
      <c r="F185" s="26"/>
      <c r="G185" s="26">
        <v>690.5</v>
      </c>
      <c r="H185" s="43"/>
      <c r="I185" s="24">
        <v>9</v>
      </c>
      <c r="J185" s="25">
        <v>9357.599999999999</v>
      </c>
      <c r="K185" s="40">
        <v>0</v>
      </c>
      <c r="L185" s="40">
        <v>0</v>
      </c>
      <c r="M185" s="40">
        <v>3</v>
      </c>
      <c r="N185" s="29">
        <f t="shared" ref="N185:N198" si="13">J185/D185</f>
      </c>
      <c r="O185" s="29">
        <f t="shared" ref="O185:O198" si="268">J185/(D185+300*AL185)</f>
      </c>
      <c r="P185" s="30">
        <f t="shared" ref="P185:P198" si="230">(D185/AE185)*1000</f>
      </c>
      <c r="Q185" s="31">
        <f t="shared" ref="Q185:Q198" si="173">AF185/AE185</f>
      </c>
      <c r="R185" s="32">
        <f t="shared" ref="R185:R198" si="135">D185/AG185</f>
      </c>
      <c r="S185" s="31">
        <f t="shared" ref="S185:S198" si="192">AH185/AG185</f>
      </c>
      <c r="T185" s="31">
        <f t="shared" ref="T185:T198" si="116">AI185/AG185</f>
      </c>
      <c r="U185" s="32">
        <f t="shared" ref="U185:U198" si="97">D185/AI185</f>
      </c>
      <c r="V185" s="31">
        <f t="shared" ref="V185:V198" si="78">AJ185/AI185</f>
      </c>
      <c r="W185" s="31">
        <f t="shared" ref="W185:W198" si="32">I185/AJ185</f>
      </c>
      <c r="X185" s="32">
        <f t="shared" ref="X185:X198" si="287">D185/I185</f>
      </c>
      <c r="Y185" s="33">
        <f t="shared" ref="Y185:Y198" si="249">J185/I185</f>
      </c>
      <c r="Z185" s="32">
        <f t="shared" ref="Z185:Z198" si="211">D185/AD185</f>
      </c>
      <c r="AA185" s="34">
        <f t="shared" ref="AA185:AA198" si="154">AK185*1000/D185</f>
      </c>
      <c r="AB185" s="35" t="s">
        <v>46</v>
      </c>
      <c r="AC185" s="105" t="s">
        <v>47</v>
      </c>
      <c r="AD185" s="107">
        <v>4</v>
      </c>
      <c r="AE185" s="38">
        <v>9542</v>
      </c>
      <c r="AF185" s="21">
        <v>390</v>
      </c>
      <c r="AG185" s="26">
        <v>579</v>
      </c>
      <c r="AH185" s="26">
        <v>80</v>
      </c>
      <c r="AI185" s="21">
        <v>27</v>
      </c>
      <c r="AJ185" s="25">
        <v>9</v>
      </c>
      <c r="AK185" s="40">
        <v>8</v>
      </c>
      <c r="AL185" s="41">
        <v>1</v>
      </c>
      <c r="AM185" s="42"/>
    </row>
    <row r="186">
      <c r="A186" s="20"/>
      <c r="B186" s="43" t="s">
        <v>48</v>
      </c>
      <c r="C186" s="44" t="s">
        <v>45</v>
      </c>
      <c r="D186" s="26">
        <f t="shared" si="59"/>
      </c>
      <c r="E186" s="47">
        <v>2500.37</v>
      </c>
      <c r="F186" s="47"/>
      <c r="G186" s="21">
        <v>1186.23</v>
      </c>
      <c r="H186" s="43"/>
      <c r="I186" s="48">
        <v>1</v>
      </c>
      <c r="J186" s="21">
        <v>2080</v>
      </c>
      <c r="K186" s="25">
        <v>0</v>
      </c>
      <c r="L186" s="40">
        <v>0</v>
      </c>
      <c r="M186" s="40">
        <v>1</v>
      </c>
      <c r="N186" s="29">
        <f t="shared" si="13"/>
      </c>
      <c r="O186" s="29">
        <f t="shared" si="268"/>
      </c>
      <c r="P186" s="30">
        <f t="shared" si="230"/>
      </c>
      <c r="Q186" s="108">
        <f t="shared" si="173"/>
      </c>
      <c r="R186" s="32">
        <f t="shared" si="135"/>
      </c>
      <c r="S186" s="31">
        <f t="shared" si="192"/>
      </c>
      <c r="T186" s="31">
        <f t="shared" si="116"/>
      </c>
      <c r="U186" s="32">
        <f t="shared" si="97"/>
      </c>
      <c r="V186" s="31">
        <f t="shared" si="78"/>
      </c>
      <c r="W186" s="31">
        <f t="shared" si="32"/>
      </c>
      <c r="X186" s="32">
        <f t="shared" si="287"/>
      </c>
      <c r="Y186" s="33">
        <f t="shared" si="249"/>
      </c>
      <c r="Z186" s="32">
        <f t="shared" si="211"/>
      </c>
      <c r="AA186" s="34">
        <f t="shared" si="154"/>
      </c>
      <c r="AB186" s="35" t="s">
        <v>46</v>
      </c>
      <c r="AC186" s="109" t="s">
        <v>47</v>
      </c>
      <c r="AD186" s="39">
        <v>1</v>
      </c>
      <c r="AE186" s="47">
        <v>11346</v>
      </c>
      <c r="AF186" s="47">
        <v>440</v>
      </c>
      <c r="AG186" s="48">
        <v>718</v>
      </c>
      <c r="AH186" s="21">
        <v>90</v>
      </c>
      <c r="AI186" s="21">
        <v>38</v>
      </c>
      <c r="AJ186" s="49">
        <v>7</v>
      </c>
      <c r="AK186" s="50">
        <v>13</v>
      </c>
      <c r="AL186" s="41">
        <v>1</v>
      </c>
      <c r="AM186" s="42"/>
    </row>
    <row r="187">
      <c r="A187" s="20"/>
      <c r="B187" s="43" t="s">
        <v>49</v>
      </c>
      <c r="C187" s="39" t="s">
        <v>45</v>
      </c>
      <c r="D187" s="26">
        <f t="shared" si="59"/>
      </c>
      <c r="E187" s="26">
        <v>1580.22</v>
      </c>
      <c r="F187" s="26"/>
      <c r="G187" s="21">
        <v>1377.81</v>
      </c>
      <c r="H187" s="21"/>
      <c r="I187" s="51">
        <v>1</v>
      </c>
      <c r="J187" s="51">
        <v>2268</v>
      </c>
      <c r="K187" s="51">
        <v>0</v>
      </c>
      <c r="L187" s="51">
        <v>0</v>
      </c>
      <c r="M187" s="51">
        <v>1</v>
      </c>
      <c r="N187" s="29">
        <f t="shared" si="13"/>
      </c>
      <c r="O187" s="29">
        <f t="shared" si="268"/>
      </c>
      <c r="P187" s="110">
        <f t="shared" si="230"/>
      </c>
      <c r="Q187" s="71">
        <f t="shared" si="173"/>
      </c>
      <c r="R187" s="111">
        <f t="shared" si="135"/>
      </c>
      <c r="S187" s="31">
        <f t="shared" si="192"/>
      </c>
      <c r="T187" s="31">
        <f t="shared" si="116"/>
      </c>
      <c r="U187" s="32">
        <f t="shared" si="97"/>
      </c>
      <c r="V187" s="31">
        <f t="shared" si="78"/>
      </c>
      <c r="W187" s="31">
        <f t="shared" si="32"/>
      </c>
      <c r="X187" s="32">
        <f t="shared" si="287"/>
      </c>
      <c r="Y187" s="33">
        <f t="shared" si="249"/>
      </c>
      <c r="Z187" s="32">
        <f t="shared" si="211"/>
      </c>
      <c r="AA187" s="34">
        <f t="shared" si="154"/>
      </c>
      <c r="AB187" s="35" t="s">
        <v>46</v>
      </c>
      <c r="AC187" s="105" t="s">
        <v>47</v>
      </c>
      <c r="AD187" s="45">
        <v>1</v>
      </c>
      <c r="AE187" s="26">
        <v>9640</v>
      </c>
      <c r="AF187" s="26">
        <v>407</v>
      </c>
      <c r="AG187" s="21">
        <v>680</v>
      </c>
      <c r="AH187" s="21">
        <v>88</v>
      </c>
      <c r="AI187" s="21">
        <v>21</v>
      </c>
      <c r="AJ187" s="49">
        <v>4</v>
      </c>
      <c r="AK187" s="50">
        <v>17</v>
      </c>
      <c r="AL187" s="41">
        <v>1</v>
      </c>
      <c r="AM187" s="42"/>
    </row>
    <row r="188">
      <c r="A188" s="20"/>
      <c r="B188" s="43" t="s">
        <v>50</v>
      </c>
      <c r="C188" s="48" t="s">
        <v>45</v>
      </c>
      <c r="D188" s="26">
        <f t="shared" si="59"/>
      </c>
      <c r="E188" s="26">
        <v>1183.63</v>
      </c>
      <c r="F188" s="26"/>
      <c r="G188" s="21">
        <v>1278.53</v>
      </c>
      <c r="H188" s="21"/>
      <c r="I188" s="40">
        <v>3</v>
      </c>
      <c r="J188" s="40">
        <v>6616</v>
      </c>
      <c r="K188" s="40">
        <v>0</v>
      </c>
      <c r="L188" s="40">
        <v>0</v>
      </c>
      <c r="M188" s="40">
        <v>3</v>
      </c>
      <c r="N188" s="29">
        <f t="shared" si="13"/>
      </c>
      <c r="O188" s="29">
        <f t="shared" si="268"/>
      </c>
      <c r="P188" s="30">
        <f t="shared" si="230"/>
      </c>
      <c r="Q188" s="112">
        <f t="shared" si="173"/>
      </c>
      <c r="R188" s="32">
        <f t="shared" si="135"/>
      </c>
      <c r="S188" s="31">
        <f t="shared" si="192"/>
      </c>
      <c r="T188" s="31">
        <f t="shared" si="116"/>
      </c>
      <c r="U188" s="32">
        <f t="shared" si="97"/>
      </c>
      <c r="V188" s="31">
        <f t="shared" si="78"/>
      </c>
      <c r="W188" s="31">
        <f t="shared" si="32"/>
      </c>
      <c r="X188" s="32">
        <f t="shared" si="287"/>
      </c>
      <c r="Y188" s="33">
        <f t="shared" si="249"/>
      </c>
      <c r="Z188" s="32">
        <f t="shared" si="211"/>
      </c>
      <c r="AA188" s="34">
        <f t="shared" si="154"/>
      </c>
      <c r="AB188" s="35" t="s">
        <v>46</v>
      </c>
      <c r="AC188" s="105" t="s">
        <v>47</v>
      </c>
      <c r="AD188" s="45">
        <v>3</v>
      </c>
      <c r="AE188" s="47">
        <v>8346</v>
      </c>
      <c r="AF188" s="21">
        <v>365</v>
      </c>
      <c r="AG188" s="21">
        <v>554</v>
      </c>
      <c r="AH188" s="21">
        <v>77</v>
      </c>
      <c r="AI188" s="21">
        <v>29</v>
      </c>
      <c r="AJ188" s="49">
        <v>7</v>
      </c>
      <c r="AK188" s="50">
        <v>18</v>
      </c>
      <c r="AL188" s="41">
        <v>1</v>
      </c>
      <c r="AM188" s="42"/>
    </row>
    <row r="189">
      <c r="A189" s="20"/>
      <c r="B189" s="53" t="s">
        <v>51</v>
      </c>
      <c r="C189" s="53"/>
      <c r="D189" s="53">
        <f>SUM(D185:D188)</f>
      </c>
      <c r="E189" s="53">
        <f>SUM(E185:E188)</f>
      </c>
      <c r="F189" s="53">
        <f>SUM(F185:F188)</f>
      </c>
      <c r="G189" s="53">
        <f>SUM(G185:G188)</f>
      </c>
      <c r="H189" s="53">
        <f>SUM(H185:H188)</f>
      </c>
      <c r="I189" s="53">
        <f>SUM(I185:I188)</f>
      </c>
      <c r="J189" s="53">
        <f>SUM(J185:J188)</f>
      </c>
      <c r="K189" s="53">
        <f>SUM(K185:K188)</f>
      </c>
      <c r="L189" s="53">
        <f>SUM(L185:L188)</f>
      </c>
      <c r="M189" s="53">
        <f>SUM(M185:M188)</f>
      </c>
      <c r="N189" s="54">
        <f t="shared" si="13"/>
      </c>
      <c r="O189" s="55">
        <f t="shared" si="268"/>
      </c>
      <c r="P189" s="56">
        <f t="shared" si="230"/>
      </c>
      <c r="Q189" s="57">
        <f t="shared" si="173"/>
      </c>
      <c r="R189" s="58">
        <f t="shared" si="135"/>
      </c>
      <c r="S189" s="57">
        <f t="shared" si="192"/>
      </c>
      <c r="T189" s="59">
        <f t="shared" si="116"/>
      </c>
      <c r="U189" s="60">
        <f t="shared" si="97"/>
      </c>
      <c r="V189" s="59">
        <f t="shared" si="78"/>
      </c>
      <c r="W189" s="59">
        <f t="shared" si="32"/>
      </c>
      <c r="X189" s="60">
        <f t="shared" si="287"/>
      </c>
      <c r="Y189" s="61">
        <f t="shared" si="249"/>
      </c>
      <c r="Z189" s="60">
        <f t="shared" si="211"/>
      </c>
      <c r="AA189" s="62">
        <f t="shared" si="154"/>
      </c>
      <c r="AB189" s="63"/>
      <c r="AC189" s="62"/>
      <c r="AD189" s="102">
        <f>SUM(AD185:AD188)</f>
      </c>
      <c r="AE189" s="66">
        <f>SUM(AE185:AE188)</f>
      </c>
      <c r="AF189" s="66">
        <f>SUM(AF185:AF188)</f>
      </c>
      <c r="AG189" s="66">
        <f>SUM(AG185:AG188)</f>
      </c>
      <c r="AH189" s="66">
        <f>SUM(AH185:AH188)</f>
      </c>
      <c r="AI189" s="66">
        <f>SUM(AI185:AI188)</f>
      </c>
      <c r="AJ189" s="66">
        <f>SUM(AJ185:AJ188)</f>
      </c>
      <c r="AK189" s="66">
        <f>SUM(AK185:AK188)</f>
      </c>
      <c r="AL189" s="66">
        <f>SUM(AL185:AL188)</f>
      </c>
      <c r="AM189" s="42"/>
    </row>
    <row r="190">
      <c r="A190" s="20"/>
      <c r="B190" s="48" t="s">
        <v>52</v>
      </c>
      <c r="C190" s="22" t="s">
        <v>53</v>
      </c>
      <c r="D190" s="21">
        <f t="shared" ref="D190:D193" si="301">E190+G190</f>
      </c>
      <c r="E190" s="21">
        <v>2876.77</v>
      </c>
      <c r="F190" s="26"/>
      <c r="G190" s="21">
        <v>2245.99</v>
      </c>
      <c r="H190" s="21"/>
      <c r="I190" s="40">
        <v>5</v>
      </c>
      <c r="J190" s="40">
        <v>10020</v>
      </c>
      <c r="K190" s="40">
        <v>0</v>
      </c>
      <c r="L190" s="40">
        <v>1</v>
      </c>
      <c r="M190" s="67">
        <v>4</v>
      </c>
      <c r="N190" s="68">
        <f t="shared" si="13"/>
      </c>
      <c r="O190" s="29">
        <f t="shared" si="268"/>
      </c>
      <c r="P190" s="30">
        <f t="shared" si="230"/>
      </c>
      <c r="Q190" s="31">
        <f t="shared" si="173"/>
      </c>
      <c r="R190" s="32">
        <f t="shared" si="135"/>
      </c>
      <c r="S190" s="31">
        <f t="shared" si="192"/>
      </c>
      <c r="T190" s="73">
        <f t="shared" si="116"/>
      </c>
      <c r="U190" s="32">
        <f t="shared" si="97"/>
      </c>
      <c r="V190" s="31">
        <f t="shared" si="78"/>
      </c>
      <c r="W190" s="31">
        <f t="shared" si="32"/>
      </c>
      <c r="X190" s="32">
        <f t="shared" si="287"/>
      </c>
      <c r="Y190" s="33">
        <f t="shared" si="249"/>
      </c>
      <c r="Z190" s="32">
        <f t="shared" si="211"/>
      </c>
      <c r="AA190" s="34">
        <f t="shared" si="154"/>
      </c>
      <c r="AB190" s="35" t="s">
        <v>46</v>
      </c>
      <c r="AC190" s="105" t="s">
        <v>47</v>
      </c>
      <c r="AD190" s="26">
        <v>5</v>
      </c>
      <c r="AE190" s="74">
        <v>19856</v>
      </c>
      <c r="AF190" s="75">
        <v>767</v>
      </c>
      <c r="AG190" s="75">
        <v>1062</v>
      </c>
      <c r="AH190" s="75">
        <v>123</v>
      </c>
      <c r="AI190" s="75">
        <v>58</v>
      </c>
      <c r="AJ190" s="41">
        <v>10</v>
      </c>
      <c r="AK190" s="41">
        <v>25</v>
      </c>
      <c r="AL190" s="41">
        <v>1</v>
      </c>
      <c r="AM190" s="42"/>
    </row>
    <row r="191">
      <c r="A191" s="20"/>
      <c r="B191" s="48" t="s">
        <v>54</v>
      </c>
      <c r="C191" s="22" t="s">
        <v>53</v>
      </c>
      <c r="D191" s="21">
        <f t="shared" si="301"/>
      </c>
      <c r="E191" s="21">
        <v>1960.77</v>
      </c>
      <c r="F191" s="26"/>
      <c r="G191" s="21">
        <v>1812.63</v>
      </c>
      <c r="H191" s="21"/>
      <c r="I191" s="40">
        <v>2</v>
      </c>
      <c r="J191" s="40">
        <v>4536</v>
      </c>
      <c r="K191" s="40">
        <v>0</v>
      </c>
      <c r="L191" s="40">
        <v>0</v>
      </c>
      <c r="M191" s="40">
        <v>2</v>
      </c>
      <c r="N191" s="68">
        <f t="shared" si="13"/>
      </c>
      <c r="O191" s="29">
        <f t="shared" si="268"/>
      </c>
      <c r="P191" s="30">
        <f t="shared" si="230"/>
      </c>
      <c r="Q191" s="31">
        <f t="shared" si="173"/>
      </c>
      <c r="R191" s="32">
        <f t="shared" si="135"/>
      </c>
      <c r="S191" s="31">
        <f t="shared" si="192"/>
      </c>
      <c r="T191" s="73">
        <f t="shared" si="116"/>
      </c>
      <c r="U191" s="32">
        <f t="shared" si="97"/>
      </c>
      <c r="V191" s="31">
        <f t="shared" si="78"/>
      </c>
      <c r="W191" s="31">
        <f t="shared" si="32"/>
      </c>
      <c r="X191" s="32">
        <f t="shared" si="287"/>
      </c>
      <c r="Y191" s="33">
        <f t="shared" si="249"/>
      </c>
      <c r="Z191" s="32">
        <f t="shared" si="211"/>
      </c>
      <c r="AA191" s="34">
        <f t="shared" si="154"/>
      </c>
      <c r="AB191" s="35" t="s">
        <v>46</v>
      </c>
      <c r="AC191" s="105" t="s">
        <v>47</v>
      </c>
      <c r="AD191" s="26">
        <v>2</v>
      </c>
      <c r="AE191" s="74">
        <v>14532</v>
      </c>
      <c r="AF191" s="75">
        <v>560</v>
      </c>
      <c r="AG191" s="75">
        <v>794</v>
      </c>
      <c r="AH191" s="75">
        <v>82</v>
      </c>
      <c r="AI191" s="75">
        <v>25</v>
      </c>
      <c r="AJ191" s="41">
        <v>4</v>
      </c>
      <c r="AK191" s="41">
        <v>18</v>
      </c>
      <c r="AL191" s="41">
        <v>1</v>
      </c>
      <c r="AM191" s="42"/>
    </row>
    <row r="192">
      <c r="A192" s="20"/>
      <c r="B192" s="21" t="s">
        <v>55</v>
      </c>
      <c r="C192" s="22" t="s">
        <v>53</v>
      </c>
      <c r="D192" s="21">
        <f t="shared" si="301"/>
      </c>
      <c r="E192" s="21">
        <v>2158.19</v>
      </c>
      <c r="F192" s="26"/>
      <c r="G192" s="21">
        <v>873.09</v>
      </c>
      <c r="H192" s="21"/>
      <c r="I192" s="40">
        <v>1</v>
      </c>
      <c r="J192" s="40">
        <v>2268</v>
      </c>
      <c r="K192" s="40">
        <v>0</v>
      </c>
      <c r="L192" s="40">
        <v>0</v>
      </c>
      <c r="M192" s="40">
        <v>1</v>
      </c>
      <c r="N192" s="103">
        <f t="shared" si="13"/>
      </c>
      <c r="O192" s="29">
        <f t="shared" si="268"/>
      </c>
      <c r="P192" s="30">
        <f t="shared" si="230"/>
      </c>
      <c r="Q192" s="31">
        <f t="shared" si="173"/>
      </c>
      <c r="R192" s="32">
        <f t="shared" si="135"/>
      </c>
      <c r="S192" s="31">
        <f t="shared" si="192"/>
      </c>
      <c r="T192" s="73">
        <f t="shared" si="116"/>
      </c>
      <c r="U192" s="32">
        <f t="shared" si="97"/>
      </c>
      <c r="V192" s="31">
        <f t="shared" si="78"/>
      </c>
      <c r="W192" s="31">
        <f t="shared" si="32"/>
      </c>
      <c r="X192" s="32">
        <f t="shared" si="287"/>
      </c>
      <c r="Y192" s="33">
        <f t="shared" si="249"/>
      </c>
      <c r="Z192" s="32">
        <f t="shared" si="211"/>
      </c>
      <c r="AA192" s="34">
        <f t="shared" si="154"/>
      </c>
      <c r="AB192" s="35" t="s">
        <v>46</v>
      </c>
      <c r="AC192" s="105" t="s">
        <v>47</v>
      </c>
      <c r="AD192" s="26">
        <v>1</v>
      </c>
      <c r="AE192" s="74">
        <v>11066</v>
      </c>
      <c r="AF192" s="75">
        <v>407</v>
      </c>
      <c r="AG192" s="75">
        <v>602</v>
      </c>
      <c r="AH192" s="75">
        <v>75</v>
      </c>
      <c r="AI192" s="41">
        <v>19</v>
      </c>
      <c r="AJ192" s="41">
        <v>3</v>
      </c>
      <c r="AK192" s="41">
        <v>14</v>
      </c>
      <c r="AL192" s="41">
        <v>1</v>
      </c>
      <c r="AM192" s="42"/>
    </row>
    <row r="193">
      <c r="A193" s="20"/>
      <c r="B193" s="43" t="s">
        <v>56</v>
      </c>
      <c r="C193" s="21" t="s">
        <v>53</v>
      </c>
      <c r="D193" s="21">
        <f t="shared" si="301"/>
      </c>
      <c r="E193" s="21">
        <v>3448.24</v>
      </c>
      <c r="F193" s="26"/>
      <c r="G193" s="21">
        <v>894.17</v>
      </c>
      <c r="H193" s="21"/>
      <c r="I193" s="40">
        <v>1</v>
      </c>
      <c r="J193" s="40">
        <v>948</v>
      </c>
      <c r="K193" s="40">
        <v>0</v>
      </c>
      <c r="L193" s="40">
        <v>1</v>
      </c>
      <c r="M193" s="40">
        <v>0</v>
      </c>
      <c r="N193" s="68">
        <f t="shared" si="13"/>
      </c>
      <c r="O193" s="29">
        <f t="shared" si="268"/>
      </c>
      <c r="P193" s="30">
        <f t="shared" si="230"/>
      </c>
      <c r="Q193" s="31">
        <f t="shared" si="173"/>
      </c>
      <c r="R193" s="32">
        <f t="shared" si="135"/>
      </c>
      <c r="S193" s="31">
        <f t="shared" si="192"/>
      </c>
      <c r="T193" s="73">
        <f t="shared" si="116"/>
      </c>
      <c r="U193" s="32">
        <f t="shared" si="97"/>
      </c>
      <c r="V193" s="31">
        <f t="shared" si="78"/>
      </c>
      <c r="W193" s="31">
        <f t="shared" si="32"/>
      </c>
      <c r="X193" s="32">
        <f t="shared" si="287"/>
      </c>
      <c r="Y193" s="33">
        <f t="shared" si="249"/>
      </c>
      <c r="Z193" s="32">
        <f t="shared" si="211"/>
      </c>
      <c r="AA193" s="34">
        <f t="shared" si="154"/>
      </c>
      <c r="AB193" s="35" t="s">
        <v>46</v>
      </c>
      <c r="AC193" s="105" t="s">
        <v>47</v>
      </c>
      <c r="AD193" s="26">
        <v>1</v>
      </c>
      <c r="AE193" s="74">
        <v>22004</v>
      </c>
      <c r="AF193" s="75">
        <v>568</v>
      </c>
      <c r="AG193" s="75">
        <v>904</v>
      </c>
      <c r="AH193" s="75">
        <v>118</v>
      </c>
      <c r="AI193" s="75">
        <v>22</v>
      </c>
      <c r="AJ193" s="41">
        <v>5</v>
      </c>
      <c r="AK193" s="41">
        <v>20</v>
      </c>
      <c r="AL193" s="41">
        <v>1</v>
      </c>
      <c r="AM193" s="42"/>
    </row>
    <row r="194">
      <c r="A194" s="20"/>
      <c r="B194" s="53" t="s">
        <v>51</v>
      </c>
      <c r="C194" s="53"/>
      <c r="D194" s="53">
        <f>SUM(D190:D193)</f>
      </c>
      <c r="E194" s="53">
        <f>SUM(E190:E193)</f>
      </c>
      <c r="F194" s="53">
        <f>SUM(F190:F193)</f>
      </c>
      <c r="G194" s="53">
        <f>SUM(G190:G193)</f>
      </c>
      <c r="H194" s="53">
        <f>SUM(H190:H193)</f>
      </c>
      <c r="I194" s="53">
        <f>SUM(I190:I193)</f>
      </c>
      <c r="J194" s="53">
        <f>SUM(J190:J193)</f>
      </c>
      <c r="K194" s="53">
        <f>SUM(K190:K193)</f>
      </c>
      <c r="L194" s="53">
        <f>SUM(L190:L193)</f>
      </c>
      <c r="M194" s="53">
        <f>SUM(M190:M193)</f>
      </c>
      <c r="N194" s="54">
        <f t="shared" si="13"/>
      </c>
      <c r="O194" s="81">
        <f t="shared" si="268"/>
      </c>
      <c r="P194" s="82">
        <f t="shared" si="230"/>
      </c>
      <c r="Q194" s="83">
        <f t="shared" si="173"/>
      </c>
      <c r="R194" s="84">
        <f t="shared" si="135"/>
      </c>
      <c r="S194" s="83">
        <f t="shared" si="192"/>
      </c>
      <c r="T194" s="59">
        <f t="shared" si="116"/>
      </c>
      <c r="U194" s="60">
        <f t="shared" si="97"/>
      </c>
      <c r="V194" s="59">
        <f t="shared" si="78"/>
      </c>
      <c r="W194" s="59">
        <f t="shared" si="32"/>
      </c>
      <c r="X194" s="60">
        <f t="shared" si="287"/>
      </c>
      <c r="Y194" s="61">
        <f t="shared" si="249"/>
      </c>
      <c r="Z194" s="60">
        <f t="shared" si="211"/>
      </c>
      <c r="AA194" s="62">
        <f t="shared" si="154"/>
      </c>
      <c r="AB194" s="63"/>
      <c r="AC194" s="62"/>
      <c r="AD194" s="85">
        <f>SUM(AD190:AD193)</f>
      </c>
      <c r="AE194" s="85">
        <f>SUM(AE190:AE193)</f>
      </c>
      <c r="AF194" s="85">
        <f>SUM(AF190:AF193)</f>
      </c>
      <c r="AG194" s="85">
        <f>SUM(AG190:AG193)</f>
      </c>
      <c r="AH194" s="85">
        <f>SUM(AH190:AH193)</f>
      </c>
      <c r="AI194" s="85">
        <f>SUM(AI190:AI193)</f>
      </c>
      <c r="AJ194" s="85">
        <f>SUM(AJ190:AJ193)</f>
      </c>
      <c r="AK194" s="85">
        <f>SUM(AK190:AK193)</f>
      </c>
      <c r="AL194" s="85">
        <f>SUM(AL190:AL193)</f>
      </c>
      <c r="AM194" s="42"/>
    </row>
    <row r="195">
      <c r="A195" s="20"/>
      <c r="B195" s="51" t="s">
        <v>67</v>
      </c>
      <c r="C195" s="67" t="s">
        <v>71</v>
      </c>
      <c r="D195" s="21">
        <f t="shared" ref="D195:D196" si="302">E195+G195</f>
      </c>
      <c r="E195" s="21">
        <v>1604</v>
      </c>
      <c r="F195" s="26"/>
      <c r="G195" s="21">
        <v>789.62</v>
      </c>
      <c r="H195" s="21"/>
      <c r="I195" s="40">
        <v>0</v>
      </c>
      <c r="J195" s="40">
        <v>0</v>
      </c>
      <c r="K195" s="40">
        <v>0</v>
      </c>
      <c r="L195" s="40">
        <v>0</v>
      </c>
      <c r="M195" s="40">
        <v>0</v>
      </c>
      <c r="N195" s="68">
        <f t="shared" si="13"/>
      </c>
      <c r="O195" s="29">
        <f t="shared" si="268"/>
      </c>
      <c r="P195" s="30">
        <f t="shared" si="230"/>
      </c>
      <c r="Q195" s="31">
        <f t="shared" si="173"/>
      </c>
      <c r="R195" s="32">
        <f t="shared" si="135"/>
      </c>
      <c r="S195" s="31">
        <f t="shared" si="192"/>
      </c>
      <c r="T195" s="73">
        <f t="shared" si="116"/>
      </c>
      <c r="U195" s="32">
        <f t="shared" si="97"/>
      </c>
      <c r="V195" s="31">
        <f t="shared" si="78"/>
      </c>
      <c r="W195" s="31">
        <f t="shared" si="32"/>
      </c>
      <c r="X195" s="32">
        <f t="shared" si="287"/>
      </c>
      <c r="Y195" s="33">
        <f t="shared" si="249"/>
      </c>
      <c r="Z195" s="32">
        <f t="shared" si="211"/>
      </c>
      <c r="AA195" s="34">
        <f t="shared" si="154"/>
      </c>
      <c r="AB195" s="35" t="s">
        <v>46</v>
      </c>
      <c r="AC195" s="105" t="s">
        <v>72</v>
      </c>
      <c r="AD195" s="26">
        <v>0</v>
      </c>
      <c r="AE195" s="74">
        <v>9652</v>
      </c>
      <c r="AF195" s="75">
        <v>288</v>
      </c>
      <c r="AG195" s="75">
        <v>498</v>
      </c>
      <c r="AH195" s="75">
        <v>68</v>
      </c>
      <c r="AI195" s="75">
        <v>19</v>
      </c>
      <c r="AJ195" s="41">
        <v>6</v>
      </c>
      <c r="AK195" s="41">
        <v>13</v>
      </c>
      <c r="AL195" s="41">
        <v>1</v>
      </c>
      <c r="AM195" s="42"/>
    </row>
    <row r="196">
      <c r="A196" s="20"/>
      <c r="B196" s="40" t="s">
        <v>73</v>
      </c>
      <c r="C196" s="67" t="s">
        <v>71</v>
      </c>
      <c r="D196" s="21">
        <f t="shared" si="302"/>
      </c>
      <c r="E196" s="21">
        <f>1326.54+0.31</f>
      </c>
      <c r="F196" s="26"/>
      <c r="G196" s="21">
        <f>912.35+4.94</f>
      </c>
      <c r="H196" s="21"/>
      <c r="I196" s="40">
        <v>0</v>
      </c>
      <c r="J196" s="40">
        <v>0</v>
      </c>
      <c r="K196" s="40">
        <v>0</v>
      </c>
      <c r="L196" s="40">
        <v>0</v>
      </c>
      <c r="M196" s="40">
        <v>0</v>
      </c>
      <c r="N196" s="103">
        <f t="shared" si="13"/>
      </c>
      <c r="O196" s="29">
        <f t="shared" si="268"/>
      </c>
      <c r="P196" s="30">
        <f t="shared" si="230"/>
      </c>
      <c r="Q196" s="31">
        <f t="shared" si="173"/>
      </c>
      <c r="R196" s="32">
        <f t="shared" si="135"/>
      </c>
      <c r="S196" s="31">
        <f t="shared" si="192"/>
      </c>
      <c r="T196" s="73">
        <f t="shared" si="116"/>
      </c>
      <c r="U196" s="32">
        <f t="shared" si="97"/>
      </c>
      <c r="V196" s="31">
        <f t="shared" si="78"/>
      </c>
      <c r="W196" s="31">
        <f t="shared" si="32"/>
      </c>
      <c r="X196" s="32">
        <f t="shared" si="287"/>
      </c>
      <c r="Y196" s="33">
        <f t="shared" si="249"/>
      </c>
      <c r="Z196" s="32">
        <f t="shared" si="211"/>
      </c>
      <c r="AA196" s="34">
        <f t="shared" si="154"/>
      </c>
      <c r="AB196" s="35" t="s">
        <v>46</v>
      </c>
      <c r="AC196" s="105" t="s">
        <v>72</v>
      </c>
      <c r="AD196" s="26">
        <v>0</v>
      </c>
      <c r="AE196" s="74">
        <v>10163</v>
      </c>
      <c r="AF196" s="75">
        <v>361</v>
      </c>
      <c r="AG196" s="75">
        <v>562</v>
      </c>
      <c r="AH196" s="75">
        <v>60</v>
      </c>
      <c r="AI196" s="41">
        <v>27</v>
      </c>
      <c r="AJ196" s="41">
        <v>4</v>
      </c>
      <c r="AK196" s="41">
        <v>16</v>
      </c>
      <c r="AL196" s="41">
        <v>1</v>
      </c>
      <c r="AM196" s="42"/>
    </row>
    <row r="197">
      <c r="A197" s="20"/>
      <c r="B197" s="53" t="s">
        <v>51</v>
      </c>
      <c r="C197" s="53"/>
      <c r="D197" s="53">
        <f>SUM(D195:D196)</f>
      </c>
      <c r="E197" s="53">
        <f>SUM(E195:E196)</f>
      </c>
      <c r="F197" s="53">
        <f>SUM(F195:F196)</f>
      </c>
      <c r="G197" s="53">
        <f>SUM(G195:G196)</f>
      </c>
      <c r="H197" s="53">
        <f>SUM(H195:H196)</f>
      </c>
      <c r="I197" s="53">
        <f>SUM(I195:I196)</f>
      </c>
      <c r="J197" s="53">
        <f>SUM(J195:J196)</f>
      </c>
      <c r="K197" s="53">
        <f>SUM(K195:K196)</f>
      </c>
      <c r="L197" s="53">
        <f>SUM(L195:L196)</f>
      </c>
      <c r="M197" s="53">
        <f>SUM(M195:M196)</f>
      </c>
      <c r="N197" s="54">
        <f t="shared" si="13"/>
      </c>
      <c r="O197" s="81">
        <f t="shared" si="268"/>
      </c>
      <c r="P197" s="82">
        <f t="shared" si="230"/>
      </c>
      <c r="Q197" s="83">
        <f t="shared" si="173"/>
      </c>
      <c r="R197" s="84">
        <f t="shared" si="135"/>
      </c>
      <c r="S197" s="83">
        <f t="shared" si="192"/>
      </c>
      <c r="T197" s="59">
        <f t="shared" si="116"/>
      </c>
      <c r="U197" s="60">
        <f t="shared" si="97"/>
      </c>
      <c r="V197" s="59">
        <f t="shared" si="78"/>
      </c>
      <c r="W197" s="59">
        <f t="shared" si="32"/>
      </c>
      <c r="X197" s="60">
        <f t="shared" si="287"/>
      </c>
      <c r="Y197" s="61">
        <f t="shared" si="249"/>
      </c>
      <c r="Z197" s="60">
        <f t="shared" si="211"/>
      </c>
      <c r="AA197" s="62">
        <f t="shared" si="154"/>
      </c>
      <c r="AB197" s="63"/>
      <c r="AC197" s="62"/>
      <c r="AD197" s="85">
        <f>SUM(AD195:AD196)</f>
      </c>
      <c r="AE197" s="85">
        <f>SUM(AE195:AE196)</f>
      </c>
      <c r="AF197" s="85">
        <f>SUM(AF195:AF196)</f>
      </c>
      <c r="AG197" s="85">
        <f>SUM(AG195:AG196)</f>
      </c>
      <c r="AH197" s="85">
        <f>SUM(AH195:AH196)</f>
      </c>
      <c r="AI197" s="85">
        <f>SUM(AI195:AI196)</f>
      </c>
      <c r="AJ197" s="85">
        <f>SUM(AJ195:AJ196)</f>
      </c>
      <c r="AK197" s="85">
        <f>SUM(AK195:AK196)</f>
      </c>
      <c r="AL197" s="85">
        <f>SUM(AL195:AL196)</f>
      </c>
      <c r="AM197" s="104" t="s">
        <v>57</v>
      </c>
    </row>
    <row r="198">
      <c r="A198" s="20"/>
      <c r="B198" s="88" t="s">
        <v>58</v>
      </c>
      <c r="C198" s="88"/>
      <c r="D198" s="88">
        <f>D189+D194+D197</f>
      </c>
      <c r="E198" s="88">
        <f>E189+E194+E197</f>
      </c>
      <c r="F198" s="88">
        <f>F189+F194+F197</f>
      </c>
      <c r="G198" s="88">
        <f>G189+G194+G197</f>
      </c>
      <c r="H198" s="88">
        <f>H189+H194+H197</f>
      </c>
      <c r="I198" s="88">
        <f>I189+I194+I197</f>
      </c>
      <c r="J198" s="88">
        <f>J189+J194+J197</f>
      </c>
      <c r="K198" s="88">
        <f>K189+K194+K197</f>
      </c>
      <c r="L198" s="88">
        <f>L189+L194+L197</f>
      </c>
      <c r="M198" s="88">
        <f>M189+M194+M197</f>
      </c>
      <c r="N198" s="89">
        <f t="shared" si="13"/>
      </c>
      <c r="O198" s="90">
        <f t="shared" si="268"/>
      </c>
      <c r="P198" s="91">
        <f t="shared" si="230"/>
      </c>
      <c r="Q198" s="92">
        <f t="shared" si="173"/>
      </c>
      <c r="R198" s="90">
        <f t="shared" si="135"/>
      </c>
      <c r="S198" s="92">
        <f t="shared" si="192"/>
      </c>
      <c r="T198" s="92">
        <f t="shared" si="116"/>
      </c>
      <c r="U198" s="90">
        <f t="shared" si="97"/>
      </c>
      <c r="V198" s="92">
        <f t="shared" si="78"/>
      </c>
      <c r="W198" s="92">
        <f t="shared" si="32"/>
      </c>
      <c r="X198" s="90">
        <f t="shared" si="287"/>
      </c>
      <c r="Y198" s="93">
        <f t="shared" si="249"/>
      </c>
      <c r="Z198" s="90">
        <f t="shared" si="211"/>
      </c>
      <c r="AA198" s="91">
        <f t="shared" si="154"/>
      </c>
      <c r="AB198" s="94"/>
      <c r="AC198" s="91"/>
      <c r="AD198" s="96">
        <f>AD189+AD194+AD197</f>
      </c>
      <c r="AE198" s="96">
        <f>AE189+AE194+AE197</f>
      </c>
      <c r="AF198" s="96">
        <f>AF189+AF194+AF197</f>
      </c>
      <c r="AG198" s="96">
        <f>AG189+AG194+AG197</f>
      </c>
      <c r="AH198" s="96">
        <f>AH189+AH194+AH197</f>
      </c>
      <c r="AI198" s="96">
        <f>AI189+AI194+AI197</f>
      </c>
      <c r="AJ198" s="96">
        <f>AJ189+AJ194+AJ197</f>
      </c>
      <c r="AK198" s="96">
        <f>AK189+AK194+AK197</f>
      </c>
      <c r="AL198" s="96">
        <f>AL189+AL194+AL197</f>
      </c>
      <c r="AM198" s="104"/>
    </row>
    <row r="199">
      <c r="A199" s="1" t="s">
        <v>1</v>
      </c>
      <c r="B199" s="1"/>
      <c r="C199" s="1"/>
      <c r="D199" s="2" t="s">
        <v>2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3" t="s">
        <v>3</v>
      </c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4" t="s">
        <v>4</v>
      </c>
      <c r="AE199" s="4"/>
      <c r="AF199" s="4"/>
      <c r="AG199" s="4"/>
      <c r="AH199" s="4"/>
      <c r="AI199" s="4"/>
      <c r="AJ199" s="4"/>
      <c r="AK199" s="4"/>
      <c r="AL199" s="4"/>
      <c r="AM199" s="5"/>
    </row>
    <row r="200">
      <c r="A200" s="1" t="s">
        <v>5</v>
      </c>
      <c r="B200" s="6" t="s">
        <v>6</v>
      </c>
      <c r="C200" s="6" t="s">
        <v>7</v>
      </c>
      <c r="D200" s="7" t="s">
        <v>8</v>
      </c>
      <c r="E200" s="8" t="s">
        <v>9</v>
      </c>
      <c r="F200" s="8" t="s">
        <v>10</v>
      </c>
      <c r="G200" s="9" t="s">
        <v>11</v>
      </c>
      <c r="H200" s="10" t="s">
        <v>12</v>
      </c>
      <c r="I200" s="97" t="s">
        <v>13</v>
      </c>
      <c r="J200" s="2" t="s">
        <v>14</v>
      </c>
      <c r="K200" s="2" t="s">
        <v>15</v>
      </c>
      <c r="L200" s="13" t="s">
        <v>16</v>
      </c>
      <c r="M200" s="13" t="s">
        <v>17</v>
      </c>
      <c r="N200" s="9" t="s">
        <v>18</v>
      </c>
      <c r="O200" s="13" t="s">
        <v>19</v>
      </c>
      <c r="P200" s="3" t="s">
        <v>20</v>
      </c>
      <c r="Q200" s="3" t="s">
        <v>21</v>
      </c>
      <c r="R200" s="3" t="s">
        <v>22</v>
      </c>
      <c r="S200" s="14" t="s">
        <v>23</v>
      </c>
      <c r="T200" s="14" t="s">
        <v>24</v>
      </c>
      <c r="U200" s="3" t="s">
        <v>25</v>
      </c>
      <c r="V200" s="14" t="s">
        <v>26</v>
      </c>
      <c r="W200" s="14" t="s">
        <v>27</v>
      </c>
      <c r="X200" s="3" t="s">
        <v>28</v>
      </c>
      <c r="Y200" s="14" t="s">
        <v>29</v>
      </c>
      <c r="Z200" s="3" t="s">
        <v>30</v>
      </c>
      <c r="AA200" s="15" t="s">
        <v>31</v>
      </c>
      <c r="AB200" s="15" t="s">
        <v>32</v>
      </c>
      <c r="AC200" s="16" t="s">
        <v>33</v>
      </c>
      <c r="AD200" s="17" t="s">
        <v>34</v>
      </c>
      <c r="AE200" s="18" t="s">
        <v>35</v>
      </c>
      <c r="AF200" s="18" t="s">
        <v>36</v>
      </c>
      <c r="AG200" s="18" t="s">
        <v>37</v>
      </c>
      <c r="AH200" s="18" t="s">
        <v>38</v>
      </c>
      <c r="AI200" s="18" t="s">
        <v>39</v>
      </c>
      <c r="AJ200" s="19" t="s">
        <v>40</v>
      </c>
      <c r="AK200" s="19" t="s">
        <v>41</v>
      </c>
      <c r="AL200" s="19" t="s">
        <v>42</v>
      </c>
      <c r="AM200" s="5"/>
    </row>
    <row r="201">
      <c r="A201" s="20" t="s">
        <v>79</v>
      </c>
      <c r="B201" s="21" t="s">
        <v>44</v>
      </c>
      <c r="C201" s="22" t="s">
        <v>45</v>
      </c>
      <c r="D201" s="23">
        <f t="shared" ref="D201:D204" si="60">E201+F201+G201+H201</f>
      </c>
      <c r="E201" s="39">
        <v>2112.25</v>
      </c>
      <c r="F201" s="26"/>
      <c r="G201" s="26">
        <v>1000.5</v>
      </c>
      <c r="H201" s="43"/>
      <c r="I201" s="24">
        <v>1</v>
      </c>
      <c r="J201" s="25">
        <v>2268</v>
      </c>
      <c r="K201" s="40">
        <v>0</v>
      </c>
      <c r="L201" s="40">
        <v>0</v>
      </c>
      <c r="M201" s="40">
        <v>1</v>
      </c>
      <c r="N201" s="29">
        <f t="shared" ref="N201:N215" si="14">J201/D201</f>
      </c>
      <c r="O201" s="29">
        <f t="shared" ref="O201:O215" si="269">J201/(D201+300*AL201)</f>
      </c>
      <c r="P201" s="30">
        <f t="shared" ref="P201:P215" si="231">(D201/AE201)*1000</f>
      </c>
      <c r="Q201" s="31">
        <f t="shared" ref="Q201:Q215" si="174">AF201/AE201</f>
      </c>
      <c r="R201" s="32">
        <f t="shared" ref="R201:R215" si="136">D201/AG201</f>
      </c>
      <c r="S201" s="31">
        <f t="shared" ref="S201:S215" si="193">AH201/AG201</f>
      </c>
      <c r="T201" s="31">
        <f t="shared" ref="T201:T215" si="117">AI201/AG201</f>
      </c>
      <c r="U201" s="32">
        <f t="shared" ref="U201:U215" si="98">D201/AI201</f>
      </c>
      <c r="V201" s="31">
        <f t="shared" ref="V201:V215" si="79">AJ201/AI201</f>
      </c>
      <c r="W201" s="31">
        <f t="shared" ref="W201:W215" si="33">I201/AJ201</f>
      </c>
      <c r="X201" s="32">
        <f t="shared" ref="X201:X215" si="288">D201/I201</f>
      </c>
      <c r="Y201" s="33">
        <f t="shared" ref="Y201:Y215" si="250">J201/I201</f>
      </c>
      <c r="Z201" s="32">
        <f t="shared" ref="Z201:Z215" si="212">D201/AD201</f>
      </c>
      <c r="AA201" s="34">
        <f t="shared" ref="AA201:AA215" si="155">AK201*1000/D201</f>
      </c>
      <c r="AB201" s="35" t="s">
        <v>46</v>
      </c>
      <c r="AC201" s="105" t="s">
        <v>80</v>
      </c>
      <c r="AD201" s="107">
        <v>1</v>
      </c>
      <c r="AE201" s="38">
        <v>10549</v>
      </c>
      <c r="AF201" s="21">
        <v>396</v>
      </c>
      <c r="AG201" s="26">
        <v>635</v>
      </c>
      <c r="AH201" s="26">
        <v>90</v>
      </c>
      <c r="AI201" s="21">
        <v>31</v>
      </c>
      <c r="AJ201" s="25">
        <v>9</v>
      </c>
      <c r="AK201" s="40">
        <v>16</v>
      </c>
      <c r="AL201" s="41">
        <v>1</v>
      </c>
      <c r="AM201" s="42"/>
    </row>
    <row r="202">
      <c r="A202" s="20"/>
      <c r="B202" s="43" t="s">
        <v>48</v>
      </c>
      <c r="C202" s="44" t="s">
        <v>45</v>
      </c>
      <c r="D202" s="26">
        <f t="shared" si="60"/>
      </c>
      <c r="E202" s="47">
        <v>1652.15</v>
      </c>
      <c r="F202" s="47"/>
      <c r="G202" s="21">
        <v>771.66</v>
      </c>
      <c r="H202" s="43"/>
      <c r="I202" s="48">
        <v>1</v>
      </c>
      <c r="J202" s="21">
        <v>2268</v>
      </c>
      <c r="K202" s="25">
        <v>0</v>
      </c>
      <c r="L202" s="40">
        <v>0</v>
      </c>
      <c r="M202" s="40">
        <v>1</v>
      </c>
      <c r="N202" s="29">
        <f t="shared" si="14"/>
      </c>
      <c r="O202" s="29">
        <f t="shared" si="269"/>
      </c>
      <c r="P202" s="30">
        <f t="shared" si="231"/>
      </c>
      <c r="Q202" s="108">
        <f t="shared" si="174"/>
      </c>
      <c r="R202" s="32">
        <f t="shared" si="136"/>
      </c>
      <c r="S202" s="31">
        <f t="shared" si="193"/>
      </c>
      <c r="T202" s="31">
        <f t="shared" si="117"/>
      </c>
      <c r="U202" s="32">
        <f t="shared" si="98"/>
      </c>
      <c r="V202" s="31">
        <f t="shared" si="79"/>
      </c>
      <c r="W202" s="31">
        <f t="shared" si="33"/>
      </c>
      <c r="X202" s="32">
        <f t="shared" si="288"/>
      </c>
      <c r="Y202" s="33">
        <f t="shared" si="250"/>
      </c>
      <c r="Z202" s="32">
        <f t="shared" si="212"/>
      </c>
      <c r="AA202" s="34">
        <f t="shared" si="155"/>
      </c>
      <c r="AB202" s="35" t="s">
        <v>46</v>
      </c>
      <c r="AC202" s="105" t="s">
        <v>80</v>
      </c>
      <c r="AD202" s="39">
        <v>1</v>
      </c>
      <c r="AE202" s="47">
        <v>7272</v>
      </c>
      <c r="AF202" s="47">
        <v>270</v>
      </c>
      <c r="AG202" s="48">
        <v>474</v>
      </c>
      <c r="AH202" s="21">
        <v>66</v>
      </c>
      <c r="AI202" s="21">
        <v>22</v>
      </c>
      <c r="AJ202" s="49">
        <v>7</v>
      </c>
      <c r="AK202" s="50">
        <v>15</v>
      </c>
      <c r="AL202" s="41">
        <v>1</v>
      </c>
      <c r="AM202" s="42"/>
    </row>
    <row r="203">
      <c r="A203" s="20"/>
      <c r="B203" s="43" t="s">
        <v>49</v>
      </c>
      <c r="C203" s="39" t="s">
        <v>45</v>
      </c>
      <c r="D203" s="26">
        <f t="shared" si="60"/>
      </c>
      <c r="E203" s="26">
        <v>1647.53</v>
      </c>
      <c r="F203" s="26"/>
      <c r="G203" s="21">
        <v>1036.07</v>
      </c>
      <c r="H203" s="21"/>
      <c r="I203" s="51">
        <v>3</v>
      </c>
      <c r="J203" s="51">
        <v>6804</v>
      </c>
      <c r="K203" s="51">
        <v>0</v>
      </c>
      <c r="L203" s="51">
        <v>0</v>
      </c>
      <c r="M203" s="51">
        <v>3</v>
      </c>
      <c r="N203" s="29">
        <f t="shared" si="14"/>
      </c>
      <c r="O203" s="29">
        <f t="shared" si="269"/>
      </c>
      <c r="P203" s="110">
        <f t="shared" si="231"/>
      </c>
      <c r="Q203" s="71">
        <f t="shared" si="174"/>
      </c>
      <c r="R203" s="111">
        <f t="shared" si="136"/>
      </c>
      <c r="S203" s="31">
        <f t="shared" si="193"/>
      </c>
      <c r="T203" s="31">
        <f t="shared" si="117"/>
      </c>
      <c r="U203" s="32">
        <f t="shared" si="98"/>
      </c>
      <c r="V203" s="31">
        <f t="shared" si="79"/>
      </c>
      <c r="W203" s="31">
        <f t="shared" si="33"/>
      </c>
      <c r="X203" s="32">
        <f t="shared" si="288"/>
      </c>
      <c r="Y203" s="33">
        <f t="shared" si="250"/>
      </c>
      <c r="Z203" s="32">
        <f t="shared" si="212"/>
      </c>
      <c r="AA203" s="34">
        <f t="shared" si="155"/>
      </c>
      <c r="AB203" s="35" t="s">
        <v>46</v>
      </c>
      <c r="AC203" s="105" t="s">
        <v>80</v>
      </c>
      <c r="AD203" s="45">
        <v>1</v>
      </c>
      <c r="AE203" s="26">
        <v>9881</v>
      </c>
      <c r="AF203" s="26">
        <v>358</v>
      </c>
      <c r="AG203" s="21">
        <v>565</v>
      </c>
      <c r="AH203" s="21">
        <v>93</v>
      </c>
      <c r="AI203" s="21">
        <v>27</v>
      </c>
      <c r="AJ203" s="49">
        <v>6</v>
      </c>
      <c r="AK203" s="50">
        <v>17</v>
      </c>
      <c r="AL203" s="41">
        <v>1</v>
      </c>
      <c r="AM203" s="42"/>
    </row>
    <row r="204">
      <c r="A204" s="20"/>
      <c r="B204" s="43" t="s">
        <v>50</v>
      </c>
      <c r="C204" s="48" t="s">
        <v>45</v>
      </c>
      <c r="D204" s="26">
        <f t="shared" si="60"/>
      </c>
      <c r="E204" s="26">
        <v>1842.3</v>
      </c>
      <c r="F204" s="26"/>
      <c r="G204" s="21">
        <v>1161.91</v>
      </c>
      <c r="H204" s="21"/>
      <c r="I204" s="40">
        <v>4</v>
      </c>
      <c r="J204" s="40">
        <v>7564</v>
      </c>
      <c r="K204" s="40">
        <v>0</v>
      </c>
      <c r="L204" s="40">
        <v>1</v>
      </c>
      <c r="M204" s="40">
        <v>3</v>
      </c>
      <c r="N204" s="29">
        <f t="shared" si="14"/>
      </c>
      <c r="O204" s="29">
        <f t="shared" si="269"/>
      </c>
      <c r="P204" s="30">
        <f t="shared" si="231"/>
      </c>
      <c r="Q204" s="112">
        <f t="shared" si="174"/>
      </c>
      <c r="R204" s="32">
        <f t="shared" si="136"/>
      </c>
      <c r="S204" s="31">
        <f t="shared" si="193"/>
      </c>
      <c r="T204" s="31">
        <f t="shared" si="117"/>
      </c>
      <c r="U204" s="32">
        <f t="shared" si="98"/>
      </c>
      <c r="V204" s="31">
        <f t="shared" si="79"/>
      </c>
      <c r="W204" s="31">
        <f t="shared" si="33"/>
      </c>
      <c r="X204" s="32">
        <f t="shared" si="288"/>
      </c>
      <c r="Y204" s="33">
        <f t="shared" si="250"/>
      </c>
      <c r="Z204" s="32">
        <f t="shared" si="212"/>
      </c>
      <c r="AA204" s="34">
        <f t="shared" si="155"/>
      </c>
      <c r="AB204" s="35" t="s">
        <v>46</v>
      </c>
      <c r="AC204" s="105" t="s">
        <v>80</v>
      </c>
      <c r="AD204" s="45">
        <v>4</v>
      </c>
      <c r="AE204" s="47">
        <v>12666</v>
      </c>
      <c r="AF204" s="21">
        <v>428</v>
      </c>
      <c r="AG204" s="21">
        <v>713</v>
      </c>
      <c r="AH204" s="21">
        <v>93</v>
      </c>
      <c r="AI204" s="21">
        <v>19</v>
      </c>
      <c r="AJ204" s="49">
        <v>7</v>
      </c>
      <c r="AK204" s="50">
        <v>18</v>
      </c>
      <c r="AL204" s="41">
        <v>1</v>
      </c>
      <c r="AM204" s="42"/>
    </row>
    <row r="205">
      <c r="A205" s="20"/>
      <c r="B205" s="53" t="s">
        <v>51</v>
      </c>
      <c r="C205" s="53"/>
      <c r="D205" s="53">
        <f>SUM(D201:D204)</f>
      </c>
      <c r="E205" s="53">
        <f>SUM(E201:E204)</f>
      </c>
      <c r="F205" s="53">
        <f>SUM(F201:F204)</f>
      </c>
      <c r="G205" s="53">
        <f>SUM(G201:G204)</f>
      </c>
      <c r="H205" s="53">
        <f>SUM(H201:H204)</f>
      </c>
      <c r="I205" s="53">
        <f>SUM(I201:I204)</f>
      </c>
      <c r="J205" s="53">
        <f>SUM(J201:J204)</f>
      </c>
      <c r="K205" s="53">
        <f>SUM(K201:K204)</f>
      </c>
      <c r="L205" s="53">
        <f>SUM(L201:L204)</f>
      </c>
      <c r="M205" s="53">
        <f>SUM(M201:M204)</f>
      </c>
      <c r="N205" s="54">
        <f t="shared" si="14"/>
      </c>
      <c r="O205" s="55">
        <f t="shared" si="269"/>
      </c>
      <c r="P205" s="56">
        <f t="shared" si="231"/>
      </c>
      <c r="Q205" s="57">
        <f t="shared" si="174"/>
      </c>
      <c r="R205" s="58">
        <f t="shared" si="136"/>
      </c>
      <c r="S205" s="57">
        <f t="shared" si="193"/>
      </c>
      <c r="T205" s="59">
        <f t="shared" si="117"/>
      </c>
      <c r="U205" s="60">
        <f t="shared" si="98"/>
      </c>
      <c r="V205" s="59">
        <f t="shared" si="79"/>
      </c>
      <c r="W205" s="59">
        <f t="shared" si="33"/>
      </c>
      <c r="X205" s="60">
        <f t="shared" si="288"/>
      </c>
      <c r="Y205" s="61">
        <f t="shared" si="250"/>
      </c>
      <c r="Z205" s="60">
        <f t="shared" si="212"/>
      </c>
      <c r="AA205" s="62">
        <f t="shared" si="155"/>
      </c>
      <c r="AB205" s="63"/>
      <c r="AC205" s="62"/>
      <c r="AD205" s="102">
        <f>SUM(AD201:AD204)</f>
      </c>
      <c r="AE205" s="66">
        <f>SUM(AE201:AE204)</f>
      </c>
      <c r="AF205" s="66">
        <f>SUM(AF201:AF204)</f>
      </c>
      <c r="AG205" s="66">
        <f>SUM(AG201:AG204)</f>
      </c>
      <c r="AH205" s="66">
        <f>SUM(AH201:AH204)</f>
      </c>
      <c r="AI205" s="66">
        <f>SUM(AI201:AI204)</f>
      </c>
      <c r="AJ205" s="66">
        <f>SUM(AJ201:AJ204)</f>
      </c>
      <c r="AK205" s="66">
        <f>SUM(AK201:AK204)</f>
      </c>
      <c r="AL205" s="66">
        <f>SUM(AL201:AL204)</f>
      </c>
      <c r="AM205" s="42"/>
    </row>
    <row r="206">
      <c r="A206" s="20"/>
      <c r="B206" s="48" t="s">
        <v>52</v>
      </c>
      <c r="C206" s="22" t="s">
        <v>53</v>
      </c>
      <c r="D206" s="21">
        <f t="shared" ref="D206:D209" si="303">E206+G206</f>
      </c>
      <c r="E206" s="21">
        <v>1554.32</v>
      </c>
      <c r="F206" s="26"/>
      <c r="G206" s="21">
        <v>1143.56</v>
      </c>
      <c r="H206" s="21"/>
      <c r="I206" s="40">
        <v>3</v>
      </c>
      <c r="J206" s="40">
        <v>5484</v>
      </c>
      <c r="K206" s="40">
        <v>0</v>
      </c>
      <c r="L206" s="40">
        <v>1</v>
      </c>
      <c r="M206" s="67">
        <v>2</v>
      </c>
      <c r="N206" s="68">
        <f t="shared" si="14"/>
      </c>
      <c r="O206" s="29">
        <f t="shared" si="269"/>
      </c>
      <c r="P206" s="30">
        <f t="shared" si="231"/>
      </c>
      <c r="Q206" s="31">
        <f t="shared" si="174"/>
      </c>
      <c r="R206" s="32">
        <f t="shared" si="136"/>
      </c>
      <c r="S206" s="31">
        <f t="shared" si="193"/>
      </c>
      <c r="T206" s="73">
        <f t="shared" si="117"/>
      </c>
      <c r="U206" s="32">
        <f t="shared" si="98"/>
      </c>
      <c r="V206" s="31">
        <f t="shared" si="79"/>
      </c>
      <c r="W206" s="31">
        <f t="shared" si="33"/>
      </c>
      <c r="X206" s="32">
        <f t="shared" si="288"/>
      </c>
      <c r="Y206" s="33">
        <f t="shared" si="250"/>
      </c>
      <c r="Z206" s="32">
        <f t="shared" si="212"/>
      </c>
      <c r="AA206" s="34">
        <f t="shared" si="155"/>
      </c>
      <c r="AB206" s="35" t="s">
        <v>46</v>
      </c>
      <c r="AC206" s="105" t="s">
        <v>80</v>
      </c>
      <c r="AD206" s="26">
        <v>3</v>
      </c>
      <c r="AE206" s="74">
        <v>12290</v>
      </c>
      <c r="AF206" s="75">
        <v>387</v>
      </c>
      <c r="AG206" s="75">
        <v>696</v>
      </c>
      <c r="AH206" s="75">
        <v>82</v>
      </c>
      <c r="AI206" s="75">
        <v>28</v>
      </c>
      <c r="AJ206" s="41">
        <v>8</v>
      </c>
      <c r="AK206" s="41">
        <v>20</v>
      </c>
      <c r="AL206" s="41">
        <v>1</v>
      </c>
      <c r="AM206" s="42"/>
    </row>
    <row r="207">
      <c r="A207" s="20"/>
      <c r="B207" s="48" t="s">
        <v>54</v>
      </c>
      <c r="C207" s="22" t="s">
        <v>53</v>
      </c>
      <c r="D207" s="21">
        <f t="shared" si="303"/>
      </c>
      <c r="E207" s="21">
        <v>2668.84</v>
      </c>
      <c r="F207" s="26"/>
      <c r="G207" s="21">
        <v>1307.48</v>
      </c>
      <c r="H207" s="21"/>
      <c r="I207" s="40">
        <v>4</v>
      </c>
      <c r="J207" s="40">
        <v>7752</v>
      </c>
      <c r="K207" s="40">
        <v>0</v>
      </c>
      <c r="L207" s="40">
        <v>1</v>
      </c>
      <c r="M207" s="40">
        <v>3</v>
      </c>
      <c r="N207" s="68">
        <f t="shared" si="14"/>
      </c>
      <c r="O207" s="29">
        <f t="shared" si="269"/>
      </c>
      <c r="P207" s="30">
        <f t="shared" si="231"/>
      </c>
      <c r="Q207" s="31">
        <f t="shared" si="174"/>
      </c>
      <c r="R207" s="32">
        <f t="shared" si="136"/>
      </c>
      <c r="S207" s="31">
        <f t="shared" si="193"/>
      </c>
      <c r="T207" s="73">
        <f t="shared" si="117"/>
      </c>
      <c r="U207" s="32">
        <f t="shared" si="98"/>
      </c>
      <c r="V207" s="31">
        <f t="shared" si="79"/>
      </c>
      <c r="W207" s="31">
        <f t="shared" si="33"/>
      </c>
      <c r="X207" s="32">
        <f t="shared" si="288"/>
      </c>
      <c r="Y207" s="33">
        <f t="shared" si="250"/>
      </c>
      <c r="Z207" s="32">
        <f t="shared" si="212"/>
      </c>
      <c r="AA207" s="34">
        <f t="shared" si="155"/>
      </c>
      <c r="AB207" s="35" t="s">
        <v>46</v>
      </c>
      <c r="AC207" s="105" t="s">
        <v>80</v>
      </c>
      <c r="AD207" s="26">
        <v>4</v>
      </c>
      <c r="AE207" s="74">
        <v>16306</v>
      </c>
      <c r="AF207" s="75">
        <v>534</v>
      </c>
      <c r="AG207" s="75">
        <v>832</v>
      </c>
      <c r="AH207" s="75">
        <v>128</v>
      </c>
      <c r="AI207" s="75">
        <v>23</v>
      </c>
      <c r="AJ207" s="41">
        <v>12</v>
      </c>
      <c r="AK207" s="41">
        <v>28</v>
      </c>
      <c r="AL207" s="41">
        <v>1</v>
      </c>
      <c r="AM207" s="42"/>
    </row>
    <row r="208">
      <c r="A208" s="20"/>
      <c r="B208" s="21" t="s">
        <v>55</v>
      </c>
      <c r="C208" s="22" t="s">
        <v>53</v>
      </c>
      <c r="D208" s="21">
        <f t="shared" si="303"/>
      </c>
      <c r="E208" s="21">
        <v>2755.1</v>
      </c>
      <c r="F208" s="26"/>
      <c r="G208" s="21">
        <v>829.46</v>
      </c>
      <c r="H208" s="21"/>
      <c r="I208" s="40">
        <v>2</v>
      </c>
      <c r="J208" s="40">
        <v>4536</v>
      </c>
      <c r="K208" s="40">
        <v>0</v>
      </c>
      <c r="L208" s="40">
        <v>0</v>
      </c>
      <c r="M208" s="40">
        <v>2</v>
      </c>
      <c r="N208" s="103">
        <f t="shared" si="14"/>
      </c>
      <c r="O208" s="29">
        <f t="shared" si="269"/>
      </c>
      <c r="P208" s="30">
        <f t="shared" si="231"/>
      </c>
      <c r="Q208" s="31">
        <f t="shared" si="174"/>
      </c>
      <c r="R208" s="32">
        <f t="shared" si="136"/>
      </c>
      <c r="S208" s="31">
        <f t="shared" si="193"/>
      </c>
      <c r="T208" s="73">
        <f t="shared" si="117"/>
      </c>
      <c r="U208" s="32">
        <f t="shared" si="98"/>
      </c>
      <c r="V208" s="31">
        <f t="shared" si="79"/>
      </c>
      <c r="W208" s="31">
        <f t="shared" si="33"/>
      </c>
      <c r="X208" s="32">
        <f t="shared" si="288"/>
      </c>
      <c r="Y208" s="33">
        <f t="shared" si="250"/>
      </c>
      <c r="Z208" s="32">
        <f t="shared" si="212"/>
      </c>
      <c r="AA208" s="34">
        <f t="shared" si="155"/>
      </c>
      <c r="AB208" s="35" t="s">
        <v>46</v>
      </c>
      <c r="AC208" s="105" t="s">
        <v>80</v>
      </c>
      <c r="AD208" s="26">
        <v>2</v>
      </c>
      <c r="AE208" s="74">
        <v>14725</v>
      </c>
      <c r="AF208" s="75">
        <v>403</v>
      </c>
      <c r="AG208" s="75">
        <v>621</v>
      </c>
      <c r="AH208" s="75">
        <v>100</v>
      </c>
      <c r="AI208" s="41">
        <v>36</v>
      </c>
      <c r="AJ208" s="41">
        <v>9</v>
      </c>
      <c r="AK208" s="41">
        <v>17</v>
      </c>
      <c r="AL208" s="41">
        <v>1</v>
      </c>
      <c r="AM208" s="42"/>
    </row>
    <row r="209">
      <c r="A209" s="20"/>
      <c r="B209" s="43" t="s">
        <v>56</v>
      </c>
      <c r="C209" s="21" t="s">
        <v>53</v>
      </c>
      <c r="D209" s="21">
        <f t="shared" si="303"/>
      </c>
      <c r="E209" s="21">
        <v>2529.6</v>
      </c>
      <c r="F209" s="26"/>
      <c r="G209" s="21">
        <v>871.62</v>
      </c>
      <c r="H209" s="21"/>
      <c r="I209" s="40">
        <v>4</v>
      </c>
      <c r="J209" s="40">
        <v>8884</v>
      </c>
      <c r="K209" s="40">
        <v>0</v>
      </c>
      <c r="L209" s="40">
        <v>0</v>
      </c>
      <c r="M209" s="40">
        <v>4</v>
      </c>
      <c r="N209" s="68">
        <f t="shared" si="14"/>
      </c>
      <c r="O209" s="29">
        <f t="shared" si="269"/>
      </c>
      <c r="P209" s="30">
        <f t="shared" si="231"/>
      </c>
      <c r="Q209" s="31">
        <f t="shared" si="174"/>
      </c>
      <c r="R209" s="32">
        <f t="shared" si="136"/>
      </c>
      <c r="S209" s="31">
        <f t="shared" si="193"/>
      </c>
      <c r="T209" s="73">
        <f t="shared" si="117"/>
      </c>
      <c r="U209" s="32">
        <f t="shared" si="98"/>
      </c>
      <c r="V209" s="31">
        <f t="shared" si="79"/>
      </c>
      <c r="W209" s="31">
        <f t="shared" si="33"/>
      </c>
      <c r="X209" s="32">
        <f t="shared" si="288"/>
      </c>
      <c r="Y209" s="33">
        <f t="shared" si="250"/>
      </c>
      <c r="Z209" s="32">
        <f t="shared" si="212"/>
      </c>
      <c r="AA209" s="34">
        <f t="shared" si="155"/>
      </c>
      <c r="AB209" s="35" t="s">
        <v>46</v>
      </c>
      <c r="AC209" s="105" t="s">
        <v>80</v>
      </c>
      <c r="AD209" s="26">
        <v>4</v>
      </c>
      <c r="AE209" s="74">
        <v>13731</v>
      </c>
      <c r="AF209" s="75">
        <v>405</v>
      </c>
      <c r="AG209" s="75">
        <v>647</v>
      </c>
      <c r="AH209" s="75">
        <v>111</v>
      </c>
      <c r="AI209" s="75">
        <v>18</v>
      </c>
      <c r="AJ209" s="41">
        <v>8</v>
      </c>
      <c r="AK209" s="41">
        <v>21</v>
      </c>
      <c r="AL209" s="41">
        <v>1</v>
      </c>
      <c r="AM209" s="42"/>
    </row>
    <row r="210">
      <c r="A210" s="20"/>
      <c r="B210" s="53" t="s">
        <v>51</v>
      </c>
      <c r="C210" s="53"/>
      <c r="D210" s="53">
        <f>SUM(D206:D209)</f>
      </c>
      <c r="E210" s="53">
        <f>SUM(E206:E209)</f>
      </c>
      <c r="F210" s="53">
        <f>SUM(F206:F209)</f>
      </c>
      <c r="G210" s="53">
        <f>SUM(G206:G209)</f>
      </c>
      <c r="H210" s="53">
        <f>SUM(H206:H209)</f>
      </c>
      <c r="I210" s="53">
        <f>SUM(I206:I209)</f>
      </c>
      <c r="J210" s="53">
        <f>SUM(J206:J209)</f>
      </c>
      <c r="K210" s="53">
        <f>SUM(K206:K209)</f>
      </c>
      <c r="L210" s="53">
        <f>SUM(L206:L209)</f>
      </c>
      <c r="M210" s="53">
        <f>SUM(M206:M209)</f>
      </c>
      <c r="N210" s="54">
        <f t="shared" si="14"/>
      </c>
      <c r="O210" s="81">
        <f t="shared" si="269"/>
      </c>
      <c r="P210" s="82">
        <f t="shared" si="231"/>
      </c>
      <c r="Q210" s="83">
        <f t="shared" si="174"/>
      </c>
      <c r="R210" s="84">
        <f t="shared" si="136"/>
      </c>
      <c r="S210" s="83">
        <f t="shared" si="193"/>
      </c>
      <c r="T210" s="59">
        <f t="shared" si="117"/>
      </c>
      <c r="U210" s="60">
        <f t="shared" si="98"/>
      </c>
      <c r="V210" s="59">
        <f t="shared" si="79"/>
      </c>
      <c r="W210" s="59">
        <f t="shared" si="33"/>
      </c>
      <c r="X210" s="60">
        <f t="shared" si="288"/>
      </c>
      <c r="Y210" s="61">
        <f t="shared" si="250"/>
      </c>
      <c r="Z210" s="60">
        <f t="shared" si="212"/>
      </c>
      <c r="AA210" s="62">
        <f t="shared" si="155"/>
      </c>
      <c r="AB210" s="63"/>
      <c r="AC210" s="62"/>
      <c r="AD210" s="85">
        <f>SUM(AD206:AD209)</f>
      </c>
      <c r="AE210" s="85">
        <f>SUM(AE206:AE209)</f>
      </c>
      <c r="AF210" s="85">
        <f>SUM(AF206:AF209)</f>
      </c>
      <c r="AG210" s="85">
        <f>SUM(AG206:AG209)</f>
      </c>
      <c r="AH210" s="85">
        <f>SUM(AH206:AH209)</f>
      </c>
      <c r="AI210" s="85">
        <f>SUM(AI206:AI209)</f>
      </c>
      <c r="AJ210" s="85">
        <f>SUM(AJ206:AJ209)</f>
      </c>
      <c r="AK210" s="85">
        <f>SUM(AK206:AK209)</f>
      </c>
      <c r="AL210" s="85">
        <f>SUM(AL206:AL209)</f>
      </c>
      <c r="AM210" s="42"/>
    </row>
    <row r="211">
      <c r="A211" s="20"/>
      <c r="B211" s="51" t="s">
        <v>67</v>
      </c>
      <c r="C211" s="67" t="s">
        <v>76</v>
      </c>
      <c r="D211" s="21">
        <f t="shared" ref="D211:D213" si="304">E211+G211</f>
      </c>
      <c r="E211" s="21">
        <v>2391.09</v>
      </c>
      <c r="F211" s="26"/>
      <c r="G211" s="21">
        <v>630.82</v>
      </c>
      <c r="H211" s="21"/>
      <c r="I211" s="40">
        <v>1</v>
      </c>
      <c r="J211" s="40">
        <v>948</v>
      </c>
      <c r="K211" s="40">
        <v>0</v>
      </c>
      <c r="L211" s="40">
        <v>1</v>
      </c>
      <c r="M211" s="40">
        <v>0</v>
      </c>
      <c r="N211" s="68">
        <f t="shared" si="14"/>
      </c>
      <c r="O211" s="29">
        <f t="shared" si="269"/>
      </c>
      <c r="P211" s="30">
        <f t="shared" si="231"/>
      </c>
      <c r="Q211" s="31">
        <f t="shared" si="174"/>
      </c>
      <c r="R211" s="32">
        <f t="shared" si="136"/>
      </c>
      <c r="S211" s="31">
        <f t="shared" si="193"/>
      </c>
      <c r="T211" s="73">
        <f t="shared" si="117"/>
      </c>
      <c r="U211" s="32">
        <f t="shared" si="98"/>
      </c>
      <c r="V211" s="31">
        <f t="shared" si="79"/>
      </c>
      <c r="W211" s="31">
        <f t="shared" si="33"/>
      </c>
      <c r="X211" s="32">
        <f t="shared" si="288"/>
      </c>
      <c r="Y211" s="33">
        <f t="shared" si="250"/>
      </c>
      <c r="Z211" s="32">
        <f t="shared" si="212"/>
      </c>
      <c r="AA211" s="34">
        <f t="shared" si="155"/>
      </c>
      <c r="AB211" s="35" t="s">
        <v>46</v>
      </c>
      <c r="AC211" s="105" t="s">
        <v>72</v>
      </c>
      <c r="AD211" s="26">
        <v>1</v>
      </c>
      <c r="AE211" s="74">
        <v>12591</v>
      </c>
      <c r="AF211" s="75">
        <v>351</v>
      </c>
      <c r="AG211" s="75">
        <v>582</v>
      </c>
      <c r="AH211" s="75">
        <v>86</v>
      </c>
      <c r="AI211" s="75">
        <v>20</v>
      </c>
      <c r="AJ211" s="41">
        <v>5</v>
      </c>
      <c r="AK211" s="41">
        <v>11</v>
      </c>
      <c r="AL211" s="41">
        <v>1</v>
      </c>
      <c r="AM211" s="42"/>
    </row>
    <row r="212">
      <c r="A212" s="20"/>
      <c r="B212" s="40" t="s">
        <v>73</v>
      </c>
      <c r="C212" s="67" t="s">
        <v>76</v>
      </c>
      <c r="D212" s="21">
        <f t="shared" si="304"/>
      </c>
      <c r="E212" s="21">
        <v>1808.12</v>
      </c>
      <c r="F212" s="26"/>
      <c r="G212" s="21">
        <v>575.75</v>
      </c>
      <c r="H212" s="21"/>
      <c r="I212" s="40">
        <v>2</v>
      </c>
      <c r="J212" s="40">
        <v>4536</v>
      </c>
      <c r="K212" s="40">
        <v>0</v>
      </c>
      <c r="L212" s="40">
        <v>0</v>
      </c>
      <c r="M212" s="40">
        <v>2</v>
      </c>
      <c r="N212" s="103">
        <f t="shared" si="14"/>
      </c>
      <c r="O212" s="29">
        <f t="shared" si="269"/>
      </c>
      <c r="P212" s="30">
        <f t="shared" si="231"/>
      </c>
      <c r="Q212" s="31">
        <f t="shared" si="174"/>
      </c>
      <c r="R212" s="32">
        <f t="shared" si="136"/>
      </c>
      <c r="S212" s="31">
        <f t="shared" si="193"/>
      </c>
      <c r="T212" s="73">
        <f t="shared" si="117"/>
      </c>
      <c r="U212" s="32">
        <f t="shared" si="98"/>
      </c>
      <c r="V212" s="31">
        <f t="shared" si="79"/>
      </c>
      <c r="W212" s="31">
        <f t="shared" si="33"/>
      </c>
      <c r="X212" s="32">
        <f t="shared" si="288"/>
      </c>
      <c r="Y212" s="33">
        <f t="shared" si="250"/>
      </c>
      <c r="Z212" s="32">
        <f t="shared" si="212"/>
      </c>
      <c r="AA212" s="34">
        <f t="shared" si="155"/>
      </c>
      <c r="AB212" s="35" t="s">
        <v>46</v>
      </c>
      <c r="AC212" s="105" t="s">
        <v>72</v>
      </c>
      <c r="AD212" s="26">
        <v>2</v>
      </c>
      <c r="AE212" s="74">
        <v>10310</v>
      </c>
      <c r="AF212" s="75">
        <v>260</v>
      </c>
      <c r="AG212" s="75">
        <v>445</v>
      </c>
      <c r="AH212" s="75">
        <v>69</v>
      </c>
      <c r="AI212" s="41">
        <v>26</v>
      </c>
      <c r="AJ212" s="41">
        <v>4</v>
      </c>
      <c r="AK212" s="41">
        <v>19</v>
      </c>
      <c r="AL212" s="41">
        <v>1</v>
      </c>
      <c r="AM212" s="42"/>
    </row>
    <row r="213">
      <c r="A213" s="20"/>
      <c r="B213" s="27" t="s">
        <v>74</v>
      </c>
      <c r="C213" s="67" t="s">
        <v>76</v>
      </c>
      <c r="D213" s="21">
        <f t="shared" si="304"/>
      </c>
      <c r="E213" s="21">
        <v>1994.33</v>
      </c>
      <c r="F213" s="26"/>
      <c r="G213" s="21">
        <v>463.06</v>
      </c>
      <c r="H213" s="21"/>
      <c r="I213" s="40">
        <v>3</v>
      </c>
      <c r="J213" s="40">
        <v>6804</v>
      </c>
      <c r="K213" s="40">
        <v>0</v>
      </c>
      <c r="L213" s="40">
        <v>0</v>
      </c>
      <c r="M213" s="40">
        <v>3</v>
      </c>
      <c r="N213" s="68">
        <f t="shared" si="14"/>
      </c>
      <c r="O213" s="29">
        <f t="shared" si="269"/>
      </c>
      <c r="P213" s="30">
        <f t="shared" si="231"/>
      </c>
      <c r="Q213" s="31">
        <f t="shared" si="174"/>
      </c>
      <c r="R213" s="32">
        <f t="shared" si="136"/>
      </c>
      <c r="S213" s="31">
        <f t="shared" si="193"/>
      </c>
      <c r="T213" s="73">
        <f t="shared" si="117"/>
      </c>
      <c r="U213" s="32">
        <f t="shared" si="98"/>
      </c>
      <c r="V213" s="31">
        <f t="shared" si="79"/>
      </c>
      <c r="W213" s="31">
        <f t="shared" si="33"/>
      </c>
      <c r="X213" s="32">
        <f t="shared" si="288"/>
      </c>
      <c r="Y213" s="33">
        <f t="shared" si="250"/>
      </c>
      <c r="Z213" s="32">
        <f t="shared" si="212"/>
      </c>
      <c r="AA213" s="34">
        <f t="shared" si="155"/>
      </c>
      <c r="AB213" s="35" t="s">
        <v>46</v>
      </c>
      <c r="AC213" s="105" t="s">
        <v>72</v>
      </c>
      <c r="AD213" s="26">
        <v>3</v>
      </c>
      <c r="AE213" s="74">
        <v>11692</v>
      </c>
      <c r="AF213" s="75">
        <v>287</v>
      </c>
      <c r="AG213" s="75">
        <v>457</v>
      </c>
      <c r="AH213" s="75">
        <v>73</v>
      </c>
      <c r="AI213" s="75">
        <v>14</v>
      </c>
      <c r="AJ213" s="41">
        <v>8</v>
      </c>
      <c r="AK213" s="41">
        <v>19</v>
      </c>
      <c r="AL213" s="41">
        <v>1</v>
      </c>
      <c r="AM213" s="42"/>
    </row>
    <row r="214">
      <c r="A214" s="20"/>
      <c r="B214" s="53" t="s">
        <v>51</v>
      </c>
      <c r="C214" s="53"/>
      <c r="D214" s="53">
        <f>SUM(D211:D213)</f>
      </c>
      <c r="E214" s="53">
        <f>SUM(E211:E213)</f>
      </c>
      <c r="F214" s="53">
        <f>SUM(F211:F213)</f>
      </c>
      <c r="G214" s="53">
        <f>SUM(G211:G213)</f>
      </c>
      <c r="H214" s="53">
        <f>SUM(H211:H213)</f>
      </c>
      <c r="I214" s="53">
        <f>SUM(I211:I213)</f>
      </c>
      <c r="J214" s="53">
        <f>SUM(J211:J213)</f>
      </c>
      <c r="K214" s="53">
        <f>SUM(K211:K213)</f>
      </c>
      <c r="L214" s="53">
        <f>SUM(L211:L213)</f>
      </c>
      <c r="M214" s="53">
        <f>SUM(M211:M213)</f>
      </c>
      <c r="N214" s="54">
        <f t="shared" si="14"/>
      </c>
      <c r="O214" s="81">
        <f t="shared" si="269"/>
      </c>
      <c r="P214" s="82">
        <f t="shared" si="231"/>
      </c>
      <c r="Q214" s="83">
        <f t="shared" si="174"/>
      </c>
      <c r="R214" s="84">
        <f t="shared" si="136"/>
      </c>
      <c r="S214" s="83">
        <f t="shared" si="193"/>
      </c>
      <c r="T214" s="59">
        <f t="shared" si="117"/>
      </c>
      <c r="U214" s="60">
        <f t="shared" si="98"/>
      </c>
      <c r="V214" s="59">
        <f t="shared" si="79"/>
      </c>
      <c r="W214" s="59">
        <f t="shared" si="33"/>
      </c>
      <c r="X214" s="60">
        <f t="shared" si="288"/>
      </c>
      <c r="Y214" s="61">
        <f t="shared" si="250"/>
      </c>
      <c r="Z214" s="60">
        <f t="shared" si="212"/>
      </c>
      <c r="AA214" s="62">
        <f t="shared" si="155"/>
      </c>
      <c r="AB214" s="63"/>
      <c r="AC214" s="62"/>
      <c r="AD214" s="85">
        <f>SUM(AD211:AD213)</f>
      </c>
      <c r="AE214" s="85">
        <f>SUM(AE211:AE213)</f>
      </c>
      <c r="AF214" s="85">
        <f>SUM(AF211:AF213)</f>
      </c>
      <c r="AG214" s="85">
        <f>SUM(AG211:AG213)</f>
      </c>
      <c r="AH214" s="85">
        <f>SUM(AH211:AH213)</f>
      </c>
      <c r="AI214" s="85">
        <f>SUM(AI211:AI213)</f>
      </c>
      <c r="AJ214" s="85">
        <f>SUM(AJ211:AJ213)</f>
      </c>
      <c r="AK214" s="85">
        <f>SUM(AK211:AK213)</f>
      </c>
      <c r="AL214" s="85">
        <f>SUM(AL211:AL213)</f>
      </c>
      <c r="AM214" s="104" t="s">
        <v>57</v>
      </c>
    </row>
    <row r="215">
      <c r="A215" s="20"/>
      <c r="B215" s="88" t="s">
        <v>58</v>
      </c>
      <c r="C215" s="88"/>
      <c r="D215" s="88">
        <f>D205+D210+D214</f>
      </c>
      <c r="E215" s="113">
        <f>E205+E210+E214</f>
      </c>
      <c r="F215" s="113">
        <f>F205+F210+F214</f>
      </c>
      <c r="G215" s="113">
        <f>G205+G210+G214</f>
      </c>
      <c r="H215" s="113">
        <f>H205+H210+H214</f>
      </c>
      <c r="I215" s="88">
        <f>I205+I210+I214</f>
      </c>
      <c r="J215" s="88">
        <f>J205+J210+J214</f>
      </c>
      <c r="K215" s="88">
        <f>K205+K210+K214</f>
      </c>
      <c r="L215" s="88">
        <f>L205+L210+L214</f>
      </c>
      <c r="M215" s="88">
        <f>M205+M210+M214</f>
      </c>
      <c r="N215" s="89">
        <f t="shared" si="14"/>
      </c>
      <c r="O215" s="90">
        <f t="shared" si="269"/>
      </c>
      <c r="P215" s="91">
        <f t="shared" si="231"/>
      </c>
      <c r="Q215" s="92">
        <f t="shared" si="174"/>
      </c>
      <c r="R215" s="90">
        <f t="shared" si="136"/>
      </c>
      <c r="S215" s="92">
        <f t="shared" si="193"/>
      </c>
      <c r="T215" s="92">
        <f t="shared" si="117"/>
      </c>
      <c r="U215" s="90">
        <f t="shared" si="98"/>
      </c>
      <c r="V215" s="92">
        <f t="shared" si="79"/>
      </c>
      <c r="W215" s="92">
        <f t="shared" si="33"/>
      </c>
      <c r="X215" s="90">
        <f t="shared" si="288"/>
      </c>
      <c r="Y215" s="93">
        <f t="shared" si="250"/>
      </c>
      <c r="Z215" s="90">
        <f t="shared" si="212"/>
      </c>
      <c r="AA215" s="91">
        <f t="shared" si="155"/>
      </c>
      <c r="AB215" s="94"/>
      <c r="AC215" s="91"/>
      <c r="AD215" s="96">
        <f>AD205+AD210+AD214</f>
      </c>
      <c r="AE215" s="96">
        <f>AE205+AE210+AE214</f>
      </c>
      <c r="AF215" s="96">
        <f>AF205+AF210+AF214</f>
      </c>
      <c r="AG215" s="96">
        <f>AG205+AG210+AG214</f>
      </c>
      <c r="AH215" s="96">
        <f>AH205+AH210+AH214</f>
      </c>
      <c r="AI215" s="96">
        <f>AI205+AI210+AI214</f>
      </c>
      <c r="AJ215" s="96">
        <f>AJ205+AJ210+AJ214</f>
      </c>
      <c r="AK215" s="96">
        <f>AK205+AK210+AK214</f>
      </c>
      <c r="AL215" s="96">
        <f>AL205+AL210+AL214</f>
      </c>
      <c r="AM215" s="104"/>
    </row>
    <row r="216">
      <c r="A216" s="1" t="s">
        <v>1</v>
      </c>
      <c r="B216" s="1"/>
      <c r="C216" s="1"/>
      <c r="D216" s="2" t="s">
        <v>2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3" t="s">
        <v>3</v>
      </c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4" t="s">
        <v>4</v>
      </c>
      <c r="AE216" s="4"/>
      <c r="AF216" s="4"/>
      <c r="AG216" s="4"/>
      <c r="AH216" s="4"/>
      <c r="AI216" s="4"/>
      <c r="AJ216" s="4"/>
      <c r="AK216" s="4"/>
      <c r="AL216" s="4"/>
      <c r="AM216" s="5"/>
    </row>
    <row r="217">
      <c r="A217" s="1" t="s">
        <v>5</v>
      </c>
      <c r="B217" s="6" t="s">
        <v>6</v>
      </c>
      <c r="C217" s="6" t="s">
        <v>7</v>
      </c>
      <c r="D217" s="7" t="s">
        <v>8</v>
      </c>
      <c r="E217" s="8" t="s">
        <v>9</v>
      </c>
      <c r="F217" s="8" t="s">
        <v>10</v>
      </c>
      <c r="G217" s="9" t="s">
        <v>11</v>
      </c>
      <c r="H217" s="10" t="s">
        <v>12</v>
      </c>
      <c r="I217" s="97" t="s">
        <v>13</v>
      </c>
      <c r="J217" s="2" t="s">
        <v>14</v>
      </c>
      <c r="K217" s="2" t="s">
        <v>15</v>
      </c>
      <c r="L217" s="13" t="s">
        <v>16</v>
      </c>
      <c r="M217" s="13" t="s">
        <v>17</v>
      </c>
      <c r="N217" s="9" t="s">
        <v>18</v>
      </c>
      <c r="O217" s="13" t="s">
        <v>19</v>
      </c>
      <c r="P217" s="3" t="s">
        <v>20</v>
      </c>
      <c r="Q217" s="3" t="s">
        <v>21</v>
      </c>
      <c r="R217" s="3" t="s">
        <v>22</v>
      </c>
      <c r="S217" s="14" t="s">
        <v>23</v>
      </c>
      <c r="T217" s="14" t="s">
        <v>24</v>
      </c>
      <c r="U217" s="3" t="s">
        <v>25</v>
      </c>
      <c r="V217" s="14" t="s">
        <v>26</v>
      </c>
      <c r="W217" s="14" t="s">
        <v>27</v>
      </c>
      <c r="X217" s="3" t="s">
        <v>28</v>
      </c>
      <c r="Y217" s="14" t="s">
        <v>29</v>
      </c>
      <c r="Z217" s="3" t="s">
        <v>30</v>
      </c>
      <c r="AA217" s="15" t="s">
        <v>31</v>
      </c>
      <c r="AB217" s="15" t="s">
        <v>32</v>
      </c>
      <c r="AC217" s="16" t="s">
        <v>33</v>
      </c>
      <c r="AD217" s="17" t="s">
        <v>34</v>
      </c>
      <c r="AE217" s="18" t="s">
        <v>35</v>
      </c>
      <c r="AF217" s="18" t="s">
        <v>36</v>
      </c>
      <c r="AG217" s="18" t="s">
        <v>37</v>
      </c>
      <c r="AH217" s="18" t="s">
        <v>38</v>
      </c>
      <c r="AI217" s="18" t="s">
        <v>39</v>
      </c>
      <c r="AJ217" s="19" t="s">
        <v>40</v>
      </c>
      <c r="AK217" s="19" t="s">
        <v>41</v>
      </c>
      <c r="AL217" s="19" t="s">
        <v>42</v>
      </c>
      <c r="AM217" s="5"/>
    </row>
    <row r="218">
      <c r="A218" s="20" t="s">
        <v>81</v>
      </c>
      <c r="B218" s="21" t="s">
        <v>44</v>
      </c>
      <c r="C218" s="22" t="s">
        <v>45</v>
      </c>
      <c r="D218" s="23">
        <f t="shared" ref="D218:D221" si="61">E218+F218+G218+H218</f>
      </c>
      <c r="E218" s="39">
        <v>1733.38</v>
      </c>
      <c r="F218" s="26"/>
      <c r="G218" s="26">
        <v>1069.95</v>
      </c>
      <c r="H218" s="43"/>
      <c r="I218" s="24">
        <v>2</v>
      </c>
      <c r="J218" s="25">
        <v>4536</v>
      </c>
      <c r="K218" s="40">
        <v>0</v>
      </c>
      <c r="L218" s="40">
        <v>0</v>
      </c>
      <c r="M218" s="40">
        <v>2</v>
      </c>
      <c r="N218" s="29">
        <f t="shared" ref="N218:N231" si="15">J218/D218</f>
      </c>
      <c r="O218" s="29">
        <f t="shared" ref="O218:O231" si="270">J218/(D218+300*AL218)</f>
      </c>
      <c r="P218" s="30">
        <f t="shared" ref="P218:P231" si="232">(D218/AE218)*1000</f>
      </c>
      <c r="Q218" s="31">
        <f t="shared" ref="Q218:Q231" si="175">AF218/AE218</f>
      </c>
      <c r="R218" s="32">
        <f t="shared" ref="R218:R231" si="137">D218/AG218</f>
      </c>
      <c r="S218" s="31">
        <f t="shared" ref="S218:S231" si="194">AH218/AG218</f>
      </c>
      <c r="T218" s="31">
        <f t="shared" ref="T218:T231" si="118">AI218/AG218</f>
      </c>
      <c r="U218" s="32">
        <f t="shared" ref="U218:U231" si="99">D218/AI218</f>
      </c>
      <c r="V218" s="31">
        <f t="shared" ref="V218:V231" si="80">AJ218/AI218</f>
      </c>
      <c r="W218" s="31">
        <f t="shared" ref="W218:W231" si="34">I218/AJ218</f>
      </c>
      <c r="X218" s="32">
        <f t="shared" ref="X218:X231" si="289">D218/I218</f>
      </c>
      <c r="Y218" s="33">
        <f t="shared" ref="Y218:Y231" si="251">J218/I218</f>
      </c>
      <c r="Z218" s="32">
        <f t="shared" ref="Z218:Z231" si="213">D218/AD218</f>
      </c>
      <c r="AA218" s="34">
        <f t="shared" ref="AA218:AA231" si="156">AK218*1000/D218</f>
      </c>
      <c r="AB218" s="35" t="s">
        <v>46</v>
      </c>
      <c r="AC218" s="105" t="s">
        <v>47</v>
      </c>
      <c r="AD218" s="107">
        <v>2</v>
      </c>
      <c r="AE218" s="38">
        <v>8144</v>
      </c>
      <c r="AF218" s="21">
        <v>333</v>
      </c>
      <c r="AG218" s="26">
        <v>516</v>
      </c>
      <c r="AH218" s="26">
        <v>102</v>
      </c>
      <c r="AI218" s="21">
        <v>27</v>
      </c>
      <c r="AJ218" s="25">
        <v>10</v>
      </c>
      <c r="AK218" s="40">
        <v>21</v>
      </c>
      <c r="AL218" s="41">
        <v>1</v>
      </c>
      <c r="AM218" s="42"/>
    </row>
    <row r="219">
      <c r="A219" s="20"/>
      <c r="B219" s="43" t="s">
        <v>48</v>
      </c>
      <c r="C219" s="44" t="s">
        <v>45</v>
      </c>
      <c r="D219" s="26">
        <f t="shared" si="61"/>
      </c>
      <c r="E219" s="47">
        <v>1911.57</v>
      </c>
      <c r="F219" s="47"/>
      <c r="G219" s="21">
        <v>1611.04</v>
      </c>
      <c r="H219" s="43"/>
      <c r="I219" s="48">
        <v>5</v>
      </c>
      <c r="J219" s="21">
        <v>8700</v>
      </c>
      <c r="K219" s="25">
        <v>0</v>
      </c>
      <c r="L219" s="40">
        <v>2</v>
      </c>
      <c r="M219" s="40">
        <v>3</v>
      </c>
      <c r="N219" s="29">
        <f t="shared" si="15"/>
      </c>
      <c r="O219" s="29">
        <f t="shared" si="270"/>
      </c>
      <c r="P219" s="30">
        <f t="shared" si="232"/>
      </c>
      <c r="Q219" s="108">
        <f t="shared" si="175"/>
      </c>
      <c r="R219" s="32">
        <f t="shared" si="137"/>
      </c>
      <c r="S219" s="31">
        <f t="shared" si="194"/>
      </c>
      <c r="T219" s="31">
        <f t="shared" si="118"/>
      </c>
      <c r="U219" s="32">
        <f t="shared" si="99"/>
      </c>
      <c r="V219" s="31">
        <f t="shared" si="80"/>
      </c>
      <c r="W219" s="31">
        <f t="shared" si="34"/>
      </c>
      <c r="X219" s="32">
        <f t="shared" si="289"/>
      </c>
      <c r="Y219" s="33">
        <f t="shared" si="251"/>
      </c>
      <c r="Z219" s="32">
        <f t="shared" si="213"/>
      </c>
      <c r="AA219" s="34">
        <f t="shared" si="156"/>
      </c>
      <c r="AB219" s="35" t="s">
        <v>46</v>
      </c>
      <c r="AC219" s="105" t="s">
        <v>47</v>
      </c>
      <c r="AD219" s="39">
        <v>5</v>
      </c>
      <c r="AE219" s="47">
        <v>9409</v>
      </c>
      <c r="AF219" s="47">
        <v>423</v>
      </c>
      <c r="AG219" s="48">
        <v>623</v>
      </c>
      <c r="AH219" s="21">
        <v>94</v>
      </c>
      <c r="AI219" s="21">
        <v>41</v>
      </c>
      <c r="AJ219" s="49">
        <v>11</v>
      </c>
      <c r="AK219" s="50">
        <v>19</v>
      </c>
      <c r="AL219" s="41">
        <v>1</v>
      </c>
      <c r="AM219" s="42"/>
    </row>
    <row r="220">
      <c r="A220" s="20"/>
      <c r="B220" s="43" t="s">
        <v>49</v>
      </c>
      <c r="C220" s="39" t="s">
        <v>45</v>
      </c>
      <c r="D220" s="26">
        <f t="shared" si="61"/>
      </c>
      <c r="E220" s="26">
        <v>1622.68</v>
      </c>
      <c r="F220" s="26"/>
      <c r="G220" s="21">
        <v>1259.95</v>
      </c>
      <c r="H220" s="21"/>
      <c r="I220" s="51">
        <v>1</v>
      </c>
      <c r="J220" s="51">
        <v>2268</v>
      </c>
      <c r="K220" s="51">
        <v>0</v>
      </c>
      <c r="L220" s="51">
        <v>0</v>
      </c>
      <c r="M220" s="51">
        <v>1</v>
      </c>
      <c r="N220" s="29">
        <f t="shared" si="15"/>
      </c>
      <c r="O220" s="29">
        <f t="shared" si="270"/>
      </c>
      <c r="P220" s="110">
        <f t="shared" si="232"/>
      </c>
      <c r="Q220" s="71">
        <f t="shared" si="175"/>
      </c>
      <c r="R220" s="111">
        <f t="shared" si="137"/>
      </c>
      <c r="S220" s="31">
        <f t="shared" si="194"/>
      </c>
      <c r="T220" s="31">
        <f t="shared" si="118"/>
      </c>
      <c r="U220" s="32">
        <f t="shared" si="99"/>
      </c>
      <c r="V220" s="31">
        <f t="shared" si="80"/>
      </c>
      <c r="W220" s="31">
        <f t="shared" si="34"/>
      </c>
      <c r="X220" s="32">
        <f t="shared" si="289"/>
      </c>
      <c r="Y220" s="33">
        <f t="shared" si="251"/>
      </c>
      <c r="Z220" s="32">
        <f t="shared" si="213"/>
      </c>
      <c r="AA220" s="34">
        <f t="shared" si="156"/>
      </c>
      <c r="AB220" s="35" t="s">
        <v>46</v>
      </c>
      <c r="AC220" s="105" t="s">
        <v>47</v>
      </c>
      <c r="AD220" s="45">
        <v>1</v>
      </c>
      <c r="AE220" s="26">
        <v>8215</v>
      </c>
      <c r="AF220" s="26">
        <v>317</v>
      </c>
      <c r="AG220" s="21">
        <v>503</v>
      </c>
      <c r="AH220" s="21">
        <v>72</v>
      </c>
      <c r="AI220" s="21">
        <v>26</v>
      </c>
      <c r="AJ220" s="49">
        <v>4</v>
      </c>
      <c r="AK220" s="50">
        <v>13</v>
      </c>
      <c r="AL220" s="41">
        <v>1</v>
      </c>
      <c r="AM220" s="42"/>
    </row>
    <row r="221">
      <c r="A221" s="20"/>
      <c r="B221" s="43" t="s">
        <v>50</v>
      </c>
      <c r="C221" s="48" t="s">
        <v>45</v>
      </c>
      <c r="D221" s="26">
        <f t="shared" si="61"/>
      </c>
      <c r="E221" s="26">
        <v>1935.4</v>
      </c>
      <c r="F221" s="26"/>
      <c r="G221" s="21">
        <v>1005.72</v>
      </c>
      <c r="H221" s="21"/>
      <c r="I221" s="40">
        <v>2</v>
      </c>
      <c r="J221" s="40">
        <f>2080+2268</f>
      </c>
      <c r="K221" s="40">
        <v>0</v>
      </c>
      <c r="L221" s="40">
        <v>0</v>
      </c>
      <c r="M221" s="40">
        <v>2</v>
      </c>
      <c r="N221" s="29">
        <f t="shared" si="15"/>
      </c>
      <c r="O221" s="29">
        <f t="shared" si="270"/>
      </c>
      <c r="P221" s="30">
        <f t="shared" si="232"/>
      </c>
      <c r="Q221" s="112">
        <f t="shared" si="175"/>
      </c>
      <c r="R221" s="32">
        <f t="shared" si="137"/>
      </c>
      <c r="S221" s="31">
        <f t="shared" si="194"/>
      </c>
      <c r="T221" s="31">
        <f t="shared" si="118"/>
      </c>
      <c r="U221" s="32">
        <f t="shared" si="99"/>
      </c>
      <c r="V221" s="31">
        <f t="shared" si="80"/>
      </c>
      <c r="W221" s="31">
        <f t="shared" si="34"/>
      </c>
      <c r="X221" s="32">
        <f t="shared" si="289"/>
      </c>
      <c r="Y221" s="33">
        <f t="shared" si="251"/>
      </c>
      <c r="Z221" s="32">
        <f t="shared" si="213"/>
      </c>
      <c r="AA221" s="34">
        <f t="shared" si="156"/>
      </c>
      <c r="AB221" s="35" t="s">
        <v>46</v>
      </c>
      <c r="AC221" s="105" t="s">
        <v>47</v>
      </c>
      <c r="AD221" s="45">
        <v>3</v>
      </c>
      <c r="AE221" s="47">
        <v>8297</v>
      </c>
      <c r="AF221" s="21">
        <v>280</v>
      </c>
      <c r="AG221" s="21">
        <v>414</v>
      </c>
      <c r="AH221" s="21">
        <v>61</v>
      </c>
      <c r="AI221" s="21">
        <v>44</v>
      </c>
      <c r="AJ221" s="49">
        <v>6</v>
      </c>
      <c r="AK221" s="50">
        <v>16</v>
      </c>
      <c r="AL221" s="41">
        <v>1</v>
      </c>
      <c r="AM221" s="42"/>
    </row>
    <row r="222">
      <c r="A222" s="20"/>
      <c r="B222" s="53" t="s">
        <v>51</v>
      </c>
      <c r="C222" s="53"/>
      <c r="D222" s="53">
        <f>SUM(D218:D221)</f>
      </c>
      <c r="E222" s="53">
        <f>SUM(E218:E221)</f>
      </c>
      <c r="F222" s="53">
        <f>SUM(F218:F221)</f>
      </c>
      <c r="G222" s="53">
        <f>SUM(G218:G221)</f>
      </c>
      <c r="H222" s="53">
        <f>SUM(H218:H221)</f>
      </c>
      <c r="I222" s="53">
        <f>SUM(I218:I221)</f>
      </c>
      <c r="J222" s="53">
        <f>SUM(J218:J221)</f>
      </c>
      <c r="K222" s="53">
        <f>SUM(K218:K221)</f>
      </c>
      <c r="L222" s="53">
        <f>SUM(L218:L221)</f>
      </c>
      <c r="M222" s="53">
        <f>SUM(M218:M221)</f>
      </c>
      <c r="N222" s="54">
        <f t="shared" si="15"/>
      </c>
      <c r="O222" s="55">
        <f t="shared" si="270"/>
      </c>
      <c r="P222" s="56">
        <f t="shared" si="232"/>
      </c>
      <c r="Q222" s="57">
        <f t="shared" si="175"/>
      </c>
      <c r="R222" s="58">
        <f t="shared" si="137"/>
      </c>
      <c r="S222" s="57">
        <f t="shared" si="194"/>
      </c>
      <c r="T222" s="59">
        <f t="shared" si="118"/>
      </c>
      <c r="U222" s="60">
        <f t="shared" si="99"/>
      </c>
      <c r="V222" s="59">
        <f t="shared" si="80"/>
      </c>
      <c r="W222" s="59">
        <f t="shared" si="34"/>
      </c>
      <c r="X222" s="60">
        <f t="shared" si="289"/>
      </c>
      <c r="Y222" s="61">
        <f t="shared" si="251"/>
      </c>
      <c r="Z222" s="60">
        <f t="shared" si="213"/>
      </c>
      <c r="AA222" s="62">
        <f t="shared" si="156"/>
      </c>
      <c r="AB222" s="63"/>
      <c r="AC222" s="62"/>
      <c r="AD222" s="102">
        <f>SUM(AD218:AD221)</f>
      </c>
      <c r="AE222" s="66">
        <f>SUM(AE218:AE221)</f>
      </c>
      <c r="AF222" s="66">
        <f>SUM(AF218:AF221)</f>
      </c>
      <c r="AG222" s="66">
        <f>SUM(AG218:AG221)</f>
      </c>
      <c r="AH222" s="66">
        <f>SUM(AH218:AH221)</f>
      </c>
      <c r="AI222" s="66">
        <f>SUM(AI218:AI221)</f>
      </c>
      <c r="AJ222" s="66">
        <f>SUM(AJ218:AJ221)</f>
      </c>
      <c r="AK222" s="66">
        <f>SUM(AK218:AK221)</f>
      </c>
      <c r="AL222" s="66">
        <f>SUM(AL218:AL221)</f>
      </c>
      <c r="AM222" s="42"/>
    </row>
    <row r="223">
      <c r="A223" s="20"/>
      <c r="B223" s="48" t="s">
        <v>52</v>
      </c>
      <c r="C223" s="22" t="s">
        <v>53</v>
      </c>
      <c r="D223" s="21">
        <f t="shared" ref="D223:D226" si="305">E223+G223</f>
      </c>
      <c r="E223" s="21">
        <v>2204.04</v>
      </c>
      <c r="F223" s="26"/>
      <c r="G223" s="21">
        <v>1268.53</v>
      </c>
      <c r="H223" s="21"/>
      <c r="I223" s="40">
        <v>5</v>
      </c>
      <c r="J223" s="40">
        <v>10020</v>
      </c>
      <c r="K223" s="40">
        <v>0</v>
      </c>
      <c r="L223" s="40">
        <v>1</v>
      </c>
      <c r="M223" s="67">
        <v>4</v>
      </c>
      <c r="N223" s="68">
        <f t="shared" si="15"/>
      </c>
      <c r="O223" s="29">
        <f t="shared" si="270"/>
      </c>
      <c r="P223" s="30">
        <f t="shared" si="232"/>
      </c>
      <c r="Q223" s="31">
        <f t="shared" si="175"/>
      </c>
      <c r="R223" s="32">
        <f t="shared" si="137"/>
      </c>
      <c r="S223" s="31">
        <f t="shared" si="194"/>
      </c>
      <c r="T223" s="73">
        <f t="shared" si="118"/>
      </c>
      <c r="U223" s="32">
        <f t="shared" si="99"/>
      </c>
      <c r="V223" s="31">
        <f t="shared" si="80"/>
      </c>
      <c r="W223" s="31">
        <f t="shared" si="34"/>
      </c>
      <c r="X223" s="32">
        <f t="shared" si="289"/>
      </c>
      <c r="Y223" s="33">
        <f t="shared" si="251"/>
      </c>
      <c r="Z223" s="32">
        <f t="shared" si="213"/>
      </c>
      <c r="AA223" s="34">
        <f t="shared" si="156"/>
      </c>
      <c r="AB223" s="35" t="s">
        <v>46</v>
      </c>
      <c r="AC223" s="105" t="s">
        <v>47</v>
      </c>
      <c r="AD223" s="26">
        <v>5</v>
      </c>
      <c r="AE223" s="74">
        <v>9108</v>
      </c>
      <c r="AF223" s="75">
        <v>314</v>
      </c>
      <c r="AG223" s="75">
        <v>463</v>
      </c>
      <c r="AH223" s="75">
        <v>82</v>
      </c>
      <c r="AI223" s="75">
        <v>37</v>
      </c>
      <c r="AJ223" s="41">
        <v>9</v>
      </c>
      <c r="AK223" s="41">
        <v>21</v>
      </c>
      <c r="AL223" s="41">
        <v>1</v>
      </c>
      <c r="AM223" s="42"/>
    </row>
    <row r="224">
      <c r="A224" s="20"/>
      <c r="B224" s="48" t="s">
        <v>54</v>
      </c>
      <c r="C224" s="22" t="s">
        <v>53</v>
      </c>
      <c r="D224" s="21">
        <f t="shared" si="305"/>
      </c>
      <c r="E224" s="21">
        <v>1701.85</v>
      </c>
      <c r="F224" s="26"/>
      <c r="G224" s="21">
        <v>1168.88</v>
      </c>
      <c r="H224" s="21"/>
      <c r="I224" s="40">
        <v>1</v>
      </c>
      <c r="J224" s="40">
        <v>2268</v>
      </c>
      <c r="K224" s="40">
        <v>0</v>
      </c>
      <c r="L224" s="40">
        <v>0</v>
      </c>
      <c r="M224" s="40">
        <v>1</v>
      </c>
      <c r="N224" s="68">
        <f t="shared" si="15"/>
      </c>
      <c r="O224" s="29">
        <f t="shared" si="270"/>
      </c>
      <c r="P224" s="30">
        <f t="shared" si="232"/>
      </c>
      <c r="Q224" s="31">
        <f t="shared" si="175"/>
      </c>
      <c r="R224" s="32">
        <f t="shared" si="137"/>
      </c>
      <c r="S224" s="31">
        <f t="shared" si="194"/>
      </c>
      <c r="T224" s="73">
        <f t="shared" si="118"/>
      </c>
      <c r="U224" s="32">
        <f t="shared" si="99"/>
      </c>
      <c r="V224" s="31">
        <f t="shared" si="80"/>
      </c>
      <c r="W224" s="31">
        <f t="shared" si="34"/>
      </c>
      <c r="X224" s="32">
        <f t="shared" si="289"/>
      </c>
      <c r="Y224" s="33">
        <f t="shared" si="251"/>
      </c>
      <c r="Z224" s="32">
        <f t="shared" si="213"/>
      </c>
      <c r="AA224" s="34">
        <f t="shared" si="156"/>
      </c>
      <c r="AB224" s="35" t="s">
        <v>46</v>
      </c>
      <c r="AC224" s="105" t="s">
        <v>47</v>
      </c>
      <c r="AD224" s="26">
        <v>1</v>
      </c>
      <c r="AE224" s="74">
        <v>8655</v>
      </c>
      <c r="AF224" s="75">
        <v>344</v>
      </c>
      <c r="AG224" s="75">
        <v>467</v>
      </c>
      <c r="AH224" s="75">
        <v>75</v>
      </c>
      <c r="AI224" s="75">
        <v>39</v>
      </c>
      <c r="AJ224" s="41">
        <v>7</v>
      </c>
      <c r="AK224" s="41">
        <v>27</v>
      </c>
      <c r="AL224" s="41">
        <v>1</v>
      </c>
      <c r="AM224" s="42"/>
    </row>
    <row r="225">
      <c r="A225" s="20"/>
      <c r="B225" s="21" t="s">
        <v>55</v>
      </c>
      <c r="C225" s="22" t="s">
        <v>53</v>
      </c>
      <c r="D225" s="21">
        <f t="shared" si="305"/>
      </c>
      <c r="E225" s="21">
        <v>1889.66</v>
      </c>
      <c r="F225" s="26"/>
      <c r="G225" s="21">
        <v>1098.51</v>
      </c>
      <c r="H225" s="21"/>
      <c r="I225" s="40">
        <v>3</v>
      </c>
      <c r="J225" s="40">
        <v>6804</v>
      </c>
      <c r="K225" s="40">
        <v>0</v>
      </c>
      <c r="L225" s="40">
        <v>0</v>
      </c>
      <c r="M225" s="40">
        <v>3</v>
      </c>
      <c r="N225" s="103">
        <f t="shared" si="15"/>
      </c>
      <c r="O225" s="29">
        <f t="shared" si="270"/>
      </c>
      <c r="P225" s="30">
        <f t="shared" si="232"/>
      </c>
      <c r="Q225" s="31">
        <f t="shared" si="175"/>
      </c>
      <c r="R225" s="32">
        <f t="shared" si="137"/>
      </c>
      <c r="S225" s="31">
        <f t="shared" si="194"/>
      </c>
      <c r="T225" s="73">
        <f t="shared" si="118"/>
      </c>
      <c r="U225" s="32">
        <f t="shared" si="99"/>
      </c>
      <c r="V225" s="31">
        <f t="shared" si="80"/>
      </c>
      <c r="W225" s="31">
        <f t="shared" si="34"/>
      </c>
      <c r="X225" s="32">
        <f t="shared" si="289"/>
      </c>
      <c r="Y225" s="33">
        <f t="shared" si="251"/>
      </c>
      <c r="Z225" s="32">
        <f t="shared" si="213"/>
      </c>
      <c r="AA225" s="34">
        <f t="shared" si="156"/>
      </c>
      <c r="AB225" s="35" t="s">
        <v>46</v>
      </c>
      <c r="AC225" s="105" t="s">
        <v>47</v>
      </c>
      <c r="AD225" s="26">
        <v>3</v>
      </c>
      <c r="AE225" s="74">
        <v>7452</v>
      </c>
      <c r="AF225" s="75">
        <v>278</v>
      </c>
      <c r="AG225" s="75">
        <v>398</v>
      </c>
      <c r="AH225" s="75">
        <v>68</v>
      </c>
      <c r="AI225" s="41">
        <v>29</v>
      </c>
      <c r="AJ225" s="41">
        <v>6</v>
      </c>
      <c r="AK225" s="41">
        <v>20</v>
      </c>
      <c r="AL225" s="41">
        <v>1</v>
      </c>
      <c r="AM225" s="42"/>
    </row>
    <row r="226">
      <c r="A226" s="20"/>
      <c r="B226" s="43" t="s">
        <v>56</v>
      </c>
      <c r="C226" s="21" t="s">
        <v>53</v>
      </c>
      <c r="D226" s="21">
        <f t="shared" si="305"/>
      </c>
      <c r="E226" s="21">
        <v>1512.66</v>
      </c>
      <c r="F226" s="26"/>
      <c r="G226" s="21">
        <v>1192.42</v>
      </c>
      <c r="H226" s="21"/>
      <c r="I226" s="40">
        <v>3</v>
      </c>
      <c r="J226" s="40">
        <v>5484</v>
      </c>
      <c r="K226" s="40">
        <v>0</v>
      </c>
      <c r="L226" s="40">
        <v>1</v>
      </c>
      <c r="M226" s="40">
        <v>2</v>
      </c>
      <c r="N226" s="68">
        <f t="shared" si="15"/>
      </c>
      <c r="O226" s="29">
        <f t="shared" si="270"/>
      </c>
      <c r="P226" s="30">
        <f t="shared" si="232"/>
      </c>
      <c r="Q226" s="31">
        <f t="shared" si="175"/>
      </c>
      <c r="R226" s="32">
        <f t="shared" si="137"/>
      </c>
      <c r="S226" s="31">
        <f t="shared" si="194"/>
      </c>
      <c r="T226" s="73">
        <f t="shared" si="118"/>
      </c>
      <c r="U226" s="32">
        <f t="shared" si="99"/>
      </c>
      <c r="V226" s="31">
        <f t="shared" si="80"/>
      </c>
      <c r="W226" s="31">
        <f t="shared" si="34"/>
      </c>
      <c r="X226" s="32">
        <f t="shared" si="289"/>
      </c>
      <c r="Y226" s="33">
        <f t="shared" si="251"/>
      </c>
      <c r="Z226" s="32">
        <f t="shared" si="213"/>
      </c>
      <c r="AA226" s="34">
        <f t="shared" si="156"/>
      </c>
      <c r="AB226" s="35" t="s">
        <v>46</v>
      </c>
      <c r="AC226" s="105" t="s">
        <v>47</v>
      </c>
      <c r="AD226" s="26">
        <v>2</v>
      </c>
      <c r="AE226" s="74">
        <v>5602</v>
      </c>
      <c r="AF226" s="75">
        <v>215</v>
      </c>
      <c r="AG226" s="75">
        <v>320</v>
      </c>
      <c r="AH226" s="75">
        <v>35</v>
      </c>
      <c r="AI226" s="75">
        <v>20</v>
      </c>
      <c r="AJ226" s="41">
        <v>8</v>
      </c>
      <c r="AK226" s="41">
        <v>10</v>
      </c>
      <c r="AL226" s="41">
        <v>1</v>
      </c>
      <c r="AM226" s="42"/>
    </row>
    <row r="227">
      <c r="A227" s="20"/>
      <c r="B227" s="53" t="s">
        <v>51</v>
      </c>
      <c r="C227" s="53"/>
      <c r="D227" s="53">
        <f>SUM(D223:D226)</f>
      </c>
      <c r="E227" s="53">
        <f>SUM(E223:E226)</f>
      </c>
      <c r="F227" s="53">
        <f>SUM(F223:F226)</f>
      </c>
      <c r="G227" s="53">
        <f>SUM(G223:G226)</f>
      </c>
      <c r="H227" s="53">
        <f>SUM(H223:H226)</f>
      </c>
      <c r="I227" s="53">
        <f>SUM(I223:I226)</f>
      </c>
      <c r="J227" s="53">
        <f>SUM(J223:J226)</f>
      </c>
      <c r="K227" s="53">
        <f>SUM(K223:K226)</f>
      </c>
      <c r="L227" s="53">
        <f>SUM(L223:L226)</f>
      </c>
      <c r="M227" s="53">
        <f>SUM(M223:M226)</f>
      </c>
      <c r="N227" s="54">
        <f t="shared" si="15"/>
      </c>
      <c r="O227" s="81">
        <f t="shared" si="270"/>
      </c>
      <c r="P227" s="82">
        <f t="shared" si="232"/>
      </c>
      <c r="Q227" s="83">
        <f t="shared" si="175"/>
      </c>
      <c r="R227" s="84">
        <f t="shared" si="137"/>
      </c>
      <c r="S227" s="83">
        <f t="shared" si="194"/>
      </c>
      <c r="T227" s="59">
        <f t="shared" si="118"/>
      </c>
      <c r="U227" s="60">
        <f t="shared" si="99"/>
      </c>
      <c r="V227" s="59">
        <f t="shared" si="80"/>
      </c>
      <c r="W227" s="59">
        <f t="shared" si="34"/>
      </c>
      <c r="X227" s="60">
        <f t="shared" si="289"/>
      </c>
      <c r="Y227" s="61">
        <f t="shared" si="251"/>
      </c>
      <c r="Z227" s="60">
        <f t="shared" si="213"/>
      </c>
      <c r="AA227" s="62">
        <f t="shared" si="156"/>
      </c>
      <c r="AB227" s="63"/>
      <c r="AC227" s="62"/>
      <c r="AD227" s="85">
        <f>SUM(AD223:AD226)</f>
      </c>
      <c r="AE227" s="85">
        <f>SUM(AE223:AE226)</f>
      </c>
      <c r="AF227" s="85">
        <f>SUM(AF223:AF226)</f>
      </c>
      <c r="AG227" s="85">
        <f>SUM(AG223:AG226)</f>
      </c>
      <c r="AH227" s="85">
        <f>SUM(AH223:AH226)</f>
      </c>
      <c r="AI227" s="85">
        <f>SUM(AI223:AI226)</f>
      </c>
      <c r="AJ227" s="85">
        <f>SUM(AJ223:AJ226)</f>
      </c>
      <c r="AK227" s="85">
        <f>SUM(AK223:AK226)</f>
      </c>
      <c r="AL227" s="85">
        <f>SUM(AL223:AL226)</f>
      </c>
      <c r="AM227" s="42"/>
    </row>
    <row r="228">
      <c r="A228" s="20"/>
      <c r="B228" s="51" t="s">
        <v>67</v>
      </c>
      <c r="C228" s="67" t="s">
        <v>76</v>
      </c>
      <c r="D228" s="21">
        <f t="shared" ref="D228:D229" si="306">E228+G228</f>
      </c>
      <c r="E228" s="21">
        <v>1694.12</v>
      </c>
      <c r="F228" s="26"/>
      <c r="G228" s="21">
        <v>1244.16</v>
      </c>
      <c r="H228" s="21"/>
      <c r="I228" s="40">
        <v>1</v>
      </c>
      <c r="J228" s="40">
        <v>2268</v>
      </c>
      <c r="K228" s="40">
        <v>0</v>
      </c>
      <c r="L228" s="40">
        <v>0</v>
      </c>
      <c r="M228" s="40">
        <v>1</v>
      </c>
      <c r="N228" s="68">
        <f t="shared" si="15"/>
      </c>
      <c r="O228" s="29">
        <f t="shared" si="270"/>
      </c>
      <c r="P228" s="30">
        <f t="shared" si="232"/>
      </c>
      <c r="Q228" s="31">
        <f t="shared" si="175"/>
      </c>
      <c r="R228" s="32">
        <f t="shared" si="137"/>
      </c>
      <c r="S228" s="31">
        <f t="shared" si="194"/>
      </c>
      <c r="T228" s="73">
        <f t="shared" si="118"/>
      </c>
      <c r="U228" s="32">
        <f t="shared" si="99"/>
      </c>
      <c r="V228" s="31">
        <f t="shared" si="80"/>
      </c>
      <c r="W228" s="31">
        <f t="shared" si="34"/>
      </c>
      <c r="X228" s="32">
        <f t="shared" si="289"/>
      </c>
      <c r="Y228" s="33">
        <f t="shared" si="251"/>
      </c>
      <c r="Z228" s="32">
        <f t="shared" si="213"/>
      </c>
      <c r="AA228" s="34">
        <f t="shared" si="156"/>
      </c>
      <c r="AB228" s="35" t="s">
        <v>46</v>
      </c>
      <c r="AC228" s="105" t="s">
        <v>72</v>
      </c>
      <c r="AD228" s="26">
        <v>2</v>
      </c>
      <c r="AE228" s="74">
        <v>7383</v>
      </c>
      <c r="AF228" s="75">
        <v>257</v>
      </c>
      <c r="AG228" s="75">
        <v>388</v>
      </c>
      <c r="AH228" s="75">
        <v>61</v>
      </c>
      <c r="AI228" s="75">
        <v>35</v>
      </c>
      <c r="AJ228" s="41">
        <v>5</v>
      </c>
      <c r="AK228" s="41">
        <v>12</v>
      </c>
      <c r="AL228" s="41">
        <v>1</v>
      </c>
      <c r="AM228" s="42"/>
    </row>
    <row r="229">
      <c r="A229" s="20"/>
      <c r="B229" s="40" t="s">
        <v>73</v>
      </c>
      <c r="C229" s="67" t="s">
        <v>76</v>
      </c>
      <c r="D229" s="21">
        <f t="shared" si="306"/>
      </c>
      <c r="E229" s="21">
        <f>2116.75+0.08</f>
      </c>
      <c r="F229" s="26"/>
      <c r="G229" s="21">
        <v>736.75</v>
      </c>
      <c r="H229" s="21"/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103">
        <f t="shared" si="15"/>
      </c>
      <c r="O229" s="29">
        <f t="shared" si="270"/>
      </c>
      <c r="P229" s="30">
        <f t="shared" si="232"/>
      </c>
      <c r="Q229" s="31">
        <f t="shared" si="175"/>
      </c>
      <c r="R229" s="32">
        <f t="shared" si="137"/>
      </c>
      <c r="S229" s="31">
        <f t="shared" si="194"/>
      </c>
      <c r="T229" s="73">
        <f t="shared" si="118"/>
      </c>
      <c r="U229" s="32">
        <f t="shared" si="99"/>
      </c>
      <c r="V229" s="31">
        <f t="shared" si="80"/>
      </c>
      <c r="W229" s="31">
        <f t="shared" si="34"/>
      </c>
      <c r="X229" s="32">
        <f t="shared" si="289"/>
      </c>
      <c r="Y229" s="33">
        <f t="shared" si="251"/>
      </c>
      <c r="Z229" s="32">
        <f t="shared" si="213"/>
      </c>
      <c r="AA229" s="34">
        <f t="shared" si="156"/>
      </c>
      <c r="AB229" s="35" t="s">
        <v>46</v>
      </c>
      <c r="AC229" s="105" t="s">
        <v>72</v>
      </c>
      <c r="AD229" s="26">
        <v>0</v>
      </c>
      <c r="AE229" s="74">
        <v>9039</v>
      </c>
      <c r="AF229" s="75">
        <v>247</v>
      </c>
      <c r="AG229" s="75">
        <v>424</v>
      </c>
      <c r="AH229" s="75">
        <v>71</v>
      </c>
      <c r="AI229" s="41">
        <v>25</v>
      </c>
      <c r="AJ229" s="41">
        <v>4</v>
      </c>
      <c r="AK229" s="41">
        <v>19</v>
      </c>
      <c r="AL229" s="41">
        <v>1</v>
      </c>
      <c r="AM229" s="42"/>
    </row>
    <row r="230">
      <c r="A230" s="20"/>
      <c r="B230" s="53" t="s">
        <v>51</v>
      </c>
      <c r="C230" s="53"/>
      <c r="D230" s="53">
        <f>SUM(D228:D229)</f>
      </c>
      <c r="E230" s="53">
        <f>SUM(E228:E229)</f>
      </c>
      <c r="F230" s="53">
        <f>SUM(F228:F229)</f>
      </c>
      <c r="G230" s="53">
        <f>SUM(G228:G229)</f>
      </c>
      <c r="H230" s="53">
        <f>SUM(H228:H229)</f>
      </c>
      <c r="I230" s="53">
        <f>SUM(I228:I229)</f>
      </c>
      <c r="J230" s="53">
        <f>SUM(J228:J229)</f>
      </c>
      <c r="K230" s="53">
        <f>SUM(K228:K229)</f>
      </c>
      <c r="L230" s="53">
        <f>SUM(L228:L229)</f>
      </c>
      <c r="M230" s="53">
        <f>SUM(M228:M229)</f>
      </c>
      <c r="N230" s="54">
        <f t="shared" si="15"/>
      </c>
      <c r="O230" s="81">
        <f t="shared" si="270"/>
      </c>
      <c r="P230" s="82">
        <f t="shared" si="232"/>
      </c>
      <c r="Q230" s="83">
        <f t="shared" si="175"/>
      </c>
      <c r="R230" s="84">
        <f t="shared" si="137"/>
      </c>
      <c r="S230" s="83">
        <f t="shared" si="194"/>
      </c>
      <c r="T230" s="59">
        <f t="shared" si="118"/>
      </c>
      <c r="U230" s="60">
        <f t="shared" si="99"/>
      </c>
      <c r="V230" s="59">
        <f t="shared" si="80"/>
      </c>
      <c r="W230" s="59">
        <f t="shared" si="34"/>
      </c>
      <c r="X230" s="60">
        <f t="shared" si="289"/>
      </c>
      <c r="Y230" s="61">
        <f t="shared" si="251"/>
      </c>
      <c r="Z230" s="60">
        <f t="shared" si="213"/>
      </c>
      <c r="AA230" s="62">
        <f t="shared" si="156"/>
      </c>
      <c r="AB230" s="63"/>
      <c r="AC230" s="62"/>
      <c r="AD230" s="85">
        <f>SUM(AD228:AD229)</f>
      </c>
      <c r="AE230" s="85">
        <f>SUM(AE228:AE229)</f>
      </c>
      <c r="AF230" s="85">
        <f>SUM(AF228:AF229)</f>
      </c>
      <c r="AG230" s="85">
        <f>SUM(AG228:AG229)</f>
      </c>
      <c r="AH230" s="85">
        <f>SUM(AH228:AH229)</f>
      </c>
      <c r="AI230" s="85">
        <f>SUM(AI228:AI229)</f>
      </c>
      <c r="AJ230" s="85">
        <f>SUM(AJ228:AJ229)</f>
      </c>
      <c r="AK230" s="85">
        <f>SUM(AK228:AK229)</f>
      </c>
      <c r="AL230" s="85">
        <f>SUM(AL228:AL229)</f>
      </c>
      <c r="AM230" s="104" t="s">
        <v>57</v>
      </c>
    </row>
    <row r="231">
      <c r="A231" s="20"/>
      <c r="B231" s="88" t="s">
        <v>58</v>
      </c>
      <c r="C231" s="88"/>
      <c r="D231" s="88">
        <f>D222+D227+D230</f>
      </c>
      <c r="E231" s="113">
        <f>E222+E227+E230</f>
      </c>
      <c r="F231" s="113">
        <f>F222+F227+F230</f>
      </c>
      <c r="G231" s="113">
        <f>G222+G227+G230</f>
      </c>
      <c r="H231" s="113">
        <f>H222+H227+H230</f>
      </c>
      <c r="I231" s="88">
        <f>I222+I227+I230</f>
      </c>
      <c r="J231" s="88">
        <f>J222+J227+J230</f>
      </c>
      <c r="K231" s="88">
        <f>K222+K227+K230</f>
      </c>
      <c r="L231" s="88">
        <f>L222+L227+L230</f>
      </c>
      <c r="M231" s="88">
        <f>M222+M227+M230</f>
      </c>
      <c r="N231" s="89">
        <f t="shared" si="15"/>
      </c>
      <c r="O231" s="90">
        <f t="shared" si="270"/>
      </c>
      <c r="P231" s="91">
        <f t="shared" si="232"/>
      </c>
      <c r="Q231" s="92">
        <f t="shared" si="175"/>
      </c>
      <c r="R231" s="90">
        <f t="shared" si="137"/>
      </c>
      <c r="S231" s="92">
        <f t="shared" si="194"/>
      </c>
      <c r="T231" s="92">
        <f t="shared" si="118"/>
      </c>
      <c r="U231" s="90">
        <f t="shared" si="99"/>
      </c>
      <c r="V231" s="92">
        <f t="shared" si="80"/>
      </c>
      <c r="W231" s="92">
        <f t="shared" si="34"/>
      </c>
      <c r="X231" s="90">
        <f t="shared" si="289"/>
      </c>
      <c r="Y231" s="93">
        <f t="shared" si="251"/>
      </c>
      <c r="Z231" s="90">
        <f t="shared" si="213"/>
      </c>
      <c r="AA231" s="91">
        <f t="shared" si="156"/>
      </c>
      <c r="AB231" s="94"/>
      <c r="AC231" s="91"/>
      <c r="AD231" s="96">
        <f>AD222+AD227+AD230</f>
      </c>
      <c r="AE231" s="96">
        <f>AE222+AE227+AE230</f>
      </c>
      <c r="AF231" s="96">
        <f>AF222+AF227+AF230</f>
      </c>
      <c r="AG231" s="96">
        <f>AG222+AG227+AG230</f>
      </c>
      <c r="AH231" s="96">
        <f>AH222+AH227+AH230</f>
      </c>
      <c r="AI231" s="96">
        <f>AI222+AI227+AI230</f>
      </c>
      <c r="AJ231" s="96">
        <f>AJ222+AJ227+AJ230</f>
      </c>
      <c r="AK231" s="96">
        <f>AK222+AK227+AK230</f>
      </c>
      <c r="AL231" s="96">
        <f>AL222+AL227+AL230</f>
      </c>
      <c r="AM231" s="104"/>
    </row>
    <row r="232">
      <c r="A232" s="1" t="s">
        <v>1</v>
      </c>
      <c r="B232" s="1"/>
      <c r="C232" s="1"/>
      <c r="D232" s="2" t="s">
        <v>2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3" t="s">
        <v>3</v>
      </c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4" t="s">
        <v>4</v>
      </c>
      <c r="AE232" s="4"/>
      <c r="AF232" s="4"/>
      <c r="AG232" s="4"/>
      <c r="AH232" s="4"/>
      <c r="AI232" s="4"/>
      <c r="AJ232" s="4"/>
      <c r="AK232" s="4"/>
      <c r="AL232" s="4"/>
      <c r="AM232" s="5"/>
    </row>
    <row r="233">
      <c r="A233" s="6" t="s">
        <v>5</v>
      </c>
      <c r="B233" s="6" t="s">
        <v>6</v>
      </c>
      <c r="C233" s="6" t="s">
        <v>7</v>
      </c>
      <c r="D233" s="7" t="s">
        <v>8</v>
      </c>
      <c r="E233" s="8" t="s">
        <v>9</v>
      </c>
      <c r="F233" s="8" t="s">
        <v>10</v>
      </c>
      <c r="G233" s="9" t="s">
        <v>11</v>
      </c>
      <c r="H233" s="10" t="s">
        <v>12</v>
      </c>
      <c r="I233" s="97" t="s">
        <v>13</v>
      </c>
      <c r="J233" s="2" t="s">
        <v>14</v>
      </c>
      <c r="K233" s="2" t="s">
        <v>15</v>
      </c>
      <c r="L233" s="13" t="s">
        <v>16</v>
      </c>
      <c r="M233" s="13" t="s">
        <v>17</v>
      </c>
      <c r="N233" s="9" t="s">
        <v>18</v>
      </c>
      <c r="O233" s="13" t="s">
        <v>19</v>
      </c>
      <c r="P233" s="3" t="s">
        <v>20</v>
      </c>
      <c r="Q233" s="3" t="s">
        <v>21</v>
      </c>
      <c r="R233" s="3" t="s">
        <v>22</v>
      </c>
      <c r="S233" s="14" t="s">
        <v>23</v>
      </c>
      <c r="T233" s="14" t="s">
        <v>24</v>
      </c>
      <c r="U233" s="3" t="s">
        <v>25</v>
      </c>
      <c r="V233" s="14" t="s">
        <v>26</v>
      </c>
      <c r="W233" s="14" t="s">
        <v>27</v>
      </c>
      <c r="X233" s="3" t="s">
        <v>28</v>
      </c>
      <c r="Y233" s="14" t="s">
        <v>29</v>
      </c>
      <c r="Z233" s="3" t="s">
        <v>30</v>
      </c>
      <c r="AA233" s="15" t="s">
        <v>31</v>
      </c>
      <c r="AB233" s="15" t="s">
        <v>32</v>
      </c>
      <c r="AC233" s="16" t="s">
        <v>33</v>
      </c>
      <c r="AD233" s="17" t="s">
        <v>34</v>
      </c>
      <c r="AE233" s="18" t="s">
        <v>35</v>
      </c>
      <c r="AF233" s="18" t="s">
        <v>36</v>
      </c>
      <c r="AG233" s="18" t="s">
        <v>37</v>
      </c>
      <c r="AH233" s="18" t="s">
        <v>38</v>
      </c>
      <c r="AI233" s="18" t="s">
        <v>39</v>
      </c>
      <c r="AJ233" s="19" t="s">
        <v>40</v>
      </c>
      <c r="AK233" s="19" t="s">
        <v>41</v>
      </c>
      <c r="AL233" s="19" t="s">
        <v>42</v>
      </c>
      <c r="AM233" s="5"/>
    </row>
    <row r="234">
      <c r="A234" s="114" t="s">
        <v>82</v>
      </c>
      <c r="B234" s="26" t="s">
        <v>44</v>
      </c>
      <c r="C234" s="22" t="s">
        <v>45</v>
      </c>
      <c r="D234" s="23">
        <f t="shared" ref="D234:D237" si="62">E234+F234+G234+H234</f>
      </c>
      <c r="E234" s="39">
        <v>1928.42</v>
      </c>
      <c r="F234" s="26"/>
      <c r="G234" s="26">
        <v>2077.02</v>
      </c>
      <c r="H234" s="43"/>
      <c r="I234" s="24">
        <v>3</v>
      </c>
      <c r="J234" s="25">
        <v>6804</v>
      </c>
      <c r="K234" s="40">
        <v>0</v>
      </c>
      <c r="L234" s="40">
        <v>0</v>
      </c>
      <c r="M234" s="40">
        <v>3</v>
      </c>
      <c r="N234" s="29">
        <f t="shared" ref="N234:N248" si="16">J234/D234</f>
      </c>
      <c r="O234" s="29">
        <f t="shared" ref="O234:O248" si="271">J234/(D234+300*AL234)</f>
      </c>
      <c r="P234" s="30">
        <f t="shared" ref="P234:P248" si="233">(D234/AE234)*1000</f>
      </c>
      <c r="Q234" s="31">
        <f t="shared" ref="Q234:Q248" si="176">AF234/AE234</f>
      </c>
      <c r="R234" s="32">
        <f t="shared" ref="R234:R248" si="138">D234/AG234</f>
      </c>
      <c r="S234" s="31">
        <f t="shared" ref="S234:S248" si="195">AH234/AG234</f>
      </c>
      <c r="T234" s="31">
        <f t="shared" ref="T234:T248" si="119">AI234/AG234</f>
      </c>
      <c r="U234" s="32">
        <f t="shared" ref="U234:U248" si="100">D234/AI234</f>
      </c>
      <c r="V234" s="31">
        <f t="shared" ref="V234:V248" si="81">AJ234/AI234</f>
      </c>
      <c r="W234" s="31">
        <f t="shared" ref="W234:W248" si="35">I234/AJ234</f>
      </c>
      <c r="X234" s="32">
        <f t="shared" ref="X234:X248" si="290">D234/I234</f>
      </c>
      <c r="Y234" s="33">
        <f t="shared" ref="Y234:Y248" si="252">J234/I234</f>
      </c>
      <c r="Z234" s="32">
        <f t="shared" ref="Z234:Z248" si="214">D234/AD234</f>
      </c>
      <c r="AA234" s="34">
        <f t="shared" ref="AA234:AA248" si="157">AK234*1000/D234</f>
      </c>
      <c r="AB234" s="35" t="s">
        <v>46</v>
      </c>
      <c r="AC234" s="105" t="s">
        <v>47</v>
      </c>
      <c r="AD234" s="107">
        <v>3</v>
      </c>
      <c r="AE234" s="38">
        <v>11489</v>
      </c>
      <c r="AF234" s="21">
        <v>485</v>
      </c>
      <c r="AG234" s="26">
        <v>762</v>
      </c>
      <c r="AH234" s="26">
        <v>100</v>
      </c>
      <c r="AI234" s="21">
        <v>35</v>
      </c>
      <c r="AJ234" s="25">
        <v>6</v>
      </c>
      <c r="AK234" s="40">
        <v>14</v>
      </c>
      <c r="AL234" s="41">
        <v>1</v>
      </c>
      <c r="AM234" s="42"/>
    </row>
    <row r="235">
      <c r="A235" s="114"/>
      <c r="B235" s="38" t="s">
        <v>48</v>
      </c>
      <c r="C235" s="44" t="s">
        <v>45</v>
      </c>
      <c r="D235" s="26">
        <f t="shared" si="62"/>
      </c>
      <c r="E235" s="47">
        <v>954.78</v>
      </c>
      <c r="F235" s="47"/>
      <c r="G235" s="21">
        <v>3065.02</v>
      </c>
      <c r="H235" s="43"/>
      <c r="I235" s="24">
        <v>3</v>
      </c>
      <c r="J235" s="25">
        <v>6804</v>
      </c>
      <c r="K235" s="40">
        <v>0</v>
      </c>
      <c r="L235" s="40">
        <v>0</v>
      </c>
      <c r="M235" s="40">
        <v>3</v>
      </c>
      <c r="N235" s="29">
        <f t="shared" si="16"/>
      </c>
      <c r="O235" s="29">
        <f t="shared" si="271"/>
      </c>
      <c r="P235" s="30">
        <f t="shared" si="233"/>
      </c>
      <c r="Q235" s="108">
        <f t="shared" si="176"/>
      </c>
      <c r="R235" s="32">
        <f t="shared" si="138"/>
      </c>
      <c r="S235" s="31">
        <f t="shared" si="195"/>
      </c>
      <c r="T235" s="31">
        <f t="shared" si="119"/>
      </c>
      <c r="U235" s="32">
        <f t="shared" si="100"/>
      </c>
      <c r="V235" s="31">
        <f t="shared" si="81"/>
      </c>
      <c r="W235" s="31">
        <f t="shared" si="35"/>
      </c>
      <c r="X235" s="32">
        <f t="shared" si="290"/>
      </c>
      <c r="Y235" s="33">
        <f t="shared" si="252"/>
      </c>
      <c r="Z235" s="32">
        <f t="shared" si="214"/>
      </c>
      <c r="AA235" s="34">
        <f t="shared" si="157"/>
      </c>
      <c r="AB235" s="35" t="s">
        <v>46</v>
      </c>
      <c r="AC235" s="105" t="s">
        <v>47</v>
      </c>
      <c r="AD235" s="39">
        <v>3</v>
      </c>
      <c r="AE235" s="47">
        <v>11825</v>
      </c>
      <c r="AF235" s="47">
        <v>604</v>
      </c>
      <c r="AG235" s="48">
        <v>890</v>
      </c>
      <c r="AH235" s="21">
        <v>115</v>
      </c>
      <c r="AI235" s="21">
        <v>56</v>
      </c>
      <c r="AJ235" s="49">
        <v>7</v>
      </c>
      <c r="AK235" s="50">
        <v>17</v>
      </c>
      <c r="AL235" s="41">
        <v>1</v>
      </c>
      <c r="AM235" s="42"/>
    </row>
    <row r="236">
      <c r="A236" s="114"/>
      <c r="B236" s="38" t="s">
        <v>49</v>
      </c>
      <c r="C236" s="39" t="s">
        <v>45</v>
      </c>
      <c r="D236" s="26">
        <f t="shared" si="62"/>
      </c>
      <c r="E236" s="26">
        <v>1028.61</v>
      </c>
      <c r="F236" s="26"/>
      <c r="G236" s="21">
        <v>1931.13</v>
      </c>
      <c r="H236" s="21"/>
      <c r="I236" s="51">
        <v>0</v>
      </c>
      <c r="J236" s="51">
        <v>0</v>
      </c>
      <c r="K236" s="51">
        <v>0</v>
      </c>
      <c r="L236" s="51">
        <v>0</v>
      </c>
      <c r="M236" s="51">
        <v>0</v>
      </c>
      <c r="N236" s="29">
        <f t="shared" si="16"/>
      </c>
      <c r="O236" s="29">
        <f t="shared" si="271"/>
      </c>
      <c r="P236" s="110">
        <f t="shared" si="233"/>
      </c>
      <c r="Q236" s="71">
        <f t="shared" si="176"/>
      </c>
      <c r="R236" s="111">
        <f t="shared" si="138"/>
      </c>
      <c r="S236" s="31">
        <f t="shared" si="195"/>
      </c>
      <c r="T236" s="31">
        <f t="shared" si="119"/>
      </c>
      <c r="U236" s="32">
        <f t="shared" si="100"/>
      </c>
      <c r="V236" s="31">
        <f t="shared" si="81"/>
      </c>
      <c r="W236" s="31">
        <f t="shared" si="35"/>
      </c>
      <c r="X236" s="32">
        <f t="shared" si="290"/>
      </c>
      <c r="Y236" s="33">
        <f t="shared" si="252"/>
      </c>
      <c r="Z236" s="32">
        <f t="shared" si="214"/>
      </c>
      <c r="AA236" s="34">
        <f t="shared" si="157"/>
      </c>
      <c r="AB236" s="35" t="s">
        <v>46</v>
      </c>
      <c r="AC236" s="105" t="s">
        <v>47</v>
      </c>
      <c r="AD236" s="45">
        <v>0</v>
      </c>
      <c r="AE236" s="26">
        <v>9279</v>
      </c>
      <c r="AF236" s="26">
        <v>471</v>
      </c>
      <c r="AG236" s="21">
        <v>780</v>
      </c>
      <c r="AH236" s="21">
        <v>112</v>
      </c>
      <c r="AI236" s="21">
        <v>49</v>
      </c>
      <c r="AJ236" s="49">
        <v>6</v>
      </c>
      <c r="AK236" s="50">
        <v>25</v>
      </c>
      <c r="AL236" s="41">
        <v>1</v>
      </c>
      <c r="AM236" s="42"/>
    </row>
    <row r="237">
      <c r="A237" s="114"/>
      <c r="B237" s="38" t="s">
        <v>50</v>
      </c>
      <c r="C237" s="48" t="s">
        <v>45</v>
      </c>
      <c r="D237" s="26">
        <f t="shared" si="62"/>
      </c>
      <c r="E237" s="26">
        <v>1291.61</v>
      </c>
      <c r="F237" s="26"/>
      <c r="G237" s="21">
        <v>1843.14</v>
      </c>
      <c r="H237" s="21"/>
      <c r="I237" s="51">
        <v>0</v>
      </c>
      <c r="J237" s="51">
        <v>0</v>
      </c>
      <c r="K237" s="51">
        <v>0</v>
      </c>
      <c r="L237" s="51">
        <v>0</v>
      </c>
      <c r="M237" s="51">
        <v>0</v>
      </c>
      <c r="N237" s="29">
        <f t="shared" si="16"/>
      </c>
      <c r="O237" s="29">
        <f t="shared" si="271"/>
      </c>
      <c r="P237" s="30">
        <f t="shared" si="233"/>
      </c>
      <c r="Q237" s="112">
        <f t="shared" si="176"/>
      </c>
      <c r="R237" s="32">
        <f t="shared" si="138"/>
      </c>
      <c r="S237" s="31">
        <f t="shared" si="195"/>
      </c>
      <c r="T237" s="31">
        <f t="shared" si="119"/>
      </c>
      <c r="U237" s="32">
        <f t="shared" si="100"/>
      </c>
      <c r="V237" s="31">
        <f t="shared" si="81"/>
      </c>
      <c r="W237" s="31">
        <f t="shared" si="35"/>
      </c>
      <c r="X237" s="32">
        <f t="shared" si="290"/>
      </c>
      <c r="Y237" s="33">
        <f t="shared" si="252"/>
      </c>
      <c r="Z237" s="32">
        <f t="shared" si="214"/>
      </c>
      <c r="AA237" s="34">
        <f t="shared" si="157"/>
      </c>
      <c r="AB237" s="35" t="s">
        <v>46</v>
      </c>
      <c r="AC237" s="105" t="s">
        <v>47</v>
      </c>
      <c r="AD237" s="45">
        <v>0</v>
      </c>
      <c r="AE237" s="47">
        <v>11043</v>
      </c>
      <c r="AF237" s="21">
        <v>407</v>
      </c>
      <c r="AG237" s="21">
        <v>658</v>
      </c>
      <c r="AH237" s="21">
        <v>78</v>
      </c>
      <c r="AI237" s="21">
        <v>27</v>
      </c>
      <c r="AJ237" s="49">
        <v>5</v>
      </c>
      <c r="AK237" s="50">
        <v>13</v>
      </c>
      <c r="AL237" s="41">
        <v>1</v>
      </c>
      <c r="AM237" s="42"/>
    </row>
    <row r="238">
      <c r="A238" s="114"/>
      <c r="B238" s="102" t="s">
        <v>51</v>
      </c>
      <c r="C238" s="53"/>
      <c r="D238" s="53">
        <f>SUM(D234:D237)</f>
      </c>
      <c r="E238" s="53">
        <f>SUM(E234:E237)</f>
      </c>
      <c r="F238" s="53">
        <f>SUM(F234:F237)</f>
      </c>
      <c r="G238" s="53">
        <f>SUM(G234:G237)</f>
      </c>
      <c r="H238" s="53">
        <f>SUM(H234:H237)</f>
      </c>
      <c r="I238" s="53">
        <f>SUM(I234:I237)</f>
      </c>
      <c r="J238" s="53">
        <f>SUM(J234:J237)</f>
      </c>
      <c r="K238" s="53">
        <f>SUM(K234:K237)</f>
      </c>
      <c r="L238" s="53">
        <f>SUM(L234:L237)</f>
      </c>
      <c r="M238" s="53">
        <f>SUM(M234:M237)</f>
      </c>
      <c r="N238" s="54">
        <f t="shared" si="16"/>
      </c>
      <c r="O238" s="55">
        <f t="shared" si="271"/>
      </c>
      <c r="P238" s="56">
        <f t="shared" si="233"/>
      </c>
      <c r="Q238" s="57">
        <f t="shared" si="176"/>
      </c>
      <c r="R238" s="58">
        <f t="shared" si="138"/>
      </c>
      <c r="S238" s="57">
        <f t="shared" si="195"/>
      </c>
      <c r="T238" s="59">
        <f t="shared" si="119"/>
      </c>
      <c r="U238" s="60">
        <f t="shared" si="100"/>
      </c>
      <c r="V238" s="59">
        <f t="shared" si="81"/>
      </c>
      <c r="W238" s="59">
        <f t="shared" si="35"/>
      </c>
      <c r="X238" s="60">
        <f t="shared" si="290"/>
      </c>
      <c r="Y238" s="61">
        <f t="shared" si="252"/>
      </c>
      <c r="Z238" s="60">
        <f t="shared" si="214"/>
      </c>
      <c r="AA238" s="62">
        <f t="shared" si="157"/>
      </c>
      <c r="AB238" s="63"/>
      <c r="AC238" s="62"/>
      <c r="AD238" s="102">
        <f>SUM(AD234:AD237)</f>
      </c>
      <c r="AE238" s="66">
        <f>SUM(AE234:AE237)</f>
      </c>
      <c r="AF238" s="66">
        <f>SUM(AF234:AF237)</f>
      </c>
      <c r="AG238" s="66">
        <f>SUM(AG234:AG237)</f>
      </c>
      <c r="AH238" s="66">
        <f>SUM(AH234:AH237)</f>
      </c>
      <c r="AI238" s="66">
        <f>SUM(AI234:AI237)</f>
      </c>
      <c r="AJ238" s="66">
        <f>SUM(AJ234:AJ237)</f>
      </c>
      <c r="AK238" s="66">
        <f>SUM(AK234:AK237)</f>
      </c>
      <c r="AL238" s="66">
        <f>SUM(AL234:AL237)</f>
      </c>
      <c r="AM238" s="42"/>
    </row>
    <row r="239">
      <c r="A239" s="114"/>
      <c r="B239" s="47" t="s">
        <v>52</v>
      </c>
      <c r="C239" s="67" t="s">
        <v>53</v>
      </c>
      <c r="D239" s="21">
        <f t="shared" ref="D239:D242" si="307">E239+G239</f>
      </c>
      <c r="E239" s="21">
        <v>826.61</v>
      </c>
      <c r="F239" s="26"/>
      <c r="G239" s="21">
        <v>1429.58</v>
      </c>
      <c r="H239" s="21"/>
      <c r="I239" s="40">
        <v>1</v>
      </c>
      <c r="J239" s="40">
        <v>2268</v>
      </c>
      <c r="K239" s="40">
        <v>0</v>
      </c>
      <c r="L239" s="40">
        <v>0</v>
      </c>
      <c r="M239" s="67">
        <v>1</v>
      </c>
      <c r="N239" s="68">
        <f t="shared" si="16"/>
      </c>
      <c r="O239" s="29">
        <f t="shared" si="271"/>
      </c>
      <c r="P239" s="30">
        <f t="shared" si="233"/>
      </c>
      <c r="Q239" s="31">
        <f t="shared" si="176"/>
      </c>
      <c r="R239" s="32">
        <f t="shared" si="138"/>
      </c>
      <c r="S239" s="31">
        <f t="shared" si="195"/>
      </c>
      <c r="T239" s="73">
        <f t="shared" si="119"/>
      </c>
      <c r="U239" s="32">
        <f t="shared" si="100"/>
      </c>
      <c r="V239" s="31">
        <f t="shared" si="81"/>
      </c>
      <c r="W239" s="31">
        <f t="shared" si="35"/>
      </c>
      <c r="X239" s="32">
        <f t="shared" si="290"/>
      </c>
      <c r="Y239" s="33">
        <f t="shared" si="252"/>
      </c>
      <c r="Z239" s="32">
        <f t="shared" si="214"/>
      </c>
      <c r="AA239" s="34">
        <f t="shared" si="157"/>
      </c>
      <c r="AB239" s="35" t="s">
        <v>46</v>
      </c>
      <c r="AC239" s="105" t="s">
        <v>47</v>
      </c>
      <c r="AD239" s="26">
        <v>0</v>
      </c>
      <c r="AE239" s="74">
        <v>9254</v>
      </c>
      <c r="AF239" s="75">
        <v>390</v>
      </c>
      <c r="AG239" s="75">
        <v>670</v>
      </c>
      <c r="AH239" s="75">
        <v>77</v>
      </c>
      <c r="AI239" s="75">
        <v>24</v>
      </c>
      <c r="AJ239" s="41">
        <v>4</v>
      </c>
      <c r="AK239" s="41">
        <v>25</v>
      </c>
      <c r="AL239" s="41">
        <v>1</v>
      </c>
      <c r="AM239" s="42"/>
    </row>
    <row r="240">
      <c r="A240" s="114"/>
      <c r="B240" s="47" t="s">
        <v>54</v>
      </c>
      <c r="C240" s="67" t="s">
        <v>53</v>
      </c>
      <c r="D240" s="21">
        <f t="shared" si="307"/>
      </c>
      <c r="E240" s="21">
        <v>1106.66</v>
      </c>
      <c r="F240" s="26"/>
      <c r="G240" s="21">
        <v>1397.49</v>
      </c>
      <c r="H240" s="21"/>
      <c r="I240" s="40">
        <v>1</v>
      </c>
      <c r="J240" s="40">
        <v>2268</v>
      </c>
      <c r="K240" s="40">
        <v>0</v>
      </c>
      <c r="L240" s="40">
        <v>0</v>
      </c>
      <c r="M240" s="67">
        <v>1</v>
      </c>
      <c r="N240" s="68">
        <f t="shared" si="16"/>
      </c>
      <c r="O240" s="29">
        <f t="shared" si="271"/>
      </c>
      <c r="P240" s="30">
        <f t="shared" si="233"/>
      </c>
      <c r="Q240" s="31">
        <f t="shared" si="176"/>
      </c>
      <c r="R240" s="32">
        <f t="shared" si="138"/>
      </c>
      <c r="S240" s="31">
        <f t="shared" si="195"/>
      </c>
      <c r="T240" s="73">
        <f t="shared" si="119"/>
      </c>
      <c r="U240" s="32">
        <f t="shared" si="100"/>
      </c>
      <c r="V240" s="31">
        <f t="shared" si="81"/>
      </c>
      <c r="W240" s="31">
        <f t="shared" si="35"/>
      </c>
      <c r="X240" s="32">
        <f t="shared" si="290"/>
      </c>
      <c r="Y240" s="33">
        <f t="shared" si="252"/>
      </c>
      <c r="Z240" s="32">
        <f t="shared" si="214"/>
      </c>
      <c r="AA240" s="34">
        <f t="shared" si="157"/>
      </c>
      <c r="AB240" s="35" t="s">
        <v>46</v>
      </c>
      <c r="AC240" s="105" t="s">
        <v>47</v>
      </c>
      <c r="AD240" s="26">
        <v>1</v>
      </c>
      <c r="AE240" s="74">
        <v>9553</v>
      </c>
      <c r="AF240" s="75">
        <v>391</v>
      </c>
      <c r="AG240" s="75">
        <v>818</v>
      </c>
      <c r="AH240" s="75">
        <v>80</v>
      </c>
      <c r="AI240" s="75">
        <v>30</v>
      </c>
      <c r="AJ240" s="41">
        <v>4</v>
      </c>
      <c r="AK240" s="41">
        <v>13</v>
      </c>
      <c r="AL240" s="41">
        <v>1</v>
      </c>
      <c r="AM240" s="42"/>
    </row>
    <row r="241">
      <c r="A241" s="114"/>
      <c r="B241" s="26" t="s">
        <v>55</v>
      </c>
      <c r="C241" s="67" t="s">
        <v>53</v>
      </c>
      <c r="D241" s="21">
        <f t="shared" si="307"/>
      </c>
      <c r="E241" s="21">
        <v>1192.12</v>
      </c>
      <c r="F241" s="26"/>
      <c r="G241" s="21">
        <v>1969.08</v>
      </c>
      <c r="H241" s="21"/>
      <c r="I241" s="40">
        <v>4</v>
      </c>
      <c r="J241" s="40">
        <v>9072</v>
      </c>
      <c r="K241" s="40">
        <v>0</v>
      </c>
      <c r="L241" s="40">
        <v>0</v>
      </c>
      <c r="M241" s="40">
        <v>4</v>
      </c>
      <c r="N241" s="103">
        <f t="shared" si="16"/>
      </c>
      <c r="O241" s="29">
        <f t="shared" si="271"/>
      </c>
      <c r="P241" s="30">
        <f t="shared" si="233"/>
      </c>
      <c r="Q241" s="31">
        <f t="shared" si="176"/>
      </c>
      <c r="R241" s="32">
        <f t="shared" si="138"/>
      </c>
      <c r="S241" s="31">
        <f t="shared" si="195"/>
      </c>
      <c r="T241" s="73">
        <f t="shared" si="119"/>
      </c>
      <c r="U241" s="32">
        <f t="shared" si="100"/>
      </c>
      <c r="V241" s="31">
        <f t="shared" si="81"/>
      </c>
      <c r="W241" s="31">
        <f t="shared" si="35"/>
      </c>
      <c r="X241" s="32">
        <f t="shared" si="290"/>
      </c>
      <c r="Y241" s="33">
        <f t="shared" si="252"/>
      </c>
      <c r="Z241" s="32">
        <f t="shared" si="214"/>
      </c>
      <c r="AA241" s="34">
        <f t="shared" si="157"/>
      </c>
      <c r="AB241" s="35" t="s">
        <v>46</v>
      </c>
      <c r="AC241" s="105" t="s">
        <v>47</v>
      </c>
      <c r="AD241" s="26">
        <v>4</v>
      </c>
      <c r="AE241" s="74">
        <v>8696</v>
      </c>
      <c r="AF241" s="75">
        <v>355</v>
      </c>
      <c r="AG241" s="75">
        <v>648</v>
      </c>
      <c r="AH241" s="75">
        <v>83</v>
      </c>
      <c r="AI241" s="41">
        <v>36</v>
      </c>
      <c r="AJ241" s="41">
        <v>6</v>
      </c>
      <c r="AK241" s="41">
        <v>15</v>
      </c>
      <c r="AL241" s="41">
        <v>1</v>
      </c>
      <c r="AM241" s="42"/>
    </row>
    <row r="242">
      <c r="A242" s="114"/>
      <c r="B242" s="38" t="s">
        <v>56</v>
      </c>
      <c r="C242" s="67" t="s">
        <v>53</v>
      </c>
      <c r="D242" s="21">
        <f t="shared" si="307"/>
      </c>
      <c r="E242" s="21">
        <v>916.74</v>
      </c>
      <c r="F242" s="26"/>
      <c r="G242" s="21">
        <v>1903.26</v>
      </c>
      <c r="H242" s="21"/>
      <c r="I242" s="40">
        <v>3</v>
      </c>
      <c r="J242" s="40">
        <v>3605</v>
      </c>
      <c r="K242" s="40">
        <v>1</v>
      </c>
      <c r="L242" s="40">
        <v>1</v>
      </c>
      <c r="M242" s="40">
        <v>1</v>
      </c>
      <c r="N242" s="68">
        <f t="shared" si="16"/>
      </c>
      <c r="O242" s="29">
        <f t="shared" si="271"/>
      </c>
      <c r="P242" s="30">
        <f t="shared" si="233"/>
      </c>
      <c r="Q242" s="31">
        <f t="shared" si="176"/>
      </c>
      <c r="R242" s="32">
        <f t="shared" si="138"/>
      </c>
      <c r="S242" s="31">
        <f t="shared" si="195"/>
      </c>
      <c r="T242" s="73">
        <f t="shared" si="119"/>
      </c>
      <c r="U242" s="32">
        <f t="shared" si="100"/>
      </c>
      <c r="V242" s="31">
        <f t="shared" si="81"/>
      </c>
      <c r="W242" s="31">
        <f t="shared" si="35"/>
      </c>
      <c r="X242" s="32">
        <f t="shared" si="290"/>
      </c>
      <c r="Y242" s="33">
        <f t="shared" si="252"/>
      </c>
      <c r="Z242" s="32">
        <f t="shared" si="214"/>
      </c>
      <c r="AA242" s="34">
        <f t="shared" si="157"/>
      </c>
      <c r="AB242" s="35" t="s">
        <v>46</v>
      </c>
      <c r="AC242" s="105" t="s">
        <v>47</v>
      </c>
      <c r="AD242" s="26">
        <v>2</v>
      </c>
      <c r="AE242" s="74">
        <v>8638</v>
      </c>
      <c r="AF242" s="75">
        <v>409</v>
      </c>
      <c r="AG242" s="75">
        <v>773</v>
      </c>
      <c r="AH242" s="75">
        <v>85</v>
      </c>
      <c r="AI242" s="75">
        <v>41</v>
      </c>
      <c r="AJ242" s="41">
        <v>5</v>
      </c>
      <c r="AK242" s="41">
        <v>15</v>
      </c>
      <c r="AL242" s="41">
        <v>1</v>
      </c>
      <c r="AM242" s="42"/>
    </row>
    <row r="243">
      <c r="A243" s="114"/>
      <c r="B243" s="102" t="s">
        <v>51</v>
      </c>
      <c r="C243" s="53"/>
      <c r="D243" s="53">
        <f>SUM(D239:D242)</f>
      </c>
      <c r="E243" s="53">
        <f>SUM(E239:E242)</f>
      </c>
      <c r="F243" s="53">
        <f>SUM(F239:F242)</f>
      </c>
      <c r="G243" s="53">
        <f>SUM(G239:G242)</f>
      </c>
      <c r="H243" s="53">
        <f>SUM(H239:H242)</f>
      </c>
      <c r="I243" s="53">
        <f>SUM(I239:I242)</f>
      </c>
      <c r="J243" s="53">
        <f>SUM(J239:J242)</f>
      </c>
      <c r="K243" s="53">
        <f>SUM(K239:K242)</f>
      </c>
      <c r="L243" s="53">
        <f>SUM(L239:L242)</f>
      </c>
      <c r="M243" s="53">
        <f>SUM(M239:M242)</f>
      </c>
      <c r="N243" s="54">
        <f t="shared" si="16"/>
      </c>
      <c r="O243" s="81">
        <f t="shared" si="271"/>
      </c>
      <c r="P243" s="82">
        <f t="shared" si="233"/>
      </c>
      <c r="Q243" s="83">
        <f t="shared" si="176"/>
      </c>
      <c r="R243" s="84">
        <f t="shared" si="138"/>
      </c>
      <c r="S243" s="83">
        <f t="shared" si="195"/>
      </c>
      <c r="T243" s="59">
        <f t="shared" si="119"/>
      </c>
      <c r="U243" s="60">
        <f t="shared" si="100"/>
      </c>
      <c r="V243" s="59">
        <f t="shared" si="81"/>
      </c>
      <c r="W243" s="59">
        <f t="shared" si="35"/>
      </c>
      <c r="X243" s="60">
        <f t="shared" si="290"/>
      </c>
      <c r="Y243" s="61">
        <f t="shared" si="252"/>
      </c>
      <c r="Z243" s="60">
        <f t="shared" si="214"/>
      </c>
      <c r="AA243" s="62">
        <f t="shared" si="157"/>
      </c>
      <c r="AB243" s="63"/>
      <c r="AC243" s="62"/>
      <c r="AD243" s="85">
        <f>SUM(AD239:AD242)</f>
      </c>
      <c r="AE243" s="85">
        <f>SUM(AE239:AE242)</f>
      </c>
      <c r="AF243" s="85">
        <f>SUM(AF239:AF242)</f>
      </c>
      <c r="AG243" s="85">
        <f>SUM(AG239:AG242)</f>
      </c>
      <c r="AH243" s="85">
        <f>SUM(AH239:AH242)</f>
      </c>
      <c r="AI243" s="85">
        <f>SUM(AI239:AI242)</f>
      </c>
      <c r="AJ243" s="85">
        <f>SUM(AJ239:AJ242)</f>
      </c>
      <c r="AK243" s="85">
        <f>SUM(AK239:AK242)</f>
      </c>
      <c r="AL243" s="85">
        <f>SUM(AL239:AL242)</f>
      </c>
      <c r="AM243" s="42"/>
    </row>
    <row r="244">
      <c r="A244" s="114"/>
      <c r="B244" s="45" t="s">
        <v>67</v>
      </c>
      <c r="C244" s="67" t="s">
        <v>71</v>
      </c>
      <c r="D244" s="21">
        <f t="shared" ref="D244:D246" si="308">E244+G244</f>
      </c>
      <c r="E244" s="21">
        <v>876.49</v>
      </c>
      <c r="F244" s="26"/>
      <c r="G244" s="21">
        <v>2907.85</v>
      </c>
      <c r="H244" s="21"/>
      <c r="I244" s="40">
        <v>6</v>
      </c>
      <c r="J244" s="40">
        <v>12288</v>
      </c>
      <c r="K244" s="40">
        <v>0</v>
      </c>
      <c r="L244" s="40">
        <v>1</v>
      </c>
      <c r="M244" s="40">
        <v>5</v>
      </c>
      <c r="N244" s="68">
        <f t="shared" si="16"/>
      </c>
      <c r="O244" s="29">
        <f t="shared" si="271"/>
      </c>
      <c r="P244" s="30">
        <f t="shared" si="233"/>
      </c>
      <c r="Q244" s="31">
        <f t="shared" si="176"/>
      </c>
      <c r="R244" s="32">
        <f t="shared" si="138"/>
      </c>
      <c r="S244" s="31">
        <f t="shared" si="195"/>
      </c>
      <c r="T244" s="73">
        <f t="shared" si="119"/>
      </c>
      <c r="U244" s="32">
        <f t="shared" si="100"/>
      </c>
      <c r="V244" s="31">
        <f t="shared" si="81"/>
      </c>
      <c r="W244" s="31">
        <f t="shared" si="35"/>
      </c>
      <c r="X244" s="32">
        <f t="shared" si="290"/>
      </c>
      <c r="Y244" s="33">
        <f t="shared" si="252"/>
      </c>
      <c r="Z244" s="32">
        <f t="shared" si="214"/>
      </c>
      <c r="AA244" s="34">
        <f t="shared" si="157"/>
      </c>
      <c r="AB244" s="35" t="s">
        <v>46</v>
      </c>
      <c r="AC244" s="105" t="s">
        <v>72</v>
      </c>
      <c r="AD244" s="26">
        <v>4</v>
      </c>
      <c r="AE244" s="74">
        <v>11934</v>
      </c>
      <c r="AF244" s="75">
        <v>597</v>
      </c>
      <c r="AG244" s="75">
        <v>968</v>
      </c>
      <c r="AH244" s="75">
        <v>102</v>
      </c>
      <c r="AI244" s="75">
        <v>45</v>
      </c>
      <c r="AJ244" s="41">
        <v>10</v>
      </c>
      <c r="AK244" s="41">
        <v>28</v>
      </c>
      <c r="AL244" s="41">
        <v>1</v>
      </c>
      <c r="AM244" s="42"/>
    </row>
    <row r="245">
      <c r="A245" s="114"/>
      <c r="B245" s="25" t="s">
        <v>73</v>
      </c>
      <c r="C245" s="67" t="s">
        <v>71</v>
      </c>
      <c r="D245" s="21">
        <f t="shared" si="308"/>
      </c>
      <c r="E245" s="21">
        <v>682.14</v>
      </c>
      <c r="F245" s="26"/>
      <c r="G245" s="21">
        <v>2280.2</v>
      </c>
      <c r="H245" s="21"/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103">
        <f t="shared" si="16"/>
      </c>
      <c r="O245" s="29">
        <f t="shared" si="271"/>
      </c>
      <c r="P245" s="30">
        <f t="shared" si="233"/>
      </c>
      <c r="Q245" s="31">
        <f t="shared" si="176"/>
      </c>
      <c r="R245" s="32">
        <f t="shared" si="138"/>
      </c>
      <c r="S245" s="31">
        <f t="shared" si="195"/>
      </c>
      <c r="T245" s="73">
        <f t="shared" si="119"/>
      </c>
      <c r="U245" s="32">
        <f t="shared" si="100"/>
      </c>
      <c r="V245" s="31">
        <f t="shared" si="81"/>
      </c>
      <c r="W245" s="31">
        <f t="shared" si="35"/>
      </c>
      <c r="X245" s="32">
        <f t="shared" si="290"/>
      </c>
      <c r="Y245" s="33">
        <f t="shared" si="252"/>
      </c>
      <c r="Z245" s="32">
        <f t="shared" si="214"/>
      </c>
      <c r="AA245" s="34">
        <f t="shared" si="157"/>
      </c>
      <c r="AB245" s="35" t="s">
        <v>46</v>
      </c>
      <c r="AC245" s="105" t="s">
        <v>72</v>
      </c>
      <c r="AD245" s="26">
        <v>1</v>
      </c>
      <c r="AE245" s="74">
        <v>10465</v>
      </c>
      <c r="AF245" s="75">
        <v>545</v>
      </c>
      <c r="AG245" s="75">
        <v>889</v>
      </c>
      <c r="AH245" s="75">
        <v>103</v>
      </c>
      <c r="AI245" s="41">
        <v>49</v>
      </c>
      <c r="AJ245" s="41">
        <v>2</v>
      </c>
      <c r="AK245" s="41">
        <v>25</v>
      </c>
      <c r="AL245" s="41">
        <v>1</v>
      </c>
      <c r="AM245" s="42"/>
    </row>
    <row customHeight="true" ht="18.452380952380953" r="246">
      <c r="A246" s="114"/>
      <c r="B246" s="115" t="s">
        <v>74</v>
      </c>
      <c r="C246" s="67" t="s">
        <v>71</v>
      </c>
      <c r="D246" s="21">
        <f t="shared" si="308"/>
      </c>
      <c r="E246" s="21">
        <v>622.21</v>
      </c>
      <c r="F246" s="26"/>
      <c r="G246" s="21">
        <f>1721.67+5.16</f>
      </c>
      <c r="H246" s="21"/>
      <c r="I246" s="40">
        <v>1</v>
      </c>
      <c r="J246" s="40">
        <v>2268</v>
      </c>
      <c r="K246" s="40">
        <v>0</v>
      </c>
      <c r="L246" s="40">
        <v>0</v>
      </c>
      <c r="M246" s="40">
        <v>1</v>
      </c>
      <c r="N246" s="68">
        <f t="shared" si="16"/>
      </c>
      <c r="O246" s="29">
        <f t="shared" si="271"/>
      </c>
      <c r="P246" s="30">
        <f t="shared" si="233"/>
      </c>
      <c r="Q246" s="31">
        <f t="shared" si="176"/>
      </c>
      <c r="R246" s="32">
        <f t="shared" si="138"/>
      </c>
      <c r="S246" s="31">
        <f t="shared" si="195"/>
      </c>
      <c r="T246" s="73">
        <f t="shared" si="119"/>
      </c>
      <c r="U246" s="32">
        <f t="shared" si="100"/>
      </c>
      <c r="V246" s="31">
        <f t="shared" si="81"/>
      </c>
      <c r="W246" s="31">
        <f t="shared" si="35"/>
      </c>
      <c r="X246" s="32">
        <f t="shared" si="290"/>
      </c>
      <c r="Y246" s="33">
        <f t="shared" si="252"/>
      </c>
      <c r="Z246" s="32">
        <f t="shared" si="214"/>
      </c>
      <c r="AA246" s="34">
        <f t="shared" si="157"/>
      </c>
      <c r="AB246" s="35" t="s">
        <v>46</v>
      </c>
      <c r="AC246" s="105" t="s">
        <v>72</v>
      </c>
      <c r="AD246" s="26">
        <v>1</v>
      </c>
      <c r="AE246" s="74">
        <v>10513</v>
      </c>
      <c r="AF246" s="75">
        <v>487</v>
      </c>
      <c r="AG246" s="75">
        <v>819</v>
      </c>
      <c r="AH246" s="75">
        <v>75</v>
      </c>
      <c r="AI246" s="75">
        <v>25</v>
      </c>
      <c r="AJ246" s="41">
        <v>3</v>
      </c>
      <c r="AK246" s="41">
        <v>5</v>
      </c>
      <c r="AL246" s="41">
        <v>1</v>
      </c>
      <c r="AM246" s="42"/>
    </row>
    <row r="247">
      <c r="A247" s="114"/>
      <c r="B247" s="102" t="s">
        <v>51</v>
      </c>
      <c r="C247" s="53"/>
      <c r="D247" s="53">
        <f>SUM(D244:D246)</f>
      </c>
      <c r="E247" s="53">
        <f>SUM(E244:E246)</f>
      </c>
      <c r="F247" s="53">
        <f>SUM(F244:F246)</f>
      </c>
      <c r="G247" s="53">
        <f>SUM(G244:G246)</f>
      </c>
      <c r="H247" s="53">
        <f>SUM(H244:H246)</f>
      </c>
      <c r="I247" s="53">
        <f>SUM(I244:I246)</f>
      </c>
      <c r="J247" s="53">
        <f>SUM(J244:J246)</f>
      </c>
      <c r="K247" s="53">
        <f>SUM(K244:K246)</f>
      </c>
      <c r="L247" s="53">
        <f>SUM(L244:L246)</f>
      </c>
      <c r="M247" s="53">
        <f>SUM(M244:M246)</f>
      </c>
      <c r="N247" s="54">
        <f t="shared" si="16"/>
      </c>
      <c r="O247" s="81">
        <f t="shared" si="271"/>
      </c>
      <c r="P247" s="82">
        <f t="shared" si="233"/>
      </c>
      <c r="Q247" s="83">
        <f t="shared" si="176"/>
      </c>
      <c r="R247" s="84">
        <f t="shared" si="138"/>
      </c>
      <c r="S247" s="83">
        <f t="shared" si="195"/>
      </c>
      <c r="T247" s="59">
        <f t="shared" si="119"/>
      </c>
      <c r="U247" s="60">
        <f t="shared" si="100"/>
      </c>
      <c r="V247" s="59">
        <f t="shared" si="81"/>
      </c>
      <c r="W247" s="59">
        <f t="shared" si="35"/>
      </c>
      <c r="X247" s="60">
        <f t="shared" si="290"/>
      </c>
      <c r="Y247" s="61">
        <f t="shared" si="252"/>
      </c>
      <c r="Z247" s="60">
        <f t="shared" si="214"/>
      </c>
      <c r="AA247" s="62">
        <f t="shared" si="157"/>
      </c>
      <c r="AB247" s="63"/>
      <c r="AC247" s="62"/>
      <c r="AD247" s="85">
        <f>SUM(AD244:AD246)</f>
      </c>
      <c r="AE247" s="85">
        <f>SUM(AE244:AE246)</f>
      </c>
      <c r="AF247" s="85">
        <f>SUM(AF244:AF246)</f>
      </c>
      <c r="AG247" s="85">
        <f>SUM(AG244:AG246)</f>
      </c>
      <c r="AH247" s="85">
        <f>SUM(AH244:AH246)</f>
      </c>
      <c r="AI247" s="85">
        <f>SUM(AI244:AI246)</f>
      </c>
      <c r="AJ247" s="85">
        <f>SUM(AJ244:AJ246)</f>
      </c>
      <c r="AK247" s="85">
        <f>SUM(AK244:AK246)</f>
      </c>
      <c r="AL247" s="85">
        <f>SUM(AL244:AL246)</f>
      </c>
      <c r="AM247" s="104" t="s">
        <v>57</v>
      </c>
    </row>
    <row r="248">
      <c r="A248" s="114"/>
      <c r="B248" s="96" t="s">
        <v>58</v>
      </c>
      <c r="C248" s="88"/>
      <c r="D248" s="88">
        <f>D238+D243+D247</f>
      </c>
      <c r="E248" s="113">
        <f>E238+E243+E247</f>
      </c>
      <c r="F248" s="113">
        <f>F238+F243+F247</f>
      </c>
      <c r="G248" s="113">
        <f>G238+G243+G247</f>
      </c>
      <c r="H248" s="113">
        <f>H238+H243+H247</f>
      </c>
      <c r="I248" s="88">
        <f>I238+I243+I247</f>
      </c>
      <c r="J248" s="88">
        <f>J238+J243+J247</f>
      </c>
      <c r="K248" s="88">
        <f>K238+K243+K247</f>
      </c>
      <c r="L248" s="88">
        <f>L238+L243+L247</f>
      </c>
      <c r="M248" s="88">
        <f>M238+M243+M247</f>
      </c>
      <c r="N248" s="89">
        <f t="shared" si="16"/>
      </c>
      <c r="O248" s="90">
        <f t="shared" si="271"/>
      </c>
      <c r="P248" s="91">
        <f t="shared" si="233"/>
      </c>
      <c r="Q248" s="92">
        <f t="shared" si="176"/>
      </c>
      <c r="R248" s="90">
        <f t="shared" si="138"/>
      </c>
      <c r="S248" s="92">
        <f t="shared" si="195"/>
      </c>
      <c r="T248" s="92">
        <f t="shared" si="119"/>
      </c>
      <c r="U248" s="90">
        <f t="shared" si="100"/>
      </c>
      <c r="V248" s="92">
        <f t="shared" si="81"/>
      </c>
      <c r="W248" s="92">
        <f t="shared" si="35"/>
      </c>
      <c r="X248" s="90">
        <f t="shared" si="290"/>
      </c>
      <c r="Y248" s="93">
        <f t="shared" si="252"/>
      </c>
      <c r="Z248" s="90">
        <f t="shared" si="214"/>
      </c>
      <c r="AA248" s="91">
        <f t="shared" si="157"/>
      </c>
      <c r="AB248" s="94"/>
      <c r="AC248" s="91"/>
      <c r="AD248" s="96">
        <f>AD238+AD243+AD247</f>
      </c>
      <c r="AE248" s="96">
        <f>AE238+AE243+AE247</f>
      </c>
      <c r="AF248" s="96">
        <f>AF238+AF243+AF247</f>
      </c>
      <c r="AG248" s="96">
        <f>AG238+AG243+AG247</f>
      </c>
      <c r="AH248" s="96">
        <f>AH238+AH243+AH247</f>
      </c>
      <c r="AI248" s="96">
        <f>AI238+AI243+AI247</f>
      </c>
      <c r="AJ248" s="96">
        <f>AJ238+AJ243+AJ247</f>
      </c>
      <c r="AK248" s="96">
        <f>AK238+AK243+AK247</f>
      </c>
      <c r="AL248" s="96">
        <f>AL238+AL243+AL247</f>
      </c>
      <c r="AM248" s="104"/>
    </row>
    <row r="249">
      <c r="A249" s="1" t="s">
        <v>1</v>
      </c>
      <c r="B249" s="1"/>
      <c r="C249" s="1"/>
      <c r="D249" s="2" t="s">
        <v>2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3" t="s">
        <v>3</v>
      </c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4" t="s">
        <v>4</v>
      </c>
      <c r="AE249" s="4"/>
      <c r="AF249" s="4"/>
      <c r="AG249" s="4"/>
      <c r="AH249" s="4"/>
      <c r="AI249" s="4"/>
      <c r="AJ249" s="4"/>
      <c r="AK249" s="4"/>
      <c r="AL249" s="4"/>
      <c r="AM249" s="5"/>
    </row>
    <row r="250">
      <c r="A250" s="6" t="s">
        <v>5</v>
      </c>
      <c r="B250" s="6" t="s">
        <v>6</v>
      </c>
      <c r="C250" s="6" t="s">
        <v>7</v>
      </c>
      <c r="D250" s="7" t="s">
        <v>8</v>
      </c>
      <c r="E250" s="8" t="s">
        <v>9</v>
      </c>
      <c r="F250" s="8" t="s">
        <v>10</v>
      </c>
      <c r="G250" s="9" t="s">
        <v>11</v>
      </c>
      <c r="H250" s="10" t="s">
        <v>12</v>
      </c>
      <c r="I250" s="97" t="s">
        <v>13</v>
      </c>
      <c r="J250" s="2" t="s">
        <v>14</v>
      </c>
      <c r="K250" s="2" t="s">
        <v>15</v>
      </c>
      <c r="L250" s="13" t="s">
        <v>16</v>
      </c>
      <c r="M250" s="13" t="s">
        <v>17</v>
      </c>
      <c r="N250" s="9" t="s">
        <v>18</v>
      </c>
      <c r="O250" s="13" t="s">
        <v>19</v>
      </c>
      <c r="P250" s="3" t="s">
        <v>20</v>
      </c>
      <c r="Q250" s="3" t="s">
        <v>21</v>
      </c>
      <c r="R250" s="3" t="s">
        <v>22</v>
      </c>
      <c r="S250" s="14" t="s">
        <v>23</v>
      </c>
      <c r="T250" s="14" t="s">
        <v>24</v>
      </c>
      <c r="U250" s="3" t="s">
        <v>25</v>
      </c>
      <c r="V250" s="14" t="s">
        <v>26</v>
      </c>
      <c r="W250" s="14" t="s">
        <v>27</v>
      </c>
      <c r="X250" s="3" t="s">
        <v>28</v>
      </c>
      <c r="Y250" s="14" t="s">
        <v>29</v>
      </c>
      <c r="Z250" s="3" t="s">
        <v>30</v>
      </c>
      <c r="AA250" s="15" t="s">
        <v>31</v>
      </c>
      <c r="AB250" s="15" t="s">
        <v>32</v>
      </c>
      <c r="AC250" s="16" t="s">
        <v>33</v>
      </c>
      <c r="AD250" s="17" t="s">
        <v>34</v>
      </c>
      <c r="AE250" s="18" t="s">
        <v>35</v>
      </c>
      <c r="AF250" s="18" t="s">
        <v>36</v>
      </c>
      <c r="AG250" s="18" t="s">
        <v>37</v>
      </c>
      <c r="AH250" s="18" t="s">
        <v>38</v>
      </c>
      <c r="AI250" s="18" t="s">
        <v>39</v>
      </c>
      <c r="AJ250" s="19" t="s">
        <v>40</v>
      </c>
      <c r="AK250" s="19" t="s">
        <v>41</v>
      </c>
      <c r="AL250" s="19" t="s">
        <v>42</v>
      </c>
      <c r="AM250" s="5"/>
    </row>
    <row r="251">
      <c r="A251" s="114" t="s">
        <v>83</v>
      </c>
      <c r="B251" s="26" t="s">
        <v>44</v>
      </c>
      <c r="C251" s="22" t="s">
        <v>45</v>
      </c>
      <c r="D251" s="23">
        <f t="shared" ref="D251:D254" si="63">E251+F251+G251+H251</f>
      </c>
      <c r="E251" s="39">
        <v>1655.69</v>
      </c>
      <c r="F251" s="26"/>
      <c r="G251" s="26">
        <v>1506.1</v>
      </c>
      <c r="H251" s="43"/>
      <c r="I251" s="24">
        <v>2</v>
      </c>
      <c r="J251" s="25">
        <v>4536</v>
      </c>
      <c r="K251" s="40">
        <v>0</v>
      </c>
      <c r="L251" s="40">
        <v>0</v>
      </c>
      <c r="M251" s="40">
        <v>2</v>
      </c>
      <c r="N251" s="29">
        <f t="shared" ref="N251:N265" si="17">J251/D251</f>
      </c>
      <c r="O251" s="29">
        <f t="shared" ref="O251:O265" si="272">J251/(D251+300*AL251)</f>
      </c>
      <c r="P251" s="30">
        <f t="shared" ref="P251:P265" si="234">(D251/AE251)*1000</f>
      </c>
      <c r="Q251" s="31">
        <f t="shared" ref="Q251:Q265" si="177">AF251/AE251</f>
      </c>
      <c r="R251" s="32">
        <f t="shared" ref="R251:R265" si="139">D251/AG251</f>
      </c>
      <c r="S251" s="31">
        <f t="shared" ref="S251:S265" si="196">AH251/AG251</f>
      </c>
      <c r="T251" s="31">
        <f t="shared" ref="T251:T265" si="120">AI251/AG251</f>
      </c>
      <c r="U251" s="32">
        <f t="shared" ref="U251:U265" si="101">D251/AI251</f>
      </c>
      <c r="V251" s="31">
        <f t="shared" ref="V251:V265" si="82">AJ251/AI251</f>
      </c>
      <c r="W251" s="31">
        <f t="shared" ref="W251:W265" si="36">I251/AJ251</f>
      </c>
      <c r="X251" s="32">
        <f t="shared" ref="X251:X265" si="291">D251/I251</f>
      </c>
      <c r="Y251" s="33">
        <f t="shared" ref="Y251:Y265" si="253">J251/I251</f>
      </c>
      <c r="Z251" s="32">
        <f t="shared" ref="Z251:Z265" si="215">D251/AD251</f>
      </c>
      <c r="AA251" s="34">
        <f t="shared" ref="AA251:AA265" si="158">AK251*1000/D251</f>
      </c>
      <c r="AB251" s="35" t="s">
        <v>46</v>
      </c>
      <c r="AC251" s="105" t="s">
        <v>47</v>
      </c>
      <c r="AD251" s="107">
        <v>2</v>
      </c>
      <c r="AE251" s="38">
        <v>8797</v>
      </c>
      <c r="AF251" s="21">
        <v>481</v>
      </c>
      <c r="AG251" s="26">
        <v>680</v>
      </c>
      <c r="AH251" s="26">
        <v>114</v>
      </c>
      <c r="AI251" s="21">
        <v>52</v>
      </c>
      <c r="AJ251" s="25">
        <v>10</v>
      </c>
      <c r="AK251" s="40">
        <v>21</v>
      </c>
      <c r="AL251" s="41">
        <v>1</v>
      </c>
      <c r="AM251" s="42"/>
    </row>
    <row r="252">
      <c r="A252" s="114"/>
      <c r="B252" s="38" t="s">
        <v>48</v>
      </c>
      <c r="C252" s="44" t="s">
        <v>45</v>
      </c>
      <c r="D252" s="26">
        <f t="shared" si="63"/>
      </c>
      <c r="E252" s="47">
        <v>1501.13</v>
      </c>
      <c r="F252" s="47"/>
      <c r="G252" s="21">
        <v>1329.5</v>
      </c>
      <c r="H252" s="43"/>
      <c r="I252" s="24">
        <v>4</v>
      </c>
      <c r="J252" s="25">
        <v>7752</v>
      </c>
      <c r="K252" s="40">
        <v>0</v>
      </c>
      <c r="L252" s="40">
        <v>1</v>
      </c>
      <c r="M252" s="40">
        <v>3</v>
      </c>
      <c r="N252" s="29">
        <f t="shared" si="17"/>
      </c>
      <c r="O252" s="29">
        <f t="shared" si="272"/>
      </c>
      <c r="P252" s="30">
        <f t="shared" si="234"/>
      </c>
      <c r="Q252" s="108">
        <f t="shared" si="177"/>
      </c>
      <c r="R252" s="32">
        <f t="shared" si="139"/>
      </c>
      <c r="S252" s="31">
        <f t="shared" si="196"/>
      </c>
      <c r="T252" s="31">
        <f t="shared" si="120"/>
      </c>
      <c r="U252" s="32">
        <f t="shared" si="101"/>
      </c>
      <c r="V252" s="31">
        <f t="shared" si="82"/>
      </c>
      <c r="W252" s="31">
        <f t="shared" si="36"/>
      </c>
      <c r="X252" s="32">
        <f t="shared" si="291"/>
      </c>
      <c r="Y252" s="33">
        <f t="shared" si="253"/>
      </c>
      <c r="Z252" s="32">
        <f t="shared" si="215"/>
      </c>
      <c r="AA252" s="34">
        <f t="shared" si="158"/>
      </c>
      <c r="AB252" s="35" t="s">
        <v>46</v>
      </c>
      <c r="AC252" s="105" t="s">
        <v>47</v>
      </c>
      <c r="AD252" s="39">
        <v>4</v>
      </c>
      <c r="AE252" s="47">
        <v>7871</v>
      </c>
      <c r="AF252" s="47">
        <v>364</v>
      </c>
      <c r="AG252" s="48">
        <v>527</v>
      </c>
      <c r="AH252" s="21">
        <v>95</v>
      </c>
      <c r="AI252" s="21">
        <v>28</v>
      </c>
      <c r="AJ252" s="49">
        <v>12</v>
      </c>
      <c r="AK252" s="50">
        <v>23</v>
      </c>
      <c r="AL252" s="41">
        <v>1</v>
      </c>
      <c r="AM252" s="42"/>
    </row>
    <row r="253">
      <c r="A253" s="114"/>
      <c r="B253" s="38" t="s">
        <v>49</v>
      </c>
      <c r="C253" s="39" t="s">
        <v>45</v>
      </c>
      <c r="D253" s="26">
        <f t="shared" si="63"/>
      </c>
      <c r="E253" s="26">
        <v>1823.04</v>
      </c>
      <c r="F253" s="26"/>
      <c r="G253" s="21">
        <v>1843.79</v>
      </c>
      <c r="H253" s="21"/>
      <c r="I253" s="51">
        <v>2</v>
      </c>
      <c r="J253" s="51">
        <v>4536</v>
      </c>
      <c r="K253" s="51">
        <v>0</v>
      </c>
      <c r="L253" s="51">
        <v>0</v>
      </c>
      <c r="M253" s="51">
        <v>2</v>
      </c>
      <c r="N253" s="29">
        <f t="shared" si="17"/>
      </c>
      <c r="O253" s="29">
        <f t="shared" si="272"/>
      </c>
      <c r="P253" s="110">
        <f t="shared" si="234"/>
      </c>
      <c r="Q253" s="71">
        <f t="shared" si="177"/>
      </c>
      <c r="R253" s="111">
        <f t="shared" si="139"/>
      </c>
      <c r="S253" s="31">
        <f t="shared" si="196"/>
      </c>
      <c r="T253" s="31">
        <f t="shared" si="120"/>
      </c>
      <c r="U253" s="32">
        <f t="shared" si="101"/>
      </c>
      <c r="V253" s="31">
        <f t="shared" si="82"/>
      </c>
      <c r="W253" s="31">
        <f t="shared" si="36"/>
      </c>
      <c r="X253" s="32">
        <f t="shared" si="291"/>
      </c>
      <c r="Y253" s="33">
        <f t="shared" si="253"/>
      </c>
      <c r="Z253" s="32">
        <f t="shared" si="215"/>
      </c>
      <c r="AA253" s="34">
        <f t="shared" si="158"/>
      </c>
      <c r="AB253" s="35" t="s">
        <v>46</v>
      </c>
      <c r="AC253" s="105" t="s">
        <v>47</v>
      </c>
      <c r="AD253" s="45">
        <v>1</v>
      </c>
      <c r="AE253" s="26">
        <v>11631</v>
      </c>
      <c r="AF253" s="26">
        <v>493</v>
      </c>
      <c r="AG253" s="21">
        <v>666</v>
      </c>
      <c r="AH253" s="21">
        <v>99</v>
      </c>
      <c r="AI253" s="21">
        <v>44</v>
      </c>
      <c r="AJ253" s="49">
        <v>10</v>
      </c>
      <c r="AK253" s="50">
        <v>22</v>
      </c>
      <c r="AL253" s="41">
        <v>1</v>
      </c>
      <c r="AM253" s="42"/>
    </row>
    <row r="254">
      <c r="A254" s="114"/>
      <c r="B254" s="38" t="s">
        <v>50</v>
      </c>
      <c r="C254" s="48" t="s">
        <v>45</v>
      </c>
      <c r="D254" s="26">
        <f t="shared" si="63"/>
      </c>
      <c r="E254" s="26">
        <v>2217.59</v>
      </c>
      <c r="F254" s="26"/>
      <c r="G254" s="21">
        <v>1555.18</v>
      </c>
      <c r="H254" s="21"/>
      <c r="I254" s="51">
        <v>1</v>
      </c>
      <c r="J254" s="51">
        <v>948</v>
      </c>
      <c r="K254" s="51">
        <v>0</v>
      </c>
      <c r="L254" s="51">
        <v>1</v>
      </c>
      <c r="M254" s="51">
        <v>0</v>
      </c>
      <c r="N254" s="29">
        <f t="shared" si="17"/>
      </c>
      <c r="O254" s="29">
        <f t="shared" si="272"/>
      </c>
      <c r="P254" s="30">
        <f t="shared" si="234"/>
      </c>
      <c r="Q254" s="112">
        <f t="shared" si="177"/>
      </c>
      <c r="R254" s="32">
        <f t="shared" si="139"/>
      </c>
      <c r="S254" s="31">
        <f t="shared" si="196"/>
      </c>
      <c r="T254" s="31">
        <f t="shared" si="120"/>
      </c>
      <c r="U254" s="32">
        <f t="shared" si="101"/>
      </c>
      <c r="V254" s="31">
        <f t="shared" si="82"/>
      </c>
      <c r="W254" s="31">
        <f t="shared" si="36"/>
      </c>
      <c r="X254" s="32">
        <f t="shared" si="291"/>
      </c>
      <c r="Y254" s="33">
        <f t="shared" si="253"/>
      </c>
      <c r="Z254" s="32">
        <f t="shared" si="215"/>
      </c>
      <c r="AA254" s="34">
        <f t="shared" si="158"/>
      </c>
      <c r="AB254" s="35" t="s">
        <v>46</v>
      </c>
      <c r="AC254" s="105" t="s">
        <v>47</v>
      </c>
      <c r="AD254" s="45">
        <v>1</v>
      </c>
      <c r="AE254" s="47">
        <v>15745</v>
      </c>
      <c r="AF254" s="21">
        <v>477</v>
      </c>
      <c r="AG254" s="21">
        <v>645</v>
      </c>
      <c r="AH254" s="21">
        <v>88</v>
      </c>
      <c r="AI254" s="21">
        <v>27</v>
      </c>
      <c r="AJ254" s="49">
        <v>4</v>
      </c>
      <c r="AK254" s="50">
        <v>11</v>
      </c>
      <c r="AL254" s="41">
        <v>1</v>
      </c>
      <c r="AM254" s="42"/>
    </row>
    <row r="255">
      <c r="A255" s="114"/>
      <c r="B255" s="102" t="s">
        <v>51</v>
      </c>
      <c r="C255" s="102"/>
      <c r="D255" s="53">
        <f>SUM(D251:D254)</f>
      </c>
      <c r="E255" s="53">
        <f>SUM(E251:E254)</f>
      </c>
      <c r="F255" s="53">
        <f>SUM(F251:F254)</f>
      </c>
      <c r="G255" s="53">
        <f>SUM(G251:G254)</f>
      </c>
      <c r="H255" s="53">
        <f>SUM(H251:H254)</f>
      </c>
      <c r="I255" s="53">
        <f>SUM(I251:I254)</f>
      </c>
      <c r="J255" s="53">
        <f>SUM(J251:J254)</f>
      </c>
      <c r="K255" s="53">
        <f>SUM(K251:K254)</f>
      </c>
      <c r="L255" s="53">
        <f>SUM(L251:L254)</f>
      </c>
      <c r="M255" s="53">
        <f>SUM(M251:M254)</f>
      </c>
      <c r="N255" s="54">
        <f t="shared" si="17"/>
      </c>
      <c r="O255" s="55">
        <f t="shared" si="272"/>
      </c>
      <c r="P255" s="56">
        <f t="shared" si="234"/>
      </c>
      <c r="Q255" s="57">
        <f t="shared" si="177"/>
      </c>
      <c r="R255" s="58">
        <f t="shared" si="139"/>
      </c>
      <c r="S255" s="57">
        <f t="shared" si="196"/>
      </c>
      <c r="T255" s="59">
        <f t="shared" si="120"/>
      </c>
      <c r="U255" s="60">
        <f t="shared" si="101"/>
      </c>
      <c r="V255" s="59">
        <f t="shared" si="82"/>
      </c>
      <c r="W255" s="59">
        <f t="shared" si="36"/>
      </c>
      <c r="X255" s="60">
        <f t="shared" si="291"/>
      </c>
      <c r="Y255" s="61">
        <f t="shared" si="253"/>
      </c>
      <c r="Z255" s="60">
        <f t="shared" si="215"/>
      </c>
      <c r="AA255" s="62">
        <f t="shared" si="158"/>
      </c>
      <c r="AB255" s="63"/>
      <c r="AC255" s="62"/>
      <c r="AD255" s="102">
        <f>SUM(AD251:AD254)</f>
      </c>
      <c r="AE255" s="66">
        <f>SUM(AE251:AE254)</f>
      </c>
      <c r="AF255" s="66">
        <f>SUM(AF251:AF254)</f>
      </c>
      <c r="AG255" s="66">
        <f>SUM(AG251:AG254)</f>
      </c>
      <c r="AH255" s="66">
        <f>SUM(AH251:AH254)</f>
      </c>
      <c r="AI255" s="66">
        <f>SUM(AI251:AI254)</f>
      </c>
      <c r="AJ255" s="66">
        <f>SUM(AJ251:AJ254)</f>
      </c>
      <c r="AK255" s="66">
        <f>SUM(AK251:AK254)</f>
      </c>
      <c r="AL255" s="66">
        <f>SUM(AL251:AL254)</f>
      </c>
      <c r="AM255" s="42"/>
    </row>
    <row r="256">
      <c r="A256" s="114"/>
      <c r="B256" s="47" t="s">
        <v>52</v>
      </c>
      <c r="C256" s="67" t="s">
        <v>53</v>
      </c>
      <c r="D256" s="21">
        <f t="shared" ref="D256:D259" si="309">E256+G256</f>
      </c>
      <c r="E256" s="21">
        <v>3292.05</v>
      </c>
      <c r="F256" s="26"/>
      <c r="G256" s="21">
        <v>1000.35</v>
      </c>
      <c r="H256" s="21"/>
      <c r="I256" s="40">
        <v>2</v>
      </c>
      <c r="J256" s="40">
        <v>4536</v>
      </c>
      <c r="K256" s="40">
        <v>0</v>
      </c>
      <c r="L256" s="40">
        <v>0</v>
      </c>
      <c r="M256" s="67">
        <v>2</v>
      </c>
      <c r="N256" s="68">
        <f t="shared" si="17"/>
      </c>
      <c r="O256" s="29">
        <f t="shared" si="272"/>
      </c>
      <c r="P256" s="30">
        <f t="shared" si="234"/>
      </c>
      <c r="Q256" s="31">
        <f t="shared" si="177"/>
      </c>
      <c r="R256" s="32">
        <f t="shared" si="139"/>
      </c>
      <c r="S256" s="31">
        <f t="shared" si="196"/>
      </c>
      <c r="T256" s="73">
        <f t="shared" si="120"/>
      </c>
      <c r="U256" s="32">
        <f t="shared" si="101"/>
      </c>
      <c r="V256" s="31">
        <f t="shared" si="82"/>
      </c>
      <c r="W256" s="31">
        <f t="shared" si="36"/>
      </c>
      <c r="X256" s="32">
        <f t="shared" si="291"/>
      </c>
      <c r="Y256" s="33">
        <f t="shared" si="253"/>
      </c>
      <c r="Z256" s="32">
        <f t="shared" si="215"/>
      </c>
      <c r="AA256" s="34">
        <f t="shared" si="158"/>
      </c>
      <c r="AB256" s="35" t="s">
        <v>46</v>
      </c>
      <c r="AC256" s="105" t="s">
        <v>47</v>
      </c>
      <c r="AD256" s="26">
        <v>1</v>
      </c>
      <c r="AE256" s="74">
        <v>22455</v>
      </c>
      <c r="AF256" s="75">
        <v>579</v>
      </c>
      <c r="AG256" s="75">
        <v>705</v>
      </c>
      <c r="AH256" s="75">
        <v>123</v>
      </c>
      <c r="AI256" s="75">
        <v>24</v>
      </c>
      <c r="AJ256" s="41">
        <v>10</v>
      </c>
      <c r="AK256" s="41">
        <v>24</v>
      </c>
      <c r="AL256" s="41">
        <v>1</v>
      </c>
      <c r="AM256" s="42"/>
    </row>
    <row r="257">
      <c r="A257" s="114"/>
      <c r="B257" s="47" t="s">
        <v>54</v>
      </c>
      <c r="C257" s="67" t="s">
        <v>53</v>
      </c>
      <c r="D257" s="21">
        <f t="shared" si="309"/>
      </c>
      <c r="E257" s="21">
        <v>1427.32</v>
      </c>
      <c r="F257" s="26"/>
      <c r="G257" s="21">
        <v>1085.28</v>
      </c>
      <c r="H257" s="21"/>
      <c r="I257" s="40">
        <v>0</v>
      </c>
      <c r="J257" s="40">
        <v>0</v>
      </c>
      <c r="K257" s="40">
        <v>0</v>
      </c>
      <c r="L257" s="40">
        <v>0</v>
      </c>
      <c r="M257" s="67">
        <v>0</v>
      </c>
      <c r="N257" s="68">
        <f t="shared" si="17"/>
      </c>
      <c r="O257" s="29">
        <f t="shared" si="272"/>
      </c>
      <c r="P257" s="30">
        <f t="shared" si="234"/>
      </c>
      <c r="Q257" s="31">
        <f t="shared" si="177"/>
      </c>
      <c r="R257" s="32">
        <f t="shared" si="139"/>
      </c>
      <c r="S257" s="31">
        <f t="shared" si="196"/>
      </c>
      <c r="T257" s="73">
        <f t="shared" si="120"/>
      </c>
      <c r="U257" s="32">
        <f t="shared" si="101"/>
      </c>
      <c r="V257" s="31">
        <f t="shared" si="82"/>
      </c>
      <c r="W257" s="31">
        <f t="shared" si="36"/>
      </c>
      <c r="X257" s="32">
        <f t="shared" si="291"/>
      </c>
      <c r="Y257" s="33">
        <f t="shared" si="253"/>
      </c>
      <c r="Z257" s="32">
        <f t="shared" si="215"/>
      </c>
      <c r="AA257" s="34">
        <f t="shared" si="158"/>
      </c>
      <c r="AB257" s="35" t="s">
        <v>46</v>
      </c>
      <c r="AC257" s="105" t="s">
        <v>47</v>
      </c>
      <c r="AD257" s="26">
        <v>0</v>
      </c>
      <c r="AE257" s="74">
        <v>7446</v>
      </c>
      <c r="AF257" s="75">
        <v>316</v>
      </c>
      <c r="AG257" s="75">
        <v>475</v>
      </c>
      <c r="AH257" s="75">
        <v>57</v>
      </c>
      <c r="AI257" s="75">
        <v>30</v>
      </c>
      <c r="AJ257" s="41">
        <v>2</v>
      </c>
      <c r="AK257" s="41">
        <v>18</v>
      </c>
      <c r="AL257" s="41">
        <v>1</v>
      </c>
      <c r="AM257" s="42"/>
    </row>
    <row r="258">
      <c r="A258" s="114"/>
      <c r="B258" s="26" t="s">
        <v>55</v>
      </c>
      <c r="C258" s="67" t="s">
        <v>53</v>
      </c>
      <c r="D258" s="21">
        <f t="shared" si="309"/>
      </c>
      <c r="E258" s="21">
        <v>2042.78</v>
      </c>
      <c r="F258" s="26"/>
      <c r="G258" s="21">
        <v>1000.98</v>
      </c>
      <c r="H258" s="21"/>
      <c r="I258" s="40">
        <v>1</v>
      </c>
      <c r="J258" s="40">
        <v>2268</v>
      </c>
      <c r="K258" s="40">
        <v>0</v>
      </c>
      <c r="L258" s="40">
        <v>0</v>
      </c>
      <c r="M258" s="40">
        <v>1</v>
      </c>
      <c r="N258" s="103">
        <f t="shared" si="17"/>
      </c>
      <c r="O258" s="29">
        <f t="shared" si="272"/>
      </c>
      <c r="P258" s="30">
        <f t="shared" si="234"/>
      </c>
      <c r="Q258" s="31">
        <f t="shared" si="177"/>
      </c>
      <c r="R258" s="32">
        <f t="shared" si="139"/>
      </c>
      <c r="S258" s="31">
        <f t="shared" si="196"/>
      </c>
      <c r="T258" s="73">
        <f t="shared" si="120"/>
      </c>
      <c r="U258" s="32">
        <f t="shared" si="101"/>
      </c>
      <c r="V258" s="31">
        <f t="shared" si="82"/>
      </c>
      <c r="W258" s="31">
        <f t="shared" si="36"/>
      </c>
      <c r="X258" s="32">
        <f t="shared" si="291"/>
      </c>
      <c r="Y258" s="33">
        <f t="shared" si="253"/>
      </c>
      <c r="Z258" s="32">
        <f t="shared" si="215"/>
      </c>
      <c r="AA258" s="34">
        <f t="shared" si="158"/>
      </c>
      <c r="AB258" s="35" t="s">
        <v>46</v>
      </c>
      <c r="AC258" s="105" t="s">
        <v>47</v>
      </c>
      <c r="AD258" s="26">
        <v>1</v>
      </c>
      <c r="AE258" s="74">
        <v>10759</v>
      </c>
      <c r="AF258" s="75">
        <v>352</v>
      </c>
      <c r="AG258" s="75">
        <v>531</v>
      </c>
      <c r="AH258" s="75">
        <v>65</v>
      </c>
      <c r="AI258" s="41">
        <v>24</v>
      </c>
      <c r="AJ258" s="41">
        <v>5</v>
      </c>
      <c r="AK258" s="41">
        <v>23</v>
      </c>
      <c r="AL258" s="41">
        <v>1</v>
      </c>
      <c r="AM258" s="42"/>
    </row>
    <row r="259">
      <c r="A259" s="114"/>
      <c r="B259" s="38" t="s">
        <v>56</v>
      </c>
      <c r="C259" s="67" t="s">
        <v>53</v>
      </c>
      <c r="D259" s="21">
        <f t="shared" si="309"/>
      </c>
      <c r="E259" s="21">
        <v>1956.25</v>
      </c>
      <c r="F259" s="26"/>
      <c r="G259" s="21">
        <v>1308.17</v>
      </c>
      <c r="H259" s="21"/>
      <c r="I259" s="40">
        <v>4</v>
      </c>
      <c r="J259" s="40">
        <v>7564</v>
      </c>
      <c r="K259" s="40">
        <v>0</v>
      </c>
      <c r="L259" s="40">
        <v>1</v>
      </c>
      <c r="M259" s="40">
        <v>3</v>
      </c>
      <c r="N259" s="68">
        <f t="shared" si="17"/>
      </c>
      <c r="O259" s="29">
        <f t="shared" si="272"/>
      </c>
      <c r="P259" s="30">
        <f t="shared" si="234"/>
      </c>
      <c r="Q259" s="31">
        <f t="shared" si="177"/>
      </c>
      <c r="R259" s="32">
        <f t="shared" si="139"/>
      </c>
      <c r="S259" s="31">
        <f t="shared" si="196"/>
      </c>
      <c r="T259" s="73">
        <f t="shared" si="120"/>
      </c>
      <c r="U259" s="32">
        <f t="shared" si="101"/>
      </c>
      <c r="V259" s="31">
        <f t="shared" si="82"/>
      </c>
      <c r="W259" s="31">
        <f t="shared" si="36"/>
      </c>
      <c r="X259" s="32">
        <f t="shared" si="291"/>
      </c>
      <c r="Y259" s="33">
        <f t="shared" si="253"/>
      </c>
      <c r="Z259" s="32">
        <f t="shared" si="215"/>
      </c>
      <c r="AA259" s="34">
        <f t="shared" si="158"/>
      </c>
      <c r="AB259" s="35" t="s">
        <v>46</v>
      </c>
      <c r="AC259" s="105" t="s">
        <v>47</v>
      </c>
      <c r="AD259" s="26">
        <v>3</v>
      </c>
      <c r="AE259" s="74">
        <v>10028</v>
      </c>
      <c r="AF259" s="75">
        <v>351</v>
      </c>
      <c r="AG259" s="75">
        <v>535</v>
      </c>
      <c r="AH259" s="75">
        <v>78</v>
      </c>
      <c r="AI259" s="75">
        <v>22</v>
      </c>
      <c r="AJ259" s="41">
        <v>6</v>
      </c>
      <c r="AK259" s="41">
        <v>18</v>
      </c>
      <c r="AL259" s="41">
        <v>1</v>
      </c>
      <c r="AM259" s="42"/>
    </row>
    <row r="260">
      <c r="A260" s="114"/>
      <c r="B260" s="102" t="s">
        <v>51</v>
      </c>
      <c r="C260" s="102"/>
      <c r="D260" s="53">
        <f>SUM(D256:D259)</f>
      </c>
      <c r="E260" s="53">
        <f>SUM(E256:E259)</f>
      </c>
      <c r="F260" s="53">
        <f>SUM(F256:F259)</f>
      </c>
      <c r="G260" s="53">
        <f>SUM(G256:G259)</f>
      </c>
      <c r="H260" s="53">
        <f>SUM(H256:H259)</f>
      </c>
      <c r="I260" s="53">
        <f>SUM(I256:I259)</f>
      </c>
      <c r="J260" s="53">
        <f>SUM(J256:J259)</f>
      </c>
      <c r="K260" s="53">
        <f>SUM(K256:K259)</f>
      </c>
      <c r="L260" s="53">
        <f>SUM(L256:L259)</f>
      </c>
      <c r="M260" s="53">
        <f>SUM(M256:M259)</f>
      </c>
      <c r="N260" s="54">
        <f t="shared" si="17"/>
      </c>
      <c r="O260" s="81">
        <f t="shared" si="272"/>
      </c>
      <c r="P260" s="82">
        <f t="shared" si="234"/>
      </c>
      <c r="Q260" s="83">
        <f t="shared" si="177"/>
      </c>
      <c r="R260" s="84">
        <f t="shared" si="139"/>
      </c>
      <c r="S260" s="83">
        <f t="shared" si="196"/>
      </c>
      <c r="T260" s="59">
        <f t="shared" si="120"/>
      </c>
      <c r="U260" s="60">
        <f t="shared" si="101"/>
      </c>
      <c r="V260" s="59">
        <f t="shared" si="82"/>
      </c>
      <c r="W260" s="59">
        <f t="shared" si="36"/>
      </c>
      <c r="X260" s="60">
        <f t="shared" si="291"/>
      </c>
      <c r="Y260" s="61">
        <f t="shared" si="253"/>
      </c>
      <c r="Z260" s="60">
        <f t="shared" si="215"/>
      </c>
      <c r="AA260" s="62">
        <f t="shared" si="158"/>
      </c>
      <c r="AB260" s="63"/>
      <c r="AC260" s="62"/>
      <c r="AD260" s="85">
        <f>SUM(AD256:AD259)</f>
      </c>
      <c r="AE260" s="85">
        <f>SUM(AE256:AE259)</f>
      </c>
      <c r="AF260" s="85">
        <f>SUM(AF256:AF259)</f>
      </c>
      <c r="AG260" s="85">
        <f>SUM(AG256:AG259)</f>
      </c>
      <c r="AH260" s="85">
        <f>SUM(AH256:AH259)</f>
      </c>
      <c r="AI260" s="85">
        <f>SUM(AI256:AI259)</f>
      </c>
      <c r="AJ260" s="85">
        <f>SUM(AJ256:AJ259)</f>
      </c>
      <c r="AK260" s="85">
        <f>SUM(AK256:AK259)</f>
      </c>
      <c r="AL260" s="85">
        <f>SUM(AL256:AL259)</f>
      </c>
      <c r="AM260" s="42"/>
    </row>
    <row r="261">
      <c r="A261" s="114"/>
      <c r="B261" s="45" t="s">
        <v>67</v>
      </c>
      <c r="C261" s="67" t="s">
        <v>76</v>
      </c>
      <c r="D261" s="21">
        <f t="shared" ref="D261:D263" si="310">E261+G261</f>
      </c>
      <c r="E261" s="21">
        <v>1648.23</v>
      </c>
      <c r="F261" s="26"/>
      <c r="G261" s="21">
        <v>609.95</v>
      </c>
      <c r="H261" s="21"/>
      <c r="I261" s="40">
        <v>5</v>
      </c>
      <c r="J261" s="40">
        <v>7844</v>
      </c>
      <c r="K261" s="40">
        <v>1</v>
      </c>
      <c r="L261" s="40">
        <v>1</v>
      </c>
      <c r="M261" s="40">
        <v>3</v>
      </c>
      <c r="N261" s="68">
        <f t="shared" si="17"/>
      </c>
      <c r="O261" s="29">
        <f t="shared" si="272"/>
      </c>
      <c r="P261" s="30">
        <f t="shared" si="234"/>
      </c>
      <c r="Q261" s="31">
        <f t="shared" si="177"/>
      </c>
      <c r="R261" s="32">
        <f t="shared" si="139"/>
      </c>
      <c r="S261" s="31">
        <f t="shared" si="196"/>
      </c>
      <c r="T261" s="73">
        <f t="shared" si="120"/>
      </c>
      <c r="U261" s="32">
        <f t="shared" si="101"/>
      </c>
      <c r="V261" s="31">
        <f t="shared" si="82"/>
      </c>
      <c r="W261" s="31">
        <f t="shared" si="36"/>
      </c>
      <c r="X261" s="32">
        <f t="shared" si="291"/>
      </c>
      <c r="Y261" s="33">
        <f t="shared" si="253"/>
      </c>
      <c r="Z261" s="32">
        <f t="shared" si="215"/>
      </c>
      <c r="AA261" s="34">
        <f t="shared" si="158"/>
      </c>
      <c r="AB261" s="35" t="s">
        <v>46</v>
      </c>
      <c r="AC261" s="105" t="s">
        <v>72</v>
      </c>
      <c r="AD261" s="26">
        <v>3</v>
      </c>
      <c r="AE261" s="74">
        <v>9360</v>
      </c>
      <c r="AF261" s="75">
        <v>322</v>
      </c>
      <c r="AG261" s="75">
        <v>445</v>
      </c>
      <c r="AH261" s="75">
        <v>95</v>
      </c>
      <c r="AI261" s="75">
        <v>18</v>
      </c>
      <c r="AJ261" s="41">
        <v>10</v>
      </c>
      <c r="AK261" s="41">
        <v>20</v>
      </c>
      <c r="AL261" s="41">
        <v>1</v>
      </c>
      <c r="AM261" s="42"/>
    </row>
    <row r="262">
      <c r="A262" s="114"/>
      <c r="B262" s="25" t="s">
        <v>73</v>
      </c>
      <c r="C262" s="67" t="s">
        <v>76</v>
      </c>
      <c r="D262" s="21">
        <f t="shared" si="310"/>
      </c>
      <c r="E262" s="21">
        <v>2386.66</v>
      </c>
      <c r="F262" s="26"/>
      <c r="G262" s="21">
        <v>778.61</v>
      </c>
      <c r="H262" s="21"/>
      <c r="I262" s="40">
        <v>1</v>
      </c>
      <c r="J262" s="40">
        <v>2268</v>
      </c>
      <c r="K262" s="40">
        <v>0</v>
      </c>
      <c r="L262" s="40">
        <v>0</v>
      </c>
      <c r="M262" s="40">
        <v>1</v>
      </c>
      <c r="N262" s="103">
        <f t="shared" si="17"/>
      </c>
      <c r="O262" s="29">
        <f t="shared" si="272"/>
      </c>
      <c r="P262" s="30">
        <f t="shared" si="234"/>
      </c>
      <c r="Q262" s="31">
        <f t="shared" si="177"/>
      </c>
      <c r="R262" s="32">
        <f t="shared" si="139"/>
      </c>
      <c r="S262" s="31">
        <f t="shared" si="196"/>
      </c>
      <c r="T262" s="73">
        <f t="shared" si="120"/>
      </c>
      <c r="U262" s="32">
        <f t="shared" si="101"/>
      </c>
      <c r="V262" s="31">
        <f t="shared" si="82"/>
      </c>
      <c r="W262" s="31">
        <f t="shared" si="36"/>
      </c>
      <c r="X262" s="32">
        <f t="shared" si="291"/>
      </c>
      <c r="Y262" s="33">
        <f t="shared" si="253"/>
      </c>
      <c r="Z262" s="32">
        <f t="shared" si="215"/>
      </c>
      <c r="AA262" s="34">
        <f t="shared" si="158"/>
      </c>
      <c r="AB262" s="35" t="s">
        <v>46</v>
      </c>
      <c r="AC262" s="105" t="s">
        <v>72</v>
      </c>
      <c r="AD262" s="26">
        <v>1</v>
      </c>
      <c r="AE262" s="74">
        <v>16211</v>
      </c>
      <c r="AF262" s="75">
        <v>413</v>
      </c>
      <c r="AG262" s="75">
        <v>549</v>
      </c>
      <c r="AH262" s="75">
        <v>116</v>
      </c>
      <c r="AI262" s="41">
        <v>21</v>
      </c>
      <c r="AJ262" s="41">
        <v>5</v>
      </c>
      <c r="AK262" s="41">
        <v>31</v>
      </c>
      <c r="AL262" s="41">
        <v>1</v>
      </c>
      <c r="AM262" s="42"/>
    </row>
    <row r="263">
      <c r="A263" s="114"/>
      <c r="B263" s="115" t="s">
        <v>74</v>
      </c>
      <c r="C263" s="67" t="s">
        <v>76</v>
      </c>
      <c r="D263" s="21">
        <f t="shared" si="310"/>
      </c>
      <c r="E263" s="21">
        <v>2730.46</v>
      </c>
      <c r="F263" s="26"/>
      <c r="G263" s="21">
        <f>488.71+0.22</f>
      </c>
      <c r="H263" s="21"/>
      <c r="I263" s="40">
        <v>2</v>
      </c>
      <c r="J263" s="40">
        <v>4536</v>
      </c>
      <c r="K263" s="40">
        <v>0</v>
      </c>
      <c r="L263" s="40">
        <v>0</v>
      </c>
      <c r="M263" s="40">
        <v>2</v>
      </c>
      <c r="N263" s="68">
        <f t="shared" si="17"/>
      </c>
      <c r="O263" s="29">
        <f t="shared" si="272"/>
      </c>
      <c r="P263" s="30">
        <f t="shared" si="234"/>
      </c>
      <c r="Q263" s="31">
        <f t="shared" si="177"/>
      </c>
      <c r="R263" s="32">
        <f t="shared" si="139"/>
      </c>
      <c r="S263" s="31">
        <f t="shared" si="196"/>
      </c>
      <c r="T263" s="73">
        <f t="shared" si="120"/>
      </c>
      <c r="U263" s="32">
        <f t="shared" si="101"/>
      </c>
      <c r="V263" s="31">
        <f t="shared" si="82"/>
      </c>
      <c r="W263" s="31">
        <f t="shared" si="36"/>
      </c>
      <c r="X263" s="32">
        <f t="shared" si="291"/>
      </c>
      <c r="Y263" s="33">
        <f t="shared" si="253"/>
      </c>
      <c r="Z263" s="32">
        <f t="shared" si="215"/>
      </c>
      <c r="AA263" s="34">
        <f t="shared" si="158"/>
      </c>
      <c r="AB263" s="35" t="s">
        <v>46</v>
      </c>
      <c r="AC263" s="105" t="s">
        <v>72</v>
      </c>
      <c r="AD263" s="25">
        <v>2</v>
      </c>
      <c r="AE263" s="74">
        <v>20294</v>
      </c>
      <c r="AF263" s="75">
        <v>448</v>
      </c>
      <c r="AG263" s="75">
        <v>601</v>
      </c>
      <c r="AH263" s="75">
        <v>112</v>
      </c>
      <c r="AI263" s="75">
        <v>20</v>
      </c>
      <c r="AJ263" s="41">
        <v>11</v>
      </c>
      <c r="AK263" s="41">
        <v>25</v>
      </c>
      <c r="AL263" s="41">
        <v>1</v>
      </c>
      <c r="AM263" s="42"/>
    </row>
    <row r="264">
      <c r="A264" s="114"/>
      <c r="B264" s="102" t="s">
        <v>51</v>
      </c>
      <c r="C264" s="102"/>
      <c r="D264" s="53">
        <f>SUM(D261:D263)</f>
      </c>
      <c r="E264" s="116">
        <f>SUM(E261:E263)</f>
      </c>
      <c r="F264" s="116">
        <f>SUM(F261:F263)</f>
      </c>
      <c r="G264" s="116">
        <f>SUM(G261:G263)</f>
      </c>
      <c r="H264" s="53">
        <f>SUM(H261:H263)</f>
      </c>
      <c r="I264" s="53">
        <f>SUM(I261:I263)</f>
      </c>
      <c r="J264" s="53">
        <f>SUM(J261:J263)</f>
      </c>
      <c r="K264" s="53">
        <f>SUM(K261:K263)</f>
      </c>
      <c r="L264" s="53">
        <f>SUM(L261:L263)</f>
      </c>
      <c r="M264" s="53">
        <f>SUM(M261:M263)</f>
      </c>
      <c r="N264" s="54">
        <f t="shared" si="17"/>
      </c>
      <c r="O264" s="81">
        <f t="shared" si="272"/>
      </c>
      <c r="P264" s="82">
        <f t="shared" si="234"/>
      </c>
      <c r="Q264" s="83">
        <f t="shared" si="177"/>
      </c>
      <c r="R264" s="84">
        <f t="shared" si="139"/>
      </c>
      <c r="S264" s="83">
        <f t="shared" si="196"/>
      </c>
      <c r="T264" s="59">
        <f t="shared" si="120"/>
      </c>
      <c r="U264" s="60">
        <f t="shared" si="101"/>
      </c>
      <c r="V264" s="59">
        <f t="shared" si="82"/>
      </c>
      <c r="W264" s="59">
        <f t="shared" si="36"/>
      </c>
      <c r="X264" s="60">
        <f t="shared" si="291"/>
      </c>
      <c r="Y264" s="61">
        <f t="shared" si="253"/>
      </c>
      <c r="Z264" s="60">
        <f t="shared" si="215"/>
      </c>
      <c r="AA264" s="62">
        <f t="shared" si="158"/>
      </c>
      <c r="AB264" s="63"/>
      <c r="AC264" s="62"/>
      <c r="AD264" s="85">
        <f>SUM(AD261:AD263)</f>
      </c>
      <c r="AE264" s="85">
        <f>SUM(AE261:AE263)</f>
      </c>
      <c r="AF264" s="85">
        <f>SUM(AF261:AF263)</f>
      </c>
      <c r="AG264" s="85">
        <f>SUM(AG261:AG263)</f>
      </c>
      <c r="AH264" s="85">
        <f>SUM(AH261:AH263)</f>
      </c>
      <c r="AI264" s="85">
        <f>SUM(AI261:AI263)</f>
      </c>
      <c r="AJ264" s="85">
        <f>SUM(AJ261:AJ263)</f>
      </c>
      <c r="AK264" s="85">
        <f>SUM(AK261:AK263)</f>
      </c>
      <c r="AL264" s="85">
        <f>SUM(AL261:AL263)</f>
      </c>
      <c r="AM264" s="104" t="s">
        <v>57</v>
      </c>
    </row>
    <row r="265">
      <c r="A265" s="114"/>
      <c r="B265" s="96" t="s">
        <v>58</v>
      </c>
      <c r="C265" s="96"/>
      <c r="D265" s="117">
        <f>D255+D260+D264</f>
      </c>
      <c r="E265" s="118">
        <f>E255+E260+E264</f>
      </c>
      <c r="F265" s="118">
        <f>F255+F260+F264</f>
      </c>
      <c r="G265" s="118">
        <f>G255+G260+G264</f>
      </c>
      <c r="H265" s="119">
        <f>H255+H260+H264</f>
      </c>
      <c r="I265" s="88">
        <f>I255+I260+I264</f>
      </c>
      <c r="J265" s="88">
        <f>J255+J260+J264</f>
      </c>
      <c r="K265" s="88">
        <f>K255+K260+K264</f>
      </c>
      <c r="L265" s="88">
        <f>L255+L260+L264</f>
      </c>
      <c r="M265" s="88">
        <f>M255+M260+M264</f>
      </c>
      <c r="N265" s="89">
        <f t="shared" si="17"/>
      </c>
      <c r="O265" s="90">
        <f t="shared" si="272"/>
      </c>
      <c r="P265" s="91">
        <f t="shared" si="234"/>
      </c>
      <c r="Q265" s="92">
        <f t="shared" si="177"/>
      </c>
      <c r="R265" s="90">
        <f t="shared" si="139"/>
      </c>
      <c r="S265" s="92">
        <f t="shared" si="196"/>
      </c>
      <c r="T265" s="92">
        <f t="shared" si="120"/>
      </c>
      <c r="U265" s="90">
        <f t="shared" si="101"/>
      </c>
      <c r="V265" s="92">
        <f t="shared" si="82"/>
      </c>
      <c r="W265" s="92">
        <f t="shared" si="36"/>
      </c>
      <c r="X265" s="90">
        <f t="shared" si="291"/>
      </c>
      <c r="Y265" s="93">
        <f t="shared" si="253"/>
      </c>
      <c r="Z265" s="90">
        <f t="shared" si="215"/>
      </c>
      <c r="AA265" s="91">
        <f t="shared" si="158"/>
      </c>
      <c r="AB265" s="94"/>
      <c r="AC265" s="91"/>
      <c r="AD265" s="96">
        <f>AD255+AD260+AD264</f>
      </c>
      <c r="AE265" s="96">
        <f>AE255+AE260+AE264</f>
      </c>
      <c r="AF265" s="96">
        <f>AF255+AF260+AF264</f>
      </c>
      <c r="AG265" s="96">
        <f>AG255+AG260+AG264</f>
      </c>
      <c r="AH265" s="96">
        <f>AH255+AH260+AH264</f>
      </c>
      <c r="AI265" s="96">
        <f>AI255+AI260+AI264</f>
      </c>
      <c r="AJ265" s="96">
        <f>AJ255+AJ260+AJ264</f>
      </c>
      <c r="AK265" s="96">
        <f>AK255+AK260+AK264</f>
      </c>
      <c r="AL265" s="96">
        <f>AL255+AL260+AL264</f>
      </c>
      <c r="AM265" s="104"/>
    </row>
    <row r="266">
      <c r="A266" s="1" t="s">
        <v>1</v>
      </c>
      <c r="B266" s="1"/>
      <c r="C266" s="1"/>
      <c r="D266" s="2" t="s">
        <v>2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3" t="s">
        <v>3</v>
      </c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4" t="s">
        <v>4</v>
      </c>
      <c r="AE266" s="4"/>
      <c r="AF266" s="4"/>
      <c r="AG266" s="4"/>
      <c r="AH266" s="4"/>
      <c r="AI266" s="4"/>
      <c r="AJ266" s="4"/>
      <c r="AK266" s="4"/>
      <c r="AL266" s="4"/>
      <c r="AM266" s="5"/>
    </row>
    <row r="267">
      <c r="A267" s="6" t="s">
        <v>5</v>
      </c>
      <c r="B267" s="6" t="s">
        <v>6</v>
      </c>
      <c r="C267" s="6" t="s">
        <v>7</v>
      </c>
      <c r="D267" s="7" t="s">
        <v>8</v>
      </c>
      <c r="E267" s="8" t="s">
        <v>9</v>
      </c>
      <c r="F267" s="8" t="s">
        <v>10</v>
      </c>
      <c r="G267" s="9" t="s">
        <v>11</v>
      </c>
      <c r="H267" s="10" t="s">
        <v>12</v>
      </c>
      <c r="I267" s="97" t="s">
        <v>13</v>
      </c>
      <c r="J267" s="2" t="s">
        <v>14</v>
      </c>
      <c r="K267" s="2" t="s">
        <v>15</v>
      </c>
      <c r="L267" s="13" t="s">
        <v>16</v>
      </c>
      <c r="M267" s="13" t="s">
        <v>17</v>
      </c>
      <c r="N267" s="9" t="s">
        <v>18</v>
      </c>
      <c r="O267" s="13" t="s">
        <v>19</v>
      </c>
      <c r="P267" s="3" t="s">
        <v>20</v>
      </c>
      <c r="Q267" s="3" t="s">
        <v>21</v>
      </c>
      <c r="R267" s="3" t="s">
        <v>22</v>
      </c>
      <c r="S267" s="14" t="s">
        <v>23</v>
      </c>
      <c r="T267" s="14" t="s">
        <v>24</v>
      </c>
      <c r="U267" s="3" t="s">
        <v>25</v>
      </c>
      <c r="V267" s="14" t="s">
        <v>26</v>
      </c>
      <c r="W267" s="14" t="s">
        <v>27</v>
      </c>
      <c r="X267" s="3" t="s">
        <v>28</v>
      </c>
      <c r="Y267" s="14" t="s">
        <v>29</v>
      </c>
      <c r="Z267" s="3" t="s">
        <v>30</v>
      </c>
      <c r="AA267" s="15" t="s">
        <v>31</v>
      </c>
      <c r="AB267" s="15" t="s">
        <v>32</v>
      </c>
      <c r="AC267" s="16" t="s">
        <v>33</v>
      </c>
      <c r="AD267" s="17" t="s">
        <v>34</v>
      </c>
      <c r="AE267" s="18" t="s">
        <v>35</v>
      </c>
      <c r="AF267" s="18" t="s">
        <v>36</v>
      </c>
      <c r="AG267" s="18" t="s">
        <v>37</v>
      </c>
      <c r="AH267" s="18" t="s">
        <v>38</v>
      </c>
      <c r="AI267" s="18" t="s">
        <v>39</v>
      </c>
      <c r="AJ267" s="19" t="s">
        <v>40</v>
      </c>
      <c r="AK267" s="19" t="s">
        <v>41</v>
      </c>
      <c r="AL267" s="19" t="s">
        <v>42</v>
      </c>
      <c r="AM267" s="5"/>
    </row>
    <row r="268">
      <c r="A268" s="114" t="s">
        <v>84</v>
      </c>
      <c r="B268" s="26" t="s">
        <v>44</v>
      </c>
      <c r="C268" s="22" t="s">
        <v>45</v>
      </c>
      <c r="D268" s="23">
        <f t="shared" ref="D268:D271" si="64">E268+F268+G268+H268</f>
      </c>
      <c r="E268" s="39">
        <v>2005.83</v>
      </c>
      <c r="F268" s="26"/>
      <c r="G268" s="26">
        <v>930.3</v>
      </c>
      <c r="H268" s="43"/>
      <c r="I268" s="24">
        <v>1</v>
      </c>
      <c r="J268" s="25">
        <v>948</v>
      </c>
      <c r="K268" s="40">
        <v>0</v>
      </c>
      <c r="L268" s="40">
        <v>1</v>
      </c>
      <c r="M268" s="40">
        <v>0</v>
      </c>
      <c r="N268" s="29">
        <f t="shared" ref="N268:N282" si="18">J268/D268</f>
      </c>
      <c r="O268" s="29">
        <f t="shared" ref="O268:O282" si="273">J268/(D268+300*AL268)</f>
      </c>
      <c r="P268" s="30">
        <f t="shared" ref="P268:P282" si="235">(D268/AE268)*1000</f>
      </c>
      <c r="Q268" s="31">
        <f t="shared" ref="Q268:Q282" si="178">AF268/AE268</f>
      </c>
      <c r="R268" s="32">
        <f t="shared" ref="R268:R282" si="140">D268/AG268</f>
      </c>
      <c r="S268" s="31">
        <f t="shared" ref="S268:S282" si="197">AH268/AG268</f>
      </c>
      <c r="T268" s="31">
        <f t="shared" ref="T268:T282" si="121">AI268/AG268</f>
      </c>
      <c r="U268" s="32">
        <f t="shared" ref="U268:U282" si="102">D268/AI268</f>
      </c>
      <c r="V268" s="31">
        <f t="shared" ref="V268:V282" si="83">AJ268/AI268</f>
      </c>
      <c r="W268" s="31">
        <f t="shared" ref="W268:W282" si="37">I268/AJ268</f>
      </c>
      <c r="X268" s="32">
        <f t="shared" ref="X268:X282" si="292">D268/I268</f>
      </c>
      <c r="Y268" s="33">
        <f t="shared" ref="Y268:Y282" si="254">J268/I268</f>
      </c>
      <c r="Z268" s="32">
        <f t="shared" ref="Z268:Z282" si="216">D268/AD268</f>
      </c>
      <c r="AA268" s="34">
        <f t="shared" ref="AA268:AA282" si="159">AK268*1000/D268</f>
      </c>
      <c r="AB268" s="35" t="s">
        <v>46</v>
      </c>
      <c r="AC268" s="105" t="s">
        <v>47</v>
      </c>
      <c r="AD268" s="107">
        <v>1</v>
      </c>
      <c r="AE268" s="38">
        <v>11714</v>
      </c>
      <c r="AF268" s="21">
        <v>393</v>
      </c>
      <c r="AG268" s="26">
        <v>638</v>
      </c>
      <c r="AH268" s="26">
        <v>81</v>
      </c>
      <c r="AI268" s="21">
        <v>24</v>
      </c>
      <c r="AJ268" s="25">
        <v>5</v>
      </c>
      <c r="AK268" s="40">
        <v>18</v>
      </c>
      <c r="AL268" s="41">
        <v>1</v>
      </c>
      <c r="AM268" s="42"/>
    </row>
    <row r="269">
      <c r="A269" s="114"/>
      <c r="B269" s="38" t="s">
        <v>48</v>
      </c>
      <c r="C269" s="44" t="s">
        <v>45</v>
      </c>
      <c r="D269" s="26">
        <f t="shared" si="64"/>
      </c>
      <c r="E269" s="47">
        <v>1319.12</v>
      </c>
      <c r="F269" s="47"/>
      <c r="G269" s="21">
        <v>1155.74</v>
      </c>
      <c r="H269" s="43"/>
      <c r="I269" s="24">
        <v>1</v>
      </c>
      <c r="J269" s="25">
        <v>2268</v>
      </c>
      <c r="K269" s="40">
        <v>0</v>
      </c>
      <c r="L269" s="40">
        <v>0</v>
      </c>
      <c r="M269" s="40">
        <v>1</v>
      </c>
      <c r="N269" s="29">
        <f t="shared" si="18"/>
      </c>
      <c r="O269" s="29">
        <f t="shared" si="273"/>
      </c>
      <c r="P269" s="30">
        <f t="shared" si="235"/>
      </c>
      <c r="Q269" s="108">
        <f t="shared" si="178"/>
      </c>
      <c r="R269" s="32">
        <f t="shared" si="140"/>
      </c>
      <c r="S269" s="31">
        <f t="shared" si="197"/>
      </c>
      <c r="T269" s="31">
        <f t="shared" si="121"/>
      </c>
      <c r="U269" s="32">
        <f t="shared" si="102"/>
      </c>
      <c r="V269" s="31">
        <f t="shared" si="83"/>
      </c>
      <c r="W269" s="31">
        <f t="shared" si="37"/>
      </c>
      <c r="X269" s="32">
        <f t="shared" si="292"/>
      </c>
      <c r="Y269" s="33">
        <f t="shared" si="254"/>
      </c>
      <c r="Z269" s="32">
        <f t="shared" si="216"/>
      </c>
      <c r="AA269" s="34">
        <f t="shared" si="159"/>
      </c>
      <c r="AB269" s="35" t="s">
        <v>46</v>
      </c>
      <c r="AC269" s="105" t="s">
        <v>47</v>
      </c>
      <c r="AD269" s="39">
        <v>1</v>
      </c>
      <c r="AE269" s="47">
        <v>8642</v>
      </c>
      <c r="AF269" s="47">
        <v>293</v>
      </c>
      <c r="AG269" s="48">
        <v>513</v>
      </c>
      <c r="AH269" s="21">
        <v>62</v>
      </c>
      <c r="AI269" s="21">
        <v>29</v>
      </c>
      <c r="AJ269" s="49">
        <v>5</v>
      </c>
      <c r="AK269" s="50">
        <v>6</v>
      </c>
      <c r="AL269" s="41">
        <v>1</v>
      </c>
      <c r="AM269" s="42"/>
    </row>
    <row r="270">
      <c r="A270" s="114"/>
      <c r="B270" s="38" t="s">
        <v>49</v>
      </c>
      <c r="C270" s="39" t="s">
        <v>45</v>
      </c>
      <c r="D270" s="26">
        <f t="shared" si="64"/>
      </c>
      <c r="E270" s="26">
        <v>1805.35</v>
      </c>
      <c r="F270" s="26"/>
      <c r="G270" s="21">
        <v>1388.69</v>
      </c>
      <c r="H270" s="21"/>
      <c r="I270" s="51">
        <v>4</v>
      </c>
      <c r="J270" s="51">
        <v>7272</v>
      </c>
      <c r="K270" s="51">
        <v>1</v>
      </c>
      <c r="L270" s="51">
        <v>0</v>
      </c>
      <c r="M270" s="51">
        <v>3</v>
      </c>
      <c r="N270" s="29">
        <f t="shared" si="18"/>
      </c>
      <c r="O270" s="29">
        <f t="shared" si="273"/>
      </c>
      <c r="P270" s="110">
        <f t="shared" si="235"/>
      </c>
      <c r="Q270" s="71">
        <f t="shared" si="178"/>
      </c>
      <c r="R270" s="111">
        <f t="shared" si="140"/>
      </c>
      <c r="S270" s="31">
        <f t="shared" si="197"/>
      </c>
      <c r="T270" s="31">
        <f t="shared" si="121"/>
      </c>
      <c r="U270" s="32">
        <f t="shared" si="102"/>
      </c>
      <c r="V270" s="31">
        <f t="shared" si="83"/>
      </c>
      <c r="W270" s="31">
        <f t="shared" si="37"/>
      </c>
      <c r="X270" s="32">
        <f t="shared" si="292"/>
      </c>
      <c r="Y270" s="33">
        <f t="shared" si="254"/>
      </c>
      <c r="Z270" s="32">
        <f t="shared" si="216"/>
      </c>
      <c r="AA270" s="34">
        <f t="shared" si="159"/>
      </c>
      <c r="AB270" s="35" t="s">
        <v>46</v>
      </c>
      <c r="AC270" s="105" t="s">
        <v>47</v>
      </c>
      <c r="AD270" s="45">
        <v>3</v>
      </c>
      <c r="AE270" s="26">
        <v>10181</v>
      </c>
      <c r="AF270" s="26">
        <v>347</v>
      </c>
      <c r="AG270" s="21">
        <v>599</v>
      </c>
      <c r="AH270" s="21">
        <v>80</v>
      </c>
      <c r="AI270" s="21">
        <v>35</v>
      </c>
      <c r="AJ270" s="49">
        <v>4</v>
      </c>
      <c r="AK270" s="50">
        <v>16</v>
      </c>
      <c r="AL270" s="41">
        <v>1</v>
      </c>
      <c r="AM270" s="42"/>
    </row>
    <row r="271">
      <c r="A271" s="114"/>
      <c r="B271" s="38" t="s">
        <v>50</v>
      </c>
      <c r="C271" s="48" t="s">
        <v>45</v>
      </c>
      <c r="D271" s="26">
        <f t="shared" si="64"/>
      </c>
      <c r="E271" s="26">
        <v>1823.12</v>
      </c>
      <c r="F271" s="26"/>
      <c r="G271" s="21">
        <v>1423.85</v>
      </c>
      <c r="H271" s="21"/>
      <c r="I271" s="51">
        <v>5</v>
      </c>
      <c r="J271" s="51">
        <v>11340</v>
      </c>
      <c r="K271" s="51">
        <v>0</v>
      </c>
      <c r="L271" s="51">
        <v>0</v>
      </c>
      <c r="M271" s="51">
        <v>5</v>
      </c>
      <c r="N271" s="29">
        <f t="shared" si="18"/>
      </c>
      <c r="O271" s="29">
        <f t="shared" si="273"/>
      </c>
      <c r="P271" s="30">
        <f t="shared" si="235"/>
      </c>
      <c r="Q271" s="112">
        <f t="shared" si="178"/>
      </c>
      <c r="R271" s="32">
        <f t="shared" si="140"/>
      </c>
      <c r="S271" s="31">
        <f t="shared" si="197"/>
      </c>
      <c r="T271" s="31">
        <f t="shared" si="121"/>
      </c>
      <c r="U271" s="32">
        <f t="shared" si="102"/>
      </c>
      <c r="V271" s="31">
        <f t="shared" si="83"/>
      </c>
      <c r="W271" s="31">
        <f t="shared" si="37"/>
      </c>
      <c r="X271" s="32">
        <f t="shared" si="292"/>
      </c>
      <c r="Y271" s="33">
        <f t="shared" si="254"/>
      </c>
      <c r="Z271" s="32">
        <f t="shared" si="216"/>
      </c>
      <c r="AA271" s="34">
        <f t="shared" si="159"/>
      </c>
      <c r="AB271" s="35" t="s">
        <v>46</v>
      </c>
      <c r="AC271" s="105" t="s">
        <v>47</v>
      </c>
      <c r="AD271" s="45">
        <v>5</v>
      </c>
      <c r="AE271" s="47">
        <v>9186</v>
      </c>
      <c r="AF271" s="21">
        <v>341</v>
      </c>
      <c r="AG271" s="21">
        <v>499</v>
      </c>
      <c r="AH271" s="21">
        <v>78</v>
      </c>
      <c r="AI271" s="21">
        <v>34</v>
      </c>
      <c r="AJ271" s="49">
        <v>8</v>
      </c>
      <c r="AK271" s="50">
        <v>21</v>
      </c>
      <c r="AL271" s="41">
        <v>1</v>
      </c>
      <c r="AM271" s="42"/>
    </row>
    <row r="272">
      <c r="A272" s="114"/>
      <c r="B272" s="102" t="s">
        <v>51</v>
      </c>
      <c r="C272" s="102"/>
      <c r="D272" s="53">
        <f>SUM(D268:D271)</f>
      </c>
      <c r="E272" s="53">
        <f>SUM(E268:E271)</f>
      </c>
      <c r="F272" s="53">
        <f>SUM(F268:F271)</f>
      </c>
      <c r="G272" s="53">
        <f>SUM(G268:G271)</f>
      </c>
      <c r="H272" s="53">
        <f>SUM(H268:H271)</f>
      </c>
      <c r="I272" s="53">
        <f>SUM(I268:I271)</f>
      </c>
      <c r="J272" s="53">
        <f>SUM(J268:J271)</f>
      </c>
      <c r="K272" s="53">
        <f>SUM(K268:K271)</f>
      </c>
      <c r="L272" s="53">
        <f>SUM(L268:L271)</f>
      </c>
      <c r="M272" s="53">
        <f>SUM(M268:M271)</f>
      </c>
      <c r="N272" s="54">
        <f t="shared" si="18"/>
      </c>
      <c r="O272" s="55">
        <f t="shared" si="273"/>
      </c>
      <c r="P272" s="56">
        <f t="shared" si="235"/>
      </c>
      <c r="Q272" s="57">
        <f t="shared" si="178"/>
      </c>
      <c r="R272" s="58">
        <f t="shared" si="140"/>
      </c>
      <c r="S272" s="57">
        <f t="shared" si="197"/>
      </c>
      <c r="T272" s="59">
        <f t="shared" si="121"/>
      </c>
      <c r="U272" s="60">
        <f t="shared" si="102"/>
      </c>
      <c r="V272" s="59">
        <f t="shared" si="83"/>
      </c>
      <c r="W272" s="59">
        <f t="shared" si="37"/>
      </c>
      <c r="X272" s="60">
        <f t="shared" si="292"/>
      </c>
      <c r="Y272" s="61">
        <f t="shared" si="254"/>
      </c>
      <c r="Z272" s="60">
        <f t="shared" si="216"/>
      </c>
      <c r="AA272" s="62">
        <f t="shared" si="159"/>
      </c>
      <c r="AB272" s="63"/>
      <c r="AC272" s="62"/>
      <c r="AD272" s="102">
        <f>SUM(AD268:AD271)</f>
      </c>
      <c r="AE272" s="66">
        <f>SUM(AE268:AE271)</f>
      </c>
      <c r="AF272" s="66">
        <f>SUM(AF268:AF271)</f>
      </c>
      <c r="AG272" s="66">
        <f>SUM(AG268:AG271)</f>
      </c>
      <c r="AH272" s="66">
        <f>SUM(AH268:AH271)</f>
      </c>
      <c r="AI272" s="66">
        <f>SUM(AI268:AI271)</f>
      </c>
      <c r="AJ272" s="66">
        <f>SUM(AJ268:AJ271)</f>
      </c>
      <c r="AK272" s="66">
        <f>SUM(AK268:AK271)</f>
      </c>
      <c r="AL272" s="66">
        <f>SUM(AL268:AL271)</f>
      </c>
      <c r="AM272" s="42"/>
    </row>
    <row r="273">
      <c r="A273" s="114"/>
      <c r="B273" s="47" t="s">
        <v>52</v>
      </c>
      <c r="C273" s="67" t="s">
        <v>53</v>
      </c>
      <c r="D273" s="21">
        <f t="shared" ref="D273:D276" si="311">E273+G273</f>
      </c>
      <c r="E273" s="21">
        <v>2874.86</v>
      </c>
      <c r="F273" s="26"/>
      <c r="G273" s="21">
        <v>1386.28</v>
      </c>
      <c r="H273" s="21"/>
      <c r="I273" s="40">
        <v>4</v>
      </c>
      <c r="J273" s="40">
        <v>8884</v>
      </c>
      <c r="K273" s="40">
        <v>0</v>
      </c>
      <c r="L273" s="40">
        <v>0</v>
      </c>
      <c r="M273" s="67">
        <v>4</v>
      </c>
      <c r="N273" s="68">
        <f t="shared" si="18"/>
      </c>
      <c r="O273" s="29">
        <f t="shared" si="273"/>
      </c>
      <c r="P273" s="30">
        <f t="shared" si="235"/>
      </c>
      <c r="Q273" s="31">
        <f t="shared" si="178"/>
      </c>
      <c r="R273" s="32">
        <f t="shared" si="140"/>
      </c>
      <c r="S273" s="31">
        <f t="shared" si="197"/>
      </c>
      <c r="T273" s="73">
        <f t="shared" si="121"/>
      </c>
      <c r="U273" s="32">
        <f t="shared" si="102"/>
      </c>
      <c r="V273" s="31">
        <f t="shared" si="83"/>
      </c>
      <c r="W273" s="31">
        <f t="shared" si="37"/>
      </c>
      <c r="X273" s="32">
        <f t="shared" si="292"/>
      </c>
      <c r="Y273" s="33">
        <f t="shared" si="254"/>
      </c>
      <c r="Z273" s="32">
        <f t="shared" si="216"/>
      </c>
      <c r="AA273" s="34">
        <f t="shared" si="159"/>
      </c>
      <c r="AB273" s="35" t="s">
        <v>46</v>
      </c>
      <c r="AC273" s="105" t="s">
        <v>47</v>
      </c>
      <c r="AD273" s="26">
        <v>4</v>
      </c>
      <c r="AE273" s="74">
        <v>17806</v>
      </c>
      <c r="AF273" s="75">
        <v>594</v>
      </c>
      <c r="AG273" s="75">
        <v>823</v>
      </c>
      <c r="AH273" s="75">
        <v>130</v>
      </c>
      <c r="AI273" s="75">
        <v>41</v>
      </c>
      <c r="AJ273" s="41">
        <v>5</v>
      </c>
      <c r="AK273" s="41">
        <v>32</v>
      </c>
      <c r="AL273" s="41">
        <v>1</v>
      </c>
      <c r="AM273" s="42"/>
    </row>
    <row r="274">
      <c r="A274" s="114"/>
      <c r="B274" s="47" t="s">
        <v>54</v>
      </c>
      <c r="C274" s="67" t="s">
        <v>53</v>
      </c>
      <c r="D274" s="21">
        <f t="shared" si="311"/>
      </c>
      <c r="E274" s="21">
        <v>2260.95</v>
      </c>
      <c r="F274" s="26"/>
      <c r="G274" s="21">
        <v>868.82</v>
      </c>
      <c r="H274" s="21"/>
      <c r="I274" s="40">
        <v>2</v>
      </c>
      <c r="J274" s="40">
        <v>4348</v>
      </c>
      <c r="K274" s="40">
        <v>0</v>
      </c>
      <c r="L274" s="40">
        <v>0</v>
      </c>
      <c r="M274" s="67">
        <v>2</v>
      </c>
      <c r="N274" s="68">
        <f t="shared" si="18"/>
      </c>
      <c r="O274" s="29">
        <f t="shared" si="273"/>
      </c>
      <c r="P274" s="30">
        <f t="shared" si="235"/>
      </c>
      <c r="Q274" s="31">
        <f t="shared" si="178"/>
      </c>
      <c r="R274" s="32">
        <f t="shared" si="140"/>
      </c>
      <c r="S274" s="31">
        <f t="shared" si="197"/>
      </c>
      <c r="T274" s="73">
        <f t="shared" si="121"/>
      </c>
      <c r="U274" s="32">
        <f t="shared" si="102"/>
      </c>
      <c r="V274" s="31">
        <f t="shared" si="83"/>
      </c>
      <c r="W274" s="31">
        <f t="shared" si="37"/>
      </c>
      <c r="X274" s="32">
        <f t="shared" si="292"/>
      </c>
      <c r="Y274" s="33">
        <f t="shared" si="254"/>
      </c>
      <c r="Z274" s="32">
        <f t="shared" si="216"/>
      </c>
      <c r="AA274" s="34">
        <f t="shared" si="159"/>
      </c>
      <c r="AB274" s="35" t="s">
        <v>46</v>
      </c>
      <c r="AC274" s="105" t="s">
        <v>47</v>
      </c>
      <c r="AD274" s="26">
        <v>1</v>
      </c>
      <c r="AE274" s="74">
        <v>10866</v>
      </c>
      <c r="AF274" s="75">
        <v>323</v>
      </c>
      <c r="AG274" s="75">
        <v>532</v>
      </c>
      <c r="AH274" s="75">
        <v>70</v>
      </c>
      <c r="AI274" s="75">
        <v>30</v>
      </c>
      <c r="AJ274" s="41">
        <v>4</v>
      </c>
      <c r="AK274" s="41">
        <v>18</v>
      </c>
      <c r="AL274" s="41">
        <v>1</v>
      </c>
      <c r="AM274" s="42"/>
    </row>
    <row r="275">
      <c r="A275" s="114"/>
      <c r="B275" s="26" t="s">
        <v>55</v>
      </c>
      <c r="C275" s="67" t="s">
        <v>53</v>
      </c>
      <c r="D275" s="21">
        <f t="shared" si="311"/>
      </c>
      <c r="E275" s="21"/>
      <c r="F275" s="26"/>
      <c r="G275" s="21"/>
      <c r="H275" s="21"/>
      <c r="I275" s="40">
        <v>2</v>
      </c>
      <c r="J275" s="40">
        <v>1337</v>
      </c>
      <c r="K275" s="120">
        <v>1</v>
      </c>
      <c r="L275" s="120">
        <v>1</v>
      </c>
      <c r="M275" s="120">
        <v>0</v>
      </c>
      <c r="N275" s="103">
        <f t="shared" si="18"/>
      </c>
      <c r="O275" s="29">
        <f t="shared" si="273"/>
      </c>
      <c r="P275" s="30">
        <f t="shared" si="235"/>
      </c>
      <c r="Q275" s="31">
        <f t="shared" si="178"/>
      </c>
      <c r="R275" s="32">
        <f t="shared" si="140"/>
      </c>
      <c r="S275" s="31">
        <f t="shared" si="197"/>
      </c>
      <c r="T275" s="73">
        <f t="shared" si="121"/>
      </c>
      <c r="U275" s="32">
        <f t="shared" si="102"/>
      </c>
      <c r="V275" s="31">
        <f t="shared" si="83"/>
      </c>
      <c r="W275" s="31">
        <f t="shared" si="37"/>
      </c>
      <c r="X275" s="32">
        <f t="shared" si="292"/>
      </c>
      <c r="Y275" s="33">
        <f t="shared" si="254"/>
      </c>
      <c r="Z275" s="32">
        <f t="shared" si="216"/>
      </c>
      <c r="AA275" s="34">
        <f t="shared" si="159"/>
      </c>
      <c r="AB275" s="35" t="s">
        <v>46</v>
      </c>
      <c r="AC275" s="105" t="s">
        <v>47</v>
      </c>
      <c r="AD275" s="26"/>
      <c r="AE275" s="74"/>
      <c r="AF275" s="75"/>
      <c r="AG275" s="75"/>
      <c r="AH275" s="75"/>
      <c r="AI275" s="41"/>
      <c r="AJ275" s="121">
        <v>5</v>
      </c>
      <c r="AK275" s="121">
        <v>27</v>
      </c>
      <c r="AL275" s="121">
        <v>1</v>
      </c>
      <c r="AM275" s="42"/>
    </row>
    <row r="276">
      <c r="A276" s="114"/>
      <c r="B276" s="38" t="s">
        <v>56</v>
      </c>
      <c r="C276" s="67" t="s">
        <v>53</v>
      </c>
      <c r="D276" s="21">
        <f t="shared" si="311"/>
      </c>
      <c r="E276" s="21"/>
      <c r="F276" s="26"/>
      <c r="G276" s="21"/>
      <c r="H276" s="21"/>
      <c r="I276" s="40"/>
      <c r="J276" s="40"/>
      <c r="K276" s="40"/>
      <c r="L276" s="40"/>
      <c r="M276" s="40"/>
      <c r="N276" s="68">
        <f t="shared" si="18"/>
      </c>
      <c r="O276" s="29">
        <f t="shared" si="273"/>
      </c>
      <c r="P276" s="30">
        <f t="shared" si="235"/>
      </c>
      <c r="Q276" s="31">
        <f t="shared" si="178"/>
      </c>
      <c r="R276" s="32">
        <f t="shared" si="140"/>
      </c>
      <c r="S276" s="31">
        <f t="shared" si="197"/>
      </c>
      <c r="T276" s="73">
        <f t="shared" si="121"/>
      </c>
      <c r="U276" s="32">
        <f t="shared" si="102"/>
      </c>
      <c r="V276" s="31">
        <f t="shared" si="83"/>
      </c>
      <c r="W276" s="31">
        <f t="shared" si="37"/>
      </c>
      <c r="X276" s="32">
        <f t="shared" si="292"/>
      </c>
      <c r="Y276" s="33">
        <f t="shared" si="254"/>
      </c>
      <c r="Z276" s="32">
        <f t="shared" si="216"/>
      </c>
      <c r="AA276" s="34">
        <f t="shared" si="159"/>
      </c>
      <c r="AB276" s="35" t="s">
        <v>46</v>
      </c>
      <c r="AC276" s="105" t="s">
        <v>47</v>
      </c>
      <c r="AD276" s="26"/>
      <c r="AE276" s="74"/>
      <c r="AF276" s="75"/>
      <c r="AG276" s="75"/>
      <c r="AH276" s="75"/>
      <c r="AI276" s="75"/>
      <c r="AJ276" s="41"/>
      <c r="AK276" s="41"/>
      <c r="AL276" s="41"/>
      <c r="AM276" s="42"/>
    </row>
    <row r="277">
      <c r="A277" s="114"/>
      <c r="B277" s="102" t="s">
        <v>51</v>
      </c>
      <c r="C277" s="102"/>
      <c r="D277" s="53">
        <f>SUM(D273:D276)</f>
      </c>
      <c r="E277" s="53">
        <f>SUM(E273:E276)</f>
      </c>
      <c r="F277" s="53">
        <f>SUM(F273:F276)</f>
      </c>
      <c r="G277" s="53">
        <f>SUM(G273:G276)</f>
      </c>
      <c r="H277" s="53">
        <f>SUM(H273:H276)</f>
      </c>
      <c r="I277" s="53">
        <f>SUM(I273:I276)</f>
      </c>
      <c r="J277" s="53">
        <f>SUM(J273:J276)</f>
      </c>
      <c r="K277" s="53">
        <f>SUM(K273:K276)</f>
      </c>
      <c r="L277" s="53">
        <f>SUM(L273:L276)</f>
      </c>
      <c r="M277" s="53">
        <f>SUM(M273:M276)</f>
      </c>
      <c r="N277" s="54">
        <f t="shared" si="18"/>
      </c>
      <c r="O277" s="81">
        <f t="shared" si="273"/>
      </c>
      <c r="P277" s="82">
        <f t="shared" si="235"/>
      </c>
      <c r="Q277" s="83">
        <f t="shared" si="178"/>
      </c>
      <c r="R277" s="84">
        <f t="shared" si="140"/>
      </c>
      <c r="S277" s="83">
        <f t="shared" si="197"/>
      </c>
      <c r="T277" s="59">
        <f t="shared" si="121"/>
      </c>
      <c r="U277" s="60">
        <f t="shared" si="102"/>
      </c>
      <c r="V277" s="59">
        <f t="shared" si="83"/>
      </c>
      <c r="W277" s="59">
        <f t="shared" si="37"/>
      </c>
      <c r="X277" s="60">
        <f t="shared" si="292"/>
      </c>
      <c r="Y277" s="61">
        <f t="shared" si="254"/>
      </c>
      <c r="Z277" s="60">
        <f t="shared" si="216"/>
      </c>
      <c r="AA277" s="62">
        <f t="shared" si="159"/>
      </c>
      <c r="AB277" s="63"/>
      <c r="AC277" s="62"/>
      <c r="AD277" s="85">
        <f>SUM(AD273:AD276)</f>
      </c>
      <c r="AE277" s="85">
        <f>SUM(AE273:AE276)</f>
      </c>
      <c r="AF277" s="85">
        <f>SUM(AF273:AF276)</f>
      </c>
      <c r="AG277" s="85">
        <f>SUM(AG273:AG276)</f>
      </c>
      <c r="AH277" s="85">
        <f>SUM(AH273:AH276)</f>
      </c>
      <c r="AI277" s="85">
        <f>SUM(AI273:AI276)</f>
      </c>
      <c r="AJ277" s="85">
        <f>SUM(AJ273:AJ276)</f>
      </c>
      <c r="AK277" s="85">
        <f>SUM(AK273:AK276)</f>
      </c>
      <c r="AL277" s="85">
        <f>SUM(AL273:AL276)</f>
      </c>
      <c r="AM277" s="42"/>
    </row>
    <row r="278">
      <c r="A278" s="114"/>
      <c r="B278" s="45" t="s">
        <v>67</v>
      </c>
      <c r="C278" s="67" t="s">
        <v>71</v>
      </c>
      <c r="D278" s="21">
        <f t="shared" ref="D278:D280" si="312">E278+G278</f>
      </c>
      <c r="E278" s="21"/>
      <c r="F278" s="26"/>
      <c r="G278" s="21"/>
      <c r="H278" s="21"/>
      <c r="I278" s="40"/>
      <c r="J278" s="40"/>
      <c r="K278" s="40"/>
      <c r="L278" s="40"/>
      <c r="M278" s="40"/>
      <c r="N278" s="68">
        <f t="shared" si="18"/>
      </c>
      <c r="O278" s="29">
        <f t="shared" si="273"/>
      </c>
      <c r="P278" s="30">
        <f t="shared" si="235"/>
      </c>
      <c r="Q278" s="31">
        <f t="shared" si="178"/>
      </c>
      <c r="R278" s="32">
        <f t="shared" si="140"/>
      </c>
      <c r="S278" s="31">
        <f t="shared" si="197"/>
      </c>
      <c r="T278" s="73">
        <f t="shared" si="121"/>
      </c>
      <c r="U278" s="32">
        <f t="shared" si="102"/>
      </c>
      <c r="V278" s="31">
        <f t="shared" si="83"/>
      </c>
      <c r="W278" s="31">
        <f t="shared" si="37"/>
      </c>
      <c r="X278" s="32">
        <f t="shared" si="292"/>
      </c>
      <c r="Y278" s="33">
        <f t="shared" si="254"/>
      </c>
      <c r="Z278" s="32">
        <f t="shared" si="216"/>
      </c>
      <c r="AA278" s="34">
        <f t="shared" si="159"/>
      </c>
      <c r="AB278" s="35" t="s">
        <v>46</v>
      </c>
      <c r="AC278" s="105" t="s">
        <v>72</v>
      </c>
      <c r="AD278" s="26"/>
      <c r="AE278" s="74"/>
      <c r="AF278" s="75"/>
      <c r="AG278" s="75"/>
      <c r="AH278" s="75"/>
      <c r="AI278" s="75"/>
      <c r="AJ278" s="41"/>
      <c r="AK278" s="41"/>
      <c r="AL278" s="41"/>
      <c r="AM278" s="42"/>
    </row>
    <row r="279">
      <c r="A279" s="114"/>
      <c r="B279" s="25" t="s">
        <v>73</v>
      </c>
      <c r="C279" s="67" t="s">
        <v>71</v>
      </c>
      <c r="D279" s="21">
        <f t="shared" si="312"/>
      </c>
      <c r="E279" s="21"/>
      <c r="F279" s="26"/>
      <c r="G279" s="21"/>
      <c r="H279" s="21"/>
      <c r="I279" s="40"/>
      <c r="J279" s="40"/>
      <c r="K279" s="40"/>
      <c r="L279" s="40"/>
      <c r="M279" s="40"/>
      <c r="N279" s="103">
        <f t="shared" si="18"/>
      </c>
      <c r="O279" s="29">
        <f t="shared" si="273"/>
      </c>
      <c r="P279" s="30">
        <f t="shared" si="235"/>
      </c>
      <c r="Q279" s="31">
        <f t="shared" si="178"/>
      </c>
      <c r="R279" s="32">
        <f t="shared" si="140"/>
      </c>
      <c r="S279" s="31">
        <f t="shared" si="197"/>
      </c>
      <c r="T279" s="73">
        <f t="shared" si="121"/>
      </c>
      <c r="U279" s="32">
        <f t="shared" si="102"/>
      </c>
      <c r="V279" s="31">
        <f t="shared" si="83"/>
      </c>
      <c r="W279" s="31">
        <f t="shared" si="37"/>
      </c>
      <c r="X279" s="32">
        <f t="shared" si="292"/>
      </c>
      <c r="Y279" s="33">
        <f t="shared" si="254"/>
      </c>
      <c r="Z279" s="32">
        <f t="shared" si="216"/>
      </c>
      <c r="AA279" s="34">
        <f t="shared" si="159"/>
      </c>
      <c r="AB279" s="35" t="s">
        <v>46</v>
      </c>
      <c r="AC279" s="105" t="s">
        <v>72</v>
      </c>
      <c r="AD279" s="26"/>
      <c r="AE279" s="74"/>
      <c r="AF279" s="75"/>
      <c r="AG279" s="75"/>
      <c r="AH279" s="75"/>
      <c r="AI279" s="41"/>
      <c r="AJ279" s="41"/>
      <c r="AK279" s="41"/>
      <c r="AL279" s="41"/>
      <c r="AM279" s="42"/>
    </row>
    <row r="280">
      <c r="A280" s="114"/>
      <c r="B280" s="115" t="s">
        <v>74</v>
      </c>
      <c r="C280" s="67" t="s">
        <v>71</v>
      </c>
      <c r="D280" s="21">
        <f t="shared" si="312"/>
      </c>
      <c r="E280" s="21"/>
      <c r="F280" s="26"/>
      <c r="G280" s="21"/>
      <c r="H280" s="21"/>
      <c r="I280" s="40"/>
      <c r="J280" s="40"/>
      <c r="K280" s="40"/>
      <c r="L280" s="40"/>
      <c r="M280" s="40"/>
      <c r="N280" s="68">
        <f t="shared" si="18"/>
      </c>
      <c r="O280" s="29">
        <f t="shared" si="273"/>
      </c>
      <c r="P280" s="30">
        <f t="shared" si="235"/>
      </c>
      <c r="Q280" s="31">
        <f t="shared" si="178"/>
      </c>
      <c r="R280" s="32">
        <f t="shared" si="140"/>
      </c>
      <c r="S280" s="31">
        <f t="shared" si="197"/>
      </c>
      <c r="T280" s="73">
        <f t="shared" si="121"/>
      </c>
      <c r="U280" s="32">
        <f t="shared" si="102"/>
      </c>
      <c r="V280" s="31">
        <f t="shared" si="83"/>
      </c>
      <c r="W280" s="31">
        <f t="shared" si="37"/>
      </c>
      <c r="X280" s="32">
        <f t="shared" si="292"/>
      </c>
      <c r="Y280" s="33">
        <f t="shared" si="254"/>
      </c>
      <c r="Z280" s="32">
        <f t="shared" si="216"/>
      </c>
      <c r="AA280" s="34">
        <f t="shared" si="159"/>
      </c>
      <c r="AB280" s="35" t="s">
        <v>46</v>
      </c>
      <c r="AC280" s="105" t="s">
        <v>72</v>
      </c>
      <c r="AD280" s="25"/>
      <c r="AE280" s="74"/>
      <c r="AF280" s="75"/>
      <c r="AG280" s="75"/>
      <c r="AH280" s="75"/>
      <c r="AI280" s="75"/>
      <c r="AJ280" s="41"/>
      <c r="AK280" s="41"/>
      <c r="AL280" s="41"/>
      <c r="AM280" s="42"/>
    </row>
    <row r="281">
      <c r="A281" s="114"/>
      <c r="B281" s="102" t="s">
        <v>51</v>
      </c>
      <c r="C281" s="102"/>
      <c r="D281" s="53">
        <f>SUM(D278:D280)</f>
      </c>
      <c r="E281" s="116">
        <f>SUM(E278:E280)</f>
      </c>
      <c r="F281" s="116">
        <f>SUM(F278:F280)</f>
      </c>
      <c r="G281" s="116">
        <f>SUM(G278:G280)</f>
      </c>
      <c r="H281" s="53">
        <f>SUM(H278:H280)</f>
      </c>
      <c r="I281" s="53">
        <f>SUM(I278:I280)</f>
      </c>
      <c r="J281" s="53">
        <f>SUM(J278:J280)</f>
      </c>
      <c r="K281" s="53">
        <f>SUM(K278:K280)</f>
      </c>
      <c r="L281" s="53">
        <f>SUM(L278:L280)</f>
      </c>
      <c r="M281" s="53">
        <f>SUM(M278:M280)</f>
      </c>
      <c r="N281" s="54">
        <f t="shared" si="18"/>
      </c>
      <c r="O281" s="81">
        <f t="shared" si="273"/>
      </c>
      <c r="P281" s="82">
        <f t="shared" si="235"/>
      </c>
      <c r="Q281" s="83">
        <f t="shared" si="178"/>
      </c>
      <c r="R281" s="84">
        <f t="shared" si="140"/>
      </c>
      <c r="S281" s="83">
        <f t="shared" si="197"/>
      </c>
      <c r="T281" s="59">
        <f t="shared" si="121"/>
      </c>
      <c r="U281" s="60">
        <f t="shared" si="102"/>
      </c>
      <c r="V281" s="59">
        <f t="shared" si="83"/>
      </c>
      <c r="W281" s="59">
        <f t="shared" si="37"/>
      </c>
      <c r="X281" s="60">
        <f t="shared" si="292"/>
      </c>
      <c r="Y281" s="61">
        <f t="shared" si="254"/>
      </c>
      <c r="Z281" s="60">
        <f t="shared" si="216"/>
      </c>
      <c r="AA281" s="62">
        <f t="shared" si="159"/>
      </c>
      <c r="AB281" s="63"/>
      <c r="AC281" s="62"/>
      <c r="AD281" s="85">
        <f>SUM(AD278:AD280)</f>
      </c>
      <c r="AE281" s="85">
        <f>SUM(AE278:AE280)</f>
      </c>
      <c r="AF281" s="85">
        <f>SUM(AF278:AF280)</f>
      </c>
      <c r="AG281" s="85">
        <f>SUM(AG278:AG280)</f>
      </c>
      <c r="AH281" s="85">
        <f>SUM(AH278:AH280)</f>
      </c>
      <c r="AI281" s="85">
        <f>SUM(AI278:AI280)</f>
      </c>
      <c r="AJ281" s="85">
        <f>SUM(AJ278:AJ280)</f>
      </c>
      <c r="AK281" s="85">
        <f>SUM(AK278:AK280)</f>
      </c>
      <c r="AL281" s="85">
        <f>SUM(AL278:AL280)</f>
      </c>
      <c r="AM281" s="104" t="s">
        <v>57</v>
      </c>
    </row>
    <row r="282">
      <c r="A282" s="114"/>
      <c r="B282" s="96" t="s">
        <v>58</v>
      </c>
      <c r="C282" s="96"/>
      <c r="D282" s="117">
        <f>D272+D277+D281</f>
      </c>
      <c r="E282" s="118">
        <f>E272+E277+E281</f>
      </c>
      <c r="F282" s="118">
        <f>F272+F277+F281</f>
      </c>
      <c r="G282" s="118">
        <f>G272+G277+G281</f>
      </c>
      <c r="H282" s="119">
        <f>H272+H277+H281</f>
      </c>
      <c r="I282" s="88">
        <f>I272+I277+I281</f>
      </c>
      <c r="J282" s="88">
        <f>J272+J277+J281</f>
      </c>
      <c r="K282" s="88">
        <f>K272+K277+K281</f>
      </c>
      <c r="L282" s="88">
        <f>L272+L277+L281</f>
      </c>
      <c r="M282" s="88">
        <f>M272+M277+M281</f>
      </c>
      <c r="N282" s="89">
        <f t="shared" si="18"/>
      </c>
      <c r="O282" s="90">
        <f t="shared" si="273"/>
      </c>
      <c r="P282" s="91">
        <f t="shared" si="235"/>
      </c>
      <c r="Q282" s="92">
        <f t="shared" si="178"/>
      </c>
      <c r="R282" s="90">
        <f t="shared" si="140"/>
      </c>
      <c r="S282" s="92">
        <f t="shared" si="197"/>
      </c>
      <c r="T282" s="92">
        <f t="shared" si="121"/>
      </c>
      <c r="U282" s="90">
        <f t="shared" si="102"/>
      </c>
      <c r="V282" s="92">
        <f t="shared" si="83"/>
      </c>
      <c r="W282" s="92">
        <f t="shared" si="37"/>
      </c>
      <c r="X282" s="90">
        <f t="shared" si="292"/>
      </c>
      <c r="Y282" s="93">
        <f t="shared" si="254"/>
      </c>
      <c r="Z282" s="90">
        <f t="shared" si="216"/>
      </c>
      <c r="AA282" s="91">
        <f t="shared" si="159"/>
      </c>
      <c r="AB282" s="94"/>
      <c r="AC282" s="91"/>
      <c r="AD282" s="96">
        <f>AD272+AD277+AD281</f>
      </c>
      <c r="AE282" s="96">
        <f>AE272+AE277+AE281</f>
      </c>
      <c r="AF282" s="96">
        <f>AF272+AF277+AF281</f>
      </c>
      <c r="AG282" s="96">
        <f>AG272+AG277+AG281</f>
      </c>
      <c r="AH282" s="96">
        <f>AH272+AH277+AH281</f>
      </c>
      <c r="AI282" s="96">
        <f>AI272+AI277+AI281</f>
      </c>
      <c r="AJ282" s="96">
        <f>AJ272+AJ277+AJ281</f>
      </c>
      <c r="AK282" s="96">
        <f>AK272+AK277+AK281</f>
      </c>
      <c r="AL282" s="96">
        <f>AL272+AL277+AL281</f>
      </c>
      <c r="AM282" s="104"/>
    </row>
    <row r="283">
      <c r="A283" s="42"/>
      <c r="B283" s="42"/>
      <c r="C283" s="122"/>
      <c r="D283" s="123"/>
      <c r="E283" s="124" t="s">
        <v>85</v>
      </c>
      <c r="F283" s="125" t="s">
        <v>86</v>
      </c>
      <c r="G283" s="124" t="s">
        <v>11</v>
      </c>
      <c r="H283" s="126" t="s">
        <v>12</v>
      </c>
      <c r="I283" s="42">
        <f>I284-I282</f>
      </c>
      <c r="J283" s="42">
        <f>J284-J282</f>
      </c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127">
        <f>AD284+AD285+AD286</f>
      </c>
      <c r="AE283" s="127">
        <f>AE284+AE285+AE286</f>
      </c>
      <c r="AF283" s="127">
        <f>AF284+AF285+AF286</f>
      </c>
      <c r="AG283" s="127">
        <f>AG284+AG285+AG286</f>
      </c>
      <c r="AH283" s="127">
        <f>AH284+AH285+AH286</f>
      </c>
      <c r="AI283" s="127">
        <f>AI284+AI285+AI286</f>
      </c>
      <c r="AJ283" s="42">
        <f>AJ284-AJ282</f>
      </c>
      <c r="AK283" s="42">
        <f>AK284-AK282+24</f>
      </c>
      <c r="AL283" s="42">
        <v>1</v>
      </c>
      <c r="AM283" s="42"/>
    </row>
    <row r="284">
      <c r="A284" s="42"/>
      <c r="B284" s="42"/>
      <c r="C284" s="122"/>
      <c r="D284" s="122"/>
      <c r="E284" s="42"/>
      <c r="F284" s="42"/>
      <c r="G284" s="42"/>
      <c r="H284" s="42"/>
      <c r="I284" s="42" cm="1">
        <f t="array" ref="I284:I284">IMPORTRANGE("https://meimeiwangluo.feishu.cn/sheets/BdrtsODdph4hLdtnTbAcZQ6Znig","'Sheet1'!C1")</f>
      </c>
      <c r="J284" s="42" cm="1">
        <f t="array" ref="J284:J284">IMPORTRANGE("https://meimeiwangluo.feishu.cn/sheets/BdrtsODdph4hLdtnTbAcZQ6Znig","'Sheet1'!D1")</f>
      </c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128"/>
      <c r="AE284" s="129"/>
      <c r="AF284" s="129"/>
      <c r="AG284" s="129"/>
      <c r="AH284" s="129"/>
      <c r="AI284" s="129"/>
      <c r="AJ284" s="130">
        <v>36</v>
      </c>
      <c r="AK284" s="130">
        <v>114</v>
      </c>
      <c r="AL284" s="42"/>
      <c r="AM284" s="42"/>
    </row>
    <row r="285">
      <c r="A285" s="42"/>
      <c r="B285" s="42"/>
      <c r="C285" s="42"/>
      <c r="D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131"/>
      <c r="AE285" s="131"/>
      <c r="AF285" s="131"/>
      <c r="AG285" s="131"/>
      <c r="AH285" s="131"/>
      <c r="AI285" s="131"/>
      <c r="AJ285" s="42"/>
      <c r="AK285" s="42"/>
      <c r="AL285" s="42"/>
      <c r="AM285" s="42"/>
    </row>
    <row r="286">
      <c r="A286" s="42"/>
      <c r="B286" s="42"/>
      <c r="C286" s="13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129"/>
      <c r="AE286" s="129"/>
      <c r="AF286" s="129"/>
      <c r="AG286" s="129"/>
      <c r="AH286" s="129"/>
      <c r="AI286" s="129"/>
      <c r="AJ286" s="42"/>
      <c r="AK286" s="42"/>
      <c r="AL286" s="42"/>
      <c r="AM286" s="42"/>
    </row>
    <row r="287">
      <c r="AK287" s="133"/>
    </row>
    <row r="288">
      <c r="AK288" s="133"/>
    </row>
    <row r="289">
      <c r="AK289" s="133"/>
    </row>
    <row r="290">
      <c r="AK290" s="133"/>
    </row>
    <row r="291">
      <c r="AK291" s="133"/>
    </row>
    <row r="292">
      <c r="AK292" s="133"/>
    </row>
  </sheetData>
  <autoFilter ref="A2:AM381"/>
  <mergeCells>
    <mergeCell ref="B215:C215"/>
    <mergeCell ref="AM214:AM215"/>
    <mergeCell ref="B214:C214"/>
    <mergeCell ref="B210:C210"/>
    <mergeCell ref="B205:C205"/>
    <mergeCell ref="A201:A215"/>
    <mergeCell ref="A199:C199"/>
    <mergeCell ref="D199:O199"/>
    <mergeCell ref="P199:AC199"/>
    <mergeCell ref="AD199:AL199"/>
    <mergeCell ref="B198:C198"/>
    <mergeCell ref="AM197:AM198"/>
    <mergeCell ref="B197:C197"/>
    <mergeCell ref="B194:C194"/>
    <mergeCell ref="B189:C189"/>
    <mergeCell ref="A185:A198"/>
    <mergeCell ref="A183:C183"/>
    <mergeCell ref="D183:O183"/>
    <mergeCell ref="P183:AC183"/>
    <mergeCell ref="AD183:AL183"/>
    <mergeCell ref="B182:C182"/>
    <mergeCell ref="AM181:AM182"/>
    <mergeCell ref="B181:C181"/>
    <mergeCell ref="B177:C177"/>
    <mergeCell ref="B172:C172"/>
    <mergeCell ref="A168:A182"/>
    <mergeCell ref="A166:C166"/>
    <mergeCell ref="D166:O166"/>
    <mergeCell ref="P166:AC166"/>
    <mergeCell ref="AD166:AL166"/>
    <mergeCell ref="B165:C165"/>
    <mergeCell ref="AM164:AM165"/>
    <mergeCell ref="B164:C164"/>
    <mergeCell ref="B160:C160"/>
    <mergeCell ref="B155:C155"/>
    <mergeCell ref="A151:A165"/>
    <mergeCell ref="A149:C149"/>
    <mergeCell ref="D149:O149"/>
    <mergeCell ref="P149:AC149"/>
    <mergeCell ref="AD149:AL149"/>
    <mergeCell ref="AM147:AM148"/>
    <mergeCell ref="B147:C147"/>
    <mergeCell ref="A134:A148"/>
    <mergeCell ref="B148:C148"/>
    <mergeCell ref="B143:C143"/>
    <mergeCell ref="B138:C138"/>
    <mergeCell ref="A132:C132"/>
    <mergeCell ref="D132:O132"/>
    <mergeCell ref="P132:AC132"/>
    <mergeCell ref="AD132:AL132"/>
    <mergeCell ref="B131:C131"/>
    <mergeCell ref="AM130:AM131"/>
    <mergeCell ref="B130:C130"/>
    <mergeCell ref="B125:C125"/>
    <mergeCell ref="A121:A131"/>
    <mergeCell ref="A119:C119"/>
    <mergeCell ref="D119:O119"/>
    <mergeCell ref="P119:AC119"/>
    <mergeCell ref="AD119:AL119"/>
    <mergeCell ref="A1:C1"/>
    <mergeCell ref="D1:O1"/>
    <mergeCell ref="P1:AC1"/>
    <mergeCell ref="AD1:AL1"/>
    <mergeCell ref="A3:A13"/>
    <mergeCell ref="B7:C7"/>
    <mergeCell ref="B12:C12"/>
    <mergeCell ref="AM12:AM13"/>
    <mergeCell ref="B13:C13"/>
    <mergeCell ref="A14:C14"/>
    <mergeCell ref="D14:O14"/>
    <mergeCell ref="P14:AC14"/>
    <mergeCell ref="AD14:AL14"/>
    <mergeCell ref="A16:A26"/>
    <mergeCell ref="B20:C20"/>
    <mergeCell ref="B25:C25"/>
    <mergeCell ref="AM25:AM26"/>
    <mergeCell ref="B26:C26"/>
    <mergeCell ref="A27:C27"/>
    <mergeCell ref="D27:O27"/>
    <mergeCell ref="P27:AC27"/>
    <mergeCell ref="AD27:AL27"/>
    <mergeCell ref="A29:A39"/>
    <mergeCell ref="B33:C33"/>
    <mergeCell ref="B38:C38"/>
    <mergeCell ref="AM38:AM39"/>
    <mergeCell ref="B39:C39"/>
    <mergeCell ref="A40:C40"/>
    <mergeCell ref="D40:O40"/>
    <mergeCell ref="P40:AC40"/>
    <mergeCell ref="AD40:AL40"/>
    <mergeCell ref="A42:A52"/>
    <mergeCell ref="B46:C46"/>
    <mergeCell ref="B51:C51"/>
    <mergeCell ref="AM51:AM52"/>
    <mergeCell ref="B52:C52"/>
    <mergeCell ref="A53:C53"/>
    <mergeCell ref="D53:O53"/>
    <mergeCell ref="P53:AC53"/>
    <mergeCell ref="AD53:AL53"/>
    <mergeCell ref="A55:A65"/>
    <mergeCell ref="B59:C59"/>
    <mergeCell ref="B64:C64"/>
    <mergeCell ref="AM64:AM65"/>
    <mergeCell ref="B65:C65"/>
    <mergeCell ref="A66:C66"/>
    <mergeCell ref="D66:O66"/>
    <mergeCell ref="P66:AC66"/>
    <mergeCell ref="AD66:AL66"/>
    <mergeCell ref="A68:A78"/>
    <mergeCell ref="B72:C72"/>
    <mergeCell ref="B77:C77"/>
    <mergeCell ref="AM77:AM78"/>
    <mergeCell ref="B78:C78"/>
    <mergeCell ref="A79:C79"/>
    <mergeCell ref="D79:O79"/>
    <mergeCell ref="P79:AC79"/>
    <mergeCell ref="AD79:AL79"/>
    <mergeCell ref="A81:A91"/>
    <mergeCell ref="B85:C85"/>
    <mergeCell ref="B90:C90"/>
    <mergeCell ref="AM90:AM91"/>
    <mergeCell ref="B91:C91"/>
    <mergeCell ref="A92:C92"/>
    <mergeCell ref="D92:O92"/>
    <mergeCell ref="P92:AC92"/>
    <mergeCell ref="AD92:AL92"/>
    <mergeCell ref="B98:C98"/>
    <mergeCell ref="B105:C105"/>
    <mergeCell ref="AM104:AM105"/>
    <mergeCell ref="B104:C104"/>
    <mergeCell ref="A94:A105"/>
    <mergeCell ref="A106:C106"/>
    <mergeCell ref="D106:O106"/>
    <mergeCell ref="P106:AC106"/>
    <mergeCell ref="AD106:AL106"/>
    <mergeCell ref="A108:A118"/>
    <mergeCell ref="B112:C112"/>
    <mergeCell ref="AM117:AM118"/>
    <mergeCell ref="B117:C117"/>
    <mergeCell ref="B118:C118"/>
    <mergeCell ref="A216:C216"/>
    <mergeCell ref="D216:O216"/>
    <mergeCell ref="P216:AC216"/>
    <mergeCell ref="AD216:AL216"/>
    <mergeCell ref="A218:A231"/>
    <mergeCell ref="B222:C222"/>
    <mergeCell ref="B227:C227"/>
    <mergeCell ref="AM230:AM231"/>
    <mergeCell ref="B230:C230"/>
    <mergeCell ref="B231:C231"/>
    <mergeCell ref="A232:C232"/>
    <mergeCell ref="D232:O232"/>
    <mergeCell ref="P232:AC232"/>
    <mergeCell ref="AD232:AL232"/>
    <mergeCell ref="B238:C238"/>
    <mergeCell ref="B243:C243"/>
    <mergeCell ref="B248:C248"/>
    <mergeCell ref="AM247:AM248"/>
    <mergeCell ref="A234:A248"/>
    <mergeCell ref="B247:C247"/>
    <mergeCell ref="AD249:AL249"/>
    <mergeCell ref="P249:AC249"/>
    <mergeCell ref="D249:O249"/>
    <mergeCell ref="A249:C249"/>
    <mergeCell ref="A251:A265"/>
    <mergeCell ref="B255:C255"/>
    <mergeCell ref="B260:C260"/>
    <mergeCell ref="B264:C264"/>
    <mergeCell ref="AM264:AM265"/>
    <mergeCell ref="B265:C265"/>
    <mergeCell ref="AD266:AL266"/>
    <mergeCell ref="P266:AC266"/>
    <mergeCell ref="D266:O266"/>
    <mergeCell ref="A266:C266"/>
    <mergeCell ref="A268:A282"/>
    <mergeCell ref="B272:C272"/>
    <mergeCell ref="B277:C277"/>
    <mergeCell ref="B281:C281"/>
    <mergeCell ref="AM281:AM282"/>
    <mergeCell ref="B282:C282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7" min="7" style="0" width="11.211267605633802"/>
    <col collapsed="false" customWidth="true" hidden="false" max="9" min="9" style="0" width="11.211267605633802"/>
    <col collapsed="false" customWidth="true" hidden="false" max="39" min="39" style="0" width="18.94195247475471"/>
  </cols>
  <sheetData>
    <row r="1">
      <c r="A1" s="134" t="s">
        <v>87</v>
      </c>
      <c r="B1" s="134"/>
      <c r="C1" s="134"/>
      <c r="D1" s="135" t="s">
        <v>88</v>
      </c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6" t="s">
        <v>89</v>
      </c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7" t="s">
        <v>90</v>
      </c>
      <c r="AE1" s="137"/>
      <c r="AF1" s="137"/>
      <c r="AG1" s="137"/>
      <c r="AH1" s="137"/>
      <c r="AI1" s="137"/>
      <c r="AJ1" s="137"/>
      <c r="AK1" s="137"/>
      <c r="AL1" s="137"/>
      <c r="AM1" s="138"/>
    </row>
    <row r="2">
      <c r="A2" s="139" t="s">
        <v>91</v>
      </c>
      <c r="B2" s="140" t="s">
        <v>92</v>
      </c>
      <c r="C2" s="140" t="s">
        <v>93</v>
      </c>
      <c r="D2" s="141" t="s">
        <v>94</v>
      </c>
      <c r="E2" s="142" t="s">
        <v>95</v>
      </c>
      <c r="F2" s="142" t="s">
        <v>96</v>
      </c>
      <c r="G2" s="143" t="s">
        <v>97</v>
      </c>
      <c r="H2" s="144" t="s">
        <v>98</v>
      </c>
      <c r="I2" s="145" t="s">
        <v>99</v>
      </c>
      <c r="J2" s="141" t="s">
        <v>100</v>
      </c>
      <c r="K2" s="146" t="s">
        <v>101</v>
      </c>
      <c r="L2" s="146" t="s">
        <v>102</v>
      </c>
      <c r="M2" s="146" t="s">
        <v>103</v>
      </c>
      <c r="N2" s="143" t="s">
        <v>104</v>
      </c>
      <c r="O2" s="146" t="s">
        <v>105</v>
      </c>
      <c r="P2" s="136" t="s">
        <v>106</v>
      </c>
      <c r="Q2" s="136" t="s">
        <v>107</v>
      </c>
      <c r="R2" s="136" t="s">
        <v>108</v>
      </c>
      <c r="S2" s="147" t="s">
        <v>109</v>
      </c>
      <c r="T2" s="147" t="s">
        <v>110</v>
      </c>
      <c r="U2" s="136" t="s">
        <v>111</v>
      </c>
      <c r="V2" s="147" t="s">
        <v>112</v>
      </c>
      <c r="W2" s="147" t="s">
        <v>113</v>
      </c>
      <c r="X2" s="136" t="s">
        <v>114</v>
      </c>
      <c r="Y2" s="147" t="s">
        <v>115</v>
      </c>
      <c r="Z2" s="136" t="s">
        <v>116</v>
      </c>
      <c r="AA2" s="148" t="s">
        <v>117</v>
      </c>
      <c r="AB2" s="148" t="s">
        <v>118</v>
      </c>
      <c r="AC2" s="148" t="s">
        <v>119</v>
      </c>
      <c r="AD2" s="149" t="s">
        <v>120</v>
      </c>
      <c r="AE2" s="150" t="s">
        <v>121</v>
      </c>
      <c r="AF2" s="150" t="s">
        <v>122</v>
      </c>
      <c r="AG2" s="150" t="s">
        <v>123</v>
      </c>
      <c r="AH2" s="150" t="s">
        <v>124</v>
      </c>
      <c r="AI2" s="150" t="s">
        <v>125</v>
      </c>
      <c r="AJ2" s="151" t="s">
        <v>126</v>
      </c>
      <c r="AK2" s="151" t="s">
        <v>127</v>
      </c>
      <c r="AL2" s="151" t="s">
        <v>128</v>
      </c>
      <c r="AM2" s="138"/>
    </row>
    <row hidden="true" r="3">
      <c r="A3" s="152" t="s">
        <v>129</v>
      </c>
      <c r="B3" s="153" t="s">
        <v>130</v>
      </c>
      <c r="C3" s="154" t="s">
        <v>131</v>
      </c>
      <c r="D3" s="154">
        <f t="shared" ref="D3:D6" si="29">E3+F3+G3+H3</f>
      </c>
      <c r="E3" s="155">
        <v>1485.96</v>
      </c>
      <c r="F3" s="156">
        <v>491.07</v>
      </c>
      <c r="G3" s="157"/>
      <c r="H3" s="155">
        <v>641.76</v>
      </c>
      <c r="I3" s="156">
        <v>0</v>
      </c>
      <c r="J3" s="158">
        <v>0</v>
      </c>
      <c r="K3" s="158">
        <v>0</v>
      </c>
      <c r="L3" s="156">
        <v>0</v>
      </c>
      <c r="M3" s="156">
        <v>0</v>
      </c>
      <c r="N3" s="159">
        <f t="shared" ref="N3:N12" si="0">J3/D3</f>
      </c>
      <c r="O3" s="159">
        <f t="shared" ref="O3:O12" si="163">J3/(D3+300*AL3)</f>
      </c>
      <c r="P3" s="160">
        <f t="shared" ref="P3:P12" si="105">(D3/AE3)*1000</f>
      </c>
      <c r="Q3" s="161">
        <f t="shared" ref="Q3:Q12" si="279">AF3/AE3</f>
      </c>
      <c r="R3" s="162">
        <f t="shared" ref="R3:R12" si="221">D3/AG3</f>
      </c>
      <c r="S3" s="161">
        <f t="shared" ref="S3:S12" si="308">AH3/AG3</f>
      </c>
      <c r="T3" s="161">
        <f t="shared" ref="T3:T12" si="424">AI3/AG3</f>
      </c>
      <c r="U3" s="162">
        <f t="shared" ref="U3:U12" si="366">D3/AI3</f>
      </c>
      <c r="V3" s="161">
        <f t="shared" ref="V3:V12" si="134">AJ3/AI3</f>
      </c>
      <c r="W3" s="161">
        <f t="shared" ref="W3:W12" si="76">I3/AJ3</f>
      </c>
      <c r="X3" s="162">
        <f t="shared" ref="X3:X12" si="250">D3/I3</f>
      </c>
      <c r="Y3" s="163">
        <f t="shared" ref="Y3:Y12" si="192">J3/I3</f>
      </c>
      <c r="Z3" s="162">
        <f t="shared" ref="Z3:Z12" si="395">D3/AD3</f>
      </c>
      <c r="AA3" s="164">
        <f t="shared" ref="AA3:AA12" si="337">AK3*1000/D3</f>
      </c>
      <c r="AB3" s="165" t="s">
        <v>132</v>
      </c>
      <c r="AC3" s="166" t="s">
        <v>133</v>
      </c>
      <c r="AD3" s="153">
        <v>0</v>
      </c>
      <c r="AE3" s="157">
        <v>5303</v>
      </c>
      <c r="AF3" s="157">
        <v>204</v>
      </c>
      <c r="AG3" s="157">
        <v>306</v>
      </c>
      <c r="AH3" s="157">
        <v>43</v>
      </c>
      <c r="AI3" s="153">
        <v>15</v>
      </c>
      <c r="AJ3" s="158">
        <v>2</v>
      </c>
      <c r="AK3" s="156">
        <v>11</v>
      </c>
      <c r="AL3" s="167">
        <v>1</v>
      </c>
      <c r="AM3" s="168"/>
    </row>
    <row hidden="true" r="4">
      <c r="A4" s="152"/>
      <c r="B4" s="169" t="s">
        <v>134</v>
      </c>
      <c r="C4" s="154" t="s">
        <v>131</v>
      </c>
      <c r="D4" s="153">
        <f t="shared" si="29"/>
      </c>
      <c r="E4" s="158">
        <v>1262.95</v>
      </c>
      <c r="F4" s="170">
        <v>708.08</v>
      </c>
      <c r="G4" s="153"/>
      <c r="H4" s="156">
        <v>672.28</v>
      </c>
      <c r="I4" s="171">
        <v>2</v>
      </c>
      <c r="J4" s="171">
        <v>3216</v>
      </c>
      <c r="K4" s="156">
        <v>0</v>
      </c>
      <c r="L4" s="156">
        <v>1</v>
      </c>
      <c r="M4" s="156">
        <v>1</v>
      </c>
      <c r="N4" s="159">
        <f t="shared" si="0"/>
      </c>
      <c r="O4" s="159">
        <f t="shared" si="163"/>
      </c>
      <c r="P4" s="160">
        <f t="shared" si="105"/>
      </c>
      <c r="Q4" s="161">
        <f t="shared" si="279"/>
      </c>
      <c r="R4" s="162">
        <f t="shared" si="221"/>
      </c>
      <c r="S4" s="161">
        <f t="shared" si="308"/>
      </c>
      <c r="T4" s="161">
        <f t="shared" si="424"/>
      </c>
      <c r="U4" s="162">
        <f t="shared" si="366"/>
      </c>
      <c r="V4" s="161">
        <f t="shared" si="134"/>
      </c>
      <c r="W4" s="161">
        <f t="shared" si="76"/>
      </c>
      <c r="X4" s="162">
        <f t="shared" si="250"/>
      </c>
      <c r="Y4" s="163">
        <f t="shared" si="192"/>
      </c>
      <c r="Z4" s="162">
        <f t="shared" si="395"/>
      </c>
      <c r="AA4" s="164">
        <f t="shared" si="337"/>
      </c>
      <c r="AB4" s="165" t="s">
        <v>132</v>
      </c>
      <c r="AC4" s="166" t="s">
        <v>133</v>
      </c>
      <c r="AD4" s="153">
        <v>2</v>
      </c>
      <c r="AE4" s="172">
        <v>4942</v>
      </c>
      <c r="AF4" s="157">
        <v>219</v>
      </c>
      <c r="AG4" s="171">
        <v>349</v>
      </c>
      <c r="AH4" s="153">
        <v>62</v>
      </c>
      <c r="AI4" s="153">
        <v>21</v>
      </c>
      <c r="AJ4" s="173">
        <v>3</v>
      </c>
      <c r="AK4" s="174">
        <v>17</v>
      </c>
      <c r="AL4" s="175">
        <v>1</v>
      </c>
      <c r="AM4" s="168"/>
    </row>
    <row hidden="true" r="5">
      <c r="A5" s="152"/>
      <c r="B5" s="169" t="s">
        <v>135</v>
      </c>
      <c r="C5" s="153" t="s">
        <v>131</v>
      </c>
      <c r="D5" s="157">
        <f t="shared" si="29"/>
      </c>
      <c r="E5" s="158">
        <v>1174.79</v>
      </c>
      <c r="F5" s="158">
        <v>1434.9</v>
      </c>
      <c r="G5" s="153"/>
      <c r="H5" s="156">
        <v>684.62</v>
      </c>
      <c r="I5" s="153">
        <v>2</v>
      </c>
      <c r="J5" s="153">
        <v>4348</v>
      </c>
      <c r="K5" s="156">
        <v>0</v>
      </c>
      <c r="L5" s="156">
        <v>0</v>
      </c>
      <c r="M5" s="156">
        <v>2</v>
      </c>
      <c r="N5" s="159">
        <f t="shared" si="0"/>
      </c>
      <c r="O5" s="159">
        <f t="shared" si="163"/>
      </c>
      <c r="P5" s="160">
        <f t="shared" si="105"/>
      </c>
      <c r="Q5" s="161">
        <f t="shared" si="279"/>
      </c>
      <c r="R5" s="162">
        <f t="shared" si="221"/>
      </c>
      <c r="S5" s="161">
        <f t="shared" si="308"/>
      </c>
      <c r="T5" s="161">
        <f t="shared" si="424"/>
      </c>
      <c r="U5" s="162">
        <f t="shared" si="366"/>
      </c>
      <c r="V5" s="161">
        <f t="shared" si="134"/>
      </c>
      <c r="W5" s="161">
        <f t="shared" si="76"/>
      </c>
      <c r="X5" s="162">
        <f t="shared" si="250"/>
      </c>
      <c r="Y5" s="163">
        <f t="shared" si="192"/>
      </c>
      <c r="Z5" s="162">
        <f t="shared" si="395"/>
      </c>
      <c r="AA5" s="164">
        <f t="shared" si="337"/>
      </c>
      <c r="AB5" s="165" t="s">
        <v>132</v>
      </c>
      <c r="AC5" s="166" t="s">
        <v>133</v>
      </c>
      <c r="AD5" s="153">
        <v>2</v>
      </c>
      <c r="AE5" s="157">
        <v>6474</v>
      </c>
      <c r="AF5" s="157">
        <v>306</v>
      </c>
      <c r="AG5" s="153">
        <v>421</v>
      </c>
      <c r="AH5" s="153">
        <v>67</v>
      </c>
      <c r="AI5" s="153">
        <v>40</v>
      </c>
      <c r="AJ5" s="173">
        <v>3</v>
      </c>
      <c r="AK5" s="174">
        <v>10</v>
      </c>
      <c r="AL5" s="175">
        <v>1</v>
      </c>
      <c r="AM5" s="168"/>
    </row>
    <row hidden="true" r="6">
      <c r="A6" s="152"/>
      <c r="B6" s="169" t="s">
        <v>136</v>
      </c>
      <c r="C6" s="171" t="s">
        <v>131</v>
      </c>
      <c r="D6" s="157">
        <f t="shared" si="29"/>
      </c>
      <c r="E6" s="158">
        <v>322.52</v>
      </c>
      <c r="F6" s="158">
        <v>1963.44</v>
      </c>
      <c r="G6" s="153"/>
      <c r="H6" s="156">
        <v>642.85</v>
      </c>
      <c r="I6" s="153">
        <v>3</v>
      </c>
      <c r="J6" s="153">
        <v>6804</v>
      </c>
      <c r="K6" s="156">
        <v>0</v>
      </c>
      <c r="L6" s="156">
        <v>0</v>
      </c>
      <c r="M6" s="156">
        <v>3</v>
      </c>
      <c r="N6" s="159">
        <f t="shared" si="0"/>
      </c>
      <c r="O6" s="159">
        <f t="shared" si="163"/>
      </c>
      <c r="P6" s="160">
        <f t="shared" si="105"/>
      </c>
      <c r="Q6" s="161">
        <f t="shared" si="279"/>
      </c>
      <c r="R6" s="162">
        <f t="shared" si="221"/>
      </c>
      <c r="S6" s="161">
        <f t="shared" si="308"/>
      </c>
      <c r="T6" s="161">
        <f t="shared" si="424"/>
      </c>
      <c r="U6" s="162">
        <f t="shared" si="366"/>
      </c>
      <c r="V6" s="161">
        <f t="shared" si="134"/>
      </c>
      <c r="W6" s="161">
        <f t="shared" si="76"/>
      </c>
      <c r="X6" s="162">
        <f t="shared" si="250"/>
      </c>
      <c r="Y6" s="163">
        <f t="shared" si="192"/>
      </c>
      <c r="Z6" s="162">
        <f t="shared" si="395"/>
      </c>
      <c r="AA6" s="164">
        <f t="shared" si="337"/>
      </c>
      <c r="AB6" s="165" t="s">
        <v>132</v>
      </c>
      <c r="AC6" s="166" t="s">
        <v>133</v>
      </c>
      <c r="AD6" s="172">
        <v>3</v>
      </c>
      <c r="AE6" s="171">
        <v>5510</v>
      </c>
      <c r="AF6" s="153">
        <v>315</v>
      </c>
      <c r="AG6" s="153">
        <v>462</v>
      </c>
      <c r="AH6" s="153">
        <v>50</v>
      </c>
      <c r="AI6" s="153">
        <v>37</v>
      </c>
      <c r="AJ6" s="173">
        <v>6</v>
      </c>
      <c r="AK6" s="174">
        <v>23</v>
      </c>
      <c r="AL6" s="175">
        <v>1</v>
      </c>
      <c r="AM6" s="168"/>
    </row>
    <row hidden="true" r="7">
      <c r="A7" s="152"/>
      <c r="B7" s="176" t="s">
        <v>137</v>
      </c>
      <c r="C7" s="176"/>
      <c r="D7" s="176">
        <f>SUM(D3:D6)</f>
      </c>
      <c r="E7" s="176">
        <f>SUM(E3:E6)</f>
      </c>
      <c r="F7" s="176">
        <f>SUM(F3:F6)</f>
      </c>
      <c r="G7" s="176">
        <f>SUM(G3:G6)</f>
      </c>
      <c r="H7" s="176">
        <f>SUM(H3:H6)</f>
      </c>
      <c r="I7" s="176">
        <f>SUM(I3:I6)</f>
      </c>
      <c r="J7" s="176">
        <f>SUM(J3:J6)</f>
      </c>
      <c r="K7" s="176">
        <f>SUM(K3:K6)</f>
      </c>
      <c r="L7" s="176">
        <f>SUM(L3:L6)</f>
      </c>
      <c r="M7" s="176">
        <f>SUM(M3:M6)</f>
      </c>
      <c r="N7" s="177">
        <f t="shared" si="0"/>
      </c>
      <c r="O7" s="177">
        <f t="shared" si="163"/>
      </c>
      <c r="P7" s="178">
        <f t="shared" si="105"/>
      </c>
      <c r="Q7" s="179">
        <f t="shared" si="279"/>
      </c>
      <c r="R7" s="180">
        <f t="shared" si="221"/>
      </c>
      <c r="S7" s="179">
        <f t="shared" si="308"/>
      </c>
      <c r="T7" s="179">
        <f t="shared" si="424"/>
      </c>
      <c r="U7" s="180">
        <f t="shared" si="366"/>
      </c>
      <c r="V7" s="179">
        <f t="shared" si="134"/>
      </c>
      <c r="W7" s="179">
        <f t="shared" si="76"/>
      </c>
      <c r="X7" s="180">
        <f t="shared" si="250"/>
      </c>
      <c r="Y7" s="181">
        <f t="shared" si="192"/>
      </c>
      <c r="Z7" s="180">
        <f t="shared" si="395"/>
      </c>
      <c r="AA7" s="182">
        <f t="shared" si="337"/>
      </c>
      <c r="AB7" s="182"/>
      <c r="AC7" s="182"/>
      <c r="AD7" s="183">
        <f>SUM(AD3:AD6)</f>
      </c>
      <c r="AE7" s="183">
        <f>SUM(AE3:AE6)</f>
      </c>
      <c r="AF7" s="183">
        <f>SUM(AF3:AF6)</f>
      </c>
      <c r="AG7" s="183">
        <f>SUM(AG3:AG6)</f>
      </c>
      <c r="AH7" s="183">
        <f>SUM(AH3:AH6)</f>
      </c>
      <c r="AI7" s="183">
        <f>SUM(AI3:AI6)</f>
      </c>
      <c r="AJ7" s="183">
        <f>SUM(AJ3:AJ6)</f>
      </c>
      <c r="AK7" s="183">
        <f>SUM(AK3:AK6)</f>
      </c>
      <c r="AL7" s="183">
        <f>SUM(AL3:AL6)</f>
      </c>
      <c r="AM7" s="168"/>
    </row>
    <row hidden="true" r="8">
      <c r="A8" s="152"/>
      <c r="B8" s="184" t="s">
        <v>138</v>
      </c>
      <c r="C8" s="153" t="s">
        <v>139</v>
      </c>
      <c r="D8" s="153">
        <f t="shared" ref="D8:D10" si="30">E8+F8+G8+H8</f>
      </c>
      <c r="E8" s="156">
        <v>623.75</v>
      </c>
      <c r="F8" s="158">
        <v>1615.21</v>
      </c>
      <c r="G8" s="153"/>
      <c r="H8" s="156">
        <v>515.97</v>
      </c>
      <c r="I8" s="153">
        <v>3</v>
      </c>
      <c r="J8" s="153">
        <v>3684</v>
      </c>
      <c r="K8" s="156">
        <v>1</v>
      </c>
      <c r="L8" s="156">
        <v>1</v>
      </c>
      <c r="M8" s="156">
        <v>1</v>
      </c>
      <c r="N8" s="159">
        <f t="shared" si="0"/>
      </c>
      <c r="O8" s="159">
        <f t="shared" si="163"/>
      </c>
      <c r="P8" s="160">
        <f t="shared" si="105"/>
      </c>
      <c r="Q8" s="161">
        <f t="shared" si="279"/>
      </c>
      <c r="R8" s="162">
        <f t="shared" si="221"/>
      </c>
      <c r="S8" s="161">
        <f t="shared" si="308"/>
      </c>
      <c r="T8" s="161">
        <f t="shared" si="424"/>
      </c>
      <c r="U8" s="162">
        <f t="shared" si="366"/>
      </c>
      <c r="V8" s="161">
        <f t="shared" si="134"/>
      </c>
      <c r="W8" s="161">
        <f t="shared" si="76"/>
      </c>
      <c r="X8" s="162">
        <f t="shared" si="250"/>
      </c>
      <c r="Y8" s="163">
        <f t="shared" si="192"/>
      </c>
      <c r="Z8" s="162">
        <f t="shared" si="395"/>
      </c>
      <c r="AA8" s="164">
        <f t="shared" si="337"/>
      </c>
      <c r="AB8" s="165" t="s">
        <v>132</v>
      </c>
      <c r="AC8" s="166" t="s">
        <v>133</v>
      </c>
      <c r="AD8" s="185">
        <v>2</v>
      </c>
      <c r="AE8" s="167">
        <v>6325</v>
      </c>
      <c r="AF8" s="167">
        <v>357</v>
      </c>
      <c r="AG8" s="167">
        <v>485</v>
      </c>
      <c r="AH8" s="167">
        <v>57</v>
      </c>
      <c r="AI8" s="167">
        <v>36</v>
      </c>
      <c r="AJ8" s="175">
        <v>3</v>
      </c>
      <c r="AK8" s="175">
        <v>10</v>
      </c>
      <c r="AL8" s="175">
        <v>1</v>
      </c>
      <c r="AM8" s="168"/>
    </row>
    <row hidden="true" r="9">
      <c r="A9" s="152"/>
      <c r="B9" s="171" t="s">
        <v>140</v>
      </c>
      <c r="C9" s="153" t="s">
        <v>139</v>
      </c>
      <c r="D9" s="154">
        <f t="shared" si="30"/>
      </c>
      <c r="E9" s="186">
        <v>1026.9</v>
      </c>
      <c r="F9" s="158">
        <v>1174.25</v>
      </c>
      <c r="G9" s="153"/>
      <c r="H9" s="156">
        <v>464.38</v>
      </c>
      <c r="I9" s="153">
        <v>2</v>
      </c>
      <c r="J9" s="153">
        <v>4536</v>
      </c>
      <c r="K9" s="156">
        <v>0</v>
      </c>
      <c r="L9" s="156">
        <v>0</v>
      </c>
      <c r="M9" s="156">
        <v>2</v>
      </c>
      <c r="N9" s="159">
        <f t="shared" si="0"/>
      </c>
      <c r="O9" s="159">
        <f t="shared" si="163"/>
      </c>
      <c r="P9" s="160">
        <f t="shared" si="105"/>
      </c>
      <c r="Q9" s="161">
        <f t="shared" si="279"/>
      </c>
      <c r="R9" s="162">
        <f t="shared" si="221"/>
      </c>
      <c r="S9" s="161">
        <f t="shared" si="308"/>
      </c>
      <c r="T9" s="161">
        <f t="shared" si="424"/>
      </c>
      <c r="U9" s="162">
        <f t="shared" si="366"/>
      </c>
      <c r="V9" s="161">
        <f t="shared" si="134"/>
      </c>
      <c r="W9" s="161">
        <f t="shared" si="76"/>
      </c>
      <c r="X9" s="162">
        <f t="shared" si="250"/>
      </c>
      <c r="Y9" s="163">
        <f t="shared" si="192"/>
      </c>
      <c r="Z9" s="162">
        <f t="shared" si="395"/>
      </c>
      <c r="AA9" s="164">
        <f t="shared" si="337"/>
      </c>
      <c r="AB9" s="165" t="s">
        <v>132</v>
      </c>
      <c r="AC9" s="166" t="s">
        <v>133</v>
      </c>
      <c r="AD9" s="185">
        <v>1</v>
      </c>
      <c r="AE9" s="167">
        <v>6200</v>
      </c>
      <c r="AF9" s="167">
        <v>344</v>
      </c>
      <c r="AG9" s="167">
        <v>490</v>
      </c>
      <c r="AH9" s="167">
        <v>48</v>
      </c>
      <c r="AI9" s="167">
        <v>40</v>
      </c>
      <c r="AJ9" s="167">
        <v>4</v>
      </c>
      <c r="AK9" s="167">
        <v>15</v>
      </c>
      <c r="AL9" s="175">
        <v>1</v>
      </c>
      <c r="AM9" s="168"/>
    </row>
    <row customHeight="true" hidden="true" ht="18.452380952380953" r="10">
      <c r="A10" s="152"/>
      <c r="B10" s="153" t="s">
        <v>141</v>
      </c>
      <c r="C10" s="153" t="s">
        <v>139</v>
      </c>
      <c r="D10" s="154">
        <f t="shared" si="30"/>
      </c>
      <c r="E10" s="186">
        <v>813.45</v>
      </c>
      <c r="F10" s="158">
        <v>955.15</v>
      </c>
      <c r="G10" s="153"/>
      <c r="H10" s="156">
        <v>206.2</v>
      </c>
      <c r="I10" s="153">
        <v>1</v>
      </c>
      <c r="J10" s="153">
        <v>2268</v>
      </c>
      <c r="K10" s="187">
        <v>0</v>
      </c>
      <c r="L10" s="156">
        <v>0</v>
      </c>
      <c r="M10" s="156">
        <v>1</v>
      </c>
      <c r="N10" s="159">
        <f t="shared" si="0"/>
      </c>
      <c r="O10" s="159">
        <f t="shared" si="163"/>
      </c>
      <c r="P10" s="160">
        <f t="shared" si="105"/>
      </c>
      <c r="Q10" s="161">
        <f t="shared" si="279"/>
      </c>
      <c r="R10" s="162">
        <f t="shared" si="221"/>
      </c>
      <c r="S10" s="161">
        <f t="shared" si="308"/>
      </c>
      <c r="T10" s="161">
        <f t="shared" si="424"/>
      </c>
      <c r="U10" s="162">
        <f t="shared" si="366"/>
      </c>
      <c r="V10" s="161">
        <f t="shared" si="134"/>
      </c>
      <c r="W10" s="161">
        <f t="shared" si="76"/>
      </c>
      <c r="X10" s="162">
        <f t="shared" si="250"/>
      </c>
      <c r="Y10" s="163">
        <f t="shared" si="192"/>
      </c>
      <c r="Z10" s="162">
        <f t="shared" si="395"/>
      </c>
      <c r="AA10" s="164">
        <f t="shared" si="337"/>
      </c>
      <c r="AB10" s="165" t="s">
        <v>132</v>
      </c>
      <c r="AC10" s="166" t="s">
        <v>133</v>
      </c>
      <c r="AD10" s="185">
        <v>0</v>
      </c>
      <c r="AE10" s="167">
        <v>3034</v>
      </c>
      <c r="AF10" s="167">
        <v>178</v>
      </c>
      <c r="AG10" s="167">
        <v>271</v>
      </c>
      <c r="AH10" s="167">
        <v>48</v>
      </c>
      <c r="AI10" s="167">
        <v>33</v>
      </c>
      <c r="AJ10" s="175">
        <v>3</v>
      </c>
      <c r="AK10" s="167">
        <v>15</v>
      </c>
      <c r="AL10" s="175">
        <v>1</v>
      </c>
      <c r="AM10" s="168"/>
    </row>
    <row hidden="true" r="11">
      <c r="A11" s="152"/>
      <c r="B11" s="176" t="s">
        <v>137</v>
      </c>
      <c r="C11" s="176"/>
      <c r="D11" s="176">
        <f>SUM(D8:D10)</f>
      </c>
      <c r="E11" s="176">
        <f>SUM(E8:E10)</f>
      </c>
      <c r="F11" s="176">
        <f>SUM(F8:F10)</f>
      </c>
      <c r="G11" s="176">
        <f>SUM(G8:G10)</f>
      </c>
      <c r="H11" s="176">
        <f>SUM(H8:H10)</f>
      </c>
      <c r="I11" s="176">
        <f>SUM(I8:I10)</f>
      </c>
      <c r="J11" s="176">
        <f>SUM(J8:J10)</f>
      </c>
      <c r="K11" s="176">
        <f>SUM(K8:K10)</f>
      </c>
      <c r="L11" s="176">
        <f>SUM(L8:L10)</f>
      </c>
      <c r="M11" s="176">
        <f>SUM(M8:M10)</f>
      </c>
      <c r="N11" s="177">
        <f t="shared" si="0"/>
      </c>
      <c r="O11" s="177">
        <f t="shared" si="163"/>
      </c>
      <c r="P11" s="188">
        <f t="shared" si="105"/>
      </c>
      <c r="Q11" s="179">
        <f t="shared" si="279"/>
      </c>
      <c r="R11" s="180">
        <f t="shared" si="221"/>
      </c>
      <c r="S11" s="179">
        <f t="shared" si="308"/>
      </c>
      <c r="T11" s="179">
        <f t="shared" si="424"/>
      </c>
      <c r="U11" s="180">
        <f t="shared" si="366"/>
      </c>
      <c r="V11" s="179">
        <f t="shared" si="134"/>
      </c>
      <c r="W11" s="179">
        <f t="shared" si="76"/>
      </c>
      <c r="X11" s="180">
        <f t="shared" si="250"/>
      </c>
      <c r="Y11" s="181">
        <f t="shared" si="192"/>
      </c>
      <c r="Z11" s="180">
        <f t="shared" si="395"/>
      </c>
      <c r="AA11" s="182">
        <f t="shared" si="337"/>
      </c>
      <c r="AB11" s="182"/>
      <c r="AC11" s="189"/>
      <c r="AD11" s="190">
        <f>SUM(AD8:AD10)</f>
      </c>
      <c r="AE11" s="190">
        <f>SUM(AE8:AE10)</f>
      </c>
      <c r="AF11" s="190">
        <f>SUM(AF8:AF10)</f>
      </c>
      <c r="AG11" s="190">
        <f>SUM(AG8:AG10)</f>
      </c>
      <c r="AH11" s="190">
        <f>SUM(AH8:AH10)</f>
      </c>
      <c r="AI11" s="190">
        <f>SUM(AI8:AI10)</f>
      </c>
      <c r="AJ11" s="190">
        <f>SUM(AJ8:AJ10)</f>
      </c>
      <c r="AK11" s="190">
        <f>SUM(AK8:AK10)</f>
      </c>
      <c r="AL11" s="190">
        <f>SUM(AL8:AL10)</f>
      </c>
      <c r="AM11" s="191" t="s">
        <v>142</v>
      </c>
    </row>
    <row hidden="true" r="12">
      <c r="A12" s="152"/>
      <c r="B12" s="192" t="s">
        <v>143</v>
      </c>
      <c r="C12" s="192"/>
      <c r="D12" s="192">
        <f>D7+D11</f>
      </c>
      <c r="E12" s="192">
        <f>E7+E11</f>
      </c>
      <c r="F12" s="192">
        <f>F7+F11</f>
      </c>
      <c r="G12" s="192">
        <f>G7+G11</f>
      </c>
      <c r="H12" s="192">
        <f>H7+H11</f>
      </c>
      <c r="I12" s="192">
        <f>I7+I11</f>
      </c>
      <c r="J12" s="192">
        <f>J7+J11</f>
      </c>
      <c r="K12" s="192">
        <f>K7+K11</f>
      </c>
      <c r="L12" s="192">
        <f>L7+L11</f>
      </c>
      <c r="M12" s="192">
        <f>M7+M11</f>
      </c>
      <c r="N12" s="193">
        <f t="shared" si="0"/>
      </c>
      <c r="O12" s="193">
        <f t="shared" si="163"/>
      </c>
      <c r="P12" s="194">
        <f t="shared" si="105"/>
      </c>
      <c r="Q12" s="195">
        <f t="shared" si="279"/>
      </c>
      <c r="R12" s="193">
        <f t="shared" si="221"/>
      </c>
      <c r="S12" s="195">
        <f t="shared" si="308"/>
      </c>
      <c r="T12" s="195">
        <f t="shared" si="424"/>
      </c>
      <c r="U12" s="193">
        <f t="shared" si="366"/>
      </c>
      <c r="V12" s="195">
        <f t="shared" si="134"/>
      </c>
      <c r="W12" s="195">
        <f t="shared" si="76"/>
      </c>
      <c r="X12" s="193">
        <f t="shared" si="250"/>
      </c>
      <c r="Y12" s="196">
        <f t="shared" si="192"/>
      </c>
      <c r="Z12" s="193">
        <f t="shared" si="395"/>
      </c>
      <c r="AA12" s="194">
        <f t="shared" si="337"/>
      </c>
      <c r="AB12" s="194"/>
      <c r="AC12" s="194"/>
      <c r="AD12" s="197">
        <f>AD7+AD11</f>
      </c>
      <c r="AE12" s="197">
        <f>AE7+AE11</f>
      </c>
      <c r="AF12" s="197">
        <f>AF7+AF11</f>
      </c>
      <c r="AG12" s="197">
        <f>AG7+AG11</f>
      </c>
      <c r="AH12" s="197">
        <f>AH7+AH11</f>
      </c>
      <c r="AI12" s="197">
        <f>AI7+AI11</f>
      </c>
      <c r="AJ12" s="197">
        <f>AJ7+AJ11</f>
      </c>
      <c r="AK12" s="197">
        <f>AK7+AK11</f>
      </c>
      <c r="AL12" s="197">
        <f>AL7+AL11</f>
      </c>
      <c r="AM12" s="191"/>
    </row>
    <row hidden="true" r="13">
      <c r="A13" s="134" t="s">
        <v>87</v>
      </c>
      <c r="B13" s="134"/>
      <c r="C13" s="134"/>
      <c r="D13" s="135" t="s">
        <v>88</v>
      </c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6" t="s">
        <v>89</v>
      </c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7" t="s">
        <v>90</v>
      </c>
      <c r="AE13" s="137"/>
      <c r="AF13" s="137"/>
      <c r="AG13" s="137"/>
      <c r="AH13" s="137"/>
      <c r="AI13" s="137"/>
      <c r="AJ13" s="137"/>
      <c r="AK13" s="137"/>
      <c r="AL13" s="137"/>
      <c r="AM13" s="138"/>
    </row>
    <row hidden="true" r="14">
      <c r="A14" s="139" t="s">
        <v>91</v>
      </c>
      <c r="B14" s="140" t="s">
        <v>92</v>
      </c>
      <c r="C14" s="140" t="s">
        <v>93</v>
      </c>
      <c r="D14" s="141" t="s">
        <v>94</v>
      </c>
      <c r="E14" s="142" t="s">
        <v>95</v>
      </c>
      <c r="F14" s="142" t="s">
        <v>96</v>
      </c>
      <c r="G14" s="143" t="s">
        <v>97</v>
      </c>
      <c r="H14" s="144" t="s">
        <v>98</v>
      </c>
      <c r="I14" s="145" t="s">
        <v>99</v>
      </c>
      <c r="J14" s="141" t="s">
        <v>100</v>
      </c>
      <c r="K14" s="146" t="s">
        <v>101</v>
      </c>
      <c r="L14" s="146" t="s">
        <v>102</v>
      </c>
      <c r="M14" s="146" t="s">
        <v>103</v>
      </c>
      <c r="N14" s="143" t="s">
        <v>104</v>
      </c>
      <c r="O14" s="146" t="s">
        <v>105</v>
      </c>
      <c r="P14" s="136" t="s">
        <v>106</v>
      </c>
      <c r="Q14" s="136" t="s">
        <v>107</v>
      </c>
      <c r="R14" s="136" t="s">
        <v>108</v>
      </c>
      <c r="S14" s="147" t="s">
        <v>109</v>
      </c>
      <c r="T14" s="147" t="s">
        <v>110</v>
      </c>
      <c r="U14" s="136" t="s">
        <v>111</v>
      </c>
      <c r="V14" s="147" t="s">
        <v>112</v>
      </c>
      <c r="W14" s="147" t="s">
        <v>113</v>
      </c>
      <c r="X14" s="136" t="s">
        <v>114</v>
      </c>
      <c r="Y14" s="147" t="s">
        <v>115</v>
      </c>
      <c r="Z14" s="136" t="s">
        <v>116</v>
      </c>
      <c r="AA14" s="148" t="s">
        <v>117</v>
      </c>
      <c r="AB14" s="148" t="s">
        <v>118</v>
      </c>
      <c r="AC14" s="148" t="s">
        <v>119</v>
      </c>
      <c r="AD14" s="149" t="s">
        <v>120</v>
      </c>
      <c r="AE14" s="150" t="s">
        <v>121</v>
      </c>
      <c r="AF14" s="150" t="s">
        <v>122</v>
      </c>
      <c r="AG14" s="150" t="s">
        <v>123</v>
      </c>
      <c r="AH14" s="150" t="s">
        <v>124</v>
      </c>
      <c r="AI14" s="150" t="s">
        <v>125</v>
      </c>
      <c r="AJ14" s="151" t="s">
        <v>126</v>
      </c>
      <c r="AK14" s="151" t="s">
        <v>127</v>
      </c>
      <c r="AL14" s="151" t="s">
        <v>128</v>
      </c>
      <c r="AM14" s="138"/>
    </row>
    <row hidden="true" r="15">
      <c r="A15" s="152" t="s">
        <v>144</v>
      </c>
      <c r="B15" s="153" t="s">
        <v>130</v>
      </c>
      <c r="C15" s="154" t="s">
        <v>131</v>
      </c>
      <c r="D15" s="154">
        <f t="shared" ref="D15:D19" si="31">E15+F15+G15+H15</f>
      </c>
      <c r="E15" s="155">
        <v>1641.63</v>
      </c>
      <c r="F15" s="156">
        <v>565.14</v>
      </c>
      <c r="G15" s="157"/>
      <c r="H15" s="155">
        <v>435.69</v>
      </c>
      <c r="I15" s="153">
        <v>3</v>
      </c>
      <c r="J15" s="157">
        <v>4164</v>
      </c>
      <c r="K15" s="158">
        <v>0</v>
      </c>
      <c r="L15" s="156">
        <v>2</v>
      </c>
      <c r="M15" s="156">
        <v>1</v>
      </c>
      <c r="N15" s="159">
        <f t="shared" ref="N15:N23" si="1">J15/D15</f>
      </c>
      <c r="O15" s="159">
        <f t="shared" ref="O15:O23" si="164">J15/(D15+300*AL15)</f>
      </c>
      <c r="P15" s="160">
        <f t="shared" ref="P15:P23" si="106">(D15/AE15)*1000</f>
      </c>
      <c r="Q15" s="161">
        <f t="shared" ref="Q15:Q23" si="280">AF15/AE15</f>
      </c>
      <c r="R15" s="162">
        <f t="shared" ref="R15:R23" si="222">D15/AG15</f>
      </c>
      <c r="S15" s="161">
        <f t="shared" ref="S15:S23" si="309">AH15/AG15</f>
      </c>
      <c r="T15" s="161">
        <f t="shared" ref="T15:T23" si="425">AI15/AG15</f>
      </c>
      <c r="U15" s="162">
        <f t="shared" ref="U15:U23" si="367">D15/AI15</f>
      </c>
      <c r="V15" s="161">
        <f t="shared" ref="V15:V23" si="135">AJ15/AI15</f>
      </c>
      <c r="W15" s="161">
        <f t="shared" ref="W15:W23" si="77">I15/AJ15</f>
      </c>
      <c r="X15" s="162">
        <f t="shared" ref="X15:X23" si="251">D15/I15</f>
      </c>
      <c r="Y15" s="163">
        <f t="shared" ref="Y15:Y23" si="193">J15/I15</f>
      </c>
      <c r="Z15" s="162">
        <f t="shared" ref="Z15:Z23" si="396">D15/AD15</f>
      </c>
      <c r="AA15" s="164">
        <f t="shared" ref="AA15:AA23" si="338">AK15*1000/D15</f>
      </c>
      <c r="AB15" s="165" t="s">
        <v>132</v>
      </c>
      <c r="AC15" s="166" t="s">
        <v>133</v>
      </c>
      <c r="AD15" s="153">
        <v>2</v>
      </c>
      <c r="AE15" s="157">
        <v>6781</v>
      </c>
      <c r="AF15" s="157">
        <v>305</v>
      </c>
      <c r="AG15" s="157">
        <v>410</v>
      </c>
      <c r="AH15" s="157">
        <v>70</v>
      </c>
      <c r="AI15" s="153">
        <v>22</v>
      </c>
      <c r="AJ15" s="158">
        <v>5</v>
      </c>
      <c r="AK15" s="156">
        <v>19</v>
      </c>
      <c r="AL15" s="167">
        <v>1</v>
      </c>
      <c r="AM15" s="168"/>
    </row>
    <row hidden="true" r="16">
      <c r="A16" s="152"/>
      <c r="B16" s="169" t="s">
        <v>134</v>
      </c>
      <c r="C16" s="154" t="s">
        <v>131</v>
      </c>
      <c r="D16" s="153">
        <f t="shared" si="31"/>
      </c>
      <c r="E16" s="158">
        <v>1528.75</v>
      </c>
      <c r="F16" s="170">
        <v>947.99</v>
      </c>
      <c r="G16" s="153"/>
      <c r="H16" s="156">
        <v>566.34</v>
      </c>
      <c r="I16" s="171">
        <v>2</v>
      </c>
      <c r="J16" s="171">
        <v>4536</v>
      </c>
      <c r="K16" s="156">
        <v>0</v>
      </c>
      <c r="L16" s="156">
        <v>0</v>
      </c>
      <c r="M16" s="156">
        <v>2</v>
      </c>
      <c r="N16" s="159">
        <f t="shared" si="1"/>
      </c>
      <c r="O16" s="159">
        <f t="shared" si="164"/>
      </c>
      <c r="P16" s="160">
        <f t="shared" si="106"/>
      </c>
      <c r="Q16" s="161">
        <f t="shared" si="280"/>
      </c>
      <c r="R16" s="162">
        <f t="shared" si="222"/>
      </c>
      <c r="S16" s="161">
        <f t="shared" si="309"/>
      </c>
      <c r="T16" s="161">
        <f t="shared" si="425"/>
      </c>
      <c r="U16" s="162">
        <f t="shared" si="367"/>
      </c>
      <c r="V16" s="161">
        <f t="shared" si="135"/>
      </c>
      <c r="W16" s="161">
        <f t="shared" si="77"/>
      </c>
      <c r="X16" s="162">
        <f t="shared" si="251"/>
      </c>
      <c r="Y16" s="163">
        <f t="shared" si="193"/>
      </c>
      <c r="Z16" s="162">
        <f t="shared" si="396"/>
      </c>
      <c r="AA16" s="164">
        <f t="shared" si="338"/>
      </c>
      <c r="AB16" s="165" t="s">
        <v>132</v>
      </c>
      <c r="AC16" s="198" t="s">
        <v>133</v>
      </c>
      <c r="AD16" s="153">
        <v>2</v>
      </c>
      <c r="AE16" s="172">
        <v>5543</v>
      </c>
      <c r="AF16" s="157">
        <v>233</v>
      </c>
      <c r="AG16" s="171">
        <v>339</v>
      </c>
      <c r="AH16" s="153">
        <v>67</v>
      </c>
      <c r="AI16" s="153">
        <v>25</v>
      </c>
      <c r="AJ16" s="173">
        <v>6</v>
      </c>
      <c r="AK16" s="174">
        <v>13</v>
      </c>
      <c r="AL16" s="175">
        <v>1</v>
      </c>
      <c r="AM16" s="168"/>
    </row>
    <row hidden="true" r="17">
      <c r="A17" s="152"/>
      <c r="B17" s="169" t="s">
        <v>135</v>
      </c>
      <c r="C17" s="153" t="s">
        <v>131</v>
      </c>
      <c r="D17" s="157">
        <f t="shared" si="31"/>
      </c>
      <c r="E17" s="158">
        <v>1328.56</v>
      </c>
      <c r="F17" s="158">
        <v>941.76</v>
      </c>
      <c r="G17" s="153"/>
      <c r="H17" s="156">
        <v>846.39</v>
      </c>
      <c r="I17" s="153">
        <v>3</v>
      </c>
      <c r="J17" s="153">
        <v>6804</v>
      </c>
      <c r="K17" s="156">
        <v>0</v>
      </c>
      <c r="L17" s="156">
        <v>0</v>
      </c>
      <c r="M17" s="156">
        <v>3</v>
      </c>
      <c r="N17" s="159">
        <f t="shared" si="1"/>
      </c>
      <c r="O17" s="159">
        <f t="shared" si="164"/>
      </c>
      <c r="P17" s="160">
        <f t="shared" si="106"/>
      </c>
      <c r="Q17" s="161">
        <f t="shared" si="280"/>
      </c>
      <c r="R17" s="162">
        <f t="shared" si="222"/>
      </c>
      <c r="S17" s="161">
        <f t="shared" si="309"/>
      </c>
      <c r="T17" s="161">
        <f t="shared" si="425"/>
      </c>
      <c r="U17" s="162">
        <f t="shared" si="367"/>
      </c>
      <c r="V17" s="161">
        <f t="shared" si="135"/>
      </c>
      <c r="W17" s="161">
        <f t="shared" si="77"/>
      </c>
      <c r="X17" s="162">
        <f t="shared" si="251"/>
      </c>
      <c r="Y17" s="163">
        <f t="shared" si="193"/>
      </c>
      <c r="Z17" s="162">
        <f t="shared" si="396"/>
      </c>
      <c r="AA17" s="164">
        <f t="shared" si="338"/>
      </c>
      <c r="AB17" s="199" t="s">
        <v>132</v>
      </c>
      <c r="AC17" s="200" t="s">
        <v>133</v>
      </c>
      <c r="AD17" s="157">
        <v>3</v>
      </c>
      <c r="AE17" s="157">
        <v>6353</v>
      </c>
      <c r="AF17" s="157">
        <v>318</v>
      </c>
      <c r="AG17" s="153">
        <v>408</v>
      </c>
      <c r="AH17" s="153">
        <v>72</v>
      </c>
      <c r="AI17" s="153">
        <v>22</v>
      </c>
      <c r="AJ17" s="173">
        <v>7</v>
      </c>
      <c r="AK17" s="174">
        <v>30</v>
      </c>
      <c r="AL17" s="175">
        <v>1</v>
      </c>
      <c r="AM17" s="168"/>
    </row>
    <row hidden="true" r="18">
      <c r="A18" s="152"/>
      <c r="B18" s="169" t="s">
        <v>136</v>
      </c>
      <c r="C18" s="171" t="s">
        <v>131</v>
      </c>
      <c r="D18" s="157">
        <f t="shared" si="31"/>
      </c>
      <c r="E18" s="158">
        <v>2080.1</v>
      </c>
      <c r="F18" s="158">
        <v>613.39</v>
      </c>
      <c r="G18" s="153"/>
      <c r="H18" s="156">
        <v>639.86</v>
      </c>
      <c r="I18" s="153">
        <v>1</v>
      </c>
      <c r="J18" s="153">
        <v>2268</v>
      </c>
      <c r="K18" s="156">
        <v>0</v>
      </c>
      <c r="L18" s="156">
        <v>0</v>
      </c>
      <c r="M18" s="156">
        <v>1</v>
      </c>
      <c r="N18" s="159">
        <f t="shared" si="1"/>
      </c>
      <c r="O18" s="159">
        <f t="shared" si="164"/>
      </c>
      <c r="P18" s="160">
        <f t="shared" si="106"/>
      </c>
      <c r="Q18" s="161">
        <f t="shared" si="280"/>
      </c>
      <c r="R18" s="162">
        <f t="shared" si="222"/>
      </c>
      <c r="S18" s="161">
        <f t="shared" si="309"/>
      </c>
      <c r="T18" s="161">
        <f t="shared" si="425"/>
      </c>
      <c r="U18" s="162">
        <f t="shared" si="367"/>
      </c>
      <c r="V18" s="161">
        <f t="shared" si="135"/>
      </c>
      <c r="W18" s="161">
        <f t="shared" si="77"/>
      </c>
      <c r="X18" s="162">
        <f t="shared" si="251"/>
      </c>
      <c r="Y18" s="163">
        <f t="shared" si="193"/>
      </c>
      <c r="Z18" s="162">
        <f t="shared" si="396"/>
      </c>
      <c r="AA18" s="164">
        <f t="shared" si="338"/>
      </c>
      <c r="AB18" s="199" t="s">
        <v>132</v>
      </c>
      <c r="AC18" s="200" t="s">
        <v>133</v>
      </c>
      <c r="AD18" s="172">
        <v>1</v>
      </c>
      <c r="AE18" s="171">
        <v>8891</v>
      </c>
      <c r="AF18" s="153">
        <v>322</v>
      </c>
      <c r="AG18" s="153">
        <v>428</v>
      </c>
      <c r="AH18" s="153">
        <v>78</v>
      </c>
      <c r="AI18" s="153">
        <v>25</v>
      </c>
      <c r="AJ18" s="173">
        <v>5</v>
      </c>
      <c r="AK18" s="174">
        <v>18</v>
      </c>
      <c r="AL18" s="175">
        <v>1</v>
      </c>
      <c r="AM18" s="168"/>
    </row>
    <row hidden="true" r="19">
      <c r="A19" s="152"/>
      <c r="B19" s="153" t="s">
        <v>145</v>
      </c>
      <c r="C19" s="171" t="s">
        <v>131</v>
      </c>
      <c r="D19" s="157">
        <f t="shared" si="31"/>
      </c>
      <c r="E19" s="156">
        <v>404.61</v>
      </c>
      <c r="F19" s="158">
        <v>686.39</v>
      </c>
      <c r="G19" s="153"/>
      <c r="H19" s="156">
        <v>540.05</v>
      </c>
      <c r="I19" s="153">
        <v>1</v>
      </c>
      <c r="J19" s="153">
        <v>2080</v>
      </c>
      <c r="K19" s="156">
        <v>0</v>
      </c>
      <c r="L19" s="156">
        <v>0</v>
      </c>
      <c r="M19" s="156">
        <v>1</v>
      </c>
      <c r="N19" s="159">
        <f t="shared" si="1"/>
      </c>
      <c r="O19" s="159">
        <f t="shared" si="164"/>
      </c>
      <c r="P19" s="160">
        <f t="shared" si="106"/>
      </c>
      <c r="Q19" s="161">
        <f t="shared" si="280"/>
      </c>
      <c r="R19" s="162">
        <f t="shared" si="222"/>
      </c>
      <c r="S19" s="161">
        <f t="shared" si="309"/>
      </c>
      <c r="T19" s="161">
        <f t="shared" si="425"/>
      </c>
      <c r="U19" s="162">
        <f t="shared" si="367"/>
      </c>
      <c r="V19" s="161">
        <f t="shared" si="135"/>
      </c>
      <c r="W19" s="161">
        <f t="shared" si="77"/>
      </c>
      <c r="X19" s="162">
        <f t="shared" si="251"/>
      </c>
      <c r="Y19" s="163">
        <f t="shared" si="193"/>
      </c>
      <c r="Z19" s="162">
        <f t="shared" si="396"/>
      </c>
      <c r="AA19" s="164">
        <f t="shared" si="338"/>
      </c>
      <c r="AB19" s="199" t="s">
        <v>132</v>
      </c>
      <c r="AC19" s="200" t="s">
        <v>133</v>
      </c>
      <c r="AD19" s="172">
        <v>1</v>
      </c>
      <c r="AE19" s="171">
        <v>3253</v>
      </c>
      <c r="AF19" s="153">
        <v>169</v>
      </c>
      <c r="AG19" s="153">
        <v>232</v>
      </c>
      <c r="AH19" s="153">
        <v>28</v>
      </c>
      <c r="AI19" s="153">
        <v>15</v>
      </c>
      <c r="AJ19" s="201">
        <v>1</v>
      </c>
      <c r="AK19" s="174">
        <v>6</v>
      </c>
      <c r="AL19" s="175">
        <v>1</v>
      </c>
      <c r="AM19" s="168"/>
    </row>
    <row hidden="true" r="20">
      <c r="A20" s="152"/>
      <c r="B20" s="176" t="s">
        <v>137</v>
      </c>
      <c r="C20" s="176"/>
      <c r="D20" s="176">
        <f>SUM(D15:D19)</f>
      </c>
      <c r="E20" s="176">
        <f>SUM(E15:E19)</f>
      </c>
      <c r="F20" s="176">
        <f>SUM(F15:F19)</f>
      </c>
      <c r="G20" s="176">
        <f>SUM(G15:G19)</f>
      </c>
      <c r="H20" s="176">
        <f>SUM(H15:H19)</f>
      </c>
      <c r="I20" s="176">
        <f>SUM(I15:I19)</f>
      </c>
      <c r="J20" s="176">
        <f>SUM(J15:J19)</f>
      </c>
      <c r="K20" s="176">
        <f>SUM(K15:K19)</f>
      </c>
      <c r="L20" s="176">
        <f>SUM(L15:L19)</f>
      </c>
      <c r="M20" s="176">
        <f>SUM(M15:M19)</f>
      </c>
      <c r="N20" s="177">
        <f t="shared" si="1"/>
      </c>
      <c r="O20" s="177">
        <f t="shared" si="164"/>
      </c>
      <c r="P20" s="178">
        <f t="shared" si="106"/>
      </c>
      <c r="Q20" s="179">
        <f t="shared" si="280"/>
      </c>
      <c r="R20" s="180">
        <f t="shared" si="222"/>
      </c>
      <c r="S20" s="179">
        <f t="shared" si="309"/>
      </c>
      <c r="T20" s="179">
        <f t="shared" si="425"/>
      </c>
      <c r="U20" s="180">
        <f t="shared" si="367"/>
      </c>
      <c r="V20" s="179">
        <f t="shared" si="135"/>
      </c>
      <c r="W20" s="179">
        <f t="shared" si="77"/>
      </c>
      <c r="X20" s="180">
        <f t="shared" si="251"/>
      </c>
      <c r="Y20" s="181">
        <f t="shared" si="193"/>
      </c>
      <c r="Z20" s="180">
        <f t="shared" si="396"/>
      </c>
      <c r="AA20" s="182">
        <f t="shared" si="338"/>
      </c>
      <c r="AB20" s="189"/>
      <c r="AC20" s="202"/>
      <c r="AD20" s="183">
        <f>SUM(AD15:AD19)</f>
      </c>
      <c r="AE20" s="183">
        <f>SUM(AE15:AE19)</f>
      </c>
      <c r="AF20" s="183">
        <f>SUM(AF15:AF19)</f>
      </c>
      <c r="AG20" s="183">
        <f>SUM(AG15:AG19)</f>
      </c>
      <c r="AH20" s="183">
        <f>SUM(AH15:AH19)</f>
      </c>
      <c r="AI20" s="183">
        <f>SUM(AI15:AI19)</f>
      </c>
      <c r="AJ20" s="183">
        <f>SUM(AJ15:AJ19)</f>
      </c>
      <c r="AK20" s="183">
        <f>SUM(AK15:AK19)</f>
      </c>
      <c r="AL20" s="183">
        <f>SUM(AL15:AL19)</f>
      </c>
      <c r="AM20" s="168"/>
    </row>
    <row hidden="true" r="21">
      <c r="A21" s="152"/>
      <c r="B21" s="171" t="s">
        <v>140</v>
      </c>
      <c r="C21" s="153" t="s">
        <v>146</v>
      </c>
      <c r="D21" s="153">
        <f>E21+F21+G21+H21</f>
      </c>
      <c r="E21" s="156">
        <v>235.84</v>
      </c>
      <c r="F21" s="158">
        <v>434.35</v>
      </c>
      <c r="G21" s="153"/>
      <c r="H21" s="156">
        <v>435.27</v>
      </c>
      <c r="I21" s="156">
        <v>0</v>
      </c>
      <c r="J21" s="156">
        <v>0</v>
      </c>
      <c r="K21" s="156">
        <v>0</v>
      </c>
      <c r="L21" s="156">
        <v>0</v>
      </c>
      <c r="M21" s="156">
        <v>0</v>
      </c>
      <c r="N21" s="159">
        <f t="shared" si="1"/>
      </c>
      <c r="O21" s="159">
        <f t="shared" si="164"/>
      </c>
      <c r="P21" s="160">
        <f t="shared" si="106"/>
      </c>
      <c r="Q21" s="161">
        <f t="shared" si="280"/>
      </c>
      <c r="R21" s="162">
        <f t="shared" si="222"/>
      </c>
      <c r="S21" s="161">
        <f t="shared" si="309"/>
      </c>
      <c r="T21" s="161">
        <f t="shared" si="425"/>
      </c>
      <c r="U21" s="162">
        <f t="shared" si="367"/>
      </c>
      <c r="V21" s="161">
        <f t="shared" si="135"/>
      </c>
      <c r="W21" s="161">
        <f t="shared" si="77"/>
      </c>
      <c r="X21" s="162">
        <f t="shared" si="251"/>
      </c>
      <c r="Y21" s="163">
        <f t="shared" si="193"/>
      </c>
      <c r="Z21" s="162">
        <f t="shared" si="396"/>
      </c>
      <c r="AA21" s="164">
        <f t="shared" si="338"/>
      </c>
      <c r="AB21" s="199" t="s">
        <v>132</v>
      </c>
      <c r="AC21" s="200" t="s">
        <v>133</v>
      </c>
      <c r="AD21" s="185">
        <v>0</v>
      </c>
      <c r="AE21" s="167">
        <v>2770</v>
      </c>
      <c r="AF21" s="167">
        <v>149</v>
      </c>
      <c r="AG21" s="167">
        <v>233</v>
      </c>
      <c r="AH21" s="167">
        <v>33</v>
      </c>
      <c r="AI21" s="167">
        <v>22</v>
      </c>
      <c r="AJ21" s="175">
        <v>0</v>
      </c>
      <c r="AK21" s="175">
        <v>12</v>
      </c>
      <c r="AL21" s="175">
        <v>1</v>
      </c>
      <c r="AM21" s="168"/>
    </row>
    <row hidden="true" r="22">
      <c r="A22" s="152"/>
      <c r="B22" s="176" t="s">
        <v>137</v>
      </c>
      <c r="C22" s="176"/>
      <c r="D22" s="176">
        <f>SUM(D21)</f>
      </c>
      <c r="E22" s="176">
        <f>SUM(E21)</f>
      </c>
      <c r="F22" s="176">
        <f>SUM(F21)</f>
      </c>
      <c r="G22" s="176">
        <f>SUM(G21)</f>
      </c>
      <c r="H22" s="176">
        <f>SUM(H21)</f>
      </c>
      <c r="I22" s="176">
        <f>SUM(I21)</f>
      </c>
      <c r="J22" s="176">
        <f>SUM(J21)</f>
      </c>
      <c r="K22" s="176">
        <f>SUM(K21)</f>
      </c>
      <c r="L22" s="176">
        <f>SUM(L21)</f>
      </c>
      <c r="M22" s="176">
        <f>SUM(M21)</f>
      </c>
      <c r="N22" s="177">
        <f t="shared" si="1"/>
      </c>
      <c r="O22" s="177">
        <f t="shared" si="164"/>
      </c>
      <c r="P22" s="188">
        <f t="shared" si="106"/>
      </c>
      <c r="Q22" s="179">
        <f t="shared" si="280"/>
      </c>
      <c r="R22" s="180">
        <f t="shared" si="222"/>
      </c>
      <c r="S22" s="179">
        <f t="shared" si="309"/>
      </c>
      <c r="T22" s="179">
        <f t="shared" si="425"/>
      </c>
      <c r="U22" s="180">
        <f t="shared" si="367"/>
      </c>
      <c r="V22" s="179">
        <f t="shared" si="135"/>
      </c>
      <c r="W22" s="179">
        <f t="shared" si="77"/>
      </c>
      <c r="X22" s="180">
        <f t="shared" si="251"/>
      </c>
      <c r="Y22" s="181">
        <f t="shared" si="193"/>
      </c>
      <c r="Z22" s="180">
        <f t="shared" si="396"/>
      </c>
      <c r="AA22" s="182">
        <f t="shared" si="338"/>
      </c>
      <c r="AB22" s="182"/>
      <c r="AC22" s="203"/>
      <c r="AD22" s="190">
        <f>SUM(AD21)</f>
      </c>
      <c r="AE22" s="190">
        <f>SUM(AE21)</f>
      </c>
      <c r="AF22" s="190">
        <f>SUM(AF21)</f>
      </c>
      <c r="AG22" s="190">
        <f>SUM(AG21)</f>
      </c>
      <c r="AH22" s="190">
        <f>SUM(AH21)</f>
      </c>
      <c r="AI22" s="190">
        <f>SUM(AI21)</f>
      </c>
      <c r="AJ22" s="190">
        <f>SUM(AJ21)</f>
      </c>
      <c r="AK22" s="190">
        <f>SUM(AK21)</f>
      </c>
      <c r="AL22" s="190">
        <f>SUM(AL21)</f>
      </c>
      <c r="AM22" s="191" t="s">
        <v>142</v>
      </c>
    </row>
    <row hidden="true" r="23">
      <c r="A23" s="152"/>
      <c r="B23" s="192" t="s">
        <v>143</v>
      </c>
      <c r="C23" s="192"/>
      <c r="D23" s="192">
        <f>D20+D22</f>
      </c>
      <c r="E23" s="192">
        <f>E20+E22</f>
      </c>
      <c r="F23" s="192">
        <f>F20+F22</f>
      </c>
      <c r="G23" s="192">
        <f>G20+G22</f>
      </c>
      <c r="H23" s="192">
        <f>H20+H22</f>
      </c>
      <c r="I23" s="192">
        <f>I20+I22</f>
      </c>
      <c r="J23" s="192">
        <f>J20+J22</f>
      </c>
      <c r="K23" s="192">
        <f>K20+K22</f>
      </c>
      <c r="L23" s="192">
        <f>L20+L22</f>
      </c>
      <c r="M23" s="192">
        <f>M20+M22</f>
      </c>
      <c r="N23" s="193">
        <f t="shared" si="1"/>
      </c>
      <c r="O23" s="193">
        <f t="shared" si="164"/>
      </c>
      <c r="P23" s="194">
        <f t="shared" si="106"/>
      </c>
      <c r="Q23" s="195">
        <f t="shared" si="280"/>
      </c>
      <c r="R23" s="193">
        <f t="shared" si="222"/>
      </c>
      <c r="S23" s="195">
        <f t="shared" si="309"/>
      </c>
      <c r="T23" s="195">
        <f t="shared" si="425"/>
      </c>
      <c r="U23" s="193">
        <f t="shared" si="367"/>
      </c>
      <c r="V23" s="195">
        <f t="shared" si="135"/>
      </c>
      <c r="W23" s="195">
        <f t="shared" si="77"/>
      </c>
      <c r="X23" s="193">
        <f t="shared" si="251"/>
      </c>
      <c r="Y23" s="196">
        <f t="shared" si="193"/>
      </c>
      <c r="Z23" s="193">
        <f t="shared" si="396"/>
      </c>
      <c r="AA23" s="194">
        <f t="shared" si="338"/>
      </c>
      <c r="AB23" s="194"/>
      <c r="AC23" s="194"/>
      <c r="AD23" s="197">
        <f>AD20+AD22</f>
      </c>
      <c r="AE23" s="197">
        <f>AE20+AE22</f>
      </c>
      <c r="AF23" s="197">
        <f>AF20+AF22</f>
      </c>
      <c r="AG23" s="197">
        <f>AG20+AG22</f>
      </c>
      <c r="AH23" s="197">
        <f>AH20+AH22</f>
      </c>
      <c r="AI23" s="197">
        <f>AI20+AI22</f>
      </c>
      <c r="AJ23" s="197">
        <f>AJ20+AJ22</f>
      </c>
      <c r="AK23" s="197">
        <f>AK20+AK22</f>
      </c>
      <c r="AL23" s="197">
        <f>AL20+AL22</f>
      </c>
      <c r="AM23" s="191"/>
    </row>
    <row hidden="true" r="24">
      <c r="A24" s="134" t="s">
        <v>87</v>
      </c>
      <c r="B24" s="134"/>
      <c r="C24" s="134"/>
      <c r="D24" s="135" t="s">
        <v>88</v>
      </c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6" t="s">
        <v>89</v>
      </c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7" t="s">
        <v>90</v>
      </c>
      <c r="AE24" s="137"/>
      <c r="AF24" s="137"/>
      <c r="AG24" s="137"/>
      <c r="AH24" s="137"/>
      <c r="AI24" s="137"/>
      <c r="AJ24" s="137"/>
      <c r="AK24" s="137"/>
      <c r="AL24" s="137"/>
      <c r="AM24" s="138"/>
    </row>
    <row hidden="true" r="25">
      <c r="A25" s="139" t="s">
        <v>91</v>
      </c>
      <c r="B25" s="140" t="s">
        <v>92</v>
      </c>
      <c r="C25" s="140" t="s">
        <v>93</v>
      </c>
      <c r="D25" s="141" t="s">
        <v>94</v>
      </c>
      <c r="E25" s="142" t="s">
        <v>95</v>
      </c>
      <c r="F25" s="142" t="s">
        <v>96</v>
      </c>
      <c r="G25" s="143" t="s">
        <v>97</v>
      </c>
      <c r="H25" s="144" t="s">
        <v>98</v>
      </c>
      <c r="I25" s="145" t="s">
        <v>99</v>
      </c>
      <c r="J25" s="141" t="s">
        <v>100</v>
      </c>
      <c r="K25" s="146" t="s">
        <v>101</v>
      </c>
      <c r="L25" s="146" t="s">
        <v>102</v>
      </c>
      <c r="M25" s="146" t="s">
        <v>103</v>
      </c>
      <c r="N25" s="143" t="s">
        <v>104</v>
      </c>
      <c r="O25" s="146" t="s">
        <v>105</v>
      </c>
      <c r="P25" s="136" t="s">
        <v>106</v>
      </c>
      <c r="Q25" s="136" t="s">
        <v>107</v>
      </c>
      <c r="R25" s="136" t="s">
        <v>108</v>
      </c>
      <c r="S25" s="147" t="s">
        <v>109</v>
      </c>
      <c r="T25" s="147" t="s">
        <v>110</v>
      </c>
      <c r="U25" s="136" t="s">
        <v>111</v>
      </c>
      <c r="V25" s="147" t="s">
        <v>112</v>
      </c>
      <c r="W25" s="147" t="s">
        <v>113</v>
      </c>
      <c r="X25" s="136" t="s">
        <v>114</v>
      </c>
      <c r="Y25" s="147" t="s">
        <v>115</v>
      </c>
      <c r="Z25" s="136" t="s">
        <v>116</v>
      </c>
      <c r="AA25" s="148" t="s">
        <v>117</v>
      </c>
      <c r="AB25" s="148" t="s">
        <v>118</v>
      </c>
      <c r="AC25" s="148" t="s">
        <v>119</v>
      </c>
      <c r="AD25" s="149" t="s">
        <v>120</v>
      </c>
      <c r="AE25" s="150" t="s">
        <v>121</v>
      </c>
      <c r="AF25" s="150" t="s">
        <v>122</v>
      </c>
      <c r="AG25" s="150" t="s">
        <v>123</v>
      </c>
      <c r="AH25" s="150" t="s">
        <v>124</v>
      </c>
      <c r="AI25" s="150" t="s">
        <v>125</v>
      </c>
      <c r="AJ25" s="151" t="s">
        <v>126</v>
      </c>
      <c r="AK25" s="151" t="s">
        <v>127</v>
      </c>
      <c r="AL25" s="151" t="s">
        <v>128</v>
      </c>
      <c r="AM25" s="138"/>
    </row>
    <row hidden="true" r="26">
      <c r="A26" s="152" t="s">
        <v>147</v>
      </c>
      <c r="B26" s="153" t="s">
        <v>130</v>
      </c>
      <c r="C26" s="153" t="s">
        <v>139</v>
      </c>
      <c r="D26" s="154">
        <f t="shared" ref="D26:D29" si="32">E26+F26+G26+H26</f>
      </c>
      <c r="E26" s="155">
        <v>1622.55</v>
      </c>
      <c r="F26" s="156">
        <v>557.94</v>
      </c>
      <c r="G26" s="157"/>
      <c r="H26" s="155">
        <v>548.3</v>
      </c>
      <c r="I26" s="156">
        <v>1</v>
      </c>
      <c r="J26" s="158">
        <v>2268</v>
      </c>
      <c r="K26" s="158">
        <v>0</v>
      </c>
      <c r="L26" s="156">
        <v>0</v>
      </c>
      <c r="M26" s="156">
        <v>1</v>
      </c>
      <c r="N26" s="159">
        <f t="shared" ref="N26:N36" si="2">J26/D26</f>
      </c>
      <c r="O26" s="159">
        <f t="shared" ref="O26:O36" si="165">J26/(D26+300*AL26)</f>
      </c>
      <c r="P26" s="160">
        <f t="shared" ref="P26:P36" si="107">(D26/AE26)*1000</f>
      </c>
      <c r="Q26" s="161">
        <f t="shared" ref="Q26:Q36" si="281">AF26/AE26</f>
      </c>
      <c r="R26" s="162">
        <f t="shared" ref="R26:R36" si="223">D26/AG26</f>
      </c>
      <c r="S26" s="161">
        <f t="shared" ref="S26:S36" si="310">AH26/AG26</f>
      </c>
      <c r="T26" s="161">
        <f t="shared" ref="T26:T36" si="426">AI26/AG26</f>
      </c>
      <c r="U26" s="162">
        <f t="shared" ref="U26:U36" si="368">D26/AI26</f>
      </c>
      <c r="V26" s="161">
        <f t="shared" ref="V26:V36" si="136">AJ26/AI26</f>
      </c>
      <c r="W26" s="161">
        <f t="shared" ref="W26:W36" si="78">I26/AJ26</f>
      </c>
      <c r="X26" s="162">
        <f t="shared" ref="X26:X36" si="252">D26/I26</f>
      </c>
      <c r="Y26" s="163">
        <f t="shared" ref="Y26:Y36" si="194">J26/I26</f>
      </c>
      <c r="Z26" s="162">
        <f t="shared" ref="Z26:Z36" si="397">D26/AD26</f>
      </c>
      <c r="AA26" s="164">
        <f t="shared" ref="AA26:AA36" si="339">AK26*1000/D26</f>
      </c>
      <c r="AB26" s="165" t="s">
        <v>132</v>
      </c>
      <c r="AC26" s="166" t="s">
        <v>133</v>
      </c>
      <c r="AD26" s="153">
        <v>1</v>
      </c>
      <c r="AE26" s="157">
        <v>5629</v>
      </c>
      <c r="AF26" s="157">
        <v>292</v>
      </c>
      <c r="AG26" s="157">
        <v>416</v>
      </c>
      <c r="AH26" s="157">
        <v>68</v>
      </c>
      <c r="AI26" s="153">
        <v>17</v>
      </c>
      <c r="AJ26" s="158">
        <v>2</v>
      </c>
      <c r="AK26" s="156">
        <v>19</v>
      </c>
      <c r="AL26" s="175">
        <v>1</v>
      </c>
      <c r="AM26" s="168"/>
    </row>
    <row hidden="true" r="27">
      <c r="A27" s="152"/>
      <c r="B27" s="169" t="s">
        <v>134</v>
      </c>
      <c r="C27" s="153" t="s">
        <v>139</v>
      </c>
      <c r="D27" s="153">
        <f t="shared" si="32"/>
      </c>
      <c r="E27" s="158">
        <v>3527.13</v>
      </c>
      <c r="F27" s="170">
        <v>854.08</v>
      </c>
      <c r="G27" s="153"/>
      <c r="H27" s="156">
        <v>543.52</v>
      </c>
      <c r="I27" s="171">
        <v>8</v>
      </c>
      <c r="J27" s="171">
        <v>18144</v>
      </c>
      <c r="K27" s="156">
        <v>0</v>
      </c>
      <c r="L27" s="156">
        <v>0</v>
      </c>
      <c r="M27" s="156">
        <v>8</v>
      </c>
      <c r="N27" s="159">
        <f t="shared" si="2"/>
      </c>
      <c r="O27" s="159">
        <f t="shared" si="165"/>
      </c>
      <c r="P27" s="160">
        <f t="shared" si="107"/>
      </c>
      <c r="Q27" s="161">
        <f t="shared" si="281"/>
      </c>
      <c r="R27" s="162">
        <f t="shared" si="223"/>
      </c>
      <c r="S27" s="161">
        <f t="shared" si="310"/>
      </c>
      <c r="T27" s="161">
        <f t="shared" si="426"/>
      </c>
      <c r="U27" s="162">
        <f t="shared" si="368"/>
      </c>
      <c r="V27" s="161">
        <f t="shared" si="136"/>
      </c>
      <c r="W27" s="161">
        <f t="shared" si="78"/>
      </c>
      <c r="X27" s="162">
        <f t="shared" si="252"/>
      </c>
      <c r="Y27" s="163">
        <f t="shared" si="194"/>
      </c>
      <c r="Z27" s="162">
        <f t="shared" si="397"/>
      </c>
      <c r="AA27" s="164">
        <f t="shared" si="339"/>
      </c>
      <c r="AB27" s="165" t="s">
        <v>132</v>
      </c>
      <c r="AC27" s="166" t="s">
        <v>133</v>
      </c>
      <c r="AD27" s="153">
        <v>5</v>
      </c>
      <c r="AE27" s="172">
        <v>12415</v>
      </c>
      <c r="AF27" s="157">
        <v>484</v>
      </c>
      <c r="AG27" s="171">
        <v>630</v>
      </c>
      <c r="AH27" s="153">
        <v>121</v>
      </c>
      <c r="AI27" s="153">
        <v>22</v>
      </c>
      <c r="AJ27" s="173">
        <v>11</v>
      </c>
      <c r="AK27" s="174">
        <v>30</v>
      </c>
      <c r="AL27" s="175">
        <v>1</v>
      </c>
      <c r="AM27" s="168"/>
    </row>
    <row hidden="true" r="28">
      <c r="A28" s="152"/>
      <c r="B28" s="169" t="s">
        <v>135</v>
      </c>
      <c r="C28" s="153" t="s">
        <v>139</v>
      </c>
      <c r="D28" s="157">
        <f t="shared" si="32"/>
      </c>
      <c r="E28" s="158">
        <v>2494.21</v>
      </c>
      <c r="F28" s="158">
        <v>1494.39</v>
      </c>
      <c r="G28" s="153"/>
      <c r="H28" s="156">
        <v>192.63</v>
      </c>
      <c r="I28" s="153">
        <v>2</v>
      </c>
      <c r="J28" s="153">
        <v>4536</v>
      </c>
      <c r="K28" s="156">
        <v>0</v>
      </c>
      <c r="L28" s="156">
        <v>0</v>
      </c>
      <c r="M28" s="156">
        <v>2</v>
      </c>
      <c r="N28" s="159">
        <f t="shared" si="2"/>
      </c>
      <c r="O28" s="159">
        <f t="shared" si="165"/>
      </c>
      <c r="P28" s="160">
        <f t="shared" si="107"/>
      </c>
      <c r="Q28" s="161">
        <f t="shared" si="281"/>
      </c>
      <c r="R28" s="162">
        <f t="shared" si="223"/>
      </c>
      <c r="S28" s="161">
        <f t="shared" si="310"/>
      </c>
      <c r="T28" s="161">
        <f t="shared" si="426"/>
      </c>
      <c r="U28" s="162">
        <f t="shared" si="368"/>
      </c>
      <c r="V28" s="161">
        <f t="shared" si="136"/>
      </c>
      <c r="W28" s="161">
        <f t="shared" si="78"/>
      </c>
      <c r="X28" s="162">
        <f t="shared" si="252"/>
      </c>
      <c r="Y28" s="163">
        <f t="shared" si="194"/>
      </c>
      <c r="Z28" s="162">
        <f t="shared" si="397"/>
      </c>
      <c r="AA28" s="164">
        <f t="shared" si="339"/>
      </c>
      <c r="AB28" s="165" t="s">
        <v>132</v>
      </c>
      <c r="AC28" s="166" t="s">
        <v>148</v>
      </c>
      <c r="AD28" s="153">
        <v>2</v>
      </c>
      <c r="AE28" s="157">
        <v>10158</v>
      </c>
      <c r="AF28" s="157">
        <v>433</v>
      </c>
      <c r="AG28" s="153">
        <v>592</v>
      </c>
      <c r="AH28" s="153">
        <v>94</v>
      </c>
      <c r="AI28" s="153">
        <v>23</v>
      </c>
      <c r="AJ28" s="173">
        <v>4</v>
      </c>
      <c r="AK28" s="174">
        <v>25</v>
      </c>
      <c r="AL28" s="175">
        <v>1</v>
      </c>
      <c r="AM28" s="168"/>
    </row>
    <row hidden="true" r="29">
      <c r="A29" s="152"/>
      <c r="B29" s="169" t="s">
        <v>136</v>
      </c>
      <c r="C29" s="153" t="s">
        <v>139</v>
      </c>
      <c r="D29" s="157">
        <f t="shared" si="32"/>
      </c>
      <c r="E29" s="158">
        <v>1593.77</v>
      </c>
      <c r="F29" s="158">
        <v>863.44</v>
      </c>
      <c r="G29" s="153"/>
      <c r="H29" s="156">
        <v>232.7</v>
      </c>
      <c r="I29" s="153">
        <v>3</v>
      </c>
      <c r="J29" s="153">
        <v>5484</v>
      </c>
      <c r="K29" s="156">
        <v>0</v>
      </c>
      <c r="L29" s="156">
        <v>1</v>
      </c>
      <c r="M29" s="156">
        <v>2</v>
      </c>
      <c r="N29" s="159">
        <f t="shared" si="2"/>
      </c>
      <c r="O29" s="159">
        <f t="shared" si="165"/>
      </c>
      <c r="P29" s="160">
        <f t="shared" si="107"/>
      </c>
      <c r="Q29" s="161">
        <f t="shared" si="281"/>
      </c>
      <c r="R29" s="162">
        <f t="shared" si="223"/>
      </c>
      <c r="S29" s="161">
        <f t="shared" si="310"/>
      </c>
      <c r="T29" s="161">
        <f t="shared" si="426"/>
      </c>
      <c r="U29" s="162">
        <f t="shared" si="368"/>
      </c>
      <c r="V29" s="161">
        <f t="shared" si="136"/>
      </c>
      <c r="W29" s="161">
        <f t="shared" si="78"/>
      </c>
      <c r="X29" s="162">
        <f t="shared" si="252"/>
      </c>
      <c r="Y29" s="163">
        <f t="shared" si="194"/>
      </c>
      <c r="Z29" s="162">
        <f t="shared" si="397"/>
      </c>
      <c r="AA29" s="164">
        <f t="shared" si="339"/>
      </c>
      <c r="AB29" s="165" t="s">
        <v>132</v>
      </c>
      <c r="AC29" s="166" t="s">
        <v>149</v>
      </c>
      <c r="AD29" s="172">
        <v>3</v>
      </c>
      <c r="AE29" s="171">
        <v>7384</v>
      </c>
      <c r="AF29" s="153">
        <v>304</v>
      </c>
      <c r="AG29" s="153">
        <v>379</v>
      </c>
      <c r="AH29" s="153">
        <v>61</v>
      </c>
      <c r="AI29" s="153">
        <v>16</v>
      </c>
      <c r="AJ29" s="173">
        <v>6</v>
      </c>
      <c r="AK29" s="174">
        <v>10</v>
      </c>
      <c r="AL29" s="175">
        <v>1</v>
      </c>
      <c r="AM29" s="168"/>
    </row>
    <row hidden="true" r="30">
      <c r="A30" s="152"/>
      <c r="B30" s="176" t="s">
        <v>137</v>
      </c>
      <c r="C30" s="176"/>
      <c r="D30" s="176">
        <f>SUM(D26:D29)</f>
      </c>
      <c r="E30" s="176">
        <f>SUM(E26:E29)</f>
      </c>
      <c r="F30" s="176">
        <f>SUM(F26:F29)</f>
      </c>
      <c r="G30" s="176">
        <f>SUM(G26:G29)</f>
      </c>
      <c r="H30" s="176">
        <f>SUM(H26:H29)</f>
      </c>
      <c r="I30" s="176">
        <f>SUM(I26:I29)</f>
      </c>
      <c r="J30" s="176">
        <f>SUM(J26:J29)</f>
      </c>
      <c r="K30" s="176">
        <f>SUM(K26:K29)</f>
      </c>
      <c r="L30" s="176">
        <f>SUM(L26:L29)</f>
      </c>
      <c r="M30" s="176">
        <f>SUM(M26:M29)</f>
      </c>
      <c r="N30" s="177">
        <f t="shared" si="2"/>
      </c>
      <c r="O30" s="177">
        <f t="shared" si="165"/>
      </c>
      <c r="P30" s="178">
        <f t="shared" si="107"/>
      </c>
      <c r="Q30" s="179">
        <f t="shared" si="281"/>
      </c>
      <c r="R30" s="180">
        <f t="shared" si="223"/>
      </c>
      <c r="S30" s="179">
        <f t="shared" si="310"/>
      </c>
      <c r="T30" s="179">
        <f t="shared" si="426"/>
      </c>
      <c r="U30" s="180">
        <f t="shared" si="368"/>
      </c>
      <c r="V30" s="179">
        <f t="shared" si="136"/>
      </c>
      <c r="W30" s="179">
        <f t="shared" si="78"/>
      </c>
      <c r="X30" s="180">
        <f t="shared" si="252"/>
      </c>
      <c r="Y30" s="181">
        <f t="shared" si="194"/>
      </c>
      <c r="Z30" s="180">
        <f t="shared" si="397"/>
      </c>
      <c r="AA30" s="182">
        <f t="shared" si="339"/>
      </c>
      <c r="AB30" s="182"/>
      <c r="AC30" s="182"/>
      <c r="AD30" s="183">
        <f>SUM(AD26:AD29)</f>
      </c>
      <c r="AE30" s="183">
        <f>SUM(AE26:AE29)</f>
      </c>
      <c r="AF30" s="183">
        <f>SUM(AF26:AF29)</f>
      </c>
      <c r="AG30" s="183">
        <f>SUM(AG26:AG29)</f>
      </c>
      <c r="AH30" s="183">
        <f>SUM(AH26:AH29)</f>
      </c>
      <c r="AI30" s="183">
        <f>SUM(AI26:AI29)</f>
      </c>
      <c r="AJ30" s="183">
        <f>SUM(AJ26:AJ29)</f>
      </c>
      <c r="AK30" s="183">
        <f>SUM(AK26:AK29)</f>
      </c>
      <c r="AL30" s="183">
        <f>SUM(AL26:AL29)</f>
      </c>
      <c r="AM30" s="168"/>
    </row>
    <row hidden="true" r="31">
      <c r="A31" s="152"/>
      <c r="B31" s="184" t="s">
        <v>145</v>
      </c>
      <c r="C31" s="154" t="s">
        <v>131</v>
      </c>
      <c r="D31" s="153">
        <f t="shared" ref="D31:D34" si="33">E31+F31+G31+H31</f>
      </c>
      <c r="E31" s="156">
        <v>1682.12</v>
      </c>
      <c r="F31" s="158">
        <v>849.12</v>
      </c>
      <c r="G31" s="153"/>
      <c r="H31" s="156">
        <v>165.62</v>
      </c>
      <c r="I31" s="153">
        <v>1</v>
      </c>
      <c r="J31" s="153">
        <v>2268</v>
      </c>
      <c r="K31" s="156">
        <v>0</v>
      </c>
      <c r="L31" s="156">
        <v>0</v>
      </c>
      <c r="M31" s="156">
        <v>1</v>
      </c>
      <c r="N31" s="159">
        <f t="shared" si="2"/>
      </c>
      <c r="O31" s="159">
        <f t="shared" si="165"/>
      </c>
      <c r="P31" s="160">
        <f t="shared" si="107"/>
      </c>
      <c r="Q31" s="161">
        <f t="shared" si="281"/>
      </c>
      <c r="R31" s="162">
        <f t="shared" si="223"/>
      </c>
      <c r="S31" s="161">
        <f t="shared" si="310"/>
      </c>
      <c r="T31" s="161">
        <f t="shared" si="426"/>
      </c>
      <c r="U31" s="162">
        <f t="shared" si="368"/>
      </c>
      <c r="V31" s="161">
        <f t="shared" si="136"/>
      </c>
      <c r="W31" s="161">
        <f t="shared" si="78"/>
      </c>
      <c r="X31" s="162">
        <f t="shared" si="252"/>
      </c>
      <c r="Y31" s="163">
        <f t="shared" si="194"/>
      </c>
      <c r="Z31" s="162">
        <f t="shared" si="397"/>
      </c>
      <c r="AA31" s="164">
        <f t="shared" si="339"/>
      </c>
      <c r="AB31" s="165" t="s">
        <v>132</v>
      </c>
      <c r="AC31" s="166" t="s">
        <v>149</v>
      </c>
      <c r="AD31" s="185">
        <v>1</v>
      </c>
      <c r="AE31" s="167">
        <v>8177</v>
      </c>
      <c r="AF31" s="167">
        <v>372</v>
      </c>
      <c r="AG31" s="167">
        <v>422</v>
      </c>
      <c r="AH31" s="167">
        <v>90</v>
      </c>
      <c r="AI31" s="167">
        <v>20</v>
      </c>
      <c r="AJ31" s="175">
        <v>4</v>
      </c>
      <c r="AK31" s="175">
        <v>15</v>
      </c>
      <c r="AL31" s="175">
        <v>1</v>
      </c>
      <c r="AM31" s="168"/>
    </row>
    <row hidden="true" r="32">
      <c r="A32" s="152"/>
      <c r="B32" s="171" t="s">
        <v>140</v>
      </c>
      <c r="C32" s="154" t="s">
        <v>131</v>
      </c>
      <c r="D32" s="154">
        <f t="shared" si="33"/>
      </c>
      <c r="E32" s="186">
        <v>1810.25</v>
      </c>
      <c r="F32" s="158">
        <v>1120.88</v>
      </c>
      <c r="G32" s="153"/>
      <c r="H32" s="156">
        <v>120.08</v>
      </c>
      <c r="I32" s="153">
        <v>3</v>
      </c>
      <c r="J32" s="156">
        <v>6804</v>
      </c>
      <c r="K32" s="156">
        <v>0</v>
      </c>
      <c r="L32" s="156">
        <v>0</v>
      </c>
      <c r="M32" s="156">
        <v>3</v>
      </c>
      <c r="N32" s="159">
        <f t="shared" si="2"/>
      </c>
      <c r="O32" s="159">
        <f t="shared" si="165"/>
      </c>
      <c r="P32" s="160">
        <f t="shared" si="107"/>
      </c>
      <c r="Q32" s="161">
        <f t="shared" si="281"/>
      </c>
      <c r="R32" s="162">
        <f t="shared" si="223"/>
      </c>
      <c r="S32" s="161">
        <f t="shared" si="310"/>
      </c>
      <c r="T32" s="161">
        <f t="shared" si="426"/>
      </c>
      <c r="U32" s="162">
        <f t="shared" si="368"/>
      </c>
      <c r="V32" s="161">
        <f t="shared" si="136"/>
      </c>
      <c r="W32" s="161">
        <f t="shared" si="78"/>
      </c>
      <c r="X32" s="162">
        <f t="shared" si="252"/>
      </c>
      <c r="Y32" s="163">
        <f t="shared" si="194"/>
      </c>
      <c r="Z32" s="162">
        <f t="shared" si="397"/>
      </c>
      <c r="AA32" s="164">
        <f t="shared" si="339"/>
      </c>
      <c r="AB32" s="165" t="s">
        <v>132</v>
      </c>
      <c r="AC32" s="166" t="s">
        <v>149</v>
      </c>
      <c r="AD32" s="185">
        <v>3</v>
      </c>
      <c r="AE32" s="167">
        <v>6914</v>
      </c>
      <c r="AF32" s="167">
        <v>309</v>
      </c>
      <c r="AG32" s="167">
        <v>392</v>
      </c>
      <c r="AH32" s="167">
        <v>76</v>
      </c>
      <c r="AI32" s="167">
        <v>24</v>
      </c>
      <c r="AJ32" s="167">
        <v>4</v>
      </c>
      <c r="AK32" s="167">
        <v>16</v>
      </c>
      <c r="AL32" s="175">
        <v>1</v>
      </c>
      <c r="AM32" s="168"/>
    </row>
    <row customHeight="true" hidden="true" ht="18.452380952380953" r="33">
      <c r="A33" s="152"/>
      <c r="B33" s="156" t="s">
        <v>141</v>
      </c>
      <c r="C33" s="154" t="s">
        <v>131</v>
      </c>
      <c r="D33" s="154">
        <f t="shared" si="33"/>
      </c>
      <c r="E33" s="186">
        <v>1987.83</v>
      </c>
      <c r="F33" s="158">
        <v>1074.7</v>
      </c>
      <c r="G33" s="153"/>
      <c r="H33" s="156">
        <v>37.11</v>
      </c>
      <c r="I33" s="153">
        <v>4</v>
      </c>
      <c r="J33" s="153">
        <v>7673</v>
      </c>
      <c r="K33" s="187">
        <v>0</v>
      </c>
      <c r="L33" s="156">
        <v>1</v>
      </c>
      <c r="M33" s="156">
        <v>3</v>
      </c>
      <c r="N33" s="159">
        <f t="shared" si="2"/>
      </c>
      <c r="O33" s="159">
        <f t="shared" si="165"/>
      </c>
      <c r="P33" s="160">
        <f t="shared" si="107"/>
      </c>
      <c r="Q33" s="161">
        <f t="shared" si="281"/>
      </c>
      <c r="R33" s="162">
        <f t="shared" si="223"/>
      </c>
      <c r="S33" s="161">
        <f t="shared" si="310"/>
      </c>
      <c r="T33" s="161">
        <f t="shared" si="426"/>
      </c>
      <c r="U33" s="162">
        <f t="shared" si="368"/>
      </c>
      <c r="V33" s="161">
        <f t="shared" si="136"/>
      </c>
      <c r="W33" s="161">
        <f t="shared" si="78"/>
      </c>
      <c r="X33" s="162">
        <f t="shared" si="252"/>
      </c>
      <c r="Y33" s="163">
        <f t="shared" si="194"/>
      </c>
      <c r="Z33" s="162">
        <f t="shared" si="397"/>
      </c>
      <c r="AA33" s="164">
        <f t="shared" si="339"/>
      </c>
      <c r="AB33" s="165" t="s">
        <v>132</v>
      </c>
      <c r="AC33" s="166" t="s">
        <v>149</v>
      </c>
      <c r="AD33" s="185">
        <v>4</v>
      </c>
      <c r="AE33" s="167">
        <v>8372</v>
      </c>
      <c r="AF33" s="167">
        <v>301</v>
      </c>
      <c r="AG33" s="167">
        <v>384</v>
      </c>
      <c r="AH33" s="167">
        <v>84</v>
      </c>
      <c r="AI33" s="167">
        <v>18</v>
      </c>
      <c r="AJ33" s="175">
        <v>5</v>
      </c>
      <c r="AK33" s="167">
        <v>11</v>
      </c>
      <c r="AL33" s="175">
        <v>1</v>
      </c>
      <c r="AM33" s="168"/>
    </row>
    <row hidden="true" r="34">
      <c r="A34" s="152"/>
      <c r="B34" s="156" t="s">
        <v>150</v>
      </c>
      <c r="C34" s="154" t="s">
        <v>131</v>
      </c>
      <c r="D34" s="154">
        <f t="shared" si="33"/>
      </c>
      <c r="E34" s="186">
        <v>1864.8</v>
      </c>
      <c r="F34" s="158">
        <v>1200.66</v>
      </c>
      <c r="G34" s="153"/>
      <c r="H34" s="156">
        <v>89.19</v>
      </c>
      <c r="I34" s="156">
        <v>0</v>
      </c>
      <c r="J34" s="156">
        <v>0</v>
      </c>
      <c r="K34" s="187">
        <v>0</v>
      </c>
      <c r="L34" s="156">
        <v>0</v>
      </c>
      <c r="M34" s="156">
        <v>0</v>
      </c>
      <c r="N34" s="159">
        <f t="shared" si="2"/>
      </c>
      <c r="O34" s="159">
        <f t="shared" si="165"/>
      </c>
      <c r="P34" s="160">
        <f t="shared" si="107"/>
      </c>
      <c r="Q34" s="161">
        <f t="shared" si="281"/>
      </c>
      <c r="R34" s="162">
        <f t="shared" si="223"/>
      </c>
      <c r="S34" s="161">
        <f t="shared" si="310"/>
      </c>
      <c r="T34" s="161">
        <f t="shared" si="426"/>
      </c>
      <c r="U34" s="162">
        <f t="shared" si="368"/>
      </c>
      <c r="V34" s="161">
        <f t="shared" si="136"/>
      </c>
      <c r="W34" s="161">
        <f t="shared" si="78"/>
      </c>
      <c r="X34" s="162">
        <f t="shared" si="252"/>
      </c>
      <c r="Y34" s="163">
        <f t="shared" si="194"/>
      </c>
      <c r="Z34" s="162">
        <f t="shared" si="397"/>
      </c>
      <c r="AA34" s="164">
        <f t="shared" si="339"/>
      </c>
      <c r="AB34" s="165" t="s">
        <v>132</v>
      </c>
      <c r="AC34" s="166" t="s">
        <v>149</v>
      </c>
      <c r="AD34" s="185">
        <v>0</v>
      </c>
      <c r="AE34" s="167">
        <v>8268</v>
      </c>
      <c r="AF34" s="167">
        <v>343</v>
      </c>
      <c r="AG34" s="167">
        <v>449</v>
      </c>
      <c r="AH34" s="167">
        <v>73</v>
      </c>
      <c r="AI34" s="167">
        <v>22</v>
      </c>
      <c r="AJ34" s="175">
        <v>3</v>
      </c>
      <c r="AK34" s="167">
        <v>19</v>
      </c>
      <c r="AL34" s="175">
        <v>1</v>
      </c>
      <c r="AM34" s="168"/>
    </row>
    <row hidden="true" r="35">
      <c r="A35" s="152"/>
      <c r="B35" s="176" t="s">
        <v>137</v>
      </c>
      <c r="C35" s="176"/>
      <c r="D35" s="176">
        <f>SUM(D31:D34)</f>
      </c>
      <c r="E35" s="176">
        <f>SUM(E31:E34)</f>
      </c>
      <c r="F35" s="176">
        <f>SUM(F31:F34)</f>
      </c>
      <c r="G35" s="176">
        <f>SUM(G31:G34)</f>
      </c>
      <c r="H35" s="176">
        <f>SUM(H31:H34)</f>
      </c>
      <c r="I35" s="176">
        <f>SUM(I31:I34)</f>
      </c>
      <c r="J35" s="176">
        <f>SUM(J31:J34)</f>
      </c>
      <c r="K35" s="176">
        <f>SUM(K31:K34)</f>
      </c>
      <c r="L35" s="176">
        <f>SUM(L31:L34)</f>
      </c>
      <c r="M35" s="176">
        <f>SUM(M31:M34)</f>
      </c>
      <c r="N35" s="177">
        <f t="shared" si="2"/>
      </c>
      <c r="O35" s="177">
        <f t="shared" si="165"/>
      </c>
      <c r="P35" s="188">
        <f t="shared" si="107"/>
      </c>
      <c r="Q35" s="179">
        <f t="shared" si="281"/>
      </c>
      <c r="R35" s="180">
        <f t="shared" si="223"/>
      </c>
      <c r="S35" s="179">
        <f t="shared" si="310"/>
      </c>
      <c r="T35" s="179">
        <f t="shared" si="426"/>
      </c>
      <c r="U35" s="180">
        <f t="shared" si="368"/>
      </c>
      <c r="V35" s="179">
        <f t="shared" si="136"/>
      </c>
      <c r="W35" s="179">
        <f t="shared" si="78"/>
      </c>
      <c r="X35" s="180">
        <f t="shared" si="252"/>
      </c>
      <c r="Y35" s="181">
        <f t="shared" si="194"/>
      </c>
      <c r="Z35" s="180">
        <f t="shared" si="397"/>
      </c>
      <c r="AA35" s="182">
        <f t="shared" si="339"/>
      </c>
      <c r="AB35" s="182"/>
      <c r="AC35" s="189"/>
      <c r="AD35" s="190">
        <f>SUM(AD31:AD34)</f>
      </c>
      <c r="AE35" s="190">
        <f>SUM(AE31:AE34)</f>
      </c>
      <c r="AF35" s="190">
        <f>SUM(AF31:AF34)</f>
      </c>
      <c r="AG35" s="190">
        <f>SUM(AG31:AG34)</f>
      </c>
      <c r="AH35" s="190">
        <f>SUM(AH31:AH34)</f>
      </c>
      <c r="AI35" s="190">
        <f>SUM(AI31:AI34)</f>
      </c>
      <c r="AJ35" s="190">
        <f>SUM(AJ31:AJ34)</f>
      </c>
      <c r="AK35" s="190">
        <f>SUM(AK31:AK34)</f>
      </c>
      <c r="AL35" s="190">
        <f>SUM(AL31:AL34)</f>
      </c>
      <c r="AM35" s="191" t="s">
        <v>142</v>
      </c>
    </row>
    <row hidden="true" r="36">
      <c r="A36" s="152"/>
      <c r="B36" s="192" t="s">
        <v>143</v>
      </c>
      <c r="C36" s="192"/>
      <c r="D36" s="192">
        <f>D30+D35</f>
      </c>
      <c r="E36" s="192">
        <f>E30+E35</f>
      </c>
      <c r="F36" s="192">
        <f>F30+F35</f>
      </c>
      <c r="G36" s="192">
        <f>G30+G35</f>
      </c>
      <c r="H36" s="192">
        <f>H30+H35</f>
      </c>
      <c r="I36" s="192">
        <f>I30+I35</f>
      </c>
      <c r="J36" s="192">
        <f>J30+J35</f>
      </c>
      <c r="K36" s="192">
        <f>K30+K35</f>
      </c>
      <c r="L36" s="192">
        <f>L30+L35</f>
      </c>
      <c r="M36" s="192">
        <f>M30+M35</f>
      </c>
      <c r="N36" s="193">
        <f t="shared" si="2"/>
      </c>
      <c r="O36" s="193">
        <f t="shared" si="165"/>
      </c>
      <c r="P36" s="194">
        <f t="shared" si="107"/>
      </c>
      <c r="Q36" s="195">
        <f t="shared" si="281"/>
      </c>
      <c r="R36" s="193">
        <f t="shared" si="223"/>
      </c>
      <c r="S36" s="195">
        <f t="shared" si="310"/>
      </c>
      <c r="T36" s="195">
        <f t="shared" si="426"/>
      </c>
      <c r="U36" s="193">
        <f t="shared" si="368"/>
      </c>
      <c r="V36" s="195">
        <f t="shared" si="136"/>
      </c>
      <c r="W36" s="195">
        <f t="shared" si="78"/>
      </c>
      <c r="X36" s="193">
        <f t="shared" si="252"/>
      </c>
      <c r="Y36" s="196">
        <f t="shared" si="194"/>
      </c>
      <c r="Z36" s="193">
        <f t="shared" si="397"/>
      </c>
      <c r="AA36" s="194">
        <f t="shared" si="339"/>
      </c>
      <c r="AB36" s="194"/>
      <c r="AC36" s="194"/>
      <c r="AD36" s="197">
        <f>AD30+AD35</f>
      </c>
      <c r="AE36" s="197">
        <f>AE30+AE35</f>
      </c>
      <c r="AF36" s="197">
        <f>AF30+AF35</f>
      </c>
      <c r="AG36" s="197">
        <f>AG30+AG35</f>
      </c>
      <c r="AH36" s="197">
        <f>AH30+AH35</f>
      </c>
      <c r="AI36" s="197">
        <f>AI30+AI35</f>
      </c>
      <c r="AJ36" s="197">
        <f>AJ30+AJ35</f>
      </c>
      <c r="AK36" s="197">
        <f>AK30+AK35</f>
      </c>
      <c r="AL36" s="197">
        <f>AL30+AL35</f>
      </c>
      <c r="AM36" s="191"/>
    </row>
    <row hidden="true" r="37">
      <c r="A37" s="134" t="s">
        <v>87</v>
      </c>
      <c r="B37" s="134"/>
      <c r="C37" s="134"/>
      <c r="D37" s="135" t="s">
        <v>88</v>
      </c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6" t="s">
        <v>89</v>
      </c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7" t="s">
        <v>90</v>
      </c>
      <c r="AE37" s="137"/>
      <c r="AF37" s="137"/>
      <c r="AG37" s="137"/>
      <c r="AH37" s="137"/>
      <c r="AI37" s="137"/>
      <c r="AJ37" s="137"/>
      <c r="AK37" s="137"/>
      <c r="AL37" s="137"/>
      <c r="AM37" s="138"/>
    </row>
    <row hidden="true" r="38">
      <c r="A38" s="139" t="s">
        <v>91</v>
      </c>
      <c r="B38" s="140" t="s">
        <v>92</v>
      </c>
      <c r="C38" s="140" t="s">
        <v>93</v>
      </c>
      <c r="D38" s="141" t="s">
        <v>94</v>
      </c>
      <c r="E38" s="142" t="s">
        <v>95</v>
      </c>
      <c r="F38" s="142" t="s">
        <v>96</v>
      </c>
      <c r="G38" s="143" t="s">
        <v>97</v>
      </c>
      <c r="H38" s="144" t="s">
        <v>98</v>
      </c>
      <c r="I38" s="145" t="s">
        <v>99</v>
      </c>
      <c r="J38" s="141" t="s">
        <v>100</v>
      </c>
      <c r="K38" s="146" t="s">
        <v>101</v>
      </c>
      <c r="L38" s="146" t="s">
        <v>102</v>
      </c>
      <c r="M38" s="146" t="s">
        <v>103</v>
      </c>
      <c r="N38" s="143" t="s">
        <v>104</v>
      </c>
      <c r="O38" s="146" t="s">
        <v>105</v>
      </c>
      <c r="P38" s="136" t="s">
        <v>106</v>
      </c>
      <c r="Q38" s="136" t="s">
        <v>107</v>
      </c>
      <c r="R38" s="136" t="s">
        <v>108</v>
      </c>
      <c r="S38" s="147" t="s">
        <v>109</v>
      </c>
      <c r="T38" s="147" t="s">
        <v>110</v>
      </c>
      <c r="U38" s="136" t="s">
        <v>111</v>
      </c>
      <c r="V38" s="147" t="s">
        <v>112</v>
      </c>
      <c r="W38" s="147" t="s">
        <v>113</v>
      </c>
      <c r="X38" s="136" t="s">
        <v>114</v>
      </c>
      <c r="Y38" s="147" t="s">
        <v>115</v>
      </c>
      <c r="Z38" s="136" t="s">
        <v>116</v>
      </c>
      <c r="AA38" s="148" t="s">
        <v>117</v>
      </c>
      <c r="AB38" s="148" t="s">
        <v>118</v>
      </c>
      <c r="AC38" s="148" t="s">
        <v>119</v>
      </c>
      <c r="AD38" s="149" t="s">
        <v>120</v>
      </c>
      <c r="AE38" s="150" t="s">
        <v>121</v>
      </c>
      <c r="AF38" s="150" t="s">
        <v>122</v>
      </c>
      <c r="AG38" s="150" t="s">
        <v>123</v>
      </c>
      <c r="AH38" s="150" t="s">
        <v>124</v>
      </c>
      <c r="AI38" s="150" t="s">
        <v>125</v>
      </c>
      <c r="AJ38" s="151" t="s">
        <v>126</v>
      </c>
      <c r="AK38" s="151" t="s">
        <v>127</v>
      </c>
      <c r="AL38" s="151" t="s">
        <v>128</v>
      </c>
      <c r="AM38" s="138"/>
    </row>
    <row hidden="true" r="39">
      <c r="A39" s="152" t="s">
        <v>151</v>
      </c>
      <c r="B39" s="153" t="s">
        <v>130</v>
      </c>
      <c r="C39" s="153" t="s">
        <v>139</v>
      </c>
      <c r="D39" s="154">
        <f t="shared" ref="D39:D43" si="34">E39+F39+G39+H39</f>
      </c>
      <c r="E39" s="155">
        <v>2407.32</v>
      </c>
      <c r="F39" s="156">
        <v>690.94</v>
      </c>
      <c r="G39" s="157"/>
      <c r="H39" s="155">
        <v>357.32</v>
      </c>
      <c r="I39" s="156">
        <v>2</v>
      </c>
      <c r="J39" s="158">
        <v>2736</v>
      </c>
      <c r="K39" s="158">
        <v>1</v>
      </c>
      <c r="L39" s="156">
        <v>0</v>
      </c>
      <c r="M39" s="156">
        <v>1</v>
      </c>
      <c r="N39" s="159">
        <f t="shared" ref="N39:N47" si="3">J39/D39</f>
      </c>
      <c r="O39" s="159">
        <f t="shared" ref="O39:O47" si="166">J39/(D39+300*AL39)</f>
      </c>
      <c r="P39" s="160">
        <f t="shared" ref="P39:P47" si="108">(D39/AE39)*1000</f>
      </c>
      <c r="Q39" s="161">
        <f t="shared" ref="Q39:Q47" si="282">AF39/AE39</f>
      </c>
      <c r="R39" s="162">
        <f t="shared" ref="R39:R47" si="224">D39/AG39</f>
      </c>
      <c r="S39" s="161">
        <f t="shared" ref="S39:S47" si="311">AH39/AG39</f>
      </c>
      <c r="T39" s="161">
        <f t="shared" ref="T39:T47" si="427">AI39/AG39</f>
      </c>
      <c r="U39" s="162">
        <f t="shared" ref="U39:U47" si="369">D39/AI39</f>
      </c>
      <c r="V39" s="161">
        <f t="shared" ref="V39:V47" si="137">AJ39/AI39</f>
      </c>
      <c r="W39" s="161">
        <f t="shared" ref="W39:W47" si="79">I39/AJ39</f>
      </c>
      <c r="X39" s="162">
        <f t="shared" ref="X39:X47" si="253">D39/I39</f>
      </c>
      <c r="Y39" s="163">
        <f t="shared" ref="Y39:Y47" si="195">J39/I39</f>
      </c>
      <c r="Z39" s="162">
        <f t="shared" ref="Z39:Z47" si="398">D39/AD39</f>
      </c>
      <c r="AA39" s="164">
        <f t="shared" ref="AA39:AA47" si="340">AK39*1000/D39</f>
      </c>
      <c r="AB39" s="165" t="s">
        <v>132</v>
      </c>
      <c r="AC39" s="166" t="s">
        <v>149</v>
      </c>
      <c r="AD39" s="153">
        <v>2</v>
      </c>
      <c r="AE39" s="157">
        <v>8582</v>
      </c>
      <c r="AF39" s="157">
        <v>347</v>
      </c>
      <c r="AG39" s="157">
        <v>473</v>
      </c>
      <c r="AH39" s="157">
        <v>88</v>
      </c>
      <c r="AI39" s="153">
        <v>27</v>
      </c>
      <c r="AJ39" s="158">
        <v>9</v>
      </c>
      <c r="AK39" s="156">
        <v>16</v>
      </c>
      <c r="AL39" s="175">
        <v>1</v>
      </c>
      <c r="AM39" s="168"/>
    </row>
    <row hidden="true" r="40">
      <c r="A40" s="152"/>
      <c r="B40" s="169" t="s">
        <v>134</v>
      </c>
      <c r="C40" s="153" t="s">
        <v>139</v>
      </c>
      <c r="D40" s="153">
        <f t="shared" si="34"/>
      </c>
      <c r="E40" s="158">
        <v>1692.57</v>
      </c>
      <c r="F40" s="170">
        <v>425.19</v>
      </c>
      <c r="G40" s="153"/>
      <c r="H40" s="156">
        <v>336.74</v>
      </c>
      <c r="I40" s="171">
        <v>2</v>
      </c>
      <c r="J40" s="171">
        <v>4536</v>
      </c>
      <c r="K40" s="156">
        <v>0</v>
      </c>
      <c r="L40" s="156">
        <v>0</v>
      </c>
      <c r="M40" s="156">
        <v>2</v>
      </c>
      <c r="N40" s="159">
        <f t="shared" si="3"/>
      </c>
      <c r="O40" s="159">
        <f t="shared" si="166"/>
      </c>
      <c r="P40" s="160">
        <f t="shared" si="108"/>
      </c>
      <c r="Q40" s="161">
        <f t="shared" si="282"/>
      </c>
      <c r="R40" s="162">
        <f t="shared" si="224"/>
      </c>
      <c r="S40" s="161">
        <f t="shared" si="311"/>
      </c>
      <c r="T40" s="161">
        <f t="shared" si="427"/>
      </c>
      <c r="U40" s="162">
        <f t="shared" si="369"/>
      </c>
      <c r="V40" s="161">
        <f t="shared" si="137"/>
      </c>
      <c r="W40" s="161">
        <f t="shared" si="79"/>
      </c>
      <c r="X40" s="162">
        <f t="shared" si="253"/>
      </c>
      <c r="Y40" s="163">
        <f t="shared" si="195"/>
      </c>
      <c r="Z40" s="162">
        <f t="shared" si="398"/>
      </c>
      <c r="AA40" s="164">
        <f t="shared" si="340"/>
      </c>
      <c r="AB40" s="165" t="s">
        <v>132</v>
      </c>
      <c r="AC40" s="166" t="s">
        <v>149</v>
      </c>
      <c r="AD40" s="153">
        <v>2</v>
      </c>
      <c r="AE40" s="172">
        <v>5614</v>
      </c>
      <c r="AF40" s="157">
        <v>216</v>
      </c>
      <c r="AG40" s="171">
        <v>303</v>
      </c>
      <c r="AH40" s="153">
        <v>75</v>
      </c>
      <c r="AI40" s="153">
        <v>16</v>
      </c>
      <c r="AJ40" s="173">
        <v>6</v>
      </c>
      <c r="AK40" s="174">
        <v>24</v>
      </c>
      <c r="AL40" s="175">
        <v>1</v>
      </c>
      <c r="AM40" s="168"/>
    </row>
    <row hidden="true" r="41">
      <c r="A41" s="152"/>
      <c r="B41" s="169" t="s">
        <v>135</v>
      </c>
      <c r="C41" s="153" t="s">
        <v>139</v>
      </c>
      <c r="D41" s="157">
        <f t="shared" si="34"/>
      </c>
      <c r="E41" s="158">
        <v>1880.84</v>
      </c>
      <c r="F41" s="158">
        <v>989.61</v>
      </c>
      <c r="G41" s="153"/>
      <c r="H41" s="156">
        <v>231.58</v>
      </c>
      <c r="I41" s="153">
        <v>1</v>
      </c>
      <c r="J41" s="153">
        <v>2268</v>
      </c>
      <c r="K41" s="156">
        <v>0</v>
      </c>
      <c r="L41" s="156">
        <v>0</v>
      </c>
      <c r="M41" s="156">
        <v>1</v>
      </c>
      <c r="N41" s="159">
        <f t="shared" si="3"/>
      </c>
      <c r="O41" s="159">
        <f t="shared" si="166"/>
      </c>
      <c r="P41" s="160">
        <f t="shared" si="108"/>
      </c>
      <c r="Q41" s="161">
        <f t="shared" si="282"/>
      </c>
      <c r="R41" s="162">
        <f t="shared" si="224"/>
      </c>
      <c r="S41" s="161">
        <f t="shared" si="311"/>
      </c>
      <c r="T41" s="161">
        <f t="shared" si="427"/>
      </c>
      <c r="U41" s="162">
        <f t="shared" si="369"/>
      </c>
      <c r="V41" s="161">
        <f t="shared" si="137"/>
      </c>
      <c r="W41" s="161">
        <f t="shared" si="79"/>
      </c>
      <c r="X41" s="162">
        <f t="shared" si="253"/>
      </c>
      <c r="Y41" s="163">
        <f t="shared" si="195"/>
      </c>
      <c r="Z41" s="162">
        <f t="shared" si="398"/>
      </c>
      <c r="AA41" s="164">
        <f t="shared" si="340"/>
      </c>
      <c r="AB41" s="165" t="s">
        <v>132</v>
      </c>
      <c r="AC41" s="166" t="s">
        <v>149</v>
      </c>
      <c r="AD41" s="153">
        <v>1</v>
      </c>
      <c r="AE41" s="157">
        <v>6301</v>
      </c>
      <c r="AF41" s="157">
        <v>247</v>
      </c>
      <c r="AG41" s="153">
        <v>336</v>
      </c>
      <c r="AH41" s="153">
        <v>59</v>
      </c>
      <c r="AI41" s="153">
        <v>15</v>
      </c>
      <c r="AJ41" s="201">
        <v>2</v>
      </c>
      <c r="AK41" s="174">
        <v>20</v>
      </c>
      <c r="AL41" s="175">
        <v>1</v>
      </c>
      <c r="AM41" s="168"/>
    </row>
    <row hidden="true" r="42">
      <c r="A42" s="152"/>
      <c r="B42" s="169" t="s">
        <v>136</v>
      </c>
      <c r="C42" s="153" t="s">
        <v>139</v>
      </c>
      <c r="D42" s="157">
        <f t="shared" si="34"/>
      </c>
      <c r="E42" s="158">
        <v>1019.71</v>
      </c>
      <c r="F42" s="158">
        <v>1043.47</v>
      </c>
      <c r="G42" s="153"/>
      <c r="H42" s="156">
        <v>249.75</v>
      </c>
      <c r="I42" s="153">
        <v>1</v>
      </c>
      <c r="J42" s="153">
        <v>2080</v>
      </c>
      <c r="K42" s="156">
        <v>0</v>
      </c>
      <c r="L42" s="156">
        <v>0</v>
      </c>
      <c r="M42" s="156">
        <v>1</v>
      </c>
      <c r="N42" s="159">
        <f t="shared" si="3"/>
      </c>
      <c r="O42" s="159">
        <f t="shared" si="166"/>
      </c>
      <c r="P42" s="160">
        <f t="shared" si="108"/>
      </c>
      <c r="Q42" s="161">
        <f t="shared" si="282"/>
      </c>
      <c r="R42" s="162">
        <f t="shared" si="224"/>
      </c>
      <c r="S42" s="161">
        <f t="shared" si="311"/>
      </c>
      <c r="T42" s="161">
        <f t="shared" si="427"/>
      </c>
      <c r="U42" s="162">
        <f t="shared" si="369"/>
      </c>
      <c r="V42" s="161">
        <f t="shared" si="137"/>
      </c>
      <c r="W42" s="161">
        <f t="shared" si="79"/>
      </c>
      <c r="X42" s="162">
        <f t="shared" si="253"/>
      </c>
      <c r="Y42" s="163">
        <f t="shared" si="195"/>
      </c>
      <c r="Z42" s="162">
        <f t="shared" si="398"/>
      </c>
      <c r="AA42" s="164">
        <f t="shared" si="340"/>
      </c>
      <c r="AB42" s="165" t="s">
        <v>132</v>
      </c>
      <c r="AC42" s="166" t="s">
        <v>149</v>
      </c>
      <c r="AD42" s="172">
        <v>1</v>
      </c>
      <c r="AE42" s="171">
        <v>3523</v>
      </c>
      <c r="AF42" s="153">
        <v>191</v>
      </c>
      <c r="AG42" s="153">
        <v>246</v>
      </c>
      <c r="AH42" s="153">
        <v>55</v>
      </c>
      <c r="AI42" s="153">
        <v>26</v>
      </c>
      <c r="AJ42" s="173">
        <v>7</v>
      </c>
      <c r="AK42" s="174">
        <v>20</v>
      </c>
      <c r="AL42" s="175">
        <v>1</v>
      </c>
      <c r="AM42" s="168"/>
    </row>
    <row customHeight="true" hidden="true" ht="18.452380952380953" r="43">
      <c r="A43" s="152"/>
      <c r="B43" s="184" t="s">
        <v>145</v>
      </c>
      <c r="C43" s="153" t="s">
        <v>139</v>
      </c>
      <c r="D43" s="153">
        <f t="shared" si="34"/>
      </c>
      <c r="E43" s="156">
        <v>1512.62</v>
      </c>
      <c r="F43" s="158">
        <v>744.15</v>
      </c>
      <c r="G43" s="153"/>
      <c r="H43" s="156">
        <v>232.22</v>
      </c>
      <c r="I43" s="153">
        <v>2</v>
      </c>
      <c r="J43" s="153">
        <v>4348</v>
      </c>
      <c r="K43" s="156">
        <v>0</v>
      </c>
      <c r="L43" s="156">
        <v>0</v>
      </c>
      <c r="M43" s="156">
        <v>2</v>
      </c>
      <c r="N43" s="159">
        <f t="shared" si="3"/>
      </c>
      <c r="O43" s="159">
        <f t="shared" si="166"/>
      </c>
      <c r="P43" s="160">
        <f t="shared" si="108"/>
      </c>
      <c r="Q43" s="161">
        <f t="shared" si="282"/>
      </c>
      <c r="R43" s="162">
        <f t="shared" si="224"/>
      </c>
      <c r="S43" s="161">
        <f t="shared" si="311"/>
      </c>
      <c r="T43" s="161">
        <f t="shared" si="427"/>
      </c>
      <c r="U43" s="162">
        <f t="shared" si="369"/>
      </c>
      <c r="V43" s="161">
        <f t="shared" si="137"/>
      </c>
      <c r="W43" s="161">
        <f t="shared" si="79"/>
      </c>
      <c r="X43" s="162">
        <f t="shared" si="253"/>
      </c>
      <c r="Y43" s="163">
        <f t="shared" si="195"/>
      </c>
      <c r="Z43" s="162">
        <f t="shared" si="398"/>
      </c>
      <c r="AA43" s="164">
        <f t="shared" si="340"/>
      </c>
      <c r="AB43" s="165" t="s">
        <v>132</v>
      </c>
      <c r="AC43" s="166" t="s">
        <v>149</v>
      </c>
      <c r="AD43" s="185">
        <v>2</v>
      </c>
      <c r="AE43" s="167">
        <v>6352</v>
      </c>
      <c r="AF43" s="167">
        <v>228</v>
      </c>
      <c r="AG43" s="167">
        <v>282</v>
      </c>
      <c r="AH43" s="167">
        <v>41</v>
      </c>
      <c r="AI43" s="167">
        <v>14</v>
      </c>
      <c r="AJ43" s="175">
        <v>5</v>
      </c>
      <c r="AK43" s="175">
        <v>13</v>
      </c>
      <c r="AL43" s="175">
        <v>1</v>
      </c>
      <c r="AM43" s="168"/>
    </row>
    <row hidden="true" r="44">
      <c r="A44" s="152"/>
      <c r="B44" s="176" t="s">
        <v>137</v>
      </c>
      <c r="C44" s="176"/>
      <c r="D44" s="176">
        <f>SUM(D39:D43)</f>
      </c>
      <c r="E44" s="176">
        <f>SUM(E39:E43)</f>
      </c>
      <c r="F44" s="176">
        <f>SUM(F39:F43)</f>
      </c>
      <c r="G44" s="176">
        <f>SUM(G39:G43)</f>
      </c>
      <c r="H44" s="176">
        <f>SUM(H39:H43)</f>
      </c>
      <c r="I44" s="176">
        <f>SUM(I39:I43)</f>
      </c>
      <c r="J44" s="176">
        <f>SUM(J39:J43)</f>
      </c>
      <c r="K44" s="176">
        <f>SUM(K39:K43)</f>
      </c>
      <c r="L44" s="176">
        <f>SUM(L39:L43)</f>
      </c>
      <c r="M44" s="176">
        <f>SUM(M39:M43)</f>
      </c>
      <c r="N44" s="177">
        <f t="shared" si="3"/>
      </c>
      <c r="O44" s="177">
        <f t="shared" si="166"/>
      </c>
      <c r="P44" s="178">
        <f t="shared" si="108"/>
      </c>
      <c r="Q44" s="179">
        <f t="shared" si="282"/>
      </c>
      <c r="R44" s="180">
        <f t="shared" si="224"/>
      </c>
      <c r="S44" s="179">
        <f t="shared" si="311"/>
      </c>
      <c r="T44" s="179">
        <f t="shared" si="427"/>
      </c>
      <c r="U44" s="180">
        <f t="shared" si="369"/>
      </c>
      <c r="V44" s="179">
        <f t="shared" si="137"/>
      </c>
      <c r="W44" s="179">
        <f t="shared" si="79"/>
      </c>
      <c r="X44" s="180">
        <f t="shared" si="253"/>
      </c>
      <c r="Y44" s="181">
        <f t="shared" si="195"/>
      </c>
      <c r="Z44" s="180">
        <f t="shared" si="398"/>
      </c>
      <c r="AA44" s="182">
        <f t="shared" si="340"/>
      </c>
      <c r="AB44" s="182"/>
      <c r="AC44" s="182"/>
      <c r="AD44" s="183">
        <f>SUM(AD39:AD42)</f>
      </c>
      <c r="AE44" s="183">
        <f>SUM(AE39:AE42)</f>
      </c>
      <c r="AF44" s="183">
        <f>SUM(AF39:AF42)</f>
      </c>
      <c r="AG44" s="183">
        <f>SUM(AG39:AG42)</f>
      </c>
      <c r="AH44" s="183">
        <f>SUM(AH39:AH42)</f>
      </c>
      <c r="AI44" s="183">
        <f>SUM(AI39:AI42)</f>
      </c>
      <c r="AJ44" s="183">
        <f>SUM(AJ39:AJ42)</f>
      </c>
      <c r="AK44" s="183">
        <f>SUM(AK39:AK42)</f>
      </c>
      <c r="AL44" s="183">
        <f>SUM(AL39:AL42)</f>
      </c>
      <c r="AM44" s="168"/>
    </row>
    <row hidden="true" r="45">
      <c r="A45" s="152"/>
      <c r="B45" s="171" t="s">
        <v>140</v>
      </c>
      <c r="C45" s="153" t="s">
        <v>146</v>
      </c>
      <c r="D45" s="154">
        <f>E45+F45+G45+H45</f>
      </c>
      <c r="E45" s="186">
        <v>1417.82</v>
      </c>
      <c r="F45" s="158">
        <v>878.79</v>
      </c>
      <c r="G45" s="153"/>
      <c r="H45" s="156">
        <v>42.38</v>
      </c>
      <c r="I45" s="153">
        <v>2</v>
      </c>
      <c r="J45" s="156">
        <v>2548</v>
      </c>
      <c r="K45" s="156">
        <v>1</v>
      </c>
      <c r="L45" s="156">
        <v>0</v>
      </c>
      <c r="M45" s="156">
        <v>1</v>
      </c>
      <c r="N45" s="159">
        <f t="shared" si="3"/>
      </c>
      <c r="O45" s="159">
        <f t="shared" si="166"/>
      </c>
      <c r="P45" s="160">
        <f t="shared" si="108"/>
      </c>
      <c r="Q45" s="161">
        <f t="shared" si="282"/>
      </c>
      <c r="R45" s="162">
        <f t="shared" si="224"/>
      </c>
      <c r="S45" s="161">
        <f t="shared" si="311"/>
      </c>
      <c r="T45" s="161">
        <f t="shared" si="427"/>
      </c>
      <c r="U45" s="162">
        <f t="shared" si="369"/>
      </c>
      <c r="V45" s="161">
        <f t="shared" si="137"/>
      </c>
      <c r="W45" s="161">
        <f t="shared" si="79"/>
      </c>
      <c r="X45" s="162">
        <f t="shared" si="253"/>
      </c>
      <c r="Y45" s="163">
        <f t="shared" si="195"/>
      </c>
      <c r="Z45" s="162">
        <f t="shared" si="398"/>
      </c>
      <c r="AA45" s="164">
        <f t="shared" si="340"/>
      </c>
      <c r="AB45" s="165" t="s">
        <v>132</v>
      </c>
      <c r="AC45" s="166" t="s">
        <v>149</v>
      </c>
      <c r="AD45" s="185">
        <v>2</v>
      </c>
      <c r="AE45" s="167">
        <v>6039</v>
      </c>
      <c r="AF45" s="167">
        <v>316</v>
      </c>
      <c r="AG45" s="167">
        <v>370</v>
      </c>
      <c r="AH45" s="167">
        <v>69</v>
      </c>
      <c r="AI45" s="167">
        <v>24</v>
      </c>
      <c r="AJ45" s="175">
        <v>4</v>
      </c>
      <c r="AK45" s="175">
        <v>29</v>
      </c>
      <c r="AL45" s="175">
        <v>1</v>
      </c>
      <c r="AM45" s="168"/>
    </row>
    <row hidden="true" r="46">
      <c r="A46" s="152"/>
      <c r="B46" s="176" t="s">
        <v>137</v>
      </c>
      <c r="C46" s="176"/>
      <c r="D46" s="176">
        <f>SUM(D45)</f>
      </c>
      <c r="E46" s="176">
        <f>SUM(E45)</f>
      </c>
      <c r="F46" s="176">
        <f>SUM(F45)</f>
      </c>
      <c r="G46" s="176">
        <f>SUM(G45)</f>
      </c>
      <c r="H46" s="176">
        <f>SUM(H45)</f>
      </c>
      <c r="I46" s="176">
        <f>SUM(I45)</f>
      </c>
      <c r="J46" s="176">
        <f>SUM(J45)</f>
      </c>
      <c r="K46" s="176">
        <f>SUM(K45)</f>
      </c>
      <c r="L46" s="176">
        <f>SUM(L45)</f>
      </c>
      <c r="M46" s="176">
        <f>SUM(M45)</f>
      </c>
      <c r="N46" s="177">
        <f t="shared" si="3"/>
      </c>
      <c r="O46" s="177">
        <f t="shared" si="166"/>
      </c>
      <c r="P46" s="188">
        <f t="shared" si="108"/>
      </c>
      <c r="Q46" s="179">
        <f t="shared" si="282"/>
      </c>
      <c r="R46" s="180">
        <f t="shared" si="224"/>
      </c>
      <c r="S46" s="179">
        <f t="shared" si="311"/>
      </c>
      <c r="T46" s="179">
        <f t="shared" si="427"/>
      </c>
      <c r="U46" s="180">
        <f t="shared" si="369"/>
      </c>
      <c r="V46" s="179">
        <f t="shared" si="137"/>
      </c>
      <c r="W46" s="179">
        <f t="shared" si="79"/>
      </c>
      <c r="X46" s="180">
        <f t="shared" si="253"/>
      </c>
      <c r="Y46" s="181">
        <f t="shared" si="195"/>
      </c>
      <c r="Z46" s="180">
        <f t="shared" si="398"/>
      </c>
      <c r="AA46" s="182">
        <f t="shared" si="340"/>
      </c>
      <c r="AB46" s="182"/>
      <c r="AC46" s="189"/>
      <c r="AD46" s="190">
        <f>SUM(AD45)</f>
      </c>
      <c r="AE46" s="190">
        <f>SUM(AE45)</f>
      </c>
      <c r="AF46" s="190">
        <f>SUM(AF45)</f>
      </c>
      <c r="AG46" s="190">
        <f>SUM(AG45)</f>
      </c>
      <c r="AH46" s="190">
        <f>SUM(AH45)</f>
      </c>
      <c r="AI46" s="190">
        <f>SUM(AI45)</f>
      </c>
      <c r="AJ46" s="190">
        <f>SUM(AJ45)</f>
      </c>
      <c r="AK46" s="190">
        <f>SUM(AK45)</f>
      </c>
      <c r="AL46" s="190">
        <f>SUM(AL45)</f>
      </c>
      <c r="AM46" s="191" t="s">
        <v>142</v>
      </c>
    </row>
    <row hidden="true" r="47">
      <c r="A47" s="152"/>
      <c r="B47" s="192" t="s">
        <v>143</v>
      </c>
      <c r="C47" s="192"/>
      <c r="D47" s="192">
        <f>D44+D46</f>
      </c>
      <c r="E47" s="192">
        <f>E44+E46</f>
      </c>
      <c r="F47" s="192">
        <f>F44+F46</f>
      </c>
      <c r="G47" s="192">
        <f>G44+G46</f>
      </c>
      <c r="H47" s="192">
        <f>H44+H46</f>
      </c>
      <c r="I47" s="192">
        <f>I44+I46</f>
      </c>
      <c r="J47" s="192">
        <f>J44+J46</f>
      </c>
      <c r="K47" s="192">
        <f>K44+K46</f>
      </c>
      <c r="L47" s="192">
        <f>L44+L46</f>
      </c>
      <c r="M47" s="192">
        <f>M44+M46</f>
      </c>
      <c r="N47" s="193">
        <f t="shared" si="3"/>
      </c>
      <c r="O47" s="193">
        <f t="shared" si="166"/>
      </c>
      <c r="P47" s="194">
        <f t="shared" si="108"/>
      </c>
      <c r="Q47" s="195">
        <f t="shared" si="282"/>
      </c>
      <c r="R47" s="193">
        <f t="shared" si="224"/>
      </c>
      <c r="S47" s="195">
        <f t="shared" si="311"/>
      </c>
      <c r="T47" s="195">
        <f t="shared" si="427"/>
      </c>
      <c r="U47" s="193">
        <f t="shared" si="369"/>
      </c>
      <c r="V47" s="195">
        <f t="shared" si="137"/>
      </c>
      <c r="W47" s="195">
        <f t="shared" si="79"/>
      </c>
      <c r="X47" s="193">
        <f t="shared" si="253"/>
      </c>
      <c r="Y47" s="196">
        <f t="shared" si="195"/>
      </c>
      <c r="Z47" s="193">
        <f t="shared" si="398"/>
      </c>
      <c r="AA47" s="194">
        <f t="shared" si="340"/>
      </c>
      <c r="AB47" s="194"/>
      <c r="AC47" s="194"/>
      <c r="AD47" s="197">
        <f>AD44+AD46</f>
      </c>
      <c r="AE47" s="197">
        <f>AE44+AE46</f>
      </c>
      <c r="AF47" s="197">
        <f>AF44+AF46</f>
      </c>
      <c r="AG47" s="197">
        <f>AG44+AG46</f>
      </c>
      <c r="AH47" s="197">
        <f>AH44+AH46</f>
      </c>
      <c r="AI47" s="197">
        <f>AI44+AI46</f>
      </c>
      <c r="AJ47" s="197">
        <f>AJ44+AJ46</f>
      </c>
      <c r="AK47" s="197">
        <f>AK44+AK46</f>
      </c>
      <c r="AL47" s="197">
        <f>AL44+AL46</f>
      </c>
      <c r="AM47" s="191"/>
    </row>
    <row hidden="true" r="48">
      <c r="A48" s="134" t="s">
        <v>87</v>
      </c>
      <c r="B48" s="134"/>
      <c r="C48" s="134"/>
      <c r="D48" s="135" t="s">
        <v>88</v>
      </c>
      <c r="E48" s="135"/>
      <c r="F48" s="135"/>
      <c r="G48" s="135"/>
      <c r="H48" s="135"/>
      <c r="I48" s="135"/>
      <c r="J48" s="204"/>
      <c r="K48" s="204"/>
      <c r="L48" s="135"/>
      <c r="M48" s="135"/>
      <c r="N48" s="135"/>
      <c r="O48" s="135"/>
      <c r="P48" s="136" t="s">
        <v>89</v>
      </c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7" t="s">
        <v>90</v>
      </c>
      <c r="AE48" s="137"/>
      <c r="AF48" s="137"/>
      <c r="AG48" s="137"/>
      <c r="AH48" s="137"/>
      <c r="AI48" s="137"/>
      <c r="AJ48" s="137"/>
      <c r="AK48" s="137"/>
      <c r="AL48" s="137"/>
      <c r="AM48" s="138"/>
    </row>
    <row hidden="true" r="49">
      <c r="A49" s="139" t="s">
        <v>91</v>
      </c>
      <c r="B49" s="140" t="s">
        <v>92</v>
      </c>
      <c r="C49" s="140" t="s">
        <v>93</v>
      </c>
      <c r="D49" s="141" t="s">
        <v>94</v>
      </c>
      <c r="E49" s="142" t="s">
        <v>95</v>
      </c>
      <c r="F49" s="142" t="s">
        <v>96</v>
      </c>
      <c r="G49" s="143" t="s">
        <v>97</v>
      </c>
      <c r="H49" s="144" t="s">
        <v>98</v>
      </c>
      <c r="I49" s="205" t="s">
        <v>99</v>
      </c>
      <c r="J49" s="206" t="s">
        <v>100</v>
      </c>
      <c r="K49" s="206" t="s">
        <v>101</v>
      </c>
      <c r="L49" s="135" t="s">
        <v>102</v>
      </c>
      <c r="M49" s="146" t="s">
        <v>103</v>
      </c>
      <c r="N49" s="143" t="s">
        <v>104</v>
      </c>
      <c r="O49" s="146" t="s">
        <v>105</v>
      </c>
      <c r="P49" s="136" t="s">
        <v>106</v>
      </c>
      <c r="Q49" s="136" t="s">
        <v>107</v>
      </c>
      <c r="R49" s="136" t="s">
        <v>108</v>
      </c>
      <c r="S49" s="147" t="s">
        <v>109</v>
      </c>
      <c r="T49" s="147" t="s">
        <v>110</v>
      </c>
      <c r="U49" s="136" t="s">
        <v>111</v>
      </c>
      <c r="V49" s="147" t="s">
        <v>112</v>
      </c>
      <c r="W49" s="147" t="s">
        <v>113</v>
      </c>
      <c r="X49" s="136" t="s">
        <v>114</v>
      </c>
      <c r="Y49" s="147" t="s">
        <v>115</v>
      </c>
      <c r="Z49" s="136" t="s">
        <v>116</v>
      </c>
      <c r="AA49" s="148" t="s">
        <v>117</v>
      </c>
      <c r="AB49" s="148" t="s">
        <v>118</v>
      </c>
      <c r="AC49" s="148" t="s">
        <v>119</v>
      </c>
      <c r="AD49" s="149" t="s">
        <v>120</v>
      </c>
      <c r="AE49" s="150" t="s">
        <v>121</v>
      </c>
      <c r="AF49" s="150" t="s">
        <v>122</v>
      </c>
      <c r="AG49" s="150" t="s">
        <v>123</v>
      </c>
      <c r="AH49" s="150" t="s">
        <v>124</v>
      </c>
      <c r="AI49" s="150" t="s">
        <v>125</v>
      </c>
      <c r="AJ49" s="151" t="s">
        <v>126</v>
      </c>
      <c r="AK49" s="151" t="s">
        <v>127</v>
      </c>
      <c r="AL49" s="151" t="s">
        <v>128</v>
      </c>
      <c r="AM49" s="138"/>
    </row>
    <row hidden="true" r="50">
      <c r="A50" s="152" t="s">
        <v>152</v>
      </c>
      <c r="B50" s="153" t="s">
        <v>130</v>
      </c>
      <c r="C50" s="154" t="s">
        <v>131</v>
      </c>
      <c r="D50" s="207">
        <f t="shared" ref="D50:D53" si="35">E50+F50+G50+H50</f>
      </c>
      <c r="E50" s="208">
        <v>2176.56</v>
      </c>
      <c r="F50" s="158">
        <v>1772.85</v>
      </c>
      <c r="G50" s="157"/>
      <c r="H50" s="155">
        <v>633.75</v>
      </c>
      <c r="I50" s="156">
        <v>5</v>
      </c>
      <c r="J50" s="170">
        <v>8542</v>
      </c>
      <c r="K50" s="170">
        <v>0</v>
      </c>
      <c r="L50" s="156">
        <v>2</v>
      </c>
      <c r="M50" s="156">
        <v>3</v>
      </c>
      <c r="N50" s="159">
        <f t="shared" ref="N50:N57" si="4">J50/D50</f>
      </c>
      <c r="O50" s="159">
        <f t="shared" ref="O50:O57" si="167">J50/(D50+300*AL50)</f>
      </c>
      <c r="P50" s="160">
        <f t="shared" ref="P50:P57" si="109">(D50/AE50)*1000</f>
      </c>
      <c r="Q50" s="161">
        <f t="shared" ref="Q50:Q57" si="283">AF50/AE50</f>
      </c>
      <c r="R50" s="162">
        <f t="shared" ref="R50:R57" si="225">D50/AG50</f>
      </c>
      <c r="S50" s="161">
        <f t="shared" ref="S50:S57" si="312">AH50/AG50</f>
      </c>
      <c r="T50" s="161">
        <f t="shared" ref="T50:T57" si="428">AI50/AG50</f>
      </c>
      <c r="U50" s="162">
        <f t="shared" ref="U50:U57" si="370">D50/AI50</f>
      </c>
      <c r="V50" s="161">
        <f t="shared" ref="V50:V57" si="138">AJ50/AI50</f>
      </c>
      <c r="W50" s="161">
        <f t="shared" ref="W50:W57" si="80">I50/AJ50</f>
      </c>
      <c r="X50" s="162">
        <f t="shared" ref="X50:X57" si="254">D50/I50</f>
      </c>
      <c r="Y50" s="163">
        <f t="shared" ref="Y50:Y57" si="196">J50/I50</f>
      </c>
      <c r="Z50" s="162">
        <f t="shared" ref="Z50:Z57" si="399">D50/AD50</f>
      </c>
      <c r="AA50" s="164">
        <f t="shared" ref="AA50:AA57" si="341">AK50*1000/D50</f>
      </c>
      <c r="AB50" s="165" t="s">
        <v>132</v>
      </c>
      <c r="AC50" s="166" t="s">
        <v>153</v>
      </c>
      <c r="AD50" s="209">
        <v>5</v>
      </c>
      <c r="AE50" s="157">
        <v>10719</v>
      </c>
      <c r="AF50" s="157">
        <v>606</v>
      </c>
      <c r="AG50" s="157">
        <v>757</v>
      </c>
      <c r="AH50" s="157">
        <v>164</v>
      </c>
      <c r="AI50" s="153">
        <v>51</v>
      </c>
      <c r="AJ50" s="158">
        <v>10</v>
      </c>
      <c r="AK50" s="156">
        <v>37</v>
      </c>
      <c r="AL50" s="175">
        <v>1</v>
      </c>
      <c r="AM50" s="168"/>
    </row>
    <row hidden="true" r="51">
      <c r="A51" s="152"/>
      <c r="B51" s="169" t="s">
        <v>134</v>
      </c>
      <c r="C51" s="154" t="s">
        <v>131</v>
      </c>
      <c r="D51" s="153">
        <f t="shared" si="35"/>
      </c>
      <c r="E51" s="170">
        <v>1244.98</v>
      </c>
      <c r="F51" s="170">
        <v>738.92</v>
      </c>
      <c r="G51" s="153"/>
      <c r="H51" s="156">
        <v>824.9</v>
      </c>
      <c r="I51" s="184">
        <v>0</v>
      </c>
      <c r="J51" s="184">
        <v>0</v>
      </c>
      <c r="K51" s="184">
        <v>0</v>
      </c>
      <c r="L51" s="184">
        <v>0</v>
      </c>
      <c r="M51" s="184">
        <v>0</v>
      </c>
      <c r="N51" s="159">
        <f t="shared" si="4"/>
      </c>
      <c r="O51" s="159">
        <f t="shared" si="167"/>
      </c>
      <c r="P51" s="160">
        <f t="shared" si="109"/>
      </c>
      <c r="Q51" s="161">
        <f t="shared" si="283"/>
      </c>
      <c r="R51" s="162">
        <f t="shared" si="225"/>
      </c>
      <c r="S51" s="161">
        <f t="shared" si="312"/>
      </c>
      <c r="T51" s="161">
        <f t="shared" si="428"/>
      </c>
      <c r="U51" s="162">
        <f t="shared" si="370"/>
      </c>
      <c r="V51" s="161">
        <f t="shared" si="138"/>
      </c>
      <c r="W51" s="161">
        <f t="shared" si="80"/>
      </c>
      <c r="X51" s="162">
        <f t="shared" si="254"/>
      </c>
      <c r="Y51" s="163">
        <f t="shared" si="196"/>
      </c>
      <c r="Z51" s="162">
        <f t="shared" si="399"/>
      </c>
      <c r="AA51" s="164">
        <f t="shared" si="341"/>
      </c>
      <c r="AB51" s="165" t="s">
        <v>132</v>
      </c>
      <c r="AC51" s="166" t="s">
        <v>153</v>
      </c>
      <c r="AD51" s="209">
        <v>0</v>
      </c>
      <c r="AE51" s="172">
        <v>6313</v>
      </c>
      <c r="AF51" s="157">
        <v>313</v>
      </c>
      <c r="AG51" s="171">
        <v>403</v>
      </c>
      <c r="AH51" s="153">
        <v>68</v>
      </c>
      <c r="AI51" s="153">
        <v>32</v>
      </c>
      <c r="AJ51" s="201">
        <v>1</v>
      </c>
      <c r="AK51" s="210">
        <v>14</v>
      </c>
      <c r="AL51" s="175">
        <v>1</v>
      </c>
      <c r="AM51" s="168"/>
    </row>
    <row hidden="true" r="52">
      <c r="A52" s="152"/>
      <c r="B52" s="169" t="s">
        <v>135</v>
      </c>
      <c r="C52" s="154" t="s">
        <v>131</v>
      </c>
      <c r="D52" s="157">
        <f t="shared" si="35"/>
      </c>
      <c r="E52" s="158">
        <v>1649.08</v>
      </c>
      <c r="F52" s="158">
        <v>285.75</v>
      </c>
      <c r="G52" s="153"/>
      <c r="H52" s="156">
        <v>802.87</v>
      </c>
      <c r="I52" s="153">
        <v>1</v>
      </c>
      <c r="J52" s="153">
        <v>2268</v>
      </c>
      <c r="K52" s="156">
        <v>0</v>
      </c>
      <c r="L52" s="156">
        <v>0</v>
      </c>
      <c r="M52" s="156">
        <v>1</v>
      </c>
      <c r="N52" s="159">
        <f t="shared" si="4"/>
      </c>
      <c r="O52" s="159">
        <f t="shared" si="167"/>
      </c>
      <c r="P52" s="160">
        <f t="shared" si="109"/>
      </c>
      <c r="Q52" s="161">
        <f t="shared" si="283"/>
      </c>
      <c r="R52" s="162">
        <f t="shared" si="225"/>
      </c>
      <c r="S52" s="161">
        <f t="shared" si="312"/>
      </c>
      <c r="T52" s="161">
        <f t="shared" si="428"/>
      </c>
      <c r="U52" s="162">
        <f t="shared" si="370"/>
      </c>
      <c r="V52" s="161">
        <f t="shared" si="138"/>
      </c>
      <c r="W52" s="161">
        <f t="shared" si="80"/>
      </c>
      <c r="X52" s="162">
        <f t="shared" si="254"/>
      </c>
      <c r="Y52" s="163">
        <f t="shared" si="196"/>
      </c>
      <c r="Z52" s="162">
        <f t="shared" si="399"/>
      </c>
      <c r="AA52" s="164">
        <f t="shared" si="341"/>
      </c>
      <c r="AB52" s="165" t="s">
        <v>132</v>
      </c>
      <c r="AC52" s="166" t="s">
        <v>153</v>
      </c>
      <c r="AD52" s="209">
        <v>1</v>
      </c>
      <c r="AE52" s="157">
        <v>5871</v>
      </c>
      <c r="AF52" s="157">
        <v>217</v>
      </c>
      <c r="AG52" s="153">
        <v>287</v>
      </c>
      <c r="AH52" s="153">
        <v>52</v>
      </c>
      <c r="AI52" s="153">
        <v>15</v>
      </c>
      <c r="AJ52" s="201">
        <v>2</v>
      </c>
      <c r="AK52" s="210">
        <v>15</v>
      </c>
      <c r="AL52" s="175">
        <v>1</v>
      </c>
      <c r="AM52" s="168"/>
    </row>
    <row hidden="true" r="53">
      <c r="A53" s="152"/>
      <c r="B53" s="169" t="s">
        <v>136</v>
      </c>
      <c r="C53" s="154" t="s">
        <v>131</v>
      </c>
      <c r="D53" s="157">
        <f t="shared" si="35"/>
      </c>
      <c r="E53" s="158">
        <v>2035.05</v>
      </c>
      <c r="F53" s="158">
        <v>643.02</v>
      </c>
      <c r="G53" s="153"/>
      <c r="H53" s="156">
        <v>803.21</v>
      </c>
      <c r="I53" s="153">
        <v>4</v>
      </c>
      <c r="J53" s="153">
        <v>8884</v>
      </c>
      <c r="K53" s="156">
        <v>0</v>
      </c>
      <c r="L53" s="156">
        <v>0</v>
      </c>
      <c r="M53" s="156">
        <v>4</v>
      </c>
      <c r="N53" s="159">
        <f t="shared" si="4"/>
      </c>
      <c r="O53" s="159">
        <f t="shared" si="167"/>
      </c>
      <c r="P53" s="160">
        <f t="shared" si="109"/>
      </c>
      <c r="Q53" s="161">
        <f t="shared" si="283"/>
      </c>
      <c r="R53" s="162">
        <f t="shared" si="225"/>
      </c>
      <c r="S53" s="161">
        <f t="shared" si="312"/>
      </c>
      <c r="T53" s="161">
        <f t="shared" si="428"/>
      </c>
      <c r="U53" s="162">
        <f t="shared" si="370"/>
      </c>
      <c r="V53" s="161">
        <f t="shared" si="138"/>
      </c>
      <c r="W53" s="161">
        <f t="shared" si="80"/>
      </c>
      <c r="X53" s="162">
        <f t="shared" si="254"/>
      </c>
      <c r="Y53" s="163">
        <f t="shared" si="196"/>
      </c>
      <c r="Z53" s="162">
        <f t="shared" si="399"/>
      </c>
      <c r="AA53" s="164">
        <f t="shared" si="341"/>
      </c>
      <c r="AB53" s="165" t="s">
        <v>132</v>
      </c>
      <c r="AC53" s="166" t="s">
        <v>153</v>
      </c>
      <c r="AD53" s="209">
        <v>3</v>
      </c>
      <c r="AE53" s="172">
        <v>7935</v>
      </c>
      <c r="AF53" s="153">
        <v>354</v>
      </c>
      <c r="AG53" s="153">
        <v>443</v>
      </c>
      <c r="AH53" s="153">
        <v>98</v>
      </c>
      <c r="AI53" s="153">
        <v>21</v>
      </c>
      <c r="AJ53" s="201">
        <v>4</v>
      </c>
      <c r="AK53" s="210">
        <v>21</v>
      </c>
      <c r="AL53" s="175">
        <v>1</v>
      </c>
      <c r="AM53" s="168"/>
    </row>
    <row hidden="true" r="54">
      <c r="A54" s="152"/>
      <c r="B54" s="176" t="s">
        <v>137</v>
      </c>
      <c r="C54" s="176"/>
      <c r="D54" s="176">
        <f>SUM(D50:D53)</f>
      </c>
      <c r="E54" s="176">
        <f>SUM(E50:E53)</f>
      </c>
      <c r="F54" s="176">
        <f>SUM(F50:F53)</f>
      </c>
      <c r="G54" s="176">
        <f>SUM(G50:G53)</f>
      </c>
      <c r="H54" s="176">
        <f>SUM(H50:H53)</f>
      </c>
      <c r="I54" s="176">
        <f>SUM(I50:I53)</f>
      </c>
      <c r="J54" s="176">
        <f>SUM(J50:J53)</f>
      </c>
      <c r="K54" s="176">
        <f>SUM(K50:K53)</f>
      </c>
      <c r="L54" s="176">
        <f>SUM(L50:L53)</f>
      </c>
      <c r="M54" s="176">
        <f>SUM(M50:M53)</f>
      </c>
      <c r="N54" s="177">
        <f t="shared" si="4"/>
      </c>
      <c r="O54" s="177">
        <f t="shared" si="167"/>
      </c>
      <c r="P54" s="178">
        <f t="shared" si="109"/>
      </c>
      <c r="Q54" s="179">
        <f t="shared" si="283"/>
      </c>
      <c r="R54" s="180">
        <f t="shared" si="225"/>
      </c>
      <c r="S54" s="179">
        <f t="shared" si="312"/>
      </c>
      <c r="T54" s="179">
        <f t="shared" si="428"/>
      </c>
      <c r="U54" s="180">
        <f t="shared" si="370"/>
      </c>
      <c r="V54" s="179">
        <f t="shared" si="138"/>
      </c>
      <c r="W54" s="179">
        <f t="shared" si="80"/>
      </c>
      <c r="X54" s="180">
        <f t="shared" si="254"/>
      </c>
      <c r="Y54" s="181">
        <f t="shared" si="196"/>
      </c>
      <c r="Z54" s="180">
        <f t="shared" si="399"/>
      </c>
      <c r="AA54" s="182">
        <f t="shared" si="341"/>
      </c>
      <c r="AB54" s="182"/>
      <c r="AC54" s="189"/>
      <c r="AD54" s="211">
        <f>SUM(AD50:AD53)</f>
      </c>
      <c r="AE54" s="183">
        <f>SUM(AE50:AE53)</f>
      </c>
      <c r="AF54" s="183">
        <f>SUM(AF50:AF53)</f>
      </c>
      <c r="AG54" s="183">
        <f>SUM(AG50:AG53)</f>
      </c>
      <c r="AH54" s="183">
        <f>SUM(AH50:AH53)</f>
      </c>
      <c r="AI54" s="183">
        <f>SUM(AI50:AI53)</f>
      </c>
      <c r="AJ54" s="183">
        <f>SUM(AJ50:AJ53)</f>
      </c>
      <c r="AK54" s="183">
        <f>SUM(AK50:AK53)</f>
      </c>
      <c r="AL54" s="183">
        <f>SUM(AL50:AL53)</f>
      </c>
      <c r="AM54" s="168"/>
    </row>
    <row hidden="true" r="55">
      <c r="A55" s="152"/>
      <c r="B55" s="184" t="s">
        <v>145</v>
      </c>
      <c r="C55" s="153" t="s">
        <v>139</v>
      </c>
      <c r="D55" s="154">
        <f>E55+F55+G55+H55</f>
      </c>
      <c r="E55" s="186">
        <v>1602.38</v>
      </c>
      <c r="F55" s="158">
        <v>800.64</v>
      </c>
      <c r="G55" s="153"/>
      <c r="H55" s="156">
        <v>565.34</v>
      </c>
      <c r="I55" s="153">
        <v>1</v>
      </c>
      <c r="J55" s="156">
        <v>2080</v>
      </c>
      <c r="K55" s="156">
        <v>0</v>
      </c>
      <c r="L55" s="156">
        <v>0</v>
      </c>
      <c r="M55" s="156">
        <v>1</v>
      </c>
      <c r="N55" s="159">
        <f t="shared" si="4"/>
      </c>
      <c r="O55" s="159">
        <f t="shared" si="167"/>
      </c>
      <c r="P55" s="160">
        <f t="shared" si="109"/>
      </c>
      <c r="Q55" s="161">
        <f t="shared" si="283"/>
      </c>
      <c r="R55" s="162">
        <f t="shared" si="225"/>
      </c>
      <c r="S55" s="161">
        <f t="shared" si="312"/>
      </c>
      <c r="T55" s="161">
        <f t="shared" si="428"/>
      </c>
      <c r="U55" s="162">
        <f t="shared" si="370"/>
      </c>
      <c r="V55" s="161">
        <f t="shared" si="138"/>
      </c>
      <c r="W55" s="161">
        <f t="shared" si="80"/>
      </c>
      <c r="X55" s="162">
        <f t="shared" si="254"/>
      </c>
      <c r="Y55" s="163">
        <f t="shared" si="196"/>
      </c>
      <c r="Z55" s="162">
        <f t="shared" si="399"/>
      </c>
      <c r="AA55" s="164">
        <f t="shared" si="341"/>
      </c>
      <c r="AB55" s="165" t="s">
        <v>132</v>
      </c>
      <c r="AC55" s="166" t="s">
        <v>153</v>
      </c>
      <c r="AD55" s="209">
        <v>1</v>
      </c>
      <c r="AE55" s="185">
        <v>6951</v>
      </c>
      <c r="AF55" s="167">
        <v>329</v>
      </c>
      <c r="AG55" s="167">
        <v>407</v>
      </c>
      <c r="AH55" s="167">
        <v>88</v>
      </c>
      <c r="AI55" s="167">
        <v>26</v>
      </c>
      <c r="AJ55" s="175">
        <v>3</v>
      </c>
      <c r="AK55" s="175">
        <v>15</v>
      </c>
      <c r="AL55" s="175">
        <v>1</v>
      </c>
      <c r="AM55" s="168"/>
    </row>
    <row hidden="true" r="56">
      <c r="A56" s="152"/>
      <c r="B56" s="176" t="s">
        <v>137</v>
      </c>
      <c r="C56" s="176"/>
      <c r="D56" s="176">
        <f>SUM(D55)</f>
      </c>
      <c r="E56" s="176">
        <f>SUM(E55)</f>
      </c>
      <c r="F56" s="176">
        <f>SUM(F55)</f>
      </c>
      <c r="G56" s="176">
        <f>SUM(G55)</f>
      </c>
      <c r="H56" s="176">
        <f>SUM(H55)</f>
      </c>
      <c r="I56" s="176">
        <f>SUM(I55)</f>
      </c>
      <c r="J56" s="176">
        <f>SUM(J55)</f>
      </c>
      <c r="K56" s="176">
        <f>SUM(K55)</f>
      </c>
      <c r="L56" s="176">
        <f>SUM(L55)</f>
      </c>
      <c r="M56" s="176">
        <f>SUM(M55)</f>
      </c>
      <c r="N56" s="177">
        <f t="shared" si="4"/>
      </c>
      <c r="O56" s="177">
        <f t="shared" si="167"/>
      </c>
      <c r="P56" s="188">
        <f t="shared" si="109"/>
      </c>
      <c r="Q56" s="179">
        <f t="shared" si="283"/>
      </c>
      <c r="R56" s="180">
        <f t="shared" si="225"/>
      </c>
      <c r="S56" s="179">
        <f t="shared" si="312"/>
      </c>
      <c r="T56" s="179">
        <f t="shared" si="428"/>
      </c>
      <c r="U56" s="180">
        <f t="shared" si="370"/>
      </c>
      <c r="V56" s="179">
        <f t="shared" si="138"/>
      </c>
      <c r="W56" s="179">
        <f t="shared" si="80"/>
      </c>
      <c r="X56" s="180">
        <f t="shared" si="254"/>
      </c>
      <c r="Y56" s="181">
        <f t="shared" si="196"/>
      </c>
      <c r="Z56" s="180">
        <f t="shared" si="399"/>
      </c>
      <c r="AA56" s="182">
        <f t="shared" si="341"/>
      </c>
      <c r="AB56" s="182"/>
      <c r="AC56" s="189"/>
      <c r="AD56" s="211">
        <f>SUM(AD55)</f>
      </c>
      <c r="AE56" s="212">
        <f>SUM(AE55)</f>
      </c>
      <c r="AF56" s="190">
        <f>SUM(AF55)</f>
      </c>
      <c r="AG56" s="190">
        <f>SUM(AG55)</f>
      </c>
      <c r="AH56" s="190">
        <f>SUM(AH55)</f>
      </c>
      <c r="AI56" s="190">
        <f>SUM(AI55)</f>
      </c>
      <c r="AJ56" s="190">
        <f>SUM(AJ55)</f>
      </c>
      <c r="AK56" s="190">
        <f>SUM(AK55)</f>
      </c>
      <c r="AL56" s="190">
        <f>SUM(AL55)</f>
      </c>
      <c r="AM56" s="191" t="s">
        <v>142</v>
      </c>
    </row>
    <row hidden="true" r="57">
      <c r="A57" s="152"/>
      <c r="B57" s="192" t="s">
        <v>143</v>
      </c>
      <c r="C57" s="192"/>
      <c r="D57" s="192">
        <f>D54+D56</f>
      </c>
      <c r="E57" s="192">
        <f>E54+E56</f>
      </c>
      <c r="F57" s="192">
        <f>F54+F56</f>
      </c>
      <c r="G57" s="192">
        <f>G54+G56</f>
      </c>
      <c r="H57" s="192">
        <f>H54+H56</f>
      </c>
      <c r="I57" s="192">
        <f>I54+I56</f>
      </c>
      <c r="J57" s="192">
        <f>J54+J56</f>
      </c>
      <c r="K57" s="192">
        <f>K54+K56</f>
      </c>
      <c r="L57" s="192">
        <f>L54+L56</f>
      </c>
      <c r="M57" s="192">
        <f>M54+M56</f>
      </c>
      <c r="N57" s="193">
        <f t="shared" si="4"/>
      </c>
      <c r="O57" s="193">
        <f t="shared" si="167"/>
      </c>
      <c r="P57" s="194">
        <f t="shared" si="109"/>
      </c>
      <c r="Q57" s="195">
        <f t="shared" si="283"/>
      </c>
      <c r="R57" s="193">
        <f t="shared" si="225"/>
      </c>
      <c r="S57" s="195">
        <f t="shared" si="312"/>
      </c>
      <c r="T57" s="195">
        <f t="shared" si="428"/>
      </c>
      <c r="U57" s="193">
        <f t="shared" si="370"/>
      </c>
      <c r="V57" s="195">
        <f t="shared" si="138"/>
      </c>
      <c r="W57" s="195">
        <f t="shared" si="80"/>
      </c>
      <c r="X57" s="193">
        <f t="shared" si="254"/>
      </c>
      <c r="Y57" s="196">
        <f t="shared" si="196"/>
      </c>
      <c r="Z57" s="193">
        <f t="shared" si="399"/>
      </c>
      <c r="AA57" s="194">
        <f t="shared" si="341"/>
      </c>
      <c r="AB57" s="194"/>
      <c r="AC57" s="194"/>
      <c r="AD57" s="213">
        <f>AD54+AD56</f>
      </c>
      <c r="AE57" s="197">
        <f>AE54+AE56</f>
      </c>
      <c r="AF57" s="197">
        <f>AF54+AF56</f>
      </c>
      <c r="AG57" s="197">
        <f>AG54+AG56</f>
      </c>
      <c r="AH57" s="197">
        <f>AH54+AH56</f>
      </c>
      <c r="AI57" s="197">
        <f>AI54+AI56</f>
      </c>
      <c r="AJ57" s="197">
        <f>AJ54+AJ56</f>
      </c>
      <c r="AK57" s="197">
        <f>AK54+AK56</f>
      </c>
      <c r="AL57" s="197">
        <f>AL54+AL56</f>
      </c>
      <c r="AM57" s="191"/>
    </row>
    <row hidden="true" r="58">
      <c r="A58" s="134" t="s">
        <v>87</v>
      </c>
      <c r="B58" s="134"/>
      <c r="C58" s="134"/>
      <c r="D58" s="135" t="s">
        <v>88</v>
      </c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6" t="s">
        <v>89</v>
      </c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7" t="s">
        <v>90</v>
      </c>
      <c r="AE58" s="137"/>
      <c r="AF58" s="137"/>
      <c r="AG58" s="137"/>
      <c r="AH58" s="137"/>
      <c r="AI58" s="137"/>
      <c r="AJ58" s="137"/>
      <c r="AK58" s="137"/>
      <c r="AL58" s="137"/>
      <c r="AM58" s="138"/>
    </row>
    <row hidden="true" r="59">
      <c r="A59" s="139" t="s">
        <v>91</v>
      </c>
      <c r="B59" s="140" t="s">
        <v>92</v>
      </c>
      <c r="C59" s="140" t="s">
        <v>93</v>
      </c>
      <c r="D59" s="141" t="s">
        <v>94</v>
      </c>
      <c r="E59" s="142" t="s">
        <v>95</v>
      </c>
      <c r="F59" s="142" t="s">
        <v>96</v>
      </c>
      <c r="G59" s="143" t="s">
        <v>97</v>
      </c>
      <c r="H59" s="144" t="s">
        <v>98</v>
      </c>
      <c r="I59" s="205" t="s">
        <v>99</v>
      </c>
      <c r="J59" s="214" t="s">
        <v>100</v>
      </c>
      <c r="K59" s="206" t="s">
        <v>101</v>
      </c>
      <c r="L59" s="135" t="s">
        <v>102</v>
      </c>
      <c r="M59" s="146" t="s">
        <v>103</v>
      </c>
      <c r="N59" s="143" t="s">
        <v>104</v>
      </c>
      <c r="O59" s="146" t="s">
        <v>105</v>
      </c>
      <c r="P59" s="136" t="s">
        <v>106</v>
      </c>
      <c r="Q59" s="136" t="s">
        <v>107</v>
      </c>
      <c r="R59" s="136" t="s">
        <v>108</v>
      </c>
      <c r="S59" s="147" t="s">
        <v>109</v>
      </c>
      <c r="T59" s="147" t="s">
        <v>110</v>
      </c>
      <c r="U59" s="136" t="s">
        <v>111</v>
      </c>
      <c r="V59" s="147" t="s">
        <v>112</v>
      </c>
      <c r="W59" s="147" t="s">
        <v>113</v>
      </c>
      <c r="X59" s="136" t="s">
        <v>114</v>
      </c>
      <c r="Y59" s="147" t="s">
        <v>115</v>
      </c>
      <c r="Z59" s="136" t="s">
        <v>116</v>
      </c>
      <c r="AA59" s="148" t="s">
        <v>117</v>
      </c>
      <c r="AB59" s="148" t="s">
        <v>118</v>
      </c>
      <c r="AC59" s="148" t="s">
        <v>119</v>
      </c>
      <c r="AD59" s="149" t="s">
        <v>120</v>
      </c>
      <c r="AE59" s="150" t="s">
        <v>121</v>
      </c>
      <c r="AF59" s="150" t="s">
        <v>122</v>
      </c>
      <c r="AG59" s="150" t="s">
        <v>123</v>
      </c>
      <c r="AH59" s="150" t="s">
        <v>124</v>
      </c>
      <c r="AI59" s="150" t="s">
        <v>125</v>
      </c>
      <c r="AJ59" s="151" t="s">
        <v>126</v>
      </c>
      <c r="AK59" s="151" t="s">
        <v>127</v>
      </c>
      <c r="AL59" s="151" t="s">
        <v>128</v>
      </c>
      <c r="AM59" s="138"/>
    </row>
    <row hidden="true" r="60">
      <c r="A60" s="152" t="s">
        <v>154</v>
      </c>
      <c r="B60" s="153" t="s">
        <v>130</v>
      </c>
      <c r="C60" s="154" t="s">
        <v>131</v>
      </c>
      <c r="D60" s="207">
        <f t="shared" ref="D60:D63" si="36">E60+F60+G60+H60</f>
      </c>
      <c r="E60" s="208">
        <v>1607.77</v>
      </c>
      <c r="F60" s="158">
        <v>788.03</v>
      </c>
      <c r="G60" s="157"/>
      <c r="H60" s="155">
        <v>625.86</v>
      </c>
      <c r="I60" s="208">
        <v>2</v>
      </c>
      <c r="J60" s="208">
        <v>3216</v>
      </c>
      <c r="K60" s="170">
        <v>0</v>
      </c>
      <c r="L60" s="156">
        <v>1</v>
      </c>
      <c r="M60" s="156">
        <v>1</v>
      </c>
      <c r="N60" s="159">
        <f t="shared" ref="N60:N67" si="5">J60/D60</f>
      </c>
      <c r="O60" s="159">
        <f t="shared" ref="O60:O67" si="168">J60/(D60+300*AL60)</f>
      </c>
      <c r="P60" s="160">
        <f t="shared" ref="P60:P67" si="110">(D60/AE60)*1000</f>
      </c>
      <c r="Q60" s="161">
        <f t="shared" ref="Q60:Q67" si="284">AF60/AE60</f>
      </c>
      <c r="R60" s="162">
        <f t="shared" ref="R60:R67" si="226">D60/AG60</f>
      </c>
      <c r="S60" s="161">
        <f t="shared" ref="S60:S67" si="313">AH60/AG60</f>
      </c>
      <c r="T60" s="161">
        <f t="shared" ref="T60:T67" si="429">AI60/AG60</f>
      </c>
      <c r="U60" s="162">
        <f t="shared" ref="U60:U67" si="371">D60/AI60</f>
      </c>
      <c r="V60" s="161">
        <f t="shared" ref="V60:V67" si="139">AJ60/AI60</f>
      </c>
      <c r="W60" s="161">
        <f t="shared" ref="W60:W67" si="81">I60/AJ60</f>
      </c>
      <c r="X60" s="162">
        <f t="shared" ref="X60:X67" si="255">D60/I60</f>
      </c>
      <c r="Y60" s="163">
        <f t="shared" ref="Y60:Y67" si="197">J60/I60</f>
      </c>
      <c r="Z60" s="162">
        <f t="shared" ref="Z60:Z67" si="400">D60/AD60</f>
      </c>
      <c r="AA60" s="164">
        <f t="shared" ref="AA60:AA67" si="342">AK60*1000/D60</f>
      </c>
      <c r="AB60" s="165" t="s">
        <v>132</v>
      </c>
      <c r="AC60" s="166" t="s">
        <v>153</v>
      </c>
      <c r="AD60" s="209">
        <v>2</v>
      </c>
      <c r="AE60" s="157">
        <v>6988</v>
      </c>
      <c r="AF60" s="157">
        <v>414</v>
      </c>
      <c r="AG60" s="157">
        <v>531</v>
      </c>
      <c r="AH60" s="157">
        <v>98</v>
      </c>
      <c r="AI60" s="153">
        <v>32</v>
      </c>
      <c r="AJ60" s="158">
        <v>3</v>
      </c>
      <c r="AK60" s="156">
        <v>22</v>
      </c>
      <c r="AL60" s="175">
        <v>1</v>
      </c>
      <c r="AM60" s="168"/>
    </row>
    <row hidden="true" r="61">
      <c r="A61" s="152"/>
      <c r="B61" s="169" t="s">
        <v>134</v>
      </c>
      <c r="C61" s="154" t="s">
        <v>131</v>
      </c>
      <c r="D61" s="153">
        <f t="shared" si="36"/>
      </c>
      <c r="E61" s="170">
        <v>1832.25</v>
      </c>
      <c r="F61" s="170">
        <v>1613.1</v>
      </c>
      <c r="G61" s="153"/>
      <c r="H61" s="155">
        <v>978.88</v>
      </c>
      <c r="I61" s="208">
        <v>5</v>
      </c>
      <c r="J61" s="208">
        <v>9540</v>
      </c>
      <c r="K61" s="170">
        <v>1</v>
      </c>
      <c r="L61" s="184">
        <v>0</v>
      </c>
      <c r="M61" s="184">
        <v>4</v>
      </c>
      <c r="N61" s="159">
        <f t="shared" si="5"/>
      </c>
      <c r="O61" s="159">
        <f t="shared" si="168"/>
      </c>
      <c r="P61" s="160">
        <f t="shared" si="110"/>
      </c>
      <c r="Q61" s="161">
        <f t="shared" si="284"/>
      </c>
      <c r="R61" s="162">
        <f t="shared" si="226"/>
      </c>
      <c r="S61" s="161">
        <f t="shared" si="313"/>
      </c>
      <c r="T61" s="161">
        <f t="shared" si="429"/>
      </c>
      <c r="U61" s="162">
        <f t="shared" si="371"/>
      </c>
      <c r="V61" s="161">
        <f t="shared" si="139"/>
      </c>
      <c r="W61" s="161">
        <f t="shared" si="81"/>
      </c>
      <c r="X61" s="162">
        <f t="shared" si="255"/>
      </c>
      <c r="Y61" s="163">
        <f t="shared" si="197"/>
      </c>
      <c r="Z61" s="162">
        <f t="shared" si="400"/>
      </c>
      <c r="AA61" s="164">
        <f t="shared" si="342"/>
      </c>
      <c r="AB61" s="165" t="s">
        <v>132</v>
      </c>
      <c r="AC61" s="166" t="s">
        <v>153</v>
      </c>
      <c r="AD61" s="209">
        <v>4</v>
      </c>
      <c r="AE61" s="172">
        <v>8013</v>
      </c>
      <c r="AF61" s="157">
        <v>469</v>
      </c>
      <c r="AG61" s="171">
        <v>580</v>
      </c>
      <c r="AH61" s="153">
        <v>106</v>
      </c>
      <c r="AI61" s="153">
        <v>31</v>
      </c>
      <c r="AJ61" s="201">
        <v>7</v>
      </c>
      <c r="AK61" s="210">
        <v>24</v>
      </c>
      <c r="AL61" s="175">
        <v>1</v>
      </c>
      <c r="AM61" s="168"/>
    </row>
    <row hidden="true" r="62">
      <c r="A62" s="152"/>
      <c r="B62" s="169" t="s">
        <v>135</v>
      </c>
      <c r="C62" s="154" t="s">
        <v>131</v>
      </c>
      <c r="D62" s="157">
        <f t="shared" si="36"/>
      </c>
      <c r="E62" s="158">
        <v>959.22</v>
      </c>
      <c r="F62" s="158">
        <v>1077.14</v>
      </c>
      <c r="G62" s="153"/>
      <c r="H62" s="156">
        <v>344.89</v>
      </c>
      <c r="I62" s="171">
        <v>3</v>
      </c>
      <c r="J62" s="171">
        <v>5004</v>
      </c>
      <c r="K62" s="156">
        <v>1</v>
      </c>
      <c r="L62" s="156">
        <v>0</v>
      </c>
      <c r="M62" s="156">
        <v>2</v>
      </c>
      <c r="N62" s="159">
        <f t="shared" si="5"/>
      </c>
      <c r="O62" s="159">
        <f t="shared" si="168"/>
      </c>
      <c r="P62" s="160">
        <f t="shared" si="110"/>
      </c>
      <c r="Q62" s="161">
        <f t="shared" si="284"/>
      </c>
      <c r="R62" s="162">
        <f t="shared" si="226"/>
      </c>
      <c r="S62" s="161">
        <f t="shared" si="313"/>
      </c>
      <c r="T62" s="161">
        <f t="shared" si="429"/>
      </c>
      <c r="U62" s="162">
        <f t="shared" si="371"/>
      </c>
      <c r="V62" s="161">
        <f t="shared" si="139"/>
      </c>
      <c r="W62" s="161">
        <f t="shared" si="81"/>
      </c>
      <c r="X62" s="162">
        <f t="shared" si="255"/>
      </c>
      <c r="Y62" s="163">
        <f t="shared" si="197"/>
      </c>
      <c r="Z62" s="162">
        <f t="shared" si="400"/>
      </c>
      <c r="AA62" s="164">
        <f t="shared" si="342"/>
      </c>
      <c r="AB62" s="165" t="s">
        <v>132</v>
      </c>
      <c r="AC62" s="166" t="s">
        <v>153</v>
      </c>
      <c r="AD62" s="209">
        <v>2</v>
      </c>
      <c r="AE62" s="157">
        <v>5121</v>
      </c>
      <c r="AF62" s="157">
        <v>320</v>
      </c>
      <c r="AG62" s="153">
        <v>429</v>
      </c>
      <c r="AH62" s="153">
        <v>74</v>
      </c>
      <c r="AI62" s="153">
        <v>27</v>
      </c>
      <c r="AJ62" s="201">
        <v>3</v>
      </c>
      <c r="AK62" s="210">
        <v>18</v>
      </c>
      <c r="AL62" s="175">
        <v>1</v>
      </c>
      <c r="AM62" s="168"/>
    </row>
    <row hidden="true" r="63">
      <c r="A63" s="152"/>
      <c r="B63" s="169" t="s">
        <v>136</v>
      </c>
      <c r="C63" s="154" t="s">
        <v>131</v>
      </c>
      <c r="D63" s="157">
        <f t="shared" si="36"/>
      </c>
      <c r="E63" s="158">
        <v>1500.93</v>
      </c>
      <c r="F63" s="158">
        <v>1547.99</v>
      </c>
      <c r="G63" s="153"/>
      <c r="H63" s="156">
        <v>529.18</v>
      </c>
      <c r="I63" s="153">
        <v>2</v>
      </c>
      <c r="J63" s="153">
        <v>3137</v>
      </c>
      <c r="K63" s="156">
        <v>0</v>
      </c>
      <c r="L63" s="156">
        <v>1</v>
      </c>
      <c r="M63" s="156">
        <v>1</v>
      </c>
      <c r="N63" s="159">
        <f t="shared" si="5"/>
      </c>
      <c r="O63" s="159">
        <f t="shared" si="168"/>
      </c>
      <c r="P63" s="160">
        <f t="shared" si="110"/>
      </c>
      <c r="Q63" s="161">
        <f t="shared" si="284"/>
      </c>
      <c r="R63" s="162">
        <f t="shared" si="226"/>
      </c>
      <c r="S63" s="161">
        <f t="shared" si="313"/>
      </c>
      <c r="T63" s="161">
        <f t="shared" si="429"/>
      </c>
      <c r="U63" s="162">
        <f t="shared" si="371"/>
      </c>
      <c r="V63" s="161">
        <f t="shared" si="139"/>
      </c>
      <c r="W63" s="161">
        <f t="shared" si="81"/>
      </c>
      <c r="X63" s="162">
        <f t="shared" si="255"/>
      </c>
      <c r="Y63" s="163">
        <f t="shared" si="197"/>
      </c>
      <c r="Z63" s="162">
        <f t="shared" si="400"/>
      </c>
      <c r="AA63" s="164">
        <f t="shared" si="342"/>
      </c>
      <c r="AB63" s="165" t="s">
        <v>132</v>
      </c>
      <c r="AC63" s="166" t="s">
        <v>153</v>
      </c>
      <c r="AD63" s="209">
        <v>2</v>
      </c>
      <c r="AE63" s="172">
        <v>9076</v>
      </c>
      <c r="AF63" s="153">
        <v>509</v>
      </c>
      <c r="AG63" s="153">
        <v>635</v>
      </c>
      <c r="AH63" s="153">
        <v>118</v>
      </c>
      <c r="AI63" s="153">
        <v>35</v>
      </c>
      <c r="AJ63" s="201">
        <v>5</v>
      </c>
      <c r="AK63" s="210">
        <v>12</v>
      </c>
      <c r="AL63" s="175">
        <v>1</v>
      </c>
      <c r="AM63" s="168"/>
    </row>
    <row hidden="true" r="64">
      <c r="A64" s="152"/>
      <c r="B64" s="176" t="s">
        <v>137</v>
      </c>
      <c r="C64" s="176"/>
      <c r="D64" s="176">
        <f>SUM(D60:D63)</f>
      </c>
      <c r="E64" s="176">
        <f>SUM(E60:E63)</f>
      </c>
      <c r="F64" s="176">
        <f>SUM(F60:F63)</f>
      </c>
      <c r="G64" s="176">
        <f>SUM(G60:G63)</f>
      </c>
      <c r="H64" s="176">
        <f>SUM(H60:H63)</f>
      </c>
      <c r="I64" s="176">
        <f>SUM(I60:I63)</f>
      </c>
      <c r="J64" s="176">
        <f>SUM(J60:J63)</f>
      </c>
      <c r="K64" s="176">
        <f>SUM(K60:K63)</f>
      </c>
      <c r="L64" s="176">
        <f>SUM(L60:L63)</f>
      </c>
      <c r="M64" s="176">
        <f>SUM(M60:M63)</f>
      </c>
      <c r="N64" s="177">
        <f t="shared" si="5"/>
      </c>
      <c r="O64" s="177">
        <f t="shared" si="168"/>
      </c>
      <c r="P64" s="178">
        <f t="shared" si="110"/>
      </c>
      <c r="Q64" s="179">
        <f t="shared" si="284"/>
      </c>
      <c r="R64" s="180">
        <f t="shared" si="226"/>
      </c>
      <c r="S64" s="179">
        <f t="shared" si="313"/>
      </c>
      <c r="T64" s="179">
        <f t="shared" si="429"/>
      </c>
      <c r="U64" s="180">
        <f t="shared" si="371"/>
      </c>
      <c r="V64" s="179">
        <f t="shared" si="139"/>
      </c>
      <c r="W64" s="179">
        <f t="shared" si="81"/>
      </c>
      <c r="X64" s="180">
        <f t="shared" si="255"/>
      </c>
      <c r="Y64" s="181">
        <f t="shared" si="197"/>
      </c>
      <c r="Z64" s="180">
        <f t="shared" si="400"/>
      </c>
      <c r="AA64" s="182">
        <f t="shared" si="342"/>
      </c>
      <c r="AB64" s="182"/>
      <c r="AC64" s="189"/>
      <c r="AD64" s="211">
        <f>SUM(AD60:AD63)</f>
      </c>
      <c r="AE64" s="183">
        <f>SUM(AE60:AE63)</f>
      </c>
      <c r="AF64" s="183">
        <f>SUM(AF60:AF63)</f>
      </c>
      <c r="AG64" s="183">
        <f>SUM(AG60:AG63)</f>
      </c>
      <c r="AH64" s="183">
        <f>SUM(AH60:AH63)</f>
      </c>
      <c r="AI64" s="183">
        <f>SUM(AI60:AI63)</f>
      </c>
      <c r="AJ64" s="183">
        <f>SUM(AJ60:AJ63)</f>
      </c>
      <c r="AK64" s="183">
        <f>SUM(AK60:AK63)</f>
      </c>
      <c r="AL64" s="183">
        <f>SUM(AL60:AL63)</f>
      </c>
      <c r="AM64" s="168"/>
    </row>
    <row hidden="true" r="65">
      <c r="A65" s="152"/>
      <c r="B65" s="184" t="s">
        <v>145</v>
      </c>
      <c r="C65" s="156" t="s">
        <v>155</v>
      </c>
      <c r="D65" s="154">
        <f>E65+F65+G65+H65</f>
      </c>
      <c r="E65" s="186">
        <v>1854.5</v>
      </c>
      <c r="F65" s="158">
        <v>1051.51</v>
      </c>
      <c r="G65" s="153"/>
      <c r="H65" s="156">
        <f>413.76+7.89</f>
      </c>
      <c r="I65" s="153">
        <v>3</v>
      </c>
      <c r="J65" s="156">
        <v>2835</v>
      </c>
      <c r="K65" s="156">
        <v>1</v>
      </c>
      <c r="L65" s="156">
        <v>0</v>
      </c>
      <c r="M65" s="156">
        <v>1</v>
      </c>
      <c r="N65" s="159">
        <f t="shared" si="5"/>
      </c>
      <c r="O65" s="159">
        <f t="shared" si="168"/>
      </c>
      <c r="P65" s="160">
        <f t="shared" si="110"/>
      </c>
      <c r="Q65" s="161">
        <f t="shared" si="284"/>
      </c>
      <c r="R65" s="162">
        <f t="shared" si="226"/>
      </c>
      <c r="S65" s="161">
        <f t="shared" si="313"/>
      </c>
      <c r="T65" s="161">
        <f t="shared" si="429"/>
      </c>
      <c r="U65" s="162">
        <f t="shared" si="371"/>
      </c>
      <c r="V65" s="161">
        <f t="shared" si="139"/>
      </c>
      <c r="W65" s="161">
        <f t="shared" si="81"/>
      </c>
      <c r="X65" s="162">
        <f t="shared" si="255"/>
      </c>
      <c r="Y65" s="163">
        <f t="shared" si="197"/>
      </c>
      <c r="Z65" s="162">
        <f t="shared" si="400"/>
      </c>
      <c r="AA65" s="164">
        <f t="shared" si="342"/>
      </c>
      <c r="AB65" s="165" t="s">
        <v>132</v>
      </c>
      <c r="AC65" s="166" t="s">
        <v>153</v>
      </c>
      <c r="AD65" s="209">
        <v>2</v>
      </c>
      <c r="AE65" s="185">
        <v>4894</v>
      </c>
      <c r="AF65" s="167">
        <v>201</v>
      </c>
      <c r="AG65" s="167">
        <v>222</v>
      </c>
      <c r="AH65" s="167">
        <v>64</v>
      </c>
      <c r="AI65" s="167">
        <v>7</v>
      </c>
      <c r="AJ65" s="175">
        <v>8</v>
      </c>
      <c r="AK65" s="175">
        <v>21</v>
      </c>
      <c r="AL65" s="175">
        <v>1</v>
      </c>
      <c r="AM65" s="168"/>
    </row>
    <row hidden="true" r="66">
      <c r="A66" s="152"/>
      <c r="B66" s="176" t="s">
        <v>137</v>
      </c>
      <c r="C66" s="176"/>
      <c r="D66" s="176">
        <f>SUM(D65)</f>
      </c>
      <c r="E66" s="176">
        <f>SUM(E65)</f>
      </c>
      <c r="F66" s="176">
        <f>SUM(F65)</f>
      </c>
      <c r="G66" s="176">
        <f>SUM(G65)</f>
      </c>
      <c r="H66" s="176">
        <f>SUM(H65)</f>
      </c>
      <c r="I66" s="176">
        <f>SUM(I65)</f>
      </c>
      <c r="J66" s="176">
        <f>SUM(J65)</f>
      </c>
      <c r="K66" s="176">
        <f>SUM(K65)</f>
      </c>
      <c r="L66" s="176">
        <f>SUM(L65)</f>
      </c>
      <c r="M66" s="176">
        <f>SUM(M65)</f>
      </c>
      <c r="N66" s="177">
        <f t="shared" si="5"/>
      </c>
      <c r="O66" s="177">
        <f t="shared" si="168"/>
      </c>
      <c r="P66" s="188">
        <f t="shared" si="110"/>
      </c>
      <c r="Q66" s="179">
        <f t="shared" si="284"/>
      </c>
      <c r="R66" s="180">
        <f t="shared" si="226"/>
      </c>
      <c r="S66" s="179">
        <f t="shared" si="313"/>
      </c>
      <c r="T66" s="179">
        <f t="shared" si="429"/>
      </c>
      <c r="U66" s="180">
        <f t="shared" si="371"/>
      </c>
      <c r="V66" s="179">
        <f t="shared" si="139"/>
      </c>
      <c r="W66" s="179">
        <f t="shared" si="81"/>
      </c>
      <c r="X66" s="180">
        <f t="shared" si="255"/>
      </c>
      <c r="Y66" s="181">
        <f t="shared" si="197"/>
      </c>
      <c r="Z66" s="180">
        <f t="shared" si="400"/>
      </c>
      <c r="AA66" s="182">
        <f t="shared" si="342"/>
      </c>
      <c r="AB66" s="182"/>
      <c r="AC66" s="189"/>
      <c r="AD66" s="211">
        <f>SUM(AD65)</f>
      </c>
      <c r="AE66" s="211">
        <f>SUM(AE65)</f>
      </c>
      <c r="AF66" s="211">
        <f>SUM(AF65)</f>
      </c>
      <c r="AG66" s="211">
        <f>SUM(AG65)</f>
      </c>
      <c r="AH66" s="211">
        <f>SUM(AH65)</f>
      </c>
      <c r="AI66" s="211">
        <f>SUM(AI65)</f>
      </c>
      <c r="AJ66" s="211">
        <f>SUM(AJ65)</f>
      </c>
      <c r="AK66" s="211">
        <f>SUM(AK65)</f>
      </c>
      <c r="AL66" s="211">
        <f>SUM(AL65)</f>
      </c>
      <c r="AM66" s="191" t="s">
        <v>142</v>
      </c>
    </row>
    <row hidden="true" r="67">
      <c r="A67" s="152"/>
      <c r="B67" s="192" t="s">
        <v>143</v>
      </c>
      <c r="C67" s="192"/>
      <c r="D67" s="192">
        <f>D64+D66</f>
      </c>
      <c r="E67" s="192">
        <f>E64+E66</f>
      </c>
      <c r="F67" s="192">
        <f>F64+F66</f>
      </c>
      <c r="G67" s="192">
        <f>G64+G66</f>
      </c>
      <c r="H67" s="192">
        <f>H64+H66</f>
      </c>
      <c r="I67" s="192">
        <f>I64+I66</f>
      </c>
      <c r="J67" s="192">
        <f>J64+J66</f>
      </c>
      <c r="K67" s="192">
        <f>K64+K66</f>
      </c>
      <c r="L67" s="192">
        <f>L64+L66</f>
      </c>
      <c r="M67" s="192">
        <f>M64+M66</f>
      </c>
      <c r="N67" s="193">
        <f t="shared" si="5"/>
      </c>
      <c r="O67" s="193">
        <f t="shared" si="168"/>
      </c>
      <c r="P67" s="194">
        <f t="shared" si="110"/>
      </c>
      <c r="Q67" s="195">
        <f t="shared" si="284"/>
      </c>
      <c r="R67" s="193">
        <f t="shared" si="226"/>
      </c>
      <c r="S67" s="195">
        <f t="shared" si="313"/>
      </c>
      <c r="T67" s="195">
        <f t="shared" si="429"/>
      </c>
      <c r="U67" s="193">
        <f t="shared" si="371"/>
      </c>
      <c r="V67" s="195">
        <f t="shared" si="139"/>
      </c>
      <c r="W67" s="195">
        <f t="shared" si="81"/>
      </c>
      <c r="X67" s="193">
        <f t="shared" si="255"/>
      </c>
      <c r="Y67" s="196">
        <f t="shared" si="197"/>
      </c>
      <c r="Z67" s="193">
        <f t="shared" si="400"/>
      </c>
      <c r="AA67" s="194">
        <f t="shared" si="342"/>
      </c>
      <c r="AB67" s="194"/>
      <c r="AC67" s="194"/>
      <c r="AD67" s="213">
        <f>AD64+AD66</f>
      </c>
      <c r="AE67" s="197">
        <f>AE64+AE66</f>
      </c>
      <c r="AF67" s="197">
        <f>AF64+AF66</f>
      </c>
      <c r="AG67" s="197">
        <f>AG64+AG66</f>
      </c>
      <c r="AH67" s="197">
        <f>AH64+AH66</f>
      </c>
      <c r="AI67" s="197">
        <f>AI64+AI66</f>
      </c>
      <c r="AJ67" s="197">
        <f>AJ64+AJ66</f>
      </c>
      <c r="AK67" s="197">
        <f>AK64+AK66</f>
      </c>
      <c r="AL67" s="197">
        <f>AL64+AL66</f>
      </c>
      <c r="AM67" s="191"/>
    </row>
    <row hidden="true" r="68">
      <c r="A68" s="134" t="s">
        <v>87</v>
      </c>
      <c r="B68" s="134"/>
      <c r="C68" s="134"/>
      <c r="D68" s="135" t="s">
        <v>88</v>
      </c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6" t="s">
        <v>89</v>
      </c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7" t="s">
        <v>90</v>
      </c>
      <c r="AE68" s="137"/>
      <c r="AF68" s="137"/>
      <c r="AG68" s="137"/>
      <c r="AH68" s="137"/>
      <c r="AI68" s="137"/>
      <c r="AJ68" s="137"/>
      <c r="AK68" s="137"/>
      <c r="AL68" s="137"/>
      <c r="AM68" s="138"/>
    </row>
    <row hidden="true" r="69">
      <c r="A69" s="139" t="s">
        <v>91</v>
      </c>
      <c r="B69" s="140" t="s">
        <v>92</v>
      </c>
      <c r="C69" s="140" t="s">
        <v>93</v>
      </c>
      <c r="D69" s="141" t="s">
        <v>94</v>
      </c>
      <c r="E69" s="142" t="s">
        <v>95</v>
      </c>
      <c r="F69" s="142" t="s">
        <v>96</v>
      </c>
      <c r="G69" s="143" t="s">
        <v>97</v>
      </c>
      <c r="H69" s="144" t="s">
        <v>98</v>
      </c>
      <c r="I69" s="145" t="s">
        <v>99</v>
      </c>
      <c r="J69" s="141" t="s">
        <v>100</v>
      </c>
      <c r="K69" s="146" t="s">
        <v>101</v>
      </c>
      <c r="L69" s="146" t="s">
        <v>102</v>
      </c>
      <c r="M69" s="146" t="s">
        <v>103</v>
      </c>
      <c r="N69" s="143" t="s">
        <v>104</v>
      </c>
      <c r="O69" s="146" t="s">
        <v>105</v>
      </c>
      <c r="P69" s="136" t="s">
        <v>106</v>
      </c>
      <c r="Q69" s="136" t="s">
        <v>107</v>
      </c>
      <c r="R69" s="136" t="s">
        <v>108</v>
      </c>
      <c r="S69" s="147" t="s">
        <v>109</v>
      </c>
      <c r="T69" s="147" t="s">
        <v>110</v>
      </c>
      <c r="U69" s="136" t="s">
        <v>111</v>
      </c>
      <c r="V69" s="147" t="s">
        <v>112</v>
      </c>
      <c r="W69" s="147" t="s">
        <v>113</v>
      </c>
      <c r="X69" s="136" t="s">
        <v>114</v>
      </c>
      <c r="Y69" s="147" t="s">
        <v>115</v>
      </c>
      <c r="Z69" s="136" t="s">
        <v>116</v>
      </c>
      <c r="AA69" s="148" t="s">
        <v>117</v>
      </c>
      <c r="AB69" s="148" t="s">
        <v>118</v>
      </c>
      <c r="AC69" s="148" t="s">
        <v>119</v>
      </c>
      <c r="AD69" s="149" t="s">
        <v>120</v>
      </c>
      <c r="AE69" s="150" t="s">
        <v>121</v>
      </c>
      <c r="AF69" s="150" t="s">
        <v>122</v>
      </c>
      <c r="AG69" s="150" t="s">
        <v>123</v>
      </c>
      <c r="AH69" s="150" t="s">
        <v>124</v>
      </c>
      <c r="AI69" s="150" t="s">
        <v>125</v>
      </c>
      <c r="AJ69" s="151" t="s">
        <v>126</v>
      </c>
      <c r="AK69" s="151" t="s">
        <v>127</v>
      </c>
      <c r="AL69" s="151" t="s">
        <v>128</v>
      </c>
      <c r="AM69" s="138"/>
    </row>
    <row hidden="true" r="70">
      <c r="A70" s="152" t="s">
        <v>156</v>
      </c>
      <c r="B70" s="153" t="s">
        <v>130</v>
      </c>
      <c r="C70" s="154" t="s">
        <v>131</v>
      </c>
      <c r="D70" s="154">
        <f t="shared" ref="D70:D74" si="37">E70+F70+G70+H70</f>
      </c>
      <c r="E70" s="155">
        <v>1785.12</v>
      </c>
      <c r="F70" s="156">
        <v>769.47</v>
      </c>
      <c r="G70" s="157"/>
      <c r="H70" s="155">
        <v>495.41</v>
      </c>
      <c r="I70" s="156">
        <v>4</v>
      </c>
      <c r="J70" s="158">
        <v>6432</v>
      </c>
      <c r="K70" s="158">
        <v>0</v>
      </c>
      <c r="L70" s="156">
        <v>2</v>
      </c>
      <c r="M70" s="156">
        <v>2</v>
      </c>
      <c r="N70" s="159">
        <f t="shared" ref="N70:N78" si="6">J70/D70</f>
      </c>
      <c r="O70" s="159">
        <f t="shared" ref="O70:O78" si="169">J70/(D70+300*AL70)</f>
      </c>
      <c r="P70" s="160">
        <f t="shared" ref="P70:P78" si="111">(D70/AE70)*1000</f>
      </c>
      <c r="Q70" s="161">
        <f t="shared" ref="Q70:Q78" si="285">AF70/AE70</f>
      </c>
      <c r="R70" s="162">
        <f t="shared" ref="R70:R78" si="227">D70/AG70</f>
      </c>
      <c r="S70" s="161">
        <f t="shared" ref="S70:S78" si="314">AH70/AG70</f>
      </c>
      <c r="T70" s="161">
        <f t="shared" ref="T70:T78" si="430">AI70/AG70</f>
      </c>
      <c r="U70" s="162">
        <f t="shared" ref="U70:U78" si="372">D70/AI70</f>
      </c>
      <c r="V70" s="161">
        <f t="shared" ref="V70:V78" si="140">AJ70/AI70</f>
      </c>
      <c r="W70" s="161">
        <f t="shared" ref="W70:W78" si="82">I70/AJ70</f>
      </c>
      <c r="X70" s="162">
        <f t="shared" ref="X70:X78" si="256">D70/I70</f>
      </c>
      <c r="Y70" s="163">
        <f t="shared" ref="Y70:Y78" si="198">J70/I70</f>
      </c>
      <c r="Z70" s="162">
        <f t="shared" ref="Z70:Z78" si="401">D70/AD70</f>
      </c>
      <c r="AA70" s="164">
        <f t="shared" ref="AA70:AA78" si="343">AK70*1000/D70</f>
      </c>
      <c r="AB70" s="165" t="s">
        <v>132</v>
      </c>
      <c r="AC70" s="166" t="s">
        <v>133</v>
      </c>
      <c r="AD70" s="153">
        <v>4</v>
      </c>
      <c r="AE70" s="157">
        <v>7978</v>
      </c>
      <c r="AF70" s="157">
        <v>461</v>
      </c>
      <c r="AG70" s="157">
        <v>609</v>
      </c>
      <c r="AH70" s="157">
        <v>109</v>
      </c>
      <c r="AI70" s="153">
        <v>18</v>
      </c>
      <c r="AJ70" s="158">
        <v>8</v>
      </c>
      <c r="AK70" s="156">
        <v>19</v>
      </c>
      <c r="AL70" s="175">
        <v>1</v>
      </c>
      <c r="AM70" s="168"/>
    </row>
    <row hidden="true" r="71">
      <c r="A71" s="152"/>
      <c r="B71" s="169" t="s">
        <v>134</v>
      </c>
      <c r="C71" s="154" t="s">
        <v>131</v>
      </c>
      <c r="D71" s="153">
        <f t="shared" si="37"/>
      </c>
      <c r="E71" s="158">
        <v>2476.25</v>
      </c>
      <c r="F71" s="170">
        <v>734.38</v>
      </c>
      <c r="G71" s="153"/>
      <c r="H71" s="156">
        <v>261.12</v>
      </c>
      <c r="I71" s="171">
        <v>3</v>
      </c>
      <c r="J71" s="171">
        <v>4456</v>
      </c>
      <c r="K71" s="156">
        <v>0</v>
      </c>
      <c r="L71" s="156">
        <v>0</v>
      </c>
      <c r="M71" s="156">
        <v>2</v>
      </c>
      <c r="N71" s="159">
        <f t="shared" si="6"/>
      </c>
      <c r="O71" s="159">
        <f t="shared" si="169"/>
      </c>
      <c r="P71" s="160">
        <f t="shared" si="111"/>
      </c>
      <c r="Q71" s="161">
        <f t="shared" si="285"/>
      </c>
      <c r="R71" s="162">
        <f t="shared" si="227"/>
      </c>
      <c r="S71" s="161">
        <f t="shared" si="314"/>
      </c>
      <c r="T71" s="161">
        <f t="shared" si="430"/>
      </c>
      <c r="U71" s="162">
        <f t="shared" si="372"/>
      </c>
      <c r="V71" s="161">
        <f t="shared" si="140"/>
      </c>
      <c r="W71" s="161">
        <f t="shared" si="82"/>
      </c>
      <c r="X71" s="162">
        <f t="shared" si="256"/>
      </c>
      <c r="Y71" s="163">
        <f t="shared" si="198"/>
      </c>
      <c r="Z71" s="162">
        <f t="shared" si="401"/>
      </c>
      <c r="AA71" s="164">
        <f t="shared" si="343"/>
      </c>
      <c r="AB71" s="165" t="s">
        <v>132</v>
      </c>
      <c r="AC71" s="166" t="s">
        <v>133</v>
      </c>
      <c r="AD71" s="153">
        <v>2</v>
      </c>
      <c r="AE71" s="172">
        <v>6943</v>
      </c>
      <c r="AF71" s="157">
        <v>406</v>
      </c>
      <c r="AG71" s="171">
        <v>650</v>
      </c>
      <c r="AH71" s="153">
        <v>125</v>
      </c>
      <c r="AI71" s="153">
        <v>22</v>
      </c>
      <c r="AJ71" s="173">
        <v>5</v>
      </c>
      <c r="AK71" s="174">
        <v>29</v>
      </c>
      <c r="AL71" s="175">
        <v>1</v>
      </c>
      <c r="AM71" s="168"/>
    </row>
    <row hidden="true" r="72">
      <c r="A72" s="152"/>
      <c r="B72" s="169" t="s">
        <v>135</v>
      </c>
      <c r="C72" s="154" t="s">
        <v>131</v>
      </c>
      <c r="D72" s="157">
        <f t="shared" si="37"/>
      </c>
      <c r="E72" s="158">
        <v>1549.02</v>
      </c>
      <c r="F72" s="158">
        <v>722.34</v>
      </c>
      <c r="G72" s="153"/>
      <c r="H72" s="156">
        <v>325.67</v>
      </c>
      <c r="I72" s="153">
        <v>1</v>
      </c>
      <c r="J72" s="153">
        <v>2268</v>
      </c>
      <c r="K72" s="156">
        <v>0</v>
      </c>
      <c r="L72" s="156">
        <v>0</v>
      </c>
      <c r="M72" s="156">
        <v>1</v>
      </c>
      <c r="N72" s="159">
        <f t="shared" si="6"/>
      </c>
      <c r="O72" s="159">
        <f t="shared" si="169"/>
      </c>
      <c r="P72" s="160">
        <f t="shared" si="111"/>
      </c>
      <c r="Q72" s="161">
        <f t="shared" si="285"/>
      </c>
      <c r="R72" s="162">
        <f t="shared" si="227"/>
      </c>
      <c r="S72" s="161">
        <f t="shared" si="314"/>
      </c>
      <c r="T72" s="161">
        <f t="shared" si="430"/>
      </c>
      <c r="U72" s="162">
        <f t="shared" si="372"/>
      </c>
      <c r="V72" s="161">
        <f t="shared" si="140"/>
      </c>
      <c r="W72" s="161">
        <f t="shared" si="82"/>
      </c>
      <c r="X72" s="162">
        <f t="shared" si="256"/>
      </c>
      <c r="Y72" s="163">
        <f t="shared" si="198"/>
      </c>
      <c r="Z72" s="162">
        <f t="shared" si="401"/>
      </c>
      <c r="AA72" s="164">
        <f t="shared" si="343"/>
      </c>
      <c r="AB72" s="165" t="s">
        <v>132</v>
      </c>
      <c r="AC72" s="166" t="s">
        <v>133</v>
      </c>
      <c r="AD72" s="153">
        <v>1</v>
      </c>
      <c r="AE72" s="157">
        <v>5032</v>
      </c>
      <c r="AF72" s="157">
        <v>280</v>
      </c>
      <c r="AG72" s="153">
        <v>433</v>
      </c>
      <c r="AH72" s="153">
        <v>76</v>
      </c>
      <c r="AI72" s="153">
        <v>15</v>
      </c>
      <c r="AJ72" s="201">
        <v>4</v>
      </c>
      <c r="AK72" s="174">
        <v>8</v>
      </c>
      <c r="AL72" s="175">
        <v>1</v>
      </c>
      <c r="AM72" s="168"/>
    </row>
    <row hidden="true" r="73">
      <c r="A73" s="152"/>
      <c r="B73" s="169" t="s">
        <v>136</v>
      </c>
      <c r="C73" s="154" t="s">
        <v>131</v>
      </c>
      <c r="D73" s="157">
        <f t="shared" si="37"/>
      </c>
      <c r="E73" s="158">
        <v>1657.45</v>
      </c>
      <c r="F73" s="158">
        <v>522.52</v>
      </c>
      <c r="G73" s="153"/>
      <c r="H73" s="156">
        <v>608.51</v>
      </c>
      <c r="I73" s="153">
        <v>4</v>
      </c>
      <c r="J73" s="153">
        <v>7752</v>
      </c>
      <c r="K73" s="156">
        <v>0</v>
      </c>
      <c r="L73" s="156">
        <v>1</v>
      </c>
      <c r="M73" s="156">
        <v>3</v>
      </c>
      <c r="N73" s="159">
        <f t="shared" si="6"/>
      </c>
      <c r="O73" s="159">
        <f t="shared" si="169"/>
      </c>
      <c r="P73" s="160">
        <f t="shared" si="111"/>
      </c>
      <c r="Q73" s="161">
        <f t="shared" si="285"/>
      </c>
      <c r="R73" s="162">
        <f t="shared" si="227"/>
      </c>
      <c r="S73" s="161">
        <f t="shared" si="314"/>
      </c>
      <c r="T73" s="161">
        <f t="shared" si="430"/>
      </c>
      <c r="U73" s="162">
        <f t="shared" si="372"/>
      </c>
      <c r="V73" s="161">
        <f t="shared" si="140"/>
      </c>
      <c r="W73" s="161">
        <f t="shared" si="82"/>
      </c>
      <c r="X73" s="162">
        <f t="shared" si="256"/>
      </c>
      <c r="Y73" s="163">
        <f t="shared" si="198"/>
      </c>
      <c r="Z73" s="162">
        <f t="shared" si="401"/>
      </c>
      <c r="AA73" s="164">
        <f t="shared" si="343"/>
      </c>
      <c r="AB73" s="165" t="s">
        <v>132</v>
      </c>
      <c r="AC73" s="166" t="s">
        <v>133</v>
      </c>
      <c r="AD73" s="172">
        <v>2</v>
      </c>
      <c r="AE73" s="171">
        <v>6375</v>
      </c>
      <c r="AF73" s="153">
        <v>280</v>
      </c>
      <c r="AG73" s="153">
        <v>384</v>
      </c>
      <c r="AH73" s="153">
        <v>77</v>
      </c>
      <c r="AI73" s="153">
        <v>20</v>
      </c>
      <c r="AJ73" s="173">
        <v>6</v>
      </c>
      <c r="AK73" s="210">
        <v>15</v>
      </c>
      <c r="AL73" s="175">
        <v>1</v>
      </c>
      <c r="AM73" s="168"/>
    </row>
    <row hidden="true" r="74">
      <c r="A74" s="152"/>
      <c r="B74" s="184" t="s">
        <v>145</v>
      </c>
      <c r="C74" s="154" t="s">
        <v>131</v>
      </c>
      <c r="D74" s="153">
        <f t="shared" si="37"/>
      </c>
      <c r="E74" s="156">
        <v>1331.1</v>
      </c>
      <c r="F74" s="158">
        <v>331.84</v>
      </c>
      <c r="G74" s="153"/>
      <c r="H74" s="156">
        <v>620.99</v>
      </c>
      <c r="I74" s="156">
        <v>0</v>
      </c>
      <c r="J74" s="156">
        <v>0</v>
      </c>
      <c r="K74" s="156">
        <v>0</v>
      </c>
      <c r="L74" s="156">
        <v>0</v>
      </c>
      <c r="M74" s="156">
        <v>0</v>
      </c>
      <c r="N74" s="159">
        <f t="shared" si="6"/>
      </c>
      <c r="O74" s="159">
        <f t="shared" si="169"/>
      </c>
      <c r="P74" s="160">
        <f t="shared" si="111"/>
      </c>
      <c r="Q74" s="161">
        <f t="shared" si="285"/>
      </c>
      <c r="R74" s="162">
        <f t="shared" si="227"/>
      </c>
      <c r="S74" s="161">
        <f t="shared" si="314"/>
      </c>
      <c r="T74" s="161">
        <f t="shared" si="430"/>
      </c>
      <c r="U74" s="162">
        <f t="shared" si="372"/>
      </c>
      <c r="V74" s="161">
        <f t="shared" si="140"/>
      </c>
      <c r="W74" s="161">
        <f t="shared" si="82"/>
      </c>
      <c r="X74" s="162">
        <f t="shared" si="256"/>
      </c>
      <c r="Y74" s="163">
        <f t="shared" si="198"/>
      </c>
      <c r="Z74" s="162">
        <f t="shared" si="401"/>
      </c>
      <c r="AA74" s="164">
        <f t="shared" si="343"/>
      </c>
      <c r="AB74" s="165" t="s">
        <v>132</v>
      </c>
      <c r="AC74" s="166" t="s">
        <v>133</v>
      </c>
      <c r="AD74" s="185">
        <v>0</v>
      </c>
      <c r="AE74" s="167">
        <v>5190</v>
      </c>
      <c r="AF74" s="167">
        <v>243</v>
      </c>
      <c r="AG74" s="167">
        <v>347</v>
      </c>
      <c r="AH74" s="167">
        <v>63</v>
      </c>
      <c r="AI74" s="167">
        <v>17</v>
      </c>
      <c r="AJ74" s="175">
        <v>0</v>
      </c>
      <c r="AK74" s="175">
        <v>9</v>
      </c>
      <c r="AL74" s="175">
        <v>1</v>
      </c>
      <c r="AM74" s="168"/>
    </row>
    <row hidden="true" r="75">
      <c r="A75" s="152"/>
      <c r="B75" s="176" t="s">
        <v>137</v>
      </c>
      <c r="C75" s="176"/>
      <c r="D75" s="176">
        <f>SUM(D70:D74)</f>
      </c>
      <c r="E75" s="176">
        <f>SUM(E70:E74)</f>
      </c>
      <c r="F75" s="176">
        <f>SUM(F70:F74)</f>
      </c>
      <c r="G75" s="176">
        <f>SUM(G70:G74)</f>
      </c>
      <c r="H75" s="176">
        <f>SUM(H70:H74)</f>
      </c>
      <c r="I75" s="176">
        <f>SUM(I70:I74)</f>
      </c>
      <c r="J75" s="176">
        <f>SUM(J70:J74)</f>
      </c>
      <c r="K75" s="176">
        <f>SUM(K70:K74)</f>
      </c>
      <c r="L75" s="176">
        <f>SUM(L70:L74)</f>
      </c>
      <c r="M75" s="176">
        <f>SUM(M70:M74)</f>
      </c>
      <c r="N75" s="177">
        <f t="shared" si="6"/>
      </c>
      <c r="O75" s="177">
        <f t="shared" si="169"/>
      </c>
      <c r="P75" s="178">
        <f t="shared" si="111"/>
      </c>
      <c r="Q75" s="179">
        <f t="shared" si="285"/>
      </c>
      <c r="R75" s="180">
        <f t="shared" si="227"/>
      </c>
      <c r="S75" s="179">
        <f t="shared" si="314"/>
      </c>
      <c r="T75" s="179">
        <f t="shared" si="430"/>
      </c>
      <c r="U75" s="180">
        <f t="shared" si="372"/>
      </c>
      <c r="V75" s="179">
        <f t="shared" si="140"/>
      </c>
      <c r="W75" s="179">
        <f t="shared" si="82"/>
      </c>
      <c r="X75" s="180">
        <f t="shared" si="256"/>
      </c>
      <c r="Y75" s="181">
        <f t="shared" si="198"/>
      </c>
      <c r="Z75" s="180">
        <f t="shared" si="401"/>
      </c>
      <c r="AA75" s="182">
        <f t="shared" si="343"/>
      </c>
      <c r="AB75" s="182"/>
      <c r="AC75" s="182"/>
      <c r="AD75" s="183">
        <f>SUM(AD70:AD73)</f>
      </c>
      <c r="AE75" s="183">
        <f>SUM(AE70:AE73)</f>
      </c>
      <c r="AF75" s="183">
        <f>SUM(AF70:AF73)</f>
      </c>
      <c r="AG75" s="183">
        <f>SUM(AG70:AG73)</f>
      </c>
      <c r="AH75" s="183">
        <f>SUM(AH70:AH73)</f>
      </c>
      <c r="AI75" s="183">
        <f>SUM(AI70:AI73)</f>
      </c>
      <c r="AJ75" s="183">
        <f>SUM(AJ70:AJ73)</f>
      </c>
      <c r="AK75" s="183">
        <f>SUM(AK70:AK73)</f>
      </c>
      <c r="AL75" s="183">
        <f>SUM(AL70:AL73)</f>
      </c>
      <c r="AM75" s="168"/>
    </row>
    <row hidden="true" r="76">
      <c r="A76" s="152"/>
      <c r="B76" s="171" t="s">
        <v>140</v>
      </c>
      <c r="C76" s="153" t="s">
        <v>146</v>
      </c>
      <c r="D76" s="154">
        <f>E76+F76+G76+H76</f>
      </c>
      <c r="E76" s="186">
        <v>1562.66</v>
      </c>
      <c r="F76" s="158">
        <v>486.04</v>
      </c>
      <c r="G76" s="153"/>
      <c r="H76" s="156">
        <v>448.35</v>
      </c>
      <c r="I76" s="153">
        <v>1</v>
      </c>
      <c r="J76" s="156">
        <v>2268</v>
      </c>
      <c r="K76" s="156">
        <v>0</v>
      </c>
      <c r="L76" s="156">
        <v>0</v>
      </c>
      <c r="M76" s="156">
        <v>1</v>
      </c>
      <c r="N76" s="159">
        <f t="shared" si="6"/>
      </c>
      <c r="O76" s="159">
        <f t="shared" si="169"/>
      </c>
      <c r="P76" s="160">
        <f t="shared" si="111"/>
      </c>
      <c r="Q76" s="161">
        <f t="shared" si="285"/>
      </c>
      <c r="R76" s="162">
        <f t="shared" si="227"/>
      </c>
      <c r="S76" s="161">
        <f t="shared" si="314"/>
      </c>
      <c r="T76" s="161">
        <f t="shared" si="430"/>
      </c>
      <c r="U76" s="162">
        <f t="shared" si="372"/>
      </c>
      <c r="V76" s="161">
        <f t="shared" si="140"/>
      </c>
      <c r="W76" s="161">
        <f t="shared" si="82"/>
      </c>
      <c r="X76" s="162">
        <f t="shared" si="256"/>
      </c>
      <c r="Y76" s="163">
        <f t="shared" si="198"/>
      </c>
      <c r="Z76" s="162">
        <f t="shared" si="401"/>
      </c>
      <c r="AA76" s="164">
        <f t="shared" si="343"/>
      </c>
      <c r="AB76" s="165" t="s">
        <v>132</v>
      </c>
      <c r="AC76" s="166" t="s">
        <v>133</v>
      </c>
      <c r="AD76" s="185">
        <v>1</v>
      </c>
      <c r="AE76" s="167">
        <v>5342</v>
      </c>
      <c r="AF76" s="167">
        <v>267</v>
      </c>
      <c r="AG76" s="167">
        <v>365</v>
      </c>
      <c r="AH76" s="167">
        <v>73</v>
      </c>
      <c r="AI76" s="167">
        <v>25</v>
      </c>
      <c r="AJ76" s="175">
        <v>3</v>
      </c>
      <c r="AK76" s="175">
        <v>15</v>
      </c>
      <c r="AL76" s="175">
        <v>1</v>
      </c>
      <c r="AM76" s="168"/>
    </row>
    <row hidden="true" r="77">
      <c r="A77" s="152"/>
      <c r="B77" s="176" t="s">
        <v>137</v>
      </c>
      <c r="C77" s="176"/>
      <c r="D77" s="176">
        <f>SUM(D76)</f>
      </c>
      <c r="E77" s="176">
        <f>SUM(E76)</f>
      </c>
      <c r="F77" s="176">
        <f>SUM(F76)</f>
      </c>
      <c r="G77" s="176">
        <f>SUM(G76)</f>
      </c>
      <c r="H77" s="176">
        <f>SUM(H76)</f>
      </c>
      <c r="I77" s="176">
        <f>SUM(I76)</f>
      </c>
      <c r="J77" s="176">
        <f>SUM(J76)</f>
      </c>
      <c r="K77" s="176">
        <f>SUM(K76)</f>
      </c>
      <c r="L77" s="176">
        <f>SUM(L76)</f>
      </c>
      <c r="M77" s="176">
        <f>SUM(M76)</f>
      </c>
      <c r="N77" s="177">
        <f t="shared" si="6"/>
      </c>
      <c r="O77" s="177">
        <f t="shared" si="169"/>
      </c>
      <c r="P77" s="188">
        <f t="shared" si="111"/>
      </c>
      <c r="Q77" s="179">
        <f t="shared" si="285"/>
      </c>
      <c r="R77" s="180">
        <f t="shared" si="227"/>
      </c>
      <c r="S77" s="179">
        <f t="shared" si="314"/>
      </c>
      <c r="T77" s="179">
        <f t="shared" si="430"/>
      </c>
      <c r="U77" s="180">
        <f t="shared" si="372"/>
      </c>
      <c r="V77" s="179">
        <f t="shared" si="140"/>
      </c>
      <c r="W77" s="179">
        <f t="shared" si="82"/>
      </c>
      <c r="X77" s="180">
        <f t="shared" si="256"/>
      </c>
      <c r="Y77" s="181">
        <f t="shared" si="198"/>
      </c>
      <c r="Z77" s="180">
        <f t="shared" si="401"/>
      </c>
      <c r="AA77" s="182">
        <f t="shared" si="343"/>
      </c>
      <c r="AB77" s="182"/>
      <c r="AC77" s="189"/>
      <c r="AD77" s="190">
        <f>SUM(AD76)</f>
      </c>
      <c r="AE77" s="190">
        <f>SUM(AE76)</f>
      </c>
      <c r="AF77" s="190">
        <f>SUM(AF76)</f>
      </c>
      <c r="AG77" s="190">
        <f>SUM(AG76)</f>
      </c>
      <c r="AH77" s="190">
        <f>SUM(AH76)</f>
      </c>
      <c r="AI77" s="190">
        <f>SUM(AI76)</f>
      </c>
      <c r="AJ77" s="190">
        <f>SUM(AJ76)</f>
      </c>
      <c r="AK77" s="190">
        <f>SUM(AK76)</f>
      </c>
      <c r="AL77" s="190">
        <f>SUM(AL76)</f>
      </c>
      <c r="AM77" s="191" t="s">
        <v>142</v>
      </c>
    </row>
    <row hidden="true" r="78">
      <c r="A78" s="152"/>
      <c r="B78" s="192" t="s">
        <v>143</v>
      </c>
      <c r="C78" s="192"/>
      <c r="D78" s="192">
        <f>D75+D77</f>
      </c>
      <c r="E78" s="192">
        <f>E75+E77</f>
      </c>
      <c r="F78" s="192">
        <f>F75+F77</f>
      </c>
      <c r="G78" s="192">
        <f>G75+G77</f>
      </c>
      <c r="H78" s="192">
        <f>H75+H77</f>
      </c>
      <c r="I78" s="192">
        <f>I75+I77</f>
      </c>
      <c r="J78" s="192">
        <f>J75+J77</f>
      </c>
      <c r="K78" s="192">
        <f>K75+K77</f>
      </c>
      <c r="L78" s="192">
        <f>L75+L77</f>
      </c>
      <c r="M78" s="192">
        <f>M75+M77</f>
      </c>
      <c r="N78" s="193">
        <f t="shared" si="6"/>
      </c>
      <c r="O78" s="193">
        <f t="shared" si="169"/>
      </c>
      <c r="P78" s="194">
        <f t="shared" si="111"/>
      </c>
      <c r="Q78" s="195">
        <f t="shared" si="285"/>
      </c>
      <c r="R78" s="193">
        <f t="shared" si="227"/>
      </c>
      <c r="S78" s="195">
        <f t="shared" si="314"/>
      </c>
      <c r="T78" s="195">
        <f t="shared" si="430"/>
      </c>
      <c r="U78" s="193">
        <f t="shared" si="372"/>
      </c>
      <c r="V78" s="195">
        <f t="shared" si="140"/>
      </c>
      <c r="W78" s="195">
        <f t="shared" si="82"/>
      </c>
      <c r="X78" s="193">
        <f t="shared" si="256"/>
      </c>
      <c r="Y78" s="196">
        <f t="shared" si="198"/>
      </c>
      <c r="Z78" s="193">
        <f t="shared" si="401"/>
      </c>
      <c r="AA78" s="194">
        <f t="shared" si="343"/>
      </c>
      <c r="AB78" s="194"/>
      <c r="AC78" s="194"/>
      <c r="AD78" s="197">
        <f>AD75+AD77</f>
      </c>
      <c r="AE78" s="197">
        <f>AE75+AE77</f>
      </c>
      <c r="AF78" s="197">
        <f>AF75+AF77</f>
      </c>
      <c r="AG78" s="197">
        <f>AG75+AG77</f>
      </c>
      <c r="AH78" s="197">
        <f>AH75+AH77</f>
      </c>
      <c r="AI78" s="197">
        <f>AI75+AI77</f>
      </c>
      <c r="AJ78" s="197">
        <f>AJ75+AJ77</f>
      </c>
      <c r="AK78" s="197">
        <f>AK75+AK77</f>
      </c>
      <c r="AL78" s="197">
        <f>AL75+AL77</f>
      </c>
      <c r="AM78" s="191"/>
    </row>
    <row hidden="true" r="79">
      <c r="A79" s="134" t="s">
        <v>87</v>
      </c>
      <c r="B79" s="134"/>
      <c r="C79" s="134"/>
      <c r="D79" s="135" t="s">
        <v>88</v>
      </c>
      <c r="E79" s="135"/>
      <c r="F79" s="135"/>
      <c r="G79" s="135"/>
      <c r="H79" s="135"/>
      <c r="I79" s="204"/>
      <c r="J79" s="204"/>
      <c r="K79" s="135"/>
      <c r="L79" s="135"/>
      <c r="M79" s="135"/>
      <c r="N79" s="135"/>
      <c r="O79" s="135"/>
      <c r="P79" s="136" t="s">
        <v>89</v>
      </c>
      <c r="Q79" s="136"/>
      <c r="R79" s="136"/>
      <c r="S79" s="136"/>
      <c r="T79" s="136"/>
      <c r="U79" s="136"/>
      <c r="V79" s="136"/>
      <c r="W79" s="136"/>
      <c r="X79" s="136"/>
      <c r="Y79" s="136"/>
      <c r="Z79" s="136"/>
      <c r="AA79" s="136"/>
      <c r="AB79" s="136"/>
      <c r="AC79" s="136"/>
      <c r="AD79" s="137" t="s">
        <v>90</v>
      </c>
      <c r="AE79" s="137"/>
      <c r="AF79" s="137"/>
      <c r="AG79" s="137"/>
      <c r="AH79" s="137"/>
      <c r="AI79" s="137"/>
      <c r="AJ79" s="137"/>
      <c r="AK79" s="137"/>
      <c r="AL79" s="137"/>
      <c r="AM79" s="138"/>
    </row>
    <row hidden="true" r="80">
      <c r="A80" s="139" t="s">
        <v>91</v>
      </c>
      <c r="B80" s="140" t="s">
        <v>92</v>
      </c>
      <c r="C80" s="140" t="s">
        <v>93</v>
      </c>
      <c r="D80" s="141" t="s">
        <v>94</v>
      </c>
      <c r="E80" s="142" t="s">
        <v>95</v>
      </c>
      <c r="F80" s="142" t="s">
        <v>96</v>
      </c>
      <c r="G80" s="143" t="s">
        <v>97</v>
      </c>
      <c r="H80" s="215" t="s">
        <v>98</v>
      </c>
      <c r="I80" s="216" t="s">
        <v>99</v>
      </c>
      <c r="J80" s="206" t="s">
        <v>100</v>
      </c>
      <c r="K80" s="135" t="s">
        <v>101</v>
      </c>
      <c r="L80" s="146" t="s">
        <v>102</v>
      </c>
      <c r="M80" s="146" t="s">
        <v>103</v>
      </c>
      <c r="N80" s="143" t="s">
        <v>104</v>
      </c>
      <c r="O80" s="146" t="s">
        <v>105</v>
      </c>
      <c r="P80" s="136" t="s">
        <v>106</v>
      </c>
      <c r="Q80" s="136" t="s">
        <v>107</v>
      </c>
      <c r="R80" s="136" t="s">
        <v>108</v>
      </c>
      <c r="S80" s="147" t="s">
        <v>109</v>
      </c>
      <c r="T80" s="147" t="s">
        <v>110</v>
      </c>
      <c r="U80" s="136" t="s">
        <v>111</v>
      </c>
      <c r="V80" s="147" t="s">
        <v>112</v>
      </c>
      <c r="W80" s="147" t="s">
        <v>113</v>
      </c>
      <c r="X80" s="136" t="s">
        <v>114</v>
      </c>
      <c r="Y80" s="147" t="s">
        <v>115</v>
      </c>
      <c r="Z80" s="136" t="s">
        <v>116</v>
      </c>
      <c r="AA80" s="148" t="s">
        <v>117</v>
      </c>
      <c r="AB80" s="148" t="s">
        <v>118</v>
      </c>
      <c r="AC80" s="148" t="s">
        <v>119</v>
      </c>
      <c r="AD80" s="149" t="s">
        <v>120</v>
      </c>
      <c r="AE80" s="150" t="s">
        <v>121</v>
      </c>
      <c r="AF80" s="150" t="s">
        <v>122</v>
      </c>
      <c r="AG80" s="150" t="s">
        <v>123</v>
      </c>
      <c r="AH80" s="150" t="s">
        <v>124</v>
      </c>
      <c r="AI80" s="150" t="s">
        <v>125</v>
      </c>
      <c r="AJ80" s="151" t="s">
        <v>126</v>
      </c>
      <c r="AK80" s="151" t="s">
        <v>127</v>
      </c>
      <c r="AL80" s="151" t="s">
        <v>128</v>
      </c>
      <c r="AM80" s="138"/>
    </row>
    <row hidden="true" r="81">
      <c r="A81" s="152" t="s">
        <v>157</v>
      </c>
      <c r="B81" s="169" t="s">
        <v>135</v>
      </c>
      <c r="C81" s="154" t="s">
        <v>131</v>
      </c>
      <c r="D81" s="154">
        <f t="shared" ref="D81:D85" si="38">E81+F81+G81+H81</f>
      </c>
      <c r="E81" s="155">
        <v>3593.06</v>
      </c>
      <c r="F81" s="156">
        <v>1569.0700000000002</v>
      </c>
      <c r="G81" s="157"/>
      <c r="H81" s="155">
        <v>743.9200000000001</v>
      </c>
      <c r="I81" s="217">
        <v>8</v>
      </c>
      <c r="J81" s="218">
        <v>16344</v>
      </c>
      <c r="K81" s="158">
        <v>1</v>
      </c>
      <c r="L81" s="156">
        <v>0</v>
      </c>
      <c r="M81" s="156">
        <v>7</v>
      </c>
      <c r="N81" s="159">
        <f t="shared" ref="N81:N87" si="7">J81/D81</f>
      </c>
      <c r="O81" s="159">
        <f t="shared" ref="O81:O87" si="170">J81/(D81+300*AL81)</f>
      </c>
      <c r="P81" s="160">
        <f t="shared" ref="P81:P87" si="112">(D81/AE81)*1000</f>
      </c>
      <c r="Q81" s="161">
        <f t="shared" ref="Q81:Q87" si="286">AF81/AE81</f>
      </c>
      <c r="R81" s="162">
        <f t="shared" ref="R81:R87" si="228">D81/AG81</f>
      </c>
      <c r="S81" s="161">
        <f t="shared" ref="S81:S87" si="315">AH81/AG81</f>
      </c>
      <c r="T81" s="161">
        <f t="shared" ref="T81:T87" si="431">AI81/AG81</f>
      </c>
      <c r="U81" s="162">
        <f t="shared" ref="U81:U87" si="373">D81/AI81</f>
      </c>
      <c r="V81" s="161">
        <f t="shared" ref="V81:V87" si="141">AJ81/AI81</f>
      </c>
      <c r="W81" s="161">
        <f t="shared" ref="W81:W87" si="83">I81/AJ81</f>
      </c>
      <c r="X81" s="162">
        <f t="shared" ref="X81:X87" si="257">D81/I81</f>
      </c>
      <c r="Y81" s="163">
        <f t="shared" ref="Y81:Y87" si="199">J81/I81</f>
      </c>
      <c r="Z81" s="162">
        <f t="shared" ref="Z81:Z87" si="402">D81/AD81</f>
      </c>
      <c r="AA81" s="164">
        <f t="shared" ref="AA81:AA87" si="344">AK81*1000/D81</f>
      </c>
      <c r="AB81" s="165" t="s">
        <v>132</v>
      </c>
      <c r="AC81" s="166" t="s">
        <v>153</v>
      </c>
      <c r="AD81" s="209">
        <v>8</v>
      </c>
      <c r="AE81" s="157">
        <v>14294</v>
      </c>
      <c r="AF81" s="157">
        <v>631</v>
      </c>
      <c r="AG81" s="157">
        <v>839</v>
      </c>
      <c r="AH81" s="157">
        <v>180</v>
      </c>
      <c r="AI81" s="153">
        <v>51</v>
      </c>
      <c r="AJ81" s="158">
        <v>16</v>
      </c>
      <c r="AK81" s="156">
        <v>47</v>
      </c>
      <c r="AL81" s="175">
        <v>1</v>
      </c>
      <c r="AM81" s="168"/>
    </row>
    <row hidden="true" r="82">
      <c r="A82" s="152"/>
      <c r="B82" s="169" t="s">
        <v>136</v>
      </c>
      <c r="C82" s="154" t="s">
        <v>131</v>
      </c>
      <c r="D82" s="153">
        <f t="shared" si="38"/>
      </c>
      <c r="E82" s="158">
        <v>3923.25</v>
      </c>
      <c r="F82" s="170">
        <v>1441.57</v>
      </c>
      <c r="G82" s="153"/>
      <c r="H82" s="156">
        <v>209.69</v>
      </c>
      <c r="I82" s="171">
        <v>5</v>
      </c>
      <c r="J82" s="171">
        <v>8700</v>
      </c>
      <c r="K82" s="156">
        <v>0</v>
      </c>
      <c r="L82" s="156">
        <v>2</v>
      </c>
      <c r="M82" s="156">
        <v>3</v>
      </c>
      <c r="N82" s="159">
        <f t="shared" si="7"/>
      </c>
      <c r="O82" s="159">
        <f t="shared" si="170"/>
      </c>
      <c r="P82" s="160">
        <f t="shared" si="112"/>
      </c>
      <c r="Q82" s="161">
        <f t="shared" si="286"/>
      </c>
      <c r="R82" s="162">
        <f t="shared" si="228"/>
      </c>
      <c r="S82" s="161">
        <f t="shared" si="315"/>
      </c>
      <c r="T82" s="161">
        <f t="shared" si="431"/>
      </c>
      <c r="U82" s="162">
        <f t="shared" si="373"/>
      </c>
      <c r="V82" s="161">
        <f t="shared" si="141"/>
      </c>
      <c r="W82" s="161">
        <f t="shared" si="83"/>
      </c>
      <c r="X82" s="162">
        <f t="shared" si="257"/>
      </c>
      <c r="Y82" s="163">
        <f t="shared" si="199"/>
      </c>
      <c r="Z82" s="162">
        <f t="shared" si="402"/>
      </c>
      <c r="AA82" s="164">
        <f t="shared" si="344"/>
      </c>
      <c r="AB82" s="165" t="s">
        <v>132</v>
      </c>
      <c r="AC82" s="166" t="s">
        <v>153</v>
      </c>
      <c r="AD82" s="209">
        <v>5</v>
      </c>
      <c r="AE82" s="172">
        <v>14782</v>
      </c>
      <c r="AF82" s="157">
        <v>586</v>
      </c>
      <c r="AG82" s="171">
        <v>776</v>
      </c>
      <c r="AH82" s="153">
        <v>169</v>
      </c>
      <c r="AI82" s="153">
        <v>60</v>
      </c>
      <c r="AJ82" s="201">
        <v>9</v>
      </c>
      <c r="AK82" s="210">
        <v>38</v>
      </c>
      <c r="AL82" s="175">
        <v>1</v>
      </c>
      <c r="AM82" s="168"/>
    </row>
    <row hidden="true" r="83">
      <c r="A83" s="152"/>
      <c r="B83" s="184" t="s">
        <v>145</v>
      </c>
      <c r="C83" s="154" t="s">
        <v>131</v>
      </c>
      <c r="D83" s="157">
        <f t="shared" si="38"/>
      </c>
      <c r="E83" s="158">
        <v>3469.47</v>
      </c>
      <c r="F83" s="158">
        <v>921.13</v>
      </c>
      <c r="G83" s="153"/>
      <c r="H83" s="156">
        <v>401.95</v>
      </c>
      <c r="I83" s="153">
        <v>4</v>
      </c>
      <c r="J83" s="153">
        <v>5913</v>
      </c>
      <c r="K83" s="156">
        <v>1</v>
      </c>
      <c r="L83" s="156">
        <v>1</v>
      </c>
      <c r="M83" s="156">
        <v>2</v>
      </c>
      <c r="N83" s="159">
        <f t="shared" si="7"/>
      </c>
      <c r="O83" s="159">
        <f t="shared" si="170"/>
      </c>
      <c r="P83" s="160">
        <f t="shared" si="112"/>
      </c>
      <c r="Q83" s="161">
        <f t="shared" si="286"/>
      </c>
      <c r="R83" s="162">
        <f t="shared" si="228"/>
      </c>
      <c r="S83" s="161">
        <f t="shared" si="315"/>
      </c>
      <c r="T83" s="161">
        <f t="shared" si="431"/>
      </c>
      <c r="U83" s="162">
        <f t="shared" si="373"/>
      </c>
      <c r="V83" s="161">
        <f t="shared" si="141"/>
      </c>
      <c r="W83" s="161">
        <f t="shared" si="83"/>
      </c>
      <c r="X83" s="162">
        <f t="shared" si="257"/>
      </c>
      <c r="Y83" s="163">
        <f t="shared" si="199"/>
      </c>
      <c r="Z83" s="162">
        <f t="shared" si="402"/>
      </c>
      <c r="AA83" s="164">
        <f t="shared" si="344"/>
      </c>
      <c r="AB83" s="165" t="s">
        <v>132</v>
      </c>
      <c r="AC83" s="166" t="s">
        <v>153</v>
      </c>
      <c r="AD83" s="209">
        <v>4</v>
      </c>
      <c r="AE83" s="157">
        <v>16896</v>
      </c>
      <c r="AF83" s="157">
        <v>577</v>
      </c>
      <c r="AG83" s="153">
        <v>738</v>
      </c>
      <c r="AH83" s="153">
        <v>157</v>
      </c>
      <c r="AI83" s="153">
        <v>68</v>
      </c>
      <c r="AJ83" s="201">
        <v>11</v>
      </c>
      <c r="AK83" s="210">
        <v>34</v>
      </c>
      <c r="AL83" s="175">
        <v>1</v>
      </c>
      <c r="AM83" s="168"/>
    </row>
    <row hidden="true" r="84">
      <c r="A84" s="152"/>
      <c r="B84" s="184" t="s">
        <v>140</v>
      </c>
      <c r="C84" s="154" t="s">
        <v>131</v>
      </c>
      <c r="D84" s="157">
        <f t="shared" si="38"/>
      </c>
      <c r="E84" s="158">
        <v>2822.99</v>
      </c>
      <c r="F84" s="158">
        <v>1838.83</v>
      </c>
      <c r="G84" s="153"/>
      <c r="H84" s="156">
        <v>619.46</v>
      </c>
      <c r="I84" s="153">
        <v>5</v>
      </c>
      <c r="J84" s="153">
        <v>10020</v>
      </c>
      <c r="K84" s="156">
        <v>0</v>
      </c>
      <c r="L84" s="156">
        <v>1</v>
      </c>
      <c r="M84" s="156">
        <v>4</v>
      </c>
      <c r="N84" s="159">
        <f t="shared" si="7"/>
      </c>
      <c r="O84" s="159">
        <f t="shared" si="170"/>
      </c>
      <c r="P84" s="160">
        <f t="shared" si="112"/>
      </c>
      <c r="Q84" s="161">
        <f t="shared" si="286"/>
      </c>
      <c r="R84" s="162">
        <f t="shared" si="228"/>
      </c>
      <c r="S84" s="161">
        <f t="shared" si="315"/>
      </c>
      <c r="T84" s="161">
        <f t="shared" si="431"/>
      </c>
      <c r="U84" s="162">
        <f t="shared" si="373"/>
      </c>
      <c r="V84" s="161">
        <f t="shared" si="141"/>
      </c>
      <c r="W84" s="161">
        <f t="shared" si="83"/>
      </c>
      <c r="X84" s="162">
        <f t="shared" si="257"/>
      </c>
      <c r="Y84" s="163">
        <f t="shared" si="199"/>
      </c>
      <c r="Z84" s="162">
        <f t="shared" si="402"/>
      </c>
      <c r="AA84" s="164">
        <f t="shared" si="344"/>
      </c>
      <c r="AB84" s="165" t="s">
        <v>132</v>
      </c>
      <c r="AC84" s="166" t="s">
        <v>153</v>
      </c>
      <c r="AD84" s="209">
        <v>5</v>
      </c>
      <c r="AE84" s="172">
        <v>15904</v>
      </c>
      <c r="AF84" s="153">
        <v>684</v>
      </c>
      <c r="AG84" s="153">
        <v>804</v>
      </c>
      <c r="AH84" s="153">
        <v>141</v>
      </c>
      <c r="AI84" s="153">
        <v>54</v>
      </c>
      <c r="AJ84" s="201">
        <v>8</v>
      </c>
      <c r="AK84" s="210">
        <v>32</v>
      </c>
      <c r="AL84" s="175">
        <v>1</v>
      </c>
      <c r="AM84" s="168"/>
    </row>
    <row customHeight="true" hidden="true" ht="18.452380952380953" r="85">
      <c r="A85" s="152"/>
      <c r="B85" s="184" t="s">
        <v>141</v>
      </c>
      <c r="C85" s="154" t="s">
        <v>131</v>
      </c>
      <c r="D85" s="157">
        <f t="shared" si="38"/>
      </c>
      <c r="E85" s="158">
        <v>1966.22</v>
      </c>
      <c r="F85" s="158">
        <v>1442.19</v>
      </c>
      <c r="G85" s="153"/>
      <c r="H85" s="156">
        <v>1167.4199999999998</v>
      </c>
      <c r="I85" s="153">
        <v>4</v>
      </c>
      <c r="J85" s="153">
        <v>5873</v>
      </c>
      <c r="K85" s="156">
        <v>1</v>
      </c>
      <c r="L85" s="156">
        <v>1</v>
      </c>
      <c r="M85" s="156">
        <v>2</v>
      </c>
      <c r="N85" s="159">
        <f t="shared" si="7"/>
      </c>
      <c r="O85" s="159">
        <f t="shared" si="170"/>
      </c>
      <c r="P85" s="160">
        <f t="shared" si="112"/>
      </c>
      <c r="Q85" s="161">
        <f t="shared" si="286"/>
      </c>
      <c r="R85" s="162">
        <f t="shared" si="228"/>
      </c>
      <c r="S85" s="161">
        <f t="shared" si="315"/>
      </c>
      <c r="T85" s="161">
        <f t="shared" si="431"/>
      </c>
      <c r="U85" s="162">
        <f t="shared" si="373"/>
      </c>
      <c r="V85" s="161">
        <f t="shared" si="141"/>
      </c>
      <c r="W85" s="161">
        <f t="shared" si="83"/>
      </c>
      <c r="X85" s="162">
        <f t="shared" si="257"/>
      </c>
      <c r="Y85" s="163">
        <f t="shared" si="199"/>
      </c>
      <c r="Z85" s="162">
        <f t="shared" si="402"/>
      </c>
      <c r="AA85" s="164">
        <f t="shared" si="344"/>
      </c>
      <c r="AB85" s="165" t="s">
        <v>132</v>
      </c>
      <c r="AC85" s="166" t="s">
        <v>153</v>
      </c>
      <c r="AD85" s="209">
        <v>5</v>
      </c>
      <c r="AE85" s="172">
        <v>12138</v>
      </c>
      <c r="AF85" s="153">
        <v>597</v>
      </c>
      <c r="AG85" s="153">
        <v>766</v>
      </c>
      <c r="AH85" s="153">
        <v>132</v>
      </c>
      <c r="AI85" s="153">
        <v>52</v>
      </c>
      <c r="AJ85" s="201">
        <v>12</v>
      </c>
      <c r="AK85" s="210">
        <v>27</v>
      </c>
      <c r="AL85" s="175">
        <v>1</v>
      </c>
      <c r="AM85" s="168"/>
    </row>
    <row hidden="true" r="86">
      <c r="A86" s="152"/>
      <c r="B86" s="176" t="s">
        <v>137</v>
      </c>
      <c r="C86" s="176"/>
      <c r="D86" s="176">
        <f>SUM(D81:D85)</f>
      </c>
      <c r="E86" s="176">
        <f>SUM(E81:E85)</f>
      </c>
      <c r="F86" s="176">
        <f>SUM(F81:F85)</f>
      </c>
      <c r="G86" s="176">
        <f>SUM(G81:G85)</f>
      </c>
      <c r="H86" s="176">
        <f>SUM(H81:H85)</f>
      </c>
      <c r="I86" s="176">
        <f>SUM(I81:I85)</f>
      </c>
      <c r="J86" s="176">
        <f>SUM(J81:J85)</f>
      </c>
      <c r="K86" s="176">
        <f>SUM(K81:K85)</f>
      </c>
      <c r="L86" s="176">
        <f>SUM(L81:L85)</f>
      </c>
      <c r="M86" s="176">
        <f>SUM(M81:M85)</f>
      </c>
      <c r="N86" s="177">
        <f t="shared" si="7"/>
      </c>
      <c r="O86" s="177">
        <f t="shared" si="170"/>
      </c>
      <c r="P86" s="178">
        <f t="shared" si="112"/>
      </c>
      <c r="Q86" s="179">
        <f t="shared" si="286"/>
      </c>
      <c r="R86" s="180">
        <f t="shared" si="228"/>
      </c>
      <c r="S86" s="179">
        <f t="shared" si="315"/>
      </c>
      <c r="T86" s="179">
        <f t="shared" si="431"/>
      </c>
      <c r="U86" s="180">
        <f t="shared" si="373"/>
      </c>
      <c r="V86" s="179">
        <f t="shared" si="141"/>
      </c>
      <c r="W86" s="179">
        <f t="shared" si="83"/>
      </c>
      <c r="X86" s="180">
        <f t="shared" si="257"/>
      </c>
      <c r="Y86" s="181">
        <f t="shared" si="199"/>
      </c>
      <c r="Z86" s="180">
        <f t="shared" si="402"/>
      </c>
      <c r="AA86" s="182">
        <f t="shared" si="344"/>
      </c>
      <c r="AB86" s="182"/>
      <c r="AC86" s="189"/>
      <c r="AD86" s="211">
        <f>SUM(AD81:AD85)</f>
      </c>
      <c r="AE86" s="211">
        <f>SUM(AE81:AE85)</f>
      </c>
      <c r="AF86" s="211">
        <f>SUM(AF81:AF85)</f>
      </c>
      <c r="AG86" s="211">
        <f>SUM(AG81:AG85)</f>
      </c>
      <c r="AH86" s="211">
        <f>SUM(AH81:AH85)</f>
      </c>
      <c r="AI86" s="211">
        <f>SUM(AI81:AI85)</f>
      </c>
      <c r="AJ86" s="211">
        <f>SUM(AJ81:AJ85)</f>
      </c>
      <c r="AK86" s="211">
        <f>SUM(AK81:AK85)</f>
      </c>
      <c r="AL86" s="211">
        <f>SUM(AL81:AL85)</f>
      </c>
      <c r="AM86" s="191" t="s">
        <v>142</v>
      </c>
    </row>
    <row hidden="true" r="87">
      <c r="A87" s="152"/>
      <c r="B87" s="192" t="s">
        <v>143</v>
      </c>
      <c r="C87" s="192"/>
      <c r="D87" s="192">
        <f>D86</f>
      </c>
      <c r="E87" s="192">
        <f>E86</f>
      </c>
      <c r="F87" s="192">
        <f>F86</f>
      </c>
      <c r="G87" s="192">
        <f>G86</f>
      </c>
      <c r="H87" s="192">
        <f>H86</f>
      </c>
      <c r="I87" s="192">
        <f>I86</f>
      </c>
      <c r="J87" s="192">
        <f>J86</f>
      </c>
      <c r="K87" s="192">
        <f>K86</f>
      </c>
      <c r="L87" s="192">
        <f>L86</f>
      </c>
      <c r="M87" s="192">
        <f>M86</f>
      </c>
      <c r="N87" s="193">
        <f t="shared" si="7"/>
      </c>
      <c r="O87" s="193">
        <f t="shared" si="170"/>
      </c>
      <c r="P87" s="194">
        <f t="shared" si="112"/>
      </c>
      <c r="Q87" s="195">
        <f t="shared" si="286"/>
      </c>
      <c r="R87" s="193">
        <f t="shared" si="228"/>
      </c>
      <c r="S87" s="195">
        <f t="shared" si="315"/>
      </c>
      <c r="T87" s="195">
        <f t="shared" si="431"/>
      </c>
      <c r="U87" s="193">
        <f t="shared" si="373"/>
      </c>
      <c r="V87" s="195">
        <f t="shared" si="141"/>
      </c>
      <c r="W87" s="195">
        <f t="shared" si="83"/>
      </c>
      <c r="X87" s="193">
        <f t="shared" si="257"/>
      </c>
      <c r="Y87" s="196">
        <f t="shared" si="199"/>
      </c>
      <c r="Z87" s="193">
        <f t="shared" si="402"/>
      </c>
      <c r="AA87" s="194">
        <f t="shared" si="344"/>
      </c>
      <c r="AB87" s="194"/>
      <c r="AC87" s="194"/>
      <c r="AD87" s="197">
        <f>AD86</f>
      </c>
      <c r="AE87" s="197">
        <f>AE86</f>
      </c>
      <c r="AF87" s="197">
        <f>AF86</f>
      </c>
      <c r="AG87" s="197">
        <f>AG86</f>
      </c>
      <c r="AH87" s="197">
        <f>AH86</f>
      </c>
      <c r="AI87" s="197">
        <f>AI86</f>
      </c>
      <c r="AJ87" s="197">
        <f>AJ86</f>
      </c>
      <c r="AK87" s="197">
        <f>AK86</f>
      </c>
      <c r="AL87" s="197">
        <f>AL86</f>
      </c>
      <c r="AM87" s="191"/>
    </row>
    <row hidden="true" r="88">
      <c r="A88" s="134" t="s">
        <v>87</v>
      </c>
      <c r="B88" s="134"/>
      <c r="C88" s="134"/>
      <c r="D88" s="135" t="s">
        <v>88</v>
      </c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6" t="s">
        <v>89</v>
      </c>
      <c r="Q88" s="136"/>
      <c r="R88" s="136"/>
      <c r="S88" s="136"/>
      <c r="T88" s="136"/>
      <c r="U88" s="136"/>
      <c r="V88" s="136"/>
      <c r="W88" s="136"/>
      <c r="X88" s="136"/>
      <c r="Y88" s="136"/>
      <c r="Z88" s="136"/>
      <c r="AA88" s="136"/>
      <c r="AB88" s="136"/>
      <c r="AC88" s="136"/>
      <c r="AD88" s="137" t="s">
        <v>90</v>
      </c>
      <c r="AE88" s="137"/>
      <c r="AF88" s="137"/>
      <c r="AG88" s="137"/>
      <c r="AH88" s="137"/>
      <c r="AI88" s="137"/>
      <c r="AJ88" s="137"/>
      <c r="AK88" s="137"/>
      <c r="AL88" s="137"/>
      <c r="AM88" s="138"/>
    </row>
    <row hidden="true" r="89">
      <c r="A89" s="139" t="s">
        <v>91</v>
      </c>
      <c r="B89" s="140" t="s">
        <v>92</v>
      </c>
      <c r="C89" s="140" t="s">
        <v>93</v>
      </c>
      <c r="D89" s="141" t="s">
        <v>94</v>
      </c>
      <c r="E89" s="142" t="s">
        <v>95</v>
      </c>
      <c r="F89" s="142" t="s">
        <v>96</v>
      </c>
      <c r="G89" s="143" t="s">
        <v>97</v>
      </c>
      <c r="H89" s="215" t="s">
        <v>98</v>
      </c>
      <c r="I89" s="219" t="s">
        <v>99</v>
      </c>
      <c r="J89" s="206" t="s">
        <v>100</v>
      </c>
      <c r="K89" s="135" t="s">
        <v>101</v>
      </c>
      <c r="L89" s="146" t="s">
        <v>102</v>
      </c>
      <c r="M89" s="146" t="s">
        <v>103</v>
      </c>
      <c r="N89" s="143" t="s">
        <v>104</v>
      </c>
      <c r="O89" s="146" t="s">
        <v>105</v>
      </c>
      <c r="P89" s="136" t="s">
        <v>106</v>
      </c>
      <c r="Q89" s="136" t="s">
        <v>107</v>
      </c>
      <c r="R89" s="136" t="s">
        <v>108</v>
      </c>
      <c r="S89" s="147" t="s">
        <v>109</v>
      </c>
      <c r="T89" s="147" t="s">
        <v>110</v>
      </c>
      <c r="U89" s="136" t="s">
        <v>111</v>
      </c>
      <c r="V89" s="147" t="s">
        <v>112</v>
      </c>
      <c r="W89" s="147" t="s">
        <v>113</v>
      </c>
      <c r="X89" s="136" t="s">
        <v>114</v>
      </c>
      <c r="Y89" s="147" t="s">
        <v>115</v>
      </c>
      <c r="Z89" s="136" t="s">
        <v>116</v>
      </c>
      <c r="AA89" s="148" t="s">
        <v>117</v>
      </c>
      <c r="AB89" s="148" t="s">
        <v>118</v>
      </c>
      <c r="AC89" s="220" t="s">
        <v>119</v>
      </c>
      <c r="AD89" s="149" t="s">
        <v>120</v>
      </c>
      <c r="AE89" s="150" t="s">
        <v>121</v>
      </c>
      <c r="AF89" s="150" t="s">
        <v>122</v>
      </c>
      <c r="AG89" s="150" t="s">
        <v>123</v>
      </c>
      <c r="AH89" s="150" t="s">
        <v>124</v>
      </c>
      <c r="AI89" s="150" t="s">
        <v>125</v>
      </c>
      <c r="AJ89" s="151" t="s">
        <v>126</v>
      </c>
      <c r="AK89" s="151" t="s">
        <v>127</v>
      </c>
      <c r="AL89" s="151" t="s">
        <v>128</v>
      </c>
      <c r="AM89" s="138"/>
    </row>
    <row hidden="true" r="90">
      <c r="A90" s="152" t="s">
        <v>158</v>
      </c>
      <c r="B90" s="153" t="s">
        <v>130</v>
      </c>
      <c r="C90" s="153" t="s">
        <v>139</v>
      </c>
      <c r="D90" s="154">
        <f t="shared" ref="D90:D92" si="39">E90+F90+G90+H90</f>
      </c>
      <c r="E90" s="155">
        <v>1831.33</v>
      </c>
      <c r="F90" s="156">
        <v>548.86</v>
      </c>
      <c r="G90" s="157"/>
      <c r="H90" s="155">
        <v>978.29</v>
      </c>
      <c r="I90" s="208">
        <v>1</v>
      </c>
      <c r="J90" s="158">
        <v>869</v>
      </c>
      <c r="K90" s="158">
        <v>0</v>
      </c>
      <c r="L90" s="156">
        <v>1</v>
      </c>
      <c r="M90" s="156">
        <v>0</v>
      </c>
      <c r="N90" s="159">
        <f t="shared" ref="N90:N97" si="8">J90/D90</f>
      </c>
      <c r="O90" s="159">
        <f t="shared" ref="O90:O97" si="171">J90/(D90+300*AL90)</f>
      </c>
      <c r="P90" s="160">
        <f t="shared" ref="P90:P97" si="113">(D90/AE90)*1000</f>
      </c>
      <c r="Q90" s="161">
        <f t="shared" ref="Q90:Q97" si="287">AF90/AE90</f>
      </c>
      <c r="R90" s="162">
        <f t="shared" ref="R90:R97" si="229">D90/AG90</f>
      </c>
      <c r="S90" s="161">
        <f t="shared" ref="S90:S97" si="316">AH90/AG90</f>
      </c>
      <c r="T90" s="161">
        <f t="shared" ref="T90:T97" si="432">AI90/AG90</f>
      </c>
      <c r="U90" s="162">
        <f t="shared" ref="U90:U97" si="374">D90/AI90</f>
      </c>
      <c r="V90" s="161">
        <f t="shared" ref="V90:V97" si="142">AJ90/AI90</f>
      </c>
      <c r="W90" s="161">
        <f t="shared" ref="W90:W97" si="84">I90/AJ90</f>
      </c>
      <c r="X90" s="162">
        <f t="shared" ref="X90:X97" si="258">D90/I90</f>
      </c>
      <c r="Y90" s="163">
        <f t="shared" ref="Y90:Y97" si="200">J90/I90</f>
      </c>
      <c r="Z90" s="162">
        <f t="shared" ref="Z90:Z97" si="403">D90/AD90</f>
      </c>
      <c r="AA90" s="164">
        <f t="shared" ref="AA90:AA97" si="345">AK90*1000/D90</f>
      </c>
      <c r="AB90" s="199" t="s">
        <v>132</v>
      </c>
      <c r="AC90" s="200" t="s">
        <v>153</v>
      </c>
      <c r="AD90" s="209">
        <v>0</v>
      </c>
      <c r="AE90" s="157">
        <v>7735</v>
      </c>
      <c r="AF90" s="157">
        <v>354</v>
      </c>
      <c r="AG90" s="157">
        <v>503</v>
      </c>
      <c r="AH90" s="157">
        <v>95</v>
      </c>
      <c r="AI90" s="153">
        <v>29</v>
      </c>
      <c r="AJ90" s="158">
        <v>6</v>
      </c>
      <c r="AK90" s="156">
        <v>17</v>
      </c>
      <c r="AL90" s="175">
        <v>1</v>
      </c>
      <c r="AM90" s="168"/>
    </row>
    <row hidden="true" r="91">
      <c r="A91" s="152"/>
      <c r="B91" s="169" t="s">
        <v>134</v>
      </c>
      <c r="C91" s="154" t="s">
        <v>139</v>
      </c>
      <c r="D91" s="153">
        <f t="shared" si="39"/>
      </c>
      <c r="E91" s="158">
        <v>2011.46</v>
      </c>
      <c r="F91" s="170">
        <v>706.5</v>
      </c>
      <c r="G91" s="153"/>
      <c r="H91" s="156">
        <v>272.91</v>
      </c>
      <c r="I91" s="171">
        <v>1</v>
      </c>
      <c r="J91" s="171">
        <v>2268</v>
      </c>
      <c r="K91" s="156">
        <v>0</v>
      </c>
      <c r="L91" s="156">
        <v>0</v>
      </c>
      <c r="M91" s="156">
        <v>1</v>
      </c>
      <c r="N91" s="159">
        <f t="shared" si="8"/>
      </c>
      <c r="O91" s="159">
        <f t="shared" si="171"/>
      </c>
      <c r="P91" s="160">
        <f t="shared" si="113"/>
      </c>
      <c r="Q91" s="161">
        <f t="shared" si="287"/>
      </c>
      <c r="R91" s="162">
        <f t="shared" si="229"/>
      </c>
      <c r="S91" s="161">
        <f t="shared" si="316"/>
      </c>
      <c r="T91" s="161">
        <f t="shared" si="432"/>
      </c>
      <c r="U91" s="162">
        <f t="shared" si="374"/>
      </c>
      <c r="V91" s="161">
        <f t="shared" si="142"/>
      </c>
      <c r="W91" s="161">
        <f t="shared" si="84"/>
      </c>
      <c r="X91" s="162">
        <f t="shared" si="258"/>
      </c>
      <c r="Y91" s="163">
        <f t="shared" si="200"/>
      </c>
      <c r="Z91" s="162">
        <f t="shared" si="403"/>
      </c>
      <c r="AA91" s="164">
        <f t="shared" si="345"/>
      </c>
      <c r="AB91" s="199" t="s">
        <v>132</v>
      </c>
      <c r="AC91" s="200" t="s">
        <v>153</v>
      </c>
      <c r="AD91" s="209">
        <v>1</v>
      </c>
      <c r="AE91" s="172">
        <v>6640</v>
      </c>
      <c r="AF91" s="157">
        <v>303</v>
      </c>
      <c r="AG91" s="171">
        <v>432</v>
      </c>
      <c r="AH91" s="153">
        <v>77</v>
      </c>
      <c r="AI91" s="153">
        <v>27</v>
      </c>
      <c r="AJ91" s="201">
        <v>8</v>
      </c>
      <c r="AK91" s="210">
        <v>19</v>
      </c>
      <c r="AL91" s="175">
        <v>1</v>
      </c>
      <c r="AM91" s="168"/>
    </row>
    <row hidden="true" r="92">
      <c r="A92" s="152"/>
      <c r="B92" s="169" t="s">
        <v>135</v>
      </c>
      <c r="C92" s="209" t="s">
        <v>139</v>
      </c>
      <c r="D92" s="157">
        <f t="shared" si="39"/>
      </c>
      <c r="E92" s="158">
        <v>2184.36</v>
      </c>
      <c r="F92" s="158">
        <v>652.01</v>
      </c>
      <c r="G92" s="153"/>
      <c r="H92" s="156">
        <v>254.88</v>
      </c>
      <c r="I92" s="153">
        <v>2</v>
      </c>
      <c r="J92" s="153">
        <v>4536</v>
      </c>
      <c r="K92" s="156">
        <v>0</v>
      </c>
      <c r="L92" s="156">
        <v>0</v>
      </c>
      <c r="M92" s="156">
        <v>2</v>
      </c>
      <c r="N92" s="159">
        <f t="shared" si="8"/>
      </c>
      <c r="O92" s="159">
        <f t="shared" si="171"/>
      </c>
      <c r="P92" s="160">
        <f t="shared" si="113"/>
      </c>
      <c r="Q92" s="161">
        <f t="shared" si="287"/>
      </c>
      <c r="R92" s="162">
        <f t="shared" si="229"/>
      </c>
      <c r="S92" s="161">
        <f t="shared" si="316"/>
      </c>
      <c r="T92" s="161">
        <f t="shared" si="432"/>
      </c>
      <c r="U92" s="162">
        <f t="shared" si="374"/>
      </c>
      <c r="V92" s="161">
        <f t="shared" si="142"/>
      </c>
      <c r="W92" s="161">
        <f t="shared" si="84"/>
      </c>
      <c r="X92" s="162">
        <f t="shared" si="258"/>
      </c>
      <c r="Y92" s="163">
        <f t="shared" si="200"/>
      </c>
      <c r="Z92" s="162">
        <f t="shared" si="403"/>
      </c>
      <c r="AA92" s="164">
        <f t="shared" si="345"/>
      </c>
      <c r="AB92" s="199" t="s">
        <v>132</v>
      </c>
      <c r="AC92" s="200" t="s">
        <v>153</v>
      </c>
      <c r="AD92" s="209">
        <v>2</v>
      </c>
      <c r="AE92" s="221">
        <v>6685</v>
      </c>
      <c r="AF92" s="157">
        <v>339</v>
      </c>
      <c r="AG92" s="153">
        <v>467</v>
      </c>
      <c r="AH92" s="153">
        <v>87</v>
      </c>
      <c r="AI92" s="154">
        <v>21</v>
      </c>
      <c r="AJ92" s="222">
        <v>5</v>
      </c>
      <c r="AK92" s="223">
        <v>20</v>
      </c>
      <c r="AL92" s="175">
        <v>1</v>
      </c>
      <c r="AM92" s="168"/>
    </row>
    <row hidden="true" r="93">
      <c r="A93" s="152"/>
      <c r="B93" s="176" t="s">
        <v>137</v>
      </c>
      <c r="C93" s="176"/>
      <c r="D93" s="176">
        <f>SUM(D90:D92)</f>
      </c>
      <c r="E93" s="176">
        <f>SUM(E90:E92)</f>
      </c>
      <c r="F93" s="176">
        <f>SUM(F90:F92)</f>
      </c>
      <c r="G93" s="176">
        <f>SUM(G90:G92)</f>
      </c>
      <c r="H93" s="176">
        <f>SUM(H90:H92)</f>
      </c>
      <c r="I93" s="176">
        <f>SUM(I90:I92)</f>
      </c>
      <c r="J93" s="176">
        <f>SUM(J90:J92)</f>
      </c>
      <c r="K93" s="176">
        <f>SUM(K90:K92)</f>
      </c>
      <c r="L93" s="176">
        <f>SUM(L90:L92)</f>
      </c>
      <c r="M93" s="176">
        <f>SUM(M90:M92)</f>
      </c>
      <c r="N93" s="177">
        <f t="shared" si="8"/>
      </c>
      <c r="O93" s="177">
        <f t="shared" si="171"/>
      </c>
      <c r="P93" s="178">
        <f t="shared" si="113"/>
      </c>
      <c r="Q93" s="179">
        <f t="shared" si="287"/>
      </c>
      <c r="R93" s="180">
        <f t="shared" si="229"/>
      </c>
      <c r="S93" s="179">
        <f t="shared" si="316"/>
      </c>
      <c r="T93" s="179">
        <f t="shared" si="432"/>
      </c>
      <c r="U93" s="180">
        <f t="shared" si="374"/>
      </c>
      <c r="V93" s="179">
        <f t="shared" si="142"/>
      </c>
      <c r="W93" s="179">
        <f t="shared" si="84"/>
      </c>
      <c r="X93" s="180">
        <f t="shared" si="258"/>
      </c>
      <c r="Y93" s="181">
        <f t="shared" si="200"/>
      </c>
      <c r="Z93" s="180">
        <f t="shared" si="403"/>
      </c>
      <c r="AA93" s="182">
        <f t="shared" si="345"/>
      </c>
      <c r="AB93" s="189"/>
      <c r="AC93" s="202"/>
      <c r="AD93" s="224">
        <f>SUM(AD90:AD92)</f>
      </c>
      <c r="AE93" s="211">
        <f>SUM(AE90:AE92)</f>
      </c>
      <c r="AF93" s="183">
        <f>SUM(AF90:AF92)</f>
      </c>
      <c r="AG93" s="183">
        <f>SUM(AG90:AG92)</f>
      </c>
      <c r="AH93" s="225">
        <f>SUM(AH90:AH92)</f>
      </c>
      <c r="AI93" s="211">
        <f>SUM(AI90:AI92)</f>
      </c>
      <c r="AJ93" s="211">
        <f>SUM(AJ90:AJ92)</f>
      </c>
      <c r="AK93" s="211">
        <f>SUM(AK90:AK92)</f>
      </c>
      <c r="AL93" s="183">
        <f>SUM(AL90:AL92)</f>
      </c>
      <c r="AM93" s="168"/>
    </row>
    <row customHeight="true" hidden="true" ht="18.452380952380953" r="94">
      <c r="A94" s="152"/>
      <c r="B94" s="169" t="s">
        <v>136</v>
      </c>
      <c r="C94" s="154" t="s">
        <v>131</v>
      </c>
      <c r="D94" s="157">
        <f t="shared" ref="D94:D95" si="40">E94+F94+G94+H94</f>
      </c>
      <c r="E94" s="158">
        <v>1910.89</v>
      </c>
      <c r="F94" s="158">
        <v>579.1</v>
      </c>
      <c r="G94" s="153"/>
      <c r="H94" s="156">
        <v>605.97</v>
      </c>
      <c r="I94" s="153">
        <v>2</v>
      </c>
      <c r="J94" s="153">
        <v>4536</v>
      </c>
      <c r="K94" s="156">
        <v>0</v>
      </c>
      <c r="L94" s="156">
        <v>0</v>
      </c>
      <c r="M94" s="156">
        <v>2</v>
      </c>
      <c r="N94" s="159">
        <f t="shared" si="8"/>
      </c>
      <c r="O94" s="159">
        <f t="shared" si="171"/>
      </c>
      <c r="P94" s="160">
        <f t="shared" si="113"/>
      </c>
      <c r="Q94" s="161">
        <f t="shared" si="287"/>
      </c>
      <c r="R94" s="162">
        <f t="shared" si="229"/>
      </c>
      <c r="S94" s="161">
        <f t="shared" si="316"/>
      </c>
      <c r="T94" s="161">
        <f t="shared" si="432"/>
      </c>
      <c r="U94" s="162">
        <f t="shared" si="374"/>
      </c>
      <c r="V94" s="161">
        <f t="shared" si="142"/>
      </c>
      <c r="W94" s="161">
        <f t="shared" si="84"/>
      </c>
      <c r="X94" s="162">
        <f t="shared" si="258"/>
      </c>
      <c r="Y94" s="163">
        <f t="shared" si="200"/>
      </c>
      <c r="Z94" s="162">
        <f t="shared" si="403"/>
      </c>
      <c r="AA94" s="164">
        <f t="shared" si="345"/>
      </c>
      <c r="AB94" s="199" t="s">
        <v>132</v>
      </c>
      <c r="AC94" s="200" t="s">
        <v>153</v>
      </c>
      <c r="AD94" s="209">
        <v>2</v>
      </c>
      <c r="AE94" s="172">
        <v>5239</v>
      </c>
      <c r="AF94" s="153">
        <v>262</v>
      </c>
      <c r="AG94" s="153">
        <v>369</v>
      </c>
      <c r="AH94" s="169">
        <v>62</v>
      </c>
      <c r="AI94" s="209">
        <v>27</v>
      </c>
      <c r="AJ94" s="208">
        <v>7</v>
      </c>
      <c r="AK94" s="208">
        <v>16</v>
      </c>
      <c r="AL94" s="226">
        <v>1</v>
      </c>
      <c r="AM94" s="168"/>
    </row>
    <row hidden="true" r="95">
      <c r="A95" s="152"/>
      <c r="B95" s="184" t="s">
        <v>145</v>
      </c>
      <c r="C95" s="154" t="s">
        <v>131</v>
      </c>
      <c r="D95" s="153">
        <f t="shared" si="40"/>
      </c>
      <c r="E95" s="156">
        <v>1833.99</v>
      </c>
      <c r="F95" s="158">
        <v>520.41</v>
      </c>
      <c r="G95" s="153"/>
      <c r="H95" s="156">
        <v>1048.24</v>
      </c>
      <c r="I95" s="153">
        <v>2</v>
      </c>
      <c r="J95" s="153">
        <v>3216</v>
      </c>
      <c r="K95" s="156">
        <v>0</v>
      </c>
      <c r="L95" s="156">
        <v>1</v>
      </c>
      <c r="M95" s="156">
        <v>1</v>
      </c>
      <c r="N95" s="159">
        <f t="shared" si="8"/>
      </c>
      <c r="O95" s="159">
        <f t="shared" si="171"/>
      </c>
      <c r="P95" s="160">
        <f t="shared" si="113"/>
      </c>
      <c r="Q95" s="161">
        <f t="shared" si="287"/>
      </c>
      <c r="R95" s="162">
        <f t="shared" si="229"/>
      </c>
      <c r="S95" s="161">
        <f t="shared" si="316"/>
      </c>
      <c r="T95" s="161">
        <f t="shared" si="432"/>
      </c>
      <c r="U95" s="162">
        <f t="shared" si="374"/>
      </c>
      <c r="V95" s="161">
        <f t="shared" si="142"/>
      </c>
      <c r="W95" s="161">
        <f t="shared" si="84"/>
      </c>
      <c r="X95" s="162">
        <f t="shared" si="258"/>
      </c>
      <c r="Y95" s="163">
        <f t="shared" si="200"/>
      </c>
      <c r="Z95" s="162">
        <f t="shared" si="403"/>
      </c>
      <c r="AA95" s="164">
        <f t="shared" si="345"/>
      </c>
      <c r="AB95" s="199" t="s">
        <v>132</v>
      </c>
      <c r="AC95" s="200" t="s">
        <v>153</v>
      </c>
      <c r="AD95" s="209">
        <v>2</v>
      </c>
      <c r="AE95" s="185">
        <v>5884</v>
      </c>
      <c r="AF95" s="167">
        <v>278</v>
      </c>
      <c r="AG95" s="167">
        <v>422</v>
      </c>
      <c r="AH95" s="227">
        <v>100</v>
      </c>
      <c r="AI95" s="209">
        <v>32</v>
      </c>
      <c r="AJ95" s="208">
        <v>12</v>
      </c>
      <c r="AK95" s="208">
        <v>17</v>
      </c>
      <c r="AL95" s="226">
        <v>1</v>
      </c>
      <c r="AM95" s="168"/>
    </row>
    <row hidden="true" r="96">
      <c r="A96" s="152"/>
      <c r="B96" s="176" t="s">
        <v>137</v>
      </c>
      <c r="C96" s="176"/>
      <c r="D96" s="176">
        <f>SUM(D94:D95)</f>
      </c>
      <c r="E96" s="176">
        <f>SUM(E94:E95)</f>
      </c>
      <c r="F96" s="176">
        <f>SUM(F94:F95)</f>
      </c>
      <c r="G96" s="176">
        <f>SUM(G94:G95)</f>
      </c>
      <c r="H96" s="176">
        <f>SUM(H94:H95)</f>
      </c>
      <c r="I96" s="176">
        <f>SUM(I94:I95)</f>
      </c>
      <c r="J96" s="176">
        <f>SUM(J94:J95)</f>
      </c>
      <c r="K96" s="176">
        <f>SUM(K94:K95)</f>
      </c>
      <c r="L96" s="176">
        <f>SUM(L94:L95)</f>
      </c>
      <c r="M96" s="176">
        <f>SUM(M94:M95)</f>
      </c>
      <c r="N96" s="177">
        <f t="shared" si="8"/>
      </c>
      <c r="O96" s="177">
        <f t="shared" si="171"/>
      </c>
      <c r="P96" s="188">
        <f t="shared" si="113"/>
      </c>
      <c r="Q96" s="179">
        <f t="shared" si="287"/>
      </c>
      <c r="R96" s="180">
        <f t="shared" si="229"/>
      </c>
      <c r="S96" s="179">
        <f t="shared" si="316"/>
      </c>
      <c r="T96" s="179">
        <f t="shared" si="432"/>
      </c>
      <c r="U96" s="180">
        <f t="shared" si="374"/>
      </c>
      <c r="V96" s="179">
        <f t="shared" si="142"/>
      </c>
      <c r="W96" s="179">
        <f t="shared" si="84"/>
      </c>
      <c r="X96" s="180">
        <f t="shared" si="258"/>
      </c>
      <c r="Y96" s="181">
        <f t="shared" si="200"/>
      </c>
      <c r="Z96" s="180">
        <f t="shared" si="403"/>
      </c>
      <c r="AA96" s="182">
        <f t="shared" si="345"/>
      </c>
      <c r="AB96" s="182"/>
      <c r="AC96" s="203"/>
      <c r="AD96" s="190">
        <f>SUM(AD94:AD95)</f>
      </c>
      <c r="AE96" s="190">
        <f>SUM(AE94:AE95)</f>
      </c>
      <c r="AF96" s="190">
        <f>SUM(AF94:AF95)</f>
      </c>
      <c r="AG96" s="190">
        <f>SUM(AG94:AG95)</f>
      </c>
      <c r="AH96" s="190">
        <f>SUM(AH94:AH95)</f>
      </c>
      <c r="AI96" s="190">
        <f>SUM(AI94:AI95)</f>
      </c>
      <c r="AJ96" s="190">
        <f>SUM(AJ94:AJ95)</f>
      </c>
      <c r="AK96" s="190">
        <f>SUM(AK94:AK95)</f>
      </c>
      <c r="AL96" s="190">
        <f>SUM(AL94:AL95)</f>
      </c>
      <c r="AM96" s="191" t="s">
        <v>142</v>
      </c>
    </row>
    <row hidden="true" r="97">
      <c r="A97" s="152"/>
      <c r="B97" s="192" t="s">
        <v>143</v>
      </c>
      <c r="C97" s="192"/>
      <c r="D97" s="192">
        <f>D93+D96</f>
      </c>
      <c r="E97" s="192">
        <f>E93+E96</f>
      </c>
      <c r="F97" s="192">
        <f>F93+F96</f>
      </c>
      <c r="G97" s="192">
        <f>G93+G96</f>
      </c>
      <c r="H97" s="192">
        <f>H93+H96</f>
      </c>
      <c r="I97" s="192">
        <f>I93+I96</f>
      </c>
      <c r="J97" s="192">
        <f>J93+J96</f>
      </c>
      <c r="K97" s="192">
        <f>K93+K96</f>
      </c>
      <c r="L97" s="192">
        <f>L93+L96</f>
      </c>
      <c r="M97" s="192">
        <f>M93+M96</f>
      </c>
      <c r="N97" s="193">
        <f t="shared" si="8"/>
      </c>
      <c r="O97" s="193">
        <f t="shared" si="171"/>
      </c>
      <c r="P97" s="194">
        <f t="shared" si="113"/>
      </c>
      <c r="Q97" s="195">
        <f t="shared" si="287"/>
      </c>
      <c r="R97" s="193">
        <f t="shared" si="229"/>
      </c>
      <c r="S97" s="195">
        <f t="shared" si="316"/>
      </c>
      <c r="T97" s="195">
        <f t="shared" si="432"/>
      </c>
      <c r="U97" s="193">
        <f t="shared" si="374"/>
      </c>
      <c r="V97" s="195">
        <f t="shared" si="142"/>
      </c>
      <c r="W97" s="195">
        <f t="shared" si="84"/>
      </c>
      <c r="X97" s="193">
        <f t="shared" si="258"/>
      </c>
      <c r="Y97" s="196">
        <f t="shared" si="200"/>
      </c>
      <c r="Z97" s="193">
        <f t="shared" si="403"/>
      </c>
      <c r="AA97" s="194">
        <f t="shared" si="345"/>
      </c>
      <c r="AB97" s="194"/>
      <c r="AC97" s="194"/>
      <c r="AD97" s="197">
        <f>AD93+AD96</f>
      </c>
      <c r="AE97" s="197">
        <f>AE93+AE96</f>
      </c>
      <c r="AF97" s="197">
        <f>AF93+AF96</f>
      </c>
      <c r="AG97" s="197">
        <f>AG93+AG96</f>
      </c>
      <c r="AH97" s="197">
        <f>AH93+AH96</f>
      </c>
      <c r="AI97" s="197">
        <f>AI93+AI96</f>
      </c>
      <c r="AJ97" s="197">
        <f>AJ93+AJ96</f>
      </c>
      <c r="AK97" s="197">
        <f>AK93+AK96</f>
      </c>
      <c r="AL97" s="197">
        <f>AL93+AL96</f>
      </c>
      <c r="AM97" s="191"/>
    </row>
    <row hidden="true" r="98">
      <c r="A98" s="134" t="s">
        <v>87</v>
      </c>
      <c r="B98" s="134"/>
      <c r="C98" s="134"/>
      <c r="D98" s="135" t="s">
        <v>88</v>
      </c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6" t="s">
        <v>89</v>
      </c>
      <c r="Q98" s="136"/>
      <c r="R98" s="136"/>
      <c r="S98" s="136"/>
      <c r="T98" s="136"/>
      <c r="U98" s="136"/>
      <c r="V98" s="136"/>
      <c r="W98" s="136"/>
      <c r="X98" s="136"/>
      <c r="Y98" s="136"/>
      <c r="Z98" s="136"/>
      <c r="AA98" s="136"/>
      <c r="AB98" s="136"/>
      <c r="AC98" s="136"/>
      <c r="AD98" s="137" t="s">
        <v>90</v>
      </c>
      <c r="AE98" s="137"/>
      <c r="AF98" s="137"/>
      <c r="AG98" s="137"/>
      <c r="AH98" s="137"/>
      <c r="AI98" s="137"/>
      <c r="AJ98" s="137"/>
      <c r="AK98" s="137"/>
      <c r="AL98" s="137"/>
      <c r="AM98" s="138"/>
    </row>
    <row hidden="true" r="99">
      <c r="A99" s="139" t="s">
        <v>91</v>
      </c>
      <c r="B99" s="140" t="s">
        <v>92</v>
      </c>
      <c r="C99" s="140" t="s">
        <v>93</v>
      </c>
      <c r="D99" s="141" t="s">
        <v>94</v>
      </c>
      <c r="E99" s="142" t="s">
        <v>95</v>
      </c>
      <c r="F99" s="142" t="s">
        <v>96</v>
      </c>
      <c r="G99" s="143" t="s">
        <v>97</v>
      </c>
      <c r="H99" s="215" t="s">
        <v>98</v>
      </c>
      <c r="I99" s="219" t="s">
        <v>99</v>
      </c>
      <c r="J99" s="206" t="s">
        <v>100</v>
      </c>
      <c r="K99" s="135" t="s">
        <v>101</v>
      </c>
      <c r="L99" s="146" t="s">
        <v>102</v>
      </c>
      <c r="M99" s="146" t="s">
        <v>103</v>
      </c>
      <c r="N99" s="143" t="s">
        <v>104</v>
      </c>
      <c r="O99" s="146" t="s">
        <v>105</v>
      </c>
      <c r="P99" s="136" t="s">
        <v>106</v>
      </c>
      <c r="Q99" s="136" t="s">
        <v>107</v>
      </c>
      <c r="R99" s="136" t="s">
        <v>108</v>
      </c>
      <c r="S99" s="147" t="s">
        <v>109</v>
      </c>
      <c r="T99" s="147" t="s">
        <v>110</v>
      </c>
      <c r="U99" s="136" t="s">
        <v>111</v>
      </c>
      <c r="V99" s="147" t="s">
        <v>112</v>
      </c>
      <c r="W99" s="147" t="s">
        <v>113</v>
      </c>
      <c r="X99" s="136" t="s">
        <v>114</v>
      </c>
      <c r="Y99" s="147" t="s">
        <v>115</v>
      </c>
      <c r="Z99" s="136" t="s">
        <v>116</v>
      </c>
      <c r="AA99" s="148" t="s">
        <v>117</v>
      </c>
      <c r="AB99" s="148" t="s">
        <v>118</v>
      </c>
      <c r="AC99" s="220" t="s">
        <v>119</v>
      </c>
      <c r="AD99" s="149" t="s">
        <v>120</v>
      </c>
      <c r="AE99" s="150" t="s">
        <v>121</v>
      </c>
      <c r="AF99" s="150" t="s">
        <v>122</v>
      </c>
      <c r="AG99" s="150" t="s">
        <v>123</v>
      </c>
      <c r="AH99" s="150" t="s">
        <v>124</v>
      </c>
      <c r="AI99" s="150" t="s">
        <v>125</v>
      </c>
      <c r="AJ99" s="151" t="s">
        <v>126</v>
      </c>
      <c r="AK99" s="151" t="s">
        <v>127</v>
      </c>
      <c r="AL99" s="151" t="s">
        <v>128</v>
      </c>
      <c r="AM99" s="138"/>
    </row>
    <row hidden="true" r="100">
      <c r="A100" s="152" t="s">
        <v>159</v>
      </c>
      <c r="B100" s="153" t="s">
        <v>130</v>
      </c>
      <c r="C100" s="156" t="s">
        <v>131</v>
      </c>
      <c r="D100" s="154">
        <f t="shared" ref="D100:D103" si="41">E100+F100+G100+H100</f>
      </c>
      <c r="E100" s="155">
        <v>4694.25</v>
      </c>
      <c r="F100" s="156">
        <v>468.08</v>
      </c>
      <c r="G100" s="157"/>
      <c r="H100" s="155">
        <v>529.23</v>
      </c>
      <c r="I100" s="208">
        <v>6</v>
      </c>
      <c r="J100" s="158">
        <v>12288</v>
      </c>
      <c r="K100" s="158">
        <v>0</v>
      </c>
      <c r="L100" s="156">
        <v>1</v>
      </c>
      <c r="M100" s="156">
        <v>5</v>
      </c>
      <c r="N100" s="159">
        <f t="shared" ref="N100:N107" si="9">J100/D100</f>
      </c>
      <c r="O100" s="159">
        <f t="shared" ref="O100:O107" si="172">J100/(D100+300*AL100)</f>
      </c>
      <c r="P100" s="160">
        <f t="shared" ref="P100:P107" si="114">(D100/AE100)*1000</f>
      </c>
      <c r="Q100" s="161">
        <f t="shared" ref="Q100:Q107" si="288">AF100/AE100</f>
      </c>
      <c r="R100" s="162">
        <f t="shared" ref="R100:R107" si="230">D100/AG100</f>
      </c>
      <c r="S100" s="161">
        <f t="shared" ref="S100:S107" si="317">AH100/AG100</f>
      </c>
      <c r="T100" s="161">
        <f t="shared" ref="T100:T107" si="433">AI100/AG100</f>
      </c>
      <c r="U100" s="162">
        <f t="shared" ref="U100:U107" si="375">D100/AI100</f>
      </c>
      <c r="V100" s="161">
        <f t="shared" ref="V100:V107" si="143">AJ100/AI100</f>
      </c>
      <c r="W100" s="161">
        <f t="shared" ref="W100:W107" si="85">I100/AJ100</f>
      </c>
      <c r="X100" s="162">
        <f t="shared" ref="X100:X107" si="259">D100/I100</f>
      </c>
      <c r="Y100" s="163">
        <f t="shared" ref="Y100:Y107" si="201">J100/I100</f>
      </c>
      <c r="Z100" s="162">
        <f t="shared" ref="Z100:Z107" si="404">D100/AD100</f>
      </c>
      <c r="AA100" s="164">
        <f t="shared" ref="AA100:AA107" si="346">AK100*1000/D100</f>
      </c>
      <c r="AB100" s="199" t="s">
        <v>132</v>
      </c>
      <c r="AC100" s="228" t="s">
        <v>153</v>
      </c>
      <c r="AD100" s="209">
        <v>5</v>
      </c>
      <c r="AE100" s="157">
        <v>13153</v>
      </c>
      <c r="AF100" s="157">
        <v>554</v>
      </c>
      <c r="AG100" s="157">
        <v>679</v>
      </c>
      <c r="AH100" s="157">
        <v>165</v>
      </c>
      <c r="AI100" s="153">
        <v>39</v>
      </c>
      <c r="AJ100" s="158">
        <v>20</v>
      </c>
      <c r="AK100" s="156">
        <v>41</v>
      </c>
      <c r="AL100" s="175">
        <v>1</v>
      </c>
      <c r="AM100" s="168"/>
    </row>
    <row hidden="true" r="101">
      <c r="A101" s="152"/>
      <c r="B101" s="169" t="s">
        <v>134</v>
      </c>
      <c r="C101" s="186" t="s">
        <v>131</v>
      </c>
      <c r="D101" s="153">
        <f t="shared" si="41"/>
      </c>
      <c r="E101" s="158">
        <v>3172.2</v>
      </c>
      <c r="F101" s="170">
        <v>457.89</v>
      </c>
      <c r="G101" s="153"/>
      <c r="H101" s="156">
        <v>426.87</v>
      </c>
      <c r="I101" s="171">
        <v>4</v>
      </c>
      <c r="J101" s="171">
        <v>9072</v>
      </c>
      <c r="K101" s="156">
        <v>0</v>
      </c>
      <c r="L101" s="156">
        <v>0</v>
      </c>
      <c r="M101" s="156">
        <v>4</v>
      </c>
      <c r="N101" s="159">
        <f t="shared" si="9"/>
      </c>
      <c r="O101" s="159">
        <f t="shared" si="172"/>
      </c>
      <c r="P101" s="160">
        <f t="shared" si="114"/>
      </c>
      <c r="Q101" s="161">
        <f t="shared" si="288"/>
      </c>
      <c r="R101" s="162">
        <f t="shared" si="230"/>
      </c>
      <c r="S101" s="161">
        <f t="shared" si="317"/>
      </c>
      <c r="T101" s="161">
        <f t="shared" si="433"/>
      </c>
      <c r="U101" s="162">
        <f t="shared" si="375"/>
      </c>
      <c r="V101" s="161">
        <f t="shared" si="143"/>
      </c>
      <c r="W101" s="161">
        <f t="shared" si="85"/>
      </c>
      <c r="X101" s="162">
        <f t="shared" si="259"/>
      </c>
      <c r="Y101" s="163">
        <f t="shared" si="201"/>
      </c>
      <c r="Z101" s="162">
        <f t="shared" si="404"/>
      </c>
      <c r="AA101" s="164">
        <f t="shared" si="346"/>
      </c>
      <c r="AB101" s="199" t="s">
        <v>132</v>
      </c>
      <c r="AC101" s="228" t="s">
        <v>153</v>
      </c>
      <c r="AD101" s="209">
        <v>4</v>
      </c>
      <c r="AE101" s="172">
        <v>10040</v>
      </c>
      <c r="AF101" s="157">
        <v>401</v>
      </c>
      <c r="AG101" s="171">
        <v>530</v>
      </c>
      <c r="AH101" s="153">
        <v>118</v>
      </c>
      <c r="AI101" s="153">
        <v>36</v>
      </c>
      <c r="AJ101" s="222">
        <v>15</v>
      </c>
      <c r="AK101" s="223">
        <v>25</v>
      </c>
      <c r="AL101" s="175">
        <v>1</v>
      </c>
      <c r="AM101" s="168"/>
    </row>
    <row hidden="true" r="102">
      <c r="A102" s="152"/>
      <c r="B102" s="169" t="s">
        <v>135</v>
      </c>
      <c r="C102" s="208" t="s">
        <v>131</v>
      </c>
      <c r="D102" s="157">
        <f t="shared" si="41"/>
      </c>
      <c r="E102" s="158">
        <v>3544.99</v>
      </c>
      <c r="F102" s="158">
        <v>492.39</v>
      </c>
      <c r="G102" s="153"/>
      <c r="H102" s="156">
        <v>288.32</v>
      </c>
      <c r="I102" s="153">
        <v>5</v>
      </c>
      <c r="J102" s="153">
        <v>10020</v>
      </c>
      <c r="K102" s="156">
        <v>0</v>
      </c>
      <c r="L102" s="156">
        <v>1</v>
      </c>
      <c r="M102" s="156">
        <v>4</v>
      </c>
      <c r="N102" s="159">
        <f t="shared" si="9"/>
      </c>
      <c r="O102" s="159">
        <f t="shared" si="172"/>
      </c>
      <c r="P102" s="160">
        <f t="shared" si="114"/>
      </c>
      <c r="Q102" s="161">
        <f t="shared" si="288"/>
      </c>
      <c r="R102" s="162">
        <f t="shared" si="230"/>
      </c>
      <c r="S102" s="161">
        <f t="shared" si="317"/>
      </c>
      <c r="T102" s="161">
        <f t="shared" si="433"/>
      </c>
      <c r="U102" s="162">
        <f t="shared" si="375"/>
      </c>
      <c r="V102" s="161">
        <f t="shared" si="143"/>
      </c>
      <c r="W102" s="161">
        <f t="shared" si="85"/>
      </c>
      <c r="X102" s="162">
        <f t="shared" si="259"/>
      </c>
      <c r="Y102" s="163">
        <f t="shared" si="201"/>
      </c>
      <c r="Z102" s="162">
        <f t="shared" si="404"/>
      </c>
      <c r="AA102" s="164">
        <f t="shared" si="346"/>
      </c>
      <c r="AB102" s="199" t="s">
        <v>132</v>
      </c>
      <c r="AC102" s="200" t="s">
        <v>153</v>
      </c>
      <c r="AD102" s="229">
        <v>5</v>
      </c>
      <c r="AE102" s="221">
        <v>10412</v>
      </c>
      <c r="AF102" s="157">
        <v>354</v>
      </c>
      <c r="AG102" s="153">
        <v>463</v>
      </c>
      <c r="AH102" s="153">
        <v>113</v>
      </c>
      <c r="AI102" s="207">
        <v>18</v>
      </c>
      <c r="AJ102" s="208">
        <v>14</v>
      </c>
      <c r="AK102" s="208">
        <v>20</v>
      </c>
      <c r="AL102" s="226">
        <v>1</v>
      </c>
      <c r="AM102" s="168"/>
    </row>
    <row customHeight="true" hidden="true" ht="18.452380952380953" r="103">
      <c r="A103" s="152"/>
      <c r="B103" s="169" t="s">
        <v>136</v>
      </c>
      <c r="C103" s="184" t="s">
        <v>131</v>
      </c>
      <c r="D103" s="157">
        <f t="shared" si="41"/>
      </c>
      <c r="E103" s="158">
        <v>3083.43</v>
      </c>
      <c r="F103" s="158">
        <v>408.02</v>
      </c>
      <c r="G103" s="153"/>
      <c r="H103" s="156">
        <v>226.47</v>
      </c>
      <c r="I103" s="153">
        <v>2</v>
      </c>
      <c r="J103" s="153">
        <v>4348</v>
      </c>
      <c r="K103" s="156">
        <v>0</v>
      </c>
      <c r="L103" s="156">
        <v>0</v>
      </c>
      <c r="M103" s="156">
        <v>2</v>
      </c>
      <c r="N103" s="159">
        <f t="shared" si="9"/>
      </c>
      <c r="O103" s="159">
        <f t="shared" si="172"/>
      </c>
      <c r="P103" s="160">
        <f t="shared" si="114"/>
      </c>
      <c r="Q103" s="161">
        <f t="shared" si="288"/>
      </c>
      <c r="R103" s="162">
        <f t="shared" si="230"/>
      </c>
      <c r="S103" s="161">
        <f t="shared" si="317"/>
      </c>
      <c r="T103" s="161">
        <f t="shared" si="433"/>
      </c>
      <c r="U103" s="162">
        <f t="shared" si="375"/>
      </c>
      <c r="V103" s="161">
        <f t="shared" si="143"/>
      </c>
      <c r="W103" s="161">
        <f t="shared" si="85"/>
      </c>
      <c r="X103" s="162">
        <f t="shared" si="259"/>
      </c>
      <c r="Y103" s="163">
        <f t="shared" si="201"/>
      </c>
      <c r="Z103" s="162">
        <f t="shared" si="404"/>
      </c>
      <c r="AA103" s="164">
        <f t="shared" si="346"/>
      </c>
      <c r="AB103" s="199" t="s">
        <v>132</v>
      </c>
      <c r="AC103" s="200" t="s">
        <v>153</v>
      </c>
      <c r="AD103" s="209">
        <v>1</v>
      </c>
      <c r="AE103" s="221">
        <v>8436</v>
      </c>
      <c r="AF103" s="157">
        <v>295</v>
      </c>
      <c r="AG103" s="153">
        <v>390</v>
      </c>
      <c r="AH103" s="153">
        <v>97</v>
      </c>
      <c r="AI103" s="207">
        <v>34</v>
      </c>
      <c r="AJ103" s="208">
        <v>4</v>
      </c>
      <c r="AK103" s="208">
        <v>22</v>
      </c>
      <c r="AL103" s="226">
        <v>1</v>
      </c>
      <c r="AM103" s="168"/>
    </row>
    <row hidden="true" r="104">
      <c r="A104" s="152"/>
      <c r="B104" s="176" t="s">
        <v>137</v>
      </c>
      <c r="C104" s="176"/>
      <c r="D104" s="176">
        <f>SUM(D100:D103)</f>
      </c>
      <c r="E104" s="176">
        <f>SUM(E100:E103)</f>
      </c>
      <c r="F104" s="176">
        <f>SUM(F100:F103)</f>
      </c>
      <c r="G104" s="176">
        <f>SUM(G100:G103)</f>
      </c>
      <c r="H104" s="176">
        <f>SUM(H100:H103)</f>
      </c>
      <c r="I104" s="176">
        <f>SUM(I100:I103)</f>
      </c>
      <c r="J104" s="176">
        <f>SUM(J100:J103)</f>
      </c>
      <c r="K104" s="176">
        <f>SUM(K100:K103)</f>
      </c>
      <c r="L104" s="176">
        <f>SUM(L100:L103)</f>
      </c>
      <c r="M104" s="176">
        <f>SUM(M100:M103)</f>
      </c>
      <c r="N104" s="177">
        <f t="shared" si="9"/>
      </c>
      <c r="O104" s="177">
        <f t="shared" si="172"/>
      </c>
      <c r="P104" s="178">
        <f t="shared" si="114"/>
      </c>
      <c r="Q104" s="179">
        <f t="shared" si="288"/>
      </c>
      <c r="R104" s="180">
        <f t="shared" si="230"/>
      </c>
      <c r="S104" s="179">
        <f t="shared" si="317"/>
      </c>
      <c r="T104" s="179">
        <f t="shared" si="433"/>
      </c>
      <c r="U104" s="180">
        <f t="shared" si="375"/>
      </c>
      <c r="V104" s="179">
        <f t="shared" si="143"/>
      </c>
      <c r="W104" s="179">
        <f t="shared" si="85"/>
      </c>
      <c r="X104" s="180">
        <f t="shared" si="259"/>
      </c>
      <c r="Y104" s="181">
        <f t="shared" si="201"/>
      </c>
      <c r="Z104" s="180">
        <f t="shared" si="404"/>
      </c>
      <c r="AA104" s="182">
        <f t="shared" si="346"/>
      </c>
      <c r="AB104" s="189"/>
      <c r="AC104" s="202"/>
      <c r="AD104" s="224">
        <f>SUM(AD100:AD103)</f>
      </c>
      <c r="AE104" s="224">
        <f>SUM(AE100:AE103)</f>
      </c>
      <c r="AF104" s="224">
        <f>SUM(AF100:AF103)</f>
      </c>
      <c r="AG104" s="224">
        <f>SUM(AG100:AG103)</f>
      </c>
      <c r="AH104" s="224">
        <f>SUM(AH100:AH103)</f>
      </c>
      <c r="AI104" s="224">
        <f>SUM(AI100:AI103)</f>
      </c>
      <c r="AJ104" s="224">
        <f>SUM(AJ100:AJ103)</f>
      </c>
      <c r="AK104" s="224">
        <f>SUM(AK100:AK103)</f>
      </c>
      <c r="AL104" s="224">
        <f>SUM(AL100:AL103)</f>
      </c>
      <c r="AM104" s="168"/>
    </row>
    <row hidden="true" r="105">
      <c r="A105" s="152"/>
      <c r="B105" s="184" t="s">
        <v>145</v>
      </c>
      <c r="C105" s="186" t="s">
        <v>155</v>
      </c>
      <c r="D105" s="157">
        <f>E105+F105+G105+H105</f>
      </c>
      <c r="E105" s="158">
        <v>482.4</v>
      </c>
      <c r="F105" s="158">
        <v>2586.43</v>
      </c>
      <c r="G105" s="153"/>
      <c r="H105" s="156">
        <v>849.92</v>
      </c>
      <c r="I105" s="153">
        <v>2</v>
      </c>
      <c r="J105" s="153">
        <v>4348</v>
      </c>
      <c r="K105" s="156">
        <v>0</v>
      </c>
      <c r="L105" s="156">
        <v>0</v>
      </c>
      <c r="M105" s="156">
        <v>2</v>
      </c>
      <c r="N105" s="159">
        <f t="shared" si="9"/>
      </c>
      <c r="O105" s="159">
        <f t="shared" si="172"/>
      </c>
      <c r="P105" s="160">
        <f t="shared" si="114"/>
      </c>
      <c r="Q105" s="161">
        <f t="shared" si="288"/>
      </c>
      <c r="R105" s="162">
        <f t="shared" si="230"/>
      </c>
      <c r="S105" s="161">
        <f t="shared" si="317"/>
      </c>
      <c r="T105" s="161">
        <f t="shared" si="433"/>
      </c>
      <c r="U105" s="162">
        <f t="shared" si="375"/>
      </c>
      <c r="V105" s="161">
        <f t="shared" si="143"/>
      </c>
      <c r="W105" s="161">
        <f t="shared" si="85"/>
      </c>
      <c r="X105" s="162">
        <f t="shared" si="259"/>
      </c>
      <c r="Y105" s="163">
        <f t="shared" si="201"/>
      </c>
      <c r="Z105" s="162">
        <f t="shared" si="404"/>
      </c>
      <c r="AA105" s="164">
        <f t="shared" si="346"/>
      </c>
      <c r="AB105" s="199" t="s">
        <v>132</v>
      </c>
      <c r="AC105" s="200" t="s">
        <v>153</v>
      </c>
      <c r="AD105" s="209">
        <v>2</v>
      </c>
      <c r="AE105" s="172">
        <v>10189</v>
      </c>
      <c r="AF105" s="153">
        <v>410</v>
      </c>
      <c r="AG105" s="153">
        <v>497</v>
      </c>
      <c r="AH105" s="169">
        <v>122</v>
      </c>
      <c r="AI105" s="209">
        <v>21</v>
      </c>
      <c r="AJ105" s="208">
        <v>4</v>
      </c>
      <c r="AK105" s="208">
        <v>32</v>
      </c>
      <c r="AL105" s="226">
        <v>1</v>
      </c>
      <c r="AM105" s="168"/>
    </row>
    <row hidden="true" r="106">
      <c r="A106" s="152"/>
      <c r="B106" s="176" t="s">
        <v>137</v>
      </c>
      <c r="C106" s="176"/>
      <c r="D106" s="176">
        <f>SUM(D105)</f>
      </c>
      <c r="E106" s="176">
        <f>SUM(E105)</f>
      </c>
      <c r="F106" s="176">
        <f>SUM(F105)</f>
      </c>
      <c r="G106" s="176">
        <f>SUM(G105)</f>
      </c>
      <c r="H106" s="176">
        <f>SUM(H105)</f>
      </c>
      <c r="I106" s="176">
        <f>SUM(I105)</f>
      </c>
      <c r="J106" s="176">
        <f>SUM(J105)</f>
      </c>
      <c r="K106" s="176">
        <f>SUM(K105)</f>
      </c>
      <c r="L106" s="176">
        <f>SUM(L105)</f>
      </c>
      <c r="M106" s="176">
        <f>SUM(M105)</f>
      </c>
      <c r="N106" s="177">
        <f t="shared" si="9"/>
      </c>
      <c r="O106" s="177">
        <f t="shared" si="172"/>
      </c>
      <c r="P106" s="188">
        <f t="shared" si="114"/>
      </c>
      <c r="Q106" s="179">
        <f t="shared" si="288"/>
      </c>
      <c r="R106" s="180">
        <f t="shared" si="230"/>
      </c>
      <c r="S106" s="179">
        <f t="shared" si="317"/>
      </c>
      <c r="T106" s="179">
        <f t="shared" si="433"/>
      </c>
      <c r="U106" s="180">
        <f t="shared" si="375"/>
      </c>
      <c r="V106" s="179">
        <f t="shared" si="143"/>
      </c>
      <c r="W106" s="179">
        <f t="shared" si="85"/>
      </c>
      <c r="X106" s="180">
        <f t="shared" si="259"/>
      </c>
      <c r="Y106" s="181">
        <f t="shared" si="201"/>
      </c>
      <c r="Z106" s="180">
        <f t="shared" si="404"/>
      </c>
      <c r="AA106" s="182">
        <f t="shared" si="346"/>
      </c>
      <c r="AB106" s="182"/>
      <c r="AC106" s="203"/>
      <c r="AD106" s="190">
        <f>SUM(AD105)</f>
      </c>
      <c r="AE106" s="190">
        <f>SUM(AE105)</f>
      </c>
      <c r="AF106" s="190">
        <f>SUM(AF105)</f>
      </c>
      <c r="AG106" s="190">
        <f>SUM(AG105)</f>
      </c>
      <c r="AH106" s="190">
        <f>SUM(AH105)</f>
      </c>
      <c r="AI106" s="190">
        <f>SUM(AI105)</f>
      </c>
      <c r="AJ106" s="190">
        <f>SUM(AJ105)</f>
      </c>
      <c r="AK106" s="190">
        <f>SUM(AK105)</f>
      </c>
      <c r="AL106" s="190">
        <f>SUM(AL105)</f>
      </c>
      <c r="AM106" s="191" t="s">
        <v>142</v>
      </c>
    </row>
    <row hidden="true" r="107">
      <c r="A107" s="152"/>
      <c r="B107" s="192" t="s">
        <v>143</v>
      </c>
      <c r="C107" s="192"/>
      <c r="D107" s="192">
        <f>D104+D106</f>
      </c>
      <c r="E107" s="192">
        <f>E104+E106</f>
      </c>
      <c r="F107" s="192">
        <f>F104+F106</f>
      </c>
      <c r="G107" s="192">
        <f>G104+G106</f>
      </c>
      <c r="H107" s="192">
        <f>H104+H106</f>
      </c>
      <c r="I107" s="192">
        <f>I104+I106</f>
      </c>
      <c r="J107" s="192">
        <f>J104+J106</f>
      </c>
      <c r="K107" s="192">
        <f>K104+K106</f>
      </c>
      <c r="L107" s="192">
        <f>L104+L106</f>
      </c>
      <c r="M107" s="192">
        <f>M104+M106</f>
      </c>
      <c r="N107" s="193">
        <f t="shared" si="9"/>
      </c>
      <c r="O107" s="193">
        <f t="shared" si="172"/>
      </c>
      <c r="P107" s="194">
        <f t="shared" si="114"/>
      </c>
      <c r="Q107" s="195">
        <f t="shared" si="288"/>
      </c>
      <c r="R107" s="193">
        <f t="shared" si="230"/>
      </c>
      <c r="S107" s="195">
        <f t="shared" si="317"/>
      </c>
      <c r="T107" s="195">
        <f t="shared" si="433"/>
      </c>
      <c r="U107" s="193">
        <f t="shared" si="375"/>
      </c>
      <c r="V107" s="195">
        <f t="shared" si="143"/>
      </c>
      <c r="W107" s="195">
        <f t="shared" si="85"/>
      </c>
      <c r="X107" s="193">
        <f t="shared" si="259"/>
      </c>
      <c r="Y107" s="196">
        <f t="shared" si="201"/>
      </c>
      <c r="Z107" s="193">
        <f t="shared" si="404"/>
      </c>
      <c r="AA107" s="194">
        <f t="shared" si="346"/>
      </c>
      <c r="AB107" s="194"/>
      <c r="AC107" s="194"/>
      <c r="AD107" s="197">
        <f>AD104+AD106</f>
      </c>
      <c r="AE107" s="197">
        <f>AE104+AE106</f>
      </c>
      <c r="AF107" s="197">
        <f>AF104+AF106</f>
      </c>
      <c r="AG107" s="197">
        <f>AG104+AG106</f>
      </c>
      <c r="AH107" s="197">
        <f>AH104+AH106</f>
      </c>
      <c r="AI107" s="197">
        <f>AI104+AI106</f>
      </c>
      <c r="AJ107" s="197">
        <f>AJ104+AJ106</f>
      </c>
      <c r="AK107" s="197">
        <f>AK104+AK106</f>
      </c>
      <c r="AL107" s="197">
        <f>AL104+AL106</f>
      </c>
      <c r="AM107" s="191"/>
    </row>
    <row hidden="true" r="108">
      <c r="A108" s="134" t="s">
        <v>87</v>
      </c>
      <c r="B108" s="134"/>
      <c r="C108" s="134"/>
      <c r="D108" s="135" t="s">
        <v>88</v>
      </c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6" t="s">
        <v>89</v>
      </c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  <c r="AD108" s="137" t="s">
        <v>90</v>
      </c>
      <c r="AE108" s="137"/>
      <c r="AF108" s="137"/>
      <c r="AG108" s="137"/>
      <c r="AH108" s="137"/>
      <c r="AI108" s="137"/>
      <c r="AJ108" s="137"/>
      <c r="AK108" s="137"/>
      <c r="AL108" s="137"/>
      <c r="AM108" s="138"/>
    </row>
    <row hidden="true" r="109">
      <c r="A109" s="139" t="s">
        <v>91</v>
      </c>
      <c r="B109" s="140" t="s">
        <v>92</v>
      </c>
      <c r="C109" s="140" t="s">
        <v>93</v>
      </c>
      <c r="D109" s="141" t="s">
        <v>94</v>
      </c>
      <c r="E109" s="142" t="s">
        <v>95</v>
      </c>
      <c r="F109" s="142" t="s">
        <v>96</v>
      </c>
      <c r="G109" s="143" t="s">
        <v>97</v>
      </c>
      <c r="H109" s="215" t="s">
        <v>98</v>
      </c>
      <c r="I109" s="219" t="s">
        <v>99</v>
      </c>
      <c r="J109" s="206" t="s">
        <v>100</v>
      </c>
      <c r="K109" s="135" t="s">
        <v>101</v>
      </c>
      <c r="L109" s="146" t="s">
        <v>102</v>
      </c>
      <c r="M109" s="146" t="s">
        <v>103</v>
      </c>
      <c r="N109" s="143" t="s">
        <v>104</v>
      </c>
      <c r="O109" s="146" t="s">
        <v>105</v>
      </c>
      <c r="P109" s="136" t="s">
        <v>106</v>
      </c>
      <c r="Q109" s="136" t="s">
        <v>107</v>
      </c>
      <c r="R109" s="136" t="s">
        <v>108</v>
      </c>
      <c r="S109" s="147" t="s">
        <v>109</v>
      </c>
      <c r="T109" s="147" t="s">
        <v>110</v>
      </c>
      <c r="U109" s="136" t="s">
        <v>111</v>
      </c>
      <c r="V109" s="147" t="s">
        <v>112</v>
      </c>
      <c r="W109" s="147" t="s">
        <v>113</v>
      </c>
      <c r="X109" s="136" t="s">
        <v>114</v>
      </c>
      <c r="Y109" s="147" t="s">
        <v>115</v>
      </c>
      <c r="Z109" s="136" t="s">
        <v>116</v>
      </c>
      <c r="AA109" s="148" t="s">
        <v>117</v>
      </c>
      <c r="AB109" s="148" t="s">
        <v>118</v>
      </c>
      <c r="AC109" s="220" t="s">
        <v>119</v>
      </c>
      <c r="AD109" s="149" t="s">
        <v>120</v>
      </c>
      <c r="AE109" s="150" t="s">
        <v>121</v>
      </c>
      <c r="AF109" s="150" t="s">
        <v>122</v>
      </c>
      <c r="AG109" s="150" t="s">
        <v>123</v>
      </c>
      <c r="AH109" s="150" t="s">
        <v>124</v>
      </c>
      <c r="AI109" s="150" t="s">
        <v>125</v>
      </c>
      <c r="AJ109" s="151" t="s">
        <v>126</v>
      </c>
      <c r="AK109" s="151" t="s">
        <v>127</v>
      </c>
      <c r="AL109" s="151" t="s">
        <v>128</v>
      </c>
      <c r="AM109" s="138"/>
    </row>
    <row hidden="true" r="110">
      <c r="A110" s="152" t="s">
        <v>160</v>
      </c>
      <c r="B110" s="153" t="s">
        <v>130</v>
      </c>
      <c r="C110" s="156" t="s">
        <v>131</v>
      </c>
      <c r="D110" s="154">
        <f t="shared" ref="D110:D114" si="42">E110+F110+G110+H110</f>
      </c>
      <c r="E110" s="155">
        <v>2566.9</v>
      </c>
      <c r="F110" s="156">
        <v>284.94</v>
      </c>
      <c r="G110" s="157"/>
      <c r="H110" s="155">
        <v>513.1</v>
      </c>
      <c r="I110" s="208">
        <v>3</v>
      </c>
      <c r="J110" s="158">
        <v>6804</v>
      </c>
      <c r="K110" s="158">
        <v>0</v>
      </c>
      <c r="L110" s="156">
        <v>0</v>
      </c>
      <c r="M110" s="156">
        <v>3</v>
      </c>
      <c r="N110" s="159">
        <f t="shared" ref="N110:N120" si="10">J110/D110</f>
      </c>
      <c r="O110" s="159">
        <f t="shared" ref="O110:O120" si="173">J110/(D110+300*AL110)</f>
      </c>
      <c r="P110" s="160">
        <f t="shared" ref="P110:P120" si="115">(D110/AE110)*1000</f>
      </c>
      <c r="Q110" s="161">
        <f t="shared" ref="Q110:Q120" si="289">AF110/AE110</f>
      </c>
      <c r="R110" s="162">
        <f t="shared" ref="R110:R120" si="231">D110/AG110</f>
      </c>
      <c r="S110" s="161">
        <f t="shared" ref="S110:S120" si="318">AH110/AG110</f>
      </c>
      <c r="T110" s="161">
        <f t="shared" ref="T110:T120" si="434">AI110/AG110</f>
      </c>
      <c r="U110" s="162">
        <f t="shared" ref="U110:U120" si="376">D110/AI110</f>
      </c>
      <c r="V110" s="161">
        <f t="shared" ref="V110:V120" si="144">AJ110/AI110</f>
      </c>
      <c r="W110" s="161">
        <f t="shared" ref="W110:W120" si="86">I110/AJ110</f>
      </c>
      <c r="X110" s="162">
        <f t="shared" ref="X110:X120" si="260">D110/I110</f>
      </c>
      <c r="Y110" s="163">
        <f t="shared" ref="Y110:Y120" si="202">J110/I110</f>
      </c>
      <c r="Z110" s="162">
        <f t="shared" ref="Z110:Z120" si="405">D110/AD110</f>
      </c>
      <c r="AA110" s="164">
        <f t="shared" ref="AA110:AA120" si="347">AK110*1000/D110</f>
      </c>
      <c r="AB110" s="199" t="s">
        <v>132</v>
      </c>
      <c r="AC110" s="228" t="s">
        <v>161</v>
      </c>
      <c r="AD110" s="209">
        <v>2</v>
      </c>
      <c r="AE110" s="157">
        <v>9712</v>
      </c>
      <c r="AF110" s="157">
        <v>389</v>
      </c>
      <c r="AG110" s="157">
        <v>514</v>
      </c>
      <c r="AH110" s="157">
        <v>111</v>
      </c>
      <c r="AI110" s="153">
        <v>46</v>
      </c>
      <c r="AJ110" s="158">
        <v>12</v>
      </c>
      <c r="AK110" s="156">
        <v>24</v>
      </c>
      <c r="AL110" s="175">
        <v>1</v>
      </c>
      <c r="AM110" s="168"/>
    </row>
    <row hidden="true" r="111">
      <c r="A111" s="152"/>
      <c r="B111" s="169" t="s">
        <v>134</v>
      </c>
      <c r="C111" s="186" t="s">
        <v>131</v>
      </c>
      <c r="D111" s="153">
        <f t="shared" si="42"/>
      </c>
      <c r="E111" s="158">
        <v>2817.71</v>
      </c>
      <c r="F111" s="170">
        <v>325.13</v>
      </c>
      <c r="G111" s="153"/>
      <c r="H111" s="156">
        <v>596.11</v>
      </c>
      <c r="I111" s="171">
        <v>2</v>
      </c>
      <c r="J111" s="171">
        <v>4536</v>
      </c>
      <c r="K111" s="156">
        <v>0</v>
      </c>
      <c r="L111" s="156">
        <v>0</v>
      </c>
      <c r="M111" s="156">
        <v>2</v>
      </c>
      <c r="N111" s="159">
        <f t="shared" si="10"/>
      </c>
      <c r="O111" s="159">
        <f t="shared" si="173"/>
      </c>
      <c r="P111" s="160">
        <f t="shared" si="115"/>
      </c>
      <c r="Q111" s="161">
        <f t="shared" si="289"/>
      </c>
      <c r="R111" s="162">
        <f t="shared" si="231"/>
      </c>
      <c r="S111" s="161">
        <f t="shared" si="318"/>
      </c>
      <c r="T111" s="161">
        <f t="shared" si="434"/>
      </c>
      <c r="U111" s="162">
        <f t="shared" si="376"/>
      </c>
      <c r="V111" s="161">
        <f t="shared" si="144"/>
      </c>
      <c r="W111" s="161">
        <f t="shared" si="86"/>
      </c>
      <c r="X111" s="162">
        <f t="shared" si="260"/>
      </c>
      <c r="Y111" s="163">
        <f t="shared" si="202"/>
      </c>
      <c r="Z111" s="162">
        <f t="shared" si="405"/>
      </c>
      <c r="AA111" s="164">
        <f t="shared" si="347"/>
      </c>
      <c r="AB111" s="199" t="s">
        <v>132</v>
      </c>
      <c r="AC111" s="228" t="s">
        <v>161</v>
      </c>
      <c r="AD111" s="209">
        <v>2</v>
      </c>
      <c r="AE111" s="172">
        <v>10463</v>
      </c>
      <c r="AF111" s="157">
        <v>346</v>
      </c>
      <c r="AG111" s="171">
        <v>475</v>
      </c>
      <c r="AH111" s="153">
        <v>113</v>
      </c>
      <c r="AI111" s="153">
        <v>23</v>
      </c>
      <c r="AJ111" s="222">
        <v>14</v>
      </c>
      <c r="AK111" s="223">
        <v>32</v>
      </c>
      <c r="AL111" s="175">
        <v>1</v>
      </c>
      <c r="AM111" s="168"/>
    </row>
    <row hidden="true" r="112">
      <c r="A112" s="152"/>
      <c r="B112" s="169" t="s">
        <v>135</v>
      </c>
      <c r="C112" s="186" t="s">
        <v>131</v>
      </c>
      <c r="D112" s="153">
        <f t="shared" si="42"/>
      </c>
      <c r="E112" s="158">
        <v>2582.81</v>
      </c>
      <c r="F112" s="158">
        <v>276.97</v>
      </c>
      <c r="G112" s="153"/>
      <c r="H112" s="156">
        <v>333.73</v>
      </c>
      <c r="I112" s="153">
        <v>2</v>
      </c>
      <c r="J112" s="153">
        <v>4536</v>
      </c>
      <c r="K112" s="156">
        <v>0</v>
      </c>
      <c r="L112" s="156">
        <v>0</v>
      </c>
      <c r="M112" s="156">
        <v>2</v>
      </c>
      <c r="N112" s="159">
        <f t="shared" si="10"/>
      </c>
      <c r="O112" s="159">
        <f t="shared" si="173"/>
      </c>
      <c r="P112" s="160">
        <f t="shared" si="115"/>
      </c>
      <c r="Q112" s="161">
        <f t="shared" si="289"/>
      </c>
      <c r="R112" s="162">
        <f t="shared" si="231"/>
      </c>
      <c r="S112" s="161">
        <f t="shared" si="318"/>
      </c>
      <c r="T112" s="161">
        <f t="shared" si="434"/>
      </c>
      <c r="U112" s="162">
        <f t="shared" si="376"/>
      </c>
      <c r="V112" s="161">
        <f t="shared" si="144"/>
      </c>
      <c r="W112" s="161">
        <f t="shared" si="86"/>
      </c>
      <c r="X112" s="162">
        <f t="shared" si="260"/>
      </c>
      <c r="Y112" s="163">
        <f t="shared" si="202"/>
      </c>
      <c r="Z112" s="162">
        <f t="shared" si="405"/>
      </c>
      <c r="AA112" s="164">
        <f t="shared" si="347"/>
      </c>
      <c r="AB112" s="199" t="s">
        <v>132</v>
      </c>
      <c r="AC112" s="200" t="s">
        <v>161</v>
      </c>
      <c r="AD112" s="229">
        <v>2</v>
      </c>
      <c r="AE112" s="221">
        <v>10364</v>
      </c>
      <c r="AF112" s="157">
        <v>295</v>
      </c>
      <c r="AG112" s="153">
        <v>369</v>
      </c>
      <c r="AH112" s="153">
        <v>91</v>
      </c>
      <c r="AI112" s="207">
        <v>22</v>
      </c>
      <c r="AJ112" s="208">
        <v>8</v>
      </c>
      <c r="AK112" s="208">
        <v>22</v>
      </c>
      <c r="AL112" s="226">
        <v>1</v>
      </c>
      <c r="AM112" s="168"/>
    </row>
    <row hidden="true" r="113">
      <c r="A113" s="152"/>
      <c r="B113" s="169" t="s">
        <v>136</v>
      </c>
      <c r="C113" s="156" t="s">
        <v>131</v>
      </c>
      <c r="D113" s="154">
        <f t="shared" si="42"/>
      </c>
      <c r="E113" s="158">
        <v>2484.33</v>
      </c>
      <c r="F113" s="158">
        <v>348.21</v>
      </c>
      <c r="G113" s="153"/>
      <c r="H113" s="156">
        <v>276.11</v>
      </c>
      <c r="I113" s="153">
        <v>3</v>
      </c>
      <c r="J113" s="153">
        <v>6804</v>
      </c>
      <c r="K113" s="156">
        <v>0</v>
      </c>
      <c r="L113" s="156">
        <v>0</v>
      </c>
      <c r="M113" s="156">
        <v>3</v>
      </c>
      <c r="N113" s="159">
        <f t="shared" si="10"/>
      </c>
      <c r="O113" s="159">
        <f t="shared" si="173"/>
      </c>
      <c r="P113" s="160">
        <f t="shared" si="115"/>
      </c>
      <c r="Q113" s="161">
        <f t="shared" si="289"/>
      </c>
      <c r="R113" s="162">
        <f t="shared" si="231"/>
      </c>
      <c r="S113" s="161">
        <f t="shared" si="318"/>
      </c>
      <c r="T113" s="161">
        <f t="shared" si="434"/>
      </c>
      <c r="U113" s="162">
        <f t="shared" si="376"/>
      </c>
      <c r="V113" s="161">
        <f t="shared" si="144"/>
      </c>
      <c r="W113" s="161">
        <f t="shared" si="86"/>
      </c>
      <c r="X113" s="162">
        <f t="shared" si="260"/>
      </c>
      <c r="Y113" s="163">
        <f t="shared" si="202"/>
      </c>
      <c r="Z113" s="162">
        <f t="shared" si="405"/>
      </c>
      <c r="AA113" s="164">
        <f t="shared" si="347"/>
      </c>
      <c r="AB113" s="199" t="s">
        <v>132</v>
      </c>
      <c r="AC113" s="200" t="s">
        <v>161</v>
      </c>
      <c r="AD113" s="209">
        <v>2</v>
      </c>
      <c r="AE113" s="221">
        <v>9928</v>
      </c>
      <c r="AF113" s="157">
        <v>287</v>
      </c>
      <c r="AG113" s="153">
        <v>421</v>
      </c>
      <c r="AH113" s="153">
        <v>89</v>
      </c>
      <c r="AI113" s="207">
        <v>20</v>
      </c>
      <c r="AJ113" s="208">
        <v>8</v>
      </c>
      <c r="AK113" s="208">
        <v>15</v>
      </c>
      <c r="AL113" s="226">
        <v>1</v>
      </c>
      <c r="AM113" s="168"/>
    </row>
    <row customHeight="true" hidden="true" ht="18.452380952380953" r="114">
      <c r="A114" s="152"/>
      <c r="B114" s="184" t="s">
        <v>145</v>
      </c>
      <c r="C114" s="154" t="s">
        <v>131</v>
      </c>
      <c r="D114" s="153">
        <f t="shared" si="42"/>
      </c>
      <c r="E114" s="156">
        <v>2673.57</v>
      </c>
      <c r="F114" s="158">
        <v>506.75</v>
      </c>
      <c r="G114" s="153"/>
      <c r="H114" s="156">
        <v>550.68</v>
      </c>
      <c r="I114" s="156">
        <v>3</v>
      </c>
      <c r="J114" s="156">
        <v>6804</v>
      </c>
      <c r="K114" s="156">
        <v>0</v>
      </c>
      <c r="L114" s="156">
        <v>0</v>
      </c>
      <c r="M114" s="156">
        <v>3</v>
      </c>
      <c r="N114" s="159">
        <f t="shared" si="10"/>
      </c>
      <c r="O114" s="159">
        <f t="shared" si="173"/>
      </c>
      <c r="P114" s="160">
        <f t="shared" si="115"/>
      </c>
      <c r="Q114" s="161">
        <f t="shared" si="289"/>
      </c>
      <c r="R114" s="162">
        <f t="shared" si="231"/>
      </c>
      <c r="S114" s="161">
        <f t="shared" si="318"/>
      </c>
      <c r="T114" s="161">
        <f t="shared" si="434"/>
      </c>
      <c r="U114" s="162">
        <f t="shared" si="376"/>
      </c>
      <c r="V114" s="161">
        <f t="shared" si="144"/>
      </c>
      <c r="W114" s="161">
        <f t="shared" si="86"/>
      </c>
      <c r="X114" s="162">
        <f t="shared" si="260"/>
      </c>
      <c r="Y114" s="163">
        <f t="shared" si="202"/>
      </c>
      <c r="Z114" s="162">
        <f t="shared" si="405"/>
      </c>
      <c r="AA114" s="164">
        <f t="shared" si="347"/>
      </c>
      <c r="AB114" s="165" t="s">
        <v>132</v>
      </c>
      <c r="AC114" s="200" t="s">
        <v>161</v>
      </c>
      <c r="AD114" s="185">
        <v>3</v>
      </c>
      <c r="AE114" s="167">
        <v>10512</v>
      </c>
      <c r="AF114" s="167">
        <v>426</v>
      </c>
      <c r="AG114" s="167">
        <v>559</v>
      </c>
      <c r="AH114" s="167">
        <v>130</v>
      </c>
      <c r="AI114" s="167">
        <v>37</v>
      </c>
      <c r="AJ114" s="175">
        <v>8</v>
      </c>
      <c r="AK114" s="175">
        <v>27</v>
      </c>
      <c r="AL114" s="175">
        <v>1</v>
      </c>
      <c r="AM114" s="168"/>
    </row>
    <row hidden="true" r="115">
      <c r="A115" s="152"/>
      <c r="B115" s="176" t="s">
        <v>137</v>
      </c>
      <c r="C115" s="176"/>
      <c r="D115" s="176">
        <f>SUM(D110:D114)</f>
      </c>
      <c r="E115" s="176">
        <f>SUM(E110:E114)</f>
      </c>
      <c r="F115" s="176">
        <f>SUM(F110:F114)</f>
      </c>
      <c r="G115" s="176">
        <f>SUM(G110:G114)</f>
      </c>
      <c r="H115" s="176">
        <f>SUM(H110:H114)</f>
      </c>
      <c r="I115" s="176">
        <f>SUM(I110:I114)</f>
      </c>
      <c r="J115" s="176">
        <f>SUM(J110:J114)</f>
      </c>
      <c r="K115" s="176">
        <f>SUM(K110:K114)</f>
      </c>
      <c r="L115" s="176">
        <f>SUM(L110:L114)</f>
      </c>
      <c r="M115" s="176">
        <f>SUM(M110:M114)</f>
      </c>
      <c r="N115" s="177">
        <f t="shared" si="10"/>
      </c>
      <c r="O115" s="177">
        <f t="shared" si="173"/>
      </c>
      <c r="P115" s="178">
        <f t="shared" si="115"/>
      </c>
      <c r="Q115" s="179">
        <f t="shared" si="289"/>
      </c>
      <c r="R115" s="180">
        <f t="shared" si="231"/>
      </c>
      <c r="S115" s="179">
        <f t="shared" si="318"/>
      </c>
      <c r="T115" s="179">
        <f t="shared" si="434"/>
      </c>
      <c r="U115" s="180">
        <f t="shared" si="376"/>
      </c>
      <c r="V115" s="179">
        <f t="shared" si="144"/>
      </c>
      <c r="W115" s="179">
        <f t="shared" si="86"/>
      </c>
      <c r="X115" s="180">
        <f t="shared" si="260"/>
      </c>
      <c r="Y115" s="181">
        <f t="shared" si="202"/>
      </c>
      <c r="Z115" s="180">
        <f t="shared" si="405"/>
      </c>
      <c r="AA115" s="182">
        <f t="shared" si="347"/>
      </c>
      <c r="AB115" s="182"/>
      <c r="AC115" s="182"/>
      <c r="AD115" s="176">
        <f>SUM(AD110:AD114)</f>
      </c>
      <c r="AE115" s="176">
        <f>SUM(AE110:AE114)</f>
      </c>
      <c r="AF115" s="176">
        <f>SUM(AF110:AF114)</f>
      </c>
      <c r="AG115" s="176">
        <f>SUM(AG110:AG114)</f>
      </c>
      <c r="AH115" s="176">
        <f>SUM(AH110:AH114)</f>
      </c>
      <c r="AI115" s="176">
        <f>SUM(AI110:AI114)</f>
      </c>
      <c r="AJ115" s="176">
        <f>SUM(AJ110:AJ114)</f>
      </c>
      <c r="AK115" s="176">
        <f>SUM(AK110:AK114)</f>
      </c>
      <c r="AL115" s="176">
        <f>SUM(AL110:AL114)</f>
      </c>
      <c r="AM115" s="168"/>
    </row>
    <row hidden="true" r="116">
      <c r="A116" s="152"/>
      <c r="B116" s="171" t="s">
        <v>140</v>
      </c>
      <c r="C116" s="153" t="s">
        <v>139</v>
      </c>
      <c r="D116" s="153">
        <f t="shared" ref="D116:D118" si="43">E116+F116+G116+H116</f>
      </c>
      <c r="E116" s="156">
        <v>2244.04</v>
      </c>
      <c r="F116" s="158">
        <v>325.48</v>
      </c>
      <c r="G116" s="153"/>
      <c r="H116" s="156">
        <v>624</v>
      </c>
      <c r="I116" s="153">
        <v>2</v>
      </c>
      <c r="J116" s="153">
        <v>4536</v>
      </c>
      <c r="K116" s="156">
        <v>0</v>
      </c>
      <c r="L116" s="156">
        <v>0</v>
      </c>
      <c r="M116" s="156">
        <v>2</v>
      </c>
      <c r="N116" s="159">
        <f t="shared" si="10"/>
      </c>
      <c r="O116" s="159">
        <f t="shared" si="173"/>
      </c>
      <c r="P116" s="160">
        <f t="shared" si="115"/>
      </c>
      <c r="Q116" s="161">
        <f t="shared" si="289"/>
      </c>
      <c r="R116" s="162">
        <f t="shared" si="231"/>
      </c>
      <c r="S116" s="161">
        <f t="shared" si="318"/>
      </c>
      <c r="T116" s="161">
        <f t="shared" si="434"/>
      </c>
      <c r="U116" s="162">
        <f t="shared" si="376"/>
      </c>
      <c r="V116" s="161">
        <f t="shared" si="144"/>
      </c>
      <c r="W116" s="161">
        <f t="shared" si="86"/>
      </c>
      <c r="X116" s="162">
        <f t="shared" si="260"/>
      </c>
      <c r="Y116" s="163">
        <f t="shared" si="202"/>
      </c>
      <c r="Z116" s="162">
        <f t="shared" si="405"/>
      </c>
      <c r="AA116" s="164">
        <f t="shared" si="347"/>
      </c>
      <c r="AB116" s="165" t="s">
        <v>132</v>
      </c>
      <c r="AC116" s="200" t="s">
        <v>161</v>
      </c>
      <c r="AD116" s="185">
        <v>2</v>
      </c>
      <c r="AE116" s="167">
        <v>8323</v>
      </c>
      <c r="AF116" s="167">
        <v>314</v>
      </c>
      <c r="AG116" s="167">
        <v>407</v>
      </c>
      <c r="AH116" s="167">
        <v>85</v>
      </c>
      <c r="AI116" s="167">
        <v>33</v>
      </c>
      <c r="AJ116" s="175">
        <v>6</v>
      </c>
      <c r="AK116" s="175">
        <v>18</v>
      </c>
      <c r="AL116" s="175">
        <v>1</v>
      </c>
      <c r="AM116" s="168"/>
    </row>
    <row customHeight="true" hidden="true" ht="18.452380952380953" r="117">
      <c r="A117" s="152"/>
      <c r="B117" s="156" t="s">
        <v>141</v>
      </c>
      <c r="C117" s="153" t="s">
        <v>139</v>
      </c>
      <c r="D117" s="154">
        <f t="shared" si="43"/>
      </c>
      <c r="E117" s="186">
        <v>1768.43</v>
      </c>
      <c r="F117" s="158">
        <v>422.72</v>
      </c>
      <c r="G117" s="153"/>
      <c r="H117" s="156">
        <v>591.1</v>
      </c>
      <c r="I117" s="153">
        <v>4</v>
      </c>
      <c r="J117" s="153">
        <v>5764</v>
      </c>
      <c r="K117" s="156">
        <v>1</v>
      </c>
      <c r="L117" s="156">
        <v>1</v>
      </c>
      <c r="M117" s="156">
        <v>2</v>
      </c>
      <c r="N117" s="159">
        <f t="shared" si="10"/>
      </c>
      <c r="O117" s="159">
        <f t="shared" si="173"/>
      </c>
      <c r="P117" s="160">
        <f t="shared" si="115"/>
      </c>
      <c r="Q117" s="161">
        <f t="shared" si="289"/>
      </c>
      <c r="R117" s="162">
        <f t="shared" si="231"/>
      </c>
      <c r="S117" s="161">
        <f t="shared" si="318"/>
      </c>
      <c r="T117" s="161">
        <f t="shared" si="434"/>
      </c>
      <c r="U117" s="162">
        <f t="shared" si="376"/>
      </c>
      <c r="V117" s="161">
        <f t="shared" si="144"/>
      </c>
      <c r="W117" s="161">
        <f t="shared" si="86"/>
      </c>
      <c r="X117" s="162">
        <f t="shared" si="260"/>
      </c>
      <c r="Y117" s="163">
        <f t="shared" si="202"/>
      </c>
      <c r="Z117" s="162">
        <f t="shared" si="405"/>
      </c>
      <c r="AA117" s="164">
        <f t="shared" si="347"/>
      </c>
      <c r="AB117" s="165" t="s">
        <v>132</v>
      </c>
      <c r="AC117" s="200" t="s">
        <v>161</v>
      </c>
      <c r="AD117" s="185">
        <v>3</v>
      </c>
      <c r="AE117" s="167">
        <v>6871</v>
      </c>
      <c r="AF117" s="167">
        <v>311</v>
      </c>
      <c r="AG117" s="167">
        <v>403</v>
      </c>
      <c r="AH117" s="167">
        <v>82</v>
      </c>
      <c r="AI117" s="167">
        <v>24</v>
      </c>
      <c r="AJ117" s="167">
        <v>6</v>
      </c>
      <c r="AK117" s="167">
        <v>19</v>
      </c>
      <c r="AL117" s="175">
        <v>1</v>
      </c>
      <c r="AM117" s="168"/>
    </row>
    <row customHeight="true" hidden="true" ht="18.452380952380953" r="118">
      <c r="A118" s="152"/>
      <c r="B118" s="156" t="s">
        <v>150</v>
      </c>
      <c r="C118" s="153" t="s">
        <v>139</v>
      </c>
      <c r="D118" s="154">
        <f t="shared" si="43"/>
      </c>
      <c r="E118" s="186">
        <v>2106.96</v>
      </c>
      <c r="F118" s="158">
        <v>407.73</v>
      </c>
      <c r="G118" s="153"/>
      <c r="H118" s="156">
        <v>176.32</v>
      </c>
      <c r="I118" s="153">
        <v>2</v>
      </c>
      <c r="J118" s="153">
        <v>3028</v>
      </c>
      <c r="K118" s="187">
        <v>0</v>
      </c>
      <c r="L118" s="156">
        <v>1</v>
      </c>
      <c r="M118" s="156">
        <v>1</v>
      </c>
      <c r="N118" s="159">
        <f t="shared" si="10"/>
      </c>
      <c r="O118" s="159">
        <f t="shared" si="173"/>
      </c>
      <c r="P118" s="160">
        <f t="shared" si="115"/>
      </c>
      <c r="Q118" s="161">
        <f t="shared" si="289"/>
      </c>
      <c r="R118" s="162">
        <f t="shared" si="231"/>
      </c>
      <c r="S118" s="161">
        <f t="shared" si="318"/>
      </c>
      <c r="T118" s="161">
        <f t="shared" si="434"/>
      </c>
      <c r="U118" s="162">
        <f t="shared" si="376"/>
      </c>
      <c r="V118" s="161">
        <f t="shared" si="144"/>
      </c>
      <c r="W118" s="161">
        <f t="shared" si="86"/>
      </c>
      <c r="X118" s="162">
        <f t="shared" si="260"/>
      </c>
      <c r="Y118" s="163">
        <f t="shared" si="202"/>
      </c>
      <c r="Z118" s="162">
        <f t="shared" si="405"/>
      </c>
      <c r="AA118" s="164">
        <f t="shared" si="347"/>
      </c>
      <c r="AB118" s="165" t="s">
        <v>132</v>
      </c>
      <c r="AC118" s="200" t="s">
        <v>161</v>
      </c>
      <c r="AD118" s="185">
        <v>1</v>
      </c>
      <c r="AE118" s="167">
        <v>8071</v>
      </c>
      <c r="AF118" s="167">
        <v>331</v>
      </c>
      <c r="AG118" s="167">
        <v>444</v>
      </c>
      <c r="AH118" s="167">
        <v>93</v>
      </c>
      <c r="AI118" s="167">
        <v>21</v>
      </c>
      <c r="AJ118" s="175">
        <v>10</v>
      </c>
      <c r="AK118" s="175">
        <v>20</v>
      </c>
      <c r="AL118" s="175">
        <v>1</v>
      </c>
      <c r="AM118" s="168"/>
    </row>
    <row hidden="true" r="119">
      <c r="A119" s="152"/>
      <c r="B119" s="176" t="s">
        <v>137</v>
      </c>
      <c r="C119" s="176"/>
      <c r="D119" s="176">
        <f>SUM(D116:D118)</f>
      </c>
      <c r="E119" s="176">
        <f>SUM(E116:E118)</f>
      </c>
      <c r="F119" s="176">
        <f>SUM(F116:F118)</f>
      </c>
      <c r="G119" s="176">
        <f>SUM(G116:G118)</f>
      </c>
      <c r="H119" s="176">
        <f>SUM(H116:H118)</f>
      </c>
      <c r="I119" s="176">
        <f>SUM(I116:I118)</f>
      </c>
      <c r="J119" s="176">
        <f>SUM(J116:J118)</f>
      </c>
      <c r="K119" s="176">
        <f>SUM(K116:K118)</f>
      </c>
      <c r="L119" s="176">
        <f>SUM(L116:L118)</f>
      </c>
      <c r="M119" s="176">
        <f>SUM(M116:M118)</f>
      </c>
      <c r="N119" s="177">
        <f t="shared" si="10"/>
      </c>
      <c r="O119" s="177">
        <f t="shared" si="173"/>
      </c>
      <c r="P119" s="188">
        <f t="shared" si="115"/>
      </c>
      <c r="Q119" s="179">
        <f t="shared" si="289"/>
      </c>
      <c r="R119" s="180">
        <f t="shared" si="231"/>
      </c>
      <c r="S119" s="179">
        <f t="shared" si="318"/>
      </c>
      <c r="T119" s="179">
        <f t="shared" si="434"/>
      </c>
      <c r="U119" s="180">
        <f t="shared" si="376"/>
      </c>
      <c r="V119" s="179">
        <f t="shared" si="144"/>
      </c>
      <c r="W119" s="179">
        <f t="shared" si="86"/>
      </c>
      <c r="X119" s="180">
        <f t="shared" si="260"/>
      </c>
      <c r="Y119" s="181">
        <f t="shared" si="202"/>
      </c>
      <c r="Z119" s="180">
        <f t="shared" si="405"/>
      </c>
      <c r="AA119" s="182">
        <f t="shared" si="347"/>
      </c>
      <c r="AB119" s="182"/>
      <c r="AC119" s="189"/>
      <c r="AD119" s="190">
        <f>SUM(AD116:AD118)</f>
      </c>
      <c r="AE119" s="190">
        <f>SUM(AE116:AE118)</f>
      </c>
      <c r="AF119" s="190">
        <f>SUM(AF116:AF118)</f>
      </c>
      <c r="AG119" s="190">
        <f>SUM(AG116:AG118)</f>
      </c>
      <c r="AH119" s="190">
        <f>SUM(AH116:AH118)</f>
      </c>
      <c r="AI119" s="190">
        <f>SUM(AI116:AI118)</f>
      </c>
      <c r="AJ119" s="190">
        <f>SUM(AJ116:AJ118)</f>
      </c>
      <c r="AK119" s="190">
        <f>SUM(AK116:AK118)</f>
      </c>
      <c r="AL119" s="190">
        <f>SUM(AL116:AL118)</f>
      </c>
      <c r="AM119" s="191" t="s">
        <v>142</v>
      </c>
    </row>
    <row hidden="true" r="120">
      <c r="A120" s="152"/>
      <c r="B120" s="192" t="s">
        <v>143</v>
      </c>
      <c r="C120" s="192"/>
      <c r="D120" s="192">
        <f>D115+D119</f>
      </c>
      <c r="E120" s="192">
        <f>E115+E119</f>
      </c>
      <c r="F120" s="192">
        <f>F115+F119</f>
      </c>
      <c r="G120" s="192">
        <f>G115+G119</f>
      </c>
      <c r="H120" s="192">
        <f>H115+H119</f>
      </c>
      <c r="I120" s="192">
        <f>I115+I119</f>
      </c>
      <c r="J120" s="192">
        <f>J115+J119</f>
      </c>
      <c r="K120" s="192">
        <f>K115+K119</f>
      </c>
      <c r="L120" s="192">
        <f>L115+L119</f>
      </c>
      <c r="M120" s="192">
        <f>M115+M119</f>
      </c>
      <c r="N120" s="193">
        <f t="shared" si="10"/>
      </c>
      <c r="O120" s="193">
        <f t="shared" si="173"/>
      </c>
      <c r="P120" s="194">
        <f t="shared" si="115"/>
      </c>
      <c r="Q120" s="195">
        <f t="shared" si="289"/>
      </c>
      <c r="R120" s="193">
        <f t="shared" si="231"/>
      </c>
      <c r="S120" s="195">
        <f t="shared" si="318"/>
      </c>
      <c r="T120" s="195">
        <f t="shared" si="434"/>
      </c>
      <c r="U120" s="193">
        <f t="shared" si="376"/>
      </c>
      <c r="V120" s="195">
        <f t="shared" si="144"/>
      </c>
      <c r="W120" s="195">
        <f t="shared" si="86"/>
      </c>
      <c r="X120" s="193">
        <f t="shared" si="260"/>
      </c>
      <c r="Y120" s="196">
        <f t="shared" si="202"/>
      </c>
      <c r="Z120" s="193">
        <f t="shared" si="405"/>
      </c>
      <c r="AA120" s="194">
        <f t="shared" si="347"/>
      </c>
      <c r="AB120" s="194"/>
      <c r="AC120" s="194"/>
      <c r="AD120" s="197">
        <f>AD115+AD119</f>
      </c>
      <c r="AE120" s="197">
        <f>AE115+AE119</f>
      </c>
      <c r="AF120" s="197">
        <f>AF115+AF119</f>
      </c>
      <c r="AG120" s="197">
        <f>AG115+AG119</f>
      </c>
      <c r="AH120" s="197">
        <f>AH115+AH119</f>
      </c>
      <c r="AI120" s="197">
        <f>AI115+AI119</f>
      </c>
      <c r="AJ120" s="197">
        <f>AJ115+AJ119</f>
      </c>
      <c r="AK120" s="197">
        <f>AK115+AK119</f>
      </c>
      <c r="AL120" s="197">
        <f>AL115+AL119</f>
      </c>
      <c r="AM120" s="191"/>
    </row>
    <row hidden="true" r="121">
      <c r="A121" s="134" t="s">
        <v>87</v>
      </c>
      <c r="B121" s="134"/>
      <c r="C121" s="134"/>
      <c r="D121" s="135" t="s">
        <v>88</v>
      </c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6" t="s">
        <v>89</v>
      </c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  <c r="AA121" s="136"/>
      <c r="AB121" s="136"/>
      <c r="AC121" s="136"/>
      <c r="AD121" s="137" t="s">
        <v>90</v>
      </c>
      <c r="AE121" s="137"/>
      <c r="AF121" s="137"/>
      <c r="AG121" s="137"/>
      <c r="AH121" s="137"/>
      <c r="AI121" s="137"/>
      <c r="AJ121" s="137"/>
      <c r="AK121" s="137"/>
      <c r="AL121" s="137"/>
      <c r="AM121" s="138"/>
    </row>
    <row hidden="true" r="122">
      <c r="A122" s="139" t="s">
        <v>91</v>
      </c>
      <c r="B122" s="140" t="s">
        <v>92</v>
      </c>
      <c r="C122" s="140" t="s">
        <v>93</v>
      </c>
      <c r="D122" s="141" t="s">
        <v>94</v>
      </c>
      <c r="E122" s="142" t="s">
        <v>95</v>
      </c>
      <c r="F122" s="142" t="s">
        <v>96</v>
      </c>
      <c r="G122" s="143" t="s">
        <v>97</v>
      </c>
      <c r="H122" s="215" t="s">
        <v>98</v>
      </c>
      <c r="I122" s="219" t="s">
        <v>99</v>
      </c>
      <c r="J122" s="206" t="s">
        <v>100</v>
      </c>
      <c r="K122" s="135" t="s">
        <v>101</v>
      </c>
      <c r="L122" s="146" t="s">
        <v>102</v>
      </c>
      <c r="M122" s="146" t="s">
        <v>103</v>
      </c>
      <c r="N122" s="143" t="s">
        <v>104</v>
      </c>
      <c r="O122" s="146" t="s">
        <v>105</v>
      </c>
      <c r="P122" s="136" t="s">
        <v>106</v>
      </c>
      <c r="Q122" s="136" t="s">
        <v>107</v>
      </c>
      <c r="R122" s="136" t="s">
        <v>108</v>
      </c>
      <c r="S122" s="147" t="s">
        <v>109</v>
      </c>
      <c r="T122" s="147" t="s">
        <v>110</v>
      </c>
      <c r="U122" s="136" t="s">
        <v>111</v>
      </c>
      <c r="V122" s="147" t="s">
        <v>112</v>
      </c>
      <c r="W122" s="147" t="s">
        <v>113</v>
      </c>
      <c r="X122" s="136" t="s">
        <v>114</v>
      </c>
      <c r="Y122" s="147" t="s">
        <v>115</v>
      </c>
      <c r="Z122" s="136" t="s">
        <v>116</v>
      </c>
      <c r="AA122" s="148" t="s">
        <v>117</v>
      </c>
      <c r="AB122" s="148" t="s">
        <v>118</v>
      </c>
      <c r="AC122" s="220" t="s">
        <v>119</v>
      </c>
      <c r="AD122" s="149" t="s">
        <v>120</v>
      </c>
      <c r="AE122" s="150" t="s">
        <v>121</v>
      </c>
      <c r="AF122" s="150" t="s">
        <v>122</v>
      </c>
      <c r="AG122" s="150" t="s">
        <v>123</v>
      </c>
      <c r="AH122" s="150" t="s">
        <v>124</v>
      </c>
      <c r="AI122" s="150" t="s">
        <v>125</v>
      </c>
      <c r="AJ122" s="151" t="s">
        <v>126</v>
      </c>
      <c r="AK122" s="151" t="s">
        <v>127</v>
      </c>
      <c r="AL122" s="151" t="s">
        <v>128</v>
      </c>
      <c r="AM122" s="138"/>
    </row>
    <row hidden="true" r="123">
      <c r="A123" s="152" t="s">
        <v>162</v>
      </c>
      <c r="B123" s="153" t="s">
        <v>130</v>
      </c>
      <c r="C123" s="156" t="s">
        <v>131</v>
      </c>
      <c r="D123" s="154">
        <f t="shared" ref="D123:D125" si="44">E123+F123+G123+H123</f>
      </c>
      <c r="E123" s="155">
        <v>2702.16</v>
      </c>
      <c r="F123" s="156">
        <v>469.98</v>
      </c>
      <c r="G123" s="157"/>
      <c r="H123" s="155">
        <v>562.9</v>
      </c>
      <c r="I123" s="208">
        <v>5</v>
      </c>
      <c r="J123" s="158">
        <v>7380</v>
      </c>
      <c r="K123" s="156">
        <v>0</v>
      </c>
      <c r="L123" s="156">
        <v>3</v>
      </c>
      <c r="M123" s="208">
        <v>2</v>
      </c>
      <c r="N123" s="159">
        <f t="shared" ref="N123:N131" si="11">J123/D123</f>
      </c>
      <c r="O123" s="159">
        <f t="shared" ref="O123:O131" si="174">J123/(D123+300*AL123)</f>
      </c>
      <c r="P123" s="160">
        <f t="shared" ref="P123:P131" si="116">(D123/AE123)*1000</f>
      </c>
      <c r="Q123" s="161">
        <f t="shared" ref="Q123:Q131" si="290">AF123/AE123</f>
      </c>
      <c r="R123" s="162">
        <f t="shared" ref="R123:R131" si="232">D123/AG123</f>
      </c>
      <c r="S123" s="161">
        <f t="shared" ref="S123:S131" si="319">AH123/AG123</f>
      </c>
      <c r="T123" s="161">
        <f t="shared" ref="T123:T131" si="435">AI123/AG123</f>
      </c>
      <c r="U123" s="162">
        <f t="shared" ref="U123:U131" si="377">D123/AI123</f>
      </c>
      <c r="V123" s="161">
        <f t="shared" ref="V123:V131" si="145">AJ123/AI123</f>
      </c>
      <c r="W123" s="161">
        <f t="shared" ref="W123:W131" si="87">I123/AJ123</f>
      </c>
      <c r="X123" s="162">
        <f t="shared" ref="X123:X131" si="261">D123/I123</f>
      </c>
      <c r="Y123" s="163">
        <f t="shared" ref="Y123:Y131" si="203">J123/I123</f>
      </c>
      <c r="Z123" s="162">
        <f t="shared" ref="Z123:Z131" si="406">D123/AD123</f>
      </c>
      <c r="AA123" s="164">
        <f t="shared" ref="AA123:AA131" si="348">AK123*1000/D123</f>
      </c>
      <c r="AB123" s="199" t="s">
        <v>132</v>
      </c>
      <c r="AC123" s="228" t="s">
        <v>133</v>
      </c>
      <c r="AD123" s="209">
        <v>5</v>
      </c>
      <c r="AE123" s="157">
        <v>10488</v>
      </c>
      <c r="AF123" s="157">
        <v>476</v>
      </c>
      <c r="AG123" s="157">
        <v>642</v>
      </c>
      <c r="AH123" s="157">
        <v>134</v>
      </c>
      <c r="AI123" s="153">
        <v>31</v>
      </c>
      <c r="AJ123" s="158">
        <v>10</v>
      </c>
      <c r="AK123" s="156">
        <v>23</v>
      </c>
      <c r="AL123" s="175">
        <v>1</v>
      </c>
      <c r="AM123" s="168"/>
    </row>
    <row hidden="true" r="124">
      <c r="A124" s="152"/>
      <c r="B124" s="169" t="s">
        <v>134</v>
      </c>
      <c r="C124" s="186" t="s">
        <v>131</v>
      </c>
      <c r="D124" s="153">
        <f t="shared" si="44"/>
      </c>
      <c r="E124" s="158">
        <v>3141.93</v>
      </c>
      <c r="F124" s="170">
        <v>460.87</v>
      </c>
      <c r="G124" s="153"/>
      <c r="H124" s="156">
        <v>541.57</v>
      </c>
      <c r="I124" s="156">
        <v>4</v>
      </c>
      <c r="J124" s="184">
        <v>6353</v>
      </c>
      <c r="K124" s="156">
        <v>0</v>
      </c>
      <c r="L124" s="156">
        <v>2</v>
      </c>
      <c r="M124" s="156">
        <v>2</v>
      </c>
      <c r="N124" s="159">
        <f t="shared" si="11"/>
      </c>
      <c r="O124" s="159">
        <f t="shared" si="174"/>
      </c>
      <c r="P124" s="160">
        <f t="shared" si="116"/>
      </c>
      <c r="Q124" s="161">
        <f t="shared" si="290"/>
      </c>
      <c r="R124" s="162">
        <f t="shared" si="232"/>
      </c>
      <c r="S124" s="161">
        <f t="shared" si="319"/>
      </c>
      <c r="T124" s="161">
        <f t="shared" si="435"/>
      </c>
      <c r="U124" s="162">
        <f t="shared" si="377"/>
      </c>
      <c r="V124" s="161">
        <f t="shared" si="145"/>
      </c>
      <c r="W124" s="161">
        <f t="shared" si="87"/>
      </c>
      <c r="X124" s="162">
        <f t="shared" si="261"/>
      </c>
      <c r="Y124" s="163">
        <f t="shared" si="203"/>
      </c>
      <c r="Z124" s="162">
        <f t="shared" si="406"/>
      </c>
      <c r="AA124" s="164">
        <f t="shared" si="348"/>
      </c>
      <c r="AB124" s="199" t="s">
        <v>132</v>
      </c>
      <c r="AC124" s="228" t="s">
        <v>133</v>
      </c>
      <c r="AD124" s="209">
        <v>4</v>
      </c>
      <c r="AE124" s="172">
        <v>13159</v>
      </c>
      <c r="AF124" s="157">
        <v>454</v>
      </c>
      <c r="AG124" s="171">
        <v>691</v>
      </c>
      <c r="AH124" s="153">
        <v>122</v>
      </c>
      <c r="AI124" s="153">
        <v>28</v>
      </c>
      <c r="AJ124" s="222">
        <v>9</v>
      </c>
      <c r="AK124" s="223">
        <v>11</v>
      </c>
      <c r="AL124" s="175">
        <v>1</v>
      </c>
      <c r="AM124" s="168"/>
    </row>
    <row hidden="true" r="125">
      <c r="A125" s="152"/>
      <c r="B125" s="169" t="s">
        <v>135</v>
      </c>
      <c r="C125" s="186" t="s">
        <v>131</v>
      </c>
      <c r="D125" s="153">
        <f t="shared" si="44"/>
      </c>
      <c r="E125" s="158">
        <v>4169.3</v>
      </c>
      <c r="F125" s="158">
        <v>290.85</v>
      </c>
      <c r="G125" s="153"/>
      <c r="H125" s="156">
        <v>408.14</v>
      </c>
      <c r="I125" s="156">
        <v>2</v>
      </c>
      <c r="J125" s="153">
        <v>4536</v>
      </c>
      <c r="K125" s="156">
        <v>0</v>
      </c>
      <c r="L125" s="156">
        <v>0</v>
      </c>
      <c r="M125" s="156">
        <v>2</v>
      </c>
      <c r="N125" s="159">
        <f t="shared" si="11"/>
      </c>
      <c r="O125" s="159">
        <f t="shared" si="174"/>
      </c>
      <c r="P125" s="160">
        <f t="shared" si="116"/>
      </c>
      <c r="Q125" s="161">
        <f t="shared" si="290"/>
      </c>
      <c r="R125" s="162">
        <f t="shared" si="232"/>
      </c>
      <c r="S125" s="161">
        <f t="shared" si="319"/>
      </c>
      <c r="T125" s="161">
        <f t="shared" si="435"/>
      </c>
      <c r="U125" s="162">
        <f t="shared" si="377"/>
      </c>
      <c r="V125" s="161">
        <f t="shared" si="145"/>
      </c>
      <c r="W125" s="161">
        <f t="shared" si="87"/>
      </c>
      <c r="X125" s="162">
        <f t="shared" si="261"/>
      </c>
      <c r="Y125" s="163">
        <f t="shared" si="203"/>
      </c>
      <c r="Z125" s="162">
        <f t="shared" si="406"/>
      </c>
      <c r="AA125" s="164">
        <f t="shared" si="348"/>
      </c>
      <c r="AB125" s="199" t="s">
        <v>132</v>
      </c>
      <c r="AC125" s="228" t="s">
        <v>133</v>
      </c>
      <c r="AD125" s="229">
        <v>2</v>
      </c>
      <c r="AE125" s="221">
        <v>14780</v>
      </c>
      <c r="AF125" s="157">
        <v>468</v>
      </c>
      <c r="AG125" s="153">
        <v>662</v>
      </c>
      <c r="AH125" s="153">
        <v>145</v>
      </c>
      <c r="AI125" s="207">
        <v>29</v>
      </c>
      <c r="AJ125" s="208">
        <v>6</v>
      </c>
      <c r="AK125" s="208">
        <v>17</v>
      </c>
      <c r="AL125" s="226">
        <v>1</v>
      </c>
      <c r="AM125" s="168"/>
    </row>
    <row hidden="true" r="126">
      <c r="A126" s="152"/>
      <c r="B126" s="176" t="s">
        <v>137</v>
      </c>
      <c r="C126" s="176"/>
      <c r="D126" s="176">
        <f>SUM(D123:D125)</f>
      </c>
      <c r="E126" s="176">
        <f>SUM(E123:E125)</f>
      </c>
      <c r="F126" s="176">
        <f>SUM(F123:F125)</f>
      </c>
      <c r="G126" s="176">
        <f>SUM(G123:G125)</f>
      </c>
      <c r="H126" s="176">
        <f>SUM(H123:H125)</f>
      </c>
      <c r="I126" s="176">
        <f>SUM(I123:I125)</f>
      </c>
      <c r="J126" s="176">
        <f>SUM(J123:J125)</f>
      </c>
      <c r="K126" s="176">
        <f>SUM(K123:K125)</f>
      </c>
      <c r="L126" s="176">
        <f>SUM(L123:L125)</f>
      </c>
      <c r="M126" s="176">
        <f>SUM(M123:M125)</f>
      </c>
      <c r="N126" s="177">
        <f t="shared" si="11"/>
      </c>
      <c r="O126" s="177">
        <f t="shared" si="174"/>
      </c>
      <c r="P126" s="178">
        <f t="shared" si="116"/>
      </c>
      <c r="Q126" s="179">
        <f t="shared" si="290"/>
      </c>
      <c r="R126" s="180">
        <f t="shared" si="232"/>
      </c>
      <c r="S126" s="179">
        <f t="shared" si="319"/>
      </c>
      <c r="T126" s="179">
        <f t="shared" si="435"/>
      </c>
      <c r="U126" s="180">
        <f t="shared" si="377"/>
      </c>
      <c r="V126" s="179">
        <f t="shared" si="145"/>
      </c>
      <c r="W126" s="179">
        <f t="shared" si="87"/>
      </c>
      <c r="X126" s="180">
        <f t="shared" si="261"/>
      </c>
      <c r="Y126" s="181">
        <f t="shared" si="203"/>
      </c>
      <c r="Z126" s="180">
        <f t="shared" si="406"/>
      </c>
      <c r="AA126" s="182">
        <f t="shared" si="348"/>
      </c>
      <c r="AB126" s="182"/>
      <c r="AC126" s="182"/>
      <c r="AD126" s="176">
        <f>SUM(AD123:AD125)</f>
      </c>
      <c r="AE126" s="176">
        <f>SUM(AE123:AE125)</f>
      </c>
      <c r="AF126" s="176">
        <f>SUM(AF123:AF125)</f>
      </c>
      <c r="AG126" s="176">
        <f>SUM(AG123:AG125)</f>
      </c>
      <c r="AH126" s="176">
        <f>SUM(AH123:AH125)</f>
      </c>
      <c r="AI126" s="176">
        <f>SUM(AI123:AI125)</f>
      </c>
      <c r="AJ126" s="176">
        <f>SUM(AJ123:AJ125)</f>
      </c>
      <c r="AK126" s="176">
        <f>SUM(AK123:AK125)</f>
      </c>
      <c r="AL126" s="176">
        <f>SUM(AL123:AL125)</f>
      </c>
      <c r="AM126" s="168"/>
    </row>
    <row customHeight="true" hidden="true" ht="18.452380952380953" r="127">
      <c r="A127" s="152"/>
      <c r="B127" s="155" t="s">
        <v>150</v>
      </c>
      <c r="C127" s="186" t="s">
        <v>139</v>
      </c>
      <c r="D127" s="153">
        <f t="shared" ref="D127:D129" si="45">E127+F127+G127+H127</f>
      </c>
      <c r="E127" s="158">
        <v>2552.31</v>
      </c>
      <c r="F127" s="158">
        <v>262.58</v>
      </c>
      <c r="G127" s="153"/>
      <c r="H127" s="156">
        <v>521.81</v>
      </c>
      <c r="I127" s="184">
        <v>5</v>
      </c>
      <c r="J127" s="171">
        <v>9052</v>
      </c>
      <c r="K127" s="156">
        <v>0</v>
      </c>
      <c r="L127" s="156">
        <v>0</v>
      </c>
      <c r="M127" s="156">
        <v>4</v>
      </c>
      <c r="N127" s="159">
        <f t="shared" si="11"/>
      </c>
      <c r="O127" s="159">
        <f t="shared" si="174"/>
      </c>
      <c r="P127" s="160">
        <f t="shared" si="116"/>
      </c>
      <c r="Q127" s="161">
        <f t="shared" si="290"/>
      </c>
      <c r="R127" s="162">
        <f t="shared" si="232"/>
      </c>
      <c r="S127" s="161">
        <f t="shared" si="319"/>
      </c>
      <c r="T127" s="161">
        <f t="shared" si="435"/>
      </c>
      <c r="U127" s="162">
        <f t="shared" si="377"/>
      </c>
      <c r="V127" s="161">
        <f t="shared" si="145"/>
      </c>
      <c r="W127" s="161">
        <f t="shared" si="87"/>
      </c>
      <c r="X127" s="162">
        <f t="shared" si="261"/>
      </c>
      <c r="Y127" s="163">
        <f t="shared" si="203"/>
      </c>
      <c r="Z127" s="162">
        <f t="shared" si="406"/>
      </c>
      <c r="AA127" s="164">
        <f t="shared" si="348"/>
      </c>
      <c r="AB127" s="199" t="s">
        <v>132</v>
      </c>
      <c r="AC127" s="228" t="s">
        <v>133</v>
      </c>
      <c r="AD127" s="209">
        <v>5</v>
      </c>
      <c r="AE127" s="172">
        <v>11026</v>
      </c>
      <c r="AF127" s="157">
        <v>414</v>
      </c>
      <c r="AG127" s="171">
        <v>543</v>
      </c>
      <c r="AH127" s="153">
        <v>134</v>
      </c>
      <c r="AI127" s="153">
        <v>38</v>
      </c>
      <c r="AJ127" s="222">
        <v>16</v>
      </c>
      <c r="AK127" s="223">
        <v>18</v>
      </c>
      <c r="AL127" s="175">
        <v>1</v>
      </c>
      <c r="AM127" s="168"/>
    </row>
    <row customHeight="true" hidden="true" ht="18.452380952380953" r="128">
      <c r="A128" s="152"/>
      <c r="B128" s="155" t="s">
        <v>163</v>
      </c>
      <c r="C128" s="186" t="s">
        <v>139</v>
      </c>
      <c r="D128" s="153">
        <f t="shared" si="45"/>
      </c>
      <c r="E128" s="158">
        <v>2265.49</v>
      </c>
      <c r="F128" s="158">
        <v>256.01</v>
      </c>
      <c r="G128" s="153"/>
      <c r="H128" s="156">
        <v>1132.3</v>
      </c>
      <c r="I128" s="171">
        <v>5</v>
      </c>
      <c r="J128" s="171">
        <v>11152</v>
      </c>
      <c r="K128" s="156">
        <v>0</v>
      </c>
      <c r="L128" s="156">
        <v>0</v>
      </c>
      <c r="M128" s="156">
        <v>5</v>
      </c>
      <c r="N128" s="159">
        <f t="shared" si="11"/>
      </c>
      <c r="O128" s="159">
        <f t="shared" si="174"/>
      </c>
      <c r="P128" s="160">
        <f t="shared" si="116"/>
      </c>
      <c r="Q128" s="161">
        <f t="shared" si="290"/>
      </c>
      <c r="R128" s="162">
        <f t="shared" si="232"/>
      </c>
      <c r="S128" s="161">
        <f t="shared" si="319"/>
      </c>
      <c r="T128" s="161">
        <f t="shared" si="435"/>
      </c>
      <c r="U128" s="162">
        <f t="shared" si="377"/>
      </c>
      <c r="V128" s="161">
        <f t="shared" si="145"/>
      </c>
      <c r="W128" s="161">
        <f t="shared" si="87"/>
      </c>
      <c r="X128" s="162">
        <f t="shared" si="261"/>
      </c>
      <c r="Y128" s="163">
        <f t="shared" si="203"/>
      </c>
      <c r="Z128" s="162">
        <f t="shared" si="406"/>
      </c>
      <c r="AA128" s="164">
        <f t="shared" si="348"/>
      </c>
      <c r="AB128" s="199" t="s">
        <v>132</v>
      </c>
      <c r="AC128" s="228" t="s">
        <v>164</v>
      </c>
      <c r="AD128" s="218">
        <v>5</v>
      </c>
      <c r="AE128" s="221">
        <v>10679</v>
      </c>
      <c r="AF128" s="157">
        <v>364</v>
      </c>
      <c r="AG128" s="153">
        <v>513</v>
      </c>
      <c r="AH128" s="153">
        <v>126</v>
      </c>
      <c r="AI128" s="207">
        <v>29</v>
      </c>
      <c r="AJ128" s="208">
        <v>10</v>
      </c>
      <c r="AK128" s="208">
        <v>32</v>
      </c>
      <c r="AL128" s="226">
        <v>1</v>
      </c>
      <c r="AM128" s="168"/>
    </row>
    <row customHeight="true" hidden="true" ht="18.452380952380953" r="129">
      <c r="A129" s="152"/>
      <c r="B129" s="155" t="s">
        <v>165</v>
      </c>
      <c r="C129" s="186" t="s">
        <v>139</v>
      </c>
      <c r="D129" s="153">
        <f t="shared" si="45"/>
      </c>
      <c r="E129" s="158">
        <v>3046.68</v>
      </c>
      <c r="F129" s="158">
        <v>531.22</v>
      </c>
      <c r="G129" s="153"/>
      <c r="H129" s="156">
        <v>2242.65</v>
      </c>
      <c r="I129" s="184">
        <v>3</v>
      </c>
      <c r="J129" s="171">
        <v>5004</v>
      </c>
      <c r="K129" s="156">
        <v>1</v>
      </c>
      <c r="L129" s="156">
        <v>0</v>
      </c>
      <c r="M129" s="156">
        <v>2</v>
      </c>
      <c r="N129" s="159">
        <f t="shared" si="11"/>
      </c>
      <c r="O129" s="159">
        <f t="shared" si="174"/>
      </c>
      <c r="P129" s="160">
        <f t="shared" si="116"/>
      </c>
      <c r="Q129" s="161">
        <f t="shared" si="290"/>
      </c>
      <c r="R129" s="162">
        <f t="shared" si="232"/>
      </c>
      <c r="S129" s="161">
        <f t="shared" si="319"/>
      </c>
      <c r="T129" s="161">
        <f t="shared" si="435"/>
      </c>
      <c r="U129" s="162">
        <f t="shared" si="377"/>
      </c>
      <c r="V129" s="161">
        <f t="shared" si="145"/>
      </c>
      <c r="W129" s="161">
        <f t="shared" si="87"/>
      </c>
      <c r="X129" s="162">
        <f t="shared" si="261"/>
      </c>
      <c r="Y129" s="163">
        <f t="shared" si="203"/>
      </c>
      <c r="Z129" s="162">
        <f t="shared" si="406"/>
      </c>
      <c r="AA129" s="164">
        <f t="shared" si="348"/>
      </c>
      <c r="AB129" s="199" t="s">
        <v>132</v>
      </c>
      <c r="AC129" s="228" t="s">
        <v>164</v>
      </c>
      <c r="AD129" s="218">
        <v>3</v>
      </c>
      <c r="AE129" s="221">
        <v>19722</v>
      </c>
      <c r="AF129" s="157">
        <v>663</v>
      </c>
      <c r="AG129" s="153">
        <v>879</v>
      </c>
      <c r="AH129" s="153">
        <v>186</v>
      </c>
      <c r="AI129" s="207">
        <v>35</v>
      </c>
      <c r="AJ129" s="208">
        <v>15</v>
      </c>
      <c r="AK129" s="208">
        <v>43</v>
      </c>
      <c r="AL129" s="226">
        <v>1</v>
      </c>
      <c r="AM129" s="168"/>
    </row>
    <row customHeight="true" hidden="true" ht="18.452380952380953" r="130">
      <c r="A130" s="152"/>
      <c r="B130" s="176" t="s">
        <v>137</v>
      </c>
      <c r="C130" s="176"/>
      <c r="D130" s="176">
        <f>SUM(D127:D129)</f>
      </c>
      <c r="E130" s="176">
        <f>SUM(E127:E129)</f>
      </c>
      <c r="F130" s="176">
        <f>SUM(F127:F129)</f>
      </c>
      <c r="G130" s="176">
        <f>SUM(G127:G129)</f>
      </c>
      <c r="H130" s="176">
        <f>SUM(H127:H129)</f>
      </c>
      <c r="I130" s="176">
        <f>SUM(I127:I129)</f>
      </c>
      <c r="J130" s="176">
        <f>SUM(J127:J129)</f>
      </c>
      <c r="K130" s="176">
        <f>SUM(K127:K129)</f>
      </c>
      <c r="L130" s="176">
        <f>SUM(L127:L129)</f>
      </c>
      <c r="M130" s="176">
        <f>SUM(M127:M129)</f>
      </c>
      <c r="N130" s="177">
        <f t="shared" si="11"/>
      </c>
      <c r="O130" s="177">
        <f t="shared" si="174"/>
      </c>
      <c r="P130" s="178">
        <f t="shared" si="116"/>
      </c>
      <c r="Q130" s="179">
        <f t="shared" si="290"/>
      </c>
      <c r="R130" s="180">
        <f t="shared" si="232"/>
      </c>
      <c r="S130" s="179">
        <f t="shared" si="319"/>
      </c>
      <c r="T130" s="179">
        <f t="shared" si="435"/>
      </c>
      <c r="U130" s="180">
        <f t="shared" si="377"/>
      </c>
      <c r="V130" s="179">
        <f t="shared" si="145"/>
      </c>
      <c r="W130" s="179">
        <f t="shared" si="87"/>
      </c>
      <c r="X130" s="180">
        <f t="shared" si="261"/>
      </c>
      <c r="Y130" s="181">
        <f t="shared" si="203"/>
      </c>
      <c r="Z130" s="180">
        <f t="shared" si="406"/>
      </c>
      <c r="AA130" s="182">
        <f t="shared" si="348"/>
      </c>
      <c r="AB130" s="182"/>
      <c r="AC130" s="182"/>
      <c r="AD130" s="176">
        <f>SUM(AD127:AD129)</f>
      </c>
      <c r="AE130" s="176">
        <f>SUM(AE127:AE129)</f>
      </c>
      <c r="AF130" s="176">
        <f>SUM(AF127:AF129)</f>
      </c>
      <c r="AG130" s="176">
        <f>SUM(AG127:AG129)</f>
      </c>
      <c r="AH130" s="176">
        <f>SUM(AH127:AH129)</f>
      </c>
      <c r="AI130" s="176">
        <f>SUM(AI127:AI129)</f>
      </c>
      <c r="AJ130" s="176">
        <f>SUM(AJ127:AJ129)</f>
      </c>
      <c r="AK130" s="176">
        <f>SUM(AK127:AK129)</f>
      </c>
      <c r="AL130" s="176">
        <f>SUM(AL127:AL129)</f>
      </c>
      <c r="AM130" s="168"/>
    </row>
    <row hidden="true" r="131">
      <c r="A131" s="152"/>
      <c r="B131" s="192" t="s">
        <v>143</v>
      </c>
      <c r="C131" s="192"/>
      <c r="D131" s="192">
        <f>D126+D130</f>
      </c>
      <c r="E131" s="192">
        <f>E126+E130</f>
      </c>
      <c r="F131" s="192">
        <f>F126+F130</f>
      </c>
      <c r="G131" s="192">
        <f>G126+G130</f>
      </c>
      <c r="H131" s="192">
        <f>H126+H130</f>
      </c>
      <c r="I131" s="192">
        <f>I126+I130</f>
      </c>
      <c r="J131" s="192">
        <f>J126+J130</f>
      </c>
      <c r="K131" s="192">
        <f>K126+K130</f>
      </c>
      <c r="L131" s="192">
        <f>L126+L130</f>
      </c>
      <c r="M131" s="192">
        <f>M126+M130</f>
      </c>
      <c r="N131" s="193">
        <f t="shared" si="11"/>
      </c>
      <c r="O131" s="193">
        <f t="shared" si="174"/>
      </c>
      <c r="P131" s="194">
        <f t="shared" si="116"/>
      </c>
      <c r="Q131" s="195">
        <f t="shared" si="290"/>
      </c>
      <c r="R131" s="193">
        <f t="shared" si="232"/>
      </c>
      <c r="S131" s="195">
        <f t="shared" si="319"/>
      </c>
      <c r="T131" s="195">
        <f t="shared" si="435"/>
      </c>
      <c r="U131" s="193">
        <f t="shared" si="377"/>
      </c>
      <c r="V131" s="195">
        <f t="shared" si="145"/>
      </c>
      <c r="W131" s="195">
        <f t="shared" si="87"/>
      </c>
      <c r="X131" s="193">
        <f t="shared" si="261"/>
      </c>
      <c r="Y131" s="196">
        <f t="shared" si="203"/>
      </c>
      <c r="Z131" s="193">
        <f t="shared" si="406"/>
      </c>
      <c r="AA131" s="194">
        <f t="shared" si="348"/>
      </c>
      <c r="AB131" s="194"/>
      <c r="AC131" s="194"/>
      <c r="AD131" s="197">
        <f>AD126+AD130</f>
      </c>
      <c r="AE131" s="197">
        <f>AE126+AE130</f>
      </c>
      <c r="AF131" s="197">
        <f>AF126+AF130</f>
      </c>
      <c r="AG131" s="197">
        <f>AG126+AG130</f>
      </c>
      <c r="AH131" s="197">
        <f>AH126+AH130</f>
      </c>
      <c r="AI131" s="197">
        <f>AI126+AI130</f>
      </c>
      <c r="AJ131" s="197">
        <f>AJ126+AJ130</f>
      </c>
      <c r="AK131" s="197">
        <f>AK126+AK130</f>
      </c>
      <c r="AL131" s="197">
        <f>AL126+AL130</f>
      </c>
      <c r="AM131" s="191"/>
    </row>
    <row hidden="true" r="132">
      <c r="A132" s="134" t="s">
        <v>87</v>
      </c>
      <c r="B132" s="134"/>
      <c r="C132" s="134"/>
      <c r="D132" s="135" t="s">
        <v>88</v>
      </c>
      <c r="E132" s="135"/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136" t="s">
        <v>89</v>
      </c>
      <c r="Q132" s="136"/>
      <c r="R132" s="136"/>
      <c r="S132" s="136"/>
      <c r="T132" s="136"/>
      <c r="U132" s="136"/>
      <c r="V132" s="136"/>
      <c r="W132" s="136"/>
      <c r="X132" s="136"/>
      <c r="Y132" s="136"/>
      <c r="Z132" s="136"/>
      <c r="AA132" s="136"/>
      <c r="AB132" s="136"/>
      <c r="AC132" s="136"/>
      <c r="AD132" s="137" t="s">
        <v>90</v>
      </c>
      <c r="AE132" s="137"/>
      <c r="AF132" s="137"/>
      <c r="AG132" s="137"/>
      <c r="AH132" s="137"/>
      <c r="AI132" s="137"/>
      <c r="AJ132" s="137"/>
      <c r="AK132" s="137"/>
      <c r="AL132" s="137"/>
      <c r="AM132" s="138"/>
    </row>
    <row hidden="true" r="133">
      <c r="A133" s="139" t="s">
        <v>91</v>
      </c>
      <c r="B133" s="140" t="s">
        <v>92</v>
      </c>
      <c r="C133" s="140" t="s">
        <v>93</v>
      </c>
      <c r="D133" s="141" t="s">
        <v>94</v>
      </c>
      <c r="E133" s="142" t="s">
        <v>95</v>
      </c>
      <c r="F133" s="142" t="s">
        <v>96</v>
      </c>
      <c r="G133" s="143" t="s">
        <v>97</v>
      </c>
      <c r="H133" s="215" t="s">
        <v>98</v>
      </c>
      <c r="I133" s="219" t="s">
        <v>99</v>
      </c>
      <c r="J133" s="206" t="s">
        <v>100</v>
      </c>
      <c r="K133" s="135" t="s">
        <v>101</v>
      </c>
      <c r="L133" s="146" t="s">
        <v>102</v>
      </c>
      <c r="M133" s="146" t="s">
        <v>103</v>
      </c>
      <c r="N133" s="143" t="s">
        <v>104</v>
      </c>
      <c r="O133" s="146" t="s">
        <v>105</v>
      </c>
      <c r="P133" s="136" t="s">
        <v>106</v>
      </c>
      <c r="Q133" s="136" t="s">
        <v>107</v>
      </c>
      <c r="R133" s="136" t="s">
        <v>108</v>
      </c>
      <c r="S133" s="147" t="s">
        <v>109</v>
      </c>
      <c r="T133" s="147" t="s">
        <v>110</v>
      </c>
      <c r="U133" s="136" t="s">
        <v>111</v>
      </c>
      <c r="V133" s="147" t="s">
        <v>112</v>
      </c>
      <c r="W133" s="147" t="s">
        <v>113</v>
      </c>
      <c r="X133" s="136" t="s">
        <v>114</v>
      </c>
      <c r="Y133" s="147" t="s">
        <v>115</v>
      </c>
      <c r="Z133" s="136" t="s">
        <v>116</v>
      </c>
      <c r="AA133" s="148" t="s">
        <v>117</v>
      </c>
      <c r="AB133" s="148" t="s">
        <v>118</v>
      </c>
      <c r="AC133" s="220" t="s">
        <v>119</v>
      </c>
      <c r="AD133" s="149" t="s">
        <v>120</v>
      </c>
      <c r="AE133" s="150" t="s">
        <v>121</v>
      </c>
      <c r="AF133" s="150" t="s">
        <v>122</v>
      </c>
      <c r="AG133" s="150" t="s">
        <v>123</v>
      </c>
      <c r="AH133" s="150" t="s">
        <v>124</v>
      </c>
      <c r="AI133" s="150" t="s">
        <v>125</v>
      </c>
      <c r="AJ133" s="151" t="s">
        <v>126</v>
      </c>
      <c r="AK133" s="151" t="s">
        <v>127</v>
      </c>
      <c r="AL133" s="151" t="s">
        <v>128</v>
      </c>
      <c r="AM133" s="138"/>
    </row>
    <row hidden="true" r="134">
      <c r="A134" s="152" t="s">
        <v>166</v>
      </c>
      <c r="B134" s="153" t="s">
        <v>130</v>
      </c>
      <c r="C134" s="156" t="s">
        <v>131</v>
      </c>
      <c r="D134" s="154">
        <f t="shared" ref="D134:D137" si="46">E134+F134+G134+H134</f>
      </c>
      <c r="E134" s="155">
        <v>4438.54</v>
      </c>
      <c r="F134" s="156">
        <v>710.65</v>
      </c>
      <c r="G134" s="157"/>
      <c r="H134" s="155">
        <v>980.98</v>
      </c>
      <c r="I134" s="208">
        <v>6</v>
      </c>
      <c r="J134" s="158">
        <v>13420</v>
      </c>
      <c r="K134" s="156">
        <v>0</v>
      </c>
      <c r="L134" s="156">
        <v>0</v>
      </c>
      <c r="M134" s="208">
        <v>6</v>
      </c>
      <c r="N134" s="159">
        <f t="shared" ref="N134:N139" si="12">J134/D134</f>
      </c>
      <c r="O134" s="159">
        <f t="shared" ref="O134:O139" si="175">J134/(D134+300*AL134)</f>
      </c>
      <c r="P134" s="160">
        <f t="shared" ref="P134:P139" si="117">(D134/AE134)*1000</f>
      </c>
      <c r="Q134" s="161">
        <f t="shared" ref="Q134:Q139" si="291">AF134/AE134</f>
      </c>
      <c r="R134" s="162">
        <f t="shared" ref="R134:R139" si="233">D134/AG134</f>
      </c>
      <c r="S134" s="161">
        <f t="shared" ref="S134:S139" si="320">AH134/AG134</f>
      </c>
      <c r="T134" s="161">
        <f t="shared" ref="T134:T139" si="436">AI134/AG134</f>
      </c>
      <c r="U134" s="162">
        <f t="shared" ref="U134:U139" si="378">D134/AI134</f>
      </c>
      <c r="V134" s="161">
        <f t="shared" ref="V134:V139" si="146">AJ134/AI134</f>
      </c>
      <c r="W134" s="161">
        <f t="shared" ref="W134:W139" si="88">I134/AJ134</f>
      </c>
      <c r="X134" s="162">
        <f t="shared" ref="X134:X139" si="262">D134/I134</f>
      </c>
      <c r="Y134" s="163">
        <f t="shared" ref="Y134:Y139" si="204">J134/I134</f>
      </c>
      <c r="Z134" s="162">
        <f t="shared" ref="Z134:Z139" si="407">D134/AD134</f>
      </c>
      <c r="AA134" s="164">
        <f t="shared" ref="AA134:AA139" si="349">AK134*1000/D134</f>
      </c>
      <c r="AB134" s="199" t="s">
        <v>132</v>
      </c>
      <c r="AC134" s="228" t="s">
        <v>167</v>
      </c>
      <c r="AD134" s="209">
        <v>6</v>
      </c>
      <c r="AE134" s="157">
        <v>15162</v>
      </c>
      <c r="AF134" s="157">
        <v>651</v>
      </c>
      <c r="AG134" s="157">
        <v>892</v>
      </c>
      <c r="AH134" s="157">
        <v>199</v>
      </c>
      <c r="AI134" s="153">
        <v>63</v>
      </c>
      <c r="AJ134" s="230">
        <v>22</v>
      </c>
      <c r="AK134" s="186">
        <v>57</v>
      </c>
      <c r="AL134" s="175">
        <v>1</v>
      </c>
      <c r="AM134" s="168"/>
    </row>
    <row hidden="true" r="135">
      <c r="A135" s="152"/>
      <c r="B135" s="169" t="s">
        <v>134</v>
      </c>
      <c r="C135" s="186" t="s">
        <v>131</v>
      </c>
      <c r="D135" s="153">
        <f t="shared" si="46"/>
      </c>
      <c r="E135" s="158">
        <v>2789.24</v>
      </c>
      <c r="F135" s="170">
        <v>664.23</v>
      </c>
      <c r="G135" s="153"/>
      <c r="H135" s="156">
        <v>404.12</v>
      </c>
      <c r="I135" s="156">
        <v>2</v>
      </c>
      <c r="J135" s="184">
        <v>4536</v>
      </c>
      <c r="K135" s="156">
        <v>0</v>
      </c>
      <c r="L135" s="156">
        <v>0</v>
      </c>
      <c r="M135" s="156">
        <v>2</v>
      </c>
      <c r="N135" s="159">
        <f t="shared" si="12"/>
      </c>
      <c r="O135" s="159">
        <f t="shared" si="175"/>
      </c>
      <c r="P135" s="160">
        <f t="shared" si="117"/>
      </c>
      <c r="Q135" s="161">
        <f t="shared" si="291"/>
      </c>
      <c r="R135" s="162">
        <f t="shared" si="233"/>
      </c>
      <c r="S135" s="161">
        <f t="shared" si="320"/>
      </c>
      <c r="T135" s="161">
        <f t="shared" si="436"/>
      </c>
      <c r="U135" s="162">
        <f t="shared" si="378"/>
      </c>
      <c r="V135" s="161">
        <f t="shared" si="146"/>
      </c>
      <c r="W135" s="161">
        <f t="shared" si="88"/>
      </c>
      <c r="X135" s="162">
        <f t="shared" si="262"/>
      </c>
      <c r="Y135" s="163">
        <f t="shared" si="204"/>
      </c>
      <c r="Z135" s="162">
        <f t="shared" si="407"/>
      </c>
      <c r="AA135" s="164">
        <f t="shared" si="349"/>
      </c>
      <c r="AB135" s="199" t="s">
        <v>132</v>
      </c>
      <c r="AC135" s="228" t="s">
        <v>167</v>
      </c>
      <c r="AD135" s="209">
        <v>2</v>
      </c>
      <c r="AE135" s="172">
        <v>10175</v>
      </c>
      <c r="AF135" s="157">
        <v>484</v>
      </c>
      <c r="AG135" s="171">
        <v>616</v>
      </c>
      <c r="AH135" s="153">
        <v>151</v>
      </c>
      <c r="AI135" s="169">
        <v>56</v>
      </c>
      <c r="AJ135" s="208">
        <v>12</v>
      </c>
      <c r="AK135" s="208">
        <v>39</v>
      </c>
      <c r="AL135" s="226">
        <v>1</v>
      </c>
      <c r="AM135" s="168"/>
    </row>
    <row customHeight="true" hidden="true" ht="18.452380952380953" r="136">
      <c r="A136" s="152"/>
      <c r="B136" s="169" t="s">
        <v>135</v>
      </c>
      <c r="C136" s="186" t="s">
        <v>131</v>
      </c>
      <c r="D136" s="153">
        <f t="shared" si="46"/>
      </c>
      <c r="E136" s="158">
        <v>2829.59</v>
      </c>
      <c r="F136" s="170">
        <v>512.3</v>
      </c>
      <c r="G136" s="153"/>
      <c r="H136" s="156">
        <v>483.36</v>
      </c>
      <c r="I136" s="156">
        <v>2</v>
      </c>
      <c r="J136" s="184">
        <v>4536</v>
      </c>
      <c r="K136" s="156">
        <v>0</v>
      </c>
      <c r="L136" s="156">
        <v>0</v>
      </c>
      <c r="M136" s="156">
        <v>2</v>
      </c>
      <c r="N136" s="159">
        <f t="shared" si="12"/>
      </c>
      <c r="O136" s="159">
        <f t="shared" si="175"/>
      </c>
      <c r="P136" s="160">
        <f t="shared" si="117"/>
      </c>
      <c r="Q136" s="161">
        <f t="shared" si="291"/>
      </c>
      <c r="R136" s="162">
        <f t="shared" si="233"/>
      </c>
      <c r="S136" s="161">
        <f t="shared" si="320"/>
      </c>
      <c r="T136" s="161">
        <f t="shared" si="436"/>
      </c>
      <c r="U136" s="162">
        <f t="shared" si="378"/>
      </c>
      <c r="V136" s="161">
        <f t="shared" si="146"/>
      </c>
      <c r="W136" s="161">
        <f t="shared" si="88"/>
      </c>
      <c r="X136" s="162">
        <f t="shared" si="262"/>
      </c>
      <c r="Y136" s="163">
        <f t="shared" si="204"/>
      </c>
      <c r="Z136" s="162">
        <f t="shared" si="407"/>
      </c>
      <c r="AA136" s="164">
        <f t="shared" si="349"/>
      </c>
      <c r="AB136" s="199" t="s">
        <v>132</v>
      </c>
      <c r="AC136" s="228" t="s">
        <v>167</v>
      </c>
      <c r="AD136" s="209">
        <v>2</v>
      </c>
      <c r="AE136" s="172">
        <v>11350</v>
      </c>
      <c r="AF136" s="157">
        <v>419</v>
      </c>
      <c r="AG136" s="171">
        <v>522</v>
      </c>
      <c r="AH136" s="153">
        <v>135</v>
      </c>
      <c r="AI136" s="169">
        <v>31</v>
      </c>
      <c r="AJ136" s="208">
        <v>19</v>
      </c>
      <c r="AK136" s="208">
        <v>23</v>
      </c>
      <c r="AL136" s="226">
        <v>1</v>
      </c>
      <c r="AM136" s="168"/>
    </row>
    <row customHeight="true" hidden="true" ht="18.452380952380953" r="137">
      <c r="A137" s="152"/>
      <c r="B137" s="169" t="s">
        <v>136</v>
      </c>
      <c r="C137" s="186" t="s">
        <v>131</v>
      </c>
      <c r="D137" s="153">
        <f t="shared" si="46"/>
      </c>
      <c r="E137" s="158">
        <v>1513.58</v>
      </c>
      <c r="F137" s="170">
        <f>808.13+4.85</f>
      </c>
      <c r="G137" s="153"/>
      <c r="H137" s="231">
        <f>1153.74+0.34</f>
      </c>
      <c r="I137" s="156">
        <v>1</v>
      </c>
      <c r="J137" s="184">
        <v>2268</v>
      </c>
      <c r="K137" s="156">
        <v>0</v>
      </c>
      <c r="L137" s="156">
        <v>0</v>
      </c>
      <c r="M137" s="156">
        <v>1</v>
      </c>
      <c r="N137" s="159">
        <f t="shared" si="12"/>
      </c>
      <c r="O137" s="159">
        <f t="shared" si="175"/>
      </c>
      <c r="P137" s="160">
        <f t="shared" si="117"/>
      </c>
      <c r="Q137" s="161">
        <f t="shared" si="291"/>
      </c>
      <c r="R137" s="162">
        <f t="shared" si="233"/>
      </c>
      <c r="S137" s="161">
        <f t="shared" si="320"/>
      </c>
      <c r="T137" s="161">
        <f t="shared" si="436"/>
      </c>
      <c r="U137" s="162">
        <f t="shared" si="378"/>
      </c>
      <c r="V137" s="161">
        <f t="shared" si="146"/>
      </c>
      <c r="W137" s="161">
        <f t="shared" si="88"/>
      </c>
      <c r="X137" s="162">
        <f t="shared" si="262"/>
      </c>
      <c r="Y137" s="163">
        <f t="shared" si="204"/>
      </c>
      <c r="Z137" s="162">
        <f t="shared" si="407"/>
      </c>
      <c r="AA137" s="164">
        <f t="shared" si="349"/>
      </c>
      <c r="AB137" s="199" t="s">
        <v>132</v>
      </c>
      <c r="AC137" s="228" t="s">
        <v>167</v>
      </c>
      <c r="AD137" s="209">
        <v>1</v>
      </c>
      <c r="AE137" s="172">
        <v>11681</v>
      </c>
      <c r="AF137" s="157">
        <v>421</v>
      </c>
      <c r="AG137" s="171">
        <v>534</v>
      </c>
      <c r="AH137" s="153">
        <v>91</v>
      </c>
      <c r="AI137" s="169">
        <v>35</v>
      </c>
      <c r="AJ137" s="208">
        <v>6</v>
      </c>
      <c r="AK137" s="208">
        <v>14</v>
      </c>
      <c r="AL137" s="226">
        <v>1</v>
      </c>
      <c r="AM137" s="168"/>
    </row>
    <row hidden="true" r="138">
      <c r="A138" s="152"/>
      <c r="B138" s="176" t="s">
        <v>137</v>
      </c>
      <c r="C138" s="176"/>
      <c r="D138" s="176">
        <f>SUM(D134:D137)</f>
      </c>
      <c r="E138" s="176">
        <f>SUM(E134:E137)</f>
      </c>
      <c r="F138" s="176">
        <f>SUM(F134:F137)</f>
      </c>
      <c r="G138" s="176">
        <f>SUM(G134:G137)</f>
      </c>
      <c r="H138" s="176">
        <f>SUM(H134:H137)</f>
      </c>
      <c r="I138" s="176">
        <f>SUM(I134:I137)</f>
      </c>
      <c r="J138" s="176">
        <f>SUM(J134:J137)</f>
      </c>
      <c r="K138" s="176">
        <f>SUM(K134:K137)</f>
      </c>
      <c r="L138" s="176">
        <f>SUM(L134:L137)</f>
      </c>
      <c r="M138" s="176">
        <f>SUM(M134:M137)</f>
      </c>
      <c r="N138" s="177">
        <f t="shared" si="12"/>
      </c>
      <c r="O138" s="177">
        <f t="shared" si="175"/>
      </c>
      <c r="P138" s="178">
        <f t="shared" si="117"/>
      </c>
      <c r="Q138" s="179">
        <f t="shared" si="291"/>
      </c>
      <c r="R138" s="180">
        <f t="shared" si="233"/>
      </c>
      <c r="S138" s="179">
        <f t="shared" si="320"/>
      </c>
      <c r="T138" s="179">
        <f t="shared" si="436"/>
      </c>
      <c r="U138" s="180">
        <f t="shared" si="378"/>
      </c>
      <c r="V138" s="179">
        <f t="shared" si="146"/>
      </c>
      <c r="W138" s="179">
        <f t="shared" si="88"/>
      </c>
      <c r="X138" s="180">
        <f t="shared" si="262"/>
      </c>
      <c r="Y138" s="181">
        <f t="shared" si="204"/>
      </c>
      <c r="Z138" s="180">
        <f t="shared" si="407"/>
      </c>
      <c r="AA138" s="182">
        <f t="shared" si="349"/>
      </c>
      <c r="AB138" s="182"/>
      <c r="AC138" s="182"/>
      <c r="AD138" s="176">
        <f>SUM(AD134:AD137)</f>
      </c>
      <c r="AE138" s="176">
        <f>SUM(AE134:AE137)</f>
      </c>
      <c r="AF138" s="176">
        <f>SUM(AF134:AF137)</f>
      </c>
      <c r="AG138" s="176">
        <f>SUM(AG134:AG137)</f>
      </c>
      <c r="AH138" s="176">
        <f>SUM(AH134:AH137)</f>
      </c>
      <c r="AI138" s="176">
        <f>SUM(AI134:AI137)</f>
      </c>
      <c r="AJ138" s="176">
        <f>SUM(AJ134:AJ137)</f>
      </c>
      <c r="AK138" s="176">
        <f>SUM(AK134:AK137)</f>
      </c>
      <c r="AL138" s="176">
        <f>SUM(AL134:AL137)</f>
      </c>
      <c r="AM138" s="168"/>
    </row>
    <row hidden="true" r="139">
      <c r="A139" s="152"/>
      <c r="B139" s="192" t="s">
        <v>143</v>
      </c>
      <c r="C139" s="192"/>
      <c r="D139" s="192">
        <f>D138</f>
      </c>
      <c r="E139" s="192">
        <f>E138</f>
      </c>
      <c r="F139" s="192">
        <f>F138</f>
      </c>
      <c r="G139" s="192">
        <f>G138</f>
      </c>
      <c r="H139" s="192">
        <f>H138</f>
      </c>
      <c r="I139" s="192">
        <f>I138</f>
      </c>
      <c r="J139" s="192">
        <f>J138</f>
      </c>
      <c r="K139" s="192">
        <f>K138</f>
      </c>
      <c r="L139" s="192">
        <f>L138</f>
      </c>
      <c r="M139" s="192">
        <f>M138</f>
      </c>
      <c r="N139" s="193">
        <f t="shared" si="12"/>
      </c>
      <c r="O139" s="193">
        <f t="shared" si="175"/>
      </c>
      <c r="P139" s="194">
        <f t="shared" si="117"/>
      </c>
      <c r="Q139" s="195">
        <f t="shared" si="291"/>
      </c>
      <c r="R139" s="193">
        <f t="shared" si="233"/>
      </c>
      <c r="S139" s="195">
        <f t="shared" si="320"/>
      </c>
      <c r="T139" s="195">
        <f t="shared" si="436"/>
      </c>
      <c r="U139" s="193">
        <f t="shared" si="378"/>
      </c>
      <c r="V139" s="195">
        <f t="shared" si="146"/>
      </c>
      <c r="W139" s="195">
        <f t="shared" si="88"/>
      </c>
      <c r="X139" s="193">
        <f t="shared" si="262"/>
      </c>
      <c r="Y139" s="196">
        <f t="shared" si="204"/>
      </c>
      <c r="Z139" s="193">
        <f t="shared" si="407"/>
      </c>
      <c r="AA139" s="194">
        <f t="shared" si="349"/>
      </c>
      <c r="AB139" s="194"/>
      <c r="AC139" s="194"/>
      <c r="AD139" s="197">
        <f>AD138</f>
      </c>
      <c r="AE139" s="197">
        <f>AE138</f>
      </c>
      <c r="AF139" s="197">
        <f>AF138</f>
      </c>
      <c r="AG139" s="197">
        <f>AG138</f>
      </c>
      <c r="AH139" s="197">
        <f>AH138</f>
      </c>
      <c r="AI139" s="197">
        <f>AI138</f>
      </c>
      <c r="AJ139" s="197">
        <f>AJ138</f>
      </c>
      <c r="AK139" s="197">
        <f>AK138</f>
      </c>
      <c r="AL139" s="197">
        <f>AL138</f>
      </c>
      <c r="AM139" s="191"/>
    </row>
    <row hidden="true" r="140">
      <c r="A140" s="134" t="s">
        <v>87</v>
      </c>
      <c r="B140" s="134"/>
      <c r="C140" s="134"/>
      <c r="D140" s="135" t="s">
        <v>88</v>
      </c>
      <c r="E140" s="135"/>
      <c r="F140" s="135"/>
      <c r="G140" s="135"/>
      <c r="H140" s="135"/>
      <c r="I140" s="135"/>
      <c r="J140" s="135"/>
      <c r="K140" s="135"/>
      <c r="L140" s="135"/>
      <c r="M140" s="135"/>
      <c r="N140" s="135"/>
      <c r="O140" s="135"/>
      <c r="P140" s="136" t="s">
        <v>89</v>
      </c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7" t="s">
        <v>90</v>
      </c>
      <c r="AE140" s="137"/>
      <c r="AF140" s="137"/>
      <c r="AG140" s="137"/>
      <c r="AH140" s="137"/>
      <c r="AI140" s="137"/>
      <c r="AJ140" s="137"/>
      <c r="AK140" s="137"/>
      <c r="AL140" s="137"/>
      <c r="AM140" s="138"/>
    </row>
    <row hidden="true" r="141">
      <c r="A141" s="139" t="s">
        <v>91</v>
      </c>
      <c r="B141" s="140" t="s">
        <v>92</v>
      </c>
      <c r="C141" s="140" t="s">
        <v>93</v>
      </c>
      <c r="D141" s="141" t="s">
        <v>94</v>
      </c>
      <c r="E141" s="142" t="s">
        <v>95</v>
      </c>
      <c r="F141" s="142" t="s">
        <v>96</v>
      </c>
      <c r="G141" s="143" t="s">
        <v>97</v>
      </c>
      <c r="H141" s="215" t="s">
        <v>98</v>
      </c>
      <c r="I141" s="219" t="s">
        <v>99</v>
      </c>
      <c r="J141" s="206" t="s">
        <v>100</v>
      </c>
      <c r="K141" s="135" t="s">
        <v>101</v>
      </c>
      <c r="L141" s="146" t="s">
        <v>102</v>
      </c>
      <c r="M141" s="146" t="s">
        <v>103</v>
      </c>
      <c r="N141" s="143" t="s">
        <v>104</v>
      </c>
      <c r="O141" s="146" t="s">
        <v>105</v>
      </c>
      <c r="P141" s="136" t="s">
        <v>106</v>
      </c>
      <c r="Q141" s="136" t="s">
        <v>107</v>
      </c>
      <c r="R141" s="136" t="s">
        <v>108</v>
      </c>
      <c r="S141" s="147" t="s">
        <v>109</v>
      </c>
      <c r="T141" s="147" t="s">
        <v>110</v>
      </c>
      <c r="U141" s="136" t="s">
        <v>111</v>
      </c>
      <c r="V141" s="147" t="s">
        <v>112</v>
      </c>
      <c r="W141" s="147" t="s">
        <v>113</v>
      </c>
      <c r="X141" s="136" t="s">
        <v>114</v>
      </c>
      <c r="Y141" s="147" t="s">
        <v>115</v>
      </c>
      <c r="Z141" s="136" t="s">
        <v>116</v>
      </c>
      <c r="AA141" s="148" t="s">
        <v>117</v>
      </c>
      <c r="AB141" s="148" t="s">
        <v>118</v>
      </c>
      <c r="AC141" s="220" t="s">
        <v>119</v>
      </c>
      <c r="AD141" s="149" t="s">
        <v>120</v>
      </c>
      <c r="AE141" s="150" t="s">
        <v>121</v>
      </c>
      <c r="AF141" s="150" t="s">
        <v>122</v>
      </c>
      <c r="AG141" s="150" t="s">
        <v>123</v>
      </c>
      <c r="AH141" s="150" t="s">
        <v>124</v>
      </c>
      <c r="AI141" s="150" t="s">
        <v>125</v>
      </c>
      <c r="AJ141" s="151" t="s">
        <v>126</v>
      </c>
      <c r="AK141" s="151" t="s">
        <v>127</v>
      </c>
      <c r="AL141" s="151" t="s">
        <v>128</v>
      </c>
      <c r="AM141" s="138"/>
    </row>
    <row hidden="true" r="142">
      <c r="A142" s="152" t="s">
        <v>168</v>
      </c>
      <c r="B142" s="153" t="s">
        <v>130</v>
      </c>
      <c r="C142" s="156" t="s">
        <v>131</v>
      </c>
      <c r="D142" s="154">
        <f t="shared" ref="D142:D145" si="47">E142+F142+G142+H142</f>
      </c>
      <c r="E142" s="155">
        <v>1924.28</v>
      </c>
      <c r="F142" s="156">
        <v>526.64</v>
      </c>
      <c r="G142" s="157"/>
      <c r="H142" s="155">
        <v>762.48</v>
      </c>
      <c r="I142" s="208">
        <v>3</v>
      </c>
      <c r="J142" s="158">
        <v>6804</v>
      </c>
      <c r="K142" s="156">
        <v>0</v>
      </c>
      <c r="L142" s="156">
        <v>0</v>
      </c>
      <c r="M142" s="208">
        <v>3</v>
      </c>
      <c r="N142" s="159">
        <f t="shared" ref="N142:N147" si="13">J142/D142</f>
      </c>
      <c r="O142" s="159">
        <f t="shared" ref="O142:O147" si="176">J142/(D142+300*AL142)</f>
      </c>
      <c r="P142" s="160">
        <f t="shared" ref="P142:P147" si="118">(D142/AE142)*1000</f>
      </c>
      <c r="Q142" s="161">
        <f t="shared" ref="Q142:Q147" si="292">AF142/AE142</f>
      </c>
      <c r="R142" s="162">
        <f t="shared" ref="R142:R147" si="234">D142/AG142</f>
      </c>
      <c r="S142" s="161">
        <f t="shared" ref="S142:S147" si="321">AH142/AG142</f>
      </c>
      <c r="T142" s="161">
        <f t="shared" ref="T142:T147" si="437">AI142/AG142</f>
      </c>
      <c r="U142" s="162">
        <f t="shared" ref="U142:U147" si="379">D142/AI142</f>
      </c>
      <c r="V142" s="161">
        <f t="shared" ref="V142:V147" si="147">AJ142/AI142</f>
      </c>
      <c r="W142" s="161">
        <f t="shared" ref="W142:W147" si="89">I142/AJ142</f>
      </c>
      <c r="X142" s="162">
        <f t="shared" ref="X142:X147" si="263">D142/I142</f>
      </c>
      <c r="Y142" s="163">
        <f t="shared" ref="Y142:Y147" si="205">J142/I142</f>
      </c>
      <c r="Z142" s="162">
        <f t="shared" ref="Z142:Z147" si="408">D142/AD142</f>
      </c>
      <c r="AA142" s="164">
        <f t="shared" ref="AA142:AA147" si="350">AK142*1000/D142</f>
      </c>
      <c r="AB142" s="199" t="s">
        <v>132</v>
      </c>
      <c r="AC142" s="228" t="s">
        <v>167</v>
      </c>
      <c r="AD142" s="209">
        <v>3</v>
      </c>
      <c r="AE142" s="157">
        <v>9576</v>
      </c>
      <c r="AF142" s="157">
        <v>340</v>
      </c>
      <c r="AG142" s="157">
        <v>441</v>
      </c>
      <c r="AH142" s="157">
        <v>80</v>
      </c>
      <c r="AI142" s="153">
        <v>35</v>
      </c>
      <c r="AJ142" s="230">
        <v>10</v>
      </c>
      <c r="AK142" s="186">
        <v>21</v>
      </c>
      <c r="AL142" s="175">
        <v>1</v>
      </c>
      <c r="AM142" s="168"/>
    </row>
    <row hidden="true" r="143">
      <c r="A143" s="152"/>
      <c r="B143" s="169" t="s">
        <v>134</v>
      </c>
      <c r="C143" s="186" t="s">
        <v>131</v>
      </c>
      <c r="D143" s="153">
        <f t="shared" si="47"/>
      </c>
      <c r="E143" s="158">
        <v>2314.98</v>
      </c>
      <c r="F143" s="170">
        <v>469.31</v>
      </c>
      <c r="G143" s="153"/>
      <c r="H143" s="156">
        <v>1170.81</v>
      </c>
      <c r="I143" s="156">
        <v>2</v>
      </c>
      <c r="J143" s="184">
        <v>3216</v>
      </c>
      <c r="K143" s="156">
        <v>0</v>
      </c>
      <c r="L143" s="156">
        <v>1</v>
      </c>
      <c r="M143" s="156">
        <v>1</v>
      </c>
      <c r="N143" s="159">
        <f t="shared" si="13"/>
      </c>
      <c r="O143" s="159">
        <f t="shared" si="176"/>
      </c>
      <c r="P143" s="160">
        <f t="shared" si="118"/>
      </c>
      <c r="Q143" s="161">
        <f t="shared" si="292"/>
      </c>
      <c r="R143" s="162">
        <f t="shared" si="234"/>
      </c>
      <c r="S143" s="161">
        <f t="shared" si="321"/>
      </c>
      <c r="T143" s="161">
        <f t="shared" si="437"/>
      </c>
      <c r="U143" s="162">
        <f t="shared" si="379"/>
      </c>
      <c r="V143" s="161">
        <f t="shared" si="147"/>
      </c>
      <c r="W143" s="161">
        <f t="shared" si="89"/>
      </c>
      <c r="X143" s="162">
        <f t="shared" si="263"/>
      </c>
      <c r="Y143" s="163">
        <f t="shared" si="205"/>
      </c>
      <c r="Z143" s="162">
        <f t="shared" si="408"/>
      </c>
      <c r="AA143" s="164">
        <f t="shared" si="350"/>
      </c>
      <c r="AB143" s="199" t="s">
        <v>132</v>
      </c>
      <c r="AC143" s="228" t="s">
        <v>167</v>
      </c>
      <c r="AD143" s="209">
        <v>0</v>
      </c>
      <c r="AE143" s="172">
        <v>4228</v>
      </c>
      <c r="AF143" s="157">
        <v>165</v>
      </c>
      <c r="AG143" s="171">
        <v>198</v>
      </c>
      <c r="AH143" s="153">
        <v>50</v>
      </c>
      <c r="AI143" s="169">
        <v>29</v>
      </c>
      <c r="AJ143" s="208">
        <v>6</v>
      </c>
      <c r="AK143" s="208">
        <v>30</v>
      </c>
      <c r="AL143" s="226">
        <v>1</v>
      </c>
      <c r="AM143" s="168"/>
    </row>
    <row hidden="true" r="144">
      <c r="A144" s="152"/>
      <c r="B144" s="169" t="s">
        <v>135</v>
      </c>
      <c r="C144" s="186" t="s">
        <v>131</v>
      </c>
      <c r="D144" s="153">
        <f t="shared" si="47"/>
      </c>
      <c r="E144" s="158">
        <v>1305.58</v>
      </c>
      <c r="F144" s="170">
        <v>475.86</v>
      </c>
      <c r="G144" s="153"/>
      <c r="H144" s="156">
        <v>787.47</v>
      </c>
      <c r="I144" s="156">
        <v>2</v>
      </c>
      <c r="J144" s="184">
        <v>2736</v>
      </c>
      <c r="K144" s="156">
        <v>1</v>
      </c>
      <c r="L144" s="156">
        <v>0</v>
      </c>
      <c r="M144" s="156">
        <v>1</v>
      </c>
      <c r="N144" s="159">
        <f t="shared" si="13"/>
      </c>
      <c r="O144" s="159">
        <f t="shared" si="176"/>
      </c>
      <c r="P144" s="160">
        <f t="shared" si="118"/>
      </c>
      <c r="Q144" s="161">
        <f t="shared" si="292"/>
      </c>
      <c r="R144" s="162">
        <f t="shared" si="234"/>
      </c>
      <c r="S144" s="161">
        <f t="shared" si="321"/>
      </c>
      <c r="T144" s="161">
        <f t="shared" si="437"/>
      </c>
      <c r="U144" s="162">
        <f t="shared" si="379"/>
      </c>
      <c r="V144" s="161">
        <f t="shared" si="147"/>
      </c>
      <c r="W144" s="161">
        <f t="shared" si="89"/>
      </c>
      <c r="X144" s="162">
        <f t="shared" si="263"/>
      </c>
      <c r="Y144" s="163">
        <f t="shared" si="205"/>
      </c>
      <c r="Z144" s="162">
        <f t="shared" si="408"/>
      </c>
      <c r="AA144" s="164">
        <f t="shared" si="350"/>
      </c>
      <c r="AB144" s="199" t="s">
        <v>132</v>
      </c>
      <c r="AC144" s="228" t="s">
        <v>167</v>
      </c>
      <c r="AD144" s="209">
        <v>2</v>
      </c>
      <c r="AE144" s="172">
        <v>5648</v>
      </c>
      <c r="AF144" s="157">
        <v>255</v>
      </c>
      <c r="AG144" s="171">
        <v>312</v>
      </c>
      <c r="AH144" s="153">
        <v>58</v>
      </c>
      <c r="AI144" s="169">
        <v>21</v>
      </c>
      <c r="AJ144" s="208">
        <v>10</v>
      </c>
      <c r="AK144" s="208">
        <v>28</v>
      </c>
      <c r="AL144" s="226">
        <v>1</v>
      </c>
      <c r="AM144" s="168"/>
    </row>
    <row hidden="true" r="145">
      <c r="A145" s="152"/>
      <c r="B145" s="169" t="s">
        <v>136</v>
      </c>
      <c r="C145" s="186" t="s">
        <v>131</v>
      </c>
      <c r="D145" s="153">
        <f t="shared" si="47"/>
      </c>
      <c r="E145" s="158">
        <v>1712.36</v>
      </c>
      <c r="F145" s="170">
        <v>508.98</v>
      </c>
      <c r="G145" s="153"/>
      <c r="H145" s="156">
        <v>497.55</v>
      </c>
      <c r="I145" s="156">
        <v>0</v>
      </c>
      <c r="J145" s="184">
        <v>0</v>
      </c>
      <c r="K145" s="156">
        <v>0</v>
      </c>
      <c r="L145" s="156">
        <v>0</v>
      </c>
      <c r="M145" s="156">
        <v>0</v>
      </c>
      <c r="N145" s="159">
        <f t="shared" si="13"/>
      </c>
      <c r="O145" s="159">
        <f t="shared" si="176"/>
      </c>
      <c r="P145" s="160">
        <f t="shared" si="118"/>
      </c>
      <c r="Q145" s="161">
        <f t="shared" si="292"/>
      </c>
      <c r="R145" s="162">
        <f t="shared" si="234"/>
      </c>
      <c r="S145" s="161">
        <f t="shared" si="321"/>
      </c>
      <c r="T145" s="161">
        <f t="shared" si="437"/>
      </c>
      <c r="U145" s="162">
        <f t="shared" si="379"/>
      </c>
      <c r="V145" s="161">
        <f t="shared" si="147"/>
      </c>
      <c r="W145" s="161">
        <f t="shared" si="89"/>
      </c>
      <c r="X145" s="162">
        <f t="shared" si="263"/>
      </c>
      <c r="Y145" s="163">
        <f t="shared" si="205"/>
      </c>
      <c r="Z145" s="162">
        <f t="shared" si="408"/>
      </c>
      <c r="AA145" s="164">
        <f t="shared" si="350"/>
      </c>
      <c r="AB145" s="199" t="s">
        <v>132</v>
      </c>
      <c r="AC145" s="228" t="s">
        <v>167</v>
      </c>
      <c r="AD145" s="209">
        <v>0</v>
      </c>
      <c r="AE145" s="172">
        <v>2946</v>
      </c>
      <c r="AF145" s="157">
        <v>137</v>
      </c>
      <c r="AG145" s="171">
        <v>206</v>
      </c>
      <c r="AH145" s="153">
        <v>39</v>
      </c>
      <c r="AI145" s="169">
        <v>16</v>
      </c>
      <c r="AJ145" s="208">
        <v>6</v>
      </c>
      <c r="AK145" s="208">
        <v>5</v>
      </c>
      <c r="AL145" s="226">
        <v>1</v>
      </c>
      <c r="AM145" s="168"/>
    </row>
    <row hidden="true" r="146">
      <c r="A146" s="152"/>
      <c r="B146" s="176" t="s">
        <v>137</v>
      </c>
      <c r="C146" s="176"/>
      <c r="D146" s="176">
        <f>SUM(D142:D145)</f>
      </c>
      <c r="E146" s="176">
        <f>SUM(E142:E145)</f>
      </c>
      <c r="F146" s="176">
        <f>SUM(F142:F145)</f>
      </c>
      <c r="G146" s="176">
        <f>SUM(G142:G145)</f>
      </c>
      <c r="H146" s="176">
        <f>SUM(H142:H145)</f>
      </c>
      <c r="I146" s="176">
        <f>SUM(I142:I145)</f>
      </c>
      <c r="J146" s="176">
        <f>SUM(J142:J145)</f>
      </c>
      <c r="K146" s="176">
        <f>SUM(K142:K145)</f>
      </c>
      <c r="L146" s="176">
        <f>SUM(L142:L145)</f>
      </c>
      <c r="M146" s="176">
        <f>SUM(M142:M145)</f>
      </c>
      <c r="N146" s="177">
        <f t="shared" si="13"/>
      </c>
      <c r="O146" s="177">
        <f t="shared" si="176"/>
      </c>
      <c r="P146" s="178">
        <f t="shared" si="118"/>
      </c>
      <c r="Q146" s="179">
        <f t="shared" si="292"/>
      </c>
      <c r="R146" s="180">
        <f t="shared" si="234"/>
      </c>
      <c r="S146" s="179">
        <f t="shared" si="321"/>
      </c>
      <c r="T146" s="179">
        <f t="shared" si="437"/>
      </c>
      <c r="U146" s="180">
        <f t="shared" si="379"/>
      </c>
      <c r="V146" s="179">
        <f t="shared" si="147"/>
      </c>
      <c r="W146" s="179">
        <f t="shared" si="89"/>
      </c>
      <c r="X146" s="180">
        <f t="shared" si="263"/>
      </c>
      <c r="Y146" s="181">
        <f t="shared" si="205"/>
      </c>
      <c r="Z146" s="180">
        <f t="shared" si="408"/>
      </c>
      <c r="AA146" s="182">
        <f t="shared" si="350"/>
      </c>
      <c r="AB146" s="182"/>
      <c r="AC146" s="182"/>
      <c r="AD146" s="176">
        <f>SUM(AD142:AD145)</f>
      </c>
      <c r="AE146" s="176">
        <f>SUM(AE142:AE145)</f>
      </c>
      <c r="AF146" s="176">
        <f>SUM(AF142:AF145)</f>
      </c>
      <c r="AG146" s="176">
        <f>SUM(AG142:AG145)</f>
      </c>
      <c r="AH146" s="176">
        <f>SUM(AH142:AH145)</f>
      </c>
      <c r="AI146" s="176">
        <f>SUM(AI142:AI145)</f>
      </c>
      <c r="AJ146" s="176">
        <f>SUM(AJ142:AJ145)</f>
      </c>
      <c r="AK146" s="176">
        <f>SUM(AK142:AK145)</f>
      </c>
      <c r="AL146" s="176">
        <f>SUM(AL142:AL145)</f>
      </c>
      <c r="AM146" s="168"/>
    </row>
    <row hidden="true" r="147">
      <c r="A147" s="152"/>
      <c r="B147" s="192" t="s">
        <v>143</v>
      </c>
      <c r="C147" s="192"/>
      <c r="D147" s="192">
        <f>D146</f>
      </c>
      <c r="E147" s="192">
        <f>E146</f>
      </c>
      <c r="F147" s="192">
        <f>F146</f>
      </c>
      <c r="G147" s="192">
        <f>G146</f>
      </c>
      <c r="H147" s="192">
        <f>H146</f>
      </c>
      <c r="I147" s="192">
        <f>I146</f>
      </c>
      <c r="J147" s="192">
        <f>J146</f>
      </c>
      <c r="K147" s="192">
        <f>K146</f>
      </c>
      <c r="L147" s="192">
        <f>L146</f>
      </c>
      <c r="M147" s="192">
        <f>M146</f>
      </c>
      <c r="N147" s="193">
        <f t="shared" si="13"/>
      </c>
      <c r="O147" s="193">
        <f t="shared" si="176"/>
      </c>
      <c r="P147" s="194">
        <f t="shared" si="118"/>
      </c>
      <c r="Q147" s="195">
        <f t="shared" si="292"/>
      </c>
      <c r="R147" s="193">
        <f t="shared" si="234"/>
      </c>
      <c r="S147" s="195">
        <f t="shared" si="321"/>
      </c>
      <c r="T147" s="195">
        <f t="shared" si="437"/>
      </c>
      <c r="U147" s="193">
        <f t="shared" si="379"/>
      </c>
      <c r="V147" s="195">
        <f t="shared" si="147"/>
      </c>
      <c r="W147" s="195">
        <f t="shared" si="89"/>
      </c>
      <c r="X147" s="193">
        <f t="shared" si="263"/>
      </c>
      <c r="Y147" s="196">
        <f t="shared" si="205"/>
      </c>
      <c r="Z147" s="193">
        <f t="shared" si="408"/>
      </c>
      <c r="AA147" s="194">
        <f t="shared" si="350"/>
      </c>
      <c r="AB147" s="194"/>
      <c r="AC147" s="194"/>
      <c r="AD147" s="197">
        <f>AD146</f>
      </c>
      <c r="AE147" s="197">
        <f>AE146</f>
      </c>
      <c r="AF147" s="197">
        <f>AF146</f>
      </c>
      <c r="AG147" s="197">
        <f>AG146</f>
      </c>
      <c r="AH147" s="197">
        <f>AH146</f>
      </c>
      <c r="AI147" s="197">
        <f>AI146</f>
      </c>
      <c r="AJ147" s="197">
        <f>AJ146</f>
      </c>
      <c r="AK147" s="197">
        <f>AK146</f>
      </c>
      <c r="AL147" s="197">
        <f>AL146</f>
      </c>
      <c r="AM147" s="191"/>
    </row>
    <row hidden="true" r="148">
      <c r="A148" s="134" t="s">
        <v>87</v>
      </c>
      <c r="B148" s="134"/>
      <c r="C148" s="134"/>
      <c r="D148" s="135" t="s">
        <v>88</v>
      </c>
      <c r="E148" s="135"/>
      <c r="F148" s="135"/>
      <c r="G148" s="135"/>
      <c r="H148" s="135"/>
      <c r="I148" s="135"/>
      <c r="J148" s="135"/>
      <c r="K148" s="135"/>
      <c r="L148" s="135"/>
      <c r="M148" s="135"/>
      <c r="N148" s="135"/>
      <c r="O148" s="135"/>
      <c r="P148" s="136" t="s">
        <v>89</v>
      </c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7" t="s">
        <v>90</v>
      </c>
      <c r="AE148" s="137"/>
      <c r="AF148" s="137"/>
      <c r="AG148" s="137"/>
      <c r="AH148" s="137"/>
      <c r="AI148" s="137"/>
      <c r="AJ148" s="137"/>
      <c r="AK148" s="137"/>
      <c r="AL148" s="137"/>
      <c r="AM148" s="138"/>
    </row>
    <row hidden="true" r="149">
      <c r="A149" s="139" t="s">
        <v>91</v>
      </c>
      <c r="B149" s="140" t="s">
        <v>92</v>
      </c>
      <c r="C149" s="140" t="s">
        <v>93</v>
      </c>
      <c r="D149" s="141" t="s">
        <v>94</v>
      </c>
      <c r="E149" s="142" t="s">
        <v>95</v>
      </c>
      <c r="F149" s="142" t="s">
        <v>96</v>
      </c>
      <c r="G149" s="143" t="s">
        <v>97</v>
      </c>
      <c r="H149" s="144" t="s">
        <v>98</v>
      </c>
      <c r="I149" s="145" t="s">
        <v>99</v>
      </c>
      <c r="J149" s="141" t="s">
        <v>100</v>
      </c>
      <c r="K149" s="146" t="s">
        <v>101</v>
      </c>
      <c r="L149" s="146" t="s">
        <v>102</v>
      </c>
      <c r="M149" s="146" t="s">
        <v>103</v>
      </c>
      <c r="N149" s="143" t="s">
        <v>104</v>
      </c>
      <c r="O149" s="146" t="s">
        <v>105</v>
      </c>
      <c r="P149" s="136" t="s">
        <v>106</v>
      </c>
      <c r="Q149" s="136" t="s">
        <v>107</v>
      </c>
      <c r="R149" s="136" t="s">
        <v>108</v>
      </c>
      <c r="S149" s="147" t="s">
        <v>109</v>
      </c>
      <c r="T149" s="147" t="s">
        <v>110</v>
      </c>
      <c r="U149" s="136" t="s">
        <v>111</v>
      </c>
      <c r="V149" s="147" t="s">
        <v>112</v>
      </c>
      <c r="W149" s="147" t="s">
        <v>113</v>
      </c>
      <c r="X149" s="136" t="s">
        <v>114</v>
      </c>
      <c r="Y149" s="147" t="s">
        <v>115</v>
      </c>
      <c r="Z149" s="136" t="s">
        <v>116</v>
      </c>
      <c r="AA149" s="148" t="s">
        <v>117</v>
      </c>
      <c r="AB149" s="148" t="s">
        <v>118</v>
      </c>
      <c r="AC149" s="220" t="s">
        <v>119</v>
      </c>
      <c r="AD149" s="149" t="s">
        <v>120</v>
      </c>
      <c r="AE149" s="150" t="s">
        <v>121</v>
      </c>
      <c r="AF149" s="150" t="s">
        <v>122</v>
      </c>
      <c r="AG149" s="150" t="s">
        <v>123</v>
      </c>
      <c r="AH149" s="150" t="s">
        <v>124</v>
      </c>
      <c r="AI149" s="150" t="s">
        <v>125</v>
      </c>
      <c r="AJ149" s="151" t="s">
        <v>126</v>
      </c>
      <c r="AK149" s="151" t="s">
        <v>127</v>
      </c>
      <c r="AL149" s="151" t="s">
        <v>128</v>
      </c>
      <c r="AM149" s="138"/>
    </row>
    <row hidden="true" r="150">
      <c r="A150" s="152" t="s">
        <v>169</v>
      </c>
      <c r="B150" s="153" t="s">
        <v>130</v>
      </c>
      <c r="C150" s="153" t="s">
        <v>131</v>
      </c>
      <c r="D150" s="154">
        <f t="shared" ref="D150:D153" si="48">E150+F150+G150+H150</f>
      </c>
      <c r="E150" s="155">
        <v>2164.49</v>
      </c>
      <c r="F150" s="156">
        <v>397.26</v>
      </c>
      <c r="G150" s="157"/>
      <c r="H150" s="155">
        <v>432.43</v>
      </c>
      <c r="I150" s="156">
        <v>1</v>
      </c>
      <c r="J150" s="158">
        <v>948</v>
      </c>
      <c r="K150" s="158">
        <v>0</v>
      </c>
      <c r="L150" s="156">
        <v>1</v>
      </c>
      <c r="M150" s="156">
        <v>0</v>
      </c>
      <c r="N150" s="159">
        <f t="shared" ref="N150:N157" si="14">J150/D150</f>
      </c>
      <c r="O150" s="159">
        <f t="shared" ref="O150:O157" si="177">J150/(D150+300*AL150)</f>
      </c>
      <c r="P150" s="160">
        <f t="shared" ref="P150:P157" si="119">(D150/AE150)*1000</f>
      </c>
      <c r="Q150" s="161">
        <f t="shared" ref="Q150:Q157" si="293">AF150/AE150</f>
      </c>
      <c r="R150" s="162">
        <f t="shared" ref="R150:R157" si="235">D150/AG150</f>
      </c>
      <c r="S150" s="161">
        <f t="shared" ref="S150:S157" si="322">AH150/AG150</f>
      </c>
      <c r="T150" s="161">
        <f t="shared" ref="T150:T157" si="438">AI150/AG150</f>
      </c>
      <c r="U150" s="162">
        <f t="shared" ref="U150:U157" si="380">D150/AI150</f>
      </c>
      <c r="V150" s="161">
        <f t="shared" ref="V150:V157" si="148">AJ150/AI150</f>
      </c>
      <c r="W150" s="161">
        <f t="shared" ref="W150:W157" si="90">I150/AJ150</f>
      </c>
      <c r="X150" s="162">
        <f t="shared" ref="X150:X157" si="264">D150/I150</f>
      </c>
      <c r="Y150" s="163">
        <f t="shared" ref="Y150:Y157" si="206">J150/I150</f>
      </c>
      <c r="Z150" s="162">
        <f t="shared" ref="Z150:Z157" si="409">D150/AD150</f>
      </c>
      <c r="AA150" s="164">
        <f t="shared" ref="AA150:AA157" si="351">AK150*1000/D150</f>
      </c>
      <c r="AB150" s="199" t="s">
        <v>132</v>
      </c>
      <c r="AC150" s="200" t="s">
        <v>167</v>
      </c>
      <c r="AD150" s="157">
        <v>1</v>
      </c>
      <c r="AE150" s="157">
        <v>7028</v>
      </c>
      <c r="AF150" s="157">
        <v>337</v>
      </c>
      <c r="AG150" s="157">
        <v>448</v>
      </c>
      <c r="AH150" s="157">
        <v>109</v>
      </c>
      <c r="AI150" s="153">
        <v>33</v>
      </c>
      <c r="AJ150" s="158">
        <v>11</v>
      </c>
      <c r="AK150" s="156">
        <v>26</v>
      </c>
      <c r="AL150" s="175">
        <v>1</v>
      </c>
      <c r="AM150" s="168"/>
    </row>
    <row hidden="true" r="151">
      <c r="A151" s="152"/>
      <c r="B151" s="169" t="s">
        <v>134</v>
      </c>
      <c r="C151" s="153" t="s">
        <v>131</v>
      </c>
      <c r="D151" s="153">
        <f t="shared" si="48"/>
      </c>
      <c r="E151" s="158">
        <v>2036.09</v>
      </c>
      <c r="F151" s="170">
        <v>544.31</v>
      </c>
      <c r="G151" s="153"/>
      <c r="H151" s="156">
        <v>598.43</v>
      </c>
      <c r="I151" s="184">
        <v>3</v>
      </c>
      <c r="J151" s="171">
        <v>6804</v>
      </c>
      <c r="K151" s="156">
        <v>0</v>
      </c>
      <c r="L151" s="156">
        <v>0</v>
      </c>
      <c r="M151" s="156">
        <v>3</v>
      </c>
      <c r="N151" s="159">
        <f t="shared" si="14"/>
      </c>
      <c r="O151" s="159">
        <f t="shared" si="177"/>
      </c>
      <c r="P151" s="160">
        <f t="shared" si="119"/>
      </c>
      <c r="Q151" s="161">
        <f t="shared" si="293"/>
      </c>
      <c r="R151" s="162">
        <f t="shared" si="235"/>
      </c>
      <c r="S151" s="161">
        <f t="shared" si="322"/>
      </c>
      <c r="T151" s="161">
        <f t="shared" si="438"/>
      </c>
      <c r="U151" s="162">
        <f t="shared" si="380"/>
      </c>
      <c r="V151" s="161">
        <f t="shared" si="148"/>
      </c>
      <c r="W151" s="161">
        <f t="shared" si="90"/>
      </c>
      <c r="X151" s="162">
        <f t="shared" si="264"/>
      </c>
      <c r="Y151" s="163">
        <f t="shared" si="206"/>
      </c>
      <c r="Z151" s="162">
        <f t="shared" si="409"/>
      </c>
      <c r="AA151" s="164">
        <f t="shared" si="351"/>
      </c>
      <c r="AB151" s="199" t="s">
        <v>132</v>
      </c>
      <c r="AC151" s="200" t="s">
        <v>167</v>
      </c>
      <c r="AD151" s="157">
        <v>3</v>
      </c>
      <c r="AE151" s="172">
        <v>6078</v>
      </c>
      <c r="AF151" s="157">
        <v>274</v>
      </c>
      <c r="AG151" s="171">
        <v>367</v>
      </c>
      <c r="AH151" s="153">
        <v>93</v>
      </c>
      <c r="AI151" s="153">
        <v>33</v>
      </c>
      <c r="AJ151" s="201">
        <v>5</v>
      </c>
      <c r="AK151" s="210">
        <v>25</v>
      </c>
      <c r="AL151" s="175">
        <v>1</v>
      </c>
      <c r="AM151" s="168"/>
    </row>
    <row hidden="true" r="152">
      <c r="A152" s="152"/>
      <c r="B152" s="169" t="s">
        <v>135</v>
      </c>
      <c r="C152" s="153" t="s">
        <v>131</v>
      </c>
      <c r="D152" s="157">
        <f t="shared" si="48"/>
      </c>
      <c r="E152" s="158">
        <v>1864.33</v>
      </c>
      <c r="F152" s="158">
        <v>485.7</v>
      </c>
      <c r="G152" s="153"/>
      <c r="H152" s="156">
        <v>368.6</v>
      </c>
      <c r="I152" s="156">
        <v>2</v>
      </c>
      <c r="J152" s="153">
        <v>3216</v>
      </c>
      <c r="K152" s="156">
        <v>0</v>
      </c>
      <c r="L152" s="156">
        <v>1</v>
      </c>
      <c r="M152" s="156">
        <v>1</v>
      </c>
      <c r="N152" s="159">
        <f t="shared" si="14"/>
      </c>
      <c r="O152" s="159">
        <f t="shared" si="177"/>
      </c>
      <c r="P152" s="160">
        <f t="shared" si="119"/>
      </c>
      <c r="Q152" s="161">
        <f t="shared" si="293"/>
      </c>
      <c r="R152" s="162">
        <f t="shared" si="235"/>
      </c>
      <c r="S152" s="161">
        <f t="shared" si="322"/>
      </c>
      <c r="T152" s="161">
        <f t="shared" si="438"/>
      </c>
      <c r="U152" s="162">
        <f t="shared" si="380"/>
      </c>
      <c r="V152" s="161">
        <f t="shared" si="148"/>
      </c>
      <c r="W152" s="161">
        <f t="shared" si="90"/>
      </c>
      <c r="X152" s="162">
        <f t="shared" si="264"/>
      </c>
      <c r="Y152" s="163">
        <f t="shared" si="206"/>
      </c>
      <c r="Z152" s="162">
        <f t="shared" si="409"/>
      </c>
      <c r="AA152" s="164">
        <f t="shared" si="351"/>
      </c>
      <c r="AB152" s="199" t="s">
        <v>132</v>
      </c>
      <c r="AC152" s="200" t="s">
        <v>167</v>
      </c>
      <c r="AD152" s="157">
        <v>2</v>
      </c>
      <c r="AE152" s="157">
        <v>5848</v>
      </c>
      <c r="AF152" s="157">
        <v>258</v>
      </c>
      <c r="AG152" s="153">
        <v>342</v>
      </c>
      <c r="AH152" s="153">
        <v>70</v>
      </c>
      <c r="AI152" s="153">
        <v>34</v>
      </c>
      <c r="AJ152" s="201">
        <v>5</v>
      </c>
      <c r="AK152" s="210">
        <v>20</v>
      </c>
      <c r="AL152" s="175">
        <v>1</v>
      </c>
      <c r="AM152" s="168"/>
    </row>
    <row hidden="true" r="153">
      <c r="A153" s="152"/>
      <c r="B153" s="169" t="s">
        <v>136</v>
      </c>
      <c r="C153" s="153" t="s">
        <v>131</v>
      </c>
      <c r="D153" s="157">
        <f t="shared" si="48"/>
      </c>
      <c r="E153" s="158">
        <v>3104.35</v>
      </c>
      <c r="F153" s="158">
        <v>451.08</v>
      </c>
      <c r="G153" s="153"/>
      <c r="H153" s="156">
        <v>310.35</v>
      </c>
      <c r="I153" s="153">
        <v>5</v>
      </c>
      <c r="J153" s="153">
        <v>7380</v>
      </c>
      <c r="K153" s="156">
        <v>0</v>
      </c>
      <c r="L153" s="156">
        <v>3</v>
      </c>
      <c r="M153" s="156">
        <v>2</v>
      </c>
      <c r="N153" s="159">
        <f t="shared" si="14"/>
      </c>
      <c r="O153" s="159">
        <f t="shared" si="177"/>
      </c>
      <c r="P153" s="160">
        <f t="shared" si="119"/>
      </c>
      <c r="Q153" s="161">
        <f t="shared" si="293"/>
      </c>
      <c r="R153" s="162">
        <f t="shared" si="235"/>
      </c>
      <c r="S153" s="161">
        <f t="shared" si="322"/>
      </c>
      <c r="T153" s="161">
        <f t="shared" si="438"/>
      </c>
      <c r="U153" s="162">
        <f t="shared" si="380"/>
      </c>
      <c r="V153" s="161">
        <f t="shared" si="148"/>
      </c>
      <c r="W153" s="161">
        <f t="shared" si="90"/>
      </c>
      <c r="X153" s="162">
        <f t="shared" si="264"/>
      </c>
      <c r="Y153" s="163">
        <f t="shared" si="206"/>
      </c>
      <c r="Z153" s="162">
        <f t="shared" si="409"/>
      </c>
      <c r="AA153" s="164">
        <f t="shared" si="351"/>
      </c>
      <c r="AB153" s="199" t="s">
        <v>132</v>
      </c>
      <c r="AC153" s="200" t="s">
        <v>167</v>
      </c>
      <c r="AD153" s="172">
        <v>5</v>
      </c>
      <c r="AE153" s="171">
        <v>9944</v>
      </c>
      <c r="AF153" s="153">
        <v>368</v>
      </c>
      <c r="AG153" s="153">
        <v>485</v>
      </c>
      <c r="AH153" s="153">
        <v>105</v>
      </c>
      <c r="AI153" s="153">
        <v>24</v>
      </c>
      <c r="AJ153" s="201">
        <v>12</v>
      </c>
      <c r="AK153" s="210">
        <v>24</v>
      </c>
      <c r="AL153" s="175">
        <v>1</v>
      </c>
      <c r="AM153" s="168"/>
    </row>
    <row hidden="true" r="154">
      <c r="A154" s="152"/>
      <c r="B154" s="176" t="s">
        <v>137</v>
      </c>
      <c r="C154" s="232"/>
      <c r="D154" s="176">
        <f>SUM(D150:D153)</f>
      </c>
      <c r="E154" s="176">
        <f>SUM(E150:E153)</f>
      </c>
      <c r="F154" s="176">
        <f>SUM(F150:F153)</f>
      </c>
      <c r="G154" s="176">
        <f>SUM(G150:G153)</f>
      </c>
      <c r="H154" s="176">
        <f>SUM(H150:H153)</f>
      </c>
      <c r="I154" s="176">
        <f>SUM(I150:I153)</f>
      </c>
      <c r="J154" s="176">
        <f>SUM(J150:J153)</f>
      </c>
      <c r="K154" s="176">
        <f>SUM(K150:K153)</f>
      </c>
      <c r="L154" s="176">
        <f>SUM(L150:L153)</f>
      </c>
      <c r="M154" s="176">
        <f>SUM(M150:M153)</f>
      </c>
      <c r="N154" s="177">
        <f t="shared" si="14"/>
      </c>
      <c r="O154" s="177">
        <f t="shared" si="177"/>
      </c>
      <c r="P154" s="178">
        <f t="shared" si="119"/>
      </c>
      <c r="Q154" s="179">
        <f t="shared" si="293"/>
      </c>
      <c r="R154" s="180">
        <f t="shared" si="235"/>
      </c>
      <c r="S154" s="179">
        <f t="shared" si="322"/>
      </c>
      <c r="T154" s="179">
        <f t="shared" si="438"/>
      </c>
      <c r="U154" s="180">
        <f t="shared" si="380"/>
      </c>
      <c r="V154" s="179">
        <f t="shared" si="148"/>
      </c>
      <c r="W154" s="179">
        <f t="shared" si="90"/>
      </c>
      <c r="X154" s="180">
        <f t="shared" si="264"/>
      </c>
      <c r="Y154" s="181">
        <f t="shared" si="206"/>
      </c>
      <c r="Z154" s="180">
        <f t="shared" si="409"/>
      </c>
      <c r="AA154" s="182">
        <f t="shared" si="351"/>
      </c>
      <c r="AB154" s="189"/>
      <c r="AC154" s="202"/>
      <c r="AD154" s="183">
        <f>SUM(AD150:AD153)</f>
      </c>
      <c r="AE154" s="183">
        <f>SUM(AE150:AE153)</f>
      </c>
      <c r="AF154" s="183">
        <f>SUM(AF150:AF153)</f>
      </c>
      <c r="AG154" s="183">
        <f>SUM(AG150:AG153)</f>
      </c>
      <c r="AH154" s="183">
        <f>SUM(AH150:AH153)</f>
      </c>
      <c r="AI154" s="183">
        <f>SUM(AI150:AI153)</f>
      </c>
      <c r="AJ154" s="183">
        <f>SUM(AJ150:AJ153)</f>
      </c>
      <c r="AK154" s="183">
        <f>SUM(AK150:AK153)</f>
      </c>
      <c r="AL154" s="183">
        <f>SUM(AL150:AL153)</f>
      </c>
      <c r="AM154" s="168"/>
    </row>
    <row customHeight="true" hidden="true" ht="18.452380952380953" r="155">
      <c r="A155" s="152"/>
      <c r="B155" s="217" t="s">
        <v>145</v>
      </c>
      <c r="C155" s="209" t="s">
        <v>139</v>
      </c>
      <c r="D155" s="157">
        <f>E155+F155+G155+H155</f>
      </c>
      <c r="E155" s="156">
        <v>1812.47</v>
      </c>
      <c r="F155" s="158">
        <v>325.22</v>
      </c>
      <c r="G155" s="153"/>
      <c r="H155" s="156">
        <v>693.96</v>
      </c>
      <c r="I155" s="156">
        <v>1</v>
      </c>
      <c r="J155" s="153">
        <v>468</v>
      </c>
      <c r="K155" s="156">
        <v>1</v>
      </c>
      <c r="L155" s="156">
        <v>0</v>
      </c>
      <c r="M155" s="156">
        <v>0</v>
      </c>
      <c r="N155" s="159">
        <f t="shared" si="14"/>
      </c>
      <c r="O155" s="159">
        <f t="shared" si="177"/>
      </c>
      <c r="P155" s="160">
        <f t="shared" si="119"/>
      </c>
      <c r="Q155" s="161">
        <f t="shared" si="293"/>
      </c>
      <c r="R155" s="162">
        <f t="shared" si="235"/>
      </c>
      <c r="S155" s="161">
        <f t="shared" si="322"/>
      </c>
      <c r="T155" s="161">
        <f t="shared" si="438"/>
      </c>
      <c r="U155" s="162">
        <f t="shared" si="380"/>
      </c>
      <c r="V155" s="161">
        <f t="shared" si="148"/>
      </c>
      <c r="W155" s="161">
        <f t="shared" si="90"/>
      </c>
      <c r="X155" s="162">
        <f t="shared" si="264"/>
      </c>
      <c r="Y155" s="163">
        <f t="shared" si="206"/>
      </c>
      <c r="Z155" s="162">
        <f t="shared" si="409"/>
      </c>
      <c r="AA155" s="164">
        <f t="shared" si="351"/>
      </c>
      <c r="AB155" s="199" t="s">
        <v>132</v>
      </c>
      <c r="AC155" s="200" t="s">
        <v>167</v>
      </c>
      <c r="AD155" s="185">
        <v>1</v>
      </c>
      <c r="AE155" s="167">
        <v>6560</v>
      </c>
      <c r="AF155" s="167">
        <v>207</v>
      </c>
      <c r="AG155" s="167">
        <v>299</v>
      </c>
      <c r="AH155" s="167">
        <v>63</v>
      </c>
      <c r="AI155" s="167">
        <v>20</v>
      </c>
      <c r="AJ155" s="175">
        <v>6</v>
      </c>
      <c r="AK155" s="175">
        <v>15</v>
      </c>
      <c r="AL155" s="175">
        <v>1</v>
      </c>
      <c r="AM155" s="168"/>
    </row>
    <row customHeight="true" hidden="true" ht="18.452380952380953" r="156">
      <c r="A156" s="152"/>
      <c r="B156" s="176" t="s">
        <v>137</v>
      </c>
      <c r="C156" s="190"/>
      <c r="D156" s="176">
        <f>SUM(D155)</f>
      </c>
      <c r="E156" s="176">
        <f>SUM(E155)</f>
      </c>
      <c r="F156" s="176">
        <f>SUM(F155)</f>
      </c>
      <c r="G156" s="176">
        <f>SUM(G155)</f>
      </c>
      <c r="H156" s="176">
        <f>SUM(H155)</f>
      </c>
      <c r="I156" s="176">
        <f>SUM(I155)</f>
      </c>
      <c r="J156" s="176">
        <f>SUM(J155)</f>
      </c>
      <c r="K156" s="176">
        <f>SUM(K155)</f>
      </c>
      <c r="L156" s="176">
        <f>SUM(L155)</f>
      </c>
      <c r="M156" s="176">
        <f>SUM(M155)</f>
      </c>
      <c r="N156" s="177">
        <f t="shared" si="14"/>
      </c>
      <c r="O156" s="177">
        <f t="shared" si="177"/>
      </c>
      <c r="P156" s="188">
        <f t="shared" si="119"/>
      </c>
      <c r="Q156" s="179">
        <f t="shared" si="293"/>
      </c>
      <c r="R156" s="180">
        <f t="shared" si="235"/>
      </c>
      <c r="S156" s="179">
        <f t="shared" si="322"/>
      </c>
      <c r="T156" s="179">
        <f t="shared" si="438"/>
      </c>
      <c r="U156" s="180">
        <f t="shared" si="380"/>
      </c>
      <c r="V156" s="179">
        <f t="shared" si="148"/>
      </c>
      <c r="W156" s="179">
        <f t="shared" si="90"/>
      </c>
      <c r="X156" s="180">
        <f t="shared" si="264"/>
      </c>
      <c r="Y156" s="181">
        <f t="shared" si="206"/>
      </c>
      <c r="Z156" s="180">
        <f t="shared" si="409"/>
      </c>
      <c r="AA156" s="182">
        <f t="shared" si="351"/>
      </c>
      <c r="AB156" s="182"/>
      <c r="AC156" s="203"/>
      <c r="AD156" s="190">
        <f>SUM(AD155)</f>
      </c>
      <c r="AE156" s="190">
        <f>SUM(AE155)</f>
      </c>
      <c r="AF156" s="190">
        <f>SUM(AF155)</f>
      </c>
      <c r="AG156" s="190">
        <f>SUM(AG155)</f>
      </c>
      <c r="AH156" s="190">
        <f>SUM(AH155)</f>
      </c>
      <c r="AI156" s="190">
        <f>SUM(AI155)</f>
      </c>
      <c r="AJ156" s="190">
        <f>SUM(AJ155)</f>
      </c>
      <c r="AK156" s="190">
        <f>SUM(AK155)</f>
      </c>
      <c r="AL156" s="190">
        <f>SUM(AL155)</f>
      </c>
      <c r="AM156" s="191" t="s">
        <v>142</v>
      </c>
    </row>
    <row hidden="true" r="157">
      <c r="A157" s="152"/>
      <c r="B157" s="192" t="s">
        <v>143</v>
      </c>
      <c r="C157" s="192"/>
      <c r="D157" s="192">
        <f>D154+D156</f>
      </c>
      <c r="E157" s="192">
        <f>E154+E156</f>
      </c>
      <c r="F157" s="192">
        <f>F154+F156</f>
      </c>
      <c r="G157" s="192">
        <f>G154+G156</f>
      </c>
      <c r="H157" s="192">
        <f>H154+H156</f>
      </c>
      <c r="I157" s="192">
        <f>I154+I156</f>
      </c>
      <c r="J157" s="192">
        <f>J154+J156</f>
      </c>
      <c r="K157" s="192">
        <f>K154+K156</f>
      </c>
      <c r="L157" s="192">
        <f>L154+L156</f>
      </c>
      <c r="M157" s="192">
        <f>M154+M156</f>
      </c>
      <c r="N157" s="193">
        <f t="shared" si="14"/>
      </c>
      <c r="O157" s="193">
        <f t="shared" si="177"/>
      </c>
      <c r="P157" s="194">
        <f t="shared" si="119"/>
      </c>
      <c r="Q157" s="195">
        <f t="shared" si="293"/>
      </c>
      <c r="R157" s="193">
        <f t="shared" si="235"/>
      </c>
      <c r="S157" s="195">
        <f t="shared" si="322"/>
      </c>
      <c r="T157" s="195">
        <f t="shared" si="438"/>
      </c>
      <c r="U157" s="193">
        <f t="shared" si="380"/>
      </c>
      <c r="V157" s="195">
        <f t="shared" si="148"/>
      </c>
      <c r="W157" s="195">
        <f t="shared" si="90"/>
      </c>
      <c r="X157" s="193">
        <f t="shared" si="264"/>
      </c>
      <c r="Y157" s="196">
        <f t="shared" si="206"/>
      </c>
      <c r="Z157" s="193">
        <f t="shared" si="409"/>
      </c>
      <c r="AA157" s="194">
        <f t="shared" si="351"/>
      </c>
      <c r="AB157" s="194"/>
      <c r="AC157" s="194"/>
      <c r="AD157" s="197">
        <f>AD154+AD156</f>
      </c>
      <c r="AE157" s="197">
        <f>AE154+AE156</f>
      </c>
      <c r="AF157" s="197">
        <f>AF154+AF156</f>
      </c>
      <c r="AG157" s="197">
        <f>AG154+AG156</f>
      </c>
      <c r="AH157" s="197">
        <f>AH154+AH156</f>
      </c>
      <c r="AI157" s="197">
        <f>AI154+AI156</f>
      </c>
      <c r="AJ157" s="197">
        <f>AJ154+AJ156</f>
      </c>
      <c r="AK157" s="197">
        <f>AK154+AK156</f>
      </c>
      <c r="AL157" s="197">
        <f>AL154+AL156</f>
      </c>
      <c r="AM157" s="191"/>
    </row>
    <row hidden="true" r="158">
      <c r="A158" s="134" t="s">
        <v>87</v>
      </c>
      <c r="B158" s="134"/>
      <c r="C158" s="134"/>
      <c r="D158" s="135" t="s">
        <v>88</v>
      </c>
      <c r="E158" s="135"/>
      <c r="F158" s="135"/>
      <c r="G158" s="135"/>
      <c r="H158" s="135"/>
      <c r="I158" s="135"/>
      <c r="J158" s="204"/>
      <c r="K158" s="135"/>
      <c r="L158" s="135"/>
      <c r="M158" s="135"/>
      <c r="N158" s="135"/>
      <c r="O158" s="135"/>
      <c r="P158" s="136" t="s">
        <v>89</v>
      </c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7" t="s">
        <v>90</v>
      </c>
      <c r="AE158" s="137"/>
      <c r="AF158" s="137"/>
      <c r="AG158" s="137"/>
      <c r="AH158" s="137"/>
      <c r="AI158" s="137"/>
      <c r="AJ158" s="137"/>
      <c r="AK158" s="137"/>
      <c r="AL158" s="137"/>
      <c r="AM158" s="138"/>
    </row>
    <row hidden="true" r="159">
      <c r="A159" s="139" t="s">
        <v>91</v>
      </c>
      <c r="B159" s="140" t="s">
        <v>92</v>
      </c>
      <c r="C159" s="140" t="s">
        <v>93</v>
      </c>
      <c r="D159" s="141" t="s">
        <v>94</v>
      </c>
      <c r="E159" s="142" t="s">
        <v>95</v>
      </c>
      <c r="F159" s="142" t="s">
        <v>96</v>
      </c>
      <c r="G159" s="143" t="s">
        <v>97</v>
      </c>
      <c r="H159" s="144" t="s">
        <v>98</v>
      </c>
      <c r="I159" s="205" t="s">
        <v>99</v>
      </c>
      <c r="J159" s="206" t="s">
        <v>100</v>
      </c>
      <c r="K159" s="135" t="s">
        <v>101</v>
      </c>
      <c r="L159" s="146" t="s">
        <v>102</v>
      </c>
      <c r="M159" s="146" t="s">
        <v>103</v>
      </c>
      <c r="N159" s="143" t="s">
        <v>104</v>
      </c>
      <c r="O159" s="146" t="s">
        <v>105</v>
      </c>
      <c r="P159" s="136" t="s">
        <v>106</v>
      </c>
      <c r="Q159" s="136" t="s">
        <v>107</v>
      </c>
      <c r="R159" s="136" t="s">
        <v>108</v>
      </c>
      <c r="S159" s="147" t="s">
        <v>109</v>
      </c>
      <c r="T159" s="147" t="s">
        <v>110</v>
      </c>
      <c r="U159" s="136" t="s">
        <v>111</v>
      </c>
      <c r="V159" s="147" t="s">
        <v>112</v>
      </c>
      <c r="W159" s="147" t="s">
        <v>113</v>
      </c>
      <c r="X159" s="136" t="s">
        <v>114</v>
      </c>
      <c r="Y159" s="147" t="s">
        <v>115</v>
      </c>
      <c r="Z159" s="136" t="s">
        <v>116</v>
      </c>
      <c r="AA159" s="148" t="s">
        <v>117</v>
      </c>
      <c r="AB159" s="148" t="s">
        <v>118</v>
      </c>
      <c r="AC159" s="148" t="s">
        <v>119</v>
      </c>
      <c r="AD159" s="149" t="s">
        <v>120</v>
      </c>
      <c r="AE159" s="150" t="s">
        <v>121</v>
      </c>
      <c r="AF159" s="150" t="s">
        <v>122</v>
      </c>
      <c r="AG159" s="150" t="s">
        <v>123</v>
      </c>
      <c r="AH159" s="150" t="s">
        <v>124</v>
      </c>
      <c r="AI159" s="150" t="s">
        <v>125</v>
      </c>
      <c r="AJ159" s="151" t="s">
        <v>126</v>
      </c>
      <c r="AK159" s="151" t="s">
        <v>127</v>
      </c>
      <c r="AL159" s="151" t="s">
        <v>128</v>
      </c>
      <c r="AM159" s="138"/>
    </row>
    <row hidden="true" r="160">
      <c r="A160" s="152" t="s">
        <v>170</v>
      </c>
      <c r="B160" s="153" t="s">
        <v>130</v>
      </c>
      <c r="C160" s="154" t="s">
        <v>131</v>
      </c>
      <c r="D160" s="154">
        <f t="shared" ref="D160:D163" si="49">E160+F160+G160+H160</f>
      </c>
      <c r="E160" s="155">
        <v>1940.23</v>
      </c>
      <c r="F160" s="156">
        <v>554.79</v>
      </c>
      <c r="G160" s="157"/>
      <c r="H160" s="155">
        <v>617.05</v>
      </c>
      <c r="I160" s="208">
        <v>2</v>
      </c>
      <c r="J160" s="170">
        <v>4536</v>
      </c>
      <c r="K160" s="158">
        <v>0</v>
      </c>
      <c r="L160" s="156">
        <v>0</v>
      </c>
      <c r="M160" s="156">
        <v>2</v>
      </c>
      <c r="N160" s="159">
        <f t="shared" ref="N160:N169" si="15">J160/D160</f>
      </c>
      <c r="O160" s="159">
        <f t="shared" ref="O160:O169" si="178">J160/(D160+300*AL160)</f>
      </c>
      <c r="P160" s="160">
        <f t="shared" ref="P160:P169" si="120">(D160/AE160)*1000</f>
      </c>
      <c r="Q160" s="161">
        <f t="shared" ref="Q160:Q169" si="294">AF160/AE160</f>
      </c>
      <c r="R160" s="162">
        <f t="shared" ref="R160:R169" si="236">D160/AG160</f>
      </c>
      <c r="S160" s="161">
        <f t="shared" ref="S160:S169" si="323">AH160/AG160</f>
      </c>
      <c r="T160" s="161">
        <f t="shared" ref="T160:T169" si="439">AI160/AG160</f>
      </c>
      <c r="U160" s="162">
        <f t="shared" ref="U160:U169" si="381">D160/AI160</f>
      </c>
      <c r="V160" s="161">
        <f t="shared" ref="V160:V169" si="149">AJ160/AI160</f>
      </c>
      <c r="W160" s="161">
        <f t="shared" ref="W160:W169" si="91">I160/AJ160</f>
      </c>
      <c r="X160" s="162">
        <f t="shared" ref="X160:X169" si="265">D160/I160</f>
      </c>
      <c r="Y160" s="163">
        <f t="shared" ref="Y160:Y169" si="207">J160/I160</f>
      </c>
      <c r="Z160" s="162">
        <f t="shared" ref="Z160:Z169" si="410">D160/AD160</f>
      </c>
      <c r="AA160" s="164">
        <f t="shared" ref="AA160:AA169" si="352">AK160*1000/D160</f>
      </c>
      <c r="AB160" s="165" t="s">
        <v>132</v>
      </c>
      <c r="AC160" s="166" t="s">
        <v>153</v>
      </c>
      <c r="AD160" s="209">
        <v>2</v>
      </c>
      <c r="AE160" s="233">
        <v>7264</v>
      </c>
      <c r="AF160" s="209">
        <v>316</v>
      </c>
      <c r="AG160" s="157">
        <v>399</v>
      </c>
      <c r="AH160" s="157">
        <v>89</v>
      </c>
      <c r="AI160" s="153">
        <v>34</v>
      </c>
      <c r="AJ160" s="158">
        <v>9</v>
      </c>
      <c r="AK160" s="156">
        <v>17</v>
      </c>
      <c r="AL160" s="175">
        <v>1</v>
      </c>
      <c r="AM160" s="168"/>
    </row>
    <row hidden="true" r="161">
      <c r="A161" s="152"/>
      <c r="B161" s="169" t="s">
        <v>134</v>
      </c>
      <c r="C161" s="209" t="s">
        <v>131</v>
      </c>
      <c r="D161" s="157">
        <f t="shared" si="49"/>
      </c>
      <c r="E161" s="158">
        <v>2301.65</v>
      </c>
      <c r="F161" s="170">
        <v>406.94</v>
      </c>
      <c r="G161" s="153"/>
      <c r="H161" s="156">
        <v>253.87</v>
      </c>
      <c r="I161" s="184">
        <v>3</v>
      </c>
      <c r="J161" s="171">
        <v>6804</v>
      </c>
      <c r="K161" s="156">
        <v>0</v>
      </c>
      <c r="L161" s="156">
        <v>0</v>
      </c>
      <c r="M161" s="156">
        <v>3</v>
      </c>
      <c r="N161" s="159">
        <f t="shared" si="15"/>
      </c>
      <c r="O161" s="159">
        <f t="shared" si="178"/>
      </c>
      <c r="P161" s="160">
        <f t="shared" si="120"/>
      </c>
      <c r="Q161" s="161">
        <f t="shared" si="294"/>
      </c>
      <c r="R161" s="162">
        <f t="shared" si="236"/>
      </c>
      <c r="S161" s="161">
        <f t="shared" si="323"/>
      </c>
      <c r="T161" s="161">
        <f t="shared" si="439"/>
      </c>
      <c r="U161" s="162">
        <f t="shared" si="381"/>
      </c>
      <c r="V161" s="161">
        <f t="shared" si="149"/>
      </c>
      <c r="W161" s="161">
        <f t="shared" si="91"/>
      </c>
      <c r="X161" s="162">
        <f t="shared" si="265"/>
      </c>
      <c r="Y161" s="163">
        <f t="shared" si="207"/>
      </c>
      <c r="Z161" s="162">
        <f t="shared" si="410"/>
      </c>
      <c r="AA161" s="164">
        <f t="shared" si="352"/>
      </c>
      <c r="AB161" s="165" t="s">
        <v>132</v>
      </c>
      <c r="AC161" s="166" t="s">
        <v>153</v>
      </c>
      <c r="AD161" s="209">
        <v>3</v>
      </c>
      <c r="AE161" s="172">
        <v>6435</v>
      </c>
      <c r="AF161" s="172">
        <v>289</v>
      </c>
      <c r="AG161" s="171">
        <v>372</v>
      </c>
      <c r="AH161" s="153">
        <v>93</v>
      </c>
      <c r="AI161" s="153">
        <v>34</v>
      </c>
      <c r="AJ161" s="201">
        <v>14</v>
      </c>
      <c r="AK161" s="210">
        <v>14</v>
      </c>
      <c r="AL161" s="175">
        <v>1</v>
      </c>
      <c r="AM161" s="168"/>
    </row>
    <row hidden="true" r="162">
      <c r="A162" s="152"/>
      <c r="B162" s="169" t="s">
        <v>135</v>
      </c>
      <c r="C162" s="229" t="s">
        <v>131</v>
      </c>
      <c r="D162" s="157">
        <f t="shared" si="49"/>
      </c>
      <c r="E162" s="158">
        <v>2862.5</v>
      </c>
      <c r="F162" s="158">
        <v>503.42</v>
      </c>
      <c r="G162" s="153"/>
      <c r="H162" s="156">
        <v>127.73</v>
      </c>
      <c r="I162" s="156">
        <v>2</v>
      </c>
      <c r="J162" s="153">
        <v>2736</v>
      </c>
      <c r="K162" s="156">
        <v>1</v>
      </c>
      <c r="L162" s="156">
        <v>0</v>
      </c>
      <c r="M162" s="156">
        <v>1</v>
      </c>
      <c r="N162" s="159">
        <f t="shared" si="15"/>
      </c>
      <c r="O162" s="159">
        <f t="shared" si="178"/>
      </c>
      <c r="P162" s="160">
        <f t="shared" si="120"/>
      </c>
      <c r="Q162" s="161">
        <f t="shared" si="294"/>
      </c>
      <c r="R162" s="162">
        <f t="shared" si="236"/>
      </c>
      <c r="S162" s="161">
        <f t="shared" si="323"/>
      </c>
      <c r="T162" s="161">
        <f t="shared" si="439"/>
      </c>
      <c r="U162" s="162">
        <f t="shared" si="381"/>
      </c>
      <c r="V162" s="161">
        <f t="shared" si="149"/>
      </c>
      <c r="W162" s="161">
        <f t="shared" si="91"/>
      </c>
      <c r="X162" s="162">
        <f t="shared" si="265"/>
      </c>
      <c r="Y162" s="163">
        <f t="shared" si="207"/>
      </c>
      <c r="Z162" s="162">
        <f t="shared" si="410"/>
      </c>
      <c r="AA162" s="164">
        <f t="shared" si="352"/>
      </c>
      <c r="AB162" s="165" t="s">
        <v>132</v>
      </c>
      <c r="AC162" s="166" t="s">
        <v>153</v>
      </c>
      <c r="AD162" s="208">
        <v>2</v>
      </c>
      <c r="AE162" s="157">
        <v>8161</v>
      </c>
      <c r="AF162" s="157">
        <v>275</v>
      </c>
      <c r="AG162" s="153">
        <v>360</v>
      </c>
      <c r="AH162" s="153">
        <v>99</v>
      </c>
      <c r="AI162" s="153">
        <v>45</v>
      </c>
      <c r="AJ162" s="201">
        <v>12</v>
      </c>
      <c r="AK162" s="210">
        <v>26</v>
      </c>
      <c r="AL162" s="175">
        <v>1</v>
      </c>
      <c r="AM162" s="168"/>
    </row>
    <row hidden="true" r="163">
      <c r="A163" s="152"/>
      <c r="B163" s="169" t="s">
        <v>136</v>
      </c>
      <c r="C163" s="171" t="s">
        <v>131</v>
      </c>
      <c r="D163" s="157">
        <f t="shared" si="49"/>
      </c>
      <c r="E163" s="158">
        <v>2996.61</v>
      </c>
      <c r="F163" s="158">
        <v>493.98</v>
      </c>
      <c r="G163" s="153"/>
      <c r="H163" s="156">
        <v>151.58</v>
      </c>
      <c r="I163" s="156">
        <v>0</v>
      </c>
      <c r="J163" s="156">
        <v>0</v>
      </c>
      <c r="K163" s="156">
        <v>0</v>
      </c>
      <c r="L163" s="156">
        <v>0</v>
      </c>
      <c r="M163" s="156">
        <v>0</v>
      </c>
      <c r="N163" s="159">
        <f t="shared" si="15"/>
      </c>
      <c r="O163" s="159">
        <f t="shared" si="178"/>
      </c>
      <c r="P163" s="160">
        <f t="shared" si="120"/>
      </c>
      <c r="Q163" s="161">
        <f t="shared" si="294"/>
      </c>
      <c r="R163" s="162">
        <f t="shared" si="236"/>
      </c>
      <c r="S163" s="161">
        <f t="shared" si="323"/>
      </c>
      <c r="T163" s="161">
        <f t="shared" si="439"/>
      </c>
      <c r="U163" s="162">
        <f t="shared" si="381"/>
      </c>
      <c r="V163" s="161">
        <f t="shared" si="149"/>
      </c>
      <c r="W163" s="161">
        <f t="shared" si="91"/>
      </c>
      <c r="X163" s="162">
        <f t="shared" si="265"/>
      </c>
      <c r="Y163" s="163">
        <f t="shared" si="207"/>
      </c>
      <c r="Z163" s="162">
        <f t="shared" si="410"/>
      </c>
      <c r="AA163" s="164">
        <f t="shared" si="352"/>
      </c>
      <c r="AB163" s="165" t="s">
        <v>132</v>
      </c>
      <c r="AC163" s="166" t="s">
        <v>153</v>
      </c>
      <c r="AD163" s="209">
        <v>0</v>
      </c>
      <c r="AE163" s="172">
        <v>11808</v>
      </c>
      <c r="AF163" s="153">
        <v>348</v>
      </c>
      <c r="AG163" s="153">
        <v>438</v>
      </c>
      <c r="AH163" s="153">
        <v>106</v>
      </c>
      <c r="AI163" s="153">
        <v>20</v>
      </c>
      <c r="AJ163" s="201">
        <v>5</v>
      </c>
      <c r="AK163" s="210">
        <v>20</v>
      </c>
      <c r="AL163" s="175">
        <v>1</v>
      </c>
      <c r="AM163" s="168"/>
    </row>
    <row hidden="true" r="164">
      <c r="A164" s="152"/>
      <c r="B164" s="176" t="s">
        <v>137</v>
      </c>
      <c r="C164" s="176"/>
      <c r="D164" s="176">
        <f>SUM(D160:D163)</f>
      </c>
      <c r="E164" s="176">
        <f>SUM(E160:E163)</f>
      </c>
      <c r="F164" s="176">
        <f>SUM(F160:F163)</f>
      </c>
      <c r="G164" s="176">
        <f>SUM(G160:G163)</f>
      </c>
      <c r="H164" s="176">
        <f>SUM(H160:H163)</f>
      </c>
      <c r="I164" s="176">
        <f>SUM(I160:I163)</f>
      </c>
      <c r="J164" s="176">
        <f>SUM(J160:J163)</f>
      </c>
      <c r="K164" s="176">
        <f>SUM(K160:K163)</f>
      </c>
      <c r="L164" s="176">
        <f>SUM(L160:L163)</f>
      </c>
      <c r="M164" s="176">
        <f>SUM(M160:M163)</f>
      </c>
      <c r="N164" s="177">
        <f t="shared" si="15"/>
      </c>
      <c r="O164" s="177">
        <f t="shared" si="178"/>
      </c>
      <c r="P164" s="178">
        <f t="shared" si="120"/>
      </c>
      <c r="Q164" s="179">
        <f t="shared" si="294"/>
      </c>
      <c r="R164" s="180">
        <f t="shared" si="236"/>
      </c>
      <c r="S164" s="179">
        <f t="shared" si="323"/>
      </c>
      <c r="T164" s="179">
        <f t="shared" si="439"/>
      </c>
      <c r="U164" s="180">
        <f t="shared" si="381"/>
      </c>
      <c r="V164" s="179">
        <f t="shared" si="149"/>
      </c>
      <c r="W164" s="179">
        <f t="shared" si="91"/>
      </c>
      <c r="X164" s="180">
        <f t="shared" si="265"/>
      </c>
      <c r="Y164" s="181">
        <f t="shared" si="207"/>
      </c>
      <c r="Z164" s="180">
        <f t="shared" si="410"/>
      </c>
      <c r="AA164" s="182">
        <f t="shared" si="352"/>
      </c>
      <c r="AB164" s="182"/>
      <c r="AC164" s="189"/>
      <c r="AD164" s="211">
        <f>SUM(AD160:AD163)</f>
      </c>
      <c r="AE164" s="183">
        <f>SUM(AE160:AE163)</f>
      </c>
      <c r="AF164" s="183">
        <f>SUM(AF160:AF163)</f>
      </c>
      <c r="AG164" s="183">
        <f>SUM(AG160:AG163)</f>
      </c>
      <c r="AH164" s="183">
        <f>SUM(AH160:AH163)</f>
      </c>
      <c r="AI164" s="183">
        <f>SUM(AI160:AI163)</f>
      </c>
      <c r="AJ164" s="183">
        <f>SUM(AJ160:AJ163)</f>
      </c>
      <c r="AK164" s="183">
        <f>SUM(AK160:AK163)</f>
      </c>
      <c r="AL164" s="183">
        <f>SUM(AL160:AL163)</f>
      </c>
      <c r="AM164" s="168"/>
    </row>
    <row hidden="true" r="165">
      <c r="A165" s="152"/>
      <c r="B165" s="184" t="s">
        <v>145</v>
      </c>
      <c r="C165" s="154" t="s">
        <v>139</v>
      </c>
      <c r="D165" s="153">
        <f t="shared" ref="D165:D167" si="50">E165+F165+G165+H165</f>
      </c>
      <c r="E165" s="156">
        <v>1980.65</v>
      </c>
      <c r="F165" s="158">
        <v>586.05</v>
      </c>
      <c r="G165" s="153"/>
      <c r="H165" s="156">
        <v>277.65</v>
      </c>
      <c r="I165" s="156">
        <v>2</v>
      </c>
      <c r="J165" s="153">
        <v>4348</v>
      </c>
      <c r="K165" s="156">
        <v>0</v>
      </c>
      <c r="L165" s="156">
        <v>0</v>
      </c>
      <c r="M165" s="156">
        <v>2</v>
      </c>
      <c r="N165" s="159">
        <f t="shared" si="15"/>
      </c>
      <c r="O165" s="159">
        <f t="shared" si="178"/>
      </c>
      <c r="P165" s="160">
        <f t="shared" si="120"/>
      </c>
      <c r="Q165" s="161">
        <f t="shared" si="294"/>
      </c>
      <c r="R165" s="162">
        <f t="shared" si="236"/>
      </c>
      <c r="S165" s="161">
        <f t="shared" si="323"/>
      </c>
      <c r="T165" s="161">
        <f t="shared" si="439"/>
      </c>
      <c r="U165" s="162">
        <f t="shared" si="381"/>
      </c>
      <c r="V165" s="161">
        <f t="shared" si="149"/>
      </c>
      <c r="W165" s="161">
        <f t="shared" si="91"/>
      </c>
      <c r="X165" s="162">
        <f t="shared" si="265"/>
      </c>
      <c r="Y165" s="163">
        <f t="shared" si="207"/>
      </c>
      <c r="Z165" s="162">
        <f t="shared" si="410"/>
      </c>
      <c r="AA165" s="164">
        <f t="shared" si="352"/>
      </c>
      <c r="AB165" s="165" t="s">
        <v>132</v>
      </c>
      <c r="AC165" s="166" t="s">
        <v>153</v>
      </c>
      <c r="AD165" s="209">
        <v>2</v>
      </c>
      <c r="AE165" s="185">
        <v>8332</v>
      </c>
      <c r="AF165" s="167">
        <v>317</v>
      </c>
      <c r="AG165" s="167">
        <v>410</v>
      </c>
      <c r="AH165" s="167">
        <v>102</v>
      </c>
      <c r="AI165" s="167">
        <v>51</v>
      </c>
      <c r="AJ165" s="175">
        <v>5</v>
      </c>
      <c r="AK165" s="175">
        <v>23</v>
      </c>
      <c r="AL165" s="175">
        <v>1</v>
      </c>
      <c r="AM165" s="168"/>
    </row>
    <row customHeight="true" hidden="true" ht="18.452380952380953" r="166">
      <c r="A166" s="152"/>
      <c r="B166" s="171" t="s">
        <v>140</v>
      </c>
      <c r="C166" s="154" t="s">
        <v>139</v>
      </c>
      <c r="D166" s="153">
        <f t="shared" si="50"/>
      </c>
      <c r="E166" s="156">
        <v>2614.91</v>
      </c>
      <c r="F166" s="158">
        <v>516.4</v>
      </c>
      <c r="G166" s="153"/>
      <c r="H166" s="156">
        <v>305.8</v>
      </c>
      <c r="I166" s="156">
        <v>5</v>
      </c>
      <c r="J166" s="153">
        <v>11340</v>
      </c>
      <c r="K166" s="156">
        <v>0</v>
      </c>
      <c r="L166" s="156">
        <v>0</v>
      </c>
      <c r="M166" s="156">
        <v>5</v>
      </c>
      <c r="N166" s="159">
        <f t="shared" si="15"/>
      </c>
      <c r="O166" s="159">
        <f t="shared" si="178"/>
      </c>
      <c r="P166" s="160">
        <f t="shared" si="120"/>
      </c>
      <c r="Q166" s="161">
        <f t="shared" si="294"/>
      </c>
      <c r="R166" s="162">
        <f t="shared" si="236"/>
      </c>
      <c r="S166" s="161">
        <f t="shared" si="323"/>
      </c>
      <c r="T166" s="161">
        <f t="shared" si="439"/>
      </c>
      <c r="U166" s="162">
        <f t="shared" si="381"/>
      </c>
      <c r="V166" s="161">
        <f t="shared" si="149"/>
      </c>
      <c r="W166" s="161">
        <f t="shared" si="91"/>
      </c>
      <c r="X166" s="162">
        <f t="shared" si="265"/>
      </c>
      <c r="Y166" s="163">
        <f t="shared" si="207"/>
      </c>
      <c r="Z166" s="162">
        <f t="shared" si="410"/>
      </c>
      <c r="AA166" s="164">
        <f t="shared" si="352"/>
      </c>
      <c r="AB166" s="165" t="s">
        <v>132</v>
      </c>
      <c r="AC166" s="166" t="s">
        <v>153</v>
      </c>
      <c r="AD166" s="208">
        <v>5</v>
      </c>
      <c r="AE166" s="185">
        <v>8862</v>
      </c>
      <c r="AF166" s="167">
        <v>359</v>
      </c>
      <c r="AG166" s="167">
        <v>444</v>
      </c>
      <c r="AH166" s="167">
        <v>122</v>
      </c>
      <c r="AI166" s="167">
        <v>48</v>
      </c>
      <c r="AJ166" s="175">
        <v>12</v>
      </c>
      <c r="AK166" s="175">
        <v>25</v>
      </c>
      <c r="AL166" s="175">
        <v>1</v>
      </c>
      <c r="AM166" s="168"/>
    </row>
    <row customHeight="true" hidden="true" ht="18.452380952380953" r="167">
      <c r="A167" s="152"/>
      <c r="B167" s="156" t="s">
        <v>141</v>
      </c>
      <c r="C167" s="154" t="s">
        <v>139</v>
      </c>
      <c r="D167" s="153">
        <f t="shared" si="50"/>
      </c>
      <c r="E167" s="156">
        <v>2233.84</v>
      </c>
      <c r="F167" s="158">
        <v>640.8</v>
      </c>
      <c r="G167" s="153"/>
      <c r="H167" s="156">
        <v>378.48</v>
      </c>
      <c r="I167" s="156">
        <v>0</v>
      </c>
      <c r="J167" s="156">
        <v>0</v>
      </c>
      <c r="K167" s="156">
        <v>0</v>
      </c>
      <c r="L167" s="156">
        <v>0</v>
      </c>
      <c r="M167" s="156">
        <v>0</v>
      </c>
      <c r="N167" s="159">
        <f t="shared" si="15"/>
      </c>
      <c r="O167" s="159">
        <f t="shared" si="178"/>
      </c>
      <c r="P167" s="160">
        <f t="shared" si="120"/>
      </c>
      <c r="Q167" s="161">
        <f t="shared" si="294"/>
      </c>
      <c r="R167" s="162">
        <f t="shared" si="236"/>
      </c>
      <c r="S167" s="161">
        <f t="shared" si="323"/>
      </c>
      <c r="T167" s="161">
        <f t="shared" si="439"/>
      </c>
      <c r="U167" s="162">
        <f t="shared" si="381"/>
      </c>
      <c r="V167" s="161">
        <f t="shared" si="149"/>
      </c>
      <c r="W167" s="161">
        <f t="shared" si="91"/>
      </c>
      <c r="X167" s="162">
        <f t="shared" si="265"/>
      </c>
      <c r="Y167" s="163">
        <f t="shared" si="207"/>
      </c>
      <c r="Z167" s="162">
        <f t="shared" si="410"/>
      </c>
      <c r="AA167" s="164">
        <f t="shared" si="352"/>
      </c>
      <c r="AB167" s="165" t="s">
        <v>132</v>
      </c>
      <c r="AC167" s="166" t="s">
        <v>153</v>
      </c>
      <c r="AD167" s="208">
        <v>0</v>
      </c>
      <c r="AE167" s="185">
        <v>7994</v>
      </c>
      <c r="AF167" s="167">
        <v>271</v>
      </c>
      <c r="AG167" s="167">
        <v>407</v>
      </c>
      <c r="AH167" s="167">
        <v>89</v>
      </c>
      <c r="AI167" s="167">
        <v>49</v>
      </c>
      <c r="AJ167" s="175">
        <v>6</v>
      </c>
      <c r="AK167" s="175">
        <v>22</v>
      </c>
      <c r="AL167" s="175">
        <v>1</v>
      </c>
      <c r="AM167" s="168"/>
    </row>
    <row hidden="true" r="168">
      <c r="A168" s="152"/>
      <c r="B168" s="176" t="s">
        <v>137</v>
      </c>
      <c r="C168" s="176"/>
      <c r="D168" s="176">
        <f>SUM(D165:D167)</f>
      </c>
      <c r="E168" s="176">
        <f>SUM(E165:E167)</f>
      </c>
      <c r="F168" s="176">
        <f>SUM(F165:F167)</f>
      </c>
      <c r="G168" s="176">
        <f>SUM(G165:G167)</f>
      </c>
      <c r="H168" s="176">
        <f>SUM(H165:H167)</f>
      </c>
      <c r="I168" s="176">
        <f>SUM(I165:I167)</f>
      </c>
      <c r="J168" s="176">
        <f>SUM(J165:J167)</f>
      </c>
      <c r="K168" s="176">
        <f>SUM(K165:K167)</f>
      </c>
      <c r="L168" s="176">
        <f>SUM(L165:L167)</f>
      </c>
      <c r="M168" s="176">
        <f>SUM(M165:M167)</f>
      </c>
      <c r="N168" s="177">
        <f t="shared" si="15"/>
      </c>
      <c r="O168" s="177">
        <f t="shared" si="178"/>
      </c>
      <c r="P168" s="188">
        <f t="shared" si="120"/>
      </c>
      <c r="Q168" s="179">
        <f t="shared" si="294"/>
      </c>
      <c r="R168" s="180">
        <f t="shared" si="236"/>
      </c>
      <c r="S168" s="179">
        <f t="shared" si="323"/>
      </c>
      <c r="T168" s="179">
        <f t="shared" si="439"/>
      </c>
      <c r="U168" s="180">
        <f t="shared" si="381"/>
      </c>
      <c r="V168" s="179">
        <f t="shared" si="149"/>
      </c>
      <c r="W168" s="179">
        <f t="shared" si="91"/>
      </c>
      <c r="X168" s="180">
        <f t="shared" si="265"/>
      </c>
      <c r="Y168" s="181">
        <f t="shared" si="207"/>
      </c>
      <c r="Z168" s="180">
        <f t="shared" si="410"/>
      </c>
      <c r="AA168" s="182">
        <f t="shared" si="352"/>
      </c>
      <c r="AB168" s="182"/>
      <c r="AC168" s="189"/>
      <c r="AD168" s="190">
        <f>SUM(AD165:AD167)</f>
      </c>
      <c r="AE168" s="190">
        <f>SUM(AE165:AE167)</f>
      </c>
      <c r="AF168" s="190">
        <f>SUM(AF165:AF167)</f>
      </c>
      <c r="AG168" s="190">
        <f>SUM(AG165:AG167)</f>
      </c>
      <c r="AH168" s="190">
        <f>SUM(AH165:AH167)</f>
      </c>
      <c r="AI168" s="190">
        <f>SUM(AI165:AI167)</f>
      </c>
      <c r="AJ168" s="190">
        <f>SUM(AJ165:AJ167)</f>
      </c>
      <c r="AK168" s="190">
        <f>SUM(AK165:AK167)</f>
      </c>
      <c r="AL168" s="190">
        <f>SUM(AL165:AL167)</f>
      </c>
      <c r="AM168" s="191" t="s">
        <v>142</v>
      </c>
    </row>
    <row hidden="true" r="169">
      <c r="A169" s="152"/>
      <c r="B169" s="192" t="s">
        <v>143</v>
      </c>
      <c r="C169" s="192"/>
      <c r="D169" s="192">
        <f>D164+D168</f>
      </c>
      <c r="E169" s="192">
        <f>E164+E168</f>
      </c>
      <c r="F169" s="192">
        <f>F164+F168</f>
      </c>
      <c r="G169" s="192">
        <f>G164+G168</f>
      </c>
      <c r="H169" s="192">
        <f>H164+H168</f>
      </c>
      <c r="I169" s="192">
        <f>I164+I168</f>
      </c>
      <c r="J169" s="192">
        <f>J164+J168</f>
      </c>
      <c r="K169" s="192">
        <f>K164+K168</f>
      </c>
      <c r="L169" s="192">
        <f>L164+L168</f>
      </c>
      <c r="M169" s="192">
        <f>M164+M168</f>
      </c>
      <c r="N169" s="193">
        <f t="shared" si="15"/>
      </c>
      <c r="O169" s="193">
        <f t="shared" si="178"/>
      </c>
      <c r="P169" s="194">
        <f t="shared" si="120"/>
      </c>
      <c r="Q169" s="195">
        <f t="shared" si="294"/>
      </c>
      <c r="R169" s="193">
        <f t="shared" si="236"/>
      </c>
      <c r="S169" s="195">
        <f t="shared" si="323"/>
      </c>
      <c r="T169" s="195">
        <f t="shared" si="439"/>
      </c>
      <c r="U169" s="193">
        <f t="shared" si="381"/>
      </c>
      <c r="V169" s="195">
        <f t="shared" si="149"/>
      </c>
      <c r="W169" s="195">
        <f t="shared" si="91"/>
      </c>
      <c r="X169" s="193">
        <f t="shared" si="265"/>
      </c>
      <c r="Y169" s="196">
        <f t="shared" si="207"/>
      </c>
      <c r="Z169" s="193">
        <f t="shared" si="410"/>
      </c>
      <c r="AA169" s="194">
        <f t="shared" si="352"/>
      </c>
      <c r="AB169" s="194"/>
      <c r="AC169" s="194"/>
      <c r="AD169" s="197">
        <f>AD164+AD168</f>
      </c>
      <c r="AE169" s="197">
        <f>AE164+AE168</f>
      </c>
      <c r="AF169" s="197">
        <f>AF164+AF168</f>
      </c>
      <c r="AG169" s="197">
        <f>AG164+AG168</f>
      </c>
      <c r="AH169" s="197">
        <f>AH164+AH168</f>
      </c>
      <c r="AI169" s="197">
        <f>AI164+AI168</f>
      </c>
      <c r="AJ169" s="197">
        <f>AJ164+AJ168</f>
      </c>
      <c r="AK169" s="197">
        <f>AK164+AK168</f>
      </c>
      <c r="AL169" s="197">
        <f>AL164+AL168</f>
      </c>
      <c r="AM169" s="191"/>
    </row>
    <row hidden="true" r="170">
      <c r="A170" s="134" t="s">
        <v>87</v>
      </c>
      <c r="B170" s="134"/>
      <c r="C170" s="134"/>
      <c r="D170" s="135" t="s">
        <v>88</v>
      </c>
      <c r="E170" s="135"/>
      <c r="F170" s="135"/>
      <c r="G170" s="135"/>
      <c r="H170" s="135"/>
      <c r="I170" s="135"/>
      <c r="J170" s="135"/>
      <c r="K170" s="135"/>
      <c r="L170" s="135"/>
      <c r="M170" s="135"/>
      <c r="N170" s="135"/>
      <c r="O170" s="135"/>
      <c r="P170" s="136" t="s">
        <v>89</v>
      </c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7" t="s">
        <v>90</v>
      </c>
      <c r="AE170" s="137"/>
      <c r="AF170" s="137"/>
      <c r="AG170" s="137"/>
      <c r="AH170" s="137"/>
      <c r="AI170" s="137"/>
      <c r="AJ170" s="137"/>
      <c r="AK170" s="137"/>
      <c r="AL170" s="137"/>
      <c r="AM170" s="138"/>
    </row>
    <row hidden="true" r="171">
      <c r="A171" s="139" t="s">
        <v>91</v>
      </c>
      <c r="B171" s="140" t="s">
        <v>92</v>
      </c>
      <c r="C171" s="140" t="s">
        <v>93</v>
      </c>
      <c r="D171" s="141" t="s">
        <v>94</v>
      </c>
      <c r="E171" s="142" t="s">
        <v>95</v>
      </c>
      <c r="F171" s="142" t="s">
        <v>96</v>
      </c>
      <c r="G171" s="143" t="s">
        <v>97</v>
      </c>
      <c r="H171" s="144" t="s">
        <v>98</v>
      </c>
      <c r="I171" s="205" t="s">
        <v>99</v>
      </c>
      <c r="J171" s="206" t="s">
        <v>100</v>
      </c>
      <c r="K171" s="135" t="s">
        <v>101</v>
      </c>
      <c r="L171" s="146" t="s">
        <v>102</v>
      </c>
      <c r="M171" s="146" t="s">
        <v>103</v>
      </c>
      <c r="N171" s="143" t="s">
        <v>104</v>
      </c>
      <c r="O171" s="146" t="s">
        <v>105</v>
      </c>
      <c r="P171" s="136" t="s">
        <v>106</v>
      </c>
      <c r="Q171" s="136" t="s">
        <v>107</v>
      </c>
      <c r="R171" s="136" t="s">
        <v>108</v>
      </c>
      <c r="S171" s="147" t="s">
        <v>109</v>
      </c>
      <c r="T171" s="147" t="s">
        <v>110</v>
      </c>
      <c r="U171" s="136" t="s">
        <v>111</v>
      </c>
      <c r="V171" s="147" t="s">
        <v>112</v>
      </c>
      <c r="W171" s="147" t="s">
        <v>113</v>
      </c>
      <c r="X171" s="136" t="s">
        <v>114</v>
      </c>
      <c r="Y171" s="147" t="s">
        <v>115</v>
      </c>
      <c r="Z171" s="136" t="s">
        <v>116</v>
      </c>
      <c r="AA171" s="148" t="s">
        <v>117</v>
      </c>
      <c r="AB171" s="148" t="s">
        <v>118</v>
      </c>
      <c r="AC171" s="148" t="s">
        <v>119</v>
      </c>
      <c r="AD171" s="149" t="s">
        <v>120</v>
      </c>
      <c r="AE171" s="150" t="s">
        <v>121</v>
      </c>
      <c r="AF171" s="150" t="s">
        <v>122</v>
      </c>
      <c r="AG171" s="150" t="s">
        <v>123</v>
      </c>
      <c r="AH171" s="150" t="s">
        <v>124</v>
      </c>
      <c r="AI171" s="150" t="s">
        <v>125</v>
      </c>
      <c r="AJ171" s="151" t="s">
        <v>126</v>
      </c>
      <c r="AK171" s="151" t="s">
        <v>127</v>
      </c>
      <c r="AL171" s="151" t="s">
        <v>128</v>
      </c>
      <c r="AM171" s="138"/>
    </row>
    <row hidden="true" r="172">
      <c r="A172" s="152" t="s">
        <v>171</v>
      </c>
      <c r="B172" s="153" t="s">
        <v>130</v>
      </c>
      <c r="C172" s="154" t="s">
        <v>131</v>
      </c>
      <c r="D172" s="154">
        <f t="shared" ref="D172:D175" si="51">E172+F172+G172+H172</f>
      </c>
      <c r="E172" s="155">
        <v>3228.99</v>
      </c>
      <c r="F172" s="156">
        <v>412.46</v>
      </c>
      <c r="G172" s="157"/>
      <c r="H172" s="155">
        <v>260.22</v>
      </c>
      <c r="I172" s="208">
        <v>4</v>
      </c>
      <c r="J172" s="170">
        <v>7752</v>
      </c>
      <c r="K172" s="158">
        <v>0</v>
      </c>
      <c r="L172" s="156">
        <v>1</v>
      </c>
      <c r="M172" s="156">
        <v>3</v>
      </c>
      <c r="N172" s="159">
        <f t="shared" ref="N172:N182" si="16">J172/D172</f>
      </c>
      <c r="O172" s="159">
        <f t="shared" ref="O172:O182" si="179">J172/(D172+300*AL172)</f>
      </c>
      <c r="P172" s="160">
        <f t="shared" ref="P172:P182" si="121">(D172/AE172)*1000</f>
      </c>
      <c r="Q172" s="161">
        <f t="shared" ref="Q172:Q182" si="295">AF172/AE172</f>
      </c>
      <c r="R172" s="162">
        <f t="shared" ref="R172:R182" si="237">D172/AG172</f>
      </c>
      <c r="S172" s="161">
        <f t="shared" ref="S172:S182" si="324">AH172/AG172</f>
      </c>
      <c r="T172" s="161">
        <f t="shared" ref="T172:T182" si="440">AI172/AG172</f>
      </c>
      <c r="U172" s="162">
        <f t="shared" ref="U172:U182" si="382">D172/AI172</f>
      </c>
      <c r="V172" s="161">
        <f t="shared" ref="V172:V182" si="150">AJ172/AI172</f>
      </c>
      <c r="W172" s="161">
        <f t="shared" ref="W172:W182" si="92">I172/AJ172</f>
      </c>
      <c r="X172" s="162">
        <f t="shared" ref="X172:X182" si="266">D172/I172</f>
      </c>
      <c r="Y172" s="163">
        <f t="shared" ref="Y172:Y182" si="208">J172/I172</f>
      </c>
      <c r="Z172" s="162">
        <f t="shared" ref="Z172:Z182" si="411">D172/AD172</f>
      </c>
      <c r="AA172" s="164">
        <f t="shared" ref="AA172:AA182" si="353">AK172*1000/D172</f>
      </c>
      <c r="AB172" s="165" t="s">
        <v>132</v>
      </c>
      <c r="AC172" s="166" t="s">
        <v>153</v>
      </c>
      <c r="AD172" s="234">
        <v>4</v>
      </c>
      <c r="AE172" s="233">
        <v>10735</v>
      </c>
      <c r="AF172" s="209">
        <v>362</v>
      </c>
      <c r="AG172" s="157">
        <v>424</v>
      </c>
      <c r="AH172" s="157">
        <v>130</v>
      </c>
      <c r="AI172" s="153">
        <v>45</v>
      </c>
      <c r="AJ172" s="158">
        <v>12</v>
      </c>
      <c r="AK172" s="156">
        <v>28</v>
      </c>
      <c r="AL172" s="175">
        <v>1</v>
      </c>
      <c r="AM172" s="168"/>
    </row>
    <row hidden="true" r="173">
      <c r="A173" s="152"/>
      <c r="B173" s="169" t="s">
        <v>134</v>
      </c>
      <c r="C173" s="209" t="s">
        <v>131</v>
      </c>
      <c r="D173" s="157">
        <f t="shared" si="51"/>
      </c>
      <c r="E173" s="158">
        <v>2539.07</v>
      </c>
      <c r="F173" s="170">
        <v>324.34</v>
      </c>
      <c r="G173" s="153"/>
      <c r="H173" s="156">
        <v>363.59</v>
      </c>
      <c r="I173" s="184">
        <v>5</v>
      </c>
      <c r="J173" s="171">
        <v>8181</v>
      </c>
      <c r="K173" s="156">
        <v>1</v>
      </c>
      <c r="L173" s="156">
        <v>1</v>
      </c>
      <c r="M173" s="156">
        <v>3</v>
      </c>
      <c r="N173" s="159">
        <f t="shared" si="16"/>
      </c>
      <c r="O173" s="159">
        <f t="shared" si="179"/>
      </c>
      <c r="P173" s="160">
        <f t="shared" si="121"/>
      </c>
      <c r="Q173" s="161">
        <f t="shared" si="295"/>
      </c>
      <c r="R173" s="162">
        <f t="shared" si="237"/>
      </c>
      <c r="S173" s="161">
        <f t="shared" si="324"/>
      </c>
      <c r="T173" s="161">
        <f t="shared" si="440"/>
      </c>
      <c r="U173" s="162">
        <f t="shared" si="382"/>
      </c>
      <c r="V173" s="161">
        <f t="shared" si="150"/>
      </c>
      <c r="W173" s="161">
        <f t="shared" si="92"/>
      </c>
      <c r="X173" s="162">
        <f t="shared" si="266"/>
      </c>
      <c r="Y173" s="163">
        <f t="shared" si="208"/>
      </c>
      <c r="Z173" s="162">
        <f t="shared" si="411"/>
      </c>
      <c r="AA173" s="164">
        <f t="shared" si="353"/>
      </c>
      <c r="AB173" s="165" t="s">
        <v>132</v>
      </c>
      <c r="AC173" s="166" t="s">
        <v>153</v>
      </c>
      <c r="AD173" s="208">
        <v>4</v>
      </c>
      <c r="AE173" s="172">
        <v>8014</v>
      </c>
      <c r="AF173" s="172">
        <v>305</v>
      </c>
      <c r="AG173" s="171">
        <v>373</v>
      </c>
      <c r="AH173" s="153">
        <v>108</v>
      </c>
      <c r="AI173" s="153">
        <v>38</v>
      </c>
      <c r="AJ173" s="201">
        <v>15</v>
      </c>
      <c r="AK173" s="210">
        <v>24</v>
      </c>
      <c r="AL173" s="175">
        <v>1</v>
      </c>
      <c r="AM173" s="168"/>
    </row>
    <row hidden="true" r="174">
      <c r="A174" s="152"/>
      <c r="B174" s="169" t="s">
        <v>135</v>
      </c>
      <c r="C174" s="229" t="s">
        <v>131</v>
      </c>
      <c r="D174" s="157">
        <f t="shared" si="51"/>
      </c>
      <c r="E174" s="158">
        <v>2823.15</v>
      </c>
      <c r="F174" s="158">
        <v>205.79</v>
      </c>
      <c r="G174" s="153"/>
      <c r="H174" s="156">
        <v>348.39</v>
      </c>
      <c r="I174" s="156">
        <v>4</v>
      </c>
      <c r="J174" s="153">
        <v>6432</v>
      </c>
      <c r="K174" s="156">
        <v>0</v>
      </c>
      <c r="L174" s="156">
        <v>2</v>
      </c>
      <c r="M174" s="156">
        <v>2</v>
      </c>
      <c r="N174" s="159">
        <f t="shared" si="16"/>
      </c>
      <c r="O174" s="159">
        <f t="shared" si="179"/>
      </c>
      <c r="P174" s="160">
        <f t="shared" si="121"/>
      </c>
      <c r="Q174" s="161">
        <f t="shared" si="295"/>
      </c>
      <c r="R174" s="162">
        <f t="shared" si="237"/>
      </c>
      <c r="S174" s="161">
        <f t="shared" si="324"/>
      </c>
      <c r="T174" s="161">
        <f t="shared" si="440"/>
      </c>
      <c r="U174" s="162">
        <f t="shared" si="382"/>
      </c>
      <c r="V174" s="161">
        <f t="shared" si="150"/>
      </c>
      <c r="W174" s="161">
        <f t="shared" si="92"/>
      </c>
      <c r="X174" s="162">
        <f t="shared" si="266"/>
      </c>
      <c r="Y174" s="163">
        <f t="shared" si="208"/>
      </c>
      <c r="Z174" s="162">
        <f t="shared" si="411"/>
      </c>
      <c r="AA174" s="164">
        <f t="shared" si="353"/>
      </c>
      <c r="AB174" s="165" t="s">
        <v>132</v>
      </c>
      <c r="AC174" s="166" t="s">
        <v>153</v>
      </c>
      <c r="AD174" s="218">
        <v>4</v>
      </c>
      <c r="AE174" s="157">
        <v>8795</v>
      </c>
      <c r="AF174" s="157">
        <v>280</v>
      </c>
      <c r="AG174" s="153">
        <v>356</v>
      </c>
      <c r="AH174" s="153">
        <v>88</v>
      </c>
      <c r="AI174" s="153">
        <v>23</v>
      </c>
      <c r="AJ174" s="201">
        <v>8</v>
      </c>
      <c r="AK174" s="210">
        <v>22</v>
      </c>
      <c r="AL174" s="175">
        <v>1</v>
      </c>
      <c r="AM174" s="168"/>
    </row>
    <row hidden="true" r="175">
      <c r="A175" s="152"/>
      <c r="B175" s="169" t="s">
        <v>136</v>
      </c>
      <c r="C175" s="171" t="s">
        <v>131</v>
      </c>
      <c r="D175" s="157">
        <f t="shared" si="51"/>
      </c>
      <c r="E175" s="158">
        <v>2789.47</v>
      </c>
      <c r="F175" s="158">
        <v>317.14</v>
      </c>
      <c r="G175" s="153"/>
      <c r="H175" s="156">
        <v>340.94</v>
      </c>
      <c r="I175" s="156">
        <v>2</v>
      </c>
      <c r="J175" s="156">
        <v>1817</v>
      </c>
      <c r="K175" s="156">
        <v>0</v>
      </c>
      <c r="L175" s="156">
        <v>2</v>
      </c>
      <c r="M175" s="156">
        <v>0</v>
      </c>
      <c r="N175" s="159">
        <f t="shared" si="16"/>
      </c>
      <c r="O175" s="159">
        <f t="shared" si="179"/>
      </c>
      <c r="P175" s="160">
        <f t="shared" si="121"/>
      </c>
      <c r="Q175" s="161">
        <f t="shared" si="295"/>
      </c>
      <c r="R175" s="162">
        <f t="shared" si="237"/>
      </c>
      <c r="S175" s="161">
        <f t="shared" si="324"/>
      </c>
      <c r="T175" s="161">
        <f t="shared" si="440"/>
      </c>
      <c r="U175" s="162">
        <f t="shared" si="382"/>
      </c>
      <c r="V175" s="161">
        <f t="shared" si="150"/>
      </c>
      <c r="W175" s="161">
        <f t="shared" si="92"/>
      </c>
      <c r="X175" s="162">
        <f t="shared" si="266"/>
      </c>
      <c r="Y175" s="163">
        <f t="shared" si="208"/>
      </c>
      <c r="Z175" s="162">
        <f t="shared" si="411"/>
      </c>
      <c r="AA175" s="164">
        <f t="shared" si="353"/>
      </c>
      <c r="AB175" s="165" t="s">
        <v>132</v>
      </c>
      <c r="AC175" s="166" t="s">
        <v>153</v>
      </c>
      <c r="AD175" s="209">
        <v>2</v>
      </c>
      <c r="AE175" s="172">
        <v>9713</v>
      </c>
      <c r="AF175" s="153">
        <v>272</v>
      </c>
      <c r="AG175" s="153">
        <v>358</v>
      </c>
      <c r="AH175" s="153">
        <v>88</v>
      </c>
      <c r="AI175" s="153">
        <v>24</v>
      </c>
      <c r="AJ175" s="201">
        <v>7</v>
      </c>
      <c r="AK175" s="210">
        <v>15</v>
      </c>
      <c r="AL175" s="175">
        <v>1</v>
      </c>
      <c r="AM175" s="168"/>
    </row>
    <row hidden="true" r="176">
      <c r="A176" s="152"/>
      <c r="B176" s="176" t="s">
        <v>137</v>
      </c>
      <c r="C176" s="176"/>
      <c r="D176" s="176">
        <f>SUM(D172:D175)</f>
      </c>
      <c r="E176" s="176">
        <f>SUM(E172:E175)</f>
      </c>
      <c r="F176" s="176">
        <f>SUM(F172:F175)</f>
      </c>
      <c r="G176" s="176">
        <f>SUM(G172:G175)</f>
      </c>
      <c r="H176" s="176">
        <f>SUM(H172:H175)</f>
      </c>
      <c r="I176" s="176">
        <f>SUM(I172:I175)</f>
      </c>
      <c r="J176" s="176">
        <f>SUM(J172:J175)</f>
      </c>
      <c r="K176" s="176">
        <f>SUM(K172:K175)</f>
      </c>
      <c r="L176" s="176">
        <f>SUM(L172:L175)</f>
      </c>
      <c r="M176" s="176">
        <f>SUM(M172:M175)</f>
      </c>
      <c r="N176" s="177">
        <f t="shared" si="16"/>
      </c>
      <c r="O176" s="177">
        <f t="shared" si="179"/>
      </c>
      <c r="P176" s="178">
        <f t="shared" si="121"/>
      </c>
      <c r="Q176" s="179">
        <f t="shared" si="295"/>
      </c>
      <c r="R176" s="180">
        <f t="shared" si="237"/>
      </c>
      <c r="S176" s="179">
        <f t="shared" si="324"/>
      </c>
      <c r="T176" s="179">
        <f t="shared" si="440"/>
      </c>
      <c r="U176" s="180">
        <f t="shared" si="382"/>
      </c>
      <c r="V176" s="179">
        <f t="shared" si="150"/>
      </c>
      <c r="W176" s="179">
        <f t="shared" si="92"/>
      </c>
      <c r="X176" s="180">
        <f t="shared" si="266"/>
      </c>
      <c r="Y176" s="181">
        <f t="shared" si="208"/>
      </c>
      <c r="Z176" s="180">
        <f t="shared" si="411"/>
      </c>
      <c r="AA176" s="182">
        <f t="shared" si="353"/>
      </c>
      <c r="AB176" s="182"/>
      <c r="AC176" s="189"/>
      <c r="AD176" s="211">
        <f>SUM(AD172:AD175)</f>
      </c>
      <c r="AE176" s="183">
        <f>SUM(AE172:AE175)</f>
      </c>
      <c r="AF176" s="183">
        <f>SUM(AF172:AF175)</f>
      </c>
      <c r="AG176" s="183">
        <f>SUM(AG172:AG175)</f>
      </c>
      <c r="AH176" s="183">
        <f>SUM(AH172:AH175)</f>
      </c>
      <c r="AI176" s="183">
        <f>SUM(AI172:AI175)</f>
      </c>
      <c r="AJ176" s="183">
        <f>SUM(AJ172:AJ175)</f>
      </c>
      <c r="AK176" s="183">
        <f>SUM(AK172:AK175)</f>
      </c>
      <c r="AL176" s="183">
        <f>SUM(AL172:AL175)</f>
      </c>
      <c r="AM176" s="168"/>
    </row>
    <row hidden="true" r="177">
      <c r="A177" s="152"/>
      <c r="B177" s="184" t="s">
        <v>145</v>
      </c>
      <c r="C177" s="154" t="s">
        <v>139</v>
      </c>
      <c r="D177" s="153">
        <f t="shared" ref="D177:D180" si="52">E177+F177+G177+H177</f>
      </c>
      <c r="E177" s="156">
        <v>3783.99</v>
      </c>
      <c r="F177" s="158">
        <v>387.07</v>
      </c>
      <c r="G177" s="153"/>
      <c r="H177" s="156">
        <v>312.58</v>
      </c>
      <c r="I177" s="156">
        <v>3</v>
      </c>
      <c r="J177" s="153">
        <v>6804</v>
      </c>
      <c r="K177" s="156">
        <v>0</v>
      </c>
      <c r="L177" s="156">
        <v>0</v>
      </c>
      <c r="M177" s="156">
        <v>3</v>
      </c>
      <c r="N177" s="159">
        <f t="shared" si="16"/>
      </c>
      <c r="O177" s="159">
        <f t="shared" si="179"/>
      </c>
      <c r="P177" s="160">
        <f t="shared" si="121"/>
      </c>
      <c r="Q177" s="161">
        <f t="shared" si="295"/>
      </c>
      <c r="R177" s="162">
        <f t="shared" si="237"/>
      </c>
      <c r="S177" s="161">
        <f t="shared" si="324"/>
      </c>
      <c r="T177" s="161">
        <f t="shared" si="440"/>
      </c>
      <c r="U177" s="162">
        <f t="shared" si="382"/>
      </c>
      <c r="V177" s="161">
        <f t="shared" si="150"/>
      </c>
      <c r="W177" s="161">
        <f t="shared" si="92"/>
      </c>
      <c r="X177" s="162">
        <f t="shared" si="266"/>
      </c>
      <c r="Y177" s="163">
        <f t="shared" si="208"/>
      </c>
      <c r="Z177" s="162">
        <f t="shared" si="411"/>
      </c>
      <c r="AA177" s="164">
        <f t="shared" si="353"/>
      </c>
      <c r="AB177" s="165" t="s">
        <v>132</v>
      </c>
      <c r="AC177" s="166" t="s">
        <v>153</v>
      </c>
      <c r="AD177" s="209">
        <v>3</v>
      </c>
      <c r="AE177" s="185">
        <v>14460</v>
      </c>
      <c r="AF177" s="167">
        <v>353</v>
      </c>
      <c r="AG177" s="167">
        <v>412</v>
      </c>
      <c r="AH177" s="167">
        <v>119</v>
      </c>
      <c r="AI177" s="167">
        <v>28</v>
      </c>
      <c r="AJ177" s="175">
        <v>9</v>
      </c>
      <c r="AK177" s="175">
        <v>21</v>
      </c>
      <c r="AL177" s="175">
        <v>1</v>
      </c>
      <c r="AM177" s="168"/>
    </row>
    <row hidden="true" r="178">
      <c r="A178" s="152"/>
      <c r="B178" s="171" t="s">
        <v>140</v>
      </c>
      <c r="C178" s="154" t="s">
        <v>139</v>
      </c>
      <c r="D178" s="153">
        <f t="shared" si="52"/>
      </c>
      <c r="E178" s="156">
        <v>3245.7</v>
      </c>
      <c r="F178" s="158">
        <v>224.52</v>
      </c>
      <c r="G178" s="153"/>
      <c r="H178" s="156">
        <v>380.73</v>
      </c>
      <c r="I178" s="156">
        <v>4</v>
      </c>
      <c r="J178" s="153">
        <v>7233</v>
      </c>
      <c r="K178" s="156">
        <v>1</v>
      </c>
      <c r="L178" s="156">
        <v>0</v>
      </c>
      <c r="M178" s="186">
        <v>3</v>
      </c>
      <c r="N178" s="235">
        <f t="shared" si="16"/>
      </c>
      <c r="O178" s="235">
        <f t="shared" si="179"/>
      </c>
      <c r="P178" s="236">
        <f t="shared" si="121"/>
      </c>
      <c r="Q178" s="237">
        <f t="shared" si="295"/>
      </c>
      <c r="R178" s="238">
        <f t="shared" si="237"/>
      </c>
      <c r="S178" s="161">
        <f t="shared" si="324"/>
      </c>
      <c r="T178" s="161">
        <f t="shared" si="440"/>
      </c>
      <c r="U178" s="162">
        <f t="shared" si="382"/>
      </c>
      <c r="V178" s="161">
        <f t="shared" si="150"/>
      </c>
      <c r="W178" s="161">
        <f t="shared" si="92"/>
      </c>
      <c r="X178" s="162">
        <f t="shared" si="266"/>
      </c>
      <c r="Y178" s="163">
        <f t="shared" si="208"/>
      </c>
      <c r="Z178" s="162">
        <f t="shared" si="411"/>
      </c>
      <c r="AA178" s="164">
        <f t="shared" si="353"/>
      </c>
      <c r="AB178" s="165" t="s">
        <v>132</v>
      </c>
      <c r="AC178" s="166" t="s">
        <v>153</v>
      </c>
      <c r="AD178" s="208">
        <v>3</v>
      </c>
      <c r="AE178" s="185">
        <v>11760</v>
      </c>
      <c r="AF178" s="167">
        <v>296</v>
      </c>
      <c r="AG178" s="167">
        <v>364</v>
      </c>
      <c r="AH178" s="167">
        <v>83</v>
      </c>
      <c r="AI178" s="167">
        <v>21</v>
      </c>
      <c r="AJ178" s="175">
        <v>11</v>
      </c>
      <c r="AK178" s="175">
        <v>16</v>
      </c>
      <c r="AL178" s="175">
        <v>1</v>
      </c>
      <c r="AM178" s="168"/>
    </row>
    <row hidden="true" r="179">
      <c r="A179" s="152"/>
      <c r="B179" s="156" t="s">
        <v>141</v>
      </c>
      <c r="C179" s="154" t="s">
        <v>139</v>
      </c>
      <c r="D179" s="153">
        <f t="shared" si="52"/>
      </c>
      <c r="E179" s="156">
        <v>4436.18</v>
      </c>
      <c r="F179" s="158">
        <v>299.78</v>
      </c>
      <c r="G179" s="153"/>
      <c r="H179" s="156">
        <v>189.03</v>
      </c>
      <c r="I179" s="156">
        <v>4</v>
      </c>
      <c r="J179" s="156">
        <v>7272</v>
      </c>
      <c r="K179" s="156">
        <v>1</v>
      </c>
      <c r="L179" s="155">
        <v>0</v>
      </c>
      <c r="M179" s="208">
        <v>3</v>
      </c>
      <c r="N179" s="239">
        <f t="shared" si="16"/>
      </c>
      <c r="O179" s="239">
        <f t="shared" si="179"/>
      </c>
      <c r="P179" s="240">
        <f t="shared" si="121"/>
      </c>
      <c r="Q179" s="241">
        <f t="shared" si="295"/>
      </c>
      <c r="R179" s="242">
        <f t="shared" si="237"/>
      </c>
      <c r="S179" s="243">
        <f t="shared" si="324"/>
      </c>
      <c r="T179" s="161">
        <f t="shared" si="440"/>
      </c>
      <c r="U179" s="162">
        <f t="shared" si="382"/>
      </c>
      <c r="V179" s="161">
        <f t="shared" si="150"/>
      </c>
      <c r="W179" s="161">
        <f t="shared" si="92"/>
      </c>
      <c r="X179" s="162">
        <f t="shared" si="266"/>
      </c>
      <c r="Y179" s="163">
        <f t="shared" si="208"/>
      </c>
      <c r="Z179" s="162">
        <f t="shared" si="411"/>
      </c>
      <c r="AA179" s="164">
        <f t="shared" si="353"/>
      </c>
      <c r="AB179" s="165" t="s">
        <v>132</v>
      </c>
      <c r="AC179" s="166" t="s">
        <v>153</v>
      </c>
      <c r="AD179" s="208">
        <v>3</v>
      </c>
      <c r="AE179" s="185">
        <v>12937</v>
      </c>
      <c r="AF179" s="167">
        <v>397</v>
      </c>
      <c r="AG179" s="167">
        <v>497</v>
      </c>
      <c r="AH179" s="167">
        <v>146</v>
      </c>
      <c r="AI179" s="167">
        <v>35</v>
      </c>
      <c r="AJ179" s="175">
        <v>16</v>
      </c>
      <c r="AK179" s="175">
        <v>31</v>
      </c>
      <c r="AL179" s="175">
        <v>1</v>
      </c>
      <c r="AM179" s="168"/>
    </row>
    <row customHeight="true" hidden="true" ht="18.452380952380953" r="180">
      <c r="A180" s="152"/>
      <c r="B180" s="156" t="s">
        <v>150</v>
      </c>
      <c r="C180" s="154" t="s">
        <v>139</v>
      </c>
      <c r="D180" s="153">
        <f t="shared" si="52"/>
      </c>
      <c r="E180" s="156">
        <v>3403.09</v>
      </c>
      <c r="F180" s="158">
        <v>195.64</v>
      </c>
      <c r="G180" s="153"/>
      <c r="H180" s="156">
        <v>72.31</v>
      </c>
      <c r="I180" s="156">
        <v>4</v>
      </c>
      <c r="J180" s="156">
        <v>6432</v>
      </c>
      <c r="K180" s="156">
        <v>0</v>
      </c>
      <c r="L180" s="155">
        <v>2</v>
      </c>
      <c r="M180" s="208">
        <v>2</v>
      </c>
      <c r="N180" s="239">
        <f t="shared" si="16"/>
      </c>
      <c r="O180" s="239">
        <f t="shared" si="179"/>
      </c>
      <c r="P180" s="240">
        <f t="shared" si="121"/>
      </c>
      <c r="Q180" s="241">
        <f t="shared" si="295"/>
      </c>
      <c r="R180" s="242">
        <f t="shared" si="237"/>
      </c>
      <c r="S180" s="243">
        <f t="shared" si="324"/>
      </c>
      <c r="T180" s="161">
        <f t="shared" si="440"/>
      </c>
      <c r="U180" s="162">
        <f t="shared" si="382"/>
      </c>
      <c r="V180" s="161">
        <f t="shared" si="150"/>
      </c>
      <c r="W180" s="161">
        <f t="shared" si="92"/>
      </c>
      <c r="X180" s="162">
        <f t="shared" si="266"/>
      </c>
      <c r="Y180" s="163">
        <f t="shared" si="208"/>
      </c>
      <c r="Z180" s="162">
        <f t="shared" si="411"/>
      </c>
      <c r="AA180" s="164">
        <f t="shared" si="353"/>
      </c>
      <c r="AB180" s="165" t="s">
        <v>132</v>
      </c>
      <c r="AC180" s="166" t="s">
        <v>153</v>
      </c>
      <c r="AD180" s="208">
        <v>4</v>
      </c>
      <c r="AE180" s="185">
        <v>8531</v>
      </c>
      <c r="AF180" s="167">
        <v>275</v>
      </c>
      <c r="AG180" s="167">
        <v>398</v>
      </c>
      <c r="AH180" s="167">
        <v>90</v>
      </c>
      <c r="AI180" s="167">
        <v>32</v>
      </c>
      <c r="AJ180" s="175">
        <v>10</v>
      </c>
      <c r="AK180" s="175">
        <v>27</v>
      </c>
      <c r="AL180" s="175">
        <v>1</v>
      </c>
      <c r="AM180" s="168"/>
    </row>
    <row hidden="true" r="181">
      <c r="A181" s="152"/>
      <c r="B181" s="176" t="s">
        <v>137</v>
      </c>
      <c r="C181" s="176"/>
      <c r="D181" s="176">
        <f>SUM(D177:D180)</f>
      </c>
      <c r="E181" s="176">
        <f>SUM(E177:E180)</f>
      </c>
      <c r="F181" s="176">
        <f>SUM(F177:F180)</f>
      </c>
      <c r="G181" s="176">
        <f>SUM(G177:G180)</f>
      </c>
      <c r="H181" s="176">
        <f>SUM(H177:H180)</f>
      </c>
      <c r="I181" s="176">
        <f>SUM(I177:I180)</f>
      </c>
      <c r="J181" s="176">
        <f>SUM(J177:J180)</f>
      </c>
      <c r="K181" s="176">
        <f>SUM(K177:K180)</f>
      </c>
      <c r="L181" s="176">
        <f>SUM(L177:L180)</f>
      </c>
      <c r="M181" s="190">
        <f>SUM(M177:M180)</f>
      </c>
      <c r="N181" s="244">
        <f t="shared" si="16"/>
      </c>
      <c r="O181" s="244">
        <f t="shared" si="179"/>
      </c>
      <c r="P181" s="245">
        <f t="shared" si="121"/>
      </c>
      <c r="Q181" s="246">
        <f t="shared" si="295"/>
      </c>
      <c r="R181" s="247">
        <f t="shared" si="237"/>
      </c>
      <c r="S181" s="179">
        <f t="shared" si="324"/>
      </c>
      <c r="T181" s="179">
        <f t="shared" si="440"/>
      </c>
      <c r="U181" s="180">
        <f t="shared" si="382"/>
      </c>
      <c r="V181" s="179">
        <f t="shared" si="150"/>
      </c>
      <c r="W181" s="179">
        <f t="shared" si="92"/>
      </c>
      <c r="X181" s="180">
        <f t="shared" si="266"/>
      </c>
      <c r="Y181" s="181">
        <f t="shared" si="208"/>
      </c>
      <c r="Z181" s="180">
        <f t="shared" si="411"/>
      </c>
      <c r="AA181" s="182">
        <f t="shared" si="353"/>
      </c>
      <c r="AB181" s="182"/>
      <c r="AC181" s="189"/>
      <c r="AD181" s="190">
        <f>SUM(AD177:AD180)</f>
      </c>
      <c r="AE181" s="190">
        <f>SUM(AE177:AE180)</f>
      </c>
      <c r="AF181" s="190">
        <f>SUM(AF177:AF180)</f>
      </c>
      <c r="AG181" s="190">
        <f>SUM(AG177:AG180)</f>
      </c>
      <c r="AH181" s="190">
        <f>SUM(AH177:AH180)</f>
      </c>
      <c r="AI181" s="190">
        <f>SUM(AI177:AI180)</f>
      </c>
      <c r="AJ181" s="190">
        <f>SUM(AJ177:AJ180)</f>
      </c>
      <c r="AK181" s="190">
        <f>SUM(AK177:AK180)</f>
      </c>
      <c r="AL181" s="190">
        <f>SUM(AL177:AL180)</f>
      </c>
      <c r="AM181" s="191" t="s">
        <v>142</v>
      </c>
    </row>
    <row hidden="true" r="182">
      <c r="A182" s="152"/>
      <c r="B182" s="192" t="s">
        <v>143</v>
      </c>
      <c r="C182" s="192"/>
      <c r="D182" s="192">
        <f>D176+D181</f>
      </c>
      <c r="E182" s="192">
        <f>E176+E181</f>
      </c>
      <c r="F182" s="192">
        <f>F176+F181</f>
      </c>
      <c r="G182" s="192">
        <f>G176+G181</f>
      </c>
      <c r="H182" s="192">
        <f>H176+H181</f>
      </c>
      <c r="I182" s="192">
        <f>I176+I181</f>
      </c>
      <c r="J182" s="192">
        <f>J176+J181</f>
      </c>
      <c r="K182" s="192">
        <f>K176+K181</f>
      </c>
      <c r="L182" s="192">
        <f>L176+L181</f>
      </c>
      <c r="M182" s="192">
        <f>M176+M181</f>
      </c>
      <c r="N182" s="193">
        <f t="shared" si="16"/>
      </c>
      <c r="O182" s="193">
        <f t="shared" si="179"/>
      </c>
      <c r="P182" s="194">
        <f t="shared" si="121"/>
      </c>
      <c r="Q182" s="195">
        <f t="shared" si="295"/>
      </c>
      <c r="R182" s="193">
        <f t="shared" si="237"/>
      </c>
      <c r="S182" s="195">
        <f t="shared" si="324"/>
      </c>
      <c r="T182" s="195">
        <f t="shared" si="440"/>
      </c>
      <c r="U182" s="193">
        <f t="shared" si="382"/>
      </c>
      <c r="V182" s="195">
        <f t="shared" si="150"/>
      </c>
      <c r="W182" s="195">
        <f t="shared" si="92"/>
      </c>
      <c r="X182" s="193">
        <f t="shared" si="266"/>
      </c>
      <c r="Y182" s="196">
        <f t="shared" si="208"/>
      </c>
      <c r="Z182" s="193">
        <f t="shared" si="411"/>
      </c>
      <c r="AA182" s="194">
        <f t="shared" si="353"/>
      </c>
      <c r="AB182" s="194"/>
      <c r="AC182" s="194"/>
      <c r="AD182" s="197">
        <f>AD176+AD181</f>
      </c>
      <c r="AE182" s="197">
        <f>AE176+AE181</f>
      </c>
      <c r="AF182" s="197">
        <f>AF176+AF181</f>
      </c>
      <c r="AG182" s="197">
        <f>AG176+AG181</f>
      </c>
      <c r="AH182" s="197">
        <f>AH176+AH181</f>
      </c>
      <c r="AI182" s="197">
        <f>AI176+AI181</f>
      </c>
      <c r="AJ182" s="197">
        <f>AJ176+AJ181</f>
      </c>
      <c r="AK182" s="197">
        <f>AK176+AK181</f>
      </c>
      <c r="AL182" s="197">
        <f>AL176+AL181</f>
      </c>
      <c r="AM182" s="191"/>
    </row>
    <row hidden="true" r="183">
      <c r="A183" s="134" t="s">
        <v>87</v>
      </c>
      <c r="B183" s="134"/>
      <c r="C183" s="134"/>
      <c r="D183" s="135" t="s">
        <v>88</v>
      </c>
      <c r="E183" s="135"/>
      <c r="F183" s="135"/>
      <c r="G183" s="135"/>
      <c r="H183" s="135"/>
      <c r="I183" s="135"/>
      <c r="J183" s="135"/>
      <c r="K183" s="135"/>
      <c r="L183" s="135"/>
      <c r="M183" s="135"/>
      <c r="N183" s="135"/>
      <c r="O183" s="135"/>
      <c r="P183" s="136" t="s">
        <v>89</v>
      </c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7" t="s">
        <v>90</v>
      </c>
      <c r="AE183" s="137"/>
      <c r="AF183" s="137"/>
      <c r="AG183" s="137"/>
      <c r="AH183" s="137"/>
      <c r="AI183" s="137"/>
      <c r="AJ183" s="137"/>
      <c r="AK183" s="137"/>
      <c r="AL183" s="137"/>
      <c r="AM183" s="138"/>
    </row>
    <row hidden="true" r="184">
      <c r="A184" s="140" t="s">
        <v>91</v>
      </c>
      <c r="B184" s="140" t="s">
        <v>92</v>
      </c>
      <c r="C184" s="140" t="s">
        <v>93</v>
      </c>
      <c r="D184" s="141" t="s">
        <v>94</v>
      </c>
      <c r="E184" s="142" t="s">
        <v>95</v>
      </c>
      <c r="F184" s="142" t="s">
        <v>96</v>
      </c>
      <c r="G184" s="143" t="s">
        <v>97</v>
      </c>
      <c r="H184" s="144" t="s">
        <v>98</v>
      </c>
      <c r="I184" s="205" t="s">
        <v>99</v>
      </c>
      <c r="J184" s="206" t="s">
        <v>100</v>
      </c>
      <c r="K184" s="135" t="s">
        <v>101</v>
      </c>
      <c r="L184" s="146" t="s">
        <v>102</v>
      </c>
      <c r="M184" s="146" t="s">
        <v>103</v>
      </c>
      <c r="N184" s="143" t="s">
        <v>104</v>
      </c>
      <c r="O184" s="146" t="s">
        <v>105</v>
      </c>
      <c r="P184" s="136" t="s">
        <v>106</v>
      </c>
      <c r="Q184" s="136" t="s">
        <v>107</v>
      </c>
      <c r="R184" s="136" t="s">
        <v>108</v>
      </c>
      <c r="S184" s="147" t="s">
        <v>109</v>
      </c>
      <c r="T184" s="147" t="s">
        <v>110</v>
      </c>
      <c r="U184" s="136" t="s">
        <v>111</v>
      </c>
      <c r="V184" s="147" t="s">
        <v>112</v>
      </c>
      <c r="W184" s="147" t="s">
        <v>113</v>
      </c>
      <c r="X184" s="136" t="s">
        <v>114</v>
      </c>
      <c r="Y184" s="147" t="s">
        <v>115</v>
      </c>
      <c r="Z184" s="136" t="s">
        <v>116</v>
      </c>
      <c r="AA184" s="148" t="s">
        <v>117</v>
      </c>
      <c r="AB184" s="148" t="s">
        <v>118</v>
      </c>
      <c r="AC184" s="148" t="s">
        <v>119</v>
      </c>
      <c r="AD184" s="149" t="s">
        <v>120</v>
      </c>
      <c r="AE184" s="150" t="s">
        <v>121</v>
      </c>
      <c r="AF184" s="150" t="s">
        <v>122</v>
      </c>
      <c r="AG184" s="150" t="s">
        <v>123</v>
      </c>
      <c r="AH184" s="150" t="s">
        <v>124</v>
      </c>
      <c r="AI184" s="150" t="s">
        <v>125</v>
      </c>
      <c r="AJ184" s="151" t="s">
        <v>126</v>
      </c>
      <c r="AK184" s="151" t="s">
        <v>127</v>
      </c>
      <c r="AL184" s="151" t="s">
        <v>128</v>
      </c>
      <c r="AM184" s="138"/>
    </row>
    <row hidden="true" r="185">
      <c r="A185" s="248" t="s">
        <v>172</v>
      </c>
      <c r="B185" s="157" t="s">
        <v>130</v>
      </c>
      <c r="C185" s="154" t="s">
        <v>131</v>
      </c>
      <c r="D185" s="154">
        <f t="shared" ref="D185:D188" si="53">E185+F185+G185+H185</f>
      </c>
      <c r="E185" s="155">
        <v>5506.18</v>
      </c>
      <c r="F185" s="156">
        <v>374.63</v>
      </c>
      <c r="G185" s="157"/>
      <c r="H185" s="155">
        <v>551.86</v>
      </c>
      <c r="I185" s="208">
        <v>5</v>
      </c>
      <c r="J185" s="170">
        <v>11340</v>
      </c>
      <c r="K185" s="158">
        <v>0</v>
      </c>
      <c r="L185" s="156">
        <v>0</v>
      </c>
      <c r="M185" s="156">
        <v>5</v>
      </c>
      <c r="N185" s="159">
        <f t="shared" ref="N185:N195" si="17">J185/D185</f>
      </c>
      <c r="O185" s="159">
        <f t="shared" ref="O185:O195" si="180">J185/(D185+300*AL185)</f>
      </c>
      <c r="P185" s="160">
        <f t="shared" ref="P185:P195" si="122">(D185/AE185)*1000</f>
      </c>
      <c r="Q185" s="161">
        <f t="shared" ref="Q185:Q195" si="296">AF185/AE185</f>
      </c>
      <c r="R185" s="162">
        <f t="shared" ref="R185:R195" si="238">D185/AG185</f>
      </c>
      <c r="S185" s="161">
        <f t="shared" ref="S185:S195" si="325">AH185/AG185</f>
      </c>
      <c r="T185" s="161">
        <f t="shared" ref="T185:T195" si="441">AI185/AG185</f>
      </c>
      <c r="U185" s="162">
        <f t="shared" ref="U185:U195" si="383">D185/AI185</f>
      </c>
      <c r="V185" s="161">
        <f t="shared" ref="V185:V195" si="151">AJ185/AI185</f>
      </c>
      <c r="W185" s="161">
        <f t="shared" ref="W185:W195" si="93">I185/AJ185</f>
      </c>
      <c r="X185" s="162">
        <f t="shared" ref="X185:X195" si="267">D185/I185</f>
      </c>
      <c r="Y185" s="163">
        <f t="shared" ref="Y185:Y195" si="209">J185/I185</f>
      </c>
      <c r="Z185" s="162">
        <f t="shared" ref="Z185:Z195" si="412">D185/AD185</f>
      </c>
      <c r="AA185" s="164">
        <f t="shared" ref="AA185:AA195" si="354">AK185*1000/D185</f>
      </c>
      <c r="AB185" s="165" t="s">
        <v>132</v>
      </c>
      <c r="AC185" s="166" t="s">
        <v>153</v>
      </c>
      <c r="AD185" s="234">
        <v>4</v>
      </c>
      <c r="AE185" s="233">
        <v>17765</v>
      </c>
      <c r="AF185" s="209">
        <v>528</v>
      </c>
      <c r="AG185" s="157">
        <v>621</v>
      </c>
      <c r="AH185" s="157">
        <v>162</v>
      </c>
      <c r="AI185" s="153">
        <v>52</v>
      </c>
      <c r="AJ185" s="158">
        <v>15</v>
      </c>
      <c r="AK185" s="156">
        <v>37</v>
      </c>
      <c r="AL185" s="175">
        <v>1</v>
      </c>
      <c r="AM185" s="168"/>
    </row>
    <row hidden="true" r="186">
      <c r="A186" s="248"/>
      <c r="B186" s="233" t="s">
        <v>134</v>
      </c>
      <c r="C186" s="234" t="s">
        <v>131</v>
      </c>
      <c r="D186" s="157">
        <f t="shared" si="53"/>
      </c>
      <c r="E186" s="158">
        <v>2552.98</v>
      </c>
      <c r="F186" s="170">
        <v>526.51</v>
      </c>
      <c r="G186" s="153"/>
      <c r="H186" s="156">
        <v>374.04</v>
      </c>
      <c r="I186" s="184">
        <v>2</v>
      </c>
      <c r="J186" s="171">
        <v>3216</v>
      </c>
      <c r="K186" s="156">
        <v>0</v>
      </c>
      <c r="L186" s="156">
        <v>1</v>
      </c>
      <c r="M186" s="156">
        <v>1</v>
      </c>
      <c r="N186" s="159">
        <f t="shared" si="17"/>
      </c>
      <c r="O186" s="159">
        <f t="shared" si="180"/>
      </c>
      <c r="P186" s="160">
        <f t="shared" si="122"/>
      </c>
      <c r="Q186" s="161">
        <f t="shared" si="296"/>
      </c>
      <c r="R186" s="162">
        <f t="shared" si="238"/>
      </c>
      <c r="S186" s="161">
        <f t="shared" si="325"/>
      </c>
      <c r="T186" s="161">
        <f t="shared" si="441"/>
      </c>
      <c r="U186" s="162">
        <f t="shared" si="383"/>
      </c>
      <c r="V186" s="161">
        <f t="shared" si="151"/>
      </c>
      <c r="W186" s="161">
        <f t="shared" si="93"/>
      </c>
      <c r="X186" s="162">
        <f t="shared" si="267"/>
      </c>
      <c r="Y186" s="163">
        <f t="shared" si="209"/>
      </c>
      <c r="Z186" s="162">
        <f t="shared" si="412"/>
      </c>
      <c r="AA186" s="164">
        <f t="shared" si="354"/>
      </c>
      <c r="AB186" s="165" t="s">
        <v>132</v>
      </c>
      <c r="AC186" s="166" t="s">
        <v>153</v>
      </c>
      <c r="AD186" s="208">
        <v>2</v>
      </c>
      <c r="AE186" s="172">
        <v>8006</v>
      </c>
      <c r="AF186" s="172">
        <v>259</v>
      </c>
      <c r="AG186" s="171">
        <v>319</v>
      </c>
      <c r="AH186" s="153">
        <v>84</v>
      </c>
      <c r="AI186" s="153">
        <v>27</v>
      </c>
      <c r="AJ186" s="201">
        <v>7</v>
      </c>
      <c r="AK186" s="210">
        <v>22</v>
      </c>
      <c r="AL186" s="175">
        <v>1</v>
      </c>
      <c r="AM186" s="168"/>
    </row>
    <row hidden="true" r="187">
      <c r="A187" s="248"/>
      <c r="B187" s="233" t="s">
        <v>135</v>
      </c>
      <c r="C187" s="209" t="s">
        <v>131</v>
      </c>
      <c r="D187" s="157">
        <f t="shared" si="53"/>
      </c>
      <c r="E187" s="158">
        <v>3860.53</v>
      </c>
      <c r="F187" s="158">
        <v>421.66</v>
      </c>
      <c r="G187" s="153"/>
      <c r="H187" s="156">
        <v>238.49</v>
      </c>
      <c r="I187" s="156">
        <v>2</v>
      </c>
      <c r="J187" s="153">
        <v>4536</v>
      </c>
      <c r="K187" s="156">
        <v>0</v>
      </c>
      <c r="L187" s="156">
        <v>0</v>
      </c>
      <c r="M187" s="156">
        <v>2</v>
      </c>
      <c r="N187" s="159">
        <f t="shared" si="17"/>
      </c>
      <c r="O187" s="159">
        <f t="shared" si="180"/>
      </c>
      <c r="P187" s="160">
        <f t="shared" si="122"/>
      </c>
      <c r="Q187" s="161">
        <f t="shared" si="296"/>
      </c>
      <c r="R187" s="162">
        <f t="shared" si="238"/>
      </c>
      <c r="S187" s="161">
        <f t="shared" si="325"/>
      </c>
      <c r="T187" s="161">
        <f t="shared" si="441"/>
      </c>
      <c r="U187" s="162">
        <f t="shared" si="383"/>
      </c>
      <c r="V187" s="161">
        <f t="shared" si="151"/>
      </c>
      <c r="W187" s="161">
        <f t="shared" si="93"/>
      </c>
      <c r="X187" s="162">
        <f t="shared" si="267"/>
      </c>
      <c r="Y187" s="163">
        <f t="shared" si="209"/>
      </c>
      <c r="Z187" s="162">
        <f t="shared" si="412"/>
      </c>
      <c r="AA187" s="164">
        <f t="shared" si="354"/>
      </c>
      <c r="AB187" s="165" t="s">
        <v>132</v>
      </c>
      <c r="AC187" s="166" t="s">
        <v>153</v>
      </c>
      <c r="AD187" s="218">
        <v>2</v>
      </c>
      <c r="AE187" s="157">
        <v>10835</v>
      </c>
      <c r="AF187" s="157">
        <v>339</v>
      </c>
      <c r="AG187" s="153">
        <v>446</v>
      </c>
      <c r="AH187" s="153">
        <v>113</v>
      </c>
      <c r="AI187" s="153">
        <v>25</v>
      </c>
      <c r="AJ187" s="201">
        <v>11</v>
      </c>
      <c r="AK187" s="210">
        <v>27</v>
      </c>
      <c r="AL187" s="175">
        <v>1</v>
      </c>
      <c r="AM187" s="168"/>
    </row>
    <row hidden="true" r="188">
      <c r="A188" s="248"/>
      <c r="B188" s="233" t="s">
        <v>136</v>
      </c>
      <c r="C188" s="171" t="s">
        <v>131</v>
      </c>
      <c r="D188" s="157">
        <f t="shared" si="53"/>
      </c>
      <c r="E188" s="158">
        <v>2648.03</v>
      </c>
      <c r="F188" s="158">
        <v>554</v>
      </c>
      <c r="G188" s="153"/>
      <c r="H188" s="156">
        <v>354.69</v>
      </c>
      <c r="I188" s="156">
        <v>7</v>
      </c>
      <c r="J188" s="156">
        <v>14556</v>
      </c>
      <c r="K188" s="156">
        <v>0</v>
      </c>
      <c r="L188" s="156">
        <v>1</v>
      </c>
      <c r="M188" s="156">
        <v>6</v>
      </c>
      <c r="N188" s="159">
        <f t="shared" si="17"/>
      </c>
      <c r="O188" s="159">
        <f t="shared" si="180"/>
      </c>
      <c r="P188" s="160">
        <f t="shared" si="122"/>
      </c>
      <c r="Q188" s="161">
        <f t="shared" si="296"/>
      </c>
      <c r="R188" s="162">
        <f t="shared" si="238"/>
      </c>
      <c r="S188" s="161">
        <f t="shared" si="325"/>
      </c>
      <c r="T188" s="161">
        <f t="shared" si="441"/>
      </c>
      <c r="U188" s="162">
        <f t="shared" si="383"/>
      </c>
      <c r="V188" s="161">
        <f t="shared" si="151"/>
      </c>
      <c r="W188" s="161">
        <f t="shared" si="93"/>
      </c>
      <c r="X188" s="162">
        <f t="shared" si="267"/>
      </c>
      <c r="Y188" s="163">
        <f t="shared" si="209"/>
      </c>
      <c r="Z188" s="162">
        <f t="shared" si="412"/>
      </c>
      <c r="AA188" s="164">
        <f t="shared" si="354"/>
      </c>
      <c r="AB188" s="165" t="s">
        <v>132</v>
      </c>
      <c r="AC188" s="166" t="s">
        <v>153</v>
      </c>
      <c r="AD188" s="209">
        <v>7</v>
      </c>
      <c r="AE188" s="172">
        <v>8642</v>
      </c>
      <c r="AF188" s="153">
        <v>291</v>
      </c>
      <c r="AG188" s="153">
        <v>369</v>
      </c>
      <c r="AH188" s="153">
        <v>98</v>
      </c>
      <c r="AI188" s="153">
        <v>28</v>
      </c>
      <c r="AJ188" s="201">
        <v>7</v>
      </c>
      <c r="AK188" s="210">
        <v>22</v>
      </c>
      <c r="AL188" s="175">
        <v>1</v>
      </c>
      <c r="AM188" s="168"/>
    </row>
    <row hidden="true" r="189">
      <c r="A189" s="248"/>
      <c r="B189" s="249" t="s">
        <v>137</v>
      </c>
      <c r="C189" s="176"/>
      <c r="D189" s="176">
        <f>SUM(D185:D188)</f>
      </c>
      <c r="E189" s="176">
        <f>SUM(E185:E188)</f>
      </c>
      <c r="F189" s="176">
        <f>SUM(F185:F188)</f>
      </c>
      <c r="G189" s="176">
        <f>SUM(G185:G188)</f>
      </c>
      <c r="H189" s="176">
        <f>SUM(H185:H188)</f>
      </c>
      <c r="I189" s="176">
        <f>SUM(I185:I188)</f>
      </c>
      <c r="J189" s="176">
        <f>SUM(J185:J188)</f>
      </c>
      <c r="K189" s="176">
        <f>SUM(K185:K188)</f>
      </c>
      <c r="L189" s="176">
        <f>SUM(L185:L188)</f>
      </c>
      <c r="M189" s="176">
        <f>SUM(M185:M188)</f>
      </c>
      <c r="N189" s="177">
        <f t="shared" si="17"/>
      </c>
      <c r="O189" s="177">
        <f t="shared" si="180"/>
      </c>
      <c r="P189" s="178">
        <f t="shared" si="122"/>
      </c>
      <c r="Q189" s="179">
        <f t="shared" si="296"/>
      </c>
      <c r="R189" s="180">
        <f t="shared" si="238"/>
      </c>
      <c r="S189" s="179">
        <f t="shared" si="325"/>
      </c>
      <c r="T189" s="179">
        <f t="shared" si="441"/>
      </c>
      <c r="U189" s="180">
        <f t="shared" si="383"/>
      </c>
      <c r="V189" s="179">
        <f t="shared" si="151"/>
      </c>
      <c r="W189" s="179">
        <f t="shared" si="93"/>
      </c>
      <c r="X189" s="180">
        <f t="shared" si="267"/>
      </c>
      <c r="Y189" s="181">
        <f t="shared" si="209"/>
      </c>
      <c r="Z189" s="180">
        <f t="shared" si="412"/>
      </c>
      <c r="AA189" s="182">
        <f t="shared" si="354"/>
      </c>
      <c r="AB189" s="182"/>
      <c r="AC189" s="189"/>
      <c r="AD189" s="211">
        <f>SUM(AD185:AD188)</f>
      </c>
      <c r="AE189" s="183">
        <f>SUM(AE185:AE188)</f>
      </c>
      <c r="AF189" s="183">
        <f>SUM(AF185:AF188)</f>
      </c>
      <c r="AG189" s="183">
        <f>SUM(AG185:AG188)</f>
      </c>
      <c r="AH189" s="183">
        <f>SUM(AH185:AH188)</f>
      </c>
      <c r="AI189" s="183">
        <f>SUM(AI185:AI188)</f>
      </c>
      <c r="AJ189" s="183">
        <f>SUM(AJ185:AJ188)</f>
      </c>
      <c r="AK189" s="183">
        <f>SUM(AK185:AK188)</f>
      </c>
      <c r="AL189" s="183">
        <f>SUM(AL185:AL188)</f>
      </c>
      <c r="AM189" s="168"/>
    </row>
    <row hidden="true" r="190">
      <c r="A190" s="248"/>
      <c r="B190" s="170" t="s">
        <v>145</v>
      </c>
      <c r="C190" s="154" t="s">
        <v>139</v>
      </c>
      <c r="D190" s="153">
        <f t="shared" ref="D190:D193" si="54">E190+F190+G190+H190</f>
      </c>
      <c r="E190" s="156">
        <v>3439.79</v>
      </c>
      <c r="F190" s="158">
        <v>756.49</v>
      </c>
      <c r="G190" s="153"/>
      <c r="H190" s="156">
        <v>250.09</v>
      </c>
      <c r="I190" s="156">
        <v>5</v>
      </c>
      <c r="J190" s="153">
        <v>4963.68</v>
      </c>
      <c r="K190" s="156">
        <v>0</v>
      </c>
      <c r="L190" s="156">
        <v>0</v>
      </c>
      <c r="M190" s="156">
        <v>2</v>
      </c>
      <c r="N190" s="159">
        <f t="shared" si="17"/>
      </c>
      <c r="O190" s="159">
        <f t="shared" si="180"/>
      </c>
      <c r="P190" s="160">
        <f t="shared" si="122"/>
      </c>
      <c r="Q190" s="161">
        <f t="shared" si="296"/>
      </c>
      <c r="R190" s="162">
        <f t="shared" si="238"/>
      </c>
      <c r="S190" s="161">
        <f t="shared" si="325"/>
      </c>
      <c r="T190" s="161">
        <f t="shared" si="441"/>
      </c>
      <c r="U190" s="162">
        <f t="shared" si="383"/>
      </c>
      <c r="V190" s="161">
        <f t="shared" si="151"/>
      </c>
      <c r="W190" s="161">
        <f t="shared" si="93"/>
      </c>
      <c r="X190" s="162">
        <f t="shared" si="267"/>
      </c>
      <c r="Y190" s="163">
        <f t="shared" si="209"/>
      </c>
      <c r="Z190" s="162">
        <f t="shared" si="412"/>
      </c>
      <c r="AA190" s="164">
        <f t="shared" si="354"/>
      </c>
      <c r="AB190" s="165" t="s">
        <v>132</v>
      </c>
      <c r="AC190" s="166" t="s">
        <v>153</v>
      </c>
      <c r="AD190" s="209">
        <v>3</v>
      </c>
      <c r="AE190" s="185">
        <v>13511</v>
      </c>
      <c r="AF190" s="167">
        <v>449</v>
      </c>
      <c r="AG190" s="167">
        <v>518</v>
      </c>
      <c r="AH190" s="167">
        <v>138</v>
      </c>
      <c r="AI190" s="167">
        <v>40</v>
      </c>
      <c r="AJ190" s="175">
        <v>12</v>
      </c>
      <c r="AK190" s="175">
        <v>23</v>
      </c>
      <c r="AL190" s="175">
        <v>1</v>
      </c>
      <c r="AM190" s="168"/>
    </row>
    <row hidden="true" r="191">
      <c r="A191" s="248"/>
      <c r="B191" s="172" t="s">
        <v>140</v>
      </c>
      <c r="C191" s="154" t="s">
        <v>139</v>
      </c>
      <c r="D191" s="153">
        <f t="shared" si="54"/>
      </c>
      <c r="E191" s="156">
        <v>2058.26</v>
      </c>
      <c r="F191" s="158">
        <v>788.29</v>
      </c>
      <c r="G191" s="153"/>
      <c r="H191" s="156">
        <v>580.28</v>
      </c>
      <c r="I191" s="156">
        <v>3</v>
      </c>
      <c r="J191" s="153">
        <v>5484</v>
      </c>
      <c r="K191" s="156">
        <v>0</v>
      </c>
      <c r="L191" s="156">
        <v>1</v>
      </c>
      <c r="M191" s="186">
        <v>2</v>
      </c>
      <c r="N191" s="235">
        <f t="shared" si="17"/>
      </c>
      <c r="O191" s="235">
        <f t="shared" si="180"/>
      </c>
      <c r="P191" s="236">
        <f t="shared" si="122"/>
      </c>
      <c r="Q191" s="237">
        <f t="shared" si="296"/>
      </c>
      <c r="R191" s="238">
        <f t="shared" si="238"/>
      </c>
      <c r="S191" s="161">
        <f t="shared" si="325"/>
      </c>
      <c r="T191" s="161">
        <f t="shared" si="441"/>
      </c>
      <c r="U191" s="162">
        <f t="shared" si="383"/>
      </c>
      <c r="V191" s="161">
        <f t="shared" si="151"/>
      </c>
      <c r="W191" s="161">
        <f t="shared" si="93"/>
      </c>
      <c r="X191" s="162">
        <f t="shared" si="267"/>
      </c>
      <c r="Y191" s="163">
        <f t="shared" si="209"/>
      </c>
      <c r="Z191" s="162">
        <f t="shared" si="412"/>
      </c>
      <c r="AA191" s="164">
        <f t="shared" si="354"/>
      </c>
      <c r="AB191" s="165" t="s">
        <v>132</v>
      </c>
      <c r="AC191" s="166" t="s">
        <v>153</v>
      </c>
      <c r="AD191" s="208">
        <v>2</v>
      </c>
      <c r="AE191" s="185">
        <v>8502</v>
      </c>
      <c r="AF191" s="167">
        <v>314</v>
      </c>
      <c r="AG191" s="167">
        <v>382</v>
      </c>
      <c r="AH191" s="167">
        <v>65</v>
      </c>
      <c r="AI191" s="167">
        <v>28</v>
      </c>
      <c r="AJ191" s="175">
        <v>6</v>
      </c>
      <c r="AK191" s="175">
        <v>16</v>
      </c>
      <c r="AL191" s="175">
        <v>1</v>
      </c>
      <c r="AM191" s="168"/>
    </row>
    <row hidden="true" r="192">
      <c r="A192" s="248"/>
      <c r="B192" s="158" t="s">
        <v>141</v>
      </c>
      <c r="C192" s="154" t="s">
        <v>139</v>
      </c>
      <c r="D192" s="153">
        <f t="shared" si="54"/>
      </c>
      <c r="E192" s="156">
        <v>2381.99</v>
      </c>
      <c r="F192" s="158">
        <v>767.29</v>
      </c>
      <c r="G192" s="153"/>
      <c r="H192" s="156">
        <v>420</v>
      </c>
      <c r="I192" s="156">
        <v>3</v>
      </c>
      <c r="J192" s="156">
        <v>5484</v>
      </c>
      <c r="K192" s="156">
        <v>0</v>
      </c>
      <c r="L192" s="155">
        <v>1</v>
      </c>
      <c r="M192" s="208">
        <v>2</v>
      </c>
      <c r="N192" s="239">
        <f t="shared" si="17"/>
      </c>
      <c r="O192" s="239">
        <f t="shared" si="180"/>
      </c>
      <c r="P192" s="240">
        <f t="shared" si="122"/>
      </c>
      <c r="Q192" s="241">
        <f t="shared" si="296"/>
      </c>
      <c r="R192" s="242">
        <f t="shared" si="238"/>
      </c>
      <c r="S192" s="243">
        <f t="shared" si="325"/>
      </c>
      <c r="T192" s="161">
        <f t="shared" si="441"/>
      </c>
      <c r="U192" s="162">
        <f t="shared" si="383"/>
      </c>
      <c r="V192" s="161">
        <f t="shared" si="151"/>
      </c>
      <c r="W192" s="161">
        <f t="shared" si="93"/>
      </c>
      <c r="X192" s="162">
        <f t="shared" si="267"/>
      </c>
      <c r="Y192" s="163">
        <f t="shared" si="209"/>
      </c>
      <c r="Z192" s="162">
        <f t="shared" si="412"/>
      </c>
      <c r="AA192" s="164">
        <f t="shared" si="354"/>
      </c>
      <c r="AB192" s="165" t="s">
        <v>132</v>
      </c>
      <c r="AC192" s="166" t="s">
        <v>153</v>
      </c>
      <c r="AD192" s="208">
        <v>3</v>
      </c>
      <c r="AE192" s="185">
        <v>7775</v>
      </c>
      <c r="AF192" s="167">
        <v>305</v>
      </c>
      <c r="AG192" s="167">
        <v>355</v>
      </c>
      <c r="AH192" s="167">
        <v>88</v>
      </c>
      <c r="AI192" s="167">
        <v>32</v>
      </c>
      <c r="AJ192" s="175">
        <v>8</v>
      </c>
      <c r="AK192" s="175">
        <v>26</v>
      </c>
      <c r="AL192" s="175">
        <v>1</v>
      </c>
      <c r="AM192" s="168"/>
    </row>
    <row hidden="true" r="193">
      <c r="A193" s="248"/>
      <c r="B193" s="158" t="s">
        <v>150</v>
      </c>
      <c r="C193" s="154" t="s">
        <v>139</v>
      </c>
      <c r="D193" s="153">
        <f t="shared" si="54"/>
      </c>
      <c r="E193" s="156">
        <v>2732.26</v>
      </c>
      <c r="F193" s="158">
        <v>392.09</v>
      </c>
      <c r="G193" s="153"/>
      <c r="H193" s="156">
        <v>146.32</v>
      </c>
      <c r="I193" s="156">
        <v>2</v>
      </c>
      <c r="J193" s="156">
        <v>4536</v>
      </c>
      <c r="K193" s="156">
        <v>0</v>
      </c>
      <c r="L193" s="155">
        <v>0</v>
      </c>
      <c r="M193" s="208">
        <v>2</v>
      </c>
      <c r="N193" s="239">
        <f t="shared" si="17"/>
      </c>
      <c r="O193" s="239">
        <f t="shared" si="180"/>
      </c>
      <c r="P193" s="240">
        <f t="shared" si="122"/>
      </c>
      <c r="Q193" s="241">
        <f t="shared" si="296"/>
      </c>
      <c r="R193" s="242">
        <f t="shared" si="238"/>
      </c>
      <c r="S193" s="243">
        <f t="shared" si="325"/>
      </c>
      <c r="T193" s="161">
        <f t="shared" si="441"/>
      </c>
      <c r="U193" s="162">
        <f t="shared" si="383"/>
      </c>
      <c r="V193" s="161">
        <f t="shared" si="151"/>
      </c>
      <c r="W193" s="161">
        <f t="shared" si="93"/>
      </c>
      <c r="X193" s="162">
        <f t="shared" si="267"/>
      </c>
      <c r="Y193" s="163">
        <f t="shared" si="209"/>
      </c>
      <c r="Z193" s="162">
        <f t="shared" si="412"/>
      </c>
      <c r="AA193" s="164">
        <f t="shared" si="354"/>
      </c>
      <c r="AB193" s="165" t="s">
        <v>132</v>
      </c>
      <c r="AC193" s="166" t="s">
        <v>153</v>
      </c>
      <c r="AD193" s="208">
        <v>2</v>
      </c>
      <c r="AE193" s="185">
        <v>7004</v>
      </c>
      <c r="AF193" s="167">
        <v>218</v>
      </c>
      <c r="AG193" s="167">
        <v>262</v>
      </c>
      <c r="AH193" s="167">
        <v>53</v>
      </c>
      <c r="AI193" s="167">
        <v>15</v>
      </c>
      <c r="AJ193" s="175">
        <v>9</v>
      </c>
      <c r="AK193" s="175">
        <v>13</v>
      </c>
      <c r="AL193" s="175">
        <v>1</v>
      </c>
      <c r="AM193" s="168"/>
    </row>
    <row hidden="true" r="194">
      <c r="A194" s="248"/>
      <c r="B194" s="249" t="s">
        <v>137</v>
      </c>
      <c r="C194" s="176"/>
      <c r="D194" s="176">
        <f>SUM(D190:D193)</f>
      </c>
      <c r="E194" s="176">
        <f>SUM(E190:E193)</f>
      </c>
      <c r="F194" s="176">
        <f>SUM(F190:F193)</f>
      </c>
      <c r="G194" s="176">
        <f>SUM(G190:G193)</f>
      </c>
      <c r="H194" s="176">
        <f>SUM(H190:H193)</f>
      </c>
      <c r="I194" s="176">
        <f>SUM(I190:I193)</f>
      </c>
      <c r="J194" s="176">
        <f>SUM(J190:J193)</f>
      </c>
      <c r="K194" s="176">
        <f>SUM(K190:K193)</f>
      </c>
      <c r="L194" s="176">
        <f>SUM(L190:L193)</f>
      </c>
      <c r="M194" s="190">
        <f>SUM(M190:M193)</f>
      </c>
      <c r="N194" s="244">
        <f t="shared" si="17"/>
      </c>
      <c r="O194" s="244">
        <f t="shared" si="180"/>
      </c>
      <c r="P194" s="245">
        <f t="shared" si="122"/>
      </c>
      <c r="Q194" s="246">
        <f t="shared" si="296"/>
      </c>
      <c r="R194" s="247">
        <f t="shared" si="238"/>
      </c>
      <c r="S194" s="179">
        <f t="shared" si="325"/>
      </c>
      <c r="T194" s="179">
        <f t="shared" si="441"/>
      </c>
      <c r="U194" s="180">
        <f t="shared" si="383"/>
      </c>
      <c r="V194" s="179">
        <f t="shared" si="151"/>
      </c>
      <c r="W194" s="179">
        <f t="shared" si="93"/>
      </c>
      <c r="X194" s="180">
        <f t="shared" si="267"/>
      </c>
      <c r="Y194" s="181">
        <f t="shared" si="209"/>
      </c>
      <c r="Z194" s="180">
        <f t="shared" si="412"/>
      </c>
      <c r="AA194" s="182">
        <f t="shared" si="354"/>
      </c>
      <c r="AB194" s="182"/>
      <c r="AC194" s="189"/>
      <c r="AD194" s="190">
        <f>SUM(AD190:AD193)</f>
      </c>
      <c r="AE194" s="190">
        <f>SUM(AE190:AE193)</f>
      </c>
      <c r="AF194" s="190">
        <f>SUM(AF190:AF193)</f>
      </c>
      <c r="AG194" s="190">
        <f>SUM(AG190:AG193)</f>
      </c>
      <c r="AH194" s="190">
        <f>SUM(AH190:AH193)</f>
      </c>
      <c r="AI194" s="190">
        <f>SUM(AI190:AI193)</f>
      </c>
      <c r="AJ194" s="190">
        <f>SUM(AJ190:AJ193)</f>
      </c>
      <c r="AK194" s="190">
        <f>SUM(AK190:AK193)</f>
      </c>
      <c r="AL194" s="190">
        <f>SUM(AL190:AL193)</f>
      </c>
      <c r="AM194" s="191" t="s">
        <v>142</v>
      </c>
    </row>
    <row hidden="true" r="195">
      <c r="A195" s="248"/>
      <c r="B195" s="197" t="s">
        <v>143</v>
      </c>
      <c r="C195" s="192"/>
      <c r="D195" s="192">
        <f>D189+D194</f>
      </c>
      <c r="E195" s="192">
        <f>E189+E194</f>
      </c>
      <c r="F195" s="192">
        <f>F189+F194</f>
      </c>
      <c r="G195" s="192">
        <f>G189+G194</f>
      </c>
      <c r="H195" s="192">
        <f>H189+H194</f>
      </c>
      <c r="I195" s="192">
        <f>I189+I194</f>
      </c>
      <c r="J195" s="192">
        <f>J189+J194</f>
      </c>
      <c r="K195" s="192">
        <f>K189+K194</f>
      </c>
      <c r="L195" s="192">
        <f>L189+L194</f>
      </c>
      <c r="M195" s="192">
        <f>M189+M194</f>
      </c>
      <c r="N195" s="193">
        <f t="shared" si="17"/>
      </c>
      <c r="O195" s="193">
        <f t="shared" si="180"/>
      </c>
      <c r="P195" s="194">
        <f t="shared" si="122"/>
      </c>
      <c r="Q195" s="195">
        <f t="shared" si="296"/>
      </c>
      <c r="R195" s="193">
        <f t="shared" si="238"/>
      </c>
      <c r="S195" s="195">
        <f t="shared" si="325"/>
      </c>
      <c r="T195" s="195">
        <f t="shared" si="441"/>
      </c>
      <c r="U195" s="193">
        <f t="shared" si="383"/>
      </c>
      <c r="V195" s="195">
        <f t="shared" si="151"/>
      </c>
      <c r="W195" s="195">
        <f t="shared" si="93"/>
      </c>
      <c r="X195" s="193">
        <f t="shared" si="267"/>
      </c>
      <c r="Y195" s="196">
        <f t="shared" si="209"/>
      </c>
      <c r="Z195" s="193">
        <f t="shared" si="412"/>
      </c>
      <c r="AA195" s="194">
        <f t="shared" si="354"/>
      </c>
      <c r="AB195" s="194"/>
      <c r="AC195" s="194"/>
      <c r="AD195" s="197">
        <f>AD189+AD194</f>
      </c>
      <c r="AE195" s="197">
        <f>AE189+AE194</f>
      </c>
      <c r="AF195" s="197">
        <f>AF189+AF194</f>
      </c>
      <c r="AG195" s="197">
        <f>AG189+AG194</f>
      </c>
      <c r="AH195" s="197">
        <f>AH189+AH194</f>
      </c>
      <c r="AI195" s="197">
        <f>AI189+AI194</f>
      </c>
      <c r="AJ195" s="197">
        <f>AJ189+AJ194</f>
      </c>
      <c r="AK195" s="197">
        <f>AK189+AK194</f>
      </c>
      <c r="AL195" s="197">
        <f>AL189+AL194</f>
      </c>
      <c r="AM195" s="191"/>
    </row>
    <row hidden="true" r="196">
      <c r="A196" s="139" t="s">
        <v>87</v>
      </c>
      <c r="B196" s="134"/>
      <c r="C196" s="134"/>
      <c r="D196" s="135" t="s">
        <v>88</v>
      </c>
      <c r="E196" s="135"/>
      <c r="F196" s="135"/>
      <c r="G196" s="135"/>
      <c r="H196" s="135"/>
      <c r="I196" s="135"/>
      <c r="J196" s="135"/>
      <c r="K196" s="135"/>
      <c r="L196" s="135"/>
      <c r="M196" s="135"/>
      <c r="N196" s="135"/>
      <c r="O196" s="135"/>
      <c r="P196" s="136" t="s">
        <v>89</v>
      </c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7" t="s">
        <v>90</v>
      </c>
      <c r="AE196" s="137"/>
      <c r="AF196" s="137"/>
      <c r="AG196" s="137"/>
      <c r="AH196" s="137"/>
      <c r="AI196" s="137"/>
      <c r="AJ196" s="137"/>
      <c r="AK196" s="137"/>
      <c r="AL196" s="137"/>
      <c r="AM196" s="138"/>
    </row>
    <row hidden="true" r="197">
      <c r="A197" s="139" t="s">
        <v>91</v>
      </c>
      <c r="B197" s="140" t="s">
        <v>92</v>
      </c>
      <c r="C197" s="140" t="s">
        <v>93</v>
      </c>
      <c r="D197" s="141" t="s">
        <v>94</v>
      </c>
      <c r="E197" s="142" t="s">
        <v>95</v>
      </c>
      <c r="F197" s="142" t="s">
        <v>96</v>
      </c>
      <c r="G197" s="143" t="s">
        <v>97</v>
      </c>
      <c r="H197" s="144" t="s">
        <v>98</v>
      </c>
      <c r="I197" s="205" t="s">
        <v>99</v>
      </c>
      <c r="J197" s="206" t="s">
        <v>100</v>
      </c>
      <c r="K197" s="135" t="s">
        <v>101</v>
      </c>
      <c r="L197" s="146" t="s">
        <v>102</v>
      </c>
      <c r="M197" s="146" t="s">
        <v>103</v>
      </c>
      <c r="N197" s="143" t="s">
        <v>104</v>
      </c>
      <c r="O197" s="146" t="s">
        <v>105</v>
      </c>
      <c r="P197" s="136" t="s">
        <v>106</v>
      </c>
      <c r="Q197" s="136" t="s">
        <v>107</v>
      </c>
      <c r="R197" s="136" t="s">
        <v>108</v>
      </c>
      <c r="S197" s="147" t="s">
        <v>109</v>
      </c>
      <c r="T197" s="147" t="s">
        <v>110</v>
      </c>
      <c r="U197" s="136" t="s">
        <v>111</v>
      </c>
      <c r="V197" s="147" t="s">
        <v>112</v>
      </c>
      <c r="W197" s="147" t="s">
        <v>113</v>
      </c>
      <c r="X197" s="136" t="s">
        <v>114</v>
      </c>
      <c r="Y197" s="147" t="s">
        <v>115</v>
      </c>
      <c r="Z197" s="136" t="s">
        <v>116</v>
      </c>
      <c r="AA197" s="148" t="s">
        <v>117</v>
      </c>
      <c r="AB197" s="148" t="s">
        <v>118</v>
      </c>
      <c r="AC197" s="148" t="s">
        <v>119</v>
      </c>
      <c r="AD197" s="149" t="s">
        <v>120</v>
      </c>
      <c r="AE197" s="150" t="s">
        <v>121</v>
      </c>
      <c r="AF197" s="150" t="s">
        <v>122</v>
      </c>
      <c r="AG197" s="150" t="s">
        <v>123</v>
      </c>
      <c r="AH197" s="150" t="s">
        <v>124</v>
      </c>
      <c r="AI197" s="150" t="s">
        <v>125</v>
      </c>
      <c r="AJ197" s="151" t="s">
        <v>126</v>
      </c>
      <c r="AK197" s="151" t="s">
        <v>127</v>
      </c>
      <c r="AL197" s="151" t="s">
        <v>128</v>
      </c>
      <c r="AM197" s="138"/>
    </row>
    <row hidden="true" r="198">
      <c r="A198" s="152" t="s">
        <v>173</v>
      </c>
      <c r="B198" s="153" t="s">
        <v>130</v>
      </c>
      <c r="C198" s="154" t="s">
        <v>131</v>
      </c>
      <c r="D198" s="154">
        <f t="shared" ref="D198:D201" si="55">E198+F198+G198+H198</f>
      </c>
      <c r="E198" s="155">
        <v>2406.11</v>
      </c>
      <c r="F198" s="156">
        <v>692.04</v>
      </c>
      <c r="G198" s="157"/>
      <c r="H198" s="155">
        <v>273.19</v>
      </c>
      <c r="I198" s="208">
        <v>1</v>
      </c>
      <c r="J198" s="170">
        <v>2268</v>
      </c>
      <c r="K198" s="158">
        <v>0</v>
      </c>
      <c r="L198" s="156">
        <v>0</v>
      </c>
      <c r="M198" s="156">
        <v>1</v>
      </c>
      <c r="N198" s="159">
        <f t="shared" ref="N198:N208" si="18">J198/D198</f>
      </c>
      <c r="O198" s="159">
        <f t="shared" ref="O198:O208" si="181">J198/(D198+300*AL198)</f>
      </c>
      <c r="P198" s="160">
        <f t="shared" ref="P198:P208" si="123">(D198/AE198)*1000</f>
      </c>
      <c r="Q198" s="161">
        <f t="shared" ref="Q198:Q208" si="297">AF198/AE198</f>
      </c>
      <c r="R198" s="162">
        <f t="shared" ref="R198:R208" si="239">D198/AG198</f>
      </c>
      <c r="S198" s="161">
        <f t="shared" ref="S198:S208" si="326">AH198/AG198</f>
      </c>
      <c r="T198" s="161">
        <f t="shared" ref="T198:T208" si="442">AI198/AG198</f>
      </c>
      <c r="U198" s="162">
        <f t="shared" ref="U198:U208" si="384">D198/AI198</f>
      </c>
      <c r="V198" s="161">
        <f t="shared" ref="V198:V208" si="152">AJ198/AI198</f>
      </c>
      <c r="W198" s="161">
        <f t="shared" ref="W198:W208" si="94">I198/AJ198</f>
      </c>
      <c r="X198" s="162">
        <f t="shared" ref="X198:X208" si="268">D198/I198</f>
      </c>
      <c r="Y198" s="163">
        <f t="shared" ref="Y198:Y208" si="210">J198/I198</f>
      </c>
      <c r="Z198" s="162">
        <f t="shared" ref="Z198:Z208" si="413">D198/AD198</f>
      </c>
      <c r="AA198" s="164">
        <f t="shared" ref="AA198:AA208" si="355">AK198*1000/D198</f>
      </c>
      <c r="AB198" s="165" t="s">
        <v>132</v>
      </c>
      <c r="AC198" s="166" t="s">
        <v>153</v>
      </c>
      <c r="AD198" s="234">
        <v>1</v>
      </c>
      <c r="AE198" s="233">
        <v>7533</v>
      </c>
      <c r="AF198" s="209">
        <v>316</v>
      </c>
      <c r="AG198" s="157">
        <v>445</v>
      </c>
      <c r="AH198" s="157">
        <v>95</v>
      </c>
      <c r="AI198" s="153">
        <v>23</v>
      </c>
      <c r="AJ198" s="158">
        <v>4</v>
      </c>
      <c r="AK198" s="156">
        <v>24</v>
      </c>
      <c r="AL198" s="175">
        <v>1</v>
      </c>
      <c r="AM198" s="168"/>
    </row>
    <row hidden="true" r="199">
      <c r="A199" s="152"/>
      <c r="B199" s="169" t="s">
        <v>134</v>
      </c>
      <c r="C199" s="234" t="s">
        <v>131</v>
      </c>
      <c r="D199" s="157">
        <f t="shared" si="55"/>
      </c>
      <c r="E199" s="158">
        <v>2242.46</v>
      </c>
      <c r="F199" s="170">
        <v>362.6</v>
      </c>
      <c r="G199" s="153"/>
      <c r="H199" s="156">
        <v>516.8</v>
      </c>
      <c r="I199" s="184">
        <v>2</v>
      </c>
      <c r="J199" s="171">
        <v>4536</v>
      </c>
      <c r="K199" s="156">
        <v>0</v>
      </c>
      <c r="L199" s="156">
        <v>0</v>
      </c>
      <c r="M199" s="156">
        <v>2</v>
      </c>
      <c r="N199" s="159">
        <f t="shared" si="18"/>
      </c>
      <c r="O199" s="159">
        <f t="shared" si="181"/>
      </c>
      <c r="P199" s="160">
        <f t="shared" si="123"/>
      </c>
      <c r="Q199" s="161">
        <f t="shared" si="297"/>
      </c>
      <c r="R199" s="162">
        <f t="shared" si="239"/>
      </c>
      <c r="S199" s="161">
        <f t="shared" si="326"/>
      </c>
      <c r="T199" s="161">
        <f t="shared" si="442"/>
      </c>
      <c r="U199" s="162">
        <f t="shared" si="384"/>
      </c>
      <c r="V199" s="161">
        <f t="shared" si="152"/>
      </c>
      <c r="W199" s="161">
        <f t="shared" si="94"/>
      </c>
      <c r="X199" s="162">
        <f t="shared" si="268"/>
      </c>
      <c r="Y199" s="163">
        <f t="shared" si="210"/>
      </c>
      <c r="Z199" s="162">
        <f t="shared" si="413"/>
      </c>
      <c r="AA199" s="164">
        <f t="shared" si="355"/>
      </c>
      <c r="AB199" s="165" t="s">
        <v>132</v>
      </c>
      <c r="AC199" s="166" t="s">
        <v>153</v>
      </c>
      <c r="AD199" s="208">
        <v>2</v>
      </c>
      <c r="AE199" s="172">
        <v>6994</v>
      </c>
      <c r="AF199" s="172">
        <v>258</v>
      </c>
      <c r="AG199" s="171">
        <v>354</v>
      </c>
      <c r="AH199" s="153">
        <v>73</v>
      </c>
      <c r="AI199" s="153">
        <v>27</v>
      </c>
      <c r="AJ199" s="201">
        <v>10</v>
      </c>
      <c r="AK199" s="210">
        <v>17</v>
      </c>
      <c r="AL199" s="175">
        <v>1</v>
      </c>
      <c r="AM199" s="168"/>
    </row>
    <row hidden="true" r="200">
      <c r="A200" s="152"/>
      <c r="B200" s="169" t="s">
        <v>135</v>
      </c>
      <c r="C200" s="209" t="s">
        <v>131</v>
      </c>
      <c r="D200" s="157">
        <f t="shared" si="55"/>
      </c>
      <c r="E200" s="158">
        <v>1955.49</v>
      </c>
      <c r="F200" s="158">
        <v>262.18</v>
      </c>
      <c r="G200" s="153"/>
      <c r="H200" s="156">
        <v>1078.45</v>
      </c>
      <c r="I200" s="156">
        <v>3</v>
      </c>
      <c r="J200" s="153">
        <v>2325</v>
      </c>
      <c r="K200" s="156">
        <v>1</v>
      </c>
      <c r="L200" s="156">
        <v>2</v>
      </c>
      <c r="M200" s="156">
        <v>0</v>
      </c>
      <c r="N200" s="159">
        <f t="shared" si="18"/>
      </c>
      <c r="O200" s="159">
        <f t="shared" si="181"/>
      </c>
      <c r="P200" s="160">
        <f t="shared" si="123"/>
      </c>
      <c r="Q200" s="161">
        <f t="shared" si="297"/>
      </c>
      <c r="R200" s="162">
        <f t="shared" si="239"/>
      </c>
      <c r="S200" s="161">
        <f t="shared" si="326"/>
      </c>
      <c r="T200" s="161">
        <f t="shared" si="442"/>
      </c>
      <c r="U200" s="162">
        <f t="shared" si="384"/>
      </c>
      <c r="V200" s="161">
        <f t="shared" si="152"/>
      </c>
      <c r="W200" s="161">
        <f t="shared" si="94"/>
      </c>
      <c r="X200" s="162">
        <f t="shared" si="268"/>
      </c>
      <c r="Y200" s="163">
        <f t="shared" si="210"/>
      </c>
      <c r="Z200" s="162">
        <f t="shared" si="413"/>
      </c>
      <c r="AA200" s="164">
        <f t="shared" si="355"/>
      </c>
      <c r="AB200" s="165" t="s">
        <v>132</v>
      </c>
      <c r="AC200" s="166" t="s">
        <v>153</v>
      </c>
      <c r="AD200" s="218">
        <v>3</v>
      </c>
      <c r="AE200" s="157">
        <v>6487</v>
      </c>
      <c r="AF200" s="157">
        <v>236</v>
      </c>
      <c r="AG200" s="153">
        <v>331</v>
      </c>
      <c r="AH200" s="153">
        <v>60</v>
      </c>
      <c r="AI200" s="153">
        <v>24</v>
      </c>
      <c r="AJ200" s="201">
        <v>9</v>
      </c>
      <c r="AK200" s="210">
        <v>16</v>
      </c>
      <c r="AL200" s="175">
        <v>1</v>
      </c>
      <c r="AM200" s="168"/>
    </row>
    <row hidden="true" r="201">
      <c r="A201" s="152"/>
      <c r="B201" s="169" t="s">
        <v>136</v>
      </c>
      <c r="C201" s="171" t="s">
        <v>131</v>
      </c>
      <c r="D201" s="157">
        <f t="shared" si="55"/>
      </c>
      <c r="E201" s="158">
        <v>2950.52</v>
      </c>
      <c r="F201" s="158">
        <v>391.06</v>
      </c>
      <c r="G201" s="153"/>
      <c r="H201" s="156">
        <v>464.44</v>
      </c>
      <c r="I201" s="156">
        <v>6</v>
      </c>
      <c r="J201" s="156">
        <v>12288</v>
      </c>
      <c r="K201" s="156">
        <v>0</v>
      </c>
      <c r="L201" s="156">
        <v>1</v>
      </c>
      <c r="M201" s="156">
        <v>5</v>
      </c>
      <c r="N201" s="159">
        <f t="shared" si="18"/>
      </c>
      <c r="O201" s="159">
        <f t="shared" si="181"/>
      </c>
      <c r="P201" s="160">
        <f t="shared" si="123"/>
      </c>
      <c r="Q201" s="161">
        <f t="shared" si="297"/>
      </c>
      <c r="R201" s="162">
        <f t="shared" si="239"/>
      </c>
      <c r="S201" s="161">
        <f t="shared" si="326"/>
      </c>
      <c r="T201" s="161">
        <f t="shared" si="442"/>
      </c>
      <c r="U201" s="162">
        <f t="shared" si="384"/>
      </c>
      <c r="V201" s="161">
        <f t="shared" si="152"/>
      </c>
      <c r="W201" s="161">
        <f t="shared" si="94"/>
      </c>
      <c r="X201" s="162">
        <f t="shared" si="268"/>
      </c>
      <c r="Y201" s="163">
        <f t="shared" si="210"/>
      </c>
      <c r="Z201" s="162">
        <f t="shared" si="413"/>
      </c>
      <c r="AA201" s="164">
        <f t="shared" si="355"/>
      </c>
      <c r="AB201" s="165" t="s">
        <v>132</v>
      </c>
      <c r="AC201" s="166" t="s">
        <v>153</v>
      </c>
      <c r="AD201" s="209">
        <v>6</v>
      </c>
      <c r="AE201" s="172">
        <v>6962</v>
      </c>
      <c r="AF201" s="153">
        <v>291</v>
      </c>
      <c r="AG201" s="153">
        <v>389</v>
      </c>
      <c r="AH201" s="153">
        <v>85</v>
      </c>
      <c r="AI201" s="153">
        <v>56</v>
      </c>
      <c r="AJ201" s="201">
        <v>9</v>
      </c>
      <c r="AK201" s="210">
        <v>26</v>
      </c>
      <c r="AL201" s="175">
        <v>1</v>
      </c>
      <c r="AM201" s="168"/>
    </row>
    <row hidden="true" r="202">
      <c r="A202" s="152"/>
      <c r="B202" s="176" t="s">
        <v>137</v>
      </c>
      <c r="C202" s="176"/>
      <c r="D202" s="176">
        <f>SUM(D198:D201)</f>
      </c>
      <c r="E202" s="176">
        <f>SUM(E198:E201)</f>
      </c>
      <c r="F202" s="176">
        <f>SUM(F198:F201)</f>
      </c>
      <c r="G202" s="176">
        <f>SUM(G198:G201)</f>
      </c>
      <c r="H202" s="176">
        <f>SUM(H198:H201)</f>
      </c>
      <c r="I202" s="176">
        <f>SUM(I198:I201)</f>
      </c>
      <c r="J202" s="176">
        <f>SUM(J198:J201)</f>
      </c>
      <c r="K202" s="176">
        <f>SUM(K198:K201)</f>
      </c>
      <c r="L202" s="176">
        <f>SUM(L198:L201)</f>
      </c>
      <c r="M202" s="176">
        <f>SUM(M198:M201)</f>
      </c>
      <c r="N202" s="177">
        <f t="shared" si="18"/>
      </c>
      <c r="O202" s="177">
        <f t="shared" si="181"/>
      </c>
      <c r="P202" s="178">
        <f t="shared" si="123"/>
      </c>
      <c r="Q202" s="179">
        <f t="shared" si="297"/>
      </c>
      <c r="R202" s="180">
        <f t="shared" si="239"/>
      </c>
      <c r="S202" s="179">
        <f t="shared" si="326"/>
      </c>
      <c r="T202" s="179">
        <f t="shared" si="442"/>
      </c>
      <c r="U202" s="180">
        <f t="shared" si="384"/>
      </c>
      <c r="V202" s="179">
        <f t="shared" si="152"/>
      </c>
      <c r="W202" s="179">
        <f t="shared" si="94"/>
      </c>
      <c r="X202" s="180">
        <f t="shared" si="268"/>
      </c>
      <c r="Y202" s="181">
        <f t="shared" si="210"/>
      </c>
      <c r="Z202" s="180">
        <f t="shared" si="413"/>
      </c>
      <c r="AA202" s="182">
        <f t="shared" si="355"/>
      </c>
      <c r="AB202" s="182"/>
      <c r="AC202" s="189"/>
      <c r="AD202" s="211">
        <f>SUM(AD198:AD201)</f>
      </c>
      <c r="AE202" s="183">
        <f>SUM(AE198:AE201)</f>
      </c>
      <c r="AF202" s="183">
        <f>SUM(AF198:AF201)</f>
      </c>
      <c r="AG202" s="183">
        <f>SUM(AG198:AG201)</f>
      </c>
      <c r="AH202" s="183">
        <f>SUM(AH198:AH201)</f>
      </c>
      <c r="AI202" s="183">
        <f>SUM(AI198:AI201)</f>
      </c>
      <c r="AJ202" s="183">
        <f>SUM(AJ198:AJ201)</f>
      </c>
      <c r="AK202" s="183">
        <f>SUM(AK198:AK201)</f>
      </c>
      <c r="AL202" s="183">
        <f>SUM(AL198:AL201)</f>
      </c>
      <c r="AM202" s="168"/>
    </row>
    <row hidden="true" r="203">
      <c r="A203" s="152"/>
      <c r="B203" s="184" t="s">
        <v>145</v>
      </c>
      <c r="C203" s="154" t="s">
        <v>139</v>
      </c>
      <c r="D203" s="153">
        <f t="shared" ref="D203:D206" si="56">E203+F203+G203+H203</f>
      </c>
      <c r="E203" s="156">
        <v>3323.58</v>
      </c>
      <c r="F203" s="158">
        <v>455.69</v>
      </c>
      <c r="G203" s="153"/>
      <c r="H203" s="156">
        <v>274.89</v>
      </c>
      <c r="I203" s="156">
        <v>6</v>
      </c>
      <c r="J203" s="153">
        <v>10968</v>
      </c>
      <c r="K203" s="156">
        <v>0</v>
      </c>
      <c r="L203" s="156">
        <v>2</v>
      </c>
      <c r="M203" s="156">
        <v>4</v>
      </c>
      <c r="N203" s="159">
        <f t="shared" si="18"/>
      </c>
      <c r="O203" s="159">
        <f t="shared" si="181"/>
      </c>
      <c r="P203" s="160">
        <f t="shared" si="123"/>
      </c>
      <c r="Q203" s="161">
        <f t="shared" si="297"/>
      </c>
      <c r="R203" s="162">
        <f t="shared" si="239"/>
      </c>
      <c r="S203" s="161">
        <f t="shared" si="326"/>
      </c>
      <c r="T203" s="161">
        <f t="shared" si="442"/>
      </c>
      <c r="U203" s="162">
        <f t="shared" si="384"/>
      </c>
      <c r="V203" s="161">
        <f t="shared" si="152"/>
      </c>
      <c r="W203" s="161">
        <f t="shared" si="94"/>
      </c>
      <c r="X203" s="162">
        <f t="shared" si="268"/>
      </c>
      <c r="Y203" s="163">
        <f t="shared" si="210"/>
      </c>
      <c r="Z203" s="162">
        <f t="shared" si="413"/>
      </c>
      <c r="AA203" s="164">
        <f t="shared" si="355"/>
      </c>
      <c r="AB203" s="165" t="s">
        <v>132</v>
      </c>
      <c r="AC203" s="166" t="s">
        <v>153</v>
      </c>
      <c r="AD203" s="208">
        <v>5</v>
      </c>
      <c r="AE203" s="185">
        <v>8388</v>
      </c>
      <c r="AF203" s="167">
        <v>289</v>
      </c>
      <c r="AG203" s="167">
        <v>361</v>
      </c>
      <c r="AH203" s="167">
        <v>79</v>
      </c>
      <c r="AI203" s="167">
        <v>53</v>
      </c>
      <c r="AJ203" s="175">
        <v>10</v>
      </c>
      <c r="AK203" s="175">
        <v>17</v>
      </c>
      <c r="AL203" s="175">
        <v>1</v>
      </c>
      <c r="AM203" s="168"/>
    </row>
    <row hidden="true" r="204">
      <c r="A204" s="152"/>
      <c r="B204" s="171" t="s">
        <v>140</v>
      </c>
      <c r="C204" s="154" t="s">
        <v>139</v>
      </c>
      <c r="D204" s="153">
        <f t="shared" si="56"/>
      </c>
      <c r="E204" s="156">
        <v>3996.15</v>
      </c>
      <c r="F204" s="158">
        <v>323.55</v>
      </c>
      <c r="G204" s="153"/>
      <c r="H204" s="156">
        <v>476.18</v>
      </c>
      <c r="I204" s="156">
        <v>5</v>
      </c>
      <c r="J204" s="153">
        <v>10020</v>
      </c>
      <c r="K204" s="156">
        <v>0</v>
      </c>
      <c r="L204" s="156">
        <v>1</v>
      </c>
      <c r="M204" s="186">
        <v>4</v>
      </c>
      <c r="N204" s="235">
        <f t="shared" si="18"/>
      </c>
      <c r="O204" s="235">
        <f t="shared" si="181"/>
      </c>
      <c r="P204" s="236">
        <f t="shared" si="123"/>
      </c>
      <c r="Q204" s="237">
        <f t="shared" si="297"/>
      </c>
      <c r="R204" s="238">
        <f t="shared" si="239"/>
      </c>
      <c r="S204" s="161">
        <f t="shared" si="326"/>
      </c>
      <c r="T204" s="161">
        <f t="shared" si="442"/>
      </c>
      <c r="U204" s="162">
        <f t="shared" si="384"/>
      </c>
      <c r="V204" s="161">
        <f t="shared" si="152"/>
      </c>
      <c r="W204" s="161">
        <f t="shared" si="94"/>
      </c>
      <c r="X204" s="162">
        <f t="shared" si="268"/>
      </c>
      <c r="Y204" s="163">
        <f t="shared" si="210"/>
      </c>
      <c r="Z204" s="162">
        <f t="shared" si="413"/>
      </c>
      <c r="AA204" s="164">
        <f t="shared" si="355"/>
      </c>
      <c r="AB204" s="165" t="s">
        <v>132</v>
      </c>
      <c r="AC204" s="166" t="s">
        <v>153</v>
      </c>
      <c r="AD204" s="208">
        <v>4</v>
      </c>
      <c r="AE204" s="185">
        <v>10954</v>
      </c>
      <c r="AF204" s="167">
        <v>311</v>
      </c>
      <c r="AG204" s="167">
        <v>366</v>
      </c>
      <c r="AH204" s="167">
        <v>80</v>
      </c>
      <c r="AI204" s="167">
        <v>52</v>
      </c>
      <c r="AJ204" s="175">
        <v>10</v>
      </c>
      <c r="AK204" s="175">
        <v>31</v>
      </c>
      <c r="AL204" s="175">
        <v>1</v>
      </c>
      <c r="AM204" s="168"/>
    </row>
    <row hidden="true" r="205">
      <c r="A205" s="152"/>
      <c r="B205" s="156" t="s">
        <v>141</v>
      </c>
      <c r="C205" s="154" t="s">
        <v>139</v>
      </c>
      <c r="D205" s="153">
        <f t="shared" si="56"/>
      </c>
      <c r="E205" s="156">
        <v>5208.82</v>
      </c>
      <c r="F205" s="158">
        <v>259.77</v>
      </c>
      <c r="G205" s="153"/>
      <c r="H205" s="156">
        <v>459.38</v>
      </c>
      <c r="I205" s="156">
        <v>6</v>
      </c>
      <c r="J205" s="156">
        <v>8281</v>
      </c>
      <c r="K205" s="156">
        <v>0</v>
      </c>
      <c r="L205" s="155">
        <v>1</v>
      </c>
      <c r="M205" s="208">
        <v>3</v>
      </c>
      <c r="N205" s="239">
        <f t="shared" si="18"/>
      </c>
      <c r="O205" s="239">
        <f t="shared" si="181"/>
      </c>
      <c r="P205" s="240">
        <f t="shared" si="123"/>
      </c>
      <c r="Q205" s="241">
        <f t="shared" si="297"/>
      </c>
      <c r="R205" s="242">
        <f t="shared" si="239"/>
      </c>
      <c r="S205" s="243">
        <f t="shared" si="326"/>
      </c>
      <c r="T205" s="161">
        <f t="shared" si="442"/>
      </c>
      <c r="U205" s="162">
        <f t="shared" si="384"/>
      </c>
      <c r="V205" s="161">
        <f t="shared" si="152"/>
      </c>
      <c r="W205" s="161">
        <f t="shared" si="94"/>
      </c>
      <c r="X205" s="162">
        <f t="shared" si="268"/>
      </c>
      <c r="Y205" s="163">
        <f t="shared" si="210"/>
      </c>
      <c r="Z205" s="162">
        <f t="shared" si="413"/>
      </c>
      <c r="AA205" s="164">
        <f t="shared" si="355"/>
      </c>
      <c r="AB205" s="165" t="s">
        <v>132</v>
      </c>
      <c r="AC205" s="166" t="s">
        <v>153</v>
      </c>
      <c r="AD205" s="208">
        <v>3</v>
      </c>
      <c r="AE205" s="185">
        <v>14171</v>
      </c>
      <c r="AF205" s="167">
        <v>400</v>
      </c>
      <c r="AG205" s="167">
        <v>485</v>
      </c>
      <c r="AH205" s="167">
        <v>96</v>
      </c>
      <c r="AI205" s="167">
        <v>48</v>
      </c>
      <c r="AJ205" s="175">
        <v>16</v>
      </c>
      <c r="AK205" s="175">
        <v>34</v>
      </c>
      <c r="AL205" s="175">
        <v>1</v>
      </c>
      <c r="AM205" s="168"/>
    </row>
    <row hidden="true" r="206">
      <c r="A206" s="152"/>
      <c r="B206" s="156" t="s">
        <v>150</v>
      </c>
      <c r="C206" s="154" t="s">
        <v>139</v>
      </c>
      <c r="D206" s="153">
        <f t="shared" si="56"/>
      </c>
      <c r="E206" s="156">
        <v>2354.78</v>
      </c>
      <c r="F206" s="158">
        <v>283.28</v>
      </c>
      <c r="G206" s="153"/>
      <c r="H206" s="156">
        <v>448.94</v>
      </c>
      <c r="I206" s="156">
        <v>3</v>
      </c>
      <c r="J206" s="156">
        <v>6616</v>
      </c>
      <c r="K206" s="156">
        <v>0</v>
      </c>
      <c r="L206" s="155">
        <v>0</v>
      </c>
      <c r="M206" s="208">
        <v>3</v>
      </c>
      <c r="N206" s="239">
        <f t="shared" si="18"/>
      </c>
      <c r="O206" s="239">
        <f t="shared" si="181"/>
      </c>
      <c r="P206" s="240">
        <f t="shared" si="123"/>
      </c>
      <c r="Q206" s="241">
        <f t="shared" si="297"/>
      </c>
      <c r="R206" s="242">
        <f t="shared" si="239"/>
      </c>
      <c r="S206" s="243">
        <f t="shared" si="326"/>
      </c>
      <c r="T206" s="161">
        <f t="shared" si="442"/>
      </c>
      <c r="U206" s="162">
        <f t="shared" si="384"/>
      </c>
      <c r="V206" s="161">
        <f t="shared" si="152"/>
      </c>
      <c r="W206" s="161">
        <f t="shared" si="94"/>
      </c>
      <c r="X206" s="162">
        <f t="shared" si="268"/>
      </c>
      <c r="Y206" s="163">
        <f t="shared" si="210"/>
      </c>
      <c r="Z206" s="162">
        <f t="shared" si="413"/>
      </c>
      <c r="AA206" s="164">
        <f t="shared" si="355"/>
      </c>
      <c r="AB206" s="165" t="s">
        <v>132</v>
      </c>
      <c r="AC206" s="166" t="s">
        <v>153</v>
      </c>
      <c r="AD206" s="208">
        <v>1</v>
      </c>
      <c r="AE206" s="185">
        <v>8027</v>
      </c>
      <c r="AF206" s="167">
        <v>206</v>
      </c>
      <c r="AG206" s="167">
        <v>263</v>
      </c>
      <c r="AH206" s="167">
        <v>60</v>
      </c>
      <c r="AI206" s="167">
        <v>18</v>
      </c>
      <c r="AJ206" s="175">
        <v>8</v>
      </c>
      <c r="AK206" s="175">
        <v>14</v>
      </c>
      <c r="AL206" s="175">
        <v>1</v>
      </c>
      <c r="AM206" s="168"/>
    </row>
    <row hidden="true" r="207">
      <c r="A207" s="152"/>
      <c r="B207" s="176" t="s">
        <v>137</v>
      </c>
      <c r="C207" s="176"/>
      <c r="D207" s="176">
        <f>SUM(D203:D206)</f>
      </c>
      <c r="E207" s="176">
        <f>SUM(E203:E206)</f>
      </c>
      <c r="F207" s="176">
        <f>SUM(F203:F206)</f>
      </c>
      <c r="G207" s="176">
        <f>SUM(G203:G206)</f>
      </c>
      <c r="H207" s="176">
        <f>SUM(H203:H206)</f>
      </c>
      <c r="I207" s="176">
        <f>SUM(I203:I206)</f>
      </c>
      <c r="J207" s="176">
        <f>SUM(J203:J206)</f>
      </c>
      <c r="K207" s="176">
        <f>SUM(K203:K206)</f>
      </c>
      <c r="L207" s="176">
        <f>SUM(L203:L206)</f>
      </c>
      <c r="M207" s="190">
        <f>SUM(M203:M206)</f>
      </c>
      <c r="N207" s="244">
        <f t="shared" si="18"/>
      </c>
      <c r="O207" s="244">
        <f t="shared" si="181"/>
      </c>
      <c r="P207" s="245">
        <f t="shared" si="123"/>
      </c>
      <c r="Q207" s="246">
        <f t="shared" si="297"/>
      </c>
      <c r="R207" s="247">
        <f t="shared" si="239"/>
      </c>
      <c r="S207" s="179">
        <f t="shared" si="326"/>
      </c>
      <c r="T207" s="179">
        <f t="shared" si="442"/>
      </c>
      <c r="U207" s="180">
        <f t="shared" si="384"/>
      </c>
      <c r="V207" s="179">
        <f t="shared" si="152"/>
      </c>
      <c r="W207" s="179">
        <f t="shared" si="94"/>
      </c>
      <c r="X207" s="180">
        <f t="shared" si="268"/>
      </c>
      <c r="Y207" s="181">
        <f t="shared" si="210"/>
      </c>
      <c r="Z207" s="180">
        <f t="shared" si="413"/>
      </c>
      <c r="AA207" s="182">
        <f t="shared" si="355"/>
      </c>
      <c r="AB207" s="182"/>
      <c r="AC207" s="189"/>
      <c r="AD207" s="190">
        <f>SUM(AD203:AD206)</f>
      </c>
      <c r="AE207" s="190">
        <f>SUM(AE203:AE206)</f>
      </c>
      <c r="AF207" s="190">
        <f>SUM(AF203:AF206)</f>
      </c>
      <c r="AG207" s="190">
        <f>SUM(AG203:AG206)</f>
      </c>
      <c r="AH207" s="190">
        <f>SUM(AH203:AH206)</f>
      </c>
      <c r="AI207" s="190">
        <f>SUM(AI203:AI206)</f>
      </c>
      <c r="AJ207" s="190">
        <f>SUM(AJ203:AJ206)</f>
      </c>
      <c r="AK207" s="190">
        <f>SUM(AK203:AK206)</f>
      </c>
      <c r="AL207" s="190">
        <f>SUM(AL203:AL206)</f>
      </c>
      <c r="AM207" s="191" t="s">
        <v>142</v>
      </c>
    </row>
    <row hidden="true" r="208">
      <c r="A208" s="152"/>
      <c r="B208" s="192" t="s">
        <v>143</v>
      </c>
      <c r="C208" s="192"/>
      <c r="D208" s="192">
        <f>D202+D207</f>
      </c>
      <c r="E208" s="192">
        <f>E202+E207</f>
      </c>
      <c r="F208" s="192">
        <f>F202+F207</f>
      </c>
      <c r="G208" s="192">
        <f>G202+G207</f>
      </c>
      <c r="H208" s="192">
        <f>H202+H207</f>
      </c>
      <c r="I208" s="192">
        <f>I202+I207</f>
      </c>
      <c r="J208" s="192">
        <f>J202+J207</f>
      </c>
      <c r="K208" s="192">
        <f>K202+K207</f>
      </c>
      <c r="L208" s="192">
        <f>L202+L207</f>
      </c>
      <c r="M208" s="192">
        <f>M202+M207</f>
      </c>
      <c r="N208" s="193">
        <f t="shared" si="18"/>
      </c>
      <c r="O208" s="193">
        <f t="shared" si="181"/>
      </c>
      <c r="P208" s="194">
        <f t="shared" si="123"/>
      </c>
      <c r="Q208" s="195">
        <f t="shared" si="297"/>
      </c>
      <c r="R208" s="193">
        <f t="shared" si="239"/>
      </c>
      <c r="S208" s="195">
        <f t="shared" si="326"/>
      </c>
      <c r="T208" s="195">
        <f t="shared" si="442"/>
      </c>
      <c r="U208" s="193">
        <f t="shared" si="384"/>
      </c>
      <c r="V208" s="195">
        <f t="shared" si="152"/>
      </c>
      <c r="W208" s="195">
        <f t="shared" si="94"/>
      </c>
      <c r="X208" s="193">
        <f t="shared" si="268"/>
      </c>
      <c r="Y208" s="196">
        <f t="shared" si="210"/>
      </c>
      <c r="Z208" s="193">
        <f t="shared" si="413"/>
      </c>
      <c r="AA208" s="194">
        <f t="shared" si="355"/>
      </c>
      <c r="AB208" s="194"/>
      <c r="AC208" s="194"/>
      <c r="AD208" s="197">
        <f>AD202+AD207</f>
      </c>
      <c r="AE208" s="197">
        <f>AE202+AE207</f>
      </c>
      <c r="AF208" s="197">
        <f>AF202+AF207</f>
      </c>
      <c r="AG208" s="197">
        <f>AG202+AG207</f>
      </c>
      <c r="AH208" s="197">
        <f>AH202+AH207</f>
      </c>
      <c r="AI208" s="197">
        <f>AI202+AI207</f>
      </c>
      <c r="AJ208" s="197">
        <f>AJ202+AJ207</f>
      </c>
      <c r="AK208" s="197">
        <f>AK202+AK207</f>
      </c>
      <c r="AL208" s="197">
        <f>AL202+AL207</f>
      </c>
      <c r="AM208" s="191"/>
    </row>
    <row hidden="true" r="209">
      <c r="A209" s="139" t="s">
        <v>87</v>
      </c>
      <c r="B209" s="139"/>
      <c r="C209" s="139"/>
      <c r="D209" s="135" t="s">
        <v>88</v>
      </c>
      <c r="E209" s="135"/>
      <c r="F209" s="135"/>
      <c r="G209" s="135"/>
      <c r="H209" s="135"/>
      <c r="I209" s="204"/>
      <c r="J209" s="204"/>
      <c r="K209" s="135"/>
      <c r="L209" s="135"/>
      <c r="M209" s="135"/>
      <c r="N209" s="135"/>
      <c r="O209" s="135"/>
      <c r="P209" s="136" t="s">
        <v>89</v>
      </c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7" t="s">
        <v>90</v>
      </c>
      <c r="AE209" s="137"/>
      <c r="AF209" s="137"/>
      <c r="AG209" s="137"/>
      <c r="AH209" s="137"/>
      <c r="AI209" s="137"/>
      <c r="AJ209" s="137"/>
      <c r="AK209" s="137"/>
      <c r="AL209" s="137"/>
      <c r="AM209" s="138"/>
    </row>
    <row hidden="true" r="210">
      <c r="A210" s="139" t="s">
        <v>91</v>
      </c>
      <c r="B210" s="140" t="s">
        <v>92</v>
      </c>
      <c r="C210" s="140" t="s">
        <v>93</v>
      </c>
      <c r="D210" s="141" t="s">
        <v>94</v>
      </c>
      <c r="E210" s="142" t="s">
        <v>95</v>
      </c>
      <c r="F210" s="142" t="s">
        <v>96</v>
      </c>
      <c r="G210" s="143" t="s">
        <v>97</v>
      </c>
      <c r="H210" s="215" t="s">
        <v>98</v>
      </c>
      <c r="I210" s="216" t="s">
        <v>99</v>
      </c>
      <c r="J210" s="206" t="s">
        <v>100</v>
      </c>
      <c r="K210" s="135" t="s">
        <v>101</v>
      </c>
      <c r="L210" s="146" t="s">
        <v>102</v>
      </c>
      <c r="M210" s="146" t="s">
        <v>103</v>
      </c>
      <c r="N210" s="143" t="s">
        <v>104</v>
      </c>
      <c r="O210" s="146" t="s">
        <v>105</v>
      </c>
      <c r="P210" s="136" t="s">
        <v>106</v>
      </c>
      <c r="Q210" s="136" t="s">
        <v>107</v>
      </c>
      <c r="R210" s="136" t="s">
        <v>108</v>
      </c>
      <c r="S210" s="147" t="s">
        <v>109</v>
      </c>
      <c r="T210" s="147" t="s">
        <v>110</v>
      </c>
      <c r="U210" s="136" t="s">
        <v>111</v>
      </c>
      <c r="V210" s="147" t="s">
        <v>112</v>
      </c>
      <c r="W210" s="147" t="s">
        <v>113</v>
      </c>
      <c r="X210" s="136" t="s">
        <v>114</v>
      </c>
      <c r="Y210" s="147" t="s">
        <v>115</v>
      </c>
      <c r="Z210" s="136" t="s">
        <v>116</v>
      </c>
      <c r="AA210" s="148" t="s">
        <v>117</v>
      </c>
      <c r="AB210" s="148" t="s">
        <v>118</v>
      </c>
      <c r="AC210" s="148" t="s">
        <v>119</v>
      </c>
      <c r="AD210" s="149" t="s">
        <v>120</v>
      </c>
      <c r="AE210" s="150" t="s">
        <v>121</v>
      </c>
      <c r="AF210" s="150" t="s">
        <v>122</v>
      </c>
      <c r="AG210" s="150" t="s">
        <v>123</v>
      </c>
      <c r="AH210" s="150" t="s">
        <v>124</v>
      </c>
      <c r="AI210" s="150" t="s">
        <v>125</v>
      </c>
      <c r="AJ210" s="151" t="s">
        <v>126</v>
      </c>
      <c r="AK210" s="151" t="s">
        <v>127</v>
      </c>
      <c r="AL210" s="151" t="s">
        <v>128</v>
      </c>
      <c r="AM210" s="138"/>
    </row>
    <row hidden="true" r="211">
      <c r="A211" s="152" t="s">
        <v>174</v>
      </c>
      <c r="B211" s="153" t="s">
        <v>130</v>
      </c>
      <c r="C211" s="154" t="s">
        <v>131</v>
      </c>
      <c r="D211" s="154">
        <f t="shared" ref="D211:D214" si="57">E211+F211+G211+H211</f>
      </c>
      <c r="E211" s="155">
        <v>3217.42</v>
      </c>
      <c r="F211" s="156">
        <v>319.08</v>
      </c>
      <c r="G211" s="157"/>
      <c r="H211" s="155">
        <v>298.67</v>
      </c>
      <c r="I211" s="208">
        <v>1</v>
      </c>
      <c r="J211" s="208">
        <v>2268</v>
      </c>
      <c r="K211" s="158">
        <v>0</v>
      </c>
      <c r="L211" s="156">
        <v>0</v>
      </c>
      <c r="M211" s="156">
        <v>1</v>
      </c>
      <c r="N211" s="159">
        <f t="shared" ref="N211:N219" si="19">J211/D211</f>
      </c>
      <c r="O211" s="159">
        <f t="shared" ref="O211:O219" si="182">J211/(D211+300*AL211)</f>
      </c>
      <c r="P211" s="160">
        <f t="shared" ref="P211:P219" si="124">(D211/AE211)*1000</f>
      </c>
      <c r="Q211" s="161">
        <f t="shared" ref="Q211:Q219" si="298">AF211/AE211</f>
      </c>
      <c r="R211" s="162">
        <f t="shared" ref="R211:R219" si="240">D211/AG211</f>
      </c>
      <c r="S211" s="161">
        <f t="shared" ref="S211:S219" si="327">AH211/AG211</f>
      </c>
      <c r="T211" s="161">
        <f t="shared" ref="T211:T219" si="443">AI211/AG211</f>
      </c>
      <c r="U211" s="162">
        <f t="shared" ref="U211:U219" si="385">D211/AI211</f>
      </c>
      <c r="V211" s="161">
        <f t="shared" ref="V211:V219" si="153">AJ211/AI211</f>
      </c>
      <c r="W211" s="161">
        <f t="shared" ref="W211:W219" si="95">I211/AJ211</f>
      </c>
      <c r="X211" s="162">
        <f t="shared" ref="X211:X219" si="269">D211/I211</f>
      </c>
      <c r="Y211" s="163">
        <f t="shared" ref="Y211:Y219" si="211">J211/I211</f>
      </c>
      <c r="Z211" s="162">
        <f t="shared" ref="Z211:Z219" si="414">D211/AD211</f>
      </c>
      <c r="AA211" s="164">
        <f t="shared" ref="AA211:AA219" si="356">AK211*1000/D211</f>
      </c>
      <c r="AB211" s="165" t="s">
        <v>132</v>
      </c>
      <c r="AC211" s="166" t="s">
        <v>153</v>
      </c>
      <c r="AD211" s="234">
        <v>1</v>
      </c>
      <c r="AE211" s="233">
        <v>10680</v>
      </c>
      <c r="AF211" s="209">
        <v>335</v>
      </c>
      <c r="AG211" s="157">
        <v>435</v>
      </c>
      <c r="AH211" s="157">
        <v>104</v>
      </c>
      <c r="AI211" s="153">
        <v>26</v>
      </c>
      <c r="AJ211" s="158">
        <v>6</v>
      </c>
      <c r="AK211" s="156">
        <v>19</v>
      </c>
      <c r="AL211" s="175">
        <v>1</v>
      </c>
      <c r="AM211" s="168"/>
    </row>
    <row hidden="true" r="212">
      <c r="A212" s="152"/>
      <c r="B212" s="169" t="s">
        <v>134</v>
      </c>
      <c r="C212" s="234" t="s">
        <v>131</v>
      </c>
      <c r="D212" s="157">
        <f t="shared" si="57"/>
      </c>
      <c r="E212" s="158">
        <v>2567.61</v>
      </c>
      <c r="F212" s="170">
        <v>303.28</v>
      </c>
      <c r="G212" s="153"/>
      <c r="H212" s="155">
        <v>305.72</v>
      </c>
      <c r="I212" s="208">
        <v>4</v>
      </c>
      <c r="J212" s="209">
        <v>9072</v>
      </c>
      <c r="K212" s="158">
        <v>0</v>
      </c>
      <c r="L212" s="156">
        <v>0</v>
      </c>
      <c r="M212" s="156">
        <v>4</v>
      </c>
      <c r="N212" s="159">
        <f t="shared" si="19"/>
      </c>
      <c r="O212" s="159">
        <f t="shared" si="182"/>
      </c>
      <c r="P212" s="160">
        <f t="shared" si="124"/>
      </c>
      <c r="Q212" s="161">
        <f t="shared" si="298"/>
      </c>
      <c r="R212" s="162">
        <f t="shared" si="240"/>
      </c>
      <c r="S212" s="161">
        <f t="shared" si="327"/>
      </c>
      <c r="T212" s="161">
        <f t="shared" si="443"/>
      </c>
      <c r="U212" s="162">
        <f t="shared" si="385"/>
      </c>
      <c r="V212" s="161">
        <f t="shared" si="153"/>
      </c>
      <c r="W212" s="161">
        <f t="shared" si="95"/>
      </c>
      <c r="X212" s="162">
        <f t="shared" si="269"/>
      </c>
      <c r="Y212" s="163">
        <f t="shared" si="211"/>
      </c>
      <c r="Z212" s="162">
        <f t="shared" si="414"/>
      </c>
      <c r="AA212" s="164">
        <f t="shared" si="356"/>
      </c>
      <c r="AB212" s="165" t="s">
        <v>132</v>
      </c>
      <c r="AC212" s="166" t="s">
        <v>153</v>
      </c>
      <c r="AD212" s="208">
        <v>3</v>
      </c>
      <c r="AE212" s="172">
        <v>8614</v>
      </c>
      <c r="AF212" s="172">
        <v>277</v>
      </c>
      <c r="AG212" s="171">
        <v>350</v>
      </c>
      <c r="AH212" s="153">
        <v>95</v>
      </c>
      <c r="AI212" s="153">
        <v>36</v>
      </c>
      <c r="AJ212" s="201">
        <v>15</v>
      </c>
      <c r="AK212" s="210">
        <v>23</v>
      </c>
      <c r="AL212" s="175">
        <v>1</v>
      </c>
      <c r="AM212" s="168"/>
    </row>
    <row hidden="true" r="213">
      <c r="A213" s="152"/>
      <c r="B213" s="169" t="s">
        <v>135</v>
      </c>
      <c r="C213" s="209" t="s">
        <v>131</v>
      </c>
      <c r="D213" s="157">
        <f t="shared" si="57"/>
      </c>
      <c r="E213" s="158">
        <v>2183.3</v>
      </c>
      <c r="F213" s="158">
        <v>398.45</v>
      </c>
      <c r="G213" s="153"/>
      <c r="H213" s="156">
        <v>624.91</v>
      </c>
      <c r="I213" s="184">
        <v>2</v>
      </c>
      <c r="J213" s="171">
        <v>4536</v>
      </c>
      <c r="K213" s="156">
        <v>0</v>
      </c>
      <c r="L213" s="156">
        <v>0</v>
      </c>
      <c r="M213" s="156">
        <v>2</v>
      </c>
      <c r="N213" s="159">
        <f t="shared" si="19"/>
      </c>
      <c r="O213" s="159">
        <f t="shared" si="182"/>
      </c>
      <c r="P213" s="160">
        <f t="shared" si="124"/>
      </c>
      <c r="Q213" s="161">
        <f t="shared" si="298"/>
      </c>
      <c r="R213" s="162">
        <f t="shared" si="240"/>
      </c>
      <c r="S213" s="161">
        <f t="shared" si="327"/>
      </c>
      <c r="T213" s="161">
        <f t="shared" si="443"/>
      </c>
      <c r="U213" s="162">
        <f t="shared" si="385"/>
      </c>
      <c r="V213" s="161">
        <f t="shared" si="153"/>
      </c>
      <c r="W213" s="161">
        <f t="shared" si="95"/>
      </c>
      <c r="X213" s="162">
        <f t="shared" si="269"/>
      </c>
      <c r="Y213" s="163">
        <f t="shared" si="211"/>
      </c>
      <c r="Z213" s="162">
        <f t="shared" si="414"/>
      </c>
      <c r="AA213" s="164">
        <f t="shared" si="356"/>
      </c>
      <c r="AB213" s="165" t="s">
        <v>132</v>
      </c>
      <c r="AC213" s="166" t="s">
        <v>153</v>
      </c>
      <c r="AD213" s="218">
        <v>2</v>
      </c>
      <c r="AE213" s="157">
        <v>7862</v>
      </c>
      <c r="AF213" s="157">
        <v>219</v>
      </c>
      <c r="AG213" s="153">
        <v>285</v>
      </c>
      <c r="AH213" s="153">
        <v>72</v>
      </c>
      <c r="AI213" s="153">
        <v>24</v>
      </c>
      <c r="AJ213" s="201">
        <v>7</v>
      </c>
      <c r="AK213" s="210">
        <v>16</v>
      </c>
      <c r="AL213" s="175">
        <v>1</v>
      </c>
      <c r="AM213" s="168"/>
    </row>
    <row hidden="true" r="214">
      <c r="A214" s="152"/>
      <c r="B214" s="169" t="s">
        <v>136</v>
      </c>
      <c r="C214" s="171" t="s">
        <v>131</v>
      </c>
      <c r="D214" s="157">
        <f t="shared" si="57"/>
      </c>
      <c r="E214" s="158">
        <v>2219.2</v>
      </c>
      <c r="F214" s="158">
        <v>347.89</v>
      </c>
      <c r="G214" s="153"/>
      <c r="H214" s="156">
        <v>792.8</v>
      </c>
      <c r="I214" s="156">
        <v>4</v>
      </c>
      <c r="J214" s="156">
        <v>6432</v>
      </c>
      <c r="K214" s="156">
        <v>0</v>
      </c>
      <c r="L214" s="156">
        <v>2</v>
      </c>
      <c r="M214" s="156">
        <v>2</v>
      </c>
      <c r="N214" s="159">
        <f t="shared" si="19"/>
      </c>
      <c r="O214" s="159">
        <f t="shared" si="182"/>
      </c>
      <c r="P214" s="160">
        <f t="shared" si="124"/>
      </c>
      <c r="Q214" s="161">
        <f t="shared" si="298"/>
      </c>
      <c r="R214" s="162">
        <f t="shared" si="240"/>
      </c>
      <c r="S214" s="161">
        <f t="shared" si="327"/>
      </c>
      <c r="T214" s="161">
        <f t="shared" si="443"/>
      </c>
      <c r="U214" s="162">
        <f t="shared" si="385"/>
      </c>
      <c r="V214" s="161">
        <f t="shared" si="153"/>
      </c>
      <c r="W214" s="161">
        <f t="shared" si="95"/>
      </c>
      <c r="X214" s="162">
        <f t="shared" si="269"/>
      </c>
      <c r="Y214" s="163">
        <f t="shared" si="211"/>
      </c>
      <c r="Z214" s="162">
        <f t="shared" si="414"/>
      </c>
      <c r="AA214" s="164">
        <f t="shared" si="356"/>
      </c>
      <c r="AB214" s="165" t="s">
        <v>132</v>
      </c>
      <c r="AC214" s="166" t="s">
        <v>153</v>
      </c>
      <c r="AD214" s="208">
        <v>3</v>
      </c>
      <c r="AE214" s="172">
        <v>9132</v>
      </c>
      <c r="AF214" s="153">
        <v>255</v>
      </c>
      <c r="AG214" s="153">
        <v>324</v>
      </c>
      <c r="AH214" s="153">
        <v>73</v>
      </c>
      <c r="AI214" s="153">
        <v>24</v>
      </c>
      <c r="AJ214" s="201">
        <v>9</v>
      </c>
      <c r="AK214" s="210">
        <v>14</v>
      </c>
      <c r="AL214" s="175">
        <v>1</v>
      </c>
      <c r="AM214" s="168"/>
    </row>
    <row hidden="true" r="215">
      <c r="A215" s="152"/>
      <c r="B215" s="176" t="s">
        <v>137</v>
      </c>
      <c r="C215" s="176"/>
      <c r="D215" s="176">
        <f>SUM(D211:D214)</f>
      </c>
      <c r="E215" s="176">
        <f>SUM(E211:E214)</f>
      </c>
      <c r="F215" s="176">
        <f>SUM(F211:F214)</f>
      </c>
      <c r="G215" s="176">
        <f>SUM(G211:G214)</f>
      </c>
      <c r="H215" s="176">
        <f>SUM(H211:H214)</f>
      </c>
      <c r="I215" s="176">
        <f>SUM(I211:I214)</f>
      </c>
      <c r="J215" s="176">
        <f>SUM(J211:J214)</f>
      </c>
      <c r="K215" s="176">
        <f>SUM(K211:K214)</f>
      </c>
      <c r="L215" s="176">
        <f>SUM(L211:L214)</f>
      </c>
      <c r="M215" s="176">
        <f>SUM(M211:M214)</f>
      </c>
      <c r="N215" s="177">
        <f t="shared" si="19"/>
      </c>
      <c r="O215" s="177">
        <f t="shared" si="182"/>
      </c>
      <c r="P215" s="178">
        <f t="shared" si="124"/>
      </c>
      <c r="Q215" s="179">
        <f t="shared" si="298"/>
      </c>
      <c r="R215" s="180">
        <f t="shared" si="240"/>
      </c>
      <c r="S215" s="179">
        <f t="shared" si="327"/>
      </c>
      <c r="T215" s="179">
        <f t="shared" si="443"/>
      </c>
      <c r="U215" s="180">
        <f t="shared" si="385"/>
      </c>
      <c r="V215" s="179">
        <f t="shared" si="153"/>
      </c>
      <c r="W215" s="179">
        <f t="shared" si="95"/>
      </c>
      <c r="X215" s="180">
        <f t="shared" si="269"/>
      </c>
      <c r="Y215" s="181">
        <f t="shared" si="211"/>
      </c>
      <c r="Z215" s="180">
        <f t="shared" si="414"/>
      </c>
      <c r="AA215" s="182">
        <f t="shared" si="356"/>
      </c>
      <c r="AB215" s="182"/>
      <c r="AC215" s="189"/>
      <c r="AD215" s="211">
        <f>SUM(AD211:AD214)</f>
      </c>
      <c r="AE215" s="183">
        <f>SUM(AE211:AE214)</f>
      </c>
      <c r="AF215" s="183">
        <f>SUM(AF211:AF214)</f>
      </c>
      <c r="AG215" s="183">
        <f>SUM(AG211:AG214)</f>
      </c>
      <c r="AH215" s="183">
        <f>SUM(AH211:AH214)</f>
      </c>
      <c r="AI215" s="183">
        <f>SUM(AI211:AI214)</f>
      </c>
      <c r="AJ215" s="183">
        <f>SUM(AJ211:AJ214)</f>
      </c>
      <c r="AK215" s="183">
        <f>SUM(AK211:AK214)</f>
      </c>
      <c r="AL215" s="183">
        <f>SUM(AL211:AL214)</f>
      </c>
      <c r="AM215" s="168"/>
    </row>
    <row hidden="true" r="216">
      <c r="A216" s="152"/>
      <c r="B216" s="184" t="s">
        <v>145</v>
      </c>
      <c r="C216" s="154" t="s">
        <v>139</v>
      </c>
      <c r="D216" s="153">
        <f t="shared" ref="D216:D217" si="58">E216+F216+G216+H216</f>
      </c>
      <c r="E216" s="156">
        <v>1811.69</v>
      </c>
      <c r="F216" s="158">
        <v>257.17</v>
      </c>
      <c r="G216" s="153"/>
      <c r="H216" s="156">
        <v>1333.05</v>
      </c>
      <c r="I216" s="156">
        <v>2</v>
      </c>
      <c r="J216" s="153">
        <v>3216</v>
      </c>
      <c r="K216" s="156">
        <v>0</v>
      </c>
      <c r="L216" s="156">
        <v>1</v>
      </c>
      <c r="M216" s="186">
        <v>1</v>
      </c>
      <c r="N216" s="235">
        <f t="shared" si="19"/>
      </c>
      <c r="O216" s="235">
        <f t="shared" si="182"/>
      </c>
      <c r="P216" s="236">
        <f t="shared" si="124"/>
      </c>
      <c r="Q216" s="237">
        <f t="shared" si="298"/>
      </c>
      <c r="R216" s="162">
        <f t="shared" si="240"/>
      </c>
      <c r="S216" s="161">
        <f t="shared" si="327"/>
      </c>
      <c r="T216" s="161">
        <f t="shared" si="443"/>
      </c>
      <c r="U216" s="162">
        <f t="shared" si="385"/>
      </c>
      <c r="V216" s="161">
        <f t="shared" si="153"/>
      </c>
      <c r="W216" s="161">
        <f t="shared" si="95"/>
      </c>
      <c r="X216" s="162">
        <f t="shared" si="269"/>
      </c>
      <c r="Y216" s="163">
        <f t="shared" si="211"/>
      </c>
      <c r="Z216" s="162">
        <f t="shared" si="414"/>
      </c>
      <c r="AA216" s="164">
        <f t="shared" si="356"/>
      </c>
      <c r="AB216" s="165" t="s">
        <v>132</v>
      </c>
      <c r="AC216" s="166" t="s">
        <v>153</v>
      </c>
      <c r="AD216" s="208">
        <v>2</v>
      </c>
      <c r="AE216" s="185">
        <v>10730</v>
      </c>
      <c r="AF216" s="167">
        <v>276</v>
      </c>
      <c r="AG216" s="167">
        <v>364</v>
      </c>
      <c r="AH216" s="167">
        <v>74</v>
      </c>
      <c r="AI216" s="167">
        <v>31</v>
      </c>
      <c r="AJ216" s="175">
        <v>10</v>
      </c>
      <c r="AK216" s="175">
        <v>14</v>
      </c>
      <c r="AL216" s="175">
        <v>1</v>
      </c>
      <c r="AM216" s="168"/>
    </row>
    <row hidden="true" r="217">
      <c r="A217" s="152"/>
      <c r="B217" s="171" t="s">
        <v>140</v>
      </c>
      <c r="C217" s="154" t="s">
        <v>139</v>
      </c>
      <c r="D217" s="153">
        <f t="shared" si="58"/>
      </c>
      <c r="E217" s="156">
        <v>1780.59</v>
      </c>
      <c r="F217" s="158">
        <f>419.13+0.07</f>
      </c>
      <c r="G217" s="153"/>
      <c r="H217" s="156">
        <v>1720.46</v>
      </c>
      <c r="I217" s="156">
        <v>2</v>
      </c>
      <c r="J217" s="153">
        <v>3216</v>
      </c>
      <c r="K217" s="156">
        <v>0</v>
      </c>
      <c r="L217" s="155">
        <v>1</v>
      </c>
      <c r="M217" s="250">
        <v>1</v>
      </c>
      <c r="N217" s="251">
        <f t="shared" si="19"/>
      </c>
      <c r="O217" s="239">
        <f t="shared" si="182"/>
      </c>
      <c r="P217" s="240">
        <f t="shared" si="124"/>
      </c>
      <c r="Q217" s="241">
        <f t="shared" si="298"/>
      </c>
      <c r="R217" s="252">
        <f t="shared" si="240"/>
      </c>
      <c r="S217" s="161">
        <f t="shared" si="327"/>
      </c>
      <c r="T217" s="161">
        <f t="shared" si="443"/>
      </c>
      <c r="U217" s="162">
        <f t="shared" si="385"/>
      </c>
      <c r="V217" s="161">
        <f t="shared" si="153"/>
      </c>
      <c r="W217" s="161">
        <f t="shared" si="95"/>
      </c>
      <c r="X217" s="162">
        <f t="shared" si="269"/>
      </c>
      <c r="Y217" s="163">
        <f t="shared" si="211"/>
      </c>
      <c r="Z217" s="162">
        <f t="shared" si="414"/>
      </c>
      <c r="AA217" s="164">
        <f t="shared" si="356"/>
      </c>
      <c r="AB217" s="165" t="s">
        <v>132</v>
      </c>
      <c r="AC217" s="166" t="s">
        <v>153</v>
      </c>
      <c r="AD217" s="208">
        <v>2</v>
      </c>
      <c r="AE217" s="185">
        <v>10946</v>
      </c>
      <c r="AF217" s="167">
        <v>322</v>
      </c>
      <c r="AG217" s="167">
        <v>432</v>
      </c>
      <c r="AH217" s="167">
        <v>101</v>
      </c>
      <c r="AI217" s="167">
        <v>43</v>
      </c>
      <c r="AJ217" s="175">
        <v>8</v>
      </c>
      <c r="AK217" s="175">
        <v>18</v>
      </c>
      <c r="AL217" s="175">
        <v>1</v>
      </c>
      <c r="AM217" s="168"/>
    </row>
    <row hidden="true" r="218">
      <c r="A218" s="152"/>
      <c r="B218" s="176" t="s">
        <v>137</v>
      </c>
      <c r="C218" s="176"/>
      <c r="D218" s="176">
        <f>SUM(D216:D217)</f>
      </c>
      <c r="E218" s="176">
        <f>SUM(E216:E217)</f>
      </c>
      <c r="F218" s="176">
        <f>SUM(F216:F217)</f>
      </c>
      <c r="G218" s="176">
        <f>SUM(G216:G217)</f>
      </c>
      <c r="H218" s="176">
        <f>SUM(H216:H217)</f>
      </c>
      <c r="I218" s="176">
        <f>SUM(I216:I217)</f>
      </c>
      <c r="J218" s="176">
        <f>SUM(J216:J217)</f>
      </c>
      <c r="K218" s="176">
        <f>SUM(K216:K217)</f>
      </c>
      <c r="L218" s="176">
        <f>SUM(L216:L217)</f>
      </c>
      <c r="M218" s="190">
        <f>SUM(M216:M217)</f>
      </c>
      <c r="N218" s="244">
        <f t="shared" si="19"/>
      </c>
      <c r="O218" s="244">
        <f t="shared" si="182"/>
      </c>
      <c r="P218" s="245">
        <f t="shared" si="124"/>
      </c>
      <c r="Q218" s="246">
        <f t="shared" si="298"/>
      </c>
      <c r="R218" s="247">
        <f t="shared" si="240"/>
      </c>
      <c r="S218" s="179">
        <f t="shared" si="327"/>
      </c>
      <c r="T218" s="179">
        <f t="shared" si="443"/>
      </c>
      <c r="U218" s="180">
        <f t="shared" si="385"/>
      </c>
      <c r="V218" s="179">
        <f t="shared" si="153"/>
      </c>
      <c r="W218" s="179">
        <f t="shared" si="95"/>
      </c>
      <c r="X218" s="180">
        <f t="shared" si="269"/>
      </c>
      <c r="Y218" s="181">
        <f t="shared" si="211"/>
      </c>
      <c r="Z218" s="180">
        <f t="shared" si="414"/>
      </c>
      <c r="AA218" s="182">
        <f t="shared" si="356"/>
      </c>
      <c r="AB218" s="182"/>
      <c r="AC218" s="189"/>
      <c r="AD218" s="190">
        <f>SUM(AD216:AD217)</f>
      </c>
      <c r="AE218" s="190">
        <f>SUM(AE216:AE217)</f>
      </c>
      <c r="AF218" s="190">
        <f>SUM(AF216:AF217)</f>
      </c>
      <c r="AG218" s="190">
        <f>SUM(AG216:AG217)</f>
      </c>
      <c r="AH218" s="190">
        <f>SUM(AH216:AH217)</f>
      </c>
      <c r="AI218" s="190">
        <f>SUM(AI216:AI217)</f>
      </c>
      <c r="AJ218" s="190">
        <f>SUM(AJ216:AJ217)</f>
      </c>
      <c r="AK218" s="190">
        <f>SUM(AK216:AK217)</f>
      </c>
      <c r="AL218" s="190">
        <f>SUM(AL216:AL217)</f>
      </c>
      <c r="AM218" s="191" t="s">
        <v>142</v>
      </c>
    </row>
    <row hidden="true" r="219">
      <c r="A219" s="152"/>
      <c r="B219" s="192" t="s">
        <v>143</v>
      </c>
      <c r="C219" s="192"/>
      <c r="D219" s="192">
        <f>D215+D218</f>
      </c>
      <c r="E219" s="192">
        <f>E215+E218</f>
      </c>
      <c r="F219" s="192">
        <f>F215+F218</f>
      </c>
      <c r="G219" s="192">
        <f>G215+G218</f>
      </c>
      <c r="H219" s="192">
        <f>H215+H218</f>
      </c>
      <c r="I219" s="192">
        <f>I215+I218</f>
      </c>
      <c r="J219" s="192">
        <f>J215+J218</f>
      </c>
      <c r="K219" s="192">
        <f>K215+K218</f>
      </c>
      <c r="L219" s="192">
        <f>L215+L218</f>
      </c>
      <c r="M219" s="192">
        <f>M215+M218</f>
      </c>
      <c r="N219" s="193">
        <f t="shared" si="19"/>
      </c>
      <c r="O219" s="193">
        <f t="shared" si="182"/>
      </c>
      <c r="P219" s="194">
        <f t="shared" si="124"/>
      </c>
      <c r="Q219" s="195">
        <f t="shared" si="298"/>
      </c>
      <c r="R219" s="193">
        <f t="shared" si="240"/>
      </c>
      <c r="S219" s="195">
        <f t="shared" si="327"/>
      </c>
      <c r="T219" s="195">
        <f t="shared" si="443"/>
      </c>
      <c r="U219" s="193">
        <f t="shared" si="385"/>
      </c>
      <c r="V219" s="195">
        <f t="shared" si="153"/>
      </c>
      <c r="W219" s="195">
        <f t="shared" si="95"/>
      </c>
      <c r="X219" s="193">
        <f t="shared" si="269"/>
      </c>
      <c r="Y219" s="196">
        <f t="shared" si="211"/>
      </c>
      <c r="Z219" s="193">
        <f t="shared" si="414"/>
      </c>
      <c r="AA219" s="194">
        <f t="shared" si="356"/>
      </c>
      <c r="AB219" s="194"/>
      <c r="AC219" s="194"/>
      <c r="AD219" s="197">
        <f>AD215+AD218</f>
      </c>
      <c r="AE219" s="197">
        <f>AE215+AE218</f>
      </c>
      <c r="AF219" s="197">
        <f>AF215+AF218</f>
      </c>
      <c r="AG219" s="197">
        <f>AG215+AG218</f>
      </c>
      <c r="AH219" s="197">
        <f>AH215+AH218</f>
      </c>
      <c r="AI219" s="197">
        <f>AI215+AI218</f>
      </c>
      <c r="AJ219" s="197">
        <f>AJ215+AJ218</f>
      </c>
      <c r="AK219" s="197">
        <f>AK215+AK218</f>
      </c>
      <c r="AL219" s="197">
        <f>AL215+AL218</f>
      </c>
      <c r="AM219" s="191"/>
    </row>
    <row hidden="true" r="220">
      <c r="A220" s="139" t="s">
        <v>87</v>
      </c>
      <c r="B220" s="139"/>
      <c r="C220" s="139"/>
      <c r="D220" s="135" t="s">
        <v>88</v>
      </c>
      <c r="E220" s="135"/>
      <c r="F220" s="135"/>
      <c r="G220" s="135"/>
      <c r="H220" s="135"/>
      <c r="I220" s="135"/>
      <c r="J220" s="135"/>
      <c r="K220" s="135"/>
      <c r="L220" s="135"/>
      <c r="M220" s="135"/>
      <c r="N220" s="135"/>
      <c r="O220" s="135"/>
      <c r="P220" s="136" t="s">
        <v>89</v>
      </c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7" t="s">
        <v>90</v>
      </c>
      <c r="AE220" s="137"/>
      <c r="AF220" s="137"/>
      <c r="AG220" s="137"/>
      <c r="AH220" s="137"/>
      <c r="AI220" s="137"/>
      <c r="AJ220" s="137"/>
      <c r="AK220" s="137"/>
      <c r="AL220" s="137"/>
      <c r="AM220" s="138"/>
    </row>
    <row hidden="true" r="221">
      <c r="A221" s="139" t="s">
        <v>91</v>
      </c>
      <c r="B221" s="140" t="s">
        <v>92</v>
      </c>
      <c r="C221" s="140" t="s">
        <v>93</v>
      </c>
      <c r="D221" s="141" t="s">
        <v>94</v>
      </c>
      <c r="E221" s="142" t="s">
        <v>95</v>
      </c>
      <c r="F221" s="142" t="s">
        <v>96</v>
      </c>
      <c r="G221" s="143" t="s">
        <v>97</v>
      </c>
      <c r="H221" s="215" t="s">
        <v>98</v>
      </c>
      <c r="I221" s="216" t="s">
        <v>99</v>
      </c>
      <c r="J221" s="206" t="s">
        <v>100</v>
      </c>
      <c r="K221" s="135" t="s">
        <v>101</v>
      </c>
      <c r="L221" s="146" t="s">
        <v>102</v>
      </c>
      <c r="M221" s="146" t="s">
        <v>103</v>
      </c>
      <c r="N221" s="143" t="s">
        <v>104</v>
      </c>
      <c r="O221" s="146" t="s">
        <v>105</v>
      </c>
      <c r="P221" s="136" t="s">
        <v>106</v>
      </c>
      <c r="Q221" s="136" t="s">
        <v>107</v>
      </c>
      <c r="R221" s="136" t="s">
        <v>108</v>
      </c>
      <c r="S221" s="147" t="s">
        <v>109</v>
      </c>
      <c r="T221" s="147" t="s">
        <v>110</v>
      </c>
      <c r="U221" s="136" t="s">
        <v>111</v>
      </c>
      <c r="V221" s="147" t="s">
        <v>112</v>
      </c>
      <c r="W221" s="147" t="s">
        <v>113</v>
      </c>
      <c r="X221" s="136" t="s">
        <v>114</v>
      </c>
      <c r="Y221" s="147" t="s">
        <v>115</v>
      </c>
      <c r="Z221" s="136" t="s">
        <v>116</v>
      </c>
      <c r="AA221" s="148" t="s">
        <v>117</v>
      </c>
      <c r="AB221" s="148" t="s">
        <v>118</v>
      </c>
      <c r="AC221" s="148" t="s">
        <v>119</v>
      </c>
      <c r="AD221" s="149" t="s">
        <v>120</v>
      </c>
      <c r="AE221" s="150" t="s">
        <v>121</v>
      </c>
      <c r="AF221" s="150" t="s">
        <v>122</v>
      </c>
      <c r="AG221" s="150" t="s">
        <v>123</v>
      </c>
      <c r="AH221" s="150" t="s">
        <v>124</v>
      </c>
      <c r="AI221" s="150" t="s">
        <v>125</v>
      </c>
      <c r="AJ221" s="151" t="s">
        <v>126</v>
      </c>
      <c r="AK221" s="151" t="s">
        <v>127</v>
      </c>
      <c r="AL221" s="151" t="s">
        <v>128</v>
      </c>
      <c r="AM221" s="138"/>
    </row>
    <row hidden="true" r="222">
      <c r="A222" s="152" t="s">
        <v>175</v>
      </c>
      <c r="B222" s="153" t="s">
        <v>130</v>
      </c>
      <c r="C222" s="154" t="s">
        <v>131</v>
      </c>
      <c r="D222" s="154">
        <f t="shared" ref="D222:D225" si="59">E222+F222+G222+H222</f>
      </c>
      <c r="E222" s="155">
        <v>2195.6</v>
      </c>
      <c r="F222" s="156">
        <v>493.06</v>
      </c>
      <c r="G222" s="157"/>
      <c r="H222" s="155">
        <v>696.4</v>
      </c>
      <c r="I222" s="208">
        <v>4</v>
      </c>
      <c r="J222" s="208">
        <v>5472</v>
      </c>
      <c r="K222" s="158">
        <v>2</v>
      </c>
      <c r="L222" s="156">
        <v>0</v>
      </c>
      <c r="M222" s="156">
        <v>2</v>
      </c>
      <c r="N222" s="159">
        <f t="shared" ref="N222:N230" si="20">J222/D222</f>
      </c>
      <c r="O222" s="159">
        <f t="shared" ref="O222:O230" si="183">J222/(D222+300*AL222)</f>
      </c>
      <c r="P222" s="160">
        <f t="shared" ref="P222:P230" si="125">(D222/AE222)*1000</f>
      </c>
      <c r="Q222" s="161">
        <f t="shared" ref="Q222:Q230" si="299">AF222/AE222</f>
      </c>
      <c r="R222" s="162">
        <f t="shared" ref="R222:R230" si="241">D222/AG222</f>
      </c>
      <c r="S222" s="161">
        <f t="shared" ref="S222:S230" si="328">AH222/AG222</f>
      </c>
      <c r="T222" s="161">
        <f t="shared" ref="T222:T230" si="444">AI222/AG222</f>
      </c>
      <c r="U222" s="162">
        <f t="shared" ref="U222:U230" si="386">D222/AI222</f>
      </c>
      <c r="V222" s="161">
        <f t="shared" ref="V222:V230" si="154">AJ222/AI222</f>
      </c>
      <c r="W222" s="161">
        <f t="shared" ref="W222:W230" si="96">I222/AJ222</f>
      </c>
      <c r="X222" s="162">
        <f t="shared" ref="X222:X230" si="270">D222/I222</f>
      </c>
      <c r="Y222" s="163">
        <f t="shared" ref="Y222:Y230" si="212">J222/I222</f>
      </c>
      <c r="Z222" s="162">
        <f t="shared" ref="Z222:Z230" si="415">D222/AD222</f>
      </c>
      <c r="AA222" s="164">
        <f t="shared" ref="AA222:AA230" si="357">AK222*1000/D222</f>
      </c>
      <c r="AB222" s="165" t="s">
        <v>132</v>
      </c>
      <c r="AC222" s="166" t="s">
        <v>153</v>
      </c>
      <c r="AD222" s="234">
        <v>4</v>
      </c>
      <c r="AE222" s="233">
        <v>9257</v>
      </c>
      <c r="AF222" s="209">
        <v>321</v>
      </c>
      <c r="AG222" s="157">
        <v>438</v>
      </c>
      <c r="AH222" s="157">
        <v>103</v>
      </c>
      <c r="AI222" s="153">
        <v>26</v>
      </c>
      <c r="AJ222" s="158">
        <v>9</v>
      </c>
      <c r="AK222" s="156">
        <v>22</v>
      </c>
      <c r="AL222" s="175">
        <v>1</v>
      </c>
      <c r="AM222" s="168"/>
    </row>
    <row hidden="true" r="223">
      <c r="A223" s="152"/>
      <c r="B223" s="169" t="s">
        <v>134</v>
      </c>
      <c r="C223" s="209" t="s">
        <v>131</v>
      </c>
      <c r="D223" s="157">
        <f t="shared" si="59"/>
      </c>
      <c r="E223" s="158">
        <v>1393.55</v>
      </c>
      <c r="F223" s="170">
        <v>486.52</v>
      </c>
      <c r="G223" s="153"/>
      <c r="H223" s="155">
        <v>1698.93</v>
      </c>
      <c r="I223" s="208">
        <v>5</v>
      </c>
      <c r="J223" s="209">
        <v>6420</v>
      </c>
      <c r="K223" s="158">
        <v>2</v>
      </c>
      <c r="L223" s="156">
        <v>1</v>
      </c>
      <c r="M223" s="156">
        <v>2</v>
      </c>
      <c r="N223" s="159">
        <f t="shared" si="20"/>
      </c>
      <c r="O223" s="159">
        <f t="shared" si="183"/>
      </c>
      <c r="P223" s="160">
        <f t="shared" si="125"/>
      </c>
      <c r="Q223" s="161">
        <f t="shared" si="299"/>
      </c>
      <c r="R223" s="162">
        <f t="shared" si="241"/>
      </c>
      <c r="S223" s="161">
        <f t="shared" si="328"/>
      </c>
      <c r="T223" s="161">
        <f t="shared" si="444"/>
      </c>
      <c r="U223" s="162">
        <f t="shared" si="386"/>
      </c>
      <c r="V223" s="161">
        <f t="shared" si="154"/>
      </c>
      <c r="W223" s="161">
        <f t="shared" si="96"/>
      </c>
      <c r="X223" s="162">
        <f t="shared" si="270"/>
      </c>
      <c r="Y223" s="163">
        <f t="shared" si="212"/>
      </c>
      <c r="Z223" s="162">
        <f t="shared" si="415"/>
      </c>
      <c r="AA223" s="164">
        <f t="shared" si="357"/>
      </c>
      <c r="AB223" s="165" t="s">
        <v>132</v>
      </c>
      <c r="AC223" s="166" t="s">
        <v>153</v>
      </c>
      <c r="AD223" s="208">
        <v>3</v>
      </c>
      <c r="AE223" s="172">
        <v>9889</v>
      </c>
      <c r="AF223" s="172">
        <v>267</v>
      </c>
      <c r="AG223" s="171">
        <v>342</v>
      </c>
      <c r="AH223" s="153">
        <v>66</v>
      </c>
      <c r="AI223" s="153">
        <v>19</v>
      </c>
      <c r="AJ223" s="201">
        <v>12</v>
      </c>
      <c r="AK223" s="210">
        <v>17</v>
      </c>
      <c r="AL223" s="175">
        <v>1</v>
      </c>
      <c r="AM223" s="168"/>
    </row>
    <row hidden="true" r="224">
      <c r="A224" s="152"/>
      <c r="B224" s="169" t="s">
        <v>135</v>
      </c>
      <c r="C224" s="229" t="s">
        <v>131</v>
      </c>
      <c r="D224" s="157">
        <f t="shared" si="59"/>
      </c>
      <c r="E224" s="158">
        <v>1127.78</v>
      </c>
      <c r="F224" s="158">
        <v>396.98</v>
      </c>
      <c r="G224" s="153"/>
      <c r="H224" s="156">
        <v>1635.39</v>
      </c>
      <c r="I224" s="184">
        <v>4</v>
      </c>
      <c r="J224" s="171">
        <v>9072</v>
      </c>
      <c r="K224" s="156">
        <v>0</v>
      </c>
      <c r="L224" s="156">
        <v>0</v>
      </c>
      <c r="M224" s="156">
        <v>4</v>
      </c>
      <c r="N224" s="159">
        <f t="shared" si="20"/>
      </c>
      <c r="O224" s="159">
        <f t="shared" si="183"/>
      </c>
      <c r="P224" s="160">
        <f t="shared" si="125"/>
      </c>
      <c r="Q224" s="161">
        <f t="shared" si="299"/>
      </c>
      <c r="R224" s="162">
        <f t="shared" si="241"/>
      </c>
      <c r="S224" s="161">
        <f t="shared" si="328"/>
      </c>
      <c r="T224" s="161">
        <f t="shared" si="444"/>
      </c>
      <c r="U224" s="162">
        <f t="shared" si="386"/>
      </c>
      <c r="V224" s="161">
        <f t="shared" si="154"/>
      </c>
      <c r="W224" s="161">
        <f t="shared" si="96"/>
      </c>
      <c r="X224" s="162">
        <f t="shared" si="270"/>
      </c>
      <c r="Y224" s="163">
        <f t="shared" si="212"/>
      </c>
      <c r="Z224" s="162">
        <f t="shared" si="415"/>
      </c>
      <c r="AA224" s="164">
        <f t="shared" si="357"/>
      </c>
      <c r="AB224" s="165" t="s">
        <v>132</v>
      </c>
      <c r="AC224" s="166" t="s">
        <v>153</v>
      </c>
      <c r="AD224" s="218">
        <v>4</v>
      </c>
      <c r="AE224" s="157">
        <v>9447</v>
      </c>
      <c r="AF224" s="157">
        <v>266</v>
      </c>
      <c r="AG224" s="153">
        <v>344</v>
      </c>
      <c r="AH224" s="153">
        <v>74</v>
      </c>
      <c r="AI224" s="153">
        <v>24</v>
      </c>
      <c r="AJ224" s="201">
        <v>9</v>
      </c>
      <c r="AK224" s="210">
        <v>18</v>
      </c>
      <c r="AL224" s="175">
        <v>1</v>
      </c>
      <c r="AM224" s="168"/>
    </row>
    <row hidden="true" r="225">
      <c r="A225" s="152"/>
      <c r="B225" s="169" t="s">
        <v>136</v>
      </c>
      <c r="C225" s="171" t="s">
        <v>131</v>
      </c>
      <c r="D225" s="157">
        <f t="shared" si="59"/>
      </c>
      <c r="E225" s="158">
        <v>1226.54</v>
      </c>
      <c r="F225" s="158">
        <v>724.75</v>
      </c>
      <c r="G225" s="153"/>
      <c r="H225" s="156">
        <v>1238.35</v>
      </c>
      <c r="I225" s="156">
        <v>2</v>
      </c>
      <c r="J225" s="156">
        <v>4536</v>
      </c>
      <c r="K225" s="156">
        <v>0</v>
      </c>
      <c r="L225" s="156">
        <v>0</v>
      </c>
      <c r="M225" s="156">
        <v>2</v>
      </c>
      <c r="N225" s="159">
        <f t="shared" si="20"/>
      </c>
      <c r="O225" s="159">
        <f t="shared" si="183"/>
      </c>
      <c r="P225" s="160">
        <f t="shared" si="125"/>
      </c>
      <c r="Q225" s="161">
        <f t="shared" si="299"/>
      </c>
      <c r="R225" s="162">
        <f t="shared" si="241"/>
      </c>
      <c r="S225" s="161">
        <f t="shared" si="328"/>
      </c>
      <c r="T225" s="161">
        <f t="shared" si="444"/>
      </c>
      <c r="U225" s="162">
        <f t="shared" si="386"/>
      </c>
      <c r="V225" s="161">
        <f t="shared" si="154"/>
      </c>
      <c r="W225" s="161">
        <f t="shared" si="96"/>
      </c>
      <c r="X225" s="162">
        <f t="shared" si="270"/>
      </c>
      <c r="Y225" s="163">
        <f t="shared" si="212"/>
      </c>
      <c r="Z225" s="162">
        <f t="shared" si="415"/>
      </c>
      <c r="AA225" s="164">
        <f t="shared" si="357"/>
      </c>
      <c r="AB225" s="165" t="s">
        <v>132</v>
      </c>
      <c r="AC225" s="166" t="s">
        <v>153</v>
      </c>
      <c r="AD225" s="208">
        <v>1</v>
      </c>
      <c r="AE225" s="172">
        <v>8461</v>
      </c>
      <c r="AF225" s="153">
        <v>246</v>
      </c>
      <c r="AG225" s="153">
        <v>324</v>
      </c>
      <c r="AH225" s="153">
        <v>69</v>
      </c>
      <c r="AI225" s="153">
        <v>18</v>
      </c>
      <c r="AJ225" s="201">
        <v>4</v>
      </c>
      <c r="AK225" s="210">
        <v>16</v>
      </c>
      <c r="AL225" s="175">
        <v>1</v>
      </c>
      <c r="AM225" s="168"/>
    </row>
    <row hidden="true" r="226">
      <c r="A226" s="152"/>
      <c r="B226" s="176" t="s">
        <v>137</v>
      </c>
      <c r="C226" s="176"/>
      <c r="D226" s="176">
        <f>SUM(D222:D225)</f>
      </c>
      <c r="E226" s="176">
        <f>SUM(E222:E225)</f>
      </c>
      <c r="F226" s="176">
        <f>SUM(F222:F225)</f>
      </c>
      <c r="G226" s="176">
        <f>SUM(G222:G225)</f>
      </c>
      <c r="H226" s="176">
        <f>SUM(H222:H225)</f>
      </c>
      <c r="I226" s="176">
        <f>SUM(I222:I225)</f>
      </c>
      <c r="J226" s="176">
        <f>SUM(J222:J225)</f>
      </c>
      <c r="K226" s="176">
        <f>SUM(K222:K225)</f>
      </c>
      <c r="L226" s="176">
        <f>SUM(L222:L225)</f>
      </c>
      <c r="M226" s="176">
        <f>SUM(M222:M225)</f>
      </c>
      <c r="N226" s="177">
        <f t="shared" si="20"/>
      </c>
      <c r="O226" s="253">
        <f t="shared" si="183"/>
      </c>
      <c r="P226" s="254">
        <f t="shared" si="125"/>
      </c>
      <c r="Q226" s="255">
        <f t="shared" si="299"/>
      </c>
      <c r="R226" s="256">
        <f t="shared" si="241"/>
      </c>
      <c r="S226" s="255">
        <f t="shared" si="328"/>
      </c>
      <c r="T226" s="179">
        <f t="shared" si="444"/>
      </c>
      <c r="U226" s="180">
        <f t="shared" si="386"/>
      </c>
      <c r="V226" s="179">
        <f t="shared" si="154"/>
      </c>
      <c r="W226" s="179">
        <f t="shared" si="96"/>
      </c>
      <c r="X226" s="180">
        <f t="shared" si="270"/>
      </c>
      <c r="Y226" s="181">
        <f t="shared" si="212"/>
      </c>
      <c r="Z226" s="180">
        <f t="shared" si="415"/>
      </c>
      <c r="AA226" s="182">
        <f t="shared" si="357"/>
      </c>
      <c r="AB226" s="182"/>
      <c r="AC226" s="189"/>
      <c r="AD226" s="211">
        <f>SUM(AD222:AD225)</f>
      </c>
      <c r="AE226" s="183">
        <f>SUM(AE222:AE225)</f>
      </c>
      <c r="AF226" s="183">
        <f>SUM(AF222:AF225)</f>
      </c>
      <c r="AG226" s="183">
        <f>SUM(AG222:AG225)</f>
      </c>
      <c r="AH226" s="183">
        <f>SUM(AH222:AH225)</f>
      </c>
      <c r="AI226" s="183">
        <f>SUM(AI222:AI225)</f>
      </c>
      <c r="AJ226" s="183">
        <f>SUM(AJ222:AJ225)</f>
      </c>
      <c r="AK226" s="183">
        <f>SUM(AK222:AK225)</f>
      </c>
      <c r="AL226" s="183">
        <f>SUM(AL222:AL225)</f>
      </c>
      <c r="AM226" s="168"/>
    </row>
    <row hidden="true" r="227">
      <c r="A227" s="152"/>
      <c r="B227" s="184" t="s">
        <v>145</v>
      </c>
      <c r="C227" s="154" t="s">
        <v>139</v>
      </c>
      <c r="D227" s="153">
        <f t="shared" ref="D227:D228" si="60">E227+F227+G227+H227</f>
      </c>
      <c r="E227" s="156">
        <v>1523.38</v>
      </c>
      <c r="F227" s="158">
        <v>182.61</v>
      </c>
      <c r="G227" s="153"/>
      <c r="H227" s="156">
        <v>1743.07</v>
      </c>
      <c r="I227" s="156">
        <v>2</v>
      </c>
      <c r="J227" s="153">
        <v>4536</v>
      </c>
      <c r="K227" s="156">
        <v>0</v>
      </c>
      <c r="L227" s="156">
        <v>0</v>
      </c>
      <c r="M227" s="186">
        <v>2</v>
      </c>
      <c r="N227" s="257">
        <f t="shared" si="20"/>
      </c>
      <c r="O227" s="239">
        <f t="shared" si="183"/>
      </c>
      <c r="P227" s="240">
        <f t="shared" si="125"/>
      </c>
      <c r="Q227" s="241">
        <f t="shared" si="299"/>
      </c>
      <c r="R227" s="242">
        <f t="shared" si="241"/>
      </c>
      <c r="S227" s="241">
        <f t="shared" si="328"/>
      </c>
      <c r="T227" s="243">
        <f t="shared" si="444"/>
      </c>
      <c r="U227" s="162">
        <f t="shared" si="386"/>
      </c>
      <c r="V227" s="161">
        <f t="shared" si="154"/>
      </c>
      <c r="W227" s="161">
        <f t="shared" si="96"/>
      </c>
      <c r="X227" s="162">
        <f t="shared" si="270"/>
      </c>
      <c r="Y227" s="163">
        <f t="shared" si="212"/>
      </c>
      <c r="Z227" s="162">
        <f t="shared" si="415"/>
      </c>
      <c r="AA227" s="164">
        <f t="shared" si="357"/>
      </c>
      <c r="AB227" s="165" t="s">
        <v>132</v>
      </c>
      <c r="AC227" s="166" t="s">
        <v>153</v>
      </c>
      <c r="AD227" s="208">
        <v>2</v>
      </c>
      <c r="AE227" s="185">
        <v>13438</v>
      </c>
      <c r="AF227" s="167">
        <v>274</v>
      </c>
      <c r="AG227" s="167">
        <v>348</v>
      </c>
      <c r="AH227" s="167">
        <v>96</v>
      </c>
      <c r="AI227" s="167">
        <v>20</v>
      </c>
      <c r="AJ227" s="175">
        <v>2</v>
      </c>
      <c r="AK227" s="175">
        <v>16</v>
      </c>
      <c r="AL227" s="175">
        <v>1</v>
      </c>
      <c r="AM227" s="168"/>
    </row>
    <row hidden="true" r="228">
      <c r="A228" s="152"/>
      <c r="B228" s="171" t="s">
        <v>140</v>
      </c>
      <c r="C228" s="154" t="s">
        <v>139</v>
      </c>
      <c r="D228" s="153">
        <f t="shared" si="60"/>
      </c>
      <c r="E228" s="156">
        <f>1675.31+1.59</f>
      </c>
      <c r="F228" s="158">
        <v>179.19</v>
      </c>
      <c r="G228" s="153"/>
      <c r="H228" s="156">
        <f>0.75+838.82</f>
      </c>
      <c r="I228" s="156">
        <v>1</v>
      </c>
      <c r="J228" s="153">
        <v>2268</v>
      </c>
      <c r="K228" s="156">
        <v>0</v>
      </c>
      <c r="L228" s="155">
        <v>0</v>
      </c>
      <c r="M228" s="250">
        <v>1</v>
      </c>
      <c r="N228" s="251">
        <f t="shared" si="20"/>
      </c>
      <c r="O228" s="239">
        <f t="shared" si="183"/>
      </c>
      <c r="P228" s="240">
        <f t="shared" si="125"/>
      </c>
      <c r="Q228" s="241">
        <f t="shared" si="299"/>
      </c>
      <c r="R228" s="242">
        <f t="shared" si="241"/>
      </c>
      <c r="S228" s="241">
        <f t="shared" si="328"/>
      </c>
      <c r="T228" s="243">
        <f t="shared" si="444"/>
      </c>
      <c r="U228" s="162">
        <f t="shared" si="386"/>
      </c>
      <c r="V228" s="161">
        <f t="shared" si="154"/>
      </c>
      <c r="W228" s="161">
        <f t="shared" si="96"/>
      </c>
      <c r="X228" s="162">
        <f t="shared" si="270"/>
      </c>
      <c r="Y228" s="163">
        <f t="shared" si="212"/>
      </c>
      <c r="Z228" s="162">
        <f t="shared" si="415"/>
      </c>
      <c r="AA228" s="164">
        <f t="shared" si="357"/>
      </c>
      <c r="AB228" s="165" t="s">
        <v>132</v>
      </c>
      <c r="AC228" s="166" t="s">
        <v>153</v>
      </c>
      <c r="AD228" s="208">
        <v>1</v>
      </c>
      <c r="AE228" s="185">
        <v>8297</v>
      </c>
      <c r="AF228" s="167">
        <v>201</v>
      </c>
      <c r="AG228" s="167">
        <v>248</v>
      </c>
      <c r="AH228" s="167">
        <v>68</v>
      </c>
      <c r="AI228" s="167">
        <v>18</v>
      </c>
      <c r="AJ228" s="175">
        <v>3</v>
      </c>
      <c r="AK228" s="175">
        <v>16</v>
      </c>
      <c r="AL228" s="175">
        <v>1</v>
      </c>
      <c r="AM228" s="168"/>
    </row>
    <row hidden="true" r="229">
      <c r="A229" s="152"/>
      <c r="B229" s="176" t="s">
        <v>137</v>
      </c>
      <c r="C229" s="176"/>
      <c r="D229" s="176">
        <f>SUM(D227:D228)</f>
      </c>
      <c r="E229" s="176">
        <f>SUM(E227:E228)</f>
      </c>
      <c r="F229" s="176">
        <f>SUM(F227:F228)</f>
      </c>
      <c r="G229" s="176">
        <f>SUM(G227:G228)</f>
      </c>
      <c r="H229" s="176">
        <f>SUM(H227:H228)</f>
      </c>
      <c r="I229" s="176">
        <f>SUM(I227:I228)</f>
      </c>
      <c r="J229" s="176">
        <f>SUM(J227:J228)</f>
      </c>
      <c r="K229" s="176">
        <f>SUM(K227:K228)</f>
      </c>
      <c r="L229" s="176">
        <f>SUM(L227:L228)</f>
      </c>
      <c r="M229" s="190">
        <f>SUM(M227:M228)</f>
      </c>
      <c r="N229" s="244">
        <f t="shared" si="20"/>
      </c>
      <c r="O229" s="244">
        <f t="shared" si="183"/>
      </c>
      <c r="P229" s="245">
        <f t="shared" si="125"/>
      </c>
      <c r="Q229" s="246">
        <f t="shared" si="299"/>
      </c>
      <c r="R229" s="247">
        <f t="shared" si="241"/>
      </c>
      <c r="S229" s="246">
        <f t="shared" si="328"/>
      </c>
      <c r="T229" s="179">
        <f t="shared" si="444"/>
      </c>
      <c r="U229" s="180">
        <f t="shared" si="386"/>
      </c>
      <c r="V229" s="179">
        <f t="shared" si="154"/>
      </c>
      <c r="W229" s="179">
        <f t="shared" si="96"/>
      </c>
      <c r="X229" s="180">
        <f t="shared" si="270"/>
      </c>
      <c r="Y229" s="181">
        <f t="shared" si="212"/>
      </c>
      <c r="Z229" s="180">
        <f t="shared" si="415"/>
      </c>
      <c r="AA229" s="182">
        <f t="shared" si="357"/>
      </c>
      <c r="AB229" s="182"/>
      <c r="AC229" s="189"/>
      <c r="AD229" s="190">
        <f>SUM(AD227:AD228)</f>
      </c>
      <c r="AE229" s="190">
        <f>SUM(AE227:AE228)</f>
      </c>
      <c r="AF229" s="190">
        <f>SUM(AF227:AF228)</f>
      </c>
      <c r="AG229" s="190">
        <f>SUM(AG227:AG228)</f>
      </c>
      <c r="AH229" s="190">
        <f>SUM(AH227:AH228)</f>
      </c>
      <c r="AI229" s="190">
        <f>SUM(AI227:AI228)</f>
      </c>
      <c r="AJ229" s="190">
        <f>SUM(AJ227:AJ228)</f>
      </c>
      <c r="AK229" s="190">
        <f>SUM(AK227:AK228)</f>
      </c>
      <c r="AL229" s="190">
        <f>SUM(AL227:AL228)</f>
      </c>
      <c r="AM229" s="191" t="s">
        <v>142</v>
      </c>
    </row>
    <row hidden="true" r="230">
      <c r="A230" s="152"/>
      <c r="B230" s="192" t="s">
        <v>143</v>
      </c>
      <c r="C230" s="192"/>
      <c r="D230" s="192">
        <f>D226+D229</f>
      </c>
      <c r="E230" s="192">
        <f>E226+E229</f>
      </c>
      <c r="F230" s="192">
        <f>F226+F229</f>
      </c>
      <c r="G230" s="192">
        <f>G226+G229</f>
      </c>
      <c r="H230" s="192">
        <f>H226+H229</f>
      </c>
      <c r="I230" s="192">
        <f>I226+I229</f>
      </c>
      <c r="J230" s="192">
        <f>J226+J229</f>
      </c>
      <c r="K230" s="192">
        <f>K226+K229</f>
      </c>
      <c r="L230" s="192">
        <f>L226+L229</f>
      </c>
      <c r="M230" s="192">
        <f>M226+M229</f>
      </c>
      <c r="N230" s="193">
        <f t="shared" si="20"/>
      </c>
      <c r="O230" s="193">
        <f t="shared" si="183"/>
      </c>
      <c r="P230" s="194">
        <f t="shared" si="125"/>
      </c>
      <c r="Q230" s="195">
        <f t="shared" si="299"/>
      </c>
      <c r="R230" s="193">
        <f t="shared" si="241"/>
      </c>
      <c r="S230" s="195">
        <f t="shared" si="328"/>
      </c>
      <c r="T230" s="195">
        <f t="shared" si="444"/>
      </c>
      <c r="U230" s="193">
        <f t="shared" si="386"/>
      </c>
      <c r="V230" s="195">
        <f t="shared" si="154"/>
      </c>
      <c r="W230" s="195">
        <f t="shared" si="96"/>
      </c>
      <c r="X230" s="193">
        <f t="shared" si="270"/>
      </c>
      <c r="Y230" s="196">
        <f t="shared" si="212"/>
      </c>
      <c r="Z230" s="193">
        <f t="shared" si="415"/>
      </c>
      <c r="AA230" s="194">
        <f t="shared" si="357"/>
      </c>
      <c r="AB230" s="194"/>
      <c r="AC230" s="194"/>
      <c r="AD230" s="197">
        <f>AD226+AD229</f>
      </c>
      <c r="AE230" s="197">
        <f>AE226+AE229</f>
      </c>
      <c r="AF230" s="197">
        <f>AF226+AF229</f>
      </c>
      <c r="AG230" s="197">
        <f>AG226+AG229</f>
      </c>
      <c r="AH230" s="197">
        <f>AH226+AH229</f>
      </c>
      <c r="AI230" s="197">
        <f>AI226+AI229</f>
      </c>
      <c r="AJ230" s="197">
        <f>AJ226+AJ229</f>
      </c>
      <c r="AK230" s="197">
        <f>AK226+AK229</f>
      </c>
      <c r="AL230" s="197">
        <f>AL226+AL229</f>
      </c>
      <c r="AM230" s="191"/>
    </row>
    <row hidden="true" r="231">
      <c r="A231" s="139" t="s">
        <v>87</v>
      </c>
      <c r="B231" s="139"/>
      <c r="C231" s="139"/>
      <c r="D231" s="135" t="s">
        <v>88</v>
      </c>
      <c r="E231" s="135"/>
      <c r="F231" s="135"/>
      <c r="G231" s="135"/>
      <c r="H231" s="135"/>
      <c r="I231" s="135"/>
      <c r="J231" s="135"/>
      <c r="K231" s="135"/>
      <c r="L231" s="135"/>
      <c r="M231" s="135"/>
      <c r="N231" s="135"/>
      <c r="O231" s="135"/>
      <c r="P231" s="136" t="s">
        <v>89</v>
      </c>
      <c r="Q231" s="136"/>
      <c r="R231" s="136"/>
      <c r="S231" s="136"/>
      <c r="T231" s="136"/>
      <c r="U231" s="136"/>
      <c r="V231" s="136"/>
      <c r="W231" s="136"/>
      <c r="X231" s="136"/>
      <c r="Y231" s="136"/>
      <c r="Z231" s="136"/>
      <c r="AA231" s="136"/>
      <c r="AB231" s="136"/>
      <c r="AC231" s="136"/>
      <c r="AD231" s="137" t="s">
        <v>90</v>
      </c>
      <c r="AE231" s="137"/>
      <c r="AF231" s="137"/>
      <c r="AG231" s="137"/>
      <c r="AH231" s="137"/>
      <c r="AI231" s="137"/>
      <c r="AJ231" s="137"/>
      <c r="AK231" s="137"/>
      <c r="AL231" s="137"/>
      <c r="AM231" s="138"/>
    </row>
    <row hidden="true" r="232">
      <c r="A232" s="139" t="s">
        <v>91</v>
      </c>
      <c r="B232" s="140" t="s">
        <v>92</v>
      </c>
      <c r="C232" s="140" t="s">
        <v>93</v>
      </c>
      <c r="D232" s="141" t="s">
        <v>94</v>
      </c>
      <c r="E232" s="142" t="s">
        <v>95</v>
      </c>
      <c r="F232" s="142" t="s">
        <v>96</v>
      </c>
      <c r="G232" s="143" t="s">
        <v>97</v>
      </c>
      <c r="H232" s="215" t="s">
        <v>98</v>
      </c>
      <c r="I232" s="219" t="s">
        <v>99</v>
      </c>
      <c r="J232" s="206" t="s">
        <v>100</v>
      </c>
      <c r="K232" s="135" t="s">
        <v>101</v>
      </c>
      <c r="L232" s="146" t="s">
        <v>102</v>
      </c>
      <c r="M232" s="146" t="s">
        <v>103</v>
      </c>
      <c r="N232" s="143" t="s">
        <v>104</v>
      </c>
      <c r="O232" s="146" t="s">
        <v>105</v>
      </c>
      <c r="P232" s="136" t="s">
        <v>106</v>
      </c>
      <c r="Q232" s="136" t="s">
        <v>107</v>
      </c>
      <c r="R232" s="136" t="s">
        <v>108</v>
      </c>
      <c r="S232" s="147" t="s">
        <v>109</v>
      </c>
      <c r="T232" s="147" t="s">
        <v>110</v>
      </c>
      <c r="U232" s="136" t="s">
        <v>111</v>
      </c>
      <c r="V232" s="147" t="s">
        <v>112</v>
      </c>
      <c r="W232" s="147" t="s">
        <v>113</v>
      </c>
      <c r="X232" s="136" t="s">
        <v>114</v>
      </c>
      <c r="Y232" s="147" t="s">
        <v>115</v>
      </c>
      <c r="Z232" s="136" t="s">
        <v>116</v>
      </c>
      <c r="AA232" s="148" t="s">
        <v>117</v>
      </c>
      <c r="AB232" s="148" t="s">
        <v>118</v>
      </c>
      <c r="AC232" s="148" t="s">
        <v>119</v>
      </c>
      <c r="AD232" s="149" t="s">
        <v>120</v>
      </c>
      <c r="AE232" s="150" t="s">
        <v>121</v>
      </c>
      <c r="AF232" s="150" t="s">
        <v>122</v>
      </c>
      <c r="AG232" s="150" t="s">
        <v>123</v>
      </c>
      <c r="AH232" s="150" t="s">
        <v>124</v>
      </c>
      <c r="AI232" s="150" t="s">
        <v>125</v>
      </c>
      <c r="AJ232" s="151" t="s">
        <v>126</v>
      </c>
      <c r="AK232" s="151" t="s">
        <v>127</v>
      </c>
      <c r="AL232" s="151" t="s">
        <v>128</v>
      </c>
      <c r="AM232" s="138"/>
    </row>
    <row hidden="true" r="233">
      <c r="A233" s="152" t="s">
        <v>176</v>
      </c>
      <c r="B233" s="156" t="s">
        <v>140</v>
      </c>
      <c r="C233" s="154" t="s">
        <v>131</v>
      </c>
      <c r="D233" s="154">
        <f t="shared" ref="D233:D237" si="61">E233+F233+G233+H233</f>
      </c>
      <c r="E233" s="155">
        <v>2924.9</v>
      </c>
      <c r="F233" s="156">
        <v>191.46</v>
      </c>
      <c r="G233" s="157"/>
      <c r="H233" s="155">
        <v>647.37</v>
      </c>
      <c r="I233" s="208">
        <v>3</v>
      </c>
      <c r="J233" s="258">
        <v>5484</v>
      </c>
      <c r="K233" s="158">
        <v>0</v>
      </c>
      <c r="L233" s="156">
        <v>1</v>
      </c>
      <c r="M233" s="156">
        <v>2</v>
      </c>
      <c r="N233" s="159">
        <f t="shared" ref="N233:N239" si="21">J233/D233</f>
      </c>
      <c r="O233" s="159">
        <f t="shared" ref="O233:O239" si="184">J233/(D233+300*AL233)</f>
      </c>
      <c r="P233" s="160">
        <f t="shared" ref="P233:P239" si="126">(D233/AE233)*1000</f>
      </c>
      <c r="Q233" s="161">
        <f t="shared" ref="Q233:Q239" si="300">AF233/AE233</f>
      </c>
      <c r="R233" s="162">
        <f t="shared" ref="R233:R239" si="242">D233/AG233</f>
      </c>
      <c r="S233" s="161">
        <f t="shared" ref="S233:S239" si="329">AH233/AG233</f>
      </c>
      <c r="T233" s="161">
        <f t="shared" ref="T233:T239" si="445">AI233/AG233</f>
      </c>
      <c r="U233" s="162">
        <f t="shared" ref="U233:U239" si="387">D233/AI233</f>
      </c>
      <c r="V233" s="161">
        <f t="shared" ref="V233:V239" si="155">AJ233/AI233</f>
      </c>
      <c r="W233" s="161">
        <f t="shared" ref="W233:W239" si="97">I233/AJ233</f>
      </c>
      <c r="X233" s="162">
        <f t="shared" ref="X233:X239" si="271">D233/I233</f>
      </c>
      <c r="Y233" s="163">
        <f t="shared" ref="Y233:Y239" si="213">J233/I233</f>
      </c>
      <c r="Z233" s="162">
        <f t="shared" ref="Z233:Z239" si="416">D233/AD233</f>
      </c>
      <c r="AA233" s="164">
        <f t="shared" ref="AA233:AA239" si="358">AK233*1000/D233</f>
      </c>
      <c r="AB233" s="165" t="s">
        <v>132</v>
      </c>
      <c r="AC233" s="166" t="s">
        <v>153</v>
      </c>
      <c r="AD233" s="209">
        <v>3</v>
      </c>
      <c r="AE233" s="233">
        <v>12156</v>
      </c>
      <c r="AF233" s="209">
        <v>379</v>
      </c>
      <c r="AG233" s="157">
        <v>469</v>
      </c>
      <c r="AH233" s="157">
        <v>111</v>
      </c>
      <c r="AI233" s="153">
        <v>13</v>
      </c>
      <c r="AJ233" s="158">
        <v>9</v>
      </c>
      <c r="AK233" s="156">
        <v>20</v>
      </c>
      <c r="AL233" s="175">
        <v>1</v>
      </c>
      <c r="AM233" s="168"/>
    </row>
    <row hidden="true" r="234">
      <c r="A234" s="152"/>
      <c r="B234" s="155" t="s">
        <v>141</v>
      </c>
      <c r="C234" s="234" t="s">
        <v>131</v>
      </c>
      <c r="D234" s="157">
        <f t="shared" si="61"/>
      </c>
      <c r="E234" s="158">
        <v>1976.17</v>
      </c>
      <c r="F234" s="170">
        <v>164.17</v>
      </c>
      <c r="G234" s="153"/>
      <c r="H234" s="155">
        <v>370.3</v>
      </c>
      <c r="I234" s="218">
        <v>2</v>
      </c>
      <c r="J234" s="209">
        <v>1377</v>
      </c>
      <c r="K234" s="158">
        <v>1</v>
      </c>
      <c r="L234" s="156">
        <v>1</v>
      </c>
      <c r="M234" s="156">
        <v>0</v>
      </c>
      <c r="N234" s="159">
        <f t="shared" si="21"/>
      </c>
      <c r="O234" s="159">
        <f t="shared" si="184"/>
      </c>
      <c r="P234" s="160">
        <f t="shared" si="126"/>
      </c>
      <c r="Q234" s="161">
        <f t="shared" si="300"/>
      </c>
      <c r="R234" s="162">
        <f t="shared" si="242"/>
      </c>
      <c r="S234" s="161">
        <f t="shared" si="329"/>
      </c>
      <c r="T234" s="161">
        <f t="shared" si="445"/>
      </c>
      <c r="U234" s="162">
        <f t="shared" si="387"/>
      </c>
      <c r="V234" s="161">
        <f t="shared" si="155"/>
      </c>
      <c r="W234" s="161">
        <f t="shared" si="97"/>
      </c>
      <c r="X234" s="162">
        <f t="shared" si="271"/>
      </c>
      <c r="Y234" s="163">
        <f t="shared" si="213"/>
      </c>
      <c r="Z234" s="162">
        <f t="shared" si="416"/>
      </c>
      <c r="AA234" s="164">
        <f t="shared" si="358"/>
      </c>
      <c r="AB234" s="165" t="s">
        <v>132</v>
      </c>
      <c r="AC234" s="166" t="s">
        <v>153</v>
      </c>
      <c r="AD234" s="208">
        <v>1</v>
      </c>
      <c r="AE234" s="172">
        <v>7231</v>
      </c>
      <c r="AF234" s="172">
        <v>259</v>
      </c>
      <c r="AG234" s="171">
        <v>349</v>
      </c>
      <c r="AH234" s="153">
        <v>81</v>
      </c>
      <c r="AI234" s="153">
        <v>17</v>
      </c>
      <c r="AJ234" s="201">
        <v>4</v>
      </c>
      <c r="AK234" s="210">
        <v>18</v>
      </c>
      <c r="AL234" s="175">
        <v>1</v>
      </c>
      <c r="AM234" s="168"/>
    </row>
    <row hidden="true" r="235">
      <c r="A235" s="152"/>
      <c r="B235" s="155" t="s">
        <v>150</v>
      </c>
      <c r="C235" s="209" t="s">
        <v>131</v>
      </c>
      <c r="D235" s="157">
        <f t="shared" si="61"/>
      </c>
      <c r="E235" s="158">
        <v>2384.02</v>
      </c>
      <c r="F235" s="158">
        <v>409.96</v>
      </c>
      <c r="G235" s="153"/>
      <c r="H235" s="156">
        <v>634.67</v>
      </c>
      <c r="I235" s="184">
        <v>1</v>
      </c>
      <c r="J235" s="171">
        <v>2268</v>
      </c>
      <c r="K235" s="156">
        <v>0</v>
      </c>
      <c r="L235" s="156">
        <v>0</v>
      </c>
      <c r="M235" s="156">
        <v>1</v>
      </c>
      <c r="N235" s="159">
        <f t="shared" si="21"/>
      </c>
      <c r="O235" s="159">
        <f t="shared" si="184"/>
      </c>
      <c r="P235" s="160">
        <f t="shared" si="126"/>
      </c>
      <c r="Q235" s="161">
        <f t="shared" si="300"/>
      </c>
      <c r="R235" s="162">
        <f t="shared" si="242"/>
      </c>
      <c r="S235" s="161">
        <f t="shared" si="329"/>
      </c>
      <c r="T235" s="161">
        <f t="shared" si="445"/>
      </c>
      <c r="U235" s="162">
        <f t="shared" si="387"/>
      </c>
      <c r="V235" s="161">
        <f t="shared" si="155"/>
      </c>
      <c r="W235" s="161">
        <f t="shared" si="97"/>
      </c>
      <c r="X235" s="162">
        <f t="shared" si="271"/>
      </c>
      <c r="Y235" s="163">
        <f t="shared" si="213"/>
      </c>
      <c r="Z235" s="162">
        <f t="shared" si="416"/>
      </c>
      <c r="AA235" s="164">
        <f t="shared" si="358"/>
      </c>
      <c r="AB235" s="165" t="s">
        <v>132</v>
      </c>
      <c r="AC235" s="166" t="s">
        <v>153</v>
      </c>
      <c r="AD235" s="208">
        <v>1</v>
      </c>
      <c r="AE235" s="157">
        <v>8417</v>
      </c>
      <c r="AF235" s="157">
        <v>286</v>
      </c>
      <c r="AG235" s="153">
        <v>387</v>
      </c>
      <c r="AH235" s="153">
        <v>82</v>
      </c>
      <c r="AI235" s="153">
        <v>21</v>
      </c>
      <c r="AJ235" s="201">
        <v>17</v>
      </c>
      <c r="AK235" s="210">
        <v>21</v>
      </c>
      <c r="AL235" s="175">
        <v>1</v>
      </c>
      <c r="AM235" s="168"/>
    </row>
    <row customHeight="true" hidden="true" ht="18.452380952380953" r="236">
      <c r="A236" s="152"/>
      <c r="B236" s="155" t="s">
        <v>163</v>
      </c>
      <c r="C236" s="171" t="s">
        <v>131</v>
      </c>
      <c r="D236" s="157">
        <f t="shared" si="61"/>
      </c>
      <c r="E236" s="158">
        <v>2891.65</v>
      </c>
      <c r="F236" s="158">
        <v>341.41</v>
      </c>
      <c r="G236" s="153"/>
      <c r="H236" s="156">
        <v>526.51</v>
      </c>
      <c r="I236" s="156">
        <v>3</v>
      </c>
      <c r="J236" s="156">
        <v>5484</v>
      </c>
      <c r="K236" s="156">
        <v>0</v>
      </c>
      <c r="L236" s="156">
        <v>1</v>
      </c>
      <c r="M236" s="156">
        <v>2</v>
      </c>
      <c r="N236" s="159">
        <f t="shared" si="21"/>
      </c>
      <c r="O236" s="159">
        <f t="shared" si="184"/>
      </c>
      <c r="P236" s="160">
        <f t="shared" si="126"/>
      </c>
      <c r="Q236" s="161">
        <f t="shared" si="300"/>
      </c>
      <c r="R236" s="162">
        <f t="shared" si="242"/>
      </c>
      <c r="S236" s="161">
        <f t="shared" si="329"/>
      </c>
      <c r="T236" s="161">
        <f t="shared" si="445"/>
      </c>
      <c r="U236" s="162">
        <f t="shared" si="387"/>
      </c>
      <c r="V236" s="161">
        <f t="shared" si="155"/>
      </c>
      <c r="W236" s="161">
        <f t="shared" si="97"/>
      </c>
      <c r="X236" s="162">
        <f t="shared" si="271"/>
      </c>
      <c r="Y236" s="163">
        <f t="shared" si="213"/>
      </c>
      <c r="Z236" s="162">
        <f t="shared" si="416"/>
      </c>
      <c r="AA236" s="164">
        <f t="shared" si="358"/>
      </c>
      <c r="AB236" s="165" t="s">
        <v>132</v>
      </c>
      <c r="AC236" s="166" t="s">
        <v>177</v>
      </c>
      <c r="AD236" s="218">
        <v>3</v>
      </c>
      <c r="AE236" s="172">
        <v>10171</v>
      </c>
      <c r="AF236" s="153">
        <v>341</v>
      </c>
      <c r="AG236" s="153">
        <v>422</v>
      </c>
      <c r="AH236" s="153">
        <v>95</v>
      </c>
      <c r="AI236" s="153">
        <v>12</v>
      </c>
      <c r="AJ236" s="201">
        <v>4</v>
      </c>
      <c r="AK236" s="210">
        <v>17</v>
      </c>
      <c r="AL236" s="175">
        <v>1</v>
      </c>
      <c r="AM236" s="168"/>
    </row>
    <row hidden="true" r="237">
      <c r="A237" s="152"/>
      <c r="B237" s="184" t="s">
        <v>165</v>
      </c>
      <c r="C237" s="171" t="s">
        <v>131</v>
      </c>
      <c r="D237" s="153">
        <f t="shared" si="61"/>
      </c>
      <c r="E237" s="156">
        <f>0.33+2120.9</f>
      </c>
      <c r="F237" s="158">
        <v>266.47</v>
      </c>
      <c r="G237" s="153"/>
      <c r="H237" s="156">
        <v>680</v>
      </c>
      <c r="I237" s="156">
        <v>2</v>
      </c>
      <c r="J237" s="153">
        <v>4536</v>
      </c>
      <c r="K237" s="156">
        <v>0</v>
      </c>
      <c r="L237" s="156">
        <v>0</v>
      </c>
      <c r="M237" s="186">
        <v>2</v>
      </c>
      <c r="N237" s="257">
        <f t="shared" si="21"/>
      </c>
      <c r="O237" s="239">
        <f t="shared" si="184"/>
      </c>
      <c r="P237" s="240">
        <f t="shared" si="126"/>
      </c>
      <c r="Q237" s="241">
        <f t="shared" si="300"/>
      </c>
      <c r="R237" s="242">
        <f t="shared" si="242"/>
      </c>
      <c r="S237" s="241">
        <f t="shared" si="329"/>
      </c>
      <c r="T237" s="243">
        <f t="shared" si="445"/>
      </c>
      <c r="U237" s="162">
        <f t="shared" si="387"/>
      </c>
      <c r="V237" s="161">
        <f t="shared" si="155"/>
      </c>
      <c r="W237" s="161">
        <f t="shared" si="97"/>
      </c>
      <c r="X237" s="162">
        <f t="shared" si="271"/>
      </c>
      <c r="Y237" s="163">
        <f t="shared" si="213"/>
      </c>
      <c r="Z237" s="162">
        <f t="shared" si="416"/>
      </c>
      <c r="AA237" s="164">
        <f t="shared" si="358"/>
      </c>
      <c r="AB237" s="165" t="s">
        <v>132</v>
      </c>
      <c r="AC237" s="166" t="s">
        <v>178</v>
      </c>
      <c r="AD237" s="208">
        <v>2</v>
      </c>
      <c r="AE237" s="185">
        <v>8292</v>
      </c>
      <c r="AF237" s="167">
        <v>245</v>
      </c>
      <c r="AG237" s="167">
        <v>302</v>
      </c>
      <c r="AH237" s="167">
        <v>70</v>
      </c>
      <c r="AI237" s="167">
        <v>22</v>
      </c>
      <c r="AJ237" s="175">
        <v>7</v>
      </c>
      <c r="AK237" s="175">
        <v>17</v>
      </c>
      <c r="AL237" s="175">
        <v>1</v>
      </c>
      <c r="AM237" s="168"/>
    </row>
    <row hidden="true" r="238">
      <c r="A238" s="152"/>
      <c r="B238" s="176" t="s">
        <v>137</v>
      </c>
      <c r="C238" s="176"/>
      <c r="D238" s="176">
        <f>SUM(D233:D237)</f>
      </c>
      <c r="E238" s="176">
        <f>SUM(E233:E237)</f>
      </c>
      <c r="F238" s="176">
        <f>SUM(F233:F237)</f>
      </c>
      <c r="G238" s="176">
        <f>SUM(G233:G237)</f>
      </c>
      <c r="H238" s="176">
        <f>SUM(H233:H237)</f>
      </c>
      <c r="I238" s="176">
        <f>SUM(I233:I237)</f>
      </c>
      <c r="J238" s="176">
        <f>SUM(J233:J237)</f>
      </c>
      <c r="K238" s="176">
        <f>SUM(K233:K237)</f>
      </c>
      <c r="L238" s="176">
        <f>SUM(L233:L237)</f>
      </c>
      <c r="M238" s="176">
        <f>SUM(M233:M237)</f>
      </c>
      <c r="N238" s="177">
        <f t="shared" si="21"/>
      </c>
      <c r="O238" s="253">
        <f t="shared" si="184"/>
      </c>
      <c r="P238" s="254">
        <f t="shared" si="126"/>
      </c>
      <c r="Q238" s="255">
        <f t="shared" si="300"/>
      </c>
      <c r="R238" s="256">
        <f t="shared" si="242"/>
      </c>
      <c r="S238" s="255">
        <f t="shared" si="329"/>
      </c>
      <c r="T238" s="179">
        <f t="shared" si="445"/>
      </c>
      <c r="U238" s="180">
        <f t="shared" si="387"/>
      </c>
      <c r="V238" s="179">
        <f t="shared" si="155"/>
      </c>
      <c r="W238" s="179">
        <f t="shared" si="97"/>
      </c>
      <c r="X238" s="180">
        <f t="shared" si="271"/>
      </c>
      <c r="Y238" s="181">
        <f t="shared" si="213"/>
      </c>
      <c r="Z238" s="180">
        <f t="shared" si="416"/>
      </c>
      <c r="AA238" s="182">
        <f t="shared" si="358"/>
      </c>
      <c r="AB238" s="182"/>
      <c r="AC238" s="189"/>
      <c r="AD238" s="211">
        <f>SUM(AD233:AD237)</f>
      </c>
      <c r="AE238" s="183">
        <f>SUM(AE233:AE237)</f>
      </c>
      <c r="AF238" s="183">
        <f>SUM(AF233:AF237)</f>
      </c>
      <c r="AG238" s="183">
        <f>SUM(AG233:AG237)</f>
      </c>
      <c r="AH238" s="183">
        <f>SUM(AH233:AH237)</f>
      </c>
      <c r="AI238" s="183">
        <f>SUM(AI233:AI237)</f>
      </c>
      <c r="AJ238" s="183">
        <f>SUM(AJ233:AJ237)</f>
      </c>
      <c r="AK238" s="183">
        <f>SUM(AK233:AK237)</f>
      </c>
      <c r="AL238" s="183">
        <f>SUM(AL233:AL237)</f>
      </c>
      <c r="AM238" s="191" t="s">
        <v>142</v>
      </c>
    </row>
    <row hidden="true" r="239">
      <c r="A239" s="152"/>
      <c r="B239" s="192" t="s">
        <v>143</v>
      </c>
      <c r="C239" s="192"/>
      <c r="D239" s="192">
        <f>D238</f>
      </c>
      <c r="E239" s="192">
        <f>E238</f>
      </c>
      <c r="F239" s="192">
        <f>F238</f>
      </c>
      <c r="G239" s="192">
        <f>G238</f>
      </c>
      <c r="H239" s="192">
        <f>H238</f>
      </c>
      <c r="I239" s="192">
        <f>I238</f>
      </c>
      <c r="J239" s="192">
        <f>J238</f>
      </c>
      <c r="K239" s="192">
        <f>K238</f>
      </c>
      <c r="L239" s="192">
        <f>L238</f>
      </c>
      <c r="M239" s="192">
        <f>M238</f>
      </c>
      <c r="N239" s="193">
        <f t="shared" si="21"/>
      </c>
      <c r="O239" s="193">
        <f t="shared" si="184"/>
      </c>
      <c r="P239" s="194">
        <f t="shared" si="126"/>
      </c>
      <c r="Q239" s="195">
        <f t="shared" si="300"/>
      </c>
      <c r="R239" s="193">
        <f t="shared" si="242"/>
      </c>
      <c r="S239" s="195">
        <f t="shared" si="329"/>
      </c>
      <c r="T239" s="195">
        <f t="shared" si="445"/>
      </c>
      <c r="U239" s="193">
        <f t="shared" si="387"/>
      </c>
      <c r="V239" s="195">
        <f t="shared" si="155"/>
      </c>
      <c r="W239" s="195">
        <f t="shared" si="97"/>
      </c>
      <c r="X239" s="193">
        <f t="shared" si="271"/>
      </c>
      <c r="Y239" s="196">
        <f t="shared" si="213"/>
      </c>
      <c r="Z239" s="193">
        <f t="shared" si="416"/>
      </c>
      <c r="AA239" s="194">
        <f t="shared" si="358"/>
      </c>
      <c r="AB239" s="194"/>
      <c r="AC239" s="194"/>
      <c r="AD239" s="197">
        <f>AD238</f>
      </c>
      <c r="AE239" s="197">
        <f>AE238</f>
      </c>
      <c r="AF239" s="197">
        <f>AF238</f>
      </c>
      <c r="AG239" s="197">
        <f>AG238</f>
      </c>
      <c r="AH239" s="197">
        <f>AH238</f>
      </c>
      <c r="AI239" s="197">
        <f>AI238</f>
      </c>
      <c r="AJ239" s="197">
        <f>AJ238</f>
      </c>
      <c r="AK239" s="197">
        <f>AK238</f>
      </c>
      <c r="AL239" s="197">
        <f>AL238</f>
      </c>
      <c r="AM239" s="191"/>
    </row>
    <row hidden="true" r="240">
      <c r="A240" s="139" t="s">
        <v>87</v>
      </c>
      <c r="B240" s="139"/>
      <c r="C240" s="139"/>
      <c r="D240" s="135" t="s">
        <v>88</v>
      </c>
      <c r="E240" s="135"/>
      <c r="F240" s="135"/>
      <c r="G240" s="135"/>
      <c r="H240" s="135"/>
      <c r="I240" s="135"/>
      <c r="J240" s="135"/>
      <c r="K240" s="135"/>
      <c r="L240" s="135"/>
      <c r="M240" s="135"/>
      <c r="N240" s="135"/>
      <c r="O240" s="135"/>
      <c r="P240" s="136" t="s">
        <v>89</v>
      </c>
      <c r="Q240" s="136"/>
      <c r="R240" s="136"/>
      <c r="S240" s="136"/>
      <c r="T240" s="136"/>
      <c r="U240" s="136"/>
      <c r="V240" s="136"/>
      <c r="W240" s="136"/>
      <c r="X240" s="136"/>
      <c r="Y240" s="136"/>
      <c r="Z240" s="136"/>
      <c r="AA240" s="136"/>
      <c r="AB240" s="136"/>
      <c r="AC240" s="136"/>
      <c r="AD240" s="137" t="s">
        <v>90</v>
      </c>
      <c r="AE240" s="137"/>
      <c r="AF240" s="137"/>
      <c r="AG240" s="137"/>
      <c r="AH240" s="137"/>
      <c r="AI240" s="137"/>
      <c r="AJ240" s="137"/>
      <c r="AK240" s="137"/>
      <c r="AL240" s="137"/>
      <c r="AM240" s="138"/>
    </row>
    <row hidden="true" r="241">
      <c r="A241" s="139" t="s">
        <v>91</v>
      </c>
      <c r="B241" s="140" t="s">
        <v>92</v>
      </c>
      <c r="C241" s="140" t="s">
        <v>93</v>
      </c>
      <c r="D241" s="141" t="s">
        <v>94</v>
      </c>
      <c r="E241" s="142" t="s">
        <v>95</v>
      </c>
      <c r="F241" s="142" t="s">
        <v>96</v>
      </c>
      <c r="G241" s="143" t="s">
        <v>97</v>
      </c>
      <c r="H241" s="215" t="s">
        <v>98</v>
      </c>
      <c r="I241" s="219" t="s">
        <v>99</v>
      </c>
      <c r="J241" s="206" t="s">
        <v>100</v>
      </c>
      <c r="K241" s="135" t="s">
        <v>101</v>
      </c>
      <c r="L241" s="146" t="s">
        <v>102</v>
      </c>
      <c r="M241" s="146" t="s">
        <v>103</v>
      </c>
      <c r="N241" s="143" t="s">
        <v>104</v>
      </c>
      <c r="O241" s="146" t="s">
        <v>105</v>
      </c>
      <c r="P241" s="136" t="s">
        <v>106</v>
      </c>
      <c r="Q241" s="136" t="s">
        <v>107</v>
      </c>
      <c r="R241" s="136" t="s">
        <v>108</v>
      </c>
      <c r="S241" s="147" t="s">
        <v>109</v>
      </c>
      <c r="T241" s="147" t="s">
        <v>110</v>
      </c>
      <c r="U241" s="136" t="s">
        <v>111</v>
      </c>
      <c r="V241" s="147" t="s">
        <v>112</v>
      </c>
      <c r="W241" s="147" t="s">
        <v>113</v>
      </c>
      <c r="X241" s="136" t="s">
        <v>114</v>
      </c>
      <c r="Y241" s="147" t="s">
        <v>115</v>
      </c>
      <c r="Z241" s="136" t="s">
        <v>116</v>
      </c>
      <c r="AA241" s="148" t="s">
        <v>117</v>
      </c>
      <c r="AB241" s="148" t="s">
        <v>118</v>
      </c>
      <c r="AC241" s="148" t="s">
        <v>119</v>
      </c>
      <c r="AD241" s="149" t="s">
        <v>120</v>
      </c>
      <c r="AE241" s="150" t="s">
        <v>121</v>
      </c>
      <c r="AF241" s="150" t="s">
        <v>122</v>
      </c>
      <c r="AG241" s="150" t="s">
        <v>123</v>
      </c>
      <c r="AH241" s="150" t="s">
        <v>124</v>
      </c>
      <c r="AI241" s="150" t="s">
        <v>125</v>
      </c>
      <c r="AJ241" s="151" t="s">
        <v>126</v>
      </c>
      <c r="AK241" s="151" t="s">
        <v>127</v>
      </c>
      <c r="AL241" s="151" t="s">
        <v>128</v>
      </c>
      <c r="AM241" s="138"/>
    </row>
    <row hidden="true" r="242">
      <c r="A242" s="152" t="s">
        <v>179</v>
      </c>
      <c r="B242" s="153" t="s">
        <v>130</v>
      </c>
      <c r="C242" s="154" t="s">
        <v>131</v>
      </c>
      <c r="D242" s="154">
        <f t="shared" ref="D242:D245" si="62">E242+F242+G242+H242</f>
      </c>
      <c r="E242" s="155">
        <v>1899.07</v>
      </c>
      <c r="F242" s="156">
        <v>290.14</v>
      </c>
      <c r="G242" s="157"/>
      <c r="H242" s="155">
        <v>437</v>
      </c>
      <c r="I242" s="208">
        <v>0</v>
      </c>
      <c r="J242" s="208">
        <v>0</v>
      </c>
      <c r="K242" s="208">
        <v>0</v>
      </c>
      <c r="L242" s="208">
        <v>0</v>
      </c>
      <c r="M242" s="208">
        <v>0</v>
      </c>
      <c r="N242" s="159">
        <f t="shared" ref="N242:N252" si="22">J242/D242</f>
      </c>
      <c r="O242" s="159">
        <f t="shared" ref="O242:O252" si="185">J242/(D242+300*AL242)</f>
      </c>
      <c r="P242" s="160">
        <f t="shared" ref="P242:P252" si="127">(D242/AE242)*1000</f>
      </c>
      <c r="Q242" s="161">
        <f t="shared" ref="Q242:Q252" si="301">AF242/AE242</f>
      </c>
      <c r="R242" s="162">
        <f t="shared" ref="R242:R252" si="243">D242/AG242</f>
      </c>
      <c r="S242" s="161">
        <f t="shared" ref="S242:S252" si="330">AH242/AG242</f>
      </c>
      <c r="T242" s="161">
        <f t="shared" ref="T242:T252" si="446">AI242/AG242</f>
      </c>
      <c r="U242" s="162">
        <f t="shared" ref="U242:U252" si="388">D242/AI242</f>
      </c>
      <c r="V242" s="161">
        <f t="shared" ref="V242:V252" si="156">AJ242/AI242</f>
      </c>
      <c r="W242" s="161">
        <f t="shared" ref="W242:W252" si="98">I242/AJ242</f>
      </c>
      <c r="X242" s="162">
        <f t="shared" ref="X242:X252" si="272">D242/I242</f>
      </c>
      <c r="Y242" s="163">
        <f t="shared" ref="Y242:Y252" si="214">J242/I242</f>
      </c>
      <c r="Z242" s="162">
        <f t="shared" ref="Z242:Z252" si="417">D242/AD242</f>
      </c>
      <c r="AA242" s="164">
        <f t="shared" ref="AA242:AA252" si="359">AK242*1000/D242</f>
      </c>
      <c r="AB242" s="165" t="s">
        <v>132</v>
      </c>
      <c r="AC242" s="166" t="s">
        <v>153</v>
      </c>
      <c r="AD242" s="209">
        <v>0</v>
      </c>
      <c r="AE242" s="233">
        <v>6013</v>
      </c>
      <c r="AF242" s="209">
        <v>247</v>
      </c>
      <c r="AG242" s="157">
        <v>309</v>
      </c>
      <c r="AH242" s="157">
        <v>69</v>
      </c>
      <c r="AI242" s="153">
        <v>21</v>
      </c>
      <c r="AJ242" s="158">
        <v>6</v>
      </c>
      <c r="AK242" s="156">
        <v>18</v>
      </c>
      <c r="AL242" s="175">
        <v>1</v>
      </c>
      <c r="AM242" s="168"/>
    </row>
    <row hidden="true" r="243">
      <c r="A243" s="152"/>
      <c r="B243" s="169" t="s">
        <v>134</v>
      </c>
      <c r="C243" s="234" t="s">
        <v>131</v>
      </c>
      <c r="D243" s="157">
        <f t="shared" si="62"/>
      </c>
      <c r="E243" s="158">
        <v>1686.97</v>
      </c>
      <c r="F243" s="170">
        <v>134.96</v>
      </c>
      <c r="G243" s="153"/>
      <c r="H243" s="155">
        <v>193.55</v>
      </c>
      <c r="I243" s="218">
        <v>2</v>
      </c>
      <c r="J243" s="209">
        <v>3137</v>
      </c>
      <c r="K243" s="158">
        <v>0</v>
      </c>
      <c r="L243" s="156">
        <v>1</v>
      </c>
      <c r="M243" s="156">
        <v>1</v>
      </c>
      <c r="N243" s="159">
        <f t="shared" si="22"/>
      </c>
      <c r="O243" s="159">
        <f t="shared" si="185"/>
      </c>
      <c r="P243" s="160">
        <f t="shared" si="127"/>
      </c>
      <c r="Q243" s="161">
        <f t="shared" si="301"/>
      </c>
      <c r="R243" s="162">
        <f t="shared" si="243"/>
      </c>
      <c r="S243" s="161">
        <f t="shared" si="330"/>
      </c>
      <c r="T243" s="161">
        <f t="shared" si="446"/>
      </c>
      <c r="U243" s="162">
        <f t="shared" si="388"/>
      </c>
      <c r="V243" s="161">
        <f t="shared" si="156"/>
      </c>
      <c r="W243" s="161">
        <f t="shared" si="98"/>
      </c>
      <c r="X243" s="162">
        <f t="shared" si="272"/>
      </c>
      <c r="Y243" s="163">
        <f t="shared" si="214"/>
      </c>
      <c r="Z243" s="162">
        <f t="shared" si="417"/>
      </c>
      <c r="AA243" s="164">
        <f t="shared" si="359"/>
      </c>
      <c r="AB243" s="165" t="s">
        <v>132</v>
      </c>
      <c r="AC243" s="166" t="s">
        <v>153</v>
      </c>
      <c r="AD243" s="208">
        <v>1</v>
      </c>
      <c r="AE243" s="172">
        <v>4652</v>
      </c>
      <c r="AF243" s="172">
        <v>155</v>
      </c>
      <c r="AG243" s="171">
        <v>232</v>
      </c>
      <c r="AH243" s="153">
        <v>49</v>
      </c>
      <c r="AI243" s="153">
        <v>1</v>
      </c>
      <c r="AJ243" s="201">
        <v>7</v>
      </c>
      <c r="AK243" s="210">
        <v>9</v>
      </c>
      <c r="AL243" s="175">
        <v>1</v>
      </c>
      <c r="AM243" s="168"/>
    </row>
    <row hidden="true" r="244">
      <c r="A244" s="152"/>
      <c r="B244" s="169" t="s">
        <v>135</v>
      </c>
      <c r="C244" s="209" t="s">
        <v>131</v>
      </c>
      <c r="D244" s="157">
        <f t="shared" si="62"/>
      </c>
      <c r="E244" s="158">
        <v>2721.09</v>
      </c>
      <c r="F244" s="158">
        <v>201.13</v>
      </c>
      <c r="G244" s="153"/>
      <c r="H244" s="156">
        <v>116.62</v>
      </c>
      <c r="I244" s="184">
        <v>6</v>
      </c>
      <c r="J244" s="171">
        <v>7368</v>
      </c>
      <c r="K244" s="156">
        <v>2</v>
      </c>
      <c r="L244" s="156">
        <v>2</v>
      </c>
      <c r="M244" s="156">
        <v>2</v>
      </c>
      <c r="N244" s="159">
        <f t="shared" si="22"/>
      </c>
      <c r="O244" s="159">
        <f t="shared" si="185"/>
      </c>
      <c r="P244" s="160">
        <f t="shared" si="127"/>
      </c>
      <c r="Q244" s="161">
        <f t="shared" si="301"/>
      </c>
      <c r="R244" s="162">
        <f t="shared" si="243"/>
      </c>
      <c r="S244" s="161">
        <f t="shared" si="330"/>
      </c>
      <c r="T244" s="161">
        <f t="shared" si="446"/>
      </c>
      <c r="U244" s="162">
        <f t="shared" si="388"/>
      </c>
      <c r="V244" s="161">
        <f t="shared" si="156"/>
      </c>
      <c r="W244" s="161">
        <f t="shared" si="98"/>
      </c>
      <c r="X244" s="162">
        <f t="shared" si="272"/>
      </c>
      <c r="Y244" s="163">
        <f t="shared" si="214"/>
      </c>
      <c r="Z244" s="162">
        <f t="shared" si="417"/>
      </c>
      <c r="AA244" s="164">
        <f t="shared" si="359"/>
      </c>
      <c r="AB244" s="165" t="s">
        <v>132</v>
      </c>
      <c r="AC244" s="166" t="s">
        <v>153</v>
      </c>
      <c r="AD244" s="208">
        <v>6</v>
      </c>
      <c r="AE244" s="157">
        <v>7435</v>
      </c>
      <c r="AF244" s="157">
        <v>261</v>
      </c>
      <c r="AG244" s="153">
        <v>326</v>
      </c>
      <c r="AH244" s="153">
        <v>67</v>
      </c>
      <c r="AI244" s="153">
        <v>11</v>
      </c>
      <c r="AJ244" s="201">
        <v>12</v>
      </c>
      <c r="AK244" s="210">
        <v>15</v>
      </c>
      <c r="AL244" s="175">
        <v>1</v>
      </c>
      <c r="AM244" s="168"/>
    </row>
    <row hidden="true" r="245">
      <c r="A245" s="152"/>
      <c r="B245" s="169" t="s">
        <v>136</v>
      </c>
      <c r="C245" s="171" t="s">
        <v>131</v>
      </c>
      <c r="D245" s="157">
        <f t="shared" si="62"/>
      </c>
      <c r="E245" s="158">
        <v>2709.53</v>
      </c>
      <c r="F245" s="158">
        <v>367.71</v>
      </c>
      <c r="G245" s="153"/>
      <c r="H245" s="156">
        <v>135.19</v>
      </c>
      <c r="I245" s="156">
        <v>3</v>
      </c>
      <c r="J245" s="156">
        <v>6616</v>
      </c>
      <c r="K245" s="156">
        <v>0</v>
      </c>
      <c r="L245" s="156">
        <v>0</v>
      </c>
      <c r="M245" s="156">
        <v>3</v>
      </c>
      <c r="N245" s="159">
        <f t="shared" si="22"/>
      </c>
      <c r="O245" s="159">
        <f t="shared" si="185"/>
      </c>
      <c r="P245" s="160">
        <f t="shared" si="127"/>
      </c>
      <c r="Q245" s="161">
        <f t="shared" si="301"/>
      </c>
      <c r="R245" s="162">
        <f t="shared" si="243"/>
      </c>
      <c r="S245" s="161">
        <f t="shared" si="330"/>
      </c>
      <c r="T245" s="161">
        <f t="shared" si="446"/>
      </c>
      <c r="U245" s="162">
        <f t="shared" si="388"/>
      </c>
      <c r="V245" s="161">
        <f t="shared" si="156"/>
      </c>
      <c r="W245" s="161">
        <f t="shared" si="98"/>
      </c>
      <c r="X245" s="162">
        <f t="shared" si="272"/>
      </c>
      <c r="Y245" s="163">
        <f t="shared" si="214"/>
      </c>
      <c r="Z245" s="162">
        <f t="shared" si="417"/>
      </c>
      <c r="AA245" s="164">
        <f t="shared" si="359"/>
      </c>
      <c r="AB245" s="165" t="s">
        <v>132</v>
      </c>
      <c r="AC245" s="166" t="s">
        <v>153</v>
      </c>
      <c r="AD245" s="218">
        <v>2</v>
      </c>
      <c r="AE245" s="172">
        <v>8105</v>
      </c>
      <c r="AF245" s="153">
        <v>234</v>
      </c>
      <c r="AG245" s="153">
        <v>277</v>
      </c>
      <c r="AH245" s="153">
        <v>65</v>
      </c>
      <c r="AI245" s="153">
        <v>8</v>
      </c>
      <c r="AJ245" s="201">
        <v>10</v>
      </c>
      <c r="AK245" s="210">
        <v>13</v>
      </c>
      <c r="AL245" s="175">
        <v>1</v>
      </c>
      <c r="AM245" s="168"/>
    </row>
    <row hidden="true" r="246">
      <c r="A246" s="152"/>
      <c r="B246" s="176" t="s">
        <v>137</v>
      </c>
      <c r="C246" s="176"/>
      <c r="D246" s="176">
        <f>SUM(D242:D245)</f>
      </c>
      <c r="E246" s="176">
        <f>SUM(E242:E245)</f>
      </c>
      <c r="F246" s="176">
        <f>SUM(F242:F245)</f>
      </c>
      <c r="G246" s="176">
        <f>SUM(G242:G245)</f>
      </c>
      <c r="H246" s="176">
        <f>SUM(H242:H245)</f>
      </c>
      <c r="I246" s="176">
        <f>SUM(I242:I245)</f>
      </c>
      <c r="J246" s="176">
        <f>SUM(J242:J245)</f>
      </c>
      <c r="K246" s="176">
        <f>SUM(K242:K245)</f>
      </c>
      <c r="L246" s="176">
        <f>SUM(L242:L245)</f>
      </c>
      <c r="M246" s="176">
        <f>SUM(M242:M245)</f>
      </c>
      <c r="N246" s="177">
        <f t="shared" si="22"/>
      </c>
      <c r="O246" s="253">
        <f t="shared" si="185"/>
      </c>
      <c r="P246" s="254">
        <f t="shared" si="127"/>
      </c>
      <c r="Q246" s="255">
        <f t="shared" si="301"/>
      </c>
      <c r="R246" s="256">
        <f t="shared" si="243"/>
      </c>
      <c r="S246" s="255">
        <f t="shared" si="330"/>
      </c>
      <c r="T246" s="179">
        <f t="shared" si="446"/>
      </c>
      <c r="U246" s="180">
        <f t="shared" si="388"/>
      </c>
      <c r="V246" s="179">
        <f t="shared" si="156"/>
      </c>
      <c r="W246" s="179">
        <f t="shared" si="98"/>
      </c>
      <c r="X246" s="180">
        <f t="shared" si="272"/>
      </c>
      <c r="Y246" s="181">
        <f t="shared" si="214"/>
      </c>
      <c r="Z246" s="180">
        <f t="shared" si="417"/>
      </c>
      <c r="AA246" s="182">
        <f t="shared" si="359"/>
      </c>
      <c r="AB246" s="182"/>
      <c r="AC246" s="189"/>
      <c r="AD246" s="211">
        <f>SUM(AD242:AD245)</f>
      </c>
      <c r="AE246" s="183">
        <f>SUM(AE242:AE245)</f>
      </c>
      <c r="AF246" s="183">
        <f>SUM(AF242:AF245)</f>
      </c>
      <c r="AG246" s="183">
        <f>SUM(AG242:AG245)</f>
      </c>
      <c r="AH246" s="183">
        <f>SUM(AH242:AH245)</f>
      </c>
      <c r="AI246" s="183">
        <f>SUM(AI242:AI245)</f>
      </c>
      <c r="AJ246" s="183">
        <f>SUM(AJ242:AJ245)</f>
      </c>
      <c r="AK246" s="183">
        <f>SUM(AK242:AK245)</f>
      </c>
      <c r="AL246" s="183">
        <f>SUM(AL242:AL245)</f>
      </c>
      <c r="AM246" s="168"/>
    </row>
    <row customHeight="true" hidden="true" ht="18.452380952380953" r="247">
      <c r="A247" s="152"/>
      <c r="B247" s="184" t="s">
        <v>145</v>
      </c>
      <c r="C247" s="154" t="s">
        <v>139</v>
      </c>
      <c r="D247" s="153">
        <f t="shared" ref="D247:D250" si="63">E247+F247+G247+H247</f>
      </c>
      <c r="E247" s="156">
        <v>2252.82</v>
      </c>
      <c r="F247" s="158">
        <v>282.36</v>
      </c>
      <c r="G247" s="153"/>
      <c r="H247" s="156">
        <v>510.23</v>
      </c>
      <c r="I247" s="156">
        <v>3</v>
      </c>
      <c r="J247" s="153">
        <v>5484</v>
      </c>
      <c r="K247" s="156">
        <v>0</v>
      </c>
      <c r="L247" s="156">
        <v>1</v>
      </c>
      <c r="M247" s="186">
        <v>2</v>
      </c>
      <c r="N247" s="257">
        <f t="shared" si="22"/>
      </c>
      <c r="O247" s="239">
        <f t="shared" si="185"/>
      </c>
      <c r="P247" s="240">
        <f t="shared" si="127"/>
      </c>
      <c r="Q247" s="241">
        <f t="shared" si="301"/>
      </c>
      <c r="R247" s="242">
        <f t="shared" si="243"/>
      </c>
      <c r="S247" s="241">
        <f t="shared" si="330"/>
      </c>
      <c r="T247" s="243">
        <f t="shared" si="446"/>
      </c>
      <c r="U247" s="162">
        <f t="shared" si="388"/>
      </c>
      <c r="V247" s="161">
        <f t="shared" si="156"/>
      </c>
      <c r="W247" s="161">
        <f t="shared" si="98"/>
      </c>
      <c r="X247" s="162">
        <f t="shared" si="272"/>
      </c>
      <c r="Y247" s="163">
        <f t="shared" si="214"/>
      </c>
      <c r="Z247" s="162">
        <f t="shared" si="417"/>
      </c>
      <c r="AA247" s="164">
        <f t="shared" si="359"/>
      </c>
      <c r="AB247" s="165" t="s">
        <v>132</v>
      </c>
      <c r="AC247" s="166" t="s">
        <v>153</v>
      </c>
      <c r="AD247" s="208">
        <v>3</v>
      </c>
      <c r="AE247" s="185">
        <v>8921</v>
      </c>
      <c r="AF247" s="167">
        <v>251</v>
      </c>
      <c r="AG247" s="167">
        <v>320</v>
      </c>
      <c r="AH247" s="167">
        <v>76</v>
      </c>
      <c r="AI247" s="167">
        <v>14</v>
      </c>
      <c r="AJ247" s="175">
        <v>10</v>
      </c>
      <c r="AK247" s="175">
        <v>14</v>
      </c>
      <c r="AL247" s="175">
        <v>1</v>
      </c>
      <c r="AM247" s="168"/>
    </row>
    <row hidden="true" r="248">
      <c r="A248" s="152"/>
      <c r="B248" s="171" t="s">
        <v>140</v>
      </c>
      <c r="C248" s="154" t="s">
        <v>139</v>
      </c>
      <c r="D248" s="153">
        <f t="shared" si="63"/>
      </c>
      <c r="E248" s="156">
        <v>2842.33</v>
      </c>
      <c r="F248" s="158">
        <v>512.79</v>
      </c>
      <c r="G248" s="153"/>
      <c r="H248" s="156">
        <v>747.95</v>
      </c>
      <c r="I248" s="156">
        <v>3</v>
      </c>
      <c r="J248" s="153">
        <v>6616</v>
      </c>
      <c r="K248" s="156">
        <v>0</v>
      </c>
      <c r="L248" s="156">
        <v>0</v>
      </c>
      <c r="M248" s="186">
        <v>3</v>
      </c>
      <c r="N248" s="257">
        <f t="shared" si="22"/>
      </c>
      <c r="O248" s="239">
        <f t="shared" si="185"/>
      </c>
      <c r="P248" s="240">
        <f t="shared" si="127"/>
      </c>
      <c r="Q248" s="241">
        <f t="shared" si="301"/>
      </c>
      <c r="R248" s="242">
        <f t="shared" si="243"/>
      </c>
      <c r="S248" s="241">
        <f t="shared" si="330"/>
      </c>
      <c r="T248" s="243">
        <f t="shared" si="446"/>
      </c>
      <c r="U248" s="162">
        <f t="shared" si="388"/>
      </c>
      <c r="V248" s="161">
        <f t="shared" si="156"/>
      </c>
      <c r="W248" s="161">
        <f t="shared" si="98"/>
      </c>
      <c r="X248" s="162">
        <f t="shared" si="272"/>
      </c>
      <c r="Y248" s="163">
        <f t="shared" si="214"/>
      </c>
      <c r="Z248" s="162">
        <f t="shared" si="417"/>
      </c>
      <c r="AA248" s="164">
        <f t="shared" si="359"/>
      </c>
      <c r="AB248" s="165" t="s">
        <v>132</v>
      </c>
      <c r="AC248" s="166" t="s">
        <v>153</v>
      </c>
      <c r="AD248" s="208">
        <v>3</v>
      </c>
      <c r="AE248" s="185">
        <v>11125</v>
      </c>
      <c r="AF248" s="167">
        <v>303</v>
      </c>
      <c r="AG248" s="167">
        <v>375</v>
      </c>
      <c r="AH248" s="167">
        <v>92</v>
      </c>
      <c r="AI248" s="167">
        <v>27</v>
      </c>
      <c r="AJ248" s="175">
        <v>11</v>
      </c>
      <c r="AK248" s="175">
        <v>22</v>
      </c>
      <c r="AL248" s="175">
        <v>1</v>
      </c>
      <c r="AM248" s="168"/>
    </row>
    <row hidden="true" r="249">
      <c r="A249" s="152"/>
      <c r="B249" s="156" t="s">
        <v>141</v>
      </c>
      <c r="C249" s="154" t="s">
        <v>139</v>
      </c>
      <c r="D249" s="153">
        <f t="shared" si="63"/>
      </c>
      <c r="E249" s="156">
        <v>2061.52</v>
      </c>
      <c r="F249" s="158">
        <v>470.1</v>
      </c>
      <c r="G249" s="153"/>
      <c r="H249" s="156">
        <v>635.08</v>
      </c>
      <c r="I249" s="156">
        <v>0</v>
      </c>
      <c r="J249" s="156">
        <v>0</v>
      </c>
      <c r="K249" s="156">
        <v>0</v>
      </c>
      <c r="L249" s="156">
        <v>0</v>
      </c>
      <c r="M249" s="156">
        <v>0</v>
      </c>
      <c r="N249" s="251">
        <f t="shared" si="22"/>
      </c>
      <c r="O249" s="239">
        <f t="shared" si="185"/>
      </c>
      <c r="P249" s="240">
        <f t="shared" si="127"/>
      </c>
      <c r="Q249" s="241">
        <f t="shared" si="301"/>
      </c>
      <c r="R249" s="242">
        <f t="shared" si="243"/>
      </c>
      <c r="S249" s="241">
        <f t="shared" si="330"/>
      </c>
      <c r="T249" s="243">
        <f t="shared" si="446"/>
      </c>
      <c r="U249" s="162">
        <f t="shared" si="388"/>
      </c>
      <c r="V249" s="161">
        <f t="shared" si="156"/>
      </c>
      <c r="W249" s="161">
        <f t="shared" si="98"/>
      </c>
      <c r="X249" s="162">
        <f t="shared" si="272"/>
      </c>
      <c r="Y249" s="163">
        <f t="shared" si="214"/>
      </c>
      <c r="Z249" s="162">
        <f t="shared" si="417"/>
      </c>
      <c r="AA249" s="164">
        <f t="shared" si="359"/>
      </c>
      <c r="AB249" s="165" t="s">
        <v>132</v>
      </c>
      <c r="AC249" s="166" t="s">
        <v>153</v>
      </c>
      <c r="AD249" s="208">
        <v>0</v>
      </c>
      <c r="AE249" s="185">
        <v>7157</v>
      </c>
      <c r="AF249" s="167">
        <v>224</v>
      </c>
      <c r="AG249" s="167">
        <v>294</v>
      </c>
      <c r="AH249" s="167">
        <v>79</v>
      </c>
      <c r="AI249" s="167">
        <v>22</v>
      </c>
      <c r="AJ249" s="175">
        <v>8</v>
      </c>
      <c r="AK249" s="175">
        <v>18</v>
      </c>
      <c r="AL249" s="175">
        <v>1</v>
      </c>
      <c r="AM249" s="168"/>
    </row>
    <row hidden="true" r="250">
      <c r="A250" s="152"/>
      <c r="B250" s="155" t="s">
        <v>150</v>
      </c>
      <c r="C250" s="209" t="s">
        <v>139</v>
      </c>
      <c r="D250" s="157">
        <f t="shared" si="63"/>
      </c>
      <c r="E250" s="231">
        <v>1824.82</v>
      </c>
      <c r="F250" s="158">
        <f>392.75+0.33</f>
      </c>
      <c r="G250" s="153"/>
      <c r="H250" s="156">
        <f>0.32+349.45</f>
      </c>
      <c r="I250" s="156">
        <v>3</v>
      </c>
      <c r="J250" s="153">
        <v>5484</v>
      </c>
      <c r="K250" s="156">
        <v>0</v>
      </c>
      <c r="L250" s="155">
        <v>1</v>
      </c>
      <c r="M250" s="250">
        <v>2</v>
      </c>
      <c r="N250" s="251">
        <f t="shared" si="22"/>
      </c>
      <c r="O250" s="239">
        <f t="shared" si="185"/>
      </c>
      <c r="P250" s="240">
        <f t="shared" si="127"/>
      </c>
      <c r="Q250" s="241">
        <f t="shared" si="301"/>
      </c>
      <c r="R250" s="242">
        <f t="shared" si="243"/>
      </c>
      <c r="S250" s="241">
        <f t="shared" si="330"/>
      </c>
      <c r="T250" s="243">
        <f t="shared" si="446"/>
      </c>
      <c r="U250" s="162">
        <f t="shared" si="388"/>
      </c>
      <c r="V250" s="161">
        <f t="shared" si="156"/>
      </c>
      <c r="W250" s="161">
        <f t="shared" si="98"/>
      </c>
      <c r="X250" s="162">
        <f t="shared" si="272"/>
      </c>
      <c r="Y250" s="163">
        <f t="shared" si="214"/>
      </c>
      <c r="Z250" s="162">
        <f t="shared" si="417"/>
      </c>
      <c r="AA250" s="164">
        <f t="shared" si="359"/>
      </c>
      <c r="AB250" s="165" t="s">
        <v>132</v>
      </c>
      <c r="AC250" s="166" t="s">
        <v>153</v>
      </c>
      <c r="AD250" s="208">
        <v>3</v>
      </c>
      <c r="AE250" s="185">
        <v>4615</v>
      </c>
      <c r="AF250" s="167">
        <v>191</v>
      </c>
      <c r="AG250" s="167">
        <v>251</v>
      </c>
      <c r="AH250" s="167">
        <v>64</v>
      </c>
      <c r="AI250" s="167">
        <v>24</v>
      </c>
      <c r="AJ250" s="175">
        <v>8</v>
      </c>
      <c r="AK250" s="175">
        <v>18</v>
      </c>
      <c r="AL250" s="175">
        <v>1</v>
      </c>
      <c r="AM250" s="168"/>
    </row>
    <row hidden="true" r="251">
      <c r="A251" s="152"/>
      <c r="B251" s="176" t="s">
        <v>137</v>
      </c>
      <c r="C251" s="190"/>
      <c r="D251" s="176">
        <f>SUM(D247:D250)</f>
      </c>
      <c r="E251" s="176">
        <f>SUM(E247:E250)</f>
      </c>
      <c r="F251" s="176">
        <f>SUM(F247:F250)</f>
      </c>
      <c r="G251" s="176">
        <f>SUM(G247:G250)</f>
      </c>
      <c r="H251" s="176">
        <f>SUM(H247:H250)</f>
      </c>
      <c r="I251" s="176">
        <f>SUM(I247:I250)</f>
      </c>
      <c r="J251" s="176">
        <f>SUM(J247:J250)</f>
      </c>
      <c r="K251" s="176">
        <f>SUM(K247:K250)</f>
      </c>
      <c r="L251" s="176">
        <f>SUM(L247:L250)</f>
      </c>
      <c r="M251" s="176">
        <f>SUM(M247:M250)</f>
      </c>
      <c r="N251" s="244">
        <f t="shared" si="22"/>
      </c>
      <c r="O251" s="244">
        <f t="shared" si="185"/>
      </c>
      <c r="P251" s="245">
        <f t="shared" si="127"/>
      </c>
      <c r="Q251" s="246">
        <f t="shared" si="301"/>
      </c>
      <c r="R251" s="247">
        <f t="shared" si="243"/>
      </c>
      <c r="S251" s="246">
        <f t="shared" si="330"/>
      </c>
      <c r="T251" s="179">
        <f t="shared" si="446"/>
      </c>
      <c r="U251" s="180">
        <f t="shared" si="388"/>
      </c>
      <c r="V251" s="179">
        <f t="shared" si="156"/>
      </c>
      <c r="W251" s="179">
        <f t="shared" si="98"/>
      </c>
      <c r="X251" s="180">
        <f t="shared" si="272"/>
      </c>
      <c r="Y251" s="181">
        <f t="shared" si="214"/>
      </c>
      <c r="Z251" s="180">
        <f t="shared" si="417"/>
      </c>
      <c r="AA251" s="182">
        <f t="shared" si="359"/>
      </c>
      <c r="AB251" s="182"/>
      <c r="AC251" s="189"/>
      <c r="AD251" s="190">
        <f>SUM(AD247:AD250)</f>
      </c>
      <c r="AE251" s="190">
        <f>SUM(AE247:AE250)</f>
      </c>
      <c r="AF251" s="190">
        <f>SUM(AF247:AF250)</f>
      </c>
      <c r="AG251" s="190">
        <f>SUM(AG247:AG250)</f>
      </c>
      <c r="AH251" s="190">
        <f>SUM(AH247:AH250)</f>
      </c>
      <c r="AI251" s="190">
        <f>SUM(AI247:AI250)</f>
      </c>
      <c r="AJ251" s="190">
        <f>SUM(AJ247:AJ250)</f>
      </c>
      <c r="AK251" s="190">
        <f>SUM(AK247:AK250)</f>
      </c>
      <c r="AL251" s="190">
        <f>SUM(AL247:AL250)</f>
      </c>
      <c r="AM251" s="191" t="s">
        <v>142</v>
      </c>
    </row>
    <row hidden="true" r="252">
      <c r="A252" s="152"/>
      <c r="B252" s="192" t="s">
        <v>143</v>
      </c>
      <c r="C252" s="192"/>
      <c r="D252" s="192">
        <f>D246+D251</f>
      </c>
      <c r="E252" s="192">
        <f>E246+E251</f>
      </c>
      <c r="F252" s="192">
        <f>F246+F251</f>
      </c>
      <c r="G252" s="192">
        <f>G246+G251</f>
      </c>
      <c r="H252" s="192">
        <f>H246+H251</f>
      </c>
      <c r="I252" s="192">
        <f>I246+I251</f>
      </c>
      <c r="J252" s="192">
        <f>J246+J251</f>
      </c>
      <c r="K252" s="192">
        <f>K246+K251</f>
      </c>
      <c r="L252" s="192">
        <f>L246+L251</f>
      </c>
      <c r="M252" s="192">
        <f>M246+M251</f>
      </c>
      <c r="N252" s="193">
        <f t="shared" si="22"/>
      </c>
      <c r="O252" s="193">
        <f t="shared" si="185"/>
      </c>
      <c r="P252" s="194">
        <f t="shared" si="127"/>
      </c>
      <c r="Q252" s="195">
        <f t="shared" si="301"/>
      </c>
      <c r="R252" s="193">
        <f t="shared" si="243"/>
      </c>
      <c r="S252" s="195">
        <f t="shared" si="330"/>
      </c>
      <c r="T252" s="195">
        <f t="shared" si="446"/>
      </c>
      <c r="U252" s="193">
        <f t="shared" si="388"/>
      </c>
      <c r="V252" s="195">
        <f t="shared" si="156"/>
      </c>
      <c r="W252" s="195">
        <f t="shared" si="98"/>
      </c>
      <c r="X252" s="193">
        <f t="shared" si="272"/>
      </c>
      <c r="Y252" s="196">
        <f t="shared" si="214"/>
      </c>
      <c r="Z252" s="193">
        <f t="shared" si="417"/>
      </c>
      <c r="AA252" s="194">
        <f t="shared" si="359"/>
      </c>
      <c r="AB252" s="194"/>
      <c r="AC252" s="194"/>
      <c r="AD252" s="197">
        <f>AD246+AD251</f>
      </c>
      <c r="AE252" s="197">
        <f>AE246+AE251</f>
      </c>
      <c r="AF252" s="197">
        <f>AF246+AF251</f>
      </c>
      <c r="AG252" s="197">
        <f>AG246+AG251</f>
      </c>
      <c r="AH252" s="197">
        <f>AH246+AH251</f>
      </c>
      <c r="AI252" s="197">
        <f>AI246+AI251</f>
      </c>
      <c r="AJ252" s="197">
        <f>AJ246+AJ251</f>
      </c>
      <c r="AK252" s="197">
        <f>AK246+AK251</f>
      </c>
      <c r="AL252" s="197">
        <f>AL246+AL251</f>
      </c>
      <c r="AM252" s="191"/>
    </row>
    <row customHeight="true" hidden="true" ht="18.452380952380953" r="253">
      <c r="A253" s="139" t="s">
        <v>87</v>
      </c>
      <c r="B253" s="139"/>
      <c r="C253" s="139"/>
      <c r="D253" s="135" t="s">
        <v>88</v>
      </c>
      <c r="E253" s="135"/>
      <c r="F253" s="135"/>
      <c r="G253" s="135"/>
      <c r="H253" s="135"/>
      <c r="I253" s="135"/>
      <c r="J253" s="135"/>
      <c r="K253" s="135"/>
      <c r="L253" s="135"/>
      <c r="M253" s="135"/>
      <c r="N253" s="135"/>
      <c r="O253" s="135"/>
      <c r="P253" s="136" t="s">
        <v>89</v>
      </c>
      <c r="Q253" s="136"/>
      <c r="R253" s="136"/>
      <c r="S253" s="136"/>
      <c r="T253" s="136"/>
      <c r="U253" s="136"/>
      <c r="V253" s="136"/>
      <c r="W253" s="136"/>
      <c r="X253" s="136"/>
      <c r="Y253" s="136"/>
      <c r="Z253" s="136"/>
      <c r="AA253" s="136"/>
      <c r="AB253" s="136"/>
      <c r="AC253" s="136"/>
      <c r="AD253" s="137" t="s">
        <v>90</v>
      </c>
      <c r="AE253" s="137"/>
      <c r="AF253" s="137"/>
      <c r="AG253" s="137"/>
      <c r="AH253" s="137"/>
      <c r="AI253" s="137"/>
      <c r="AJ253" s="137"/>
      <c r="AK253" s="137"/>
      <c r="AL253" s="137"/>
      <c r="AM253" s="138"/>
    </row>
    <row hidden="true" r="254">
      <c r="A254" s="139" t="s">
        <v>91</v>
      </c>
      <c r="B254" s="140" t="s">
        <v>92</v>
      </c>
      <c r="C254" s="140" t="s">
        <v>93</v>
      </c>
      <c r="D254" s="141" t="s">
        <v>94</v>
      </c>
      <c r="E254" s="142" t="s">
        <v>95</v>
      </c>
      <c r="F254" s="142" t="s">
        <v>96</v>
      </c>
      <c r="G254" s="143" t="s">
        <v>97</v>
      </c>
      <c r="H254" s="215" t="s">
        <v>98</v>
      </c>
      <c r="I254" s="219" t="s">
        <v>99</v>
      </c>
      <c r="J254" s="206" t="s">
        <v>100</v>
      </c>
      <c r="K254" s="135" t="s">
        <v>101</v>
      </c>
      <c r="L254" s="146" t="s">
        <v>102</v>
      </c>
      <c r="M254" s="146" t="s">
        <v>103</v>
      </c>
      <c r="N254" s="143" t="s">
        <v>104</v>
      </c>
      <c r="O254" s="146" t="s">
        <v>105</v>
      </c>
      <c r="P254" s="136" t="s">
        <v>106</v>
      </c>
      <c r="Q254" s="136" t="s">
        <v>107</v>
      </c>
      <c r="R254" s="136" t="s">
        <v>108</v>
      </c>
      <c r="S254" s="147" t="s">
        <v>109</v>
      </c>
      <c r="T254" s="147" t="s">
        <v>110</v>
      </c>
      <c r="U254" s="136" t="s">
        <v>111</v>
      </c>
      <c r="V254" s="147" t="s">
        <v>112</v>
      </c>
      <c r="W254" s="147" t="s">
        <v>113</v>
      </c>
      <c r="X254" s="136" t="s">
        <v>114</v>
      </c>
      <c r="Y254" s="147" t="s">
        <v>115</v>
      </c>
      <c r="Z254" s="136" t="s">
        <v>116</v>
      </c>
      <c r="AA254" s="148" t="s">
        <v>117</v>
      </c>
      <c r="AB254" s="148" t="s">
        <v>118</v>
      </c>
      <c r="AC254" s="148" t="s">
        <v>119</v>
      </c>
      <c r="AD254" s="149" t="s">
        <v>120</v>
      </c>
      <c r="AE254" s="150" t="s">
        <v>121</v>
      </c>
      <c r="AF254" s="150" t="s">
        <v>122</v>
      </c>
      <c r="AG254" s="150" t="s">
        <v>123</v>
      </c>
      <c r="AH254" s="150" t="s">
        <v>124</v>
      </c>
      <c r="AI254" s="150" t="s">
        <v>125</v>
      </c>
      <c r="AJ254" s="151" t="s">
        <v>126</v>
      </c>
      <c r="AK254" s="151" t="s">
        <v>127</v>
      </c>
      <c r="AL254" s="151" t="s">
        <v>128</v>
      </c>
      <c r="AM254" s="138"/>
    </row>
    <row hidden="true" r="255">
      <c r="A255" s="152" t="s">
        <v>180</v>
      </c>
      <c r="B255" s="153" t="s">
        <v>130</v>
      </c>
      <c r="C255" s="154" t="s">
        <v>131</v>
      </c>
      <c r="D255" s="154">
        <f t="shared" ref="D255:D258" si="64">E255+F255+G255+H255</f>
      </c>
      <c r="E255" s="155">
        <v>1870.43</v>
      </c>
      <c r="F255" s="156">
        <v>653.3</v>
      </c>
      <c r="G255" s="157"/>
      <c r="H255" s="155">
        <v>793.25</v>
      </c>
      <c r="I255" s="208">
        <v>3</v>
      </c>
      <c r="J255" s="208">
        <v>5405</v>
      </c>
      <c r="K255" s="208">
        <v>0</v>
      </c>
      <c r="L255" s="208">
        <v>1</v>
      </c>
      <c r="M255" s="208">
        <v>2</v>
      </c>
      <c r="N255" s="159">
        <f t="shared" ref="N255:N265" si="23">J255/D255</f>
      </c>
      <c r="O255" s="159">
        <f t="shared" ref="O255:O265" si="186">J255/(D255+300*AL255)</f>
      </c>
      <c r="P255" s="160">
        <f t="shared" ref="P255:P265" si="128">(D255/AE255)*1000</f>
      </c>
      <c r="Q255" s="161">
        <f t="shared" ref="Q255:Q265" si="302">AF255/AE255</f>
      </c>
      <c r="R255" s="162">
        <f t="shared" ref="R255:R265" si="244">D255/AG255</f>
      </c>
      <c r="S255" s="161">
        <f t="shared" ref="S255:S265" si="331">AH255/AG255</f>
      </c>
      <c r="T255" s="161">
        <f t="shared" ref="T255:T265" si="447">AI255/AG255</f>
      </c>
      <c r="U255" s="162">
        <f t="shared" ref="U255:U265" si="389">D255/AI255</f>
      </c>
      <c r="V255" s="161">
        <f t="shared" ref="V255:V265" si="157">AJ255/AI255</f>
      </c>
      <c r="W255" s="161">
        <f t="shared" ref="W255:W265" si="99">I255/AJ255</f>
      </c>
      <c r="X255" s="162">
        <f t="shared" ref="X255:X265" si="273">D255/I255</f>
      </c>
      <c r="Y255" s="163">
        <f t="shared" ref="Y255:Y265" si="215">J255/I255</f>
      </c>
      <c r="Z255" s="162">
        <f t="shared" ref="Z255:Z265" si="418">D255/AD255</f>
      </c>
      <c r="AA255" s="164">
        <f t="shared" ref="AA255:AA265" si="360">AK255*1000/D255</f>
      </c>
      <c r="AB255" s="165" t="s">
        <v>132</v>
      </c>
      <c r="AC255" s="166" t="s">
        <v>181</v>
      </c>
      <c r="AD255" s="209">
        <v>3</v>
      </c>
      <c r="AE255" s="233">
        <v>7234</v>
      </c>
      <c r="AF255" s="209">
        <v>305</v>
      </c>
      <c r="AG255" s="157">
        <v>376</v>
      </c>
      <c r="AH255" s="157">
        <v>76</v>
      </c>
      <c r="AI255" s="153">
        <v>28</v>
      </c>
      <c r="AJ255" s="158">
        <v>5</v>
      </c>
      <c r="AK255" s="156">
        <v>22</v>
      </c>
      <c r="AL255" s="175">
        <v>1</v>
      </c>
      <c r="AM255" s="168"/>
    </row>
    <row hidden="true" r="256">
      <c r="A256" s="152"/>
      <c r="B256" s="169" t="s">
        <v>134</v>
      </c>
      <c r="C256" s="234" t="s">
        <v>131</v>
      </c>
      <c r="D256" s="157">
        <f t="shared" si="64"/>
      </c>
      <c r="E256" s="158">
        <v>1614.05</v>
      </c>
      <c r="F256" s="170">
        <v>545.68</v>
      </c>
      <c r="G256" s="153"/>
      <c r="H256" s="155">
        <v>786.24</v>
      </c>
      <c r="I256" s="218">
        <v>3</v>
      </c>
      <c r="J256" s="209">
        <v>4456</v>
      </c>
      <c r="K256" s="158">
        <v>0</v>
      </c>
      <c r="L256" s="156">
        <v>0</v>
      </c>
      <c r="M256" s="156">
        <v>2</v>
      </c>
      <c r="N256" s="159">
        <f t="shared" si="23"/>
      </c>
      <c r="O256" s="159">
        <f t="shared" si="186"/>
      </c>
      <c r="P256" s="160">
        <f t="shared" si="128"/>
      </c>
      <c r="Q256" s="161">
        <f t="shared" si="302"/>
      </c>
      <c r="R256" s="162">
        <f t="shared" si="244"/>
      </c>
      <c r="S256" s="161">
        <f t="shared" si="331"/>
      </c>
      <c r="T256" s="161">
        <f t="shared" si="447"/>
      </c>
      <c r="U256" s="162">
        <f t="shared" si="389"/>
      </c>
      <c r="V256" s="161">
        <f t="shared" si="157"/>
      </c>
      <c r="W256" s="161">
        <f t="shared" si="99"/>
      </c>
      <c r="X256" s="162">
        <f t="shared" si="273"/>
      </c>
      <c r="Y256" s="163">
        <f t="shared" si="215"/>
      </c>
      <c r="Z256" s="162">
        <f t="shared" si="418"/>
      </c>
      <c r="AA256" s="164">
        <f t="shared" si="360"/>
      </c>
      <c r="AB256" s="165" t="s">
        <v>132</v>
      </c>
      <c r="AC256" s="166" t="s">
        <v>181</v>
      </c>
      <c r="AD256" s="208">
        <v>3</v>
      </c>
      <c r="AE256" s="172">
        <v>7174</v>
      </c>
      <c r="AF256" s="172">
        <v>222</v>
      </c>
      <c r="AG256" s="171">
        <v>289</v>
      </c>
      <c r="AH256" s="153">
        <v>55</v>
      </c>
      <c r="AI256" s="153">
        <v>28</v>
      </c>
      <c r="AJ256" s="201">
        <v>4</v>
      </c>
      <c r="AK256" s="210">
        <v>8</v>
      </c>
      <c r="AL256" s="175">
        <v>1</v>
      </c>
      <c r="AM256" s="168"/>
    </row>
    <row hidden="true" r="257">
      <c r="A257" s="152"/>
      <c r="B257" s="169" t="s">
        <v>135</v>
      </c>
      <c r="C257" s="209" t="s">
        <v>131</v>
      </c>
      <c r="D257" s="157">
        <f t="shared" si="64"/>
      </c>
      <c r="E257" s="158">
        <v>2445.85</v>
      </c>
      <c r="F257" s="158">
        <v>633.48</v>
      </c>
      <c r="G257" s="153"/>
      <c r="H257" s="156">
        <v>256.25</v>
      </c>
      <c r="I257" s="184">
        <v>2</v>
      </c>
      <c r="J257" s="171">
        <v>4536</v>
      </c>
      <c r="K257" s="156">
        <v>0</v>
      </c>
      <c r="L257" s="156">
        <v>0</v>
      </c>
      <c r="M257" s="156">
        <v>2</v>
      </c>
      <c r="N257" s="159">
        <f t="shared" si="23"/>
      </c>
      <c r="O257" s="159">
        <f t="shared" si="186"/>
      </c>
      <c r="P257" s="160">
        <f t="shared" si="128"/>
      </c>
      <c r="Q257" s="161">
        <f t="shared" si="302"/>
      </c>
      <c r="R257" s="162">
        <f t="shared" si="244"/>
      </c>
      <c r="S257" s="161">
        <f t="shared" si="331"/>
      </c>
      <c r="T257" s="161">
        <f t="shared" si="447"/>
      </c>
      <c r="U257" s="162">
        <f t="shared" si="389"/>
      </c>
      <c r="V257" s="161">
        <f t="shared" si="157"/>
      </c>
      <c r="W257" s="161">
        <f t="shared" si="99"/>
      </c>
      <c r="X257" s="162">
        <f t="shared" si="273"/>
      </c>
      <c r="Y257" s="163">
        <f t="shared" si="215"/>
      </c>
      <c r="Z257" s="162">
        <f t="shared" si="418"/>
      </c>
      <c r="AA257" s="164">
        <f t="shared" si="360"/>
      </c>
      <c r="AB257" s="165" t="s">
        <v>132</v>
      </c>
      <c r="AC257" s="166" t="s">
        <v>181</v>
      </c>
      <c r="AD257" s="208">
        <v>2</v>
      </c>
      <c r="AE257" s="157">
        <v>9638</v>
      </c>
      <c r="AF257" s="157">
        <v>288</v>
      </c>
      <c r="AG257" s="153">
        <v>381</v>
      </c>
      <c r="AH257" s="153">
        <v>94</v>
      </c>
      <c r="AI257" s="153">
        <v>36</v>
      </c>
      <c r="AJ257" s="201">
        <v>10</v>
      </c>
      <c r="AK257" s="210">
        <v>12</v>
      </c>
      <c r="AL257" s="175">
        <v>1</v>
      </c>
      <c r="AM257" s="168"/>
    </row>
    <row hidden="true" r="258">
      <c r="A258" s="152"/>
      <c r="B258" s="169" t="s">
        <v>136</v>
      </c>
      <c r="C258" s="171" t="s">
        <v>131</v>
      </c>
      <c r="D258" s="157">
        <f t="shared" si="64"/>
      </c>
      <c r="E258" s="158">
        <v>2880.49</v>
      </c>
      <c r="F258" s="158">
        <v>353.67</v>
      </c>
      <c r="G258" s="153"/>
      <c r="H258" s="156">
        <v>104.84</v>
      </c>
      <c r="I258" s="156">
        <v>3</v>
      </c>
      <c r="J258" s="156">
        <v>3204</v>
      </c>
      <c r="K258" s="156">
        <v>2</v>
      </c>
      <c r="L258" s="156">
        <v>0</v>
      </c>
      <c r="M258" s="156">
        <v>1</v>
      </c>
      <c r="N258" s="159">
        <f t="shared" si="23"/>
      </c>
      <c r="O258" s="159">
        <f t="shared" si="186"/>
      </c>
      <c r="P258" s="160">
        <f t="shared" si="128"/>
      </c>
      <c r="Q258" s="161">
        <f t="shared" si="302"/>
      </c>
      <c r="R258" s="162">
        <f t="shared" si="244"/>
      </c>
      <c r="S258" s="161">
        <f t="shared" si="331"/>
      </c>
      <c r="T258" s="161">
        <f t="shared" si="447"/>
      </c>
      <c r="U258" s="162">
        <f t="shared" si="389"/>
      </c>
      <c r="V258" s="161">
        <f t="shared" si="157"/>
      </c>
      <c r="W258" s="161">
        <f t="shared" si="99"/>
      </c>
      <c r="X258" s="162">
        <f t="shared" si="273"/>
      </c>
      <c r="Y258" s="163">
        <f t="shared" si="215"/>
      </c>
      <c r="Z258" s="162">
        <f t="shared" si="418"/>
      </c>
      <c r="AA258" s="164">
        <f t="shared" si="360"/>
      </c>
      <c r="AB258" s="165" t="s">
        <v>132</v>
      </c>
      <c r="AC258" s="166" t="s">
        <v>181</v>
      </c>
      <c r="AD258" s="218">
        <v>3</v>
      </c>
      <c r="AE258" s="172">
        <v>9567</v>
      </c>
      <c r="AF258" s="153">
        <v>238</v>
      </c>
      <c r="AG258" s="153">
        <v>332</v>
      </c>
      <c r="AH258" s="153">
        <v>58</v>
      </c>
      <c r="AI258" s="153">
        <v>16</v>
      </c>
      <c r="AJ258" s="201">
        <v>4</v>
      </c>
      <c r="AK258" s="210">
        <v>13</v>
      </c>
      <c r="AL258" s="175">
        <v>1</v>
      </c>
      <c r="AM258" s="168"/>
    </row>
    <row hidden="true" r="259">
      <c r="A259" s="152"/>
      <c r="B259" s="176" t="s">
        <v>137</v>
      </c>
      <c r="C259" s="176"/>
      <c r="D259" s="176">
        <f>SUM(D255:D258)</f>
      </c>
      <c r="E259" s="176">
        <f>SUM(E255:E258)</f>
      </c>
      <c r="F259" s="176">
        <f>SUM(F255:F258)</f>
      </c>
      <c r="G259" s="176">
        <f>SUM(G255:G258)</f>
      </c>
      <c r="H259" s="176">
        <f>SUM(H255:H258)</f>
      </c>
      <c r="I259" s="176">
        <f>SUM(I255:I258)</f>
      </c>
      <c r="J259" s="176">
        <f>SUM(J255:J258)</f>
      </c>
      <c r="K259" s="176">
        <f>SUM(K255:K258)</f>
      </c>
      <c r="L259" s="176">
        <f>SUM(L255:L258)</f>
      </c>
      <c r="M259" s="176">
        <f>SUM(M255:M258)</f>
      </c>
      <c r="N259" s="177">
        <f t="shared" si="23"/>
      </c>
      <c r="O259" s="253">
        <f t="shared" si="186"/>
      </c>
      <c r="P259" s="254">
        <f t="shared" si="128"/>
      </c>
      <c r="Q259" s="255">
        <f t="shared" si="302"/>
      </c>
      <c r="R259" s="256">
        <f t="shared" si="244"/>
      </c>
      <c r="S259" s="255">
        <f t="shared" si="331"/>
      </c>
      <c r="T259" s="179">
        <f t="shared" si="447"/>
      </c>
      <c r="U259" s="180">
        <f t="shared" si="389"/>
      </c>
      <c r="V259" s="179">
        <f t="shared" si="157"/>
      </c>
      <c r="W259" s="179">
        <f t="shared" si="99"/>
      </c>
      <c r="X259" s="180">
        <f t="shared" si="273"/>
      </c>
      <c r="Y259" s="181">
        <f t="shared" si="215"/>
      </c>
      <c r="Z259" s="180">
        <f t="shared" si="418"/>
      </c>
      <c r="AA259" s="182">
        <f t="shared" si="360"/>
      </c>
      <c r="AB259" s="182"/>
      <c r="AC259" s="189"/>
      <c r="AD259" s="211">
        <f>SUM(AD255:AD258)</f>
      </c>
      <c r="AE259" s="183">
        <f>SUM(AE255:AE258)</f>
      </c>
      <c r="AF259" s="183">
        <f>SUM(AF255:AF258)</f>
      </c>
      <c r="AG259" s="183">
        <f>SUM(AG255:AG258)</f>
      </c>
      <c r="AH259" s="183">
        <f>SUM(AH255:AH258)</f>
      </c>
      <c r="AI259" s="183">
        <f>SUM(AI255:AI258)</f>
      </c>
      <c r="AJ259" s="183">
        <f>SUM(AJ255:AJ258)</f>
      </c>
      <c r="AK259" s="183">
        <f>SUM(AK255:AK258)</f>
      </c>
      <c r="AL259" s="183">
        <f>SUM(AL255:AL258)</f>
      </c>
      <c r="AM259" s="168"/>
    </row>
    <row hidden="true" r="260">
      <c r="A260" s="152"/>
      <c r="B260" s="184" t="s">
        <v>145</v>
      </c>
      <c r="C260" s="154" t="s">
        <v>139</v>
      </c>
      <c r="D260" s="153">
        <f t="shared" ref="D260:D263" si="65">E260+F260+G260+H260</f>
      </c>
      <c r="E260" s="156">
        <v>2382.88</v>
      </c>
      <c r="F260" s="158">
        <v>254.3</v>
      </c>
      <c r="G260" s="153"/>
      <c r="H260" s="156">
        <v>196.29</v>
      </c>
      <c r="I260" s="156">
        <v>3</v>
      </c>
      <c r="J260" s="153">
        <v>6804</v>
      </c>
      <c r="K260" s="156">
        <v>0</v>
      </c>
      <c r="L260" s="156">
        <v>0</v>
      </c>
      <c r="M260" s="186">
        <v>3</v>
      </c>
      <c r="N260" s="257">
        <f t="shared" si="23"/>
      </c>
      <c r="O260" s="239">
        <f t="shared" si="186"/>
      </c>
      <c r="P260" s="240">
        <f t="shared" si="128"/>
      </c>
      <c r="Q260" s="241">
        <f t="shared" si="302"/>
      </c>
      <c r="R260" s="242">
        <f t="shared" si="244"/>
      </c>
      <c r="S260" s="241">
        <f t="shared" si="331"/>
      </c>
      <c r="T260" s="243">
        <f t="shared" si="447"/>
      </c>
      <c r="U260" s="162">
        <f t="shared" si="389"/>
      </c>
      <c r="V260" s="161">
        <f t="shared" si="157"/>
      </c>
      <c r="W260" s="161">
        <f t="shared" si="99"/>
      </c>
      <c r="X260" s="162">
        <f t="shared" si="273"/>
      </c>
      <c r="Y260" s="163">
        <f t="shared" si="215"/>
      </c>
      <c r="Z260" s="162">
        <f t="shared" si="418"/>
      </c>
      <c r="AA260" s="164">
        <f t="shared" si="360"/>
      </c>
      <c r="AB260" s="165" t="s">
        <v>132</v>
      </c>
      <c r="AC260" s="166" t="s">
        <v>181</v>
      </c>
      <c r="AD260" s="208">
        <v>3</v>
      </c>
      <c r="AE260" s="185">
        <v>9841</v>
      </c>
      <c r="AF260" s="167">
        <v>264</v>
      </c>
      <c r="AG260" s="167">
        <v>347</v>
      </c>
      <c r="AH260" s="167">
        <v>66</v>
      </c>
      <c r="AI260" s="167">
        <v>11</v>
      </c>
      <c r="AJ260" s="175">
        <v>5</v>
      </c>
      <c r="AK260" s="175">
        <v>14</v>
      </c>
      <c r="AL260" s="175">
        <v>1</v>
      </c>
      <c r="AM260" s="168"/>
    </row>
    <row hidden="true" r="261">
      <c r="A261" s="152"/>
      <c r="B261" s="171" t="s">
        <v>140</v>
      </c>
      <c r="C261" s="154" t="s">
        <v>139</v>
      </c>
      <c r="D261" s="153">
        <f t="shared" si="65"/>
      </c>
      <c r="E261" s="156">
        <v>2909.6</v>
      </c>
      <c r="F261" s="158">
        <v>506.96</v>
      </c>
      <c r="G261" s="153"/>
      <c r="H261" s="156">
        <v>274.47</v>
      </c>
      <c r="I261" s="156">
        <v>4</v>
      </c>
      <c r="J261" s="153">
        <v>9072</v>
      </c>
      <c r="K261" s="156">
        <v>0</v>
      </c>
      <c r="L261" s="156">
        <v>0</v>
      </c>
      <c r="M261" s="186">
        <v>4</v>
      </c>
      <c r="N261" s="257">
        <f t="shared" si="23"/>
      </c>
      <c r="O261" s="239">
        <f t="shared" si="186"/>
      </c>
      <c r="P261" s="240">
        <f t="shared" si="128"/>
      </c>
      <c r="Q261" s="241">
        <f t="shared" si="302"/>
      </c>
      <c r="R261" s="242">
        <f t="shared" si="244"/>
      </c>
      <c r="S261" s="241">
        <f t="shared" si="331"/>
      </c>
      <c r="T261" s="243">
        <f t="shared" si="447"/>
      </c>
      <c r="U261" s="162">
        <f t="shared" si="389"/>
      </c>
      <c r="V261" s="161">
        <f t="shared" si="157"/>
      </c>
      <c r="W261" s="161">
        <f t="shared" si="99"/>
      </c>
      <c r="X261" s="162">
        <f t="shared" si="273"/>
      </c>
      <c r="Y261" s="163">
        <f t="shared" si="215"/>
      </c>
      <c r="Z261" s="162">
        <f t="shared" si="418"/>
      </c>
      <c r="AA261" s="164">
        <f t="shared" si="360"/>
      </c>
      <c r="AB261" s="165" t="s">
        <v>132</v>
      </c>
      <c r="AC261" s="166" t="s">
        <v>181</v>
      </c>
      <c r="AD261" s="208">
        <v>4</v>
      </c>
      <c r="AE261" s="185">
        <v>11101</v>
      </c>
      <c r="AF261" s="167">
        <v>327</v>
      </c>
      <c r="AG261" s="167">
        <v>429</v>
      </c>
      <c r="AH261" s="167">
        <v>111</v>
      </c>
      <c r="AI261" s="167">
        <v>16</v>
      </c>
      <c r="AJ261" s="175">
        <v>12</v>
      </c>
      <c r="AK261" s="175">
        <v>21</v>
      </c>
      <c r="AL261" s="175">
        <v>1</v>
      </c>
      <c r="AM261" s="168"/>
    </row>
    <row hidden="true" r="262">
      <c r="A262" s="152"/>
      <c r="B262" s="156" t="s">
        <v>141</v>
      </c>
      <c r="C262" s="154" t="s">
        <v>139</v>
      </c>
      <c r="D262" s="153">
        <f t="shared" si="65"/>
      </c>
      <c r="E262" s="156">
        <v>3316.39</v>
      </c>
      <c r="F262" s="158">
        <v>101.71</v>
      </c>
      <c r="G262" s="153"/>
      <c r="H262" s="156">
        <v>935.92</v>
      </c>
      <c r="I262" s="156">
        <v>4</v>
      </c>
      <c r="J262" s="156">
        <v>8696</v>
      </c>
      <c r="K262" s="156">
        <v>0</v>
      </c>
      <c r="L262" s="156">
        <v>0</v>
      </c>
      <c r="M262" s="156">
        <v>4</v>
      </c>
      <c r="N262" s="251">
        <f t="shared" si="23"/>
      </c>
      <c r="O262" s="239">
        <f t="shared" si="186"/>
      </c>
      <c r="P262" s="240">
        <f t="shared" si="128"/>
      </c>
      <c r="Q262" s="241">
        <f t="shared" si="302"/>
      </c>
      <c r="R262" s="242">
        <f t="shared" si="244"/>
      </c>
      <c r="S262" s="241">
        <f t="shared" si="331"/>
      </c>
      <c r="T262" s="243">
        <f t="shared" si="447"/>
      </c>
      <c r="U262" s="162">
        <f t="shared" si="389"/>
      </c>
      <c r="V262" s="161">
        <f t="shared" si="157"/>
      </c>
      <c r="W262" s="161">
        <f t="shared" si="99"/>
      </c>
      <c r="X262" s="162">
        <f t="shared" si="273"/>
      </c>
      <c r="Y262" s="163">
        <f t="shared" si="215"/>
      </c>
      <c r="Z262" s="162">
        <f t="shared" si="418"/>
      </c>
      <c r="AA262" s="164">
        <f t="shared" si="360"/>
      </c>
      <c r="AB262" s="165" t="s">
        <v>132</v>
      </c>
      <c r="AC262" s="166" t="s">
        <v>181</v>
      </c>
      <c r="AD262" s="208">
        <v>3</v>
      </c>
      <c r="AE262" s="185">
        <v>12436</v>
      </c>
      <c r="AF262" s="167">
        <v>334</v>
      </c>
      <c r="AG262" s="167">
        <v>444</v>
      </c>
      <c r="AH262" s="167">
        <v>101</v>
      </c>
      <c r="AI262" s="167">
        <v>20</v>
      </c>
      <c r="AJ262" s="175">
        <v>13</v>
      </c>
      <c r="AK262" s="175">
        <v>27</v>
      </c>
      <c r="AL262" s="175">
        <v>1</v>
      </c>
      <c r="AM262" s="168"/>
    </row>
    <row hidden="true" r="263">
      <c r="A263" s="152"/>
      <c r="B263" s="155" t="s">
        <v>150</v>
      </c>
      <c r="C263" s="209" t="s">
        <v>139</v>
      </c>
      <c r="D263" s="157">
        <f t="shared" si="65"/>
      </c>
      <c r="E263" s="156">
        <v>3512.09</v>
      </c>
      <c r="F263" s="158">
        <v>113.89</v>
      </c>
      <c r="G263" s="153"/>
      <c r="H263" s="156">
        <v>548.66</v>
      </c>
      <c r="I263" s="156">
        <v>3</v>
      </c>
      <c r="J263" s="153">
        <v>6804</v>
      </c>
      <c r="K263" s="156">
        <v>0</v>
      </c>
      <c r="L263" s="155">
        <v>0</v>
      </c>
      <c r="M263" s="250">
        <v>3</v>
      </c>
      <c r="N263" s="251">
        <f t="shared" si="23"/>
      </c>
      <c r="O263" s="239">
        <f t="shared" si="186"/>
      </c>
      <c r="P263" s="240">
        <f t="shared" si="128"/>
      </c>
      <c r="Q263" s="241">
        <f t="shared" si="302"/>
      </c>
      <c r="R263" s="242">
        <f t="shared" si="244"/>
      </c>
      <c r="S263" s="241">
        <f t="shared" si="331"/>
      </c>
      <c r="T263" s="243">
        <f t="shared" si="447"/>
      </c>
      <c r="U263" s="162">
        <f t="shared" si="389"/>
      </c>
      <c r="V263" s="161">
        <f t="shared" si="157"/>
      </c>
      <c r="W263" s="161">
        <f t="shared" si="99"/>
      </c>
      <c r="X263" s="162">
        <f t="shared" si="273"/>
      </c>
      <c r="Y263" s="163">
        <f t="shared" si="215"/>
      </c>
      <c r="Z263" s="162">
        <f t="shared" si="418"/>
      </c>
      <c r="AA263" s="164">
        <f t="shared" si="360"/>
      </c>
      <c r="AB263" s="165" t="s">
        <v>132</v>
      </c>
      <c r="AC263" s="166" t="s">
        <v>181</v>
      </c>
      <c r="AD263" s="208">
        <v>3</v>
      </c>
      <c r="AE263" s="185">
        <v>13430</v>
      </c>
      <c r="AF263" s="167">
        <v>346</v>
      </c>
      <c r="AG263" s="167">
        <v>459</v>
      </c>
      <c r="AH263" s="167">
        <v>108</v>
      </c>
      <c r="AI263" s="167">
        <v>22</v>
      </c>
      <c r="AJ263" s="175">
        <v>8</v>
      </c>
      <c r="AK263" s="175">
        <v>14</v>
      </c>
      <c r="AL263" s="175">
        <v>1</v>
      </c>
      <c r="AM263" s="168"/>
    </row>
    <row hidden="true" r="264">
      <c r="A264" s="152"/>
      <c r="B264" s="176" t="s">
        <v>137</v>
      </c>
      <c r="C264" s="176"/>
      <c r="D264" s="176">
        <f>SUM(D260:D263)</f>
      </c>
      <c r="E264" s="176">
        <f>SUM(E260:E263)</f>
      </c>
      <c r="F264" s="176">
        <f>SUM(F260:F263)</f>
      </c>
      <c r="G264" s="176">
        <f>SUM(G260:G263)</f>
      </c>
      <c r="H264" s="176">
        <f>SUM(H260:H263)</f>
      </c>
      <c r="I264" s="176">
        <f>SUM(I260:I263)</f>
      </c>
      <c r="J264" s="176">
        <f>SUM(J260:J263)</f>
      </c>
      <c r="K264" s="176">
        <f>SUM(K260:K263)</f>
      </c>
      <c r="L264" s="176">
        <f>SUM(L260:L263)</f>
      </c>
      <c r="M264" s="176">
        <f>SUM(M260:M263)</f>
      </c>
      <c r="N264" s="244">
        <f t="shared" si="23"/>
      </c>
      <c r="O264" s="244">
        <f t="shared" si="186"/>
      </c>
      <c r="P264" s="245">
        <f t="shared" si="128"/>
      </c>
      <c r="Q264" s="246">
        <f t="shared" si="302"/>
      </c>
      <c r="R264" s="247">
        <f t="shared" si="244"/>
      </c>
      <c r="S264" s="246">
        <f t="shared" si="331"/>
      </c>
      <c r="T264" s="179">
        <f t="shared" si="447"/>
      </c>
      <c r="U264" s="180">
        <f t="shared" si="389"/>
      </c>
      <c r="V264" s="179">
        <f t="shared" si="157"/>
      </c>
      <c r="W264" s="179">
        <f t="shared" si="99"/>
      </c>
      <c r="X264" s="180">
        <f t="shared" si="273"/>
      </c>
      <c r="Y264" s="181">
        <f t="shared" si="215"/>
      </c>
      <c r="Z264" s="180">
        <f t="shared" si="418"/>
      </c>
      <c r="AA264" s="182">
        <f t="shared" si="360"/>
      </c>
      <c r="AB264" s="182"/>
      <c r="AC264" s="189"/>
      <c r="AD264" s="190">
        <f>SUM(AD260:AD263)</f>
      </c>
      <c r="AE264" s="190">
        <f>SUM(AE260:AE263)</f>
      </c>
      <c r="AF264" s="190">
        <f>SUM(AF260:AF263)</f>
      </c>
      <c r="AG264" s="190">
        <f>SUM(AG260:AG263)</f>
      </c>
      <c r="AH264" s="190">
        <f>SUM(AH260:AH263)</f>
      </c>
      <c r="AI264" s="190">
        <f>SUM(AI260:AI263)</f>
      </c>
      <c r="AJ264" s="190">
        <f>SUM(AJ260:AJ263)</f>
      </c>
      <c r="AK264" s="190">
        <f>SUM(AK260:AK263)</f>
      </c>
      <c r="AL264" s="190">
        <f>SUM(AL260:AL263)</f>
      </c>
      <c r="AM264" s="191" t="s">
        <v>142</v>
      </c>
    </row>
    <row hidden="true" r="265">
      <c r="A265" s="152"/>
      <c r="B265" s="192" t="s">
        <v>143</v>
      </c>
      <c r="C265" s="192"/>
      <c r="D265" s="192">
        <f>D259+D264</f>
      </c>
      <c r="E265" s="192">
        <f>E259+E264</f>
      </c>
      <c r="F265" s="192">
        <f>F259+F264</f>
      </c>
      <c r="G265" s="192">
        <f>G259+G264</f>
      </c>
      <c r="H265" s="192">
        <f>H259+H264</f>
      </c>
      <c r="I265" s="192">
        <f>I259+I264</f>
      </c>
      <c r="J265" s="192">
        <f>J259+J264</f>
      </c>
      <c r="K265" s="192">
        <f>K259+K264</f>
      </c>
      <c r="L265" s="192">
        <f>L259+L264</f>
      </c>
      <c r="M265" s="192">
        <f>M259+M264</f>
      </c>
      <c r="N265" s="193">
        <f t="shared" si="23"/>
      </c>
      <c r="O265" s="193">
        <f t="shared" si="186"/>
      </c>
      <c r="P265" s="194">
        <f t="shared" si="128"/>
      </c>
      <c r="Q265" s="195">
        <f t="shared" si="302"/>
      </c>
      <c r="R265" s="193">
        <f t="shared" si="244"/>
      </c>
      <c r="S265" s="195">
        <f t="shared" si="331"/>
      </c>
      <c r="T265" s="195">
        <f t="shared" si="447"/>
      </c>
      <c r="U265" s="193">
        <f t="shared" si="389"/>
      </c>
      <c r="V265" s="195">
        <f t="shared" si="157"/>
      </c>
      <c r="W265" s="195">
        <f t="shared" si="99"/>
      </c>
      <c r="X265" s="193">
        <f t="shared" si="273"/>
      </c>
      <c r="Y265" s="196">
        <f t="shared" si="215"/>
      </c>
      <c r="Z265" s="193">
        <f t="shared" si="418"/>
      </c>
      <c r="AA265" s="194">
        <f t="shared" si="360"/>
      </c>
      <c r="AB265" s="194"/>
      <c r="AC265" s="194"/>
      <c r="AD265" s="197">
        <f>AD259+AD264</f>
      </c>
      <c r="AE265" s="197">
        <f>AE259+AE264</f>
      </c>
      <c r="AF265" s="197">
        <f>AF259+AF264</f>
      </c>
      <c r="AG265" s="197">
        <f>AG259+AG264</f>
      </c>
      <c r="AH265" s="197">
        <f>AH259+AH264</f>
      </c>
      <c r="AI265" s="197">
        <f>AI259+AI264</f>
      </c>
      <c r="AJ265" s="197">
        <f>AJ259+AJ264</f>
      </c>
      <c r="AK265" s="197">
        <f>AK259+AK264</f>
      </c>
      <c r="AL265" s="197">
        <f>AL259+AL264</f>
      </c>
      <c r="AM265" s="191"/>
    </row>
    <row hidden="true" r="266">
      <c r="A266" s="139" t="s">
        <v>87</v>
      </c>
      <c r="B266" s="139"/>
      <c r="C266" s="139"/>
      <c r="D266" s="135" t="s">
        <v>88</v>
      </c>
      <c r="E266" s="135"/>
      <c r="F266" s="135"/>
      <c r="G266" s="135"/>
      <c r="H266" s="135"/>
      <c r="I266" s="135"/>
      <c r="J266" s="135"/>
      <c r="K266" s="135"/>
      <c r="L266" s="135"/>
      <c r="M266" s="135"/>
      <c r="N266" s="135"/>
      <c r="O266" s="135"/>
      <c r="P266" s="136" t="s">
        <v>89</v>
      </c>
      <c r="Q266" s="136"/>
      <c r="R266" s="136"/>
      <c r="S266" s="136"/>
      <c r="T266" s="136"/>
      <c r="U266" s="136"/>
      <c r="V266" s="136"/>
      <c r="W266" s="136"/>
      <c r="X266" s="136"/>
      <c r="Y266" s="136"/>
      <c r="Z266" s="136"/>
      <c r="AA266" s="136"/>
      <c r="AB266" s="136"/>
      <c r="AC266" s="136"/>
      <c r="AD266" s="137" t="s">
        <v>90</v>
      </c>
      <c r="AE266" s="137"/>
      <c r="AF266" s="137"/>
      <c r="AG266" s="137"/>
      <c r="AH266" s="137"/>
      <c r="AI266" s="137"/>
      <c r="AJ266" s="137"/>
      <c r="AK266" s="137"/>
      <c r="AL266" s="137"/>
      <c r="AM266" s="138"/>
    </row>
    <row hidden="true" r="267">
      <c r="A267" s="139" t="s">
        <v>91</v>
      </c>
      <c r="B267" s="140" t="s">
        <v>92</v>
      </c>
      <c r="C267" s="140" t="s">
        <v>93</v>
      </c>
      <c r="D267" s="141" t="s">
        <v>94</v>
      </c>
      <c r="E267" s="142" t="s">
        <v>95</v>
      </c>
      <c r="F267" s="142" t="s">
        <v>96</v>
      </c>
      <c r="G267" s="143" t="s">
        <v>97</v>
      </c>
      <c r="H267" s="215" t="s">
        <v>98</v>
      </c>
      <c r="I267" s="219" t="s">
        <v>99</v>
      </c>
      <c r="J267" s="206" t="s">
        <v>100</v>
      </c>
      <c r="K267" s="135" t="s">
        <v>101</v>
      </c>
      <c r="L267" s="146" t="s">
        <v>102</v>
      </c>
      <c r="M267" s="146" t="s">
        <v>103</v>
      </c>
      <c r="N267" s="143" t="s">
        <v>104</v>
      </c>
      <c r="O267" s="146" t="s">
        <v>105</v>
      </c>
      <c r="P267" s="136" t="s">
        <v>106</v>
      </c>
      <c r="Q267" s="136" t="s">
        <v>107</v>
      </c>
      <c r="R267" s="136" t="s">
        <v>108</v>
      </c>
      <c r="S267" s="147" t="s">
        <v>109</v>
      </c>
      <c r="T267" s="147" t="s">
        <v>110</v>
      </c>
      <c r="U267" s="136" t="s">
        <v>111</v>
      </c>
      <c r="V267" s="147" t="s">
        <v>112</v>
      </c>
      <c r="W267" s="147" t="s">
        <v>113</v>
      </c>
      <c r="X267" s="136" t="s">
        <v>114</v>
      </c>
      <c r="Y267" s="147" t="s">
        <v>115</v>
      </c>
      <c r="Z267" s="136" t="s">
        <v>116</v>
      </c>
      <c r="AA267" s="148" t="s">
        <v>117</v>
      </c>
      <c r="AB267" s="148" t="s">
        <v>118</v>
      </c>
      <c r="AC267" s="220" t="s">
        <v>119</v>
      </c>
      <c r="AD267" s="149" t="s">
        <v>120</v>
      </c>
      <c r="AE267" s="150" t="s">
        <v>121</v>
      </c>
      <c r="AF267" s="150" t="s">
        <v>122</v>
      </c>
      <c r="AG267" s="150" t="s">
        <v>123</v>
      </c>
      <c r="AH267" s="150" t="s">
        <v>124</v>
      </c>
      <c r="AI267" s="150" t="s">
        <v>125</v>
      </c>
      <c r="AJ267" s="151" t="s">
        <v>126</v>
      </c>
      <c r="AK267" s="151" t="s">
        <v>127</v>
      </c>
      <c r="AL267" s="151" t="s">
        <v>128</v>
      </c>
      <c r="AM267" s="138"/>
    </row>
    <row hidden="true" r="268">
      <c r="A268" s="152" t="s">
        <v>182</v>
      </c>
      <c r="B268" s="153" t="s">
        <v>130</v>
      </c>
      <c r="C268" s="154" t="s">
        <v>131</v>
      </c>
      <c r="D268" s="154">
        <f t="shared" ref="D268:D271" si="66">E268+F268+G268+H268</f>
      </c>
      <c r="E268" s="155">
        <v>1916.35</v>
      </c>
      <c r="F268" s="156">
        <v>612.1</v>
      </c>
      <c r="G268" s="157"/>
      <c r="H268" s="155">
        <v>536.14</v>
      </c>
      <c r="I268" s="208">
        <v>2</v>
      </c>
      <c r="J268" s="208">
        <v>2496</v>
      </c>
      <c r="K268" s="208">
        <v>0</v>
      </c>
      <c r="L268" s="208">
        <v>0</v>
      </c>
      <c r="M268" s="208">
        <v>1</v>
      </c>
      <c r="N268" s="159">
        <f t="shared" ref="N268:N278" si="24">J268/D268</f>
      </c>
      <c r="O268" s="159">
        <f t="shared" ref="O268:O278" si="187">J268/(D268+300*AL268)</f>
      </c>
      <c r="P268" s="160">
        <f t="shared" ref="P268:P278" si="129">(D268/AE268)*1000</f>
      </c>
      <c r="Q268" s="161">
        <f t="shared" ref="Q268:Q278" si="303">AF268/AE268</f>
      </c>
      <c r="R268" s="162">
        <f t="shared" ref="R268:R278" si="245">D268/AG268</f>
      </c>
      <c r="S268" s="161">
        <f t="shared" ref="S268:S278" si="332">AH268/AG268</f>
      </c>
      <c r="T268" s="161">
        <f t="shared" ref="T268:T278" si="448">AI268/AG268</f>
      </c>
      <c r="U268" s="162">
        <f t="shared" ref="U268:U278" si="390">D268/AI268</f>
      </c>
      <c r="V268" s="161">
        <f t="shared" ref="V268:V278" si="158">AJ268/AI268</f>
      </c>
      <c r="W268" s="161">
        <f t="shared" ref="W268:W278" si="100">I268/AJ268</f>
      </c>
      <c r="X268" s="162">
        <f t="shared" ref="X268:X278" si="274">D268/I268</f>
      </c>
      <c r="Y268" s="163">
        <f t="shared" ref="Y268:Y278" si="216">J268/I268</f>
      </c>
      <c r="Z268" s="162">
        <f t="shared" ref="Z268:Z278" si="419">D268/AD268</f>
      </c>
      <c r="AA268" s="164">
        <f t="shared" ref="AA268:AA278" si="361">AK268*1000/D268</f>
      </c>
      <c r="AB268" s="199" t="s">
        <v>132</v>
      </c>
      <c r="AC268" s="200" t="s">
        <v>153</v>
      </c>
      <c r="AD268" s="259">
        <v>2</v>
      </c>
      <c r="AE268" s="233">
        <v>6437</v>
      </c>
      <c r="AF268" s="209">
        <v>274</v>
      </c>
      <c r="AG268" s="157">
        <v>346</v>
      </c>
      <c r="AH268" s="157">
        <v>84</v>
      </c>
      <c r="AI268" s="153">
        <v>24</v>
      </c>
      <c r="AJ268" s="158">
        <v>7</v>
      </c>
      <c r="AK268" s="156">
        <v>10</v>
      </c>
      <c r="AL268" s="175">
        <v>1</v>
      </c>
      <c r="AM268" s="168"/>
    </row>
    <row hidden="true" r="269">
      <c r="A269" s="152"/>
      <c r="B269" s="169" t="s">
        <v>134</v>
      </c>
      <c r="C269" s="234" t="s">
        <v>131</v>
      </c>
      <c r="D269" s="157">
        <f t="shared" si="66"/>
      </c>
      <c r="E269" s="158">
        <v>2519.35</v>
      </c>
      <c r="F269" s="170">
        <v>396.79</v>
      </c>
      <c r="G269" s="153"/>
      <c r="H269" s="155">
        <v>242.39</v>
      </c>
      <c r="I269" s="218">
        <v>2</v>
      </c>
      <c r="J269" s="209">
        <v>4536</v>
      </c>
      <c r="K269" s="158">
        <v>0</v>
      </c>
      <c r="L269" s="156">
        <v>0</v>
      </c>
      <c r="M269" s="156">
        <v>2</v>
      </c>
      <c r="N269" s="159">
        <f t="shared" si="24"/>
      </c>
      <c r="O269" s="159">
        <f t="shared" si="187"/>
      </c>
      <c r="P269" s="160">
        <f t="shared" si="129"/>
      </c>
      <c r="Q269" s="161">
        <f t="shared" si="303"/>
      </c>
      <c r="R269" s="162">
        <f t="shared" si="245"/>
      </c>
      <c r="S269" s="161">
        <f t="shared" si="332"/>
      </c>
      <c r="T269" s="161">
        <f t="shared" si="448"/>
      </c>
      <c r="U269" s="162">
        <f t="shared" si="390"/>
      </c>
      <c r="V269" s="161">
        <f t="shared" si="158"/>
      </c>
      <c r="W269" s="161">
        <f t="shared" si="100"/>
      </c>
      <c r="X269" s="162">
        <f t="shared" si="274"/>
      </c>
      <c r="Y269" s="163">
        <f t="shared" si="216"/>
      </c>
      <c r="Z269" s="162">
        <f t="shared" si="419"/>
      </c>
      <c r="AA269" s="164">
        <f t="shared" si="361"/>
      </c>
      <c r="AB269" s="199" t="s">
        <v>132</v>
      </c>
      <c r="AC269" s="200" t="s">
        <v>153</v>
      </c>
      <c r="AD269" s="258">
        <v>2</v>
      </c>
      <c r="AE269" s="172">
        <v>8111</v>
      </c>
      <c r="AF269" s="172">
        <v>290</v>
      </c>
      <c r="AG269" s="171">
        <v>387</v>
      </c>
      <c r="AH269" s="153">
        <v>74</v>
      </c>
      <c r="AI269" s="153">
        <v>21</v>
      </c>
      <c r="AJ269" s="201">
        <v>4</v>
      </c>
      <c r="AK269" s="210">
        <v>12</v>
      </c>
      <c r="AL269" s="175">
        <v>1</v>
      </c>
      <c r="AM269" s="168"/>
    </row>
    <row hidden="true" r="270">
      <c r="A270" s="152"/>
      <c r="B270" s="169" t="s">
        <v>135</v>
      </c>
      <c r="C270" s="209" t="s">
        <v>131</v>
      </c>
      <c r="D270" s="157">
        <f t="shared" si="66"/>
      </c>
      <c r="E270" s="158">
        <v>3124.08</v>
      </c>
      <c r="F270" s="158">
        <v>339.27</v>
      </c>
      <c r="G270" s="153"/>
      <c r="H270" s="156">
        <v>113.7</v>
      </c>
      <c r="I270" s="184">
        <v>2</v>
      </c>
      <c r="J270" s="171">
        <v>4348</v>
      </c>
      <c r="K270" s="156">
        <v>0</v>
      </c>
      <c r="L270" s="156">
        <v>0</v>
      </c>
      <c r="M270" s="156">
        <v>2</v>
      </c>
      <c r="N270" s="159">
        <f t="shared" si="24"/>
      </c>
      <c r="O270" s="159">
        <f t="shared" si="187"/>
      </c>
      <c r="P270" s="160">
        <f t="shared" si="129"/>
      </c>
      <c r="Q270" s="161">
        <f t="shared" si="303"/>
      </c>
      <c r="R270" s="162">
        <f t="shared" si="245"/>
      </c>
      <c r="S270" s="161">
        <f t="shared" si="332"/>
      </c>
      <c r="T270" s="161">
        <f t="shared" si="448"/>
      </c>
      <c r="U270" s="162">
        <f t="shared" si="390"/>
      </c>
      <c r="V270" s="161">
        <f t="shared" si="158"/>
      </c>
      <c r="W270" s="161">
        <f t="shared" si="100"/>
      </c>
      <c r="X270" s="162">
        <f t="shared" si="274"/>
      </c>
      <c r="Y270" s="163">
        <f t="shared" si="216"/>
      </c>
      <c r="Z270" s="162">
        <f t="shared" si="419"/>
      </c>
      <c r="AA270" s="164">
        <f t="shared" si="361"/>
      </c>
      <c r="AB270" s="199" t="s">
        <v>132</v>
      </c>
      <c r="AC270" s="200" t="s">
        <v>153</v>
      </c>
      <c r="AD270" s="258">
        <v>2</v>
      </c>
      <c r="AE270" s="157">
        <v>9995</v>
      </c>
      <c r="AF270" s="157">
        <v>325</v>
      </c>
      <c r="AG270" s="153">
        <v>387</v>
      </c>
      <c r="AH270" s="153">
        <v>91</v>
      </c>
      <c r="AI270" s="153">
        <v>19</v>
      </c>
      <c r="AJ270" s="201">
        <v>11</v>
      </c>
      <c r="AK270" s="210">
        <v>18</v>
      </c>
      <c r="AL270" s="175">
        <v>1</v>
      </c>
      <c r="AM270" s="168"/>
    </row>
    <row hidden="true" r="271">
      <c r="A271" s="152"/>
      <c r="B271" s="169" t="s">
        <v>136</v>
      </c>
      <c r="C271" s="171" t="s">
        <v>131</v>
      </c>
      <c r="D271" s="157">
        <f t="shared" si="66"/>
      </c>
      <c r="E271" s="158">
        <v>2197.4</v>
      </c>
      <c r="F271" s="158">
        <v>213.68</v>
      </c>
      <c r="G271" s="153"/>
      <c r="H271" s="156">
        <v>275.54</v>
      </c>
      <c r="I271" s="156">
        <v>1</v>
      </c>
      <c r="J271" s="156">
        <v>948</v>
      </c>
      <c r="K271" s="156">
        <v>0</v>
      </c>
      <c r="L271" s="156">
        <v>1</v>
      </c>
      <c r="M271" s="156">
        <v>0</v>
      </c>
      <c r="N271" s="159">
        <f t="shared" si="24"/>
      </c>
      <c r="O271" s="159">
        <f t="shared" si="187"/>
      </c>
      <c r="P271" s="160">
        <f t="shared" si="129"/>
      </c>
      <c r="Q271" s="161">
        <f t="shared" si="303"/>
      </c>
      <c r="R271" s="162">
        <f t="shared" si="245"/>
      </c>
      <c r="S271" s="161">
        <f t="shared" si="332"/>
      </c>
      <c r="T271" s="161">
        <f t="shared" si="448"/>
      </c>
      <c r="U271" s="162">
        <f t="shared" si="390"/>
      </c>
      <c r="V271" s="161">
        <f t="shared" si="158"/>
      </c>
      <c r="W271" s="161">
        <f t="shared" si="100"/>
      </c>
      <c r="X271" s="162">
        <f t="shared" si="274"/>
      </c>
      <c r="Y271" s="163">
        <f t="shared" si="216"/>
      </c>
      <c r="Z271" s="162">
        <f t="shared" si="419"/>
      </c>
      <c r="AA271" s="164">
        <f t="shared" si="361"/>
      </c>
      <c r="AB271" s="199" t="s">
        <v>132</v>
      </c>
      <c r="AC271" s="200" t="s">
        <v>153</v>
      </c>
      <c r="AD271" s="260">
        <v>1</v>
      </c>
      <c r="AE271" s="172">
        <v>7431</v>
      </c>
      <c r="AF271" s="153">
        <v>228</v>
      </c>
      <c r="AG271" s="153">
        <v>307</v>
      </c>
      <c r="AH271" s="153">
        <v>59</v>
      </c>
      <c r="AI271" s="153">
        <v>4</v>
      </c>
      <c r="AJ271" s="201">
        <v>3</v>
      </c>
      <c r="AK271" s="210">
        <v>8</v>
      </c>
      <c r="AL271" s="175">
        <v>1</v>
      </c>
      <c r="AM271" s="168"/>
    </row>
    <row hidden="true" r="272">
      <c r="A272" s="152"/>
      <c r="B272" s="176" t="s">
        <v>137</v>
      </c>
      <c r="C272" s="176"/>
      <c r="D272" s="176">
        <f>SUM(D268:D271)</f>
      </c>
      <c r="E272" s="176">
        <f>SUM(E268:E271)</f>
      </c>
      <c r="F272" s="176">
        <f>SUM(F268:F271)</f>
      </c>
      <c r="G272" s="176">
        <f>SUM(G268:G271)</f>
      </c>
      <c r="H272" s="176">
        <f>SUM(H268:H271)</f>
      </c>
      <c r="I272" s="176">
        <f>SUM(I268:I271)</f>
      </c>
      <c r="J272" s="176">
        <f>SUM(J268:J271)</f>
      </c>
      <c r="K272" s="176">
        <f>SUM(K268:K271)</f>
      </c>
      <c r="L272" s="176">
        <f>SUM(L268:L271)</f>
      </c>
      <c r="M272" s="176">
        <f>SUM(M268:M271)</f>
      </c>
      <c r="N272" s="177">
        <f t="shared" si="24"/>
      </c>
      <c r="O272" s="253">
        <f t="shared" si="187"/>
      </c>
      <c r="P272" s="254">
        <f t="shared" si="129"/>
      </c>
      <c r="Q272" s="255">
        <f t="shared" si="303"/>
      </c>
      <c r="R272" s="256">
        <f t="shared" si="245"/>
      </c>
      <c r="S272" s="255">
        <f t="shared" si="332"/>
      </c>
      <c r="T272" s="179">
        <f t="shared" si="448"/>
      </c>
      <c r="U272" s="180">
        <f t="shared" si="390"/>
      </c>
      <c r="V272" s="179">
        <f t="shared" si="158"/>
      </c>
      <c r="W272" s="179">
        <f t="shared" si="100"/>
      </c>
      <c r="X272" s="180">
        <f t="shared" si="274"/>
      </c>
      <c r="Y272" s="181">
        <f t="shared" si="216"/>
      </c>
      <c r="Z272" s="180">
        <f t="shared" si="419"/>
      </c>
      <c r="AA272" s="182">
        <f t="shared" si="361"/>
      </c>
      <c r="AB272" s="189"/>
      <c r="AC272" s="202"/>
      <c r="AD272" s="261">
        <f>SUM(AD268:AD271)</f>
      </c>
      <c r="AE272" s="183">
        <f>SUM(AE268:AE271)</f>
      </c>
      <c r="AF272" s="183">
        <f>SUM(AF268:AF271)</f>
      </c>
      <c r="AG272" s="183">
        <f>SUM(AG268:AG271)</f>
      </c>
      <c r="AH272" s="183">
        <f>SUM(AH268:AH271)</f>
      </c>
      <c r="AI272" s="183">
        <f>SUM(AI268:AI271)</f>
      </c>
      <c r="AJ272" s="183">
        <f>SUM(AJ268:AJ271)</f>
      </c>
      <c r="AK272" s="183">
        <f>SUM(AK268:AK271)</f>
      </c>
      <c r="AL272" s="183">
        <f>SUM(AL268:AL271)</f>
      </c>
      <c r="AM272" s="168"/>
    </row>
    <row hidden="true" r="273">
      <c r="A273" s="152"/>
      <c r="B273" s="184" t="s">
        <v>145</v>
      </c>
      <c r="C273" s="154" t="s">
        <v>139</v>
      </c>
      <c r="D273" s="153">
        <f t="shared" ref="D273:D276" si="67">E273+F273+G273+H273</f>
      </c>
      <c r="E273" s="156">
        <v>2297.58</v>
      </c>
      <c r="F273" s="158">
        <v>343.15</v>
      </c>
      <c r="G273" s="153"/>
      <c r="H273" s="156">
        <v>168.99</v>
      </c>
      <c r="I273" s="156">
        <v>4</v>
      </c>
      <c r="J273" s="153">
        <v>7752</v>
      </c>
      <c r="K273" s="156">
        <v>0</v>
      </c>
      <c r="L273" s="156">
        <v>1</v>
      </c>
      <c r="M273" s="186">
        <v>3</v>
      </c>
      <c r="N273" s="257">
        <f t="shared" si="24"/>
      </c>
      <c r="O273" s="239">
        <f t="shared" si="187"/>
      </c>
      <c r="P273" s="240">
        <f t="shared" si="129"/>
      </c>
      <c r="Q273" s="241">
        <f t="shared" si="303"/>
      </c>
      <c r="R273" s="242">
        <f t="shared" si="245"/>
      </c>
      <c r="S273" s="241">
        <f t="shared" si="332"/>
      </c>
      <c r="T273" s="243">
        <f t="shared" si="448"/>
      </c>
      <c r="U273" s="162">
        <f t="shared" si="390"/>
      </c>
      <c r="V273" s="161">
        <f t="shared" si="158"/>
      </c>
      <c r="W273" s="161">
        <f t="shared" si="100"/>
      </c>
      <c r="X273" s="162">
        <f t="shared" si="274"/>
      </c>
      <c r="Y273" s="163">
        <f t="shared" si="216"/>
      </c>
      <c r="Z273" s="162">
        <f t="shared" si="419"/>
      </c>
      <c r="AA273" s="164">
        <f t="shared" si="361"/>
      </c>
      <c r="AB273" s="199" t="s">
        <v>132</v>
      </c>
      <c r="AC273" s="200" t="s">
        <v>153</v>
      </c>
      <c r="AD273" s="258">
        <v>4</v>
      </c>
      <c r="AE273" s="185">
        <v>7769</v>
      </c>
      <c r="AF273" s="167">
        <v>265</v>
      </c>
      <c r="AG273" s="167">
        <v>343</v>
      </c>
      <c r="AH273" s="167">
        <v>63</v>
      </c>
      <c r="AI273" s="167">
        <v>11</v>
      </c>
      <c r="AJ273" s="175">
        <v>8</v>
      </c>
      <c r="AK273" s="175">
        <v>23</v>
      </c>
      <c r="AL273" s="175">
        <v>1</v>
      </c>
      <c r="AM273" s="168"/>
    </row>
    <row hidden="true" r="274">
      <c r="A274" s="152"/>
      <c r="B274" s="171" t="s">
        <v>140</v>
      </c>
      <c r="C274" s="154" t="s">
        <v>139</v>
      </c>
      <c r="D274" s="153">
        <f t="shared" si="67"/>
      </c>
      <c r="E274" s="156">
        <v>3553.65</v>
      </c>
      <c r="F274" s="158">
        <v>432.01</v>
      </c>
      <c r="G274" s="153"/>
      <c r="H274" s="156">
        <v>246.93</v>
      </c>
      <c r="I274" s="156">
        <v>5</v>
      </c>
      <c r="J274" s="153">
        <v>8220</v>
      </c>
      <c r="K274" s="156">
        <v>1</v>
      </c>
      <c r="L274" s="156">
        <v>1</v>
      </c>
      <c r="M274" s="186">
        <v>3</v>
      </c>
      <c r="N274" s="257">
        <f t="shared" si="24"/>
      </c>
      <c r="O274" s="239">
        <f t="shared" si="187"/>
      </c>
      <c r="P274" s="240">
        <f t="shared" si="129"/>
      </c>
      <c r="Q274" s="241">
        <f t="shared" si="303"/>
      </c>
      <c r="R274" s="242">
        <f t="shared" si="245"/>
      </c>
      <c r="S274" s="241">
        <f t="shared" si="332"/>
      </c>
      <c r="T274" s="243">
        <f t="shared" si="448"/>
      </c>
      <c r="U274" s="162">
        <f t="shared" si="390"/>
      </c>
      <c r="V274" s="161">
        <f t="shared" si="158"/>
      </c>
      <c r="W274" s="161">
        <f t="shared" si="100"/>
      </c>
      <c r="X274" s="162">
        <f t="shared" si="274"/>
      </c>
      <c r="Y274" s="163">
        <f t="shared" si="216"/>
      </c>
      <c r="Z274" s="162">
        <f t="shared" si="419"/>
      </c>
      <c r="AA274" s="164">
        <f t="shared" si="361"/>
      </c>
      <c r="AB274" s="199" t="s">
        <v>132</v>
      </c>
      <c r="AC274" s="200" t="s">
        <v>153</v>
      </c>
      <c r="AD274" s="258">
        <v>5</v>
      </c>
      <c r="AE274" s="185">
        <v>14539</v>
      </c>
      <c r="AF274" s="167">
        <v>370</v>
      </c>
      <c r="AG274" s="167">
        <v>468</v>
      </c>
      <c r="AH274" s="167">
        <v>110</v>
      </c>
      <c r="AI274" s="167">
        <v>19</v>
      </c>
      <c r="AJ274" s="175">
        <v>8</v>
      </c>
      <c r="AK274" s="175">
        <v>23</v>
      </c>
      <c r="AL274" s="175">
        <v>1</v>
      </c>
      <c r="AM274" s="168"/>
    </row>
    <row hidden="true" r="275">
      <c r="A275" s="152"/>
      <c r="B275" s="156" t="s">
        <v>141</v>
      </c>
      <c r="C275" s="154" t="s">
        <v>139</v>
      </c>
      <c r="D275" s="153">
        <f t="shared" si="67"/>
      </c>
      <c r="E275" s="156">
        <v>2375.56</v>
      </c>
      <c r="F275" s="158">
        <v>330.88</v>
      </c>
      <c r="G275" s="153"/>
      <c r="H275" s="156">
        <v>291.44</v>
      </c>
      <c r="I275" s="156">
        <v>1</v>
      </c>
      <c r="J275" s="156">
        <v>2268</v>
      </c>
      <c r="K275" s="156">
        <v>0</v>
      </c>
      <c r="L275" s="156">
        <v>0</v>
      </c>
      <c r="M275" s="156">
        <v>1</v>
      </c>
      <c r="N275" s="251">
        <f t="shared" si="24"/>
      </c>
      <c r="O275" s="239">
        <f t="shared" si="187"/>
      </c>
      <c r="P275" s="240">
        <f t="shared" si="129"/>
      </c>
      <c r="Q275" s="241">
        <f t="shared" si="303"/>
      </c>
      <c r="R275" s="242">
        <f t="shared" si="245"/>
      </c>
      <c r="S275" s="241">
        <f t="shared" si="332"/>
      </c>
      <c r="T275" s="243">
        <f t="shared" si="448"/>
      </c>
      <c r="U275" s="162">
        <f t="shared" si="390"/>
      </c>
      <c r="V275" s="161">
        <f t="shared" si="158"/>
      </c>
      <c r="W275" s="161">
        <f t="shared" si="100"/>
      </c>
      <c r="X275" s="162">
        <f t="shared" si="274"/>
      </c>
      <c r="Y275" s="163">
        <f t="shared" si="216"/>
      </c>
      <c r="Z275" s="162">
        <f t="shared" si="419"/>
      </c>
      <c r="AA275" s="164">
        <f t="shared" si="361"/>
      </c>
      <c r="AB275" s="199" t="s">
        <v>132</v>
      </c>
      <c r="AC275" s="200" t="s">
        <v>153</v>
      </c>
      <c r="AD275" s="258">
        <v>1</v>
      </c>
      <c r="AE275" s="185">
        <v>11100</v>
      </c>
      <c r="AF275" s="167">
        <v>275</v>
      </c>
      <c r="AG275" s="167">
        <v>350</v>
      </c>
      <c r="AH275" s="167">
        <v>77</v>
      </c>
      <c r="AI275" s="167">
        <v>14</v>
      </c>
      <c r="AJ275" s="175">
        <v>4</v>
      </c>
      <c r="AK275" s="175">
        <v>15</v>
      </c>
      <c r="AL275" s="175">
        <v>1</v>
      </c>
      <c r="AM275" s="168"/>
    </row>
    <row hidden="true" r="276">
      <c r="A276" s="152"/>
      <c r="B276" s="155" t="s">
        <v>150</v>
      </c>
      <c r="C276" s="209" t="s">
        <v>139</v>
      </c>
      <c r="D276" s="157">
        <f t="shared" si="67"/>
      </c>
      <c r="E276" s="156">
        <v>3039.08</v>
      </c>
      <c r="F276" s="158">
        <v>224.76</v>
      </c>
      <c r="G276" s="153"/>
      <c r="H276" s="156">
        <v>167.63</v>
      </c>
      <c r="I276" s="156">
        <v>2</v>
      </c>
      <c r="J276" s="153">
        <v>4536</v>
      </c>
      <c r="K276" s="156">
        <v>0</v>
      </c>
      <c r="L276" s="155">
        <v>0</v>
      </c>
      <c r="M276" s="250">
        <v>2</v>
      </c>
      <c r="N276" s="251">
        <f t="shared" si="24"/>
      </c>
      <c r="O276" s="239">
        <f t="shared" si="187"/>
      </c>
      <c r="P276" s="240">
        <f t="shared" si="129"/>
      </c>
      <c r="Q276" s="241">
        <f t="shared" si="303"/>
      </c>
      <c r="R276" s="242">
        <f t="shared" si="245"/>
      </c>
      <c r="S276" s="241">
        <f t="shared" si="332"/>
      </c>
      <c r="T276" s="243">
        <f t="shared" si="448"/>
      </c>
      <c r="U276" s="162">
        <f t="shared" si="390"/>
      </c>
      <c r="V276" s="161">
        <f t="shared" si="158"/>
      </c>
      <c r="W276" s="161">
        <f t="shared" si="100"/>
      </c>
      <c r="X276" s="162">
        <f t="shared" si="274"/>
      </c>
      <c r="Y276" s="163">
        <f t="shared" si="216"/>
      </c>
      <c r="Z276" s="162">
        <f t="shared" si="419"/>
      </c>
      <c r="AA276" s="164">
        <f t="shared" si="361"/>
      </c>
      <c r="AB276" s="199" t="s">
        <v>132</v>
      </c>
      <c r="AC276" s="200" t="s">
        <v>153</v>
      </c>
      <c r="AD276" s="258">
        <v>2</v>
      </c>
      <c r="AE276" s="185">
        <v>11387</v>
      </c>
      <c r="AF276" s="167">
        <v>302</v>
      </c>
      <c r="AG276" s="167">
        <v>382</v>
      </c>
      <c r="AH276" s="167">
        <v>85</v>
      </c>
      <c r="AI276" s="167">
        <v>15</v>
      </c>
      <c r="AJ276" s="175">
        <v>6</v>
      </c>
      <c r="AK276" s="175">
        <v>17</v>
      </c>
      <c r="AL276" s="175">
        <v>1</v>
      </c>
      <c r="AM276" s="168"/>
    </row>
    <row hidden="true" r="277">
      <c r="A277" s="152"/>
      <c r="B277" s="176" t="s">
        <v>137</v>
      </c>
      <c r="C277" s="176"/>
      <c r="D277" s="176">
        <f>SUM(D273:D276)</f>
      </c>
      <c r="E277" s="176">
        <f>SUM(E273:E276)</f>
      </c>
      <c r="F277" s="176">
        <f>SUM(F273:F276)</f>
      </c>
      <c r="G277" s="176">
        <f>SUM(G273:G276)</f>
      </c>
      <c r="H277" s="176">
        <f>SUM(H273:H276)</f>
      </c>
      <c r="I277" s="176">
        <f>SUM(I273:I276)</f>
      </c>
      <c r="J277" s="176">
        <f>SUM(J273:J276)</f>
      </c>
      <c r="K277" s="176">
        <f>SUM(K273:K276)</f>
      </c>
      <c r="L277" s="176">
        <f>SUM(L273:L276)</f>
      </c>
      <c r="M277" s="176">
        <f>SUM(M273:M276)</f>
      </c>
      <c r="N277" s="244">
        <f t="shared" si="24"/>
      </c>
      <c r="O277" s="244">
        <f t="shared" si="187"/>
      </c>
      <c r="P277" s="245">
        <f t="shared" si="129"/>
      </c>
      <c r="Q277" s="246">
        <f t="shared" si="303"/>
      </c>
      <c r="R277" s="247">
        <f t="shared" si="245"/>
      </c>
      <c r="S277" s="246">
        <f t="shared" si="332"/>
      </c>
      <c r="T277" s="179">
        <f t="shared" si="448"/>
      </c>
      <c r="U277" s="180">
        <f t="shared" si="390"/>
      </c>
      <c r="V277" s="179">
        <f t="shared" si="158"/>
      </c>
      <c r="W277" s="179">
        <f t="shared" si="100"/>
      </c>
      <c r="X277" s="180">
        <f t="shared" si="274"/>
      </c>
      <c r="Y277" s="181">
        <f t="shared" si="216"/>
      </c>
      <c r="Z277" s="180">
        <f t="shared" si="419"/>
      </c>
      <c r="AA277" s="182">
        <f t="shared" si="361"/>
      </c>
      <c r="AB277" s="189"/>
      <c r="AC277" s="202"/>
      <c r="AD277" s="212">
        <f>SUM(AD273:AD276)</f>
      </c>
      <c r="AE277" s="190">
        <f>SUM(AE273:AE276)</f>
      </c>
      <c r="AF277" s="190">
        <f>SUM(AF273:AF276)</f>
      </c>
      <c r="AG277" s="190">
        <f>SUM(AG273:AG276)</f>
      </c>
      <c r="AH277" s="190">
        <f>SUM(AH273:AH276)</f>
      </c>
      <c r="AI277" s="190">
        <f>SUM(AI273:AI276)</f>
      </c>
      <c r="AJ277" s="190">
        <f>SUM(AJ273:AJ276)</f>
      </c>
      <c r="AK277" s="190">
        <f>SUM(AK273:AK276)</f>
      </c>
      <c r="AL277" s="190">
        <f>SUM(AL273:AL276)</f>
      </c>
      <c r="AM277" s="191" t="s">
        <v>142</v>
      </c>
    </row>
    <row hidden="true" r="278">
      <c r="A278" s="152"/>
      <c r="B278" s="192" t="s">
        <v>143</v>
      </c>
      <c r="C278" s="192"/>
      <c r="D278" s="192">
        <f>D272+D277</f>
      </c>
      <c r="E278" s="192">
        <f>E272+E277</f>
      </c>
      <c r="F278" s="192">
        <f>F272+F277</f>
      </c>
      <c r="G278" s="192">
        <f>G272+G277</f>
      </c>
      <c r="H278" s="192">
        <f>H272+H277</f>
      </c>
      <c r="I278" s="192">
        <f>I272+I277</f>
      </c>
      <c r="J278" s="192">
        <f>J272+J277</f>
      </c>
      <c r="K278" s="192">
        <f>K272+K277</f>
      </c>
      <c r="L278" s="192">
        <f>L272+L277</f>
      </c>
      <c r="M278" s="192">
        <f>M272+M277</f>
      </c>
      <c r="N278" s="193">
        <f t="shared" si="24"/>
      </c>
      <c r="O278" s="193">
        <f t="shared" si="187"/>
      </c>
      <c r="P278" s="194">
        <f t="shared" si="129"/>
      </c>
      <c r="Q278" s="195">
        <f t="shared" si="303"/>
      </c>
      <c r="R278" s="193">
        <f t="shared" si="245"/>
      </c>
      <c r="S278" s="195">
        <f t="shared" si="332"/>
      </c>
      <c r="T278" s="195">
        <f t="shared" si="448"/>
      </c>
      <c r="U278" s="193">
        <f t="shared" si="390"/>
      </c>
      <c r="V278" s="195">
        <f t="shared" si="158"/>
      </c>
      <c r="W278" s="195">
        <f t="shared" si="100"/>
      </c>
      <c r="X278" s="193">
        <f t="shared" si="274"/>
      </c>
      <c r="Y278" s="196">
        <f t="shared" si="216"/>
      </c>
      <c r="Z278" s="193">
        <f t="shared" si="419"/>
      </c>
      <c r="AA278" s="194">
        <f t="shared" si="361"/>
      </c>
      <c r="AB278" s="262"/>
      <c r="AC278" s="263"/>
      <c r="AD278" s="197">
        <f>AD272+AD277</f>
      </c>
      <c r="AE278" s="197">
        <f>AE272+AE277</f>
      </c>
      <c r="AF278" s="197">
        <f>AF272+AF277</f>
      </c>
      <c r="AG278" s="197">
        <f>AG272+AG277</f>
      </c>
      <c r="AH278" s="197">
        <f>AH272+AH277</f>
      </c>
      <c r="AI278" s="197">
        <f>AI272+AI277</f>
      </c>
      <c r="AJ278" s="197">
        <f>AJ272+AJ277</f>
      </c>
      <c r="AK278" s="197">
        <f>AK272+AK277</f>
      </c>
      <c r="AL278" s="197">
        <f>AL272+AL277</f>
      </c>
      <c r="AM278" s="191"/>
    </row>
    <row hidden="true" r="279">
      <c r="A279" s="139" t="s">
        <v>87</v>
      </c>
      <c r="B279" s="139"/>
      <c r="C279" s="139"/>
      <c r="D279" s="135" t="s">
        <v>88</v>
      </c>
      <c r="E279" s="135"/>
      <c r="F279" s="135"/>
      <c r="G279" s="135"/>
      <c r="H279" s="135"/>
      <c r="I279" s="135"/>
      <c r="J279" s="135"/>
      <c r="K279" s="135"/>
      <c r="L279" s="135"/>
      <c r="M279" s="135"/>
      <c r="N279" s="135"/>
      <c r="O279" s="135"/>
      <c r="P279" s="136" t="s">
        <v>89</v>
      </c>
      <c r="Q279" s="136"/>
      <c r="R279" s="136"/>
      <c r="S279" s="136"/>
      <c r="T279" s="136"/>
      <c r="U279" s="136"/>
      <c r="V279" s="136"/>
      <c r="W279" s="136"/>
      <c r="X279" s="136"/>
      <c r="Y279" s="136"/>
      <c r="Z279" s="136"/>
      <c r="AA279" s="136"/>
      <c r="AB279" s="136"/>
      <c r="AC279" s="136"/>
      <c r="AD279" s="137" t="s">
        <v>90</v>
      </c>
      <c r="AE279" s="137"/>
      <c r="AF279" s="137"/>
      <c r="AG279" s="137"/>
      <c r="AH279" s="137"/>
      <c r="AI279" s="137"/>
      <c r="AJ279" s="137"/>
      <c r="AK279" s="137"/>
      <c r="AL279" s="137"/>
      <c r="AM279" s="138"/>
    </row>
    <row hidden="true" r="280">
      <c r="A280" s="139" t="s">
        <v>91</v>
      </c>
      <c r="B280" s="140" t="s">
        <v>92</v>
      </c>
      <c r="C280" s="140" t="s">
        <v>93</v>
      </c>
      <c r="D280" s="141" t="s">
        <v>94</v>
      </c>
      <c r="E280" s="142" t="s">
        <v>95</v>
      </c>
      <c r="F280" s="142" t="s">
        <v>96</v>
      </c>
      <c r="G280" s="143" t="s">
        <v>97</v>
      </c>
      <c r="H280" s="215" t="s">
        <v>98</v>
      </c>
      <c r="I280" s="219" t="s">
        <v>99</v>
      </c>
      <c r="J280" s="206" t="s">
        <v>100</v>
      </c>
      <c r="K280" s="135" t="s">
        <v>101</v>
      </c>
      <c r="L280" s="146" t="s">
        <v>102</v>
      </c>
      <c r="M280" s="146" t="s">
        <v>103</v>
      </c>
      <c r="N280" s="143" t="s">
        <v>104</v>
      </c>
      <c r="O280" s="146" t="s">
        <v>105</v>
      </c>
      <c r="P280" s="136" t="s">
        <v>106</v>
      </c>
      <c r="Q280" s="136" t="s">
        <v>107</v>
      </c>
      <c r="R280" s="136" t="s">
        <v>108</v>
      </c>
      <c r="S280" s="147" t="s">
        <v>109</v>
      </c>
      <c r="T280" s="147" t="s">
        <v>110</v>
      </c>
      <c r="U280" s="136" t="s">
        <v>111</v>
      </c>
      <c r="V280" s="147" t="s">
        <v>112</v>
      </c>
      <c r="W280" s="147" t="s">
        <v>113</v>
      </c>
      <c r="X280" s="136" t="s">
        <v>114</v>
      </c>
      <c r="Y280" s="147" t="s">
        <v>115</v>
      </c>
      <c r="Z280" s="136" t="s">
        <v>116</v>
      </c>
      <c r="AA280" s="148" t="s">
        <v>117</v>
      </c>
      <c r="AB280" s="148" t="s">
        <v>118</v>
      </c>
      <c r="AC280" s="220" t="s">
        <v>119</v>
      </c>
      <c r="AD280" s="149" t="s">
        <v>120</v>
      </c>
      <c r="AE280" s="150" t="s">
        <v>121</v>
      </c>
      <c r="AF280" s="150" t="s">
        <v>122</v>
      </c>
      <c r="AG280" s="150" t="s">
        <v>123</v>
      </c>
      <c r="AH280" s="150" t="s">
        <v>124</v>
      </c>
      <c r="AI280" s="150" t="s">
        <v>125</v>
      </c>
      <c r="AJ280" s="151" t="s">
        <v>126</v>
      </c>
      <c r="AK280" s="151" t="s">
        <v>127</v>
      </c>
      <c r="AL280" s="151" t="s">
        <v>128</v>
      </c>
      <c r="AM280" s="138"/>
    </row>
    <row hidden="true" r="281">
      <c r="A281" s="152" t="s">
        <v>183</v>
      </c>
      <c r="B281" s="153" t="s">
        <v>130</v>
      </c>
      <c r="C281" s="154" t="s">
        <v>131</v>
      </c>
      <c r="D281" s="154">
        <f t="shared" ref="D281:D284" si="68">E281+F281+G281+H281</f>
      </c>
      <c r="E281" s="155">
        <v>2663.99</v>
      </c>
      <c r="F281" s="156">
        <v>617.02</v>
      </c>
      <c r="G281" s="157"/>
      <c r="H281" s="155">
        <v>322.45</v>
      </c>
      <c r="I281" s="208">
        <v>2</v>
      </c>
      <c r="J281" s="258">
        <v>4536</v>
      </c>
      <c r="K281" s="208">
        <v>0</v>
      </c>
      <c r="L281" s="208">
        <v>0</v>
      </c>
      <c r="M281" s="208">
        <v>2</v>
      </c>
      <c r="N281" s="159">
        <f t="shared" ref="N281:N289" si="25">J281/D281</f>
      </c>
      <c r="O281" s="159">
        <f t="shared" ref="O281:O289" si="188">J281/(D281+300*AL281)</f>
      </c>
      <c r="P281" s="160">
        <f t="shared" ref="P281:P289" si="130">(D281/AE281)*1000</f>
      </c>
      <c r="Q281" s="161">
        <f t="shared" ref="Q281:Q289" si="304">AF281/AE281</f>
      </c>
      <c r="R281" s="162">
        <f t="shared" ref="R281:R289" si="246">D281/AG281</f>
      </c>
      <c r="S281" s="161">
        <f t="shared" ref="S281:S289" si="333">AH281/AG281</f>
      </c>
      <c r="T281" s="161">
        <f t="shared" ref="T281:T289" si="449">AI281/AG281</f>
      </c>
      <c r="U281" s="162">
        <f t="shared" ref="U281:U289" si="391">D281/AI281</f>
      </c>
      <c r="V281" s="161">
        <f t="shared" ref="V281:V289" si="159">AJ281/AI281</f>
      </c>
      <c r="W281" s="161">
        <f t="shared" ref="W281:W289" si="101">I281/AJ281</f>
      </c>
      <c r="X281" s="162">
        <f t="shared" ref="X281:X289" si="275">D281/I281</f>
      </c>
      <c r="Y281" s="163">
        <f t="shared" ref="Y281:Y289" si="217">J281/I281</f>
      </c>
      <c r="Z281" s="162">
        <f t="shared" ref="Z281:Z289" si="420">D281/AD281</f>
      </c>
      <c r="AA281" s="164">
        <f t="shared" ref="AA281:AA289" si="362">AK281*1000/D281</f>
      </c>
      <c r="AB281" s="199" t="s">
        <v>132</v>
      </c>
      <c r="AC281" s="200" t="s">
        <v>153</v>
      </c>
      <c r="AD281" s="259">
        <v>2</v>
      </c>
      <c r="AE281" s="233">
        <v>10235</v>
      </c>
      <c r="AF281" s="209">
        <v>338</v>
      </c>
      <c r="AG281" s="157">
        <v>448</v>
      </c>
      <c r="AH281" s="157">
        <v>88</v>
      </c>
      <c r="AI281" s="153">
        <v>31</v>
      </c>
      <c r="AJ281" s="158">
        <v>10</v>
      </c>
      <c r="AK281" s="156">
        <v>15</v>
      </c>
      <c r="AL281" s="175">
        <v>1</v>
      </c>
      <c r="AM281" s="168"/>
    </row>
    <row hidden="true" r="282">
      <c r="A282" s="152"/>
      <c r="B282" s="169" t="s">
        <v>134</v>
      </c>
      <c r="C282" s="234" t="s">
        <v>131</v>
      </c>
      <c r="D282" s="157">
        <f t="shared" si="68"/>
      </c>
      <c r="E282" s="158">
        <v>1510.04</v>
      </c>
      <c r="F282" s="170">
        <v>490.9</v>
      </c>
      <c r="G282" s="153"/>
      <c r="H282" s="155">
        <v>523.15</v>
      </c>
      <c r="I282" s="218">
        <v>1</v>
      </c>
      <c r="J282" s="209">
        <v>948</v>
      </c>
      <c r="K282" s="158">
        <v>0</v>
      </c>
      <c r="L282" s="156">
        <v>1</v>
      </c>
      <c r="M282" s="156">
        <v>0</v>
      </c>
      <c r="N282" s="159">
        <f t="shared" si="25"/>
      </c>
      <c r="O282" s="159">
        <f t="shared" si="188"/>
      </c>
      <c r="P282" s="160">
        <f t="shared" si="130"/>
      </c>
      <c r="Q282" s="161">
        <f t="shared" si="304"/>
      </c>
      <c r="R282" s="162">
        <f t="shared" si="246"/>
      </c>
      <c r="S282" s="161">
        <f t="shared" si="333"/>
      </c>
      <c r="T282" s="161">
        <f t="shared" si="449"/>
      </c>
      <c r="U282" s="162">
        <f t="shared" si="391"/>
      </c>
      <c r="V282" s="161">
        <f t="shared" si="159"/>
      </c>
      <c r="W282" s="161">
        <f t="shared" si="101"/>
      </c>
      <c r="X282" s="162">
        <f t="shared" si="275"/>
      </c>
      <c r="Y282" s="163">
        <f t="shared" si="217"/>
      </c>
      <c r="Z282" s="162">
        <f t="shared" si="420"/>
      </c>
      <c r="AA282" s="164">
        <f t="shared" si="362"/>
      </c>
      <c r="AB282" s="199" t="s">
        <v>132</v>
      </c>
      <c r="AC282" s="200" t="s">
        <v>153</v>
      </c>
      <c r="AD282" s="258">
        <v>1</v>
      </c>
      <c r="AE282" s="172">
        <v>5969</v>
      </c>
      <c r="AF282" s="172">
        <v>258</v>
      </c>
      <c r="AG282" s="171">
        <v>324</v>
      </c>
      <c r="AH282" s="153">
        <v>75</v>
      </c>
      <c r="AI282" s="153">
        <v>25</v>
      </c>
      <c r="AJ282" s="201">
        <v>6</v>
      </c>
      <c r="AK282" s="210">
        <v>14</v>
      </c>
      <c r="AL282" s="175">
        <v>1</v>
      </c>
      <c r="AM282" s="168"/>
    </row>
    <row hidden="true" r="283">
      <c r="A283" s="152"/>
      <c r="B283" s="169" t="s">
        <v>135</v>
      </c>
      <c r="C283" s="209" t="s">
        <v>131</v>
      </c>
      <c r="D283" s="157">
        <f t="shared" si="68"/>
      </c>
      <c r="E283" s="158">
        <v>2699.84</v>
      </c>
      <c r="F283" s="158">
        <v>643.07</v>
      </c>
      <c r="G283" s="153"/>
      <c r="H283" s="156">
        <v>340.54</v>
      </c>
      <c r="I283" s="184">
        <v>1</v>
      </c>
      <c r="J283" s="171">
        <v>2268</v>
      </c>
      <c r="K283" s="156">
        <v>0</v>
      </c>
      <c r="L283" s="156">
        <v>0</v>
      </c>
      <c r="M283" s="156">
        <v>1</v>
      </c>
      <c r="N283" s="159">
        <f t="shared" si="25"/>
      </c>
      <c r="O283" s="159">
        <f t="shared" si="188"/>
      </c>
      <c r="P283" s="160">
        <f t="shared" si="130"/>
      </c>
      <c r="Q283" s="161">
        <f t="shared" si="304"/>
      </c>
      <c r="R283" s="162">
        <f t="shared" si="246"/>
      </c>
      <c r="S283" s="161">
        <f t="shared" si="333"/>
      </c>
      <c r="T283" s="161">
        <f t="shared" si="449"/>
      </c>
      <c r="U283" s="162">
        <f t="shared" si="391"/>
      </c>
      <c r="V283" s="161">
        <f t="shared" si="159"/>
      </c>
      <c r="W283" s="161">
        <f t="shared" si="101"/>
      </c>
      <c r="X283" s="162">
        <f t="shared" si="275"/>
      </c>
      <c r="Y283" s="163">
        <f t="shared" si="217"/>
      </c>
      <c r="Z283" s="162">
        <f t="shared" si="420"/>
      </c>
      <c r="AA283" s="164">
        <f t="shared" si="362"/>
      </c>
      <c r="AB283" s="199" t="s">
        <v>132</v>
      </c>
      <c r="AC283" s="200" t="s">
        <v>153</v>
      </c>
      <c r="AD283" s="258">
        <v>1</v>
      </c>
      <c r="AE283" s="157">
        <v>10188</v>
      </c>
      <c r="AF283" s="157">
        <v>333</v>
      </c>
      <c r="AG283" s="153">
        <v>441</v>
      </c>
      <c r="AH283" s="153">
        <v>78</v>
      </c>
      <c r="AI283" s="153">
        <v>26</v>
      </c>
      <c r="AJ283" s="201">
        <v>4</v>
      </c>
      <c r="AK283" s="210">
        <v>7</v>
      </c>
      <c r="AL283" s="175">
        <v>1</v>
      </c>
      <c r="AM283" s="168"/>
    </row>
    <row hidden="true" r="284">
      <c r="A284" s="152"/>
      <c r="B284" s="169" t="s">
        <v>136</v>
      </c>
      <c r="C284" s="171" t="s">
        <v>131</v>
      </c>
      <c r="D284" s="157">
        <f t="shared" si="68"/>
      </c>
      <c r="E284" s="158">
        <v>1950.03</v>
      </c>
      <c r="F284" s="158">
        <v>861.73</v>
      </c>
      <c r="G284" s="153"/>
      <c r="H284" s="156">
        <v>444.42</v>
      </c>
      <c r="I284" s="156">
        <v>1</v>
      </c>
      <c r="J284" s="156">
        <v>2268</v>
      </c>
      <c r="K284" s="156">
        <v>0</v>
      </c>
      <c r="L284" s="156">
        <v>0</v>
      </c>
      <c r="M284" s="156">
        <v>1</v>
      </c>
      <c r="N284" s="159">
        <f t="shared" si="25"/>
      </c>
      <c r="O284" s="159">
        <f t="shared" si="188"/>
      </c>
      <c r="P284" s="160">
        <f t="shared" si="130"/>
      </c>
      <c r="Q284" s="161">
        <f t="shared" si="304"/>
      </c>
      <c r="R284" s="162">
        <f t="shared" si="246"/>
      </c>
      <c r="S284" s="161">
        <f t="shared" si="333"/>
      </c>
      <c r="T284" s="161">
        <f t="shared" si="449"/>
      </c>
      <c r="U284" s="162">
        <f t="shared" si="391"/>
      </c>
      <c r="V284" s="161">
        <f t="shared" si="159"/>
      </c>
      <c r="W284" s="161">
        <f t="shared" si="101"/>
      </c>
      <c r="X284" s="162">
        <f t="shared" si="275"/>
      </c>
      <c r="Y284" s="163">
        <f t="shared" si="217"/>
      </c>
      <c r="Z284" s="162">
        <f t="shared" si="420"/>
      </c>
      <c r="AA284" s="164">
        <f t="shared" si="362"/>
      </c>
      <c r="AB284" s="199" t="s">
        <v>132</v>
      </c>
      <c r="AC284" s="200" t="s">
        <v>153</v>
      </c>
      <c r="AD284" s="260">
        <v>1</v>
      </c>
      <c r="AE284" s="172">
        <v>7869</v>
      </c>
      <c r="AF284" s="153">
        <v>339</v>
      </c>
      <c r="AG284" s="153">
        <v>434</v>
      </c>
      <c r="AH284" s="153">
        <v>68</v>
      </c>
      <c r="AI284" s="153">
        <v>33</v>
      </c>
      <c r="AJ284" s="201">
        <v>5</v>
      </c>
      <c r="AK284" s="210">
        <v>14</v>
      </c>
      <c r="AL284" s="175">
        <v>1</v>
      </c>
      <c r="AM284" s="168"/>
    </row>
    <row hidden="true" r="285">
      <c r="A285" s="152"/>
      <c r="B285" s="176" t="s">
        <v>137</v>
      </c>
      <c r="C285" s="176"/>
      <c r="D285" s="176">
        <f>SUM(D281:D284)</f>
      </c>
      <c r="E285" s="176">
        <f>SUM(E281:E284)</f>
      </c>
      <c r="F285" s="176">
        <f>SUM(F281:F284)</f>
      </c>
      <c r="G285" s="176">
        <f>SUM(G281:G284)</f>
      </c>
      <c r="H285" s="176">
        <f>SUM(H281:H284)</f>
      </c>
      <c r="I285" s="176">
        <f>SUM(I281:I284)</f>
      </c>
      <c r="J285" s="176">
        <f>SUM(J281:J284)</f>
      </c>
      <c r="K285" s="176">
        <f>SUM(K281:K284)</f>
      </c>
      <c r="L285" s="176">
        <f>SUM(L281:L284)</f>
      </c>
      <c r="M285" s="176">
        <f>SUM(M281:M284)</f>
      </c>
      <c r="N285" s="177">
        <f t="shared" si="25"/>
      </c>
      <c r="O285" s="253">
        <f t="shared" si="188"/>
      </c>
      <c r="P285" s="254">
        <f t="shared" si="130"/>
      </c>
      <c r="Q285" s="255">
        <f t="shared" si="304"/>
      </c>
      <c r="R285" s="256">
        <f t="shared" si="246"/>
      </c>
      <c r="S285" s="255">
        <f t="shared" si="333"/>
      </c>
      <c r="T285" s="179">
        <f t="shared" si="449"/>
      </c>
      <c r="U285" s="180">
        <f t="shared" si="391"/>
      </c>
      <c r="V285" s="179">
        <f t="shared" si="159"/>
      </c>
      <c r="W285" s="179">
        <f t="shared" si="101"/>
      </c>
      <c r="X285" s="180">
        <f t="shared" si="275"/>
      </c>
      <c r="Y285" s="181">
        <f t="shared" si="217"/>
      </c>
      <c r="Z285" s="180">
        <f t="shared" si="420"/>
      </c>
      <c r="AA285" s="182">
        <f t="shared" si="362"/>
      </c>
      <c r="AB285" s="189"/>
      <c r="AC285" s="202"/>
      <c r="AD285" s="261">
        <f>SUM(AD281:AD284)</f>
      </c>
      <c r="AE285" s="183">
        <f>SUM(AE281:AE284)</f>
      </c>
      <c r="AF285" s="183">
        <f>SUM(AF281:AF284)</f>
      </c>
      <c r="AG285" s="183">
        <f>SUM(AG281:AG284)</f>
      </c>
      <c r="AH285" s="183">
        <f>SUM(AH281:AH284)</f>
      </c>
      <c r="AI285" s="183">
        <f>SUM(AI281:AI284)</f>
      </c>
      <c r="AJ285" s="183">
        <f>SUM(AJ281:AJ284)</f>
      </c>
      <c r="AK285" s="183">
        <f>SUM(AK281:AK284)</f>
      </c>
      <c r="AL285" s="183">
        <f>SUM(AL281:AL284)</f>
      </c>
      <c r="AM285" s="168"/>
    </row>
    <row hidden="true" r="286">
      <c r="A286" s="152"/>
      <c r="B286" s="217" t="s">
        <v>145</v>
      </c>
      <c r="C286" s="209" t="s">
        <v>139</v>
      </c>
      <c r="D286" s="157">
        <f t="shared" ref="D286:D287" si="69">E286+F286+G286+H286</f>
      </c>
      <c r="E286" s="156">
        <v>2398.49</v>
      </c>
      <c r="F286" s="158">
        <v>768.12</v>
      </c>
      <c r="G286" s="153"/>
      <c r="H286" s="156">
        <v>6.61</v>
      </c>
      <c r="I286" s="156">
        <v>1</v>
      </c>
      <c r="J286" s="153">
        <v>2268</v>
      </c>
      <c r="K286" s="156">
        <v>0</v>
      </c>
      <c r="L286" s="156">
        <v>0</v>
      </c>
      <c r="M286" s="186">
        <v>1</v>
      </c>
      <c r="N286" s="257">
        <f t="shared" si="25"/>
      </c>
      <c r="O286" s="239">
        <f t="shared" si="188"/>
      </c>
      <c r="P286" s="240">
        <f t="shared" si="130"/>
      </c>
      <c r="Q286" s="241">
        <f t="shared" si="304"/>
      </c>
      <c r="R286" s="242">
        <f t="shared" si="246"/>
      </c>
      <c r="S286" s="241">
        <f t="shared" si="333"/>
      </c>
      <c r="T286" s="243">
        <f t="shared" si="449"/>
      </c>
      <c r="U286" s="162">
        <f t="shared" si="391"/>
      </c>
      <c r="V286" s="161">
        <f t="shared" si="159"/>
      </c>
      <c r="W286" s="161">
        <f t="shared" si="101"/>
      </c>
      <c r="X286" s="162">
        <f t="shared" si="275"/>
      </c>
      <c r="Y286" s="163">
        <f t="shared" si="217"/>
      </c>
      <c r="Z286" s="162">
        <f t="shared" si="420"/>
      </c>
      <c r="AA286" s="164">
        <f t="shared" si="362"/>
      </c>
      <c r="AB286" s="199" t="s">
        <v>132</v>
      </c>
      <c r="AC286" s="200" t="s">
        <v>153</v>
      </c>
      <c r="AD286" s="258">
        <v>1</v>
      </c>
      <c r="AE286" s="185">
        <v>9395</v>
      </c>
      <c r="AF286" s="167">
        <v>312</v>
      </c>
      <c r="AG286" s="167">
        <v>409</v>
      </c>
      <c r="AH286" s="167">
        <v>77</v>
      </c>
      <c r="AI286" s="167">
        <v>12</v>
      </c>
      <c r="AJ286" s="175">
        <v>6</v>
      </c>
      <c r="AK286" s="175">
        <v>13</v>
      </c>
      <c r="AL286" s="175">
        <v>1</v>
      </c>
      <c r="AM286" s="168"/>
    </row>
    <row hidden="true" r="287">
      <c r="A287" s="152"/>
      <c r="B287" s="171" t="s">
        <v>140</v>
      </c>
      <c r="C287" s="154" t="s">
        <v>139</v>
      </c>
      <c r="D287" s="153">
        <f t="shared" si="69"/>
      </c>
      <c r="E287" s="156">
        <v>1463.45</v>
      </c>
      <c r="F287" s="158">
        <v>648</v>
      </c>
      <c r="G287" s="153"/>
      <c r="H287" s="156">
        <v>313.08</v>
      </c>
      <c r="I287" s="156">
        <v>1</v>
      </c>
      <c r="J287" s="153">
        <v>2268</v>
      </c>
      <c r="K287" s="156">
        <v>0</v>
      </c>
      <c r="L287" s="156">
        <v>0</v>
      </c>
      <c r="M287" s="186">
        <v>1</v>
      </c>
      <c r="N287" s="257">
        <f t="shared" si="25"/>
      </c>
      <c r="O287" s="239">
        <f t="shared" si="188"/>
      </c>
      <c r="P287" s="240">
        <f t="shared" si="130"/>
      </c>
      <c r="Q287" s="241">
        <f t="shared" si="304"/>
      </c>
      <c r="R287" s="242">
        <f t="shared" si="246"/>
      </c>
      <c r="S287" s="241">
        <f t="shared" si="333"/>
      </c>
      <c r="T287" s="243">
        <f t="shared" si="449"/>
      </c>
      <c r="U287" s="162">
        <f t="shared" si="391"/>
      </c>
      <c r="V287" s="161">
        <f t="shared" si="159"/>
      </c>
      <c r="W287" s="161">
        <f t="shared" si="101"/>
      </c>
      <c r="X287" s="162">
        <f t="shared" si="275"/>
      </c>
      <c r="Y287" s="163">
        <f t="shared" si="217"/>
      </c>
      <c r="Z287" s="162">
        <f t="shared" si="420"/>
      </c>
      <c r="AA287" s="164">
        <f t="shared" si="362"/>
      </c>
      <c r="AB287" s="199" t="s">
        <v>132</v>
      </c>
      <c r="AC287" s="200" t="s">
        <v>153</v>
      </c>
      <c r="AD287" s="258">
        <v>0</v>
      </c>
      <c r="AE287" s="185">
        <v>4976</v>
      </c>
      <c r="AF287" s="167">
        <v>225</v>
      </c>
      <c r="AG287" s="167">
        <v>318</v>
      </c>
      <c r="AH287" s="167">
        <v>61</v>
      </c>
      <c r="AI287" s="167">
        <v>22</v>
      </c>
      <c r="AJ287" s="175">
        <v>4</v>
      </c>
      <c r="AK287" s="175">
        <v>17</v>
      </c>
      <c r="AL287" s="175">
        <v>1</v>
      </c>
      <c r="AM287" s="168"/>
    </row>
    <row hidden="true" r="288">
      <c r="A288" s="152"/>
      <c r="B288" s="176" t="s">
        <v>137</v>
      </c>
      <c r="C288" s="176"/>
      <c r="D288" s="176">
        <f>SUM(D286:D287)</f>
      </c>
      <c r="E288" s="176">
        <f>SUM(E286:E287)</f>
      </c>
      <c r="F288" s="176">
        <f>SUM(F286:F287)</f>
      </c>
      <c r="G288" s="176">
        <f>SUM(G286:G287)</f>
      </c>
      <c r="H288" s="176">
        <f>SUM(H286:H287)</f>
      </c>
      <c r="I288" s="176">
        <f>SUM(I286:I287)</f>
      </c>
      <c r="J288" s="176">
        <f>SUM(J286:J287)</f>
      </c>
      <c r="K288" s="176">
        <f>SUM(K286:K287)</f>
      </c>
      <c r="L288" s="176">
        <f>SUM(L286:L287)</f>
      </c>
      <c r="M288" s="264">
        <f>SUM(M286:M287)</f>
      </c>
      <c r="N288" s="265">
        <f t="shared" si="25"/>
      </c>
      <c r="O288" s="266">
        <f t="shared" si="188"/>
      </c>
      <c r="P288" s="245">
        <f t="shared" si="130"/>
      </c>
      <c r="Q288" s="246">
        <f t="shared" si="304"/>
      </c>
      <c r="R288" s="247">
        <f t="shared" si="246"/>
      </c>
      <c r="S288" s="246">
        <f t="shared" si="333"/>
      </c>
      <c r="T288" s="179">
        <f t="shared" si="449"/>
      </c>
      <c r="U288" s="180">
        <f t="shared" si="391"/>
      </c>
      <c r="V288" s="179">
        <f t="shared" si="159"/>
      </c>
      <c r="W288" s="179">
        <f t="shared" si="101"/>
      </c>
      <c r="X288" s="180">
        <f t="shared" si="275"/>
      </c>
      <c r="Y288" s="181">
        <f t="shared" si="217"/>
      </c>
      <c r="Z288" s="180">
        <f t="shared" si="420"/>
      </c>
      <c r="AA288" s="182">
        <f t="shared" si="362"/>
      </c>
      <c r="AB288" s="189"/>
      <c r="AC288" s="202"/>
      <c r="AD288" s="212">
        <f>SUM(AD286:AD287)</f>
      </c>
      <c r="AE288" s="190">
        <f>SUM(AE286:AE287)</f>
      </c>
      <c r="AF288" s="190">
        <f>SUM(AF286:AF287)</f>
      </c>
      <c r="AG288" s="190">
        <f>SUM(AG286:AG287)</f>
      </c>
      <c r="AH288" s="190">
        <f>SUM(AH286:AH287)</f>
      </c>
      <c r="AI288" s="190">
        <f>SUM(AI286:AI287)</f>
      </c>
      <c r="AJ288" s="190">
        <f>SUM(AJ286:AJ287)</f>
      </c>
      <c r="AK288" s="190">
        <f>SUM(AK286:AK287)</f>
      </c>
      <c r="AL288" s="190">
        <f>SUM(AL286:AL287)</f>
      </c>
      <c r="AM288" s="191" t="s">
        <v>142</v>
      </c>
    </row>
    <row hidden="true" r="289">
      <c r="A289" s="152"/>
      <c r="B289" s="192" t="s">
        <v>143</v>
      </c>
      <c r="C289" s="192"/>
      <c r="D289" s="192">
        <f>D285+D288</f>
      </c>
      <c r="E289" s="192">
        <f>E285+E288</f>
      </c>
      <c r="F289" s="192">
        <f>F285+F288</f>
      </c>
      <c r="G289" s="192">
        <f>G285+G288</f>
      </c>
      <c r="H289" s="192">
        <f>H285+H288</f>
      </c>
      <c r="I289" s="192">
        <f>I285+I288</f>
      </c>
      <c r="J289" s="192">
        <f>J285+J288</f>
      </c>
      <c r="K289" s="192">
        <f>K285+K288</f>
      </c>
      <c r="L289" s="192">
        <f>L285+L288</f>
      </c>
      <c r="M289" s="192">
        <f>M285+M288</f>
      </c>
      <c r="N289" s="267">
        <f t="shared" si="25"/>
      </c>
      <c r="O289" s="193">
        <f t="shared" si="188"/>
      </c>
      <c r="P289" s="194">
        <f t="shared" si="130"/>
      </c>
      <c r="Q289" s="195">
        <f t="shared" si="304"/>
      </c>
      <c r="R289" s="193">
        <f t="shared" si="246"/>
      </c>
      <c r="S289" s="195">
        <f t="shared" si="333"/>
      </c>
      <c r="T289" s="195">
        <f t="shared" si="449"/>
      </c>
      <c r="U289" s="193">
        <f t="shared" si="391"/>
      </c>
      <c r="V289" s="195">
        <f t="shared" si="159"/>
      </c>
      <c r="W289" s="195">
        <f t="shared" si="101"/>
      </c>
      <c r="X289" s="193">
        <f t="shared" si="275"/>
      </c>
      <c r="Y289" s="196">
        <f t="shared" si="217"/>
      </c>
      <c r="Z289" s="193">
        <f t="shared" si="420"/>
      </c>
      <c r="AA289" s="194">
        <f t="shared" si="362"/>
      </c>
      <c r="AB289" s="262"/>
      <c r="AC289" s="263"/>
      <c r="AD289" s="197">
        <f>AD285+AD288</f>
      </c>
      <c r="AE289" s="197">
        <f>AE285+AE288</f>
      </c>
      <c r="AF289" s="197">
        <f>AF285+AF288</f>
      </c>
      <c r="AG289" s="197">
        <f>AG285+AG288</f>
      </c>
      <c r="AH289" s="197">
        <f>AH285+AH288</f>
      </c>
      <c r="AI289" s="197">
        <f>AI285+AI288</f>
      </c>
      <c r="AJ289" s="197">
        <f>AJ285+AJ288</f>
      </c>
      <c r="AK289" s="197">
        <f>AK285+AK288</f>
      </c>
      <c r="AL289" s="197">
        <f>AL285+AL288</f>
      </c>
      <c r="AM289" s="191"/>
    </row>
    <row hidden="true" r="290">
      <c r="A290" s="139" t="s">
        <v>87</v>
      </c>
      <c r="B290" s="139"/>
      <c r="C290" s="139"/>
      <c r="D290" s="135" t="s">
        <v>88</v>
      </c>
      <c r="E290" s="135"/>
      <c r="F290" s="135"/>
      <c r="G290" s="135"/>
      <c r="H290" s="135"/>
      <c r="I290" s="135"/>
      <c r="J290" s="135"/>
      <c r="K290" s="135"/>
      <c r="L290" s="135"/>
      <c r="M290" s="135"/>
      <c r="N290" s="135"/>
      <c r="O290" s="135"/>
      <c r="P290" s="136" t="s">
        <v>89</v>
      </c>
      <c r="Q290" s="136"/>
      <c r="R290" s="136"/>
      <c r="S290" s="136"/>
      <c r="T290" s="136"/>
      <c r="U290" s="136"/>
      <c r="V290" s="136"/>
      <c r="W290" s="136"/>
      <c r="X290" s="136"/>
      <c r="Y290" s="136"/>
      <c r="Z290" s="136"/>
      <c r="AA290" s="136"/>
      <c r="AB290" s="136"/>
      <c r="AC290" s="136"/>
      <c r="AD290" s="137" t="s">
        <v>90</v>
      </c>
      <c r="AE290" s="137"/>
      <c r="AF290" s="137"/>
      <c r="AG290" s="137"/>
      <c r="AH290" s="137"/>
      <c r="AI290" s="137"/>
      <c r="AJ290" s="137"/>
      <c r="AK290" s="137"/>
      <c r="AL290" s="137"/>
      <c r="AM290" s="138"/>
    </row>
    <row hidden="true" r="291">
      <c r="A291" s="139" t="s">
        <v>91</v>
      </c>
      <c r="B291" s="140" t="s">
        <v>92</v>
      </c>
      <c r="C291" s="140" t="s">
        <v>93</v>
      </c>
      <c r="D291" s="141" t="s">
        <v>94</v>
      </c>
      <c r="E291" s="142" t="s">
        <v>95</v>
      </c>
      <c r="F291" s="142" t="s">
        <v>96</v>
      </c>
      <c r="G291" s="143" t="s">
        <v>97</v>
      </c>
      <c r="H291" s="215" t="s">
        <v>98</v>
      </c>
      <c r="I291" s="219" t="s">
        <v>99</v>
      </c>
      <c r="J291" s="206" t="s">
        <v>100</v>
      </c>
      <c r="K291" s="135" t="s">
        <v>101</v>
      </c>
      <c r="L291" s="146" t="s">
        <v>102</v>
      </c>
      <c r="M291" s="146" t="s">
        <v>103</v>
      </c>
      <c r="N291" s="143" t="s">
        <v>104</v>
      </c>
      <c r="O291" s="146" t="s">
        <v>105</v>
      </c>
      <c r="P291" s="136" t="s">
        <v>106</v>
      </c>
      <c r="Q291" s="136" t="s">
        <v>107</v>
      </c>
      <c r="R291" s="136" t="s">
        <v>108</v>
      </c>
      <c r="S291" s="147" t="s">
        <v>109</v>
      </c>
      <c r="T291" s="147" t="s">
        <v>110</v>
      </c>
      <c r="U291" s="136" t="s">
        <v>111</v>
      </c>
      <c r="V291" s="147" t="s">
        <v>112</v>
      </c>
      <c r="W291" s="147" t="s">
        <v>113</v>
      </c>
      <c r="X291" s="136" t="s">
        <v>114</v>
      </c>
      <c r="Y291" s="147" t="s">
        <v>115</v>
      </c>
      <c r="Z291" s="136" t="s">
        <v>116</v>
      </c>
      <c r="AA291" s="148" t="s">
        <v>117</v>
      </c>
      <c r="AB291" s="148" t="s">
        <v>118</v>
      </c>
      <c r="AC291" s="220" t="s">
        <v>119</v>
      </c>
      <c r="AD291" s="149" t="s">
        <v>120</v>
      </c>
      <c r="AE291" s="150" t="s">
        <v>121</v>
      </c>
      <c r="AF291" s="150" t="s">
        <v>122</v>
      </c>
      <c r="AG291" s="150" t="s">
        <v>123</v>
      </c>
      <c r="AH291" s="150" t="s">
        <v>124</v>
      </c>
      <c r="AI291" s="150" t="s">
        <v>125</v>
      </c>
      <c r="AJ291" s="151" t="s">
        <v>126</v>
      </c>
      <c r="AK291" s="151" t="s">
        <v>127</v>
      </c>
      <c r="AL291" s="151" t="s">
        <v>128</v>
      </c>
      <c r="AM291" s="138"/>
    </row>
    <row r="292">
      <c r="A292" s="152" t="s">
        <v>184</v>
      </c>
      <c r="B292" s="153" t="s">
        <v>130</v>
      </c>
      <c r="C292" s="154" t="s">
        <v>131</v>
      </c>
      <c r="D292" s="154">
        <f t="shared" ref="D292:D295" si="70">E292+F292+G292+H292</f>
      </c>
      <c r="E292" s="155">
        <v>2873.45</v>
      </c>
      <c r="F292" s="156">
        <v>1113.03</v>
      </c>
      <c r="G292" s="157"/>
      <c r="H292" s="155">
        <v>0</v>
      </c>
      <c r="I292" s="208">
        <v>6</v>
      </c>
      <c r="J292" s="258">
        <v>10449</v>
      </c>
      <c r="K292" s="208">
        <v>1</v>
      </c>
      <c r="L292" s="208">
        <v>1</v>
      </c>
      <c r="M292" s="208">
        <v>4</v>
      </c>
      <c r="N292" s="159">
        <f t="shared" ref="N292:N302" si="26">J292/D292</f>
      </c>
      <c r="O292" s="159">
        <f t="shared" ref="O292:O302" si="189">J292/(D292+300*AL292)</f>
      </c>
      <c r="P292" s="160">
        <f t="shared" ref="P292:P302" si="131">(D292/AE292)*1000</f>
      </c>
      <c r="Q292" s="161">
        <f t="shared" ref="Q292:Q302" si="305">AF292/AE292</f>
      </c>
      <c r="R292" s="162">
        <f t="shared" ref="R292:R302" si="247">D292/AG292</f>
      </c>
      <c r="S292" s="161">
        <f t="shared" ref="S292:S302" si="334">AH292/AG292</f>
      </c>
      <c r="T292" s="161">
        <f t="shared" ref="T292:T302" si="450">AI292/AG292</f>
      </c>
      <c r="U292" s="162">
        <f t="shared" ref="U292:U302" si="392">D292/AI292</f>
      </c>
      <c r="V292" s="161">
        <f t="shared" ref="V292:V302" si="160">AJ292/AI292</f>
      </c>
      <c r="W292" s="161">
        <f t="shared" ref="W292:W302" si="102">I292/AJ292</f>
      </c>
      <c r="X292" s="162">
        <f t="shared" ref="X292:X302" si="276">D292/I292</f>
      </c>
      <c r="Y292" s="163">
        <f t="shared" ref="Y292:Y302" si="218">J292/I292</f>
      </c>
      <c r="Z292" s="162">
        <f t="shared" ref="Z292:Z302" si="421">D292/AD292</f>
      </c>
      <c r="AA292" s="164">
        <f t="shared" ref="AA292:AA302" si="363">AK292*1000/D292</f>
      </c>
      <c r="AB292" s="199" t="s">
        <v>132</v>
      </c>
      <c r="AC292" s="200" t="s">
        <v>153</v>
      </c>
      <c r="AD292" s="259">
        <v>6</v>
      </c>
      <c r="AE292" s="233">
        <v>9435</v>
      </c>
      <c r="AF292" s="209">
        <v>423</v>
      </c>
      <c r="AG292" s="157">
        <v>534</v>
      </c>
      <c r="AH292" s="157">
        <v>110</v>
      </c>
      <c r="AI292" s="153">
        <v>39</v>
      </c>
      <c r="AJ292" s="158">
        <v>9</v>
      </c>
      <c r="AK292" s="156">
        <v>25</v>
      </c>
      <c r="AL292" s="175">
        <v>1</v>
      </c>
      <c r="AM292" s="168"/>
    </row>
    <row r="293">
      <c r="A293" s="152"/>
      <c r="B293" s="169" t="s">
        <v>134</v>
      </c>
      <c r="C293" s="234" t="s">
        <v>131</v>
      </c>
      <c r="D293" s="157">
        <f t="shared" si="70"/>
      </c>
      <c r="E293" s="158">
        <v>2653.01</v>
      </c>
      <c r="F293" s="170">
        <v>545.89</v>
      </c>
      <c r="G293" s="153"/>
      <c r="H293" s="155"/>
      <c r="I293" s="218">
        <v>2</v>
      </c>
      <c r="J293" s="209">
        <v>3216</v>
      </c>
      <c r="K293" s="158">
        <v>0</v>
      </c>
      <c r="L293" s="156">
        <v>1</v>
      </c>
      <c r="M293" s="156">
        <v>1</v>
      </c>
      <c r="N293" s="159">
        <f t="shared" si="26"/>
      </c>
      <c r="O293" s="159">
        <f t="shared" si="189"/>
      </c>
      <c r="P293" s="160">
        <f t="shared" si="131"/>
      </c>
      <c r="Q293" s="161">
        <f t="shared" si="305"/>
      </c>
      <c r="R293" s="162">
        <f t="shared" si="247"/>
      </c>
      <c r="S293" s="161">
        <f t="shared" si="334"/>
      </c>
      <c r="T293" s="161">
        <f t="shared" si="450"/>
      </c>
      <c r="U293" s="162">
        <f t="shared" si="392"/>
      </c>
      <c r="V293" s="161">
        <f t="shared" si="160"/>
      </c>
      <c r="W293" s="161">
        <f t="shared" si="102"/>
      </c>
      <c r="X293" s="162">
        <f t="shared" si="276"/>
      </c>
      <c r="Y293" s="163">
        <f t="shared" si="218"/>
      </c>
      <c r="Z293" s="162">
        <f t="shared" si="421"/>
      </c>
      <c r="AA293" s="164">
        <f t="shared" si="363"/>
      </c>
      <c r="AB293" s="199" t="s">
        <v>132</v>
      </c>
      <c r="AC293" s="200" t="s">
        <v>153</v>
      </c>
      <c r="AD293" s="258">
        <v>2</v>
      </c>
      <c r="AE293" s="172">
        <v>9372</v>
      </c>
      <c r="AF293" s="172">
        <v>327</v>
      </c>
      <c r="AG293" s="171">
        <v>447</v>
      </c>
      <c r="AH293" s="153">
        <v>77</v>
      </c>
      <c r="AI293" s="153">
        <v>15</v>
      </c>
      <c r="AJ293" s="201">
        <v>9</v>
      </c>
      <c r="AK293" s="210">
        <v>21</v>
      </c>
      <c r="AL293" s="175">
        <v>1</v>
      </c>
      <c r="AM293" s="168"/>
    </row>
    <row r="294">
      <c r="A294" s="152"/>
      <c r="B294" s="169" t="s">
        <v>135</v>
      </c>
      <c r="C294" s="209" t="s">
        <v>131</v>
      </c>
      <c r="D294" s="157">
        <f t="shared" si="70"/>
      </c>
      <c r="E294" s="158">
        <v>2254</v>
      </c>
      <c r="F294" s="158">
        <v>470.22</v>
      </c>
      <c r="G294" s="153"/>
      <c r="H294" s="156"/>
      <c r="I294" s="184">
        <v>0</v>
      </c>
      <c r="J294" s="184">
        <v>0</v>
      </c>
      <c r="K294" s="184">
        <v>0</v>
      </c>
      <c r="L294" s="184">
        <v>0</v>
      </c>
      <c r="M294" s="184">
        <v>0</v>
      </c>
      <c r="N294" s="159">
        <f t="shared" si="26"/>
      </c>
      <c r="O294" s="159">
        <f t="shared" si="189"/>
      </c>
      <c r="P294" s="160">
        <f t="shared" si="131"/>
      </c>
      <c r="Q294" s="161">
        <f t="shared" si="305"/>
      </c>
      <c r="R294" s="162">
        <f t="shared" si="247"/>
      </c>
      <c r="S294" s="161">
        <f t="shared" si="334"/>
      </c>
      <c r="T294" s="161">
        <f t="shared" si="450"/>
      </c>
      <c r="U294" s="162">
        <f t="shared" si="392"/>
      </c>
      <c r="V294" s="161">
        <f t="shared" si="160"/>
      </c>
      <c r="W294" s="161">
        <f t="shared" si="102"/>
      </c>
      <c r="X294" s="162">
        <f t="shared" si="276"/>
      </c>
      <c r="Y294" s="163">
        <f t="shared" si="218"/>
      </c>
      <c r="Z294" s="162">
        <f t="shared" si="421"/>
      </c>
      <c r="AA294" s="164">
        <f t="shared" si="363"/>
      </c>
      <c r="AB294" s="199" t="s">
        <v>132</v>
      </c>
      <c r="AC294" s="200" t="s">
        <v>153</v>
      </c>
      <c r="AD294" s="258">
        <v>0</v>
      </c>
      <c r="AE294" s="157">
        <v>8587</v>
      </c>
      <c r="AF294" s="157">
        <v>243</v>
      </c>
      <c r="AG294" s="153">
        <v>378</v>
      </c>
      <c r="AH294" s="153">
        <v>64</v>
      </c>
      <c r="AI294" s="153">
        <v>18</v>
      </c>
      <c r="AJ294" s="201">
        <v>2</v>
      </c>
      <c r="AK294" s="210">
        <v>12</v>
      </c>
      <c r="AL294" s="175">
        <v>1</v>
      </c>
      <c r="AM294" s="168"/>
    </row>
    <row r="295">
      <c r="A295" s="152"/>
      <c r="B295" s="169" t="s">
        <v>136</v>
      </c>
      <c r="C295" s="171" t="s">
        <v>131</v>
      </c>
      <c r="D295" s="157">
        <f t="shared" si="70"/>
      </c>
      <c r="E295" s="158">
        <v>2160.03</v>
      </c>
      <c r="F295" s="158">
        <v>687.34</v>
      </c>
      <c r="G295" s="153"/>
      <c r="H295" s="156"/>
      <c r="I295" s="156">
        <v>3</v>
      </c>
      <c r="J295" s="156">
        <v>6804</v>
      </c>
      <c r="K295" s="156">
        <v>0</v>
      </c>
      <c r="L295" s="156">
        <v>0</v>
      </c>
      <c r="M295" s="156">
        <v>3</v>
      </c>
      <c r="N295" s="159">
        <f t="shared" si="26"/>
      </c>
      <c r="O295" s="159">
        <f t="shared" si="189"/>
      </c>
      <c r="P295" s="160">
        <f t="shared" si="131"/>
      </c>
      <c r="Q295" s="161">
        <f t="shared" si="305"/>
      </c>
      <c r="R295" s="162">
        <f t="shared" si="247"/>
      </c>
      <c r="S295" s="161">
        <f t="shared" si="334"/>
      </c>
      <c r="T295" s="161">
        <f t="shared" si="450"/>
      </c>
      <c r="U295" s="162">
        <f t="shared" si="392"/>
      </c>
      <c r="V295" s="161">
        <f t="shared" si="160"/>
      </c>
      <c r="W295" s="161">
        <f t="shared" si="102"/>
      </c>
      <c r="X295" s="162">
        <f t="shared" si="276"/>
      </c>
      <c r="Y295" s="163">
        <f t="shared" si="218"/>
      </c>
      <c r="Z295" s="162">
        <f t="shared" si="421"/>
      </c>
      <c r="AA295" s="164">
        <f t="shared" si="363"/>
      </c>
      <c r="AB295" s="199" t="s">
        <v>132</v>
      </c>
      <c r="AC295" s="200" t="s">
        <v>153</v>
      </c>
      <c r="AD295" s="260">
        <v>1</v>
      </c>
      <c r="AE295" s="172">
        <v>10257</v>
      </c>
      <c r="AF295" s="153">
        <v>280</v>
      </c>
      <c r="AG295" s="153">
        <v>431</v>
      </c>
      <c r="AH295" s="153">
        <v>59</v>
      </c>
      <c r="AI295" s="153">
        <v>18</v>
      </c>
      <c r="AJ295" s="201">
        <v>6</v>
      </c>
      <c r="AK295" s="210">
        <v>18</v>
      </c>
      <c r="AL295" s="175">
        <v>1</v>
      </c>
      <c r="AM295" s="168"/>
    </row>
    <row r="296">
      <c r="A296" s="152"/>
      <c r="B296" s="176" t="s">
        <v>137</v>
      </c>
      <c r="C296" s="176"/>
      <c r="D296" s="176">
        <f>SUM(D292:D295)</f>
      </c>
      <c r="E296" s="176">
        <f>SUM(E292:E295)</f>
      </c>
      <c r="F296" s="176">
        <f>SUM(F292:F295)</f>
      </c>
      <c r="G296" s="176">
        <f>SUM(G292:G295)</f>
      </c>
      <c r="H296" s="176">
        <f>SUM(H292:H295)</f>
      </c>
      <c r="I296" s="176">
        <f>SUM(I292:I295)</f>
      </c>
      <c r="J296" s="176">
        <f>SUM(J292:J295)</f>
      </c>
      <c r="K296" s="176">
        <f>SUM(K292:K295)</f>
      </c>
      <c r="L296" s="176">
        <f>SUM(L292:L295)</f>
      </c>
      <c r="M296" s="176">
        <f>SUM(M292:M295)</f>
      </c>
      <c r="N296" s="177">
        <f t="shared" si="26"/>
      </c>
      <c r="O296" s="253">
        <f t="shared" si="189"/>
      </c>
      <c r="P296" s="254">
        <f t="shared" si="131"/>
      </c>
      <c r="Q296" s="255">
        <f t="shared" si="305"/>
      </c>
      <c r="R296" s="256">
        <f t="shared" si="247"/>
      </c>
      <c r="S296" s="255">
        <f t="shared" si="334"/>
      </c>
      <c r="T296" s="179">
        <f t="shared" si="450"/>
      </c>
      <c r="U296" s="180">
        <f t="shared" si="392"/>
      </c>
      <c r="V296" s="179">
        <f t="shared" si="160"/>
      </c>
      <c r="W296" s="179">
        <f t="shared" si="102"/>
      </c>
      <c r="X296" s="180">
        <f t="shared" si="276"/>
      </c>
      <c r="Y296" s="181">
        <f t="shared" si="218"/>
      </c>
      <c r="Z296" s="180">
        <f t="shared" si="421"/>
      </c>
      <c r="AA296" s="182">
        <f t="shared" si="363"/>
      </c>
      <c r="AB296" s="189"/>
      <c r="AC296" s="202"/>
      <c r="AD296" s="261">
        <f>SUM(AD292:AD295)</f>
      </c>
      <c r="AE296" s="183">
        <f>SUM(AE292:AE295)</f>
      </c>
      <c r="AF296" s="183">
        <f>SUM(AF292:AF295)</f>
      </c>
      <c r="AG296" s="183">
        <f>SUM(AG292:AG295)</f>
      </c>
      <c r="AH296" s="183">
        <f>SUM(AH292:AH295)</f>
      </c>
      <c r="AI296" s="183">
        <f>SUM(AI292:AI295)</f>
      </c>
      <c r="AJ296" s="183">
        <f>SUM(AJ292:AJ295)</f>
      </c>
      <c r="AK296" s="183">
        <f>SUM(AK292:AK295)</f>
      </c>
      <c r="AL296" s="183">
        <f>SUM(AL292:AL295)</f>
      </c>
      <c r="AM296" s="168"/>
    </row>
    <row r="297">
      <c r="A297" s="152"/>
      <c r="B297" s="184" t="s">
        <v>145</v>
      </c>
      <c r="C297" s="154" t="s">
        <v>139</v>
      </c>
      <c r="D297" s="153">
        <f t="shared" ref="D297:D300" si="71">E297+F297+G297+H297</f>
      </c>
      <c r="E297" s="156">
        <v>2625.78</v>
      </c>
      <c r="F297" s="158">
        <v>567.75</v>
      </c>
      <c r="G297" s="153"/>
      <c r="H297" s="156"/>
      <c r="I297" s="156">
        <v>3</v>
      </c>
      <c r="J297" s="153">
        <v>5296</v>
      </c>
      <c r="K297" s="156">
        <v>0</v>
      </c>
      <c r="L297" s="156">
        <v>1</v>
      </c>
      <c r="M297" s="186">
        <v>2</v>
      </c>
      <c r="N297" s="257">
        <f t="shared" si="26"/>
      </c>
      <c r="O297" s="239">
        <f t="shared" si="189"/>
      </c>
      <c r="P297" s="240">
        <f t="shared" si="131"/>
      </c>
      <c r="Q297" s="241">
        <f t="shared" si="305"/>
      </c>
      <c r="R297" s="242">
        <f t="shared" si="247"/>
      </c>
      <c r="S297" s="241">
        <f t="shared" si="334"/>
      </c>
      <c r="T297" s="243">
        <f t="shared" si="450"/>
      </c>
      <c r="U297" s="162">
        <f t="shared" si="392"/>
      </c>
      <c r="V297" s="161">
        <f t="shared" si="160"/>
      </c>
      <c r="W297" s="161">
        <f t="shared" si="102"/>
      </c>
      <c r="X297" s="162">
        <f t="shared" si="276"/>
      </c>
      <c r="Y297" s="163">
        <f t="shared" si="218"/>
      </c>
      <c r="Z297" s="162">
        <f t="shared" si="421"/>
      </c>
      <c r="AA297" s="164">
        <f t="shared" si="363"/>
      </c>
      <c r="AB297" s="199" t="s">
        <v>132</v>
      </c>
      <c r="AC297" s="200" t="s">
        <v>153</v>
      </c>
      <c r="AD297" s="258">
        <v>4</v>
      </c>
      <c r="AE297" s="185">
        <v>13648</v>
      </c>
      <c r="AF297" s="167">
        <v>350</v>
      </c>
      <c r="AG297" s="167">
        <v>473</v>
      </c>
      <c r="AH297" s="167">
        <v>77</v>
      </c>
      <c r="AI297" s="167">
        <v>30</v>
      </c>
      <c r="AJ297" s="175">
        <v>6</v>
      </c>
      <c r="AK297" s="175">
        <v>19</v>
      </c>
      <c r="AL297" s="175">
        <v>1</v>
      </c>
      <c r="AM297" s="168"/>
    </row>
    <row r="298">
      <c r="A298" s="152"/>
      <c r="B298" s="171" t="s">
        <v>140</v>
      </c>
      <c r="C298" s="154" t="s">
        <v>139</v>
      </c>
      <c r="D298" s="153">
        <f t="shared" si="71"/>
      </c>
      <c r="E298" s="156">
        <v>2204.18</v>
      </c>
      <c r="F298" s="158">
        <v>600.49</v>
      </c>
      <c r="G298" s="153"/>
      <c r="H298" s="156"/>
      <c r="I298" s="156">
        <v>2</v>
      </c>
      <c r="J298" s="153">
        <v>3216</v>
      </c>
      <c r="K298" s="156">
        <v>0</v>
      </c>
      <c r="L298" s="156">
        <v>1</v>
      </c>
      <c r="M298" s="186">
        <v>1</v>
      </c>
      <c r="N298" s="257">
        <f t="shared" si="26"/>
      </c>
      <c r="O298" s="239">
        <f t="shared" si="189"/>
      </c>
      <c r="P298" s="240">
        <f t="shared" si="131"/>
      </c>
      <c r="Q298" s="241">
        <f t="shared" si="305"/>
      </c>
      <c r="R298" s="242">
        <f t="shared" si="247"/>
      </c>
      <c r="S298" s="241">
        <f t="shared" si="334"/>
      </c>
      <c r="T298" s="243">
        <f t="shared" si="450"/>
      </c>
      <c r="U298" s="162">
        <f t="shared" si="392"/>
      </c>
      <c r="V298" s="161">
        <f t="shared" si="160"/>
      </c>
      <c r="W298" s="161">
        <f t="shared" si="102"/>
      </c>
      <c r="X298" s="162">
        <f t="shared" si="276"/>
      </c>
      <c r="Y298" s="163">
        <f t="shared" si="218"/>
      </c>
      <c r="Z298" s="162">
        <f t="shared" si="421"/>
      </c>
      <c r="AA298" s="164">
        <f t="shared" si="363"/>
      </c>
      <c r="AB298" s="199" t="s">
        <v>132</v>
      </c>
      <c r="AC298" s="200" t="s">
        <v>153</v>
      </c>
      <c r="AD298" s="258">
        <v>2</v>
      </c>
      <c r="AE298" s="185">
        <v>9664</v>
      </c>
      <c r="AF298" s="167">
        <v>292</v>
      </c>
      <c r="AG298" s="167">
        <v>383</v>
      </c>
      <c r="AH298" s="167">
        <v>71</v>
      </c>
      <c r="AI298" s="167">
        <v>16</v>
      </c>
      <c r="AJ298" s="175">
        <v>6</v>
      </c>
      <c r="AK298" s="175">
        <v>18</v>
      </c>
      <c r="AL298" s="175">
        <v>1</v>
      </c>
      <c r="AM298" s="168"/>
    </row>
    <row r="299">
      <c r="A299" s="152"/>
      <c r="B299" s="156" t="s">
        <v>141</v>
      </c>
      <c r="C299" s="154" t="s">
        <v>139</v>
      </c>
      <c r="D299" s="153">
        <f t="shared" si="71"/>
      </c>
      <c r="E299" s="156">
        <v>2127.34</v>
      </c>
      <c r="F299" s="158">
        <v>328.18</v>
      </c>
      <c r="G299" s="153"/>
      <c r="H299" s="156"/>
      <c r="I299" s="156">
        <v>1</v>
      </c>
      <c r="J299" s="156">
        <v>2268</v>
      </c>
      <c r="K299" s="156">
        <v>0</v>
      </c>
      <c r="L299" s="156">
        <v>0</v>
      </c>
      <c r="M299" s="156">
        <v>1</v>
      </c>
      <c r="N299" s="251">
        <f t="shared" si="26"/>
      </c>
      <c r="O299" s="239">
        <f t="shared" si="189"/>
      </c>
      <c r="P299" s="240">
        <f t="shared" si="131"/>
      </c>
      <c r="Q299" s="241">
        <f t="shared" si="305"/>
      </c>
      <c r="R299" s="242">
        <f t="shared" si="247"/>
      </c>
      <c r="S299" s="241">
        <f t="shared" si="334"/>
      </c>
      <c r="T299" s="243">
        <f t="shared" si="450"/>
      </c>
      <c r="U299" s="162">
        <f t="shared" si="392"/>
      </c>
      <c r="V299" s="161">
        <f t="shared" si="160"/>
      </c>
      <c r="W299" s="161">
        <f t="shared" si="102"/>
      </c>
      <c r="X299" s="162">
        <f t="shared" si="276"/>
      </c>
      <c r="Y299" s="163">
        <f t="shared" si="218"/>
      </c>
      <c r="Z299" s="162">
        <f t="shared" si="421"/>
      </c>
      <c r="AA299" s="164">
        <f t="shared" si="363"/>
      </c>
      <c r="AB299" s="199" t="s">
        <v>132</v>
      </c>
      <c r="AC299" s="200" t="s">
        <v>153</v>
      </c>
      <c r="AD299" s="258">
        <v>0</v>
      </c>
      <c r="AE299" s="185">
        <v>8751</v>
      </c>
      <c r="AF299" s="167">
        <v>241</v>
      </c>
      <c r="AG299" s="167">
        <v>411</v>
      </c>
      <c r="AH299" s="167">
        <v>49</v>
      </c>
      <c r="AI299" s="167">
        <v>17</v>
      </c>
      <c r="AJ299" s="175">
        <v>4</v>
      </c>
      <c r="AK299" s="175">
        <v>7</v>
      </c>
      <c r="AL299" s="175">
        <v>1</v>
      </c>
      <c r="AM299" s="168"/>
    </row>
    <row r="300">
      <c r="A300" s="152"/>
      <c r="B300" s="155" t="s">
        <v>150</v>
      </c>
      <c r="C300" s="209" t="s">
        <v>139</v>
      </c>
      <c r="D300" s="157">
        <f t="shared" si="71"/>
      </c>
      <c r="E300" s="156">
        <v>2552.61</v>
      </c>
      <c r="F300" s="158">
        <v>518.34</v>
      </c>
      <c r="G300" s="153"/>
      <c r="H300" s="156"/>
      <c r="I300" s="156">
        <v>3</v>
      </c>
      <c r="J300" s="153">
        <v>5405</v>
      </c>
      <c r="K300" s="156">
        <v>0</v>
      </c>
      <c r="L300" s="155">
        <v>1</v>
      </c>
      <c r="M300" s="250">
        <v>2</v>
      </c>
      <c r="N300" s="268">
        <f t="shared" si="26"/>
      </c>
      <c r="O300" s="239">
        <f t="shared" si="189"/>
      </c>
      <c r="P300" s="240">
        <f t="shared" si="131"/>
      </c>
      <c r="Q300" s="241">
        <f t="shared" si="305"/>
      </c>
      <c r="R300" s="242">
        <f t="shared" si="247"/>
      </c>
      <c r="S300" s="241">
        <f t="shared" si="334"/>
      </c>
      <c r="T300" s="243">
        <f t="shared" si="450"/>
      </c>
      <c r="U300" s="162">
        <f t="shared" si="392"/>
      </c>
      <c r="V300" s="161">
        <f t="shared" si="160"/>
      </c>
      <c r="W300" s="161">
        <f t="shared" si="102"/>
      </c>
      <c r="X300" s="162">
        <f t="shared" si="276"/>
      </c>
      <c r="Y300" s="163">
        <f t="shared" si="218"/>
      </c>
      <c r="Z300" s="162">
        <f t="shared" si="421"/>
      </c>
      <c r="AA300" s="164">
        <f t="shared" si="363"/>
      </c>
      <c r="AB300" s="199" t="s">
        <v>132</v>
      </c>
      <c r="AC300" s="200" t="s">
        <v>153</v>
      </c>
      <c r="AD300" s="258">
        <v>3</v>
      </c>
      <c r="AE300" s="185">
        <v>11659</v>
      </c>
      <c r="AF300" s="167">
        <v>285</v>
      </c>
      <c r="AG300" s="167">
        <v>545</v>
      </c>
      <c r="AH300" s="167">
        <v>71</v>
      </c>
      <c r="AI300" s="167">
        <v>25</v>
      </c>
      <c r="AJ300" s="175">
        <v>3</v>
      </c>
      <c r="AK300" s="175">
        <v>12</v>
      </c>
      <c r="AL300" s="175">
        <v>1</v>
      </c>
      <c r="AM300" s="168"/>
    </row>
    <row r="301">
      <c r="A301" s="152"/>
      <c r="B301" s="176" t="s">
        <v>137</v>
      </c>
      <c r="C301" s="176"/>
      <c r="D301" s="176">
        <f>SUM(D297:D300)</f>
      </c>
      <c r="E301" s="176">
        <f>SUM(E297:E300)</f>
      </c>
      <c r="F301" s="176">
        <f>SUM(F297:F300)</f>
      </c>
      <c r="G301" s="176">
        <f>SUM(G297:G300)</f>
      </c>
      <c r="H301" s="176">
        <f>SUM(H297:H300)</f>
      </c>
      <c r="I301" s="176">
        <f>SUM(I297:I300)</f>
      </c>
      <c r="J301" s="176">
        <f>SUM(J297:J300)</f>
      </c>
      <c r="K301" s="176">
        <f>SUM(K297:K300)</f>
      </c>
      <c r="L301" s="176">
        <f>SUM(L297:L300)</f>
      </c>
      <c r="M301" s="264">
        <f>SUM(M297:M300)</f>
      </c>
      <c r="N301" s="265">
        <f t="shared" si="26"/>
      </c>
      <c r="O301" s="266">
        <f t="shared" si="189"/>
      </c>
      <c r="P301" s="245">
        <f t="shared" si="131"/>
      </c>
      <c r="Q301" s="246">
        <f t="shared" si="305"/>
      </c>
      <c r="R301" s="247">
        <f t="shared" si="247"/>
      </c>
      <c r="S301" s="246">
        <f t="shared" si="334"/>
      </c>
      <c r="T301" s="179">
        <f t="shared" si="450"/>
      </c>
      <c r="U301" s="180">
        <f t="shared" si="392"/>
      </c>
      <c r="V301" s="179">
        <f t="shared" si="160"/>
      </c>
      <c r="W301" s="179">
        <f t="shared" si="102"/>
      </c>
      <c r="X301" s="180">
        <f t="shared" si="276"/>
      </c>
      <c r="Y301" s="181">
        <f t="shared" si="218"/>
      </c>
      <c r="Z301" s="180">
        <f t="shared" si="421"/>
      </c>
      <c r="AA301" s="182">
        <f t="shared" si="363"/>
      </c>
      <c r="AB301" s="189"/>
      <c r="AC301" s="202"/>
      <c r="AD301" s="212">
        <f>SUM(AD297:AD300)</f>
      </c>
      <c r="AE301" s="190">
        <f>SUM(AE297:AE300)</f>
      </c>
      <c r="AF301" s="190">
        <f>SUM(AF297:AF300)</f>
      </c>
      <c r="AG301" s="190">
        <f>SUM(AG297:AG300)</f>
      </c>
      <c r="AH301" s="190">
        <f>SUM(AH297:AH300)</f>
      </c>
      <c r="AI301" s="190">
        <f>SUM(AI297:AI300)</f>
      </c>
      <c r="AJ301" s="190">
        <f>SUM(AJ297:AJ300)</f>
      </c>
      <c r="AK301" s="190">
        <f>SUM(AK297:AK300)</f>
      </c>
      <c r="AL301" s="190">
        <f>SUM(AL297:AL300)</f>
      </c>
      <c r="AM301" s="191" t="s">
        <v>142</v>
      </c>
    </row>
    <row r="302">
      <c r="A302" s="152"/>
      <c r="B302" s="192" t="s">
        <v>143</v>
      </c>
      <c r="C302" s="192"/>
      <c r="D302" s="192">
        <f>D296+D301</f>
      </c>
      <c r="E302" s="192">
        <f>E296+E301</f>
      </c>
      <c r="F302" s="192">
        <f>F296+F301</f>
      </c>
      <c r="G302" s="192">
        <f>G296+G301</f>
      </c>
      <c r="H302" s="192">
        <f>H296+H301</f>
      </c>
      <c r="I302" s="192">
        <f>I296+I301</f>
      </c>
      <c r="J302" s="192">
        <f>J296+J301</f>
      </c>
      <c r="K302" s="192">
        <f>K296+K301</f>
      </c>
      <c r="L302" s="192">
        <f>L296+L301</f>
      </c>
      <c r="M302" s="192">
        <f>M296+M301</f>
      </c>
      <c r="N302" s="267">
        <f t="shared" si="26"/>
      </c>
      <c r="O302" s="193">
        <f t="shared" si="189"/>
      </c>
      <c r="P302" s="194">
        <f t="shared" si="131"/>
      </c>
      <c r="Q302" s="195">
        <f t="shared" si="305"/>
      </c>
      <c r="R302" s="193">
        <f t="shared" si="247"/>
      </c>
      <c r="S302" s="195">
        <f t="shared" si="334"/>
      </c>
      <c r="T302" s="195">
        <f t="shared" si="450"/>
      </c>
      <c r="U302" s="193">
        <f t="shared" si="392"/>
      </c>
      <c r="V302" s="195">
        <f t="shared" si="160"/>
      </c>
      <c r="W302" s="195">
        <f t="shared" si="102"/>
      </c>
      <c r="X302" s="193">
        <f t="shared" si="276"/>
      </c>
      <c r="Y302" s="196">
        <f t="shared" si="218"/>
      </c>
      <c r="Z302" s="193">
        <f t="shared" si="421"/>
      </c>
      <c r="AA302" s="194">
        <f t="shared" si="363"/>
      </c>
      <c r="AB302" s="262"/>
      <c r="AC302" s="263"/>
      <c r="AD302" s="197">
        <f>AD296+AD301</f>
      </c>
      <c r="AE302" s="197">
        <f>AE296+AE301</f>
      </c>
      <c r="AF302" s="197">
        <f>AF296+AF301</f>
      </c>
      <c r="AG302" s="197">
        <f>AG296+AG301</f>
      </c>
      <c r="AH302" s="197">
        <f>AH296+AH301</f>
      </c>
      <c r="AI302" s="197">
        <f>AI296+AI301</f>
      </c>
      <c r="AJ302" s="197">
        <f>AJ296+AJ301</f>
      </c>
      <c r="AK302" s="197">
        <f>AK296+AK301</f>
      </c>
      <c r="AL302" s="197">
        <f>AL296+AL301</f>
      </c>
      <c r="AM302" s="191"/>
    </row>
    <row hidden="true" r="303">
      <c r="A303" s="139" t="s">
        <v>87</v>
      </c>
      <c r="B303" s="139"/>
      <c r="C303" s="139"/>
      <c r="D303" s="135" t="s">
        <v>88</v>
      </c>
      <c r="E303" s="135"/>
      <c r="F303" s="135"/>
      <c r="G303" s="135"/>
      <c r="H303" s="135"/>
      <c r="I303" s="204"/>
      <c r="J303" s="135"/>
      <c r="K303" s="135"/>
      <c r="L303" s="135"/>
      <c r="M303" s="135"/>
      <c r="N303" s="135"/>
      <c r="O303" s="135"/>
      <c r="P303" s="136" t="s">
        <v>89</v>
      </c>
      <c r="Q303" s="136"/>
      <c r="R303" s="136"/>
      <c r="S303" s="136"/>
      <c r="T303" s="136"/>
      <c r="U303" s="136"/>
      <c r="V303" s="136"/>
      <c r="W303" s="136"/>
      <c r="X303" s="136"/>
      <c r="Y303" s="136"/>
      <c r="Z303" s="136"/>
      <c r="AA303" s="136"/>
      <c r="AB303" s="136"/>
      <c r="AC303" s="136"/>
      <c r="AD303" s="137" t="s">
        <v>90</v>
      </c>
      <c r="AE303" s="137"/>
      <c r="AF303" s="137"/>
      <c r="AG303" s="137"/>
      <c r="AH303" s="137"/>
      <c r="AI303" s="137"/>
      <c r="AJ303" s="137"/>
      <c r="AK303" s="137"/>
      <c r="AL303" s="137"/>
      <c r="AM303" s="138"/>
    </row>
    <row hidden="true" r="304">
      <c r="A304" s="139" t="s">
        <v>91</v>
      </c>
      <c r="B304" s="140" t="s">
        <v>92</v>
      </c>
      <c r="C304" s="140" t="s">
        <v>93</v>
      </c>
      <c r="D304" s="141" t="s">
        <v>94</v>
      </c>
      <c r="E304" s="142" t="s">
        <v>95</v>
      </c>
      <c r="F304" s="142" t="s">
        <v>96</v>
      </c>
      <c r="G304" s="143" t="s">
        <v>185</v>
      </c>
      <c r="H304" s="215" t="s">
        <v>186</v>
      </c>
      <c r="I304" s="219" t="s">
        <v>99</v>
      </c>
      <c r="J304" s="269" t="s">
        <v>100</v>
      </c>
      <c r="K304" s="135" t="s">
        <v>101</v>
      </c>
      <c r="L304" s="146" t="s">
        <v>102</v>
      </c>
      <c r="M304" s="146" t="s">
        <v>103</v>
      </c>
      <c r="N304" s="143" t="s">
        <v>104</v>
      </c>
      <c r="O304" s="146" t="s">
        <v>105</v>
      </c>
      <c r="P304" s="136" t="s">
        <v>106</v>
      </c>
      <c r="Q304" s="136" t="s">
        <v>107</v>
      </c>
      <c r="R304" s="136" t="s">
        <v>108</v>
      </c>
      <c r="S304" s="147" t="s">
        <v>109</v>
      </c>
      <c r="T304" s="147" t="s">
        <v>110</v>
      </c>
      <c r="U304" s="136" t="s">
        <v>111</v>
      </c>
      <c r="V304" s="147" t="s">
        <v>112</v>
      </c>
      <c r="W304" s="147" t="s">
        <v>113</v>
      </c>
      <c r="X304" s="136" t="s">
        <v>114</v>
      </c>
      <c r="Y304" s="147" t="s">
        <v>115</v>
      </c>
      <c r="Z304" s="136" t="s">
        <v>116</v>
      </c>
      <c r="AA304" s="148" t="s">
        <v>117</v>
      </c>
      <c r="AB304" s="148" t="s">
        <v>118</v>
      </c>
      <c r="AC304" s="220" t="s">
        <v>119</v>
      </c>
      <c r="AD304" s="149" t="s">
        <v>120</v>
      </c>
      <c r="AE304" s="150" t="s">
        <v>121</v>
      </c>
      <c r="AF304" s="150" t="s">
        <v>122</v>
      </c>
      <c r="AG304" s="150" t="s">
        <v>123</v>
      </c>
      <c r="AH304" s="150" t="s">
        <v>124</v>
      </c>
      <c r="AI304" s="150" t="s">
        <v>125</v>
      </c>
      <c r="AJ304" s="151" t="s">
        <v>126</v>
      </c>
      <c r="AK304" s="151" t="s">
        <v>127</v>
      </c>
      <c r="AL304" s="151" t="s">
        <v>128</v>
      </c>
      <c r="AM304" s="138"/>
    </row>
    <row r="305">
      <c r="A305" s="152" t="s">
        <v>187</v>
      </c>
      <c r="B305" s="153" t="s">
        <v>130</v>
      </c>
      <c r="C305" s="154" t="s">
        <v>131</v>
      </c>
      <c r="D305" s="207">
        <f t="shared" ref="D305:D308" si="72">E305+F305+G305+H305</f>
      </c>
      <c r="E305" s="208">
        <v>2308.33</v>
      </c>
      <c r="F305" s="158"/>
      <c r="G305" s="157">
        <v>523.1</v>
      </c>
      <c r="H305" s="155"/>
      <c r="I305" s="208">
        <v>2</v>
      </c>
      <c r="J305" s="258">
        <v>1896</v>
      </c>
      <c r="K305" s="208">
        <v>0</v>
      </c>
      <c r="L305" s="208">
        <v>2</v>
      </c>
      <c r="M305" s="208">
        <v>0</v>
      </c>
      <c r="N305" s="159">
        <f t="shared" ref="N305:N315" si="27">J305/D305</f>
      </c>
      <c r="O305" s="159">
        <f t="shared" ref="O305:O315" si="190">J305/(D305+300*AL305)</f>
      </c>
      <c r="P305" s="160">
        <f t="shared" ref="P305:P315" si="132">(D305/AE305)*1000</f>
      </c>
      <c r="Q305" s="161">
        <f t="shared" ref="Q305:Q315" si="306">AF305/AE305</f>
      </c>
      <c r="R305" s="162">
        <f t="shared" ref="R305:R315" si="248">D305/AG305</f>
      </c>
      <c r="S305" s="161">
        <f t="shared" ref="S305:S315" si="335">AH305/AG305</f>
      </c>
      <c r="T305" s="161">
        <f t="shared" ref="T305:T315" si="451">AI305/AG305</f>
      </c>
      <c r="U305" s="162">
        <f t="shared" ref="U305:U315" si="393">D305/AI305</f>
      </c>
      <c r="V305" s="161">
        <f t="shared" ref="V305:V315" si="161">AJ305/AI305</f>
      </c>
      <c r="W305" s="161">
        <f t="shared" ref="W305:W315" si="103">I305/AJ305</f>
      </c>
      <c r="X305" s="162">
        <f t="shared" ref="X305:X315" si="277">D305/I305</f>
      </c>
      <c r="Y305" s="163">
        <f t="shared" ref="Y305:Y315" si="219">J305/I305</f>
      </c>
      <c r="Z305" s="162">
        <f t="shared" ref="Z305:Z315" si="422">D305/AD305</f>
      </c>
      <c r="AA305" s="164">
        <f t="shared" ref="AA305:AA315" si="364">AK305*1000/D305</f>
      </c>
      <c r="AB305" s="199" t="s">
        <v>132</v>
      </c>
      <c r="AC305" s="200" t="s">
        <v>153</v>
      </c>
      <c r="AD305" s="259">
        <v>1</v>
      </c>
      <c r="AE305" s="233">
        <v>7846</v>
      </c>
      <c r="AF305" s="209">
        <v>271</v>
      </c>
      <c r="AG305" s="157">
        <v>465</v>
      </c>
      <c r="AH305" s="157">
        <v>56</v>
      </c>
      <c r="AI305" s="153">
        <v>21</v>
      </c>
      <c r="AJ305" s="158">
        <v>6</v>
      </c>
      <c r="AK305" s="156">
        <v>16</v>
      </c>
      <c r="AL305" s="175">
        <v>1</v>
      </c>
      <c r="AM305" s="168"/>
    </row>
    <row r="306">
      <c r="A306" s="152"/>
      <c r="B306" s="169" t="s">
        <v>134</v>
      </c>
      <c r="C306" s="234" t="s">
        <v>131</v>
      </c>
      <c r="D306" s="157">
        <f t="shared" si="72"/>
      </c>
      <c r="E306" s="170">
        <v>1448.76</v>
      </c>
      <c r="F306" s="170"/>
      <c r="G306" s="153">
        <v>545.49</v>
      </c>
      <c r="H306" s="155"/>
      <c r="I306" s="218">
        <v>1</v>
      </c>
      <c r="J306" s="209">
        <v>2268</v>
      </c>
      <c r="K306" s="158">
        <v>0</v>
      </c>
      <c r="L306" s="156">
        <v>0</v>
      </c>
      <c r="M306" s="156">
        <v>1</v>
      </c>
      <c r="N306" s="159">
        <f t="shared" si="27"/>
      </c>
      <c r="O306" s="159">
        <f t="shared" si="190"/>
      </c>
      <c r="P306" s="160">
        <f t="shared" si="132"/>
      </c>
      <c r="Q306" s="161">
        <f t="shared" si="306"/>
      </c>
      <c r="R306" s="162">
        <f t="shared" si="248"/>
      </c>
      <c r="S306" s="161">
        <f t="shared" si="335"/>
      </c>
      <c r="T306" s="161">
        <f t="shared" si="451"/>
      </c>
      <c r="U306" s="162">
        <f t="shared" si="393"/>
      </c>
      <c r="V306" s="161">
        <f t="shared" si="161"/>
      </c>
      <c r="W306" s="161">
        <f t="shared" si="103"/>
      </c>
      <c r="X306" s="162">
        <f t="shared" si="277"/>
      </c>
      <c r="Y306" s="163">
        <f t="shared" si="219"/>
      </c>
      <c r="Z306" s="162">
        <f t="shared" si="422"/>
      </c>
      <c r="AA306" s="164">
        <f t="shared" si="364"/>
      </c>
      <c r="AB306" s="199" t="s">
        <v>132</v>
      </c>
      <c r="AC306" s="200" t="s">
        <v>153</v>
      </c>
      <c r="AD306" s="258">
        <v>1</v>
      </c>
      <c r="AE306" s="172">
        <v>4862</v>
      </c>
      <c r="AF306" s="172">
        <v>239</v>
      </c>
      <c r="AG306" s="171">
        <v>354</v>
      </c>
      <c r="AH306" s="153">
        <v>54</v>
      </c>
      <c r="AI306" s="153">
        <v>26</v>
      </c>
      <c r="AJ306" s="201">
        <v>2</v>
      </c>
      <c r="AK306" s="210">
        <v>14</v>
      </c>
      <c r="AL306" s="175">
        <v>1</v>
      </c>
      <c r="AM306" s="168"/>
    </row>
    <row r="307">
      <c r="A307" s="152"/>
      <c r="B307" s="169" t="s">
        <v>135</v>
      </c>
      <c r="C307" s="209" t="s">
        <v>131</v>
      </c>
      <c r="D307" s="157">
        <f t="shared" si="72"/>
      </c>
      <c r="E307" s="158">
        <v>2550.18</v>
      </c>
      <c r="F307" s="158"/>
      <c r="G307" s="153">
        <v>1581.47</v>
      </c>
      <c r="H307" s="156"/>
      <c r="I307" s="184">
        <v>6</v>
      </c>
      <c r="J307" s="184">
        <v>10968</v>
      </c>
      <c r="K307" s="184">
        <v>0</v>
      </c>
      <c r="L307" s="184">
        <v>2</v>
      </c>
      <c r="M307" s="184">
        <v>4</v>
      </c>
      <c r="N307" s="159">
        <f t="shared" si="27"/>
      </c>
      <c r="O307" s="159">
        <f t="shared" si="190"/>
      </c>
      <c r="P307" s="160">
        <f t="shared" si="132"/>
      </c>
      <c r="Q307" s="161">
        <f t="shared" si="306"/>
      </c>
      <c r="R307" s="162">
        <f t="shared" si="248"/>
      </c>
      <c r="S307" s="161">
        <f t="shared" si="335"/>
      </c>
      <c r="T307" s="161">
        <f t="shared" si="451"/>
      </c>
      <c r="U307" s="162">
        <f t="shared" si="393"/>
      </c>
      <c r="V307" s="161">
        <f t="shared" si="161"/>
      </c>
      <c r="W307" s="161">
        <f t="shared" si="103"/>
      </c>
      <c r="X307" s="162">
        <f t="shared" si="277"/>
      </c>
      <c r="Y307" s="163">
        <f t="shared" si="219"/>
      </c>
      <c r="Z307" s="162">
        <f t="shared" si="422"/>
      </c>
      <c r="AA307" s="164">
        <f t="shared" si="364"/>
      </c>
      <c r="AB307" s="199" t="s">
        <v>132</v>
      </c>
      <c r="AC307" s="200" t="s">
        <v>153</v>
      </c>
      <c r="AD307" s="258">
        <v>5</v>
      </c>
      <c r="AE307" s="157">
        <v>11210</v>
      </c>
      <c r="AF307" s="157">
        <v>434</v>
      </c>
      <c r="AG307" s="153">
        <v>621</v>
      </c>
      <c r="AH307" s="153">
        <v>87</v>
      </c>
      <c r="AI307" s="153">
        <v>29</v>
      </c>
      <c r="AJ307" s="201">
        <v>9</v>
      </c>
      <c r="AK307" s="210">
        <v>31</v>
      </c>
      <c r="AL307" s="175">
        <v>1</v>
      </c>
      <c r="AM307" s="168"/>
    </row>
    <row r="308">
      <c r="A308" s="152"/>
      <c r="B308" s="169" t="s">
        <v>136</v>
      </c>
      <c r="C308" s="171" t="s">
        <v>131</v>
      </c>
      <c r="D308" s="157">
        <f t="shared" si="72"/>
      </c>
      <c r="E308" s="158">
        <v>2951.63</v>
      </c>
      <c r="F308" s="158"/>
      <c r="G308" s="153">
        <v>1255.86</v>
      </c>
      <c r="H308" s="156"/>
      <c r="I308" s="156">
        <v>3</v>
      </c>
      <c r="J308" s="156">
        <v>6804</v>
      </c>
      <c r="K308" s="156">
        <v>0</v>
      </c>
      <c r="L308" s="156">
        <v>0</v>
      </c>
      <c r="M308" s="156">
        <v>3</v>
      </c>
      <c r="N308" s="159">
        <f t="shared" si="27"/>
      </c>
      <c r="O308" s="159">
        <f t="shared" si="190"/>
      </c>
      <c r="P308" s="160">
        <f t="shared" si="132"/>
      </c>
      <c r="Q308" s="161">
        <f t="shared" si="306"/>
      </c>
      <c r="R308" s="162">
        <f t="shared" si="248"/>
      </c>
      <c r="S308" s="161">
        <f t="shared" si="335"/>
      </c>
      <c r="T308" s="161">
        <f t="shared" si="451"/>
      </c>
      <c r="U308" s="162">
        <f t="shared" si="393"/>
      </c>
      <c r="V308" s="161">
        <f t="shared" si="161"/>
      </c>
      <c r="W308" s="161">
        <f t="shared" si="103"/>
      </c>
      <c r="X308" s="162">
        <f t="shared" si="277"/>
      </c>
      <c r="Y308" s="163">
        <f t="shared" si="219"/>
      </c>
      <c r="Z308" s="162">
        <f t="shared" si="422"/>
      </c>
      <c r="AA308" s="164">
        <f t="shared" si="364"/>
      </c>
      <c r="AB308" s="199" t="s">
        <v>132</v>
      </c>
      <c r="AC308" s="200" t="s">
        <v>153</v>
      </c>
      <c r="AD308" s="260">
        <v>3</v>
      </c>
      <c r="AE308" s="172">
        <v>17282</v>
      </c>
      <c r="AF308" s="153">
        <v>464</v>
      </c>
      <c r="AG308" s="153">
        <v>648</v>
      </c>
      <c r="AH308" s="153">
        <v>89</v>
      </c>
      <c r="AI308" s="153">
        <v>19</v>
      </c>
      <c r="AJ308" s="201">
        <v>12</v>
      </c>
      <c r="AK308" s="210">
        <v>20</v>
      </c>
      <c r="AL308" s="175">
        <v>1</v>
      </c>
      <c r="AM308" s="168"/>
    </row>
    <row r="309">
      <c r="A309" s="152"/>
      <c r="B309" s="176" t="s">
        <v>137</v>
      </c>
      <c r="C309" s="176"/>
      <c r="D309" s="176">
        <f>SUM(D305:D308)</f>
      </c>
      <c r="E309" s="176">
        <f>SUM(E305:E308)</f>
      </c>
      <c r="F309" s="176">
        <f>SUM(F305:F308)</f>
      </c>
      <c r="G309" s="176">
        <f>SUM(G305:G308)</f>
      </c>
      <c r="H309" s="176">
        <f>SUM(H305:H308)</f>
      </c>
      <c r="I309" s="176">
        <f>SUM(I305:I308)</f>
      </c>
      <c r="J309" s="176">
        <f>SUM(J305:J308)</f>
      </c>
      <c r="K309" s="176">
        <f>SUM(K305:K308)</f>
      </c>
      <c r="L309" s="176">
        <f>SUM(L305:L308)</f>
      </c>
      <c r="M309" s="176">
        <f>SUM(M305:M308)</f>
      </c>
      <c r="N309" s="177">
        <f t="shared" si="27"/>
      </c>
      <c r="O309" s="253">
        <f t="shared" si="190"/>
      </c>
      <c r="P309" s="254">
        <f t="shared" si="132"/>
      </c>
      <c r="Q309" s="255">
        <f t="shared" si="306"/>
      </c>
      <c r="R309" s="256">
        <f t="shared" si="248"/>
      </c>
      <c r="S309" s="255">
        <f t="shared" si="335"/>
      </c>
      <c r="T309" s="179">
        <f t="shared" si="451"/>
      </c>
      <c r="U309" s="180">
        <f t="shared" si="393"/>
      </c>
      <c r="V309" s="179">
        <f t="shared" si="161"/>
      </c>
      <c r="W309" s="179">
        <f t="shared" si="103"/>
      </c>
      <c r="X309" s="180">
        <f t="shared" si="277"/>
      </c>
      <c r="Y309" s="181">
        <f t="shared" si="219"/>
      </c>
      <c r="Z309" s="180">
        <f t="shared" si="422"/>
      </c>
      <c r="AA309" s="182">
        <f t="shared" si="364"/>
      </c>
      <c r="AB309" s="189"/>
      <c r="AC309" s="202"/>
      <c r="AD309" s="261">
        <f>SUM(AD305:AD308)</f>
      </c>
      <c r="AE309" s="183">
        <f>SUM(AE305:AE308)</f>
      </c>
      <c r="AF309" s="183">
        <f>SUM(AF305:AF308)</f>
      </c>
      <c r="AG309" s="183">
        <f>SUM(AG305:AG308)</f>
      </c>
      <c r="AH309" s="183">
        <f>SUM(AH305:AH308)</f>
      </c>
      <c r="AI309" s="183">
        <f>SUM(AI305:AI308)</f>
      </c>
      <c r="AJ309" s="183">
        <f>SUM(AJ305:AJ308)</f>
      </c>
      <c r="AK309" s="183">
        <f>SUM(AK305:AK308)</f>
      </c>
      <c r="AL309" s="183">
        <f>SUM(AL305:AL308)</f>
      </c>
      <c r="AM309" s="168"/>
    </row>
    <row r="310">
      <c r="A310" s="152"/>
      <c r="B310" s="184" t="s">
        <v>145</v>
      </c>
      <c r="C310" s="154" t="s">
        <v>139</v>
      </c>
      <c r="D310" s="153">
        <f t="shared" ref="D310:D313" si="73">E310+F310+G310+H310</f>
      </c>
      <c r="E310" s="156">
        <v>1800.39</v>
      </c>
      <c r="F310" s="158"/>
      <c r="G310" s="153">
        <v>2091.52</v>
      </c>
      <c r="H310" s="156"/>
      <c r="I310" s="156">
        <v>5</v>
      </c>
      <c r="J310" s="153">
        <v>10020</v>
      </c>
      <c r="K310" s="156">
        <v>0</v>
      </c>
      <c r="L310" s="156">
        <v>1</v>
      </c>
      <c r="M310" s="186">
        <v>4</v>
      </c>
      <c r="N310" s="257">
        <f t="shared" si="27"/>
      </c>
      <c r="O310" s="239">
        <f t="shared" si="190"/>
      </c>
      <c r="P310" s="240">
        <f t="shared" si="132"/>
      </c>
      <c r="Q310" s="241">
        <f t="shared" si="306"/>
      </c>
      <c r="R310" s="242">
        <f t="shared" si="248"/>
      </c>
      <c r="S310" s="241">
        <f t="shared" si="335"/>
      </c>
      <c r="T310" s="243">
        <f t="shared" si="451"/>
      </c>
      <c r="U310" s="162">
        <f t="shared" si="393"/>
      </c>
      <c r="V310" s="161">
        <f t="shared" si="161"/>
      </c>
      <c r="W310" s="161">
        <f t="shared" si="103"/>
      </c>
      <c r="X310" s="162">
        <f t="shared" si="277"/>
      </c>
      <c r="Y310" s="163">
        <f t="shared" si="219"/>
      </c>
      <c r="Z310" s="162">
        <f t="shared" si="422"/>
      </c>
      <c r="AA310" s="164">
        <f t="shared" si="364"/>
      </c>
      <c r="AB310" s="199" t="s">
        <v>132</v>
      </c>
      <c r="AC310" s="200" t="s">
        <v>153</v>
      </c>
      <c r="AD310" s="258">
        <v>5</v>
      </c>
      <c r="AE310" s="185">
        <v>14505</v>
      </c>
      <c r="AF310" s="167">
        <v>523</v>
      </c>
      <c r="AG310" s="167">
        <v>657</v>
      </c>
      <c r="AH310" s="167">
        <v>105</v>
      </c>
      <c r="AI310" s="167">
        <v>51</v>
      </c>
      <c r="AJ310" s="175">
        <v>10</v>
      </c>
      <c r="AK310" s="175">
        <v>24</v>
      </c>
      <c r="AL310" s="175">
        <v>1</v>
      </c>
      <c r="AM310" s="168"/>
    </row>
    <row r="311">
      <c r="A311" s="152"/>
      <c r="B311" s="171" t="s">
        <v>140</v>
      </c>
      <c r="C311" s="154" t="s">
        <v>139</v>
      </c>
      <c r="D311" s="153">
        <f t="shared" si="73"/>
      </c>
      <c r="E311" s="156">
        <v>1941.05</v>
      </c>
      <c r="F311" s="158"/>
      <c r="G311" s="153">
        <v>2487.55</v>
      </c>
      <c r="H311" s="156"/>
      <c r="I311" s="156">
        <v>4</v>
      </c>
      <c r="J311" s="153">
        <v>7752</v>
      </c>
      <c r="K311" s="156">
        <v>0</v>
      </c>
      <c r="L311" s="156">
        <v>1</v>
      </c>
      <c r="M311" s="186">
        <v>3</v>
      </c>
      <c r="N311" s="257">
        <f t="shared" si="27"/>
      </c>
      <c r="O311" s="239">
        <f t="shared" si="190"/>
      </c>
      <c r="P311" s="240">
        <f t="shared" si="132"/>
      </c>
      <c r="Q311" s="241">
        <f t="shared" si="306"/>
      </c>
      <c r="R311" s="242">
        <f t="shared" si="248"/>
      </c>
      <c r="S311" s="241">
        <f t="shared" si="335"/>
      </c>
      <c r="T311" s="243">
        <f t="shared" si="451"/>
      </c>
      <c r="U311" s="162">
        <f t="shared" si="393"/>
      </c>
      <c r="V311" s="161">
        <f t="shared" si="161"/>
      </c>
      <c r="W311" s="161">
        <f t="shared" si="103"/>
      </c>
      <c r="X311" s="162">
        <f t="shared" si="277"/>
      </c>
      <c r="Y311" s="163">
        <f t="shared" si="219"/>
      </c>
      <c r="Z311" s="162">
        <f t="shared" si="422"/>
      </c>
      <c r="AA311" s="164">
        <f t="shared" si="364"/>
      </c>
      <c r="AB311" s="199" t="s">
        <v>132</v>
      </c>
      <c r="AC311" s="200" t="s">
        <v>153</v>
      </c>
      <c r="AD311" s="258">
        <v>4</v>
      </c>
      <c r="AE311" s="185">
        <v>13005</v>
      </c>
      <c r="AF311" s="167">
        <v>591</v>
      </c>
      <c r="AG311" s="167">
        <v>785</v>
      </c>
      <c r="AH311" s="167">
        <v>110</v>
      </c>
      <c r="AI311" s="167">
        <v>63</v>
      </c>
      <c r="AJ311" s="175">
        <v>12</v>
      </c>
      <c r="AK311" s="175">
        <v>25</v>
      </c>
      <c r="AL311" s="175">
        <v>1</v>
      </c>
      <c r="AM311" s="168"/>
    </row>
    <row r="312">
      <c r="A312" s="152"/>
      <c r="B312" s="156" t="s">
        <v>141</v>
      </c>
      <c r="C312" s="154" t="s">
        <v>139</v>
      </c>
      <c r="D312" s="153">
        <f t="shared" si="73"/>
      </c>
      <c r="E312" s="156">
        <v>2045.05</v>
      </c>
      <c r="F312" s="158"/>
      <c r="G312" s="153">
        <v>1829.75</v>
      </c>
      <c r="H312" s="156"/>
      <c r="I312" s="156">
        <v>3</v>
      </c>
      <c r="J312" s="156">
        <v>6804</v>
      </c>
      <c r="K312" s="156">
        <v>0</v>
      </c>
      <c r="L312" s="156">
        <v>0</v>
      </c>
      <c r="M312" s="156">
        <v>3</v>
      </c>
      <c r="N312" s="251">
        <f t="shared" si="27"/>
      </c>
      <c r="O312" s="239">
        <f t="shared" si="190"/>
      </c>
      <c r="P312" s="240">
        <f t="shared" si="132"/>
      </c>
      <c r="Q312" s="241">
        <f t="shared" si="306"/>
      </c>
      <c r="R312" s="242">
        <f t="shared" si="248"/>
      </c>
      <c r="S312" s="241">
        <f t="shared" si="335"/>
      </c>
      <c r="T312" s="243">
        <f t="shared" si="451"/>
      </c>
      <c r="U312" s="162">
        <f t="shared" si="393"/>
      </c>
      <c r="V312" s="161">
        <f t="shared" si="161"/>
      </c>
      <c r="W312" s="161">
        <f t="shared" si="103"/>
      </c>
      <c r="X312" s="162">
        <f t="shared" si="277"/>
      </c>
      <c r="Y312" s="163">
        <f t="shared" si="219"/>
      </c>
      <c r="Z312" s="162">
        <f t="shared" si="422"/>
      </c>
      <c r="AA312" s="164">
        <f t="shared" si="364"/>
      </c>
      <c r="AB312" s="199" t="s">
        <v>132</v>
      </c>
      <c r="AC312" s="200" t="s">
        <v>153</v>
      </c>
      <c r="AD312" s="258">
        <v>3</v>
      </c>
      <c r="AE312" s="185">
        <v>14086</v>
      </c>
      <c r="AF312" s="167">
        <v>472</v>
      </c>
      <c r="AG312" s="167">
        <v>647</v>
      </c>
      <c r="AH312" s="167">
        <v>98</v>
      </c>
      <c r="AI312" s="167">
        <v>39</v>
      </c>
      <c r="AJ312" s="175">
        <v>11</v>
      </c>
      <c r="AK312" s="175">
        <v>24</v>
      </c>
      <c r="AL312" s="175">
        <v>1</v>
      </c>
      <c r="AM312" s="168"/>
    </row>
    <row r="313">
      <c r="A313" s="152"/>
      <c r="B313" s="155" t="s">
        <v>150</v>
      </c>
      <c r="C313" s="209" t="s">
        <v>139</v>
      </c>
      <c r="D313" s="157">
        <f t="shared" si="73"/>
      </c>
      <c r="E313" s="156">
        <f>2533.21+2.67</f>
      </c>
      <c r="F313" s="158"/>
      <c r="G313" s="153">
        <v>1381.17</v>
      </c>
      <c r="H313" s="156"/>
      <c r="I313" s="156">
        <v>5</v>
      </c>
      <c r="J313" s="153">
        <v>6420</v>
      </c>
      <c r="K313" s="156">
        <v>2</v>
      </c>
      <c r="L313" s="155">
        <v>1</v>
      </c>
      <c r="M313" s="250">
        <v>2</v>
      </c>
      <c r="N313" s="268">
        <f t="shared" si="27"/>
      </c>
      <c r="O313" s="239">
        <f t="shared" si="190"/>
      </c>
      <c r="P313" s="240">
        <f t="shared" si="132"/>
      </c>
      <c r="Q313" s="241">
        <f t="shared" si="306"/>
      </c>
      <c r="R313" s="242">
        <f t="shared" si="248"/>
      </c>
      <c r="S313" s="241">
        <f t="shared" si="335"/>
      </c>
      <c r="T313" s="243">
        <f t="shared" si="451"/>
      </c>
      <c r="U313" s="162">
        <f t="shared" si="393"/>
      </c>
      <c r="V313" s="161">
        <f t="shared" si="161"/>
      </c>
      <c r="W313" s="161">
        <f t="shared" si="103"/>
      </c>
      <c r="X313" s="162">
        <f t="shared" si="277"/>
      </c>
      <c r="Y313" s="163">
        <f t="shared" si="219"/>
      </c>
      <c r="Z313" s="162">
        <f t="shared" si="422"/>
      </c>
      <c r="AA313" s="164">
        <f t="shared" si="364"/>
      </c>
      <c r="AB313" s="199" t="s">
        <v>132</v>
      </c>
      <c r="AC313" s="200" t="s">
        <v>153</v>
      </c>
      <c r="AD313" s="258">
        <v>5</v>
      </c>
      <c r="AE313" s="185">
        <v>12685</v>
      </c>
      <c r="AF313" s="167">
        <v>497</v>
      </c>
      <c r="AG313" s="167">
        <v>654</v>
      </c>
      <c r="AH313" s="167">
        <v>122</v>
      </c>
      <c r="AI313" s="167">
        <v>33</v>
      </c>
      <c r="AJ313" s="175">
        <v>16</v>
      </c>
      <c r="AK313" s="175">
        <v>29</v>
      </c>
      <c r="AL313" s="175">
        <v>1</v>
      </c>
      <c r="AM313" s="168"/>
    </row>
    <row r="314">
      <c r="A314" s="152"/>
      <c r="B314" s="176" t="s">
        <v>137</v>
      </c>
      <c r="C314" s="176"/>
      <c r="D314" s="176">
        <f>SUM(D310:D313)</f>
      </c>
      <c r="E314" s="176">
        <f>SUM(E310:E313)</f>
      </c>
      <c r="F314" s="176">
        <f>SUM(F310:F313)</f>
      </c>
      <c r="G314" s="176">
        <f>SUM(G310:G313)</f>
      </c>
      <c r="H314" s="176">
        <f>SUM(H310:H313)</f>
      </c>
      <c r="I314" s="176">
        <f>SUM(I310:I313)</f>
      </c>
      <c r="J314" s="176">
        <f>SUM(J310:J313)</f>
      </c>
      <c r="K314" s="176">
        <f>SUM(K310:K313)</f>
      </c>
      <c r="L314" s="176">
        <f>SUM(L310:L313)</f>
      </c>
      <c r="M314" s="264">
        <f>SUM(M310:M313)</f>
      </c>
      <c r="N314" s="265">
        <f t="shared" si="27"/>
      </c>
      <c r="O314" s="266">
        <f t="shared" si="190"/>
      </c>
      <c r="P314" s="245">
        <f t="shared" si="132"/>
      </c>
      <c r="Q314" s="246">
        <f t="shared" si="306"/>
      </c>
      <c r="R314" s="247">
        <f t="shared" si="248"/>
      </c>
      <c r="S314" s="246">
        <f t="shared" si="335"/>
      </c>
      <c r="T314" s="179">
        <f t="shared" si="451"/>
      </c>
      <c r="U314" s="180">
        <f t="shared" si="393"/>
      </c>
      <c r="V314" s="179">
        <f t="shared" si="161"/>
      </c>
      <c r="W314" s="179">
        <f t="shared" si="103"/>
      </c>
      <c r="X314" s="180">
        <f t="shared" si="277"/>
      </c>
      <c r="Y314" s="181">
        <f t="shared" si="219"/>
      </c>
      <c r="Z314" s="180">
        <f t="shared" si="422"/>
      </c>
      <c r="AA314" s="182">
        <f t="shared" si="364"/>
      </c>
      <c r="AB314" s="189"/>
      <c r="AC314" s="202"/>
      <c r="AD314" s="212">
        <f>SUM(AD310:AD313)</f>
      </c>
      <c r="AE314" s="190">
        <f>SUM(AE310:AE313)</f>
      </c>
      <c r="AF314" s="190">
        <f>SUM(AF310:AF313)</f>
      </c>
      <c r="AG314" s="190">
        <f>SUM(AG310:AG313)</f>
      </c>
      <c r="AH314" s="190">
        <f>SUM(AH310:AH313)</f>
      </c>
      <c r="AI314" s="190">
        <f>SUM(AI310:AI313)</f>
      </c>
      <c r="AJ314" s="190">
        <f>SUM(AJ310:AJ313)</f>
      </c>
      <c r="AK314" s="190">
        <f>SUM(AK310:AK313)</f>
      </c>
      <c r="AL314" s="190">
        <f>SUM(AL310:AL313)</f>
      </c>
      <c r="AM314" s="191" t="s">
        <v>142</v>
      </c>
    </row>
    <row r="315">
      <c r="A315" s="152"/>
      <c r="B315" s="192" t="s">
        <v>143</v>
      </c>
      <c r="C315" s="192"/>
      <c r="D315" s="192">
        <f>D309+D314</f>
      </c>
      <c r="E315" s="192">
        <f>E309+E314</f>
      </c>
      <c r="F315" s="192">
        <f>F309+F314</f>
      </c>
      <c r="G315" s="192">
        <f>G309+G314</f>
      </c>
      <c r="H315" s="192">
        <f>H309+H314</f>
      </c>
      <c r="I315" s="192">
        <f>I309+I314</f>
      </c>
      <c r="J315" s="192">
        <f>J309+J314</f>
      </c>
      <c r="K315" s="192">
        <f>K309+K314</f>
      </c>
      <c r="L315" s="192">
        <f>L309+L314</f>
      </c>
      <c r="M315" s="192">
        <f>M309+M314</f>
      </c>
      <c r="N315" s="267">
        <f t="shared" si="27"/>
      </c>
      <c r="O315" s="193">
        <f t="shared" si="190"/>
      </c>
      <c r="P315" s="194">
        <f t="shared" si="132"/>
      </c>
      <c r="Q315" s="195">
        <f t="shared" si="306"/>
      </c>
      <c r="R315" s="193">
        <f t="shared" si="248"/>
      </c>
      <c r="S315" s="195">
        <f t="shared" si="335"/>
      </c>
      <c r="T315" s="195">
        <f t="shared" si="451"/>
      </c>
      <c r="U315" s="193">
        <f t="shared" si="393"/>
      </c>
      <c r="V315" s="195">
        <f t="shared" si="161"/>
      </c>
      <c r="W315" s="195">
        <f t="shared" si="103"/>
      </c>
      <c r="X315" s="193">
        <f t="shared" si="277"/>
      </c>
      <c r="Y315" s="196">
        <f t="shared" si="219"/>
      </c>
      <c r="Z315" s="193">
        <f t="shared" si="422"/>
      </c>
      <c r="AA315" s="194">
        <f t="shared" si="364"/>
      </c>
      <c r="AB315" s="262"/>
      <c r="AC315" s="263"/>
      <c r="AD315" s="197">
        <f>AD309+AD314</f>
      </c>
      <c r="AE315" s="197">
        <f>AE309+AE314</f>
      </c>
      <c r="AF315" s="197">
        <f>AF309+AF314</f>
      </c>
      <c r="AG315" s="197">
        <f>AG309+AG314</f>
      </c>
      <c r="AH315" s="197">
        <f>AH309+AH314</f>
      </c>
      <c r="AI315" s="197">
        <f>AI309+AI314</f>
      </c>
      <c r="AJ315" s="197">
        <f>AJ309+AJ314</f>
      </c>
      <c r="AK315" s="197">
        <f>AK309+AK314</f>
      </c>
      <c r="AL315" s="197">
        <f>AL309+AL314</f>
      </c>
      <c r="AM315" s="191"/>
    </row>
    <row hidden="true" r="316">
      <c r="A316" s="139" t="s">
        <v>87</v>
      </c>
      <c r="B316" s="139"/>
      <c r="C316" s="139"/>
      <c r="D316" s="135" t="s">
        <v>88</v>
      </c>
      <c r="E316" s="135"/>
      <c r="F316" s="135"/>
      <c r="G316" s="135"/>
      <c r="H316" s="135"/>
      <c r="I316" s="135"/>
      <c r="J316" s="135"/>
      <c r="K316" s="135"/>
      <c r="L316" s="135"/>
      <c r="M316" s="135"/>
      <c r="N316" s="135"/>
      <c r="O316" s="135"/>
      <c r="P316" s="136" t="s">
        <v>89</v>
      </c>
      <c r="Q316" s="136"/>
      <c r="R316" s="136"/>
      <c r="S316" s="136"/>
      <c r="T316" s="136"/>
      <c r="U316" s="136"/>
      <c r="V316" s="136"/>
      <c r="W316" s="136"/>
      <c r="X316" s="136"/>
      <c r="Y316" s="136"/>
      <c r="Z316" s="136"/>
      <c r="AA316" s="136"/>
      <c r="AB316" s="136"/>
      <c r="AC316" s="136"/>
      <c r="AD316" s="137" t="s">
        <v>90</v>
      </c>
      <c r="AE316" s="137"/>
      <c r="AF316" s="137"/>
      <c r="AG316" s="137"/>
      <c r="AH316" s="137"/>
      <c r="AI316" s="137"/>
      <c r="AJ316" s="137"/>
      <c r="AK316" s="137"/>
      <c r="AL316" s="137"/>
      <c r="AM316" s="138"/>
    </row>
    <row hidden="true" r="317">
      <c r="A317" s="139" t="s">
        <v>91</v>
      </c>
      <c r="B317" s="140" t="s">
        <v>92</v>
      </c>
      <c r="C317" s="140" t="s">
        <v>93</v>
      </c>
      <c r="D317" s="141" t="s">
        <v>94</v>
      </c>
      <c r="E317" s="142" t="s">
        <v>95</v>
      </c>
      <c r="F317" s="142" t="s">
        <v>96</v>
      </c>
      <c r="G317" s="143" t="s">
        <v>185</v>
      </c>
      <c r="H317" s="215" t="s">
        <v>186</v>
      </c>
      <c r="I317" s="219" t="s">
        <v>99</v>
      </c>
      <c r="J317" s="269" t="s">
        <v>100</v>
      </c>
      <c r="K317" s="135" t="s">
        <v>101</v>
      </c>
      <c r="L317" s="146" t="s">
        <v>102</v>
      </c>
      <c r="M317" s="146" t="s">
        <v>103</v>
      </c>
      <c r="N317" s="143" t="s">
        <v>104</v>
      </c>
      <c r="O317" s="146" t="s">
        <v>105</v>
      </c>
      <c r="P317" s="136" t="s">
        <v>106</v>
      </c>
      <c r="Q317" s="136" t="s">
        <v>107</v>
      </c>
      <c r="R317" s="136" t="s">
        <v>108</v>
      </c>
      <c r="S317" s="147" t="s">
        <v>109</v>
      </c>
      <c r="T317" s="147" t="s">
        <v>110</v>
      </c>
      <c r="U317" s="136" t="s">
        <v>111</v>
      </c>
      <c r="V317" s="147" t="s">
        <v>112</v>
      </c>
      <c r="W317" s="147" t="s">
        <v>113</v>
      </c>
      <c r="X317" s="136" t="s">
        <v>114</v>
      </c>
      <c r="Y317" s="147" t="s">
        <v>115</v>
      </c>
      <c r="Z317" s="136" t="s">
        <v>116</v>
      </c>
      <c r="AA317" s="148" t="s">
        <v>117</v>
      </c>
      <c r="AB317" s="148" t="s">
        <v>118</v>
      </c>
      <c r="AC317" s="220" t="s">
        <v>119</v>
      </c>
      <c r="AD317" s="149" t="s">
        <v>120</v>
      </c>
      <c r="AE317" s="150" t="s">
        <v>121</v>
      </c>
      <c r="AF317" s="150" t="s">
        <v>122</v>
      </c>
      <c r="AG317" s="150" t="s">
        <v>123</v>
      </c>
      <c r="AH317" s="150" t="s">
        <v>124</v>
      </c>
      <c r="AI317" s="150" t="s">
        <v>125</v>
      </c>
      <c r="AJ317" s="151" t="s">
        <v>126</v>
      </c>
      <c r="AK317" s="151" t="s">
        <v>127</v>
      </c>
      <c r="AL317" s="151" t="s">
        <v>128</v>
      </c>
      <c r="AM317" s="138"/>
    </row>
    <row r="318">
      <c r="A318" s="152" t="s">
        <v>188</v>
      </c>
      <c r="B318" s="153" t="s">
        <v>130</v>
      </c>
      <c r="C318" s="154" t="s">
        <v>131</v>
      </c>
      <c r="D318" s="207">
        <f t="shared" ref="D318:D321" si="74">E318+F318+G318+H318</f>
      </c>
      <c r="E318" s="208">
        <v>2004.01</v>
      </c>
      <c r="F318" s="158"/>
      <c r="G318" s="157">
        <v>2235.47</v>
      </c>
      <c r="H318" s="155"/>
      <c r="I318" s="208">
        <v>3</v>
      </c>
      <c r="J318" s="258">
        <v>4816</v>
      </c>
      <c r="K318" s="208">
        <v>1</v>
      </c>
      <c r="L318" s="208">
        <v>0</v>
      </c>
      <c r="M318" s="208">
        <v>2</v>
      </c>
      <c r="N318" s="159">
        <f t="shared" ref="N318:N328" si="28">J318/D318</f>
      </c>
      <c r="O318" s="159">
        <f t="shared" ref="O318:O328" si="191">J318/(D318+300*AL318)</f>
      </c>
      <c r="P318" s="160">
        <f t="shared" ref="P318:P328" si="133">(D318/AE318)*1000</f>
      </c>
      <c r="Q318" s="161">
        <f t="shared" ref="Q318:Q328" si="307">AF318/AE318</f>
      </c>
      <c r="R318" s="162">
        <f t="shared" ref="R318:R328" si="249">D318/AG318</f>
      </c>
      <c r="S318" s="161">
        <f t="shared" ref="S318:S328" si="336">AH318/AG318</f>
      </c>
      <c r="T318" s="161">
        <f t="shared" ref="T318:T328" si="452">AI318/AG318</f>
      </c>
      <c r="U318" s="162">
        <f t="shared" ref="U318:U328" si="394">D318/AI318</f>
      </c>
      <c r="V318" s="161">
        <f t="shared" ref="V318:V328" si="162">AJ318/AI318</f>
      </c>
      <c r="W318" s="161">
        <f t="shared" ref="W318:W328" si="104">I318/AJ318</f>
      </c>
      <c r="X318" s="162">
        <f t="shared" ref="X318:X328" si="278">D318/I318</f>
      </c>
      <c r="Y318" s="163">
        <f t="shared" ref="Y318:Y328" si="220">J318/I318</f>
      </c>
      <c r="Z318" s="162">
        <f t="shared" ref="Z318:Z328" si="423">D318/AD318</f>
      </c>
      <c r="AA318" s="164">
        <f t="shared" ref="AA318:AA328" si="365">AK318*1000/D318</f>
      </c>
      <c r="AB318" s="199" t="s">
        <v>132</v>
      </c>
      <c r="AC318" s="200" t="s">
        <v>153</v>
      </c>
      <c r="AD318" s="259">
        <v>3</v>
      </c>
      <c r="AE318" s="233">
        <v>12415</v>
      </c>
      <c r="AF318" s="209">
        <v>543</v>
      </c>
      <c r="AG318" s="157">
        <v>734</v>
      </c>
      <c r="AH318" s="157">
        <v>113</v>
      </c>
      <c r="AI318" s="153">
        <v>43</v>
      </c>
      <c r="AJ318" s="158">
        <v>7</v>
      </c>
      <c r="AK318" s="156">
        <v>22</v>
      </c>
      <c r="AL318" s="175">
        <v>1</v>
      </c>
      <c r="AM318" s="168"/>
    </row>
    <row r="319">
      <c r="A319" s="152"/>
      <c r="B319" s="169" t="s">
        <v>134</v>
      </c>
      <c r="C319" s="234" t="s">
        <v>131</v>
      </c>
      <c r="D319" s="157">
        <f t="shared" si="74"/>
      </c>
      <c r="E319" s="170">
        <v>1704.87</v>
      </c>
      <c r="F319" s="170"/>
      <c r="G319" s="153">
        <v>1314.22</v>
      </c>
      <c r="H319" s="155"/>
      <c r="I319" s="218">
        <v>2</v>
      </c>
      <c r="J319" s="209">
        <v>2736</v>
      </c>
      <c r="K319" s="158">
        <v>1</v>
      </c>
      <c r="L319" s="156">
        <v>0</v>
      </c>
      <c r="M319" s="156">
        <v>1</v>
      </c>
      <c r="N319" s="159">
        <f t="shared" si="28"/>
      </c>
      <c r="O319" s="159">
        <f t="shared" si="191"/>
      </c>
      <c r="P319" s="160">
        <f t="shared" si="133"/>
      </c>
      <c r="Q319" s="161">
        <f t="shared" si="307"/>
      </c>
      <c r="R319" s="162">
        <f t="shared" si="249"/>
      </c>
      <c r="S319" s="161">
        <f t="shared" si="336"/>
      </c>
      <c r="T319" s="161">
        <f t="shared" si="452"/>
      </c>
      <c r="U319" s="162">
        <f t="shared" si="394"/>
      </c>
      <c r="V319" s="161">
        <f t="shared" si="162"/>
      </c>
      <c r="W319" s="161">
        <f t="shared" si="104"/>
      </c>
      <c r="X319" s="162">
        <f t="shared" si="278"/>
      </c>
      <c r="Y319" s="163">
        <f t="shared" si="220"/>
      </c>
      <c r="Z319" s="162">
        <f t="shared" si="423"/>
      </c>
      <c r="AA319" s="164">
        <f t="shared" si="365"/>
      </c>
      <c r="AB319" s="199" t="s">
        <v>132</v>
      </c>
      <c r="AC319" s="200" t="s">
        <v>153</v>
      </c>
      <c r="AD319" s="258">
        <v>2</v>
      </c>
      <c r="AE319" s="172">
        <v>8470</v>
      </c>
      <c r="AF319" s="172">
        <v>363</v>
      </c>
      <c r="AG319" s="171">
        <v>521</v>
      </c>
      <c r="AH319" s="153">
        <v>89</v>
      </c>
      <c r="AI319" s="153">
        <v>45</v>
      </c>
      <c r="AJ319" s="201">
        <v>10</v>
      </c>
      <c r="AK319" s="210">
        <v>23</v>
      </c>
      <c r="AL319" s="175">
        <v>1</v>
      </c>
      <c r="AM319" s="168"/>
    </row>
    <row r="320">
      <c r="A320" s="152"/>
      <c r="B320" s="169" t="s">
        <v>135</v>
      </c>
      <c r="C320" s="209" t="s">
        <v>131</v>
      </c>
      <c r="D320" s="157">
        <f t="shared" si="74"/>
      </c>
      <c r="E320" s="158">
        <v>2486.41</v>
      </c>
      <c r="F320" s="158"/>
      <c r="G320" s="153">
        <v>1234.54</v>
      </c>
      <c r="H320" s="156"/>
      <c r="I320" s="184">
        <v>3</v>
      </c>
      <c r="J320" s="184">
        <v>5004</v>
      </c>
      <c r="K320" s="184">
        <v>1</v>
      </c>
      <c r="L320" s="184">
        <v>0</v>
      </c>
      <c r="M320" s="184">
        <v>2</v>
      </c>
      <c r="N320" s="159">
        <f t="shared" si="28"/>
      </c>
      <c r="O320" s="159">
        <f t="shared" si="191"/>
      </c>
      <c r="P320" s="160">
        <f t="shared" si="133"/>
      </c>
      <c r="Q320" s="161">
        <f t="shared" si="307"/>
      </c>
      <c r="R320" s="162">
        <f t="shared" si="249"/>
      </c>
      <c r="S320" s="161">
        <f t="shared" si="336"/>
      </c>
      <c r="T320" s="161">
        <f t="shared" si="452"/>
      </c>
      <c r="U320" s="162">
        <f t="shared" si="394"/>
      </c>
      <c r="V320" s="161">
        <f t="shared" si="162"/>
      </c>
      <c r="W320" s="161">
        <f t="shared" si="104"/>
      </c>
      <c r="X320" s="162">
        <f t="shared" si="278"/>
      </c>
      <c r="Y320" s="163">
        <f t="shared" si="220"/>
      </c>
      <c r="Z320" s="162">
        <f t="shared" si="423"/>
      </c>
      <c r="AA320" s="164">
        <f t="shared" si="365"/>
      </c>
      <c r="AB320" s="199" t="s">
        <v>132</v>
      </c>
      <c r="AC320" s="200" t="s">
        <v>153</v>
      </c>
      <c r="AD320" s="258">
        <v>3</v>
      </c>
      <c r="AE320" s="157">
        <v>9725</v>
      </c>
      <c r="AF320" s="157">
        <v>321</v>
      </c>
      <c r="AG320" s="153">
        <v>496</v>
      </c>
      <c r="AH320" s="153">
        <v>95</v>
      </c>
      <c r="AI320" s="153">
        <v>31</v>
      </c>
      <c r="AJ320" s="201">
        <v>9</v>
      </c>
      <c r="AK320" s="210">
        <v>30</v>
      </c>
      <c r="AL320" s="175">
        <v>1</v>
      </c>
      <c r="AM320" s="168"/>
    </row>
    <row r="321">
      <c r="A321" s="152"/>
      <c r="B321" s="169" t="s">
        <v>136</v>
      </c>
      <c r="C321" s="171" t="s">
        <v>131</v>
      </c>
      <c r="D321" s="157">
        <f t="shared" si="74"/>
      </c>
      <c r="E321" s="158">
        <v>1738.89</v>
      </c>
      <c r="F321" s="158"/>
      <c r="G321" s="153">
        <v>1061.77</v>
      </c>
      <c r="H321" s="156"/>
      <c r="I321" s="156">
        <v>0</v>
      </c>
      <c r="J321" s="156">
        <v>0</v>
      </c>
      <c r="K321" s="156">
        <v>0</v>
      </c>
      <c r="L321" s="156">
        <v>0</v>
      </c>
      <c r="M321" s="156">
        <v>0</v>
      </c>
      <c r="N321" s="159">
        <f t="shared" si="28"/>
      </c>
      <c r="O321" s="159">
        <f t="shared" si="191"/>
      </c>
      <c r="P321" s="160">
        <f t="shared" si="133"/>
      </c>
      <c r="Q321" s="161">
        <f t="shared" si="307"/>
      </c>
      <c r="R321" s="162">
        <f t="shared" si="249"/>
      </c>
      <c r="S321" s="161">
        <f t="shared" si="336"/>
      </c>
      <c r="T321" s="161">
        <f t="shared" si="452"/>
      </c>
      <c r="U321" s="162">
        <f t="shared" si="394"/>
      </c>
      <c r="V321" s="161">
        <f t="shared" si="162"/>
      </c>
      <c r="W321" s="161">
        <f t="shared" si="104"/>
      </c>
      <c r="X321" s="162">
        <f t="shared" si="278"/>
      </c>
      <c r="Y321" s="163">
        <f t="shared" si="220"/>
      </c>
      <c r="Z321" s="162">
        <f t="shared" si="423"/>
      </c>
      <c r="AA321" s="164">
        <f t="shared" si="365"/>
      </c>
      <c r="AB321" s="199" t="s">
        <v>132</v>
      </c>
      <c r="AC321" s="200" t="s">
        <v>153</v>
      </c>
      <c r="AD321" s="260">
        <v>0</v>
      </c>
      <c r="AE321" s="172">
        <v>7672</v>
      </c>
      <c r="AF321" s="153">
        <v>341</v>
      </c>
      <c r="AG321" s="153">
        <v>432</v>
      </c>
      <c r="AH321" s="153">
        <v>83</v>
      </c>
      <c r="AI321" s="153">
        <v>23</v>
      </c>
      <c r="AJ321" s="201">
        <v>3</v>
      </c>
      <c r="AK321" s="210">
        <v>14</v>
      </c>
      <c r="AL321" s="175">
        <v>1</v>
      </c>
      <c r="AM321" s="168"/>
    </row>
    <row r="322">
      <c r="A322" s="152"/>
      <c r="B322" s="176" t="s">
        <v>137</v>
      </c>
      <c r="C322" s="176"/>
      <c r="D322" s="176">
        <f>SUM(D318:D321)</f>
      </c>
      <c r="E322" s="176">
        <f>SUM(E318:E321)</f>
      </c>
      <c r="F322" s="176">
        <f>SUM(F318:F321)</f>
      </c>
      <c r="G322" s="176">
        <f>SUM(G318:G321)</f>
      </c>
      <c r="H322" s="176">
        <f>SUM(H318:H321)</f>
      </c>
      <c r="I322" s="176">
        <f>SUM(I318:I321)</f>
      </c>
      <c r="J322" s="176">
        <f>SUM(J318:J321)</f>
      </c>
      <c r="K322" s="176">
        <f>SUM(K318:K321)</f>
      </c>
      <c r="L322" s="176">
        <f>SUM(L318:L321)</f>
      </c>
      <c r="M322" s="176">
        <f>SUM(M318:M321)</f>
      </c>
      <c r="N322" s="177">
        <f t="shared" si="28"/>
      </c>
      <c r="O322" s="253">
        <f t="shared" si="191"/>
      </c>
      <c r="P322" s="254">
        <f t="shared" si="133"/>
      </c>
      <c r="Q322" s="255">
        <f t="shared" si="307"/>
      </c>
      <c r="R322" s="256">
        <f t="shared" si="249"/>
      </c>
      <c r="S322" s="255">
        <f t="shared" si="336"/>
      </c>
      <c r="T322" s="179">
        <f t="shared" si="452"/>
      </c>
      <c r="U322" s="180">
        <f t="shared" si="394"/>
      </c>
      <c r="V322" s="179">
        <f t="shared" si="162"/>
      </c>
      <c r="W322" s="179">
        <f t="shared" si="104"/>
      </c>
      <c r="X322" s="180">
        <f t="shared" si="278"/>
      </c>
      <c r="Y322" s="181">
        <f t="shared" si="220"/>
      </c>
      <c r="Z322" s="180">
        <f t="shared" si="423"/>
      </c>
      <c r="AA322" s="182">
        <f t="shared" si="365"/>
      </c>
      <c r="AB322" s="189"/>
      <c r="AC322" s="202"/>
      <c r="AD322" s="261">
        <f>SUM(AD318:AD321)</f>
      </c>
      <c r="AE322" s="183">
        <f>SUM(AE318:AE321)</f>
      </c>
      <c r="AF322" s="183">
        <f>SUM(AF318:AF321)</f>
      </c>
      <c r="AG322" s="183">
        <f>SUM(AG318:AG321)</f>
      </c>
      <c r="AH322" s="183">
        <f>SUM(AH318:AH321)</f>
      </c>
      <c r="AI322" s="183">
        <f>SUM(AI318:AI321)</f>
      </c>
      <c r="AJ322" s="183">
        <f>SUM(AJ318:AJ321)</f>
      </c>
      <c r="AK322" s="183">
        <f>SUM(AK318:AK321)</f>
      </c>
      <c r="AL322" s="183">
        <f>SUM(AL318:AL321)</f>
      </c>
      <c r="AM322" s="168"/>
    </row>
    <row r="323">
      <c r="A323" s="152"/>
      <c r="B323" s="184" t="s">
        <v>145</v>
      </c>
      <c r="C323" s="154" t="s">
        <v>139</v>
      </c>
      <c r="D323" s="153">
        <f t="shared" ref="D323:D326" si="75">E323+F323+G323+H323</f>
      </c>
      <c r="E323" s="156">
        <v>2204.37</v>
      </c>
      <c r="F323" s="158"/>
      <c r="G323" s="153">
        <v>785.46</v>
      </c>
      <c r="H323" s="156"/>
      <c r="I323" s="156">
        <v>2</v>
      </c>
      <c r="J323" s="153">
        <v>3216</v>
      </c>
      <c r="K323" s="156">
        <v>0</v>
      </c>
      <c r="L323" s="156">
        <v>1</v>
      </c>
      <c r="M323" s="186">
        <v>1</v>
      </c>
      <c r="N323" s="257">
        <f t="shared" si="28"/>
      </c>
      <c r="O323" s="239">
        <f t="shared" si="191"/>
      </c>
      <c r="P323" s="240">
        <f t="shared" si="133"/>
      </c>
      <c r="Q323" s="241">
        <f t="shared" si="307"/>
      </c>
      <c r="R323" s="242">
        <f t="shared" si="249"/>
      </c>
      <c r="S323" s="241">
        <f t="shared" si="336"/>
      </c>
      <c r="T323" s="243">
        <f t="shared" si="452"/>
      </c>
      <c r="U323" s="162">
        <f t="shared" si="394"/>
      </c>
      <c r="V323" s="161">
        <f t="shared" si="162"/>
      </c>
      <c r="W323" s="161">
        <f t="shared" si="104"/>
      </c>
      <c r="X323" s="162">
        <f t="shared" si="278"/>
      </c>
      <c r="Y323" s="163">
        <f t="shared" si="220"/>
      </c>
      <c r="Z323" s="162">
        <f t="shared" si="423"/>
      </c>
      <c r="AA323" s="164">
        <f t="shared" si="365"/>
      </c>
      <c r="AB323" s="199" t="s">
        <v>132</v>
      </c>
      <c r="AC323" s="200" t="s">
        <v>153</v>
      </c>
      <c r="AD323" s="258">
        <v>1</v>
      </c>
      <c r="AE323" s="185">
        <v>11402</v>
      </c>
      <c r="AF323" s="167">
        <v>339</v>
      </c>
      <c r="AG323" s="167">
        <v>495</v>
      </c>
      <c r="AH323" s="167">
        <v>77</v>
      </c>
      <c r="AI323" s="167">
        <v>12</v>
      </c>
      <c r="AJ323" s="175">
        <v>10</v>
      </c>
      <c r="AK323" s="175">
        <v>20</v>
      </c>
      <c r="AL323" s="175">
        <v>1</v>
      </c>
      <c r="AM323" s="168"/>
    </row>
    <row r="324">
      <c r="A324" s="152"/>
      <c r="B324" s="171" t="s">
        <v>140</v>
      </c>
      <c r="C324" s="154" t="s">
        <v>139</v>
      </c>
      <c r="D324" s="153">
        <f t="shared" si="75"/>
      </c>
      <c r="E324" s="156">
        <v>3006.32</v>
      </c>
      <c r="F324" s="158"/>
      <c r="G324" s="153">
        <v>650.27</v>
      </c>
      <c r="H324" s="156"/>
      <c r="I324" s="156">
        <v>4</v>
      </c>
      <c r="J324" s="153">
        <v>7752</v>
      </c>
      <c r="K324" s="156">
        <v>0</v>
      </c>
      <c r="L324" s="156">
        <v>1</v>
      </c>
      <c r="M324" s="186">
        <v>3</v>
      </c>
      <c r="N324" s="257">
        <f t="shared" si="28"/>
      </c>
      <c r="O324" s="239">
        <f t="shared" si="191"/>
      </c>
      <c r="P324" s="240">
        <f t="shared" si="133"/>
      </c>
      <c r="Q324" s="241">
        <f t="shared" si="307"/>
      </c>
      <c r="R324" s="242">
        <f t="shared" si="249"/>
      </c>
      <c r="S324" s="241">
        <f t="shared" si="336"/>
      </c>
      <c r="T324" s="243">
        <f t="shared" si="452"/>
      </c>
      <c r="U324" s="162">
        <f t="shared" si="394"/>
      </c>
      <c r="V324" s="161">
        <f t="shared" si="162"/>
      </c>
      <c r="W324" s="161">
        <f t="shared" si="104"/>
      </c>
      <c r="X324" s="162">
        <f t="shared" si="278"/>
      </c>
      <c r="Y324" s="163">
        <f t="shared" si="220"/>
      </c>
      <c r="Z324" s="162">
        <f t="shared" si="423"/>
      </c>
      <c r="AA324" s="164">
        <f t="shared" si="365"/>
      </c>
      <c r="AB324" s="199" t="s">
        <v>132</v>
      </c>
      <c r="AC324" s="200" t="s">
        <v>153</v>
      </c>
      <c r="AD324" s="258">
        <v>4</v>
      </c>
      <c r="AE324" s="185">
        <v>10422</v>
      </c>
      <c r="AF324" s="167">
        <v>383</v>
      </c>
      <c r="AG324" s="167">
        <v>642</v>
      </c>
      <c r="AH324" s="167">
        <v>116</v>
      </c>
      <c r="AI324" s="167">
        <v>22</v>
      </c>
      <c r="AJ324" s="175">
        <v>11</v>
      </c>
      <c r="AK324" s="175">
        <v>31</v>
      </c>
      <c r="AL324" s="175">
        <v>1</v>
      </c>
      <c r="AM324" s="168"/>
    </row>
    <row r="325">
      <c r="A325" s="152"/>
      <c r="B325" s="156" t="s">
        <v>141</v>
      </c>
      <c r="C325" s="154" t="s">
        <v>139</v>
      </c>
      <c r="D325" s="153">
        <f t="shared" si="75"/>
      </c>
      <c r="E325" s="156">
        <v>2773.13</v>
      </c>
      <c r="F325" s="158"/>
      <c r="G325" s="153">
        <v>972.83</v>
      </c>
      <c r="H325" s="156"/>
      <c r="I325" s="156">
        <v>3</v>
      </c>
      <c r="J325" s="156">
        <v>6804</v>
      </c>
      <c r="K325" s="156">
        <v>0</v>
      </c>
      <c r="L325" s="156">
        <v>0</v>
      </c>
      <c r="M325" s="156">
        <v>3</v>
      </c>
      <c r="N325" s="251">
        <f t="shared" si="28"/>
      </c>
      <c r="O325" s="239">
        <f t="shared" si="191"/>
      </c>
      <c r="P325" s="240">
        <f t="shared" si="133"/>
      </c>
      <c r="Q325" s="241">
        <f t="shared" si="307"/>
      </c>
      <c r="R325" s="242">
        <f t="shared" si="249"/>
      </c>
      <c r="S325" s="241">
        <f t="shared" si="336"/>
      </c>
      <c r="T325" s="243">
        <f t="shared" si="452"/>
      </c>
      <c r="U325" s="162">
        <f t="shared" si="394"/>
      </c>
      <c r="V325" s="161">
        <f t="shared" si="162"/>
      </c>
      <c r="W325" s="161">
        <f t="shared" si="104"/>
      </c>
      <c r="X325" s="162">
        <f t="shared" si="278"/>
      </c>
      <c r="Y325" s="163">
        <f t="shared" si="220"/>
      </c>
      <c r="Z325" s="162">
        <f t="shared" si="423"/>
      </c>
      <c r="AA325" s="164">
        <f t="shared" si="365"/>
      </c>
      <c r="AB325" s="199" t="s">
        <v>132</v>
      </c>
      <c r="AC325" s="200" t="s">
        <v>153</v>
      </c>
      <c r="AD325" s="258">
        <v>3</v>
      </c>
      <c r="AE325" s="185">
        <v>10047</v>
      </c>
      <c r="AF325" s="167">
        <v>399</v>
      </c>
      <c r="AG325" s="167">
        <v>720</v>
      </c>
      <c r="AH325" s="167">
        <v>103</v>
      </c>
      <c r="AI325" s="167">
        <v>31</v>
      </c>
      <c r="AJ325" s="175">
        <v>8</v>
      </c>
      <c r="AK325" s="175">
        <v>25</v>
      </c>
      <c r="AL325" s="175">
        <v>1</v>
      </c>
      <c r="AM325" s="168"/>
    </row>
    <row r="326">
      <c r="A326" s="152"/>
      <c r="B326" s="155" t="s">
        <v>150</v>
      </c>
      <c r="C326" s="209" t="s">
        <v>139</v>
      </c>
      <c r="D326" s="157">
        <f t="shared" si="75"/>
      </c>
      <c r="E326" s="156">
        <f>2113.47+44.67</f>
      </c>
      <c r="F326" s="158"/>
      <c r="G326" s="153">
        <v>699.66</v>
      </c>
      <c r="H326" s="156"/>
      <c r="I326" s="156">
        <v>1</v>
      </c>
      <c r="J326" s="153">
        <v>2268</v>
      </c>
      <c r="K326" s="156">
        <v>0</v>
      </c>
      <c r="L326" s="155">
        <v>0</v>
      </c>
      <c r="M326" s="250">
        <v>1</v>
      </c>
      <c r="N326" s="268">
        <f t="shared" si="28"/>
      </c>
      <c r="O326" s="239">
        <f t="shared" si="191"/>
      </c>
      <c r="P326" s="240">
        <f t="shared" si="133"/>
      </c>
      <c r="Q326" s="241">
        <f t="shared" si="307"/>
      </c>
      <c r="R326" s="242">
        <f t="shared" si="249"/>
      </c>
      <c r="S326" s="241">
        <f t="shared" si="336"/>
      </c>
      <c r="T326" s="243">
        <f t="shared" si="452"/>
      </c>
      <c r="U326" s="162">
        <f t="shared" si="394"/>
      </c>
      <c r="V326" s="161">
        <f t="shared" si="162"/>
      </c>
      <c r="W326" s="161">
        <f t="shared" si="104"/>
      </c>
      <c r="X326" s="162">
        <f t="shared" si="278"/>
      </c>
      <c r="Y326" s="163">
        <f t="shared" si="220"/>
      </c>
      <c r="Z326" s="162">
        <f t="shared" si="423"/>
      </c>
      <c r="AA326" s="164">
        <f t="shared" si="365"/>
      </c>
      <c r="AB326" s="199" t="s">
        <v>132</v>
      </c>
      <c r="AC326" s="200" t="s">
        <v>153</v>
      </c>
      <c r="AD326" s="258">
        <v>1</v>
      </c>
      <c r="AE326" s="185">
        <v>7226</v>
      </c>
      <c r="AF326" s="167">
        <v>308</v>
      </c>
      <c r="AG326" s="167">
        <v>631</v>
      </c>
      <c r="AH326" s="167">
        <v>55</v>
      </c>
      <c r="AI326" s="167">
        <v>18</v>
      </c>
      <c r="AJ326" s="175">
        <v>2</v>
      </c>
      <c r="AK326" s="175">
        <v>15</v>
      </c>
      <c r="AL326" s="175">
        <v>1</v>
      </c>
      <c r="AM326" s="168"/>
    </row>
    <row r="327">
      <c r="A327" s="152"/>
      <c r="B327" s="176" t="s">
        <v>137</v>
      </c>
      <c r="C327" s="176"/>
      <c r="D327" s="176">
        <f>SUM(D323:D326)</f>
      </c>
      <c r="E327" s="176">
        <f>SUM(E323:E326)</f>
      </c>
      <c r="F327" s="176">
        <f>SUM(F323:F326)</f>
      </c>
      <c r="G327" s="176">
        <f>SUM(G323:G326)</f>
      </c>
      <c r="H327" s="176">
        <f>SUM(H323:H326)</f>
      </c>
      <c r="I327" s="176">
        <f>SUM(I323:I326)</f>
      </c>
      <c r="J327" s="176">
        <f>SUM(J323:J326)</f>
      </c>
      <c r="K327" s="176">
        <f>SUM(K323:K326)</f>
      </c>
      <c r="L327" s="176">
        <f>SUM(L323:L326)</f>
      </c>
      <c r="M327" s="264">
        <f>SUM(M323:M326)</f>
      </c>
      <c r="N327" s="265">
        <f t="shared" si="28"/>
      </c>
      <c r="O327" s="266">
        <f t="shared" si="191"/>
      </c>
      <c r="P327" s="245">
        <f t="shared" si="133"/>
      </c>
      <c r="Q327" s="246">
        <f t="shared" si="307"/>
      </c>
      <c r="R327" s="247">
        <f t="shared" si="249"/>
      </c>
      <c r="S327" s="246">
        <f t="shared" si="336"/>
      </c>
      <c r="T327" s="179">
        <f t="shared" si="452"/>
      </c>
      <c r="U327" s="180">
        <f t="shared" si="394"/>
      </c>
      <c r="V327" s="179">
        <f t="shared" si="162"/>
      </c>
      <c r="W327" s="179">
        <f t="shared" si="104"/>
      </c>
      <c r="X327" s="180">
        <f t="shared" si="278"/>
      </c>
      <c r="Y327" s="181">
        <f t="shared" si="220"/>
      </c>
      <c r="Z327" s="180">
        <f t="shared" si="423"/>
      </c>
      <c r="AA327" s="182">
        <f t="shared" si="365"/>
      </c>
      <c r="AB327" s="189"/>
      <c r="AC327" s="202"/>
      <c r="AD327" s="212">
        <f>SUM(AD323:AD326)</f>
      </c>
      <c r="AE327" s="190">
        <f>SUM(AE323:AE326)</f>
      </c>
      <c r="AF327" s="190">
        <f>SUM(AF323:AF326)</f>
      </c>
      <c r="AG327" s="190">
        <f>SUM(AG323:AG326)</f>
      </c>
      <c r="AH327" s="190">
        <f>SUM(AH323:AH326)</f>
      </c>
      <c r="AI327" s="190">
        <f>SUM(AI323:AI326)</f>
      </c>
      <c r="AJ327" s="190">
        <f>SUM(AJ323:AJ326)</f>
      </c>
      <c r="AK327" s="190">
        <f>SUM(AK323:AK326)</f>
      </c>
      <c r="AL327" s="190">
        <f>SUM(AL323:AL326)</f>
      </c>
      <c r="AM327" s="191" t="s">
        <v>142</v>
      </c>
    </row>
    <row r="328">
      <c r="A328" s="152"/>
      <c r="B328" s="192" t="s">
        <v>143</v>
      </c>
      <c r="C328" s="192"/>
      <c r="D328" s="192">
        <f>D322+D327</f>
      </c>
      <c r="E328" s="192">
        <f>E322+E327</f>
      </c>
      <c r="F328" s="192">
        <f>F322+F327</f>
      </c>
      <c r="G328" s="192">
        <f>G322+G327</f>
      </c>
      <c r="H328" s="192">
        <f>H322+H327</f>
      </c>
      <c r="I328" s="192">
        <f>I322+I327</f>
      </c>
      <c r="J328" s="192">
        <f>J322+J327</f>
      </c>
      <c r="K328" s="192">
        <f>K322+K327</f>
      </c>
      <c r="L328" s="192">
        <f>L322+L327</f>
      </c>
      <c r="M328" s="192">
        <f>M322+M327</f>
      </c>
      <c r="N328" s="267">
        <f t="shared" si="28"/>
      </c>
      <c r="O328" s="193">
        <f t="shared" si="191"/>
      </c>
      <c r="P328" s="194">
        <f t="shared" si="133"/>
      </c>
      <c r="Q328" s="195">
        <f t="shared" si="307"/>
      </c>
      <c r="R328" s="193">
        <f t="shared" si="249"/>
      </c>
      <c r="S328" s="195">
        <f t="shared" si="336"/>
      </c>
      <c r="T328" s="195">
        <f t="shared" si="452"/>
      </c>
      <c r="U328" s="193">
        <f t="shared" si="394"/>
      </c>
      <c r="V328" s="195">
        <f t="shared" si="162"/>
      </c>
      <c r="W328" s="195">
        <f t="shared" si="104"/>
      </c>
      <c r="X328" s="193">
        <f t="shared" si="278"/>
      </c>
      <c r="Y328" s="196">
        <f t="shared" si="220"/>
      </c>
      <c r="Z328" s="193">
        <f t="shared" si="423"/>
      </c>
      <c r="AA328" s="194">
        <f t="shared" si="365"/>
      </c>
      <c r="AB328" s="262"/>
      <c r="AC328" s="263"/>
      <c r="AD328" s="197">
        <f>AD322+AD327</f>
      </c>
      <c r="AE328" s="197">
        <f>AE322+AE327</f>
      </c>
      <c r="AF328" s="197">
        <f>AF322+AF327</f>
      </c>
      <c r="AG328" s="197">
        <f>AG322+AG327</f>
      </c>
      <c r="AH328" s="197">
        <f>AH322+AH327</f>
      </c>
      <c r="AI328" s="197">
        <f>AI322+AI327</f>
      </c>
      <c r="AJ328" s="197">
        <f>AJ322+AJ327</f>
      </c>
      <c r="AK328" s="197">
        <f>AK322+AK327</f>
      </c>
      <c r="AL328" s="197">
        <f>AL322+AL327</f>
      </c>
      <c r="AM328" s="191"/>
    </row>
    <row r="329">
      <c r="A329" s="168"/>
      <c r="B329" s="168"/>
      <c r="C329" s="270"/>
      <c r="D329" s="270"/>
      <c r="E329" s="270"/>
      <c r="F329" s="168"/>
      <c r="G329" s="168"/>
      <c r="H329" s="168"/>
      <c r="I329" s="168">
        <f>I330-I328</f>
      </c>
      <c r="J329" s="168">
        <f>J330-J328</f>
      </c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8"/>
      <c r="W329" s="168"/>
      <c r="X329" s="168"/>
      <c r="Y329" s="168"/>
      <c r="Z329" s="168"/>
      <c r="AA329" s="168"/>
      <c r="AB329" s="168"/>
      <c r="AC329" s="168"/>
      <c r="AD329" s="271">
        <f>AD330+AD331+AD332+AD333</f>
      </c>
      <c r="AE329" s="271">
        <f>AE330+AE331+AE332+AE333</f>
      </c>
      <c r="AF329" s="271">
        <f>AF330+AF331+AF332+AF333</f>
      </c>
      <c r="AG329" s="271">
        <f>AG330+AG331+AG332+AG333</f>
      </c>
      <c r="AH329" s="271">
        <f>AH330+AH331+AH332+AH333</f>
      </c>
      <c r="AI329" s="271">
        <f>AI330+AI331+AI332+AI333</f>
      </c>
      <c r="AJ329" s="168">
        <f>AJ330+AJ331-AJ328</f>
      </c>
      <c r="AK329" s="272">
        <f>AK330-AK328+89</f>
      </c>
      <c r="AL329" s="168">
        <v>1</v>
      </c>
      <c r="AM329" s="168"/>
    </row>
    <row r="330">
      <c r="A330" s="168"/>
      <c r="B330" s="168"/>
      <c r="C330" s="273"/>
      <c r="D330" s="273"/>
      <c r="E330" s="273"/>
      <c r="F330" s="168"/>
      <c r="G330" s="168"/>
      <c r="H330" s="168"/>
      <c r="I330" s="168" cm="1">
        <f t="array" ref="I330:I330">IMPORTRANGE("https://meimeiwangluo.feishu.cn/sheets/BdrtsODdph4hLdtnTbAcZQ6Znig","'Sheet1'!C1")</f>
      </c>
      <c r="J330" s="168" cm="1">
        <f t="array" ref="J330:J330">IMPORTRANGE("https://meimeiwangluo.feishu.cn/sheets/BdrtsODdph4hLdtnTbAcZQ6Znig","'Sheet1'!D1")</f>
      </c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68"/>
      <c r="X330" s="168"/>
      <c r="Y330" s="168"/>
      <c r="Z330" s="168"/>
      <c r="AA330" s="168"/>
      <c r="AB330" s="168"/>
      <c r="AC330" s="168"/>
      <c r="AD330" s="274">
        <v>0</v>
      </c>
      <c r="AE330" s="275">
        <v>2288</v>
      </c>
      <c r="AF330" s="275">
        <v>116</v>
      </c>
      <c r="AG330" s="275">
        <v>309</v>
      </c>
      <c r="AH330" s="275">
        <v>17</v>
      </c>
      <c r="AI330" s="275">
        <v>9</v>
      </c>
      <c r="AJ330" s="276">
        <v>50</v>
      </c>
      <c r="AK330" s="277">
        <v>89</v>
      </c>
      <c r="AL330" s="168"/>
      <c r="AM330" s="168"/>
    </row>
    <row r="331">
      <c r="A331" s="168"/>
      <c r="B331" s="168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8"/>
      <c r="W331" s="168"/>
      <c r="X331" s="168"/>
      <c r="Y331" s="168"/>
      <c r="Z331" s="168"/>
      <c r="AA331" s="168"/>
      <c r="AB331" s="168"/>
      <c r="AC331" s="168"/>
      <c r="AD331" s="275">
        <v>1</v>
      </c>
      <c r="AE331" s="275">
        <v>4938</v>
      </c>
      <c r="AF331" s="275">
        <v>192</v>
      </c>
      <c r="AG331" s="275">
        <v>322</v>
      </c>
      <c r="AH331" s="275">
        <v>38</v>
      </c>
      <c r="AI331" s="275">
        <v>9</v>
      </c>
      <c r="AJ331" s="272"/>
      <c r="AK331" s="272"/>
      <c r="AL331" s="168"/>
      <c r="AM331" s="168"/>
    </row>
    <row r="332">
      <c r="A332" s="168"/>
      <c r="B332" s="168"/>
      <c r="C332" s="278"/>
      <c r="D332" s="279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8"/>
      <c r="W332" s="168"/>
      <c r="X332" s="168"/>
      <c r="Y332" s="168"/>
      <c r="Z332" s="168"/>
      <c r="AA332" s="168"/>
      <c r="AB332" s="168"/>
      <c r="AC332" s="168"/>
      <c r="AD332" s="275"/>
      <c r="AE332" s="275"/>
      <c r="AF332" s="275"/>
      <c r="AG332" s="275"/>
      <c r="AH332" s="275"/>
      <c r="AI332" s="275"/>
      <c r="AJ332" s="168"/>
      <c r="AK332" s="168"/>
      <c r="AL332" s="168"/>
      <c r="AM332" s="168"/>
    </row>
    <row r="333">
      <c r="A333" s="168"/>
      <c r="B333" s="280"/>
      <c r="C333" s="278"/>
      <c r="D333" s="272"/>
      <c r="E333" s="168"/>
      <c r="F333" s="168"/>
      <c r="G333" s="168"/>
      <c r="H333" s="168"/>
      <c r="I333" s="272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8"/>
      <c r="W333" s="168"/>
      <c r="X333" s="168"/>
      <c r="Y333" s="168"/>
      <c r="Z333" s="168"/>
      <c r="AA333" s="168"/>
      <c r="AB333" s="168"/>
      <c r="AC333" s="168"/>
      <c r="AD333" s="275"/>
      <c r="AE333" s="275"/>
      <c r="AF333" s="275"/>
      <c r="AG333" s="275"/>
      <c r="AH333" s="275"/>
      <c r="AI333" s="275"/>
      <c r="AJ333" s="168"/>
      <c r="AK333" s="168"/>
      <c r="AL333" s="168"/>
      <c r="AM333" s="168"/>
    </row>
    <row r="334">
      <c r="F334" s="281"/>
    </row>
  </sheetData>
  <autoFilter ref="A2:AM364">
    <filterColumn colId="0">
      <filters blank="true">
        <filter val="2026.9.28"/>
        <filter val="2026.9.29"/>
        <filter val="2026.9.30"/>
      </filters>
    </filterColumn>
  </autoFilter>
  <mergeCells>
    <mergeCell ref="B302:C302"/>
    <mergeCell ref="B301:C301"/>
    <mergeCell ref="AM301:AM302"/>
    <mergeCell ref="B296:C296"/>
    <mergeCell ref="A292:A302"/>
    <mergeCell ref="A290:C290"/>
    <mergeCell ref="D290:O290"/>
    <mergeCell ref="P290:AC290"/>
    <mergeCell ref="AD290:AL290"/>
    <mergeCell ref="B131:C131"/>
    <mergeCell ref="B138:C138"/>
    <mergeCell ref="B130:C130"/>
    <mergeCell ref="B126:C126"/>
    <mergeCell ref="B289:C289"/>
    <mergeCell ref="B288:C288"/>
    <mergeCell ref="AM288:AM289"/>
    <mergeCell ref="B285:C285"/>
    <mergeCell ref="A281:A289"/>
    <mergeCell ref="A279:C279"/>
    <mergeCell ref="D279:O279"/>
    <mergeCell ref="P279:AC279"/>
    <mergeCell ref="AD279:AL279"/>
    <mergeCell ref="B278:C278"/>
    <mergeCell ref="B277:C277"/>
    <mergeCell ref="AM277:AM278"/>
    <mergeCell ref="B272:C272"/>
    <mergeCell ref="A268:A278"/>
    <mergeCell ref="A266:C266"/>
    <mergeCell ref="D266:O266"/>
    <mergeCell ref="P266:AC266"/>
    <mergeCell ref="AD266:AL266"/>
    <mergeCell ref="A253:C253"/>
    <mergeCell ref="D253:O253"/>
    <mergeCell ref="P253:AC253"/>
    <mergeCell ref="AD253:AL253"/>
    <mergeCell ref="A255:A265"/>
    <mergeCell ref="B259:C259"/>
    <mergeCell ref="B264:C264"/>
    <mergeCell ref="AM264:AM265"/>
    <mergeCell ref="B265:C265"/>
    <mergeCell ref="B246:C246"/>
    <mergeCell ref="A240:C240"/>
    <mergeCell ref="D240:O240"/>
    <mergeCell ref="P240:AC240"/>
    <mergeCell ref="AD240:AL240"/>
    <mergeCell ref="B229:C229"/>
    <mergeCell ref="A222:A230"/>
    <mergeCell ref="AM229:AM230"/>
    <mergeCell ref="B230:C230"/>
    <mergeCell ref="B226:C226"/>
    <mergeCell ref="A220:C220"/>
    <mergeCell ref="D220:O220"/>
    <mergeCell ref="P220:AC220"/>
    <mergeCell ref="AD220:AL220"/>
    <mergeCell ref="B139:C139"/>
    <mergeCell ref="B147:C147"/>
    <mergeCell ref="B157:C157"/>
    <mergeCell ref="AM156:AM157"/>
    <mergeCell ref="B156:C156"/>
    <mergeCell ref="B154:C154"/>
    <mergeCell ref="A150:A157"/>
    <mergeCell ref="A148:C148"/>
    <mergeCell ref="D148:O148"/>
    <mergeCell ref="P148:AC148"/>
    <mergeCell ref="AD148:AL148"/>
    <mergeCell ref="B107:C107"/>
    <mergeCell ref="B106:C106"/>
    <mergeCell ref="AM106:AM107"/>
    <mergeCell ref="A100:A107"/>
    <mergeCell ref="B104:C104"/>
    <mergeCell ref="A98:C98"/>
    <mergeCell ref="D98:O98"/>
    <mergeCell ref="P98:AC98"/>
    <mergeCell ref="AD98:AL98"/>
    <mergeCell ref="B97:C97"/>
    <mergeCell ref="B96:C96"/>
    <mergeCell ref="AM96:AM97"/>
    <mergeCell ref="A90:A97"/>
    <mergeCell ref="B87:C87"/>
    <mergeCell ref="A81:A87"/>
    <mergeCell ref="A60:A67"/>
    <mergeCell ref="B66:C66"/>
    <mergeCell ref="AM66:AM67"/>
    <mergeCell ref="B67:C67"/>
    <mergeCell ref="B64:C64"/>
    <mergeCell ref="A58:C58"/>
    <mergeCell ref="D58:O58"/>
    <mergeCell ref="P58:AC58"/>
    <mergeCell ref="AD58:AL58"/>
    <mergeCell ref="B54:C54"/>
    <mergeCell ref="A48:C48"/>
    <mergeCell ref="D48:O48"/>
    <mergeCell ref="P48:AC48"/>
    <mergeCell ref="AD48:AL48"/>
    <mergeCell ref="A26:A36"/>
    <mergeCell ref="AM35:AM36"/>
    <mergeCell ref="B35:C35"/>
    <mergeCell ref="B36:C36"/>
    <mergeCell ref="B30:C30"/>
    <mergeCell ref="A24:C24"/>
    <mergeCell ref="D24:O24"/>
    <mergeCell ref="P24:AC24"/>
    <mergeCell ref="AD24:AL24"/>
    <mergeCell ref="B12:C12"/>
    <mergeCell ref="B11:C11"/>
    <mergeCell ref="AM11:AM12"/>
    <mergeCell ref="A3:A12"/>
    <mergeCell ref="B7:C7"/>
    <mergeCell ref="A1:C1"/>
    <mergeCell ref="D1:O1"/>
    <mergeCell ref="P1:AC1"/>
    <mergeCell ref="AD1:AL1"/>
    <mergeCell ref="AD13:AL13"/>
    <mergeCell ref="P13:AC13"/>
    <mergeCell ref="D13:O13"/>
    <mergeCell ref="A13:C13"/>
    <mergeCell ref="A15:A23"/>
    <mergeCell ref="B20:C20"/>
    <mergeCell ref="AM22:AM23"/>
    <mergeCell ref="B22:C22"/>
    <mergeCell ref="B23:C23"/>
    <mergeCell ref="A37:C37"/>
    <mergeCell ref="D37:O37"/>
    <mergeCell ref="P37:AC37"/>
    <mergeCell ref="AD37:AL37"/>
    <mergeCell ref="B47:C47"/>
    <mergeCell ref="B46:C46"/>
    <mergeCell ref="AM46:AM47"/>
    <mergeCell ref="B44:C44"/>
    <mergeCell ref="A39:A47"/>
    <mergeCell ref="A50:A57"/>
    <mergeCell ref="AM56:AM57"/>
    <mergeCell ref="B56:C56"/>
    <mergeCell ref="B57:C57"/>
    <mergeCell ref="A68:C68"/>
    <mergeCell ref="D68:O68"/>
    <mergeCell ref="P68:AC68"/>
    <mergeCell ref="AD68:AL68"/>
    <mergeCell ref="B75:C75"/>
    <mergeCell ref="B78:C78"/>
    <mergeCell ref="AM77:AM78"/>
    <mergeCell ref="B77:C77"/>
    <mergeCell ref="A70:A78"/>
    <mergeCell ref="A79:C79"/>
    <mergeCell ref="D79:O79"/>
    <mergeCell ref="P79:AC79"/>
    <mergeCell ref="AD79:AL79"/>
    <mergeCell ref="B86:C86"/>
    <mergeCell ref="AM86:AM87"/>
    <mergeCell ref="A88:C88"/>
    <mergeCell ref="D88:O88"/>
    <mergeCell ref="P88:AC88"/>
    <mergeCell ref="AD88:AL88"/>
    <mergeCell ref="B93:C93"/>
    <mergeCell ref="A108:C108"/>
    <mergeCell ref="D108:O108"/>
    <mergeCell ref="P108:AC108"/>
    <mergeCell ref="AD108:AL108"/>
    <mergeCell ref="B115:C115"/>
    <mergeCell ref="A110:A120"/>
    <mergeCell ref="AM119:AM120"/>
    <mergeCell ref="B120:C120"/>
    <mergeCell ref="B119:C119"/>
    <mergeCell ref="A121:C121"/>
    <mergeCell ref="D121:O121"/>
    <mergeCell ref="P121:AC121"/>
    <mergeCell ref="AD121:AL121"/>
    <mergeCell ref="A123:A131"/>
    <mergeCell ref="A132:C132"/>
    <mergeCell ref="D132:O132"/>
    <mergeCell ref="P132:AC132"/>
    <mergeCell ref="AD132:AL132"/>
    <mergeCell ref="A134:A139"/>
    <mergeCell ref="A140:C140"/>
    <mergeCell ref="D140:O140"/>
    <mergeCell ref="P140:AC140"/>
    <mergeCell ref="AD140:AL140"/>
    <mergeCell ref="A142:A147"/>
    <mergeCell ref="B146:C146"/>
    <mergeCell ref="A158:C158"/>
    <mergeCell ref="D158:O158"/>
    <mergeCell ref="P158:AC158"/>
    <mergeCell ref="AD158:AL158"/>
    <mergeCell ref="B164:C164"/>
    <mergeCell ref="B169:C169"/>
    <mergeCell ref="B168:C168"/>
    <mergeCell ref="AM168:AM169"/>
    <mergeCell ref="A160:A169"/>
    <mergeCell ref="A170:C170"/>
    <mergeCell ref="D170:O170"/>
    <mergeCell ref="P170:AC170"/>
    <mergeCell ref="AD170:AL170"/>
    <mergeCell ref="B176:C176"/>
    <mergeCell ref="B182:C182"/>
    <mergeCell ref="AM181:AM182"/>
    <mergeCell ref="B181:C181"/>
    <mergeCell ref="A172:A182"/>
    <mergeCell ref="A183:C183"/>
    <mergeCell ref="D183:O183"/>
    <mergeCell ref="P183:AC183"/>
    <mergeCell ref="AD183:AL183"/>
    <mergeCell ref="A185:A195"/>
    <mergeCell ref="B189:C189"/>
    <mergeCell ref="AM194:AM195"/>
    <mergeCell ref="B194:C194"/>
    <mergeCell ref="B195:C195"/>
    <mergeCell ref="A196:C196"/>
    <mergeCell ref="D196:O196"/>
    <mergeCell ref="P196:AC196"/>
    <mergeCell ref="AD196:AL196"/>
    <mergeCell ref="A198:A208"/>
    <mergeCell ref="B202:C202"/>
    <mergeCell ref="AM207:AM208"/>
    <mergeCell ref="B207:C207"/>
    <mergeCell ref="B208:C208"/>
    <mergeCell ref="A209:C209"/>
    <mergeCell ref="D209:O209"/>
    <mergeCell ref="P209:AC209"/>
    <mergeCell ref="AD209:AL209"/>
    <mergeCell ref="A211:A219"/>
    <mergeCell ref="B215:C215"/>
    <mergeCell ref="AM218:AM219"/>
    <mergeCell ref="B218:C218"/>
    <mergeCell ref="B219:C219"/>
    <mergeCell ref="A231:C231"/>
    <mergeCell ref="D231:O231"/>
    <mergeCell ref="P231:AC231"/>
    <mergeCell ref="AD231:AL231"/>
    <mergeCell ref="A233:A239"/>
    <mergeCell ref="B239:C239"/>
    <mergeCell ref="B238:C238"/>
    <mergeCell ref="AM238:AM239"/>
    <mergeCell ref="A242:A252"/>
    <mergeCell ref="AM251:AM252"/>
    <mergeCell ref="B251:C251"/>
    <mergeCell ref="B252:C252"/>
    <mergeCell ref="A303:C303"/>
    <mergeCell ref="D303:O303"/>
    <mergeCell ref="P303:AC303"/>
    <mergeCell ref="AD303:AL303"/>
    <mergeCell ref="A305:A315"/>
    <mergeCell ref="B309:C309"/>
    <mergeCell ref="B314:C314"/>
    <mergeCell ref="AM314:AM315"/>
    <mergeCell ref="B315:C315"/>
    <mergeCell ref="A316:C316"/>
    <mergeCell ref="D316:O316"/>
    <mergeCell ref="P316:AC316"/>
    <mergeCell ref="AD316:AL316"/>
    <mergeCell ref="A318:A328"/>
    <mergeCell ref="B322:C322"/>
    <mergeCell ref="B327:C327"/>
    <mergeCell ref="AM327:AM328"/>
    <mergeCell ref="B328:C328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7" min="7" style="0" width="11.211267605633802"/>
    <col collapsed="false" customWidth="true" hidden="false" max="15" min="15" style="0" width="11.211267605633802"/>
    <col collapsed="false" customWidth="true" hidden="false" max="23" min="23" style="0" width="11.211267605633802"/>
    <col collapsed="false" customWidth="true" hidden="false" max="31" min="31" style="0" width="11.211267605633802"/>
    <col collapsed="false" customWidth="true" hidden="false" max="39" min="39" style="0" width="18.422535211267604"/>
    <col collapsed="false" customWidth="true" hidden="false" max="2" min="2" style="0" width="11.211267605633802"/>
    <col collapsed="false" customWidth="true" hidden="false" max="10" min="10" style="0" width="11.211267605633802"/>
    <col collapsed="false" customWidth="true" hidden="false" max="18" min="18" style="0" width="11.211267605633802"/>
    <col collapsed="false" customWidth="true" hidden="false" max="26" min="26" style="0" width="11.211267605633802"/>
    <col collapsed="false" customWidth="true" hidden="false" max="34" min="34" style="0" width="11.211267605633802"/>
    <col collapsed="false" customWidth="true" hidden="false" max="9" min="9" style="0" width="11.211267605633802"/>
    <col collapsed="false" customWidth="true" hidden="false" max="17" min="17" style="0" width="11.211267605633802"/>
    <col collapsed="false" customWidth="true" hidden="false" max="25" min="25" style="0" width="11.211267605633802"/>
    <col collapsed="false" customWidth="true" hidden="false" max="33" min="33" style="0" width="11.211267605633802"/>
    <col collapsed="false" customWidth="true" hidden="false" max="36" min="36" style="0" width="11.211267605633802"/>
    <col collapsed="false" customWidth="true" hidden="false" max="3" min="3" style="0" width="11.211267605633802"/>
    <col collapsed="false" customWidth="true" hidden="false" max="4" min="4" style="0" width="11.211267605633802"/>
    <col collapsed="false" customWidth="true" hidden="false" max="12" min="12" style="0" width="11.211267605633802"/>
    <col collapsed="false" customWidth="true" hidden="false" max="20" min="20" style="0" width="11.211267605633802"/>
    <col collapsed="false" customWidth="true" hidden="false" max="28" min="28" style="0" width="11.211267605633802"/>
    <col collapsed="false" customWidth="true" hidden="false" max="11" min="11" style="0" width="11.211267605633802"/>
    <col collapsed="false" customWidth="true" hidden="false" max="19" min="19" style="0" width="11.211267605633802"/>
    <col collapsed="false" customWidth="true" hidden="false" max="27" min="27" style="0" width="11.211267605633802"/>
    <col collapsed="false" customWidth="true" hidden="false" max="35" min="35" style="0" width="11.211267605633802"/>
    <col collapsed="false" customWidth="true" hidden="false" max="6" min="6" style="0" width="11.211267605633802"/>
    <col collapsed="false" customWidth="true" hidden="false" max="14" min="14" style="0" width="11.211267605633802"/>
    <col collapsed="false" customWidth="true" hidden="false" max="22" min="22" style="0" width="11.211267605633802"/>
    <col collapsed="false" customWidth="true" hidden="false" max="30" min="30" style="0" width="11.211267605633802"/>
    <col collapsed="false" customWidth="true" hidden="false" max="38" min="38" style="0" width="11.211267605633802"/>
    <col collapsed="false" customWidth="true" hidden="false" max="5" min="5" style="0" width="11.211267605633802"/>
    <col collapsed="false" customWidth="true" hidden="false" max="13" min="13" style="0" width="11.211267605633802"/>
    <col collapsed="false" customWidth="true" hidden="false" max="21" min="21" style="0" width="11.211267605633802"/>
    <col collapsed="false" customWidth="true" hidden="false" max="29" min="29" style="0" width="11.211267605633802"/>
    <col collapsed="false" customWidth="true" hidden="false" max="37" min="37" style="0" width="11.211267605633802"/>
    <col collapsed="false" customWidth="true" hidden="false" max="8" min="8" style="0" width="11.211267605633802"/>
    <col collapsed="false" customWidth="true" hidden="false" max="16" min="16" style="0" width="11.211267605633802"/>
    <col collapsed="false" customWidth="true" hidden="false" max="24" min="24" style="0" width="11.211267605633802"/>
    <col collapsed="false" customWidth="true" hidden="false" max="32" min="32" style="0" width="11.211267605633802"/>
  </cols>
  <sheetData>
    <row r="1">
      <c r="A1" s="282" t="s">
        <v>189</v>
      </c>
      <c r="B1" s="282"/>
      <c r="C1" s="282"/>
      <c r="D1" s="283" t="s">
        <v>190</v>
      </c>
      <c r="E1" s="283"/>
      <c r="F1" s="283"/>
      <c r="I1" s="283"/>
      <c r="J1" s="283"/>
      <c r="K1" s="283"/>
      <c r="L1" s="283"/>
      <c r="M1" s="283"/>
      <c r="N1" s="283"/>
      <c r="O1" s="283"/>
      <c r="P1" s="284" t="s">
        <v>191</v>
      </c>
      <c r="Q1" s="284"/>
      <c r="R1" s="284"/>
      <c r="S1" s="284"/>
      <c r="T1" s="284"/>
      <c r="U1" s="284"/>
      <c r="V1" s="284"/>
      <c r="W1" s="284"/>
      <c r="X1" s="284"/>
      <c r="Y1" s="284"/>
      <c r="Z1" s="284"/>
      <c r="AA1" s="284"/>
      <c r="AB1" s="284"/>
      <c r="AC1" s="284"/>
      <c r="AD1" s="285" t="s">
        <v>192</v>
      </c>
      <c r="AE1" s="285"/>
      <c r="AF1" s="285"/>
      <c r="AG1" s="285"/>
      <c r="AH1" s="285"/>
      <c r="AI1" s="285"/>
      <c r="AJ1" s="285"/>
      <c r="AK1" s="285"/>
      <c r="AL1" s="285"/>
      <c r="AM1" s="286"/>
    </row>
    <row r="2">
      <c r="A2" s="287" t="s">
        <v>193</v>
      </c>
      <c r="B2" s="288" t="s">
        <v>194</v>
      </c>
      <c r="C2" s="288" t="s">
        <v>195</v>
      </c>
      <c r="D2" s="289" t="s">
        <v>196</v>
      </c>
      <c r="E2" s="290" t="s">
        <v>197</v>
      </c>
      <c r="F2" s="291" t="s">
        <v>198</v>
      </c>
      <c r="I2" s="292" t="s">
        <v>199</v>
      </c>
      <c r="J2" s="293" t="s">
        <v>200</v>
      </c>
      <c r="K2" s="294" t="s">
        <v>201</v>
      </c>
      <c r="L2" s="294" t="s">
        <v>202</v>
      </c>
      <c r="M2" s="294" t="s">
        <v>203</v>
      </c>
      <c r="N2" s="295" t="s">
        <v>204</v>
      </c>
      <c r="O2" s="295" t="s">
        <v>205</v>
      </c>
      <c r="P2" s="296" t="s">
        <v>206</v>
      </c>
      <c r="Q2" s="296" t="s">
        <v>207</v>
      </c>
      <c r="R2" s="296" t="s">
        <v>208</v>
      </c>
      <c r="S2" s="297" t="s">
        <v>209</v>
      </c>
      <c r="T2" s="297" t="s">
        <v>210</v>
      </c>
      <c r="U2" s="296" t="s">
        <v>211</v>
      </c>
      <c r="V2" s="297" t="s">
        <v>212</v>
      </c>
      <c r="W2" s="297" t="s">
        <v>213</v>
      </c>
      <c r="X2" s="296" t="s">
        <v>214</v>
      </c>
      <c r="Y2" s="297" t="s">
        <v>215</v>
      </c>
      <c r="Z2" s="296" t="s">
        <v>216</v>
      </c>
      <c r="AA2" s="298" t="s">
        <v>217</v>
      </c>
      <c r="AB2" s="298" t="s">
        <v>218</v>
      </c>
      <c r="AC2" s="299" t="s">
        <v>219</v>
      </c>
      <c r="AD2" s="300" t="s">
        <v>220</v>
      </c>
      <c r="AE2" s="301" t="s">
        <v>221</v>
      </c>
      <c r="AF2" s="301" t="s">
        <v>222</v>
      </c>
      <c r="AG2" s="301" t="s">
        <v>223</v>
      </c>
      <c r="AH2" s="301" t="s">
        <v>224</v>
      </c>
      <c r="AI2" s="301" t="s">
        <v>225</v>
      </c>
      <c r="AJ2" s="302" t="s">
        <v>226</v>
      </c>
      <c r="AK2" s="302" t="s">
        <v>227</v>
      </c>
      <c r="AL2" s="302" t="s">
        <v>228</v>
      </c>
    </row>
    <row r="3">
      <c r="A3" s="303" t="s">
        <v>229</v>
      </c>
      <c r="B3" s="304" t="s">
        <v>230</v>
      </c>
      <c r="C3" s="305" t="s">
        <v>231</v>
      </c>
      <c r="D3" s="306">
        <f t="shared" ref="D3:D7" si="442">E3+F3</f>
      </c>
      <c r="E3" s="307">
        <v>2585.38</v>
      </c>
      <c r="F3" s="307">
        <v>504.88</v>
      </c>
      <c r="I3" s="308">
        <v>3</v>
      </c>
      <c r="J3" s="307">
        <v>6804</v>
      </c>
      <c r="K3" s="309">
        <v>0</v>
      </c>
      <c r="L3" s="310">
        <v>0</v>
      </c>
      <c r="M3" s="310">
        <v>3</v>
      </c>
      <c r="N3" s="311">
        <f t="shared" ref="N3:N18" si="328">J3/D3</f>
      </c>
      <c r="O3" s="312">
        <f t="shared" ref="O3:O18" si="254">J3/(D3+300*AL3)</f>
      </c>
      <c r="P3" s="313">
        <f t="shared" ref="P3:P18" si="192">(D3/AE3)*1000</f>
      </c>
      <c r="Q3" s="314">
        <f t="shared" ref="Q3:Q18" si="99">AF3/AE3</f>
      </c>
      <c r="R3" s="315">
        <f t="shared" ref="R3:R18" si="37">D3/AG3</f>
      </c>
      <c r="S3" s="316">
        <f t="shared" ref="S3:S18" si="130">AH3/AG3</f>
      </c>
      <c r="T3" s="314">
        <f t="shared" ref="T3:T18" si="6">AI3/AG3</f>
      </c>
      <c r="U3" s="317">
        <f t="shared" ref="U3:U18" si="491">D3/AI3</f>
      </c>
      <c r="V3" s="314">
        <f t="shared" ref="V3:V18" si="460">AJ3/AI3</f>
      </c>
      <c r="W3" s="318">
        <f t="shared" ref="W3:W18" si="359">I3/AJ3</f>
      </c>
      <c r="X3" s="315">
        <f t="shared" ref="X3:X18" si="285">D3/I3</f>
      </c>
      <c r="Y3" s="319">
        <f t="shared" ref="Y3:Y18" si="223">J3/I3</f>
      </c>
      <c r="Z3" s="315">
        <f t="shared" ref="Z3:Z18" si="161">D3/AD3</f>
      </c>
      <c r="AA3" s="320">
        <f t="shared" ref="AA3:AA18" si="68">AK3*1000/D3</f>
      </c>
      <c r="AB3" s="321" t="s">
        <v>232</v>
      </c>
      <c r="AC3" s="322" t="s">
        <v>233</v>
      </c>
      <c r="AD3" s="307">
        <v>3</v>
      </c>
      <c r="AE3" s="306">
        <v>7855</v>
      </c>
      <c r="AF3" s="323">
        <v>322</v>
      </c>
      <c r="AG3" s="324">
        <v>445</v>
      </c>
      <c r="AH3" s="325">
        <v>73</v>
      </c>
      <c r="AI3" s="326">
        <v>23</v>
      </c>
      <c r="AJ3" s="325">
        <v>5</v>
      </c>
      <c r="AK3" s="326">
        <v>22</v>
      </c>
      <c r="AL3" s="326">
        <v>1</v>
      </c>
      <c r="AM3" s="327"/>
    </row>
    <row r="4">
      <c r="A4" s="303"/>
      <c r="B4" s="304" t="s">
        <v>234</v>
      </c>
      <c r="C4" s="305" t="s">
        <v>231</v>
      </c>
      <c r="D4" s="306">
        <f t="shared" si="442"/>
      </c>
      <c r="E4" s="307">
        <v>2771.96</v>
      </c>
      <c r="F4" s="307">
        <v>796.85</v>
      </c>
      <c r="I4" s="328">
        <v>1</v>
      </c>
      <c r="J4" s="329">
        <v>468</v>
      </c>
      <c r="K4" s="309">
        <v>1</v>
      </c>
      <c r="L4" s="309">
        <v>0</v>
      </c>
      <c r="M4" s="309">
        <v>0</v>
      </c>
      <c r="N4" s="311">
        <f t="shared" si="328"/>
      </c>
      <c r="O4" s="312">
        <f t="shared" si="254"/>
      </c>
      <c r="P4" s="313">
        <f t="shared" si="192"/>
      </c>
      <c r="Q4" s="314">
        <f t="shared" si="99"/>
      </c>
      <c r="R4" s="330">
        <f t="shared" si="37"/>
      </c>
      <c r="S4" s="316">
        <f t="shared" si="130"/>
      </c>
      <c r="T4" s="314">
        <f t="shared" si="6"/>
      </c>
      <c r="U4" s="317">
        <f t="shared" si="491"/>
      </c>
      <c r="V4" s="314">
        <f t="shared" si="460"/>
      </c>
      <c r="W4" s="318">
        <f t="shared" si="359"/>
      </c>
      <c r="X4" s="315">
        <f t="shared" si="285"/>
      </c>
      <c r="Y4" s="319">
        <f t="shared" si="223"/>
      </c>
      <c r="Z4" s="315">
        <f t="shared" si="161"/>
      </c>
      <c r="AA4" s="331">
        <f t="shared" si="68"/>
      </c>
      <c r="AB4" s="332" t="s">
        <v>232</v>
      </c>
      <c r="AC4" s="322" t="s">
        <v>233</v>
      </c>
      <c r="AD4" s="307">
        <v>1</v>
      </c>
      <c r="AE4" s="306">
        <v>9536</v>
      </c>
      <c r="AF4" s="304">
        <v>320</v>
      </c>
      <c r="AG4" s="333">
        <v>416</v>
      </c>
      <c r="AH4" s="334">
        <v>80</v>
      </c>
      <c r="AI4" s="334">
        <v>23</v>
      </c>
      <c r="AJ4" s="335">
        <v>5</v>
      </c>
      <c r="AK4" s="336">
        <v>23</v>
      </c>
      <c r="AL4" s="326">
        <v>1</v>
      </c>
      <c r="AM4" s="327"/>
    </row>
    <row r="5">
      <c r="A5" s="303"/>
      <c r="B5" s="304" t="s">
        <v>235</v>
      </c>
      <c r="C5" s="305" t="s">
        <v>231</v>
      </c>
      <c r="D5" s="306">
        <f t="shared" si="442"/>
      </c>
      <c r="E5" s="307">
        <v>1654.84</v>
      </c>
      <c r="F5" s="307">
        <v>566.4</v>
      </c>
      <c r="I5" s="328">
        <v>1</v>
      </c>
      <c r="J5" s="307">
        <v>468</v>
      </c>
      <c r="K5" s="309">
        <v>1</v>
      </c>
      <c r="L5" s="309">
        <v>0</v>
      </c>
      <c r="M5" s="309">
        <v>0</v>
      </c>
      <c r="N5" s="311">
        <f t="shared" si="328"/>
      </c>
      <c r="O5" s="312">
        <f t="shared" si="254"/>
      </c>
      <c r="P5" s="313">
        <f t="shared" si="192"/>
      </c>
      <c r="Q5" s="316">
        <f t="shared" si="99"/>
      </c>
      <c r="R5" s="315">
        <f t="shared" si="37"/>
      </c>
      <c r="S5" s="318">
        <f t="shared" si="130"/>
      </c>
      <c r="T5" s="337">
        <f t="shared" si="6"/>
      </c>
      <c r="U5" s="338">
        <f t="shared" si="491"/>
      </c>
      <c r="V5" s="337">
        <f t="shared" si="460"/>
      </c>
      <c r="W5" s="318">
        <f t="shared" si="359"/>
      </c>
      <c r="X5" s="315">
        <f t="shared" si="285"/>
      </c>
      <c r="Y5" s="319">
        <f t="shared" si="223"/>
      </c>
      <c r="Z5" s="315">
        <f t="shared" si="161"/>
      </c>
      <c r="AA5" s="331">
        <f t="shared" si="68"/>
      </c>
      <c r="AB5" s="332" t="s">
        <v>232</v>
      </c>
      <c r="AC5" s="322" t="s">
        <v>233</v>
      </c>
      <c r="AD5" s="307">
        <v>0</v>
      </c>
      <c r="AE5" s="306">
        <v>5308</v>
      </c>
      <c r="AF5" s="304">
        <v>187</v>
      </c>
      <c r="AG5" s="334">
        <v>263</v>
      </c>
      <c r="AH5" s="334">
        <v>51</v>
      </c>
      <c r="AI5" s="334">
        <v>15</v>
      </c>
      <c r="AJ5" s="335">
        <v>2</v>
      </c>
      <c r="AK5" s="336">
        <v>11</v>
      </c>
      <c r="AL5" s="326">
        <v>1</v>
      </c>
      <c r="AM5" s="327"/>
    </row>
    <row r="6">
      <c r="A6" s="303"/>
      <c r="B6" s="304" t="s">
        <v>236</v>
      </c>
      <c r="C6" s="305" t="s">
        <v>231</v>
      </c>
      <c r="D6" s="306">
        <f t="shared" si="442"/>
      </c>
      <c r="E6" s="307">
        <v>1287.03</v>
      </c>
      <c r="F6" s="307">
        <v>211.54</v>
      </c>
      <c r="I6" s="335">
        <v>1</v>
      </c>
      <c r="J6" s="335">
        <v>948</v>
      </c>
      <c r="K6" s="335">
        <v>0</v>
      </c>
      <c r="L6" s="335">
        <v>1</v>
      </c>
      <c r="M6" s="335">
        <v>0</v>
      </c>
      <c r="N6" s="311">
        <f t="shared" si="328"/>
      </c>
      <c r="O6" s="312">
        <f t="shared" si="254"/>
      </c>
      <c r="P6" s="313">
        <f t="shared" si="192"/>
      </c>
      <c r="Q6" s="314">
        <f t="shared" si="99"/>
      </c>
      <c r="R6" s="339">
        <f t="shared" si="37"/>
      </c>
      <c r="S6" s="314">
        <f t="shared" si="130"/>
      </c>
      <c r="T6" s="314">
        <f t="shared" si="6"/>
      </c>
      <c r="U6" s="315">
        <f t="shared" si="491"/>
      </c>
      <c r="V6" s="314">
        <f t="shared" si="460"/>
      </c>
      <c r="W6" s="318">
        <f t="shared" si="359"/>
      </c>
      <c r="X6" s="315">
        <f t="shared" si="285"/>
      </c>
      <c r="Y6" s="319">
        <f t="shared" si="223"/>
      </c>
      <c r="Z6" s="315">
        <f t="shared" si="161"/>
      </c>
      <c r="AA6" s="331">
        <f t="shared" si="68"/>
      </c>
      <c r="AB6" s="340" t="s">
        <v>232</v>
      </c>
      <c r="AC6" s="341" t="s">
        <v>233</v>
      </c>
      <c r="AD6" s="342">
        <v>0</v>
      </c>
      <c r="AE6" s="333">
        <v>5038</v>
      </c>
      <c r="AF6" s="334">
        <v>156</v>
      </c>
      <c r="AG6" s="334">
        <v>261</v>
      </c>
      <c r="AH6" s="334">
        <v>51</v>
      </c>
      <c r="AI6" s="334">
        <v>2</v>
      </c>
      <c r="AJ6" s="335">
        <v>2</v>
      </c>
      <c r="AK6" s="336">
        <v>12</v>
      </c>
      <c r="AL6" s="326">
        <v>1</v>
      </c>
      <c r="AM6" s="327"/>
    </row>
    <row r="7">
      <c r="A7" s="303"/>
      <c r="B7" s="325" t="s">
        <v>237</v>
      </c>
      <c r="C7" s="326" t="s">
        <v>231</v>
      </c>
      <c r="D7" s="343">
        <f t="shared" si="442"/>
      </c>
      <c r="E7" s="344">
        <v>1328.44</v>
      </c>
      <c r="F7" s="344">
        <v>831.02</v>
      </c>
      <c r="I7" s="310">
        <v>3</v>
      </c>
      <c r="J7" s="345">
        <v>5004</v>
      </c>
      <c r="K7" s="310">
        <v>1</v>
      </c>
      <c r="L7" s="310">
        <v>0</v>
      </c>
      <c r="M7" s="310">
        <v>2</v>
      </c>
      <c r="N7" s="311">
        <f t="shared" si="328"/>
      </c>
      <c r="O7" s="312">
        <f t="shared" si="254"/>
      </c>
      <c r="P7" s="313">
        <f t="shared" si="192"/>
      </c>
      <c r="Q7" s="314">
        <f t="shared" si="99"/>
      </c>
      <c r="R7" s="339">
        <f t="shared" si="37"/>
      </c>
      <c r="S7" s="314">
        <f t="shared" si="130"/>
      </c>
      <c r="T7" s="314">
        <f t="shared" si="6"/>
      </c>
      <c r="U7" s="315">
        <f t="shared" si="491"/>
      </c>
      <c r="V7" s="314">
        <f t="shared" si="460"/>
      </c>
      <c r="W7" s="318">
        <f t="shared" si="359"/>
      </c>
      <c r="X7" s="315">
        <f t="shared" si="285"/>
      </c>
      <c r="Y7" s="319">
        <f t="shared" si="223"/>
      </c>
      <c r="Z7" s="315">
        <f t="shared" si="161"/>
      </c>
      <c r="AA7" s="331">
        <f t="shared" si="68"/>
      </c>
      <c r="AB7" s="340" t="s">
        <v>232</v>
      </c>
      <c r="AC7" s="346" t="s">
        <v>233</v>
      </c>
      <c r="AD7" s="325">
        <v>3</v>
      </c>
      <c r="AE7" s="334">
        <v>5897</v>
      </c>
      <c r="AF7" s="334">
        <v>251</v>
      </c>
      <c r="AG7" s="334">
        <v>335</v>
      </c>
      <c r="AH7" s="334">
        <v>72</v>
      </c>
      <c r="AI7" s="334">
        <v>19</v>
      </c>
      <c r="AJ7" s="335">
        <v>7</v>
      </c>
      <c r="AK7" s="336">
        <v>15</v>
      </c>
      <c r="AL7" s="326">
        <v>1</v>
      </c>
      <c r="AM7" s="327"/>
    </row>
    <row r="8">
      <c r="A8" s="303"/>
      <c r="B8" s="347" t="s">
        <v>238</v>
      </c>
      <c r="C8" s="347"/>
      <c r="D8" s="348">
        <f>SUM(D3:D7)</f>
      </c>
      <c r="E8" s="348">
        <f>SUM(E3:E7)</f>
      </c>
      <c r="F8" s="348">
        <f>SUM(F3:F7)</f>
      </c>
      <c r="I8" s="348">
        <f>SUM(I3:I7)</f>
      </c>
      <c r="J8" s="348">
        <f>SUM(J3:J7)</f>
      </c>
      <c r="K8" s="348">
        <f>SUM(K3:K7)</f>
      </c>
      <c r="L8" s="348">
        <f>SUM(L3:L7)</f>
      </c>
      <c r="M8" s="348">
        <f>SUM(M3:M7)</f>
      </c>
      <c r="N8" s="349">
        <f t="shared" si="328"/>
      </c>
      <c r="O8" s="350">
        <f t="shared" si="254"/>
      </c>
      <c r="P8" s="351">
        <f t="shared" si="192"/>
      </c>
      <c r="Q8" s="352">
        <f t="shared" si="99"/>
      </c>
      <c r="R8" s="353">
        <f t="shared" si="37"/>
      </c>
      <c r="S8" s="354">
        <f t="shared" si="130"/>
      </c>
      <c r="T8" s="354">
        <f t="shared" si="6"/>
      </c>
      <c r="U8" s="353">
        <f t="shared" si="491"/>
      </c>
      <c r="V8" s="354">
        <f t="shared" si="460"/>
      </c>
      <c r="W8" s="354">
        <f t="shared" si="359"/>
      </c>
      <c r="X8" s="355">
        <f t="shared" si="285"/>
      </c>
      <c r="Y8" s="355">
        <f t="shared" si="223"/>
      </c>
      <c r="Z8" s="355">
        <f t="shared" si="161"/>
      </c>
      <c r="AA8" s="356">
        <f t="shared" si="68"/>
      </c>
      <c r="AB8" s="356"/>
      <c r="AC8" s="357"/>
      <c r="AD8" s="347">
        <f>SUM(AD3:AD7)</f>
      </c>
      <c r="AE8" s="347">
        <f>SUM(AE3:AE7)</f>
      </c>
      <c r="AF8" s="347">
        <f>SUM(AF3:AF7)</f>
      </c>
      <c r="AG8" s="347">
        <f>SUM(AG3:AG7)</f>
      </c>
      <c r="AH8" s="347">
        <f>SUM(AH3:AH7)</f>
      </c>
      <c r="AI8" s="347">
        <f>SUM(AI3:AI7)</f>
      </c>
      <c r="AJ8" s="347">
        <f>SUM(AJ3:AJ7)</f>
      </c>
      <c r="AK8" s="347">
        <f>SUM(AK3:AK7)</f>
      </c>
      <c r="AL8" s="347">
        <f>SUM(AL3:AL7)</f>
      </c>
      <c r="AM8" s="327"/>
    </row>
    <row r="9">
      <c r="A9" s="303"/>
      <c r="B9" s="304" t="s">
        <v>239</v>
      </c>
      <c r="C9" s="326" t="s">
        <v>240</v>
      </c>
      <c r="D9" s="334">
        <f t="shared" ref="D9:D13" si="443">E9+F9</f>
      </c>
      <c r="E9" s="326">
        <v>1570.16</v>
      </c>
      <c r="F9" s="326">
        <v>791.02</v>
      </c>
      <c r="I9" s="310">
        <v>2</v>
      </c>
      <c r="J9" s="345">
        <v>3216</v>
      </c>
      <c r="K9" s="310">
        <v>0</v>
      </c>
      <c r="L9" s="310">
        <v>1</v>
      </c>
      <c r="M9" s="310">
        <v>1</v>
      </c>
      <c r="N9" s="311">
        <f t="shared" si="328"/>
      </c>
      <c r="O9" s="312">
        <f t="shared" si="254"/>
      </c>
      <c r="P9" s="358">
        <f t="shared" si="192"/>
      </c>
      <c r="Q9" s="359">
        <f t="shared" si="99"/>
      </c>
      <c r="R9" s="360">
        <f t="shared" si="37"/>
      </c>
      <c r="S9" s="361">
        <f t="shared" si="130"/>
      </c>
      <c r="T9" s="361">
        <f t="shared" si="6"/>
      </c>
      <c r="U9" s="360">
        <f t="shared" si="491"/>
      </c>
      <c r="V9" s="361">
        <f t="shared" si="460"/>
      </c>
      <c r="W9" s="318">
        <f t="shared" si="359"/>
      </c>
      <c r="X9" s="315">
        <f t="shared" si="285"/>
      </c>
      <c r="Y9" s="319">
        <f t="shared" si="223"/>
      </c>
      <c r="Z9" s="362">
        <f t="shared" si="161"/>
      </c>
      <c r="AA9" s="363">
        <f t="shared" si="68"/>
      </c>
      <c r="AB9" s="364" t="s">
        <v>232</v>
      </c>
      <c r="AC9" s="346" t="s">
        <v>233</v>
      </c>
      <c r="AD9" s="309">
        <v>1</v>
      </c>
      <c r="AE9" s="365">
        <v>6197</v>
      </c>
      <c r="AF9" s="365">
        <v>196</v>
      </c>
      <c r="AG9" s="365">
        <v>295</v>
      </c>
      <c r="AH9" s="365">
        <v>44</v>
      </c>
      <c r="AI9" s="365">
        <v>15</v>
      </c>
      <c r="AJ9" s="310">
        <v>3</v>
      </c>
      <c r="AK9" s="310">
        <v>12</v>
      </c>
      <c r="AL9" s="310">
        <v>1</v>
      </c>
      <c r="AM9" s="327"/>
    </row>
    <row r="10">
      <c r="A10" s="303"/>
      <c r="B10" s="304" t="s">
        <v>241</v>
      </c>
      <c r="C10" s="326" t="s">
        <v>240</v>
      </c>
      <c r="D10" s="334">
        <f t="shared" si="443"/>
      </c>
      <c r="E10" s="326">
        <v>1351.7</v>
      </c>
      <c r="F10" s="326">
        <v>1083.95</v>
      </c>
      <c r="I10" s="310">
        <v>1</v>
      </c>
      <c r="J10" s="310">
        <v>2268</v>
      </c>
      <c r="K10" s="310">
        <v>0</v>
      </c>
      <c r="L10" s="310">
        <v>0</v>
      </c>
      <c r="M10" s="310">
        <v>1</v>
      </c>
      <c r="N10" s="311">
        <f t="shared" si="328"/>
      </c>
      <c r="O10" s="312">
        <f t="shared" si="254"/>
      </c>
      <c r="P10" s="358">
        <f t="shared" si="192"/>
      </c>
      <c r="Q10" s="359">
        <f t="shared" si="99"/>
      </c>
      <c r="R10" s="360">
        <f t="shared" si="37"/>
      </c>
      <c r="S10" s="361">
        <f t="shared" si="130"/>
      </c>
      <c r="T10" s="361">
        <f t="shared" si="6"/>
      </c>
      <c r="U10" s="360">
        <f t="shared" si="491"/>
      </c>
      <c r="V10" s="361">
        <f t="shared" si="460"/>
      </c>
      <c r="W10" s="318">
        <f t="shared" si="359"/>
      </c>
      <c r="X10" s="315">
        <f t="shared" si="285"/>
      </c>
      <c r="Y10" s="319">
        <f t="shared" si="223"/>
      </c>
      <c r="Z10" s="362">
        <f t="shared" si="161"/>
      </c>
      <c r="AA10" s="363">
        <f t="shared" si="68"/>
      </c>
      <c r="AB10" s="364" t="s">
        <v>232</v>
      </c>
      <c r="AC10" s="346" t="s">
        <v>233</v>
      </c>
      <c r="AD10" s="309">
        <v>2</v>
      </c>
      <c r="AE10" s="365">
        <v>5906</v>
      </c>
      <c r="AF10" s="365">
        <v>177</v>
      </c>
      <c r="AG10" s="365">
        <v>295</v>
      </c>
      <c r="AH10" s="365">
        <v>46</v>
      </c>
      <c r="AI10" s="365">
        <v>14</v>
      </c>
      <c r="AJ10" s="310">
        <v>1</v>
      </c>
      <c r="AK10" s="310">
        <v>13</v>
      </c>
      <c r="AL10" s="310">
        <v>1</v>
      </c>
      <c r="AM10" s="327"/>
    </row>
    <row r="11">
      <c r="A11" s="303"/>
      <c r="B11" s="304" t="s">
        <v>242</v>
      </c>
      <c r="C11" s="326" t="s">
        <v>240</v>
      </c>
      <c r="D11" s="334">
        <f t="shared" si="443"/>
      </c>
      <c r="E11" s="326">
        <v>1095.13</v>
      </c>
      <c r="F11" s="326">
        <v>671.98</v>
      </c>
      <c r="I11" s="310">
        <v>0</v>
      </c>
      <c r="J11" s="310">
        <v>0</v>
      </c>
      <c r="K11" s="310">
        <v>0</v>
      </c>
      <c r="L11" s="310">
        <v>0</v>
      </c>
      <c r="M11" s="310">
        <v>0</v>
      </c>
      <c r="N11" s="311">
        <f t="shared" si="328"/>
      </c>
      <c r="O11" s="312">
        <f t="shared" si="254"/>
      </c>
      <c r="P11" s="358">
        <f t="shared" si="192"/>
      </c>
      <c r="Q11" s="359">
        <f t="shared" si="99"/>
      </c>
      <c r="R11" s="360">
        <f t="shared" si="37"/>
      </c>
      <c r="S11" s="361">
        <f t="shared" si="130"/>
      </c>
      <c r="T11" s="361">
        <f t="shared" si="6"/>
      </c>
      <c r="U11" s="360">
        <f t="shared" si="491"/>
      </c>
      <c r="V11" s="361">
        <f t="shared" si="460"/>
      </c>
      <c r="W11" s="318">
        <f t="shared" si="359"/>
      </c>
      <c r="X11" s="315">
        <f t="shared" si="285"/>
      </c>
      <c r="Y11" s="319">
        <f t="shared" si="223"/>
      </c>
      <c r="Z11" s="362">
        <f t="shared" si="161"/>
      </c>
      <c r="AA11" s="363">
        <f t="shared" si="68"/>
      </c>
      <c r="AB11" s="364" t="s">
        <v>232</v>
      </c>
      <c r="AC11" s="346" t="s">
        <v>233</v>
      </c>
      <c r="AD11" s="309">
        <v>0</v>
      </c>
      <c r="AE11" s="365">
        <v>4649</v>
      </c>
      <c r="AF11" s="365">
        <v>174</v>
      </c>
      <c r="AG11" s="365">
        <v>270</v>
      </c>
      <c r="AH11" s="365">
        <v>40</v>
      </c>
      <c r="AI11" s="365">
        <v>17</v>
      </c>
      <c r="AJ11" s="310">
        <v>1</v>
      </c>
      <c r="AK11" s="310">
        <v>9</v>
      </c>
      <c r="AL11" s="310">
        <v>1</v>
      </c>
      <c r="AM11" s="327"/>
    </row>
    <row r="12">
      <c r="A12" s="303"/>
      <c r="B12" s="304" t="s">
        <v>243</v>
      </c>
      <c r="C12" s="326" t="s">
        <v>240</v>
      </c>
      <c r="D12" s="334">
        <f t="shared" si="443"/>
      </c>
      <c r="E12" s="334">
        <v>915.61</v>
      </c>
      <c r="F12" s="334">
        <v>795.61</v>
      </c>
      <c r="I12" s="310">
        <v>1</v>
      </c>
      <c r="J12" s="345">
        <v>2268</v>
      </c>
      <c r="K12" s="366">
        <v>0</v>
      </c>
      <c r="L12" s="366">
        <v>0</v>
      </c>
      <c r="M12" s="367">
        <v>1</v>
      </c>
      <c r="N12" s="311">
        <f t="shared" si="328"/>
      </c>
      <c r="O12" s="312">
        <f t="shared" si="254"/>
      </c>
      <c r="P12" s="368">
        <f t="shared" si="192"/>
      </c>
      <c r="Q12" s="359">
        <f t="shared" si="99"/>
      </c>
      <c r="R12" s="360">
        <f t="shared" si="37"/>
      </c>
      <c r="S12" s="361">
        <f t="shared" si="130"/>
      </c>
      <c r="T12" s="361">
        <f t="shared" si="6"/>
      </c>
      <c r="U12" s="360">
        <f t="shared" si="491"/>
      </c>
      <c r="V12" s="361">
        <f t="shared" si="460"/>
      </c>
      <c r="W12" s="318">
        <f t="shared" si="359"/>
      </c>
      <c r="X12" s="315">
        <f t="shared" si="285"/>
      </c>
      <c r="Y12" s="319">
        <f t="shared" si="223"/>
      </c>
      <c r="Z12" s="362">
        <f t="shared" si="161"/>
      </c>
      <c r="AA12" s="363">
        <f t="shared" si="68"/>
      </c>
      <c r="AB12" s="364" t="s">
        <v>232</v>
      </c>
      <c r="AC12" s="346" t="s">
        <v>244</v>
      </c>
      <c r="AD12" s="309">
        <v>0</v>
      </c>
      <c r="AE12" s="310">
        <v>5307</v>
      </c>
      <c r="AF12" s="310">
        <v>185</v>
      </c>
      <c r="AG12" s="310">
        <v>321</v>
      </c>
      <c r="AH12" s="310">
        <v>42</v>
      </c>
      <c r="AI12" s="365">
        <v>9</v>
      </c>
      <c r="AJ12" s="310">
        <v>3</v>
      </c>
      <c r="AK12" s="310">
        <v>10</v>
      </c>
      <c r="AL12" s="310">
        <v>1</v>
      </c>
      <c r="AM12" s="327"/>
    </row>
    <row r="13">
      <c r="A13" s="303"/>
      <c r="B13" s="304" t="s">
        <v>245</v>
      </c>
      <c r="C13" s="326" t="s">
        <v>240</v>
      </c>
      <c r="D13" s="334">
        <f t="shared" si="443"/>
      </c>
      <c r="E13" s="334">
        <v>600.87</v>
      </c>
      <c r="F13" s="334">
        <v>1088.72</v>
      </c>
      <c r="I13" s="310">
        <v>3</v>
      </c>
      <c r="J13" s="369">
        <v>5004</v>
      </c>
      <c r="K13" s="366">
        <v>1</v>
      </c>
      <c r="L13" s="366">
        <v>0</v>
      </c>
      <c r="M13" s="367">
        <v>2</v>
      </c>
      <c r="N13" s="311">
        <f t="shared" si="328"/>
      </c>
      <c r="O13" s="312">
        <f t="shared" si="254"/>
      </c>
      <c r="P13" s="368">
        <f t="shared" si="192"/>
      </c>
      <c r="Q13" s="359">
        <f t="shared" si="99"/>
      </c>
      <c r="R13" s="360">
        <f t="shared" si="37"/>
      </c>
      <c r="S13" s="361">
        <f t="shared" si="130"/>
      </c>
      <c r="T13" s="361">
        <f t="shared" si="6"/>
      </c>
      <c r="U13" s="360">
        <f t="shared" si="491"/>
      </c>
      <c r="V13" s="361">
        <f t="shared" si="460"/>
      </c>
      <c r="W13" s="318">
        <f t="shared" si="359"/>
      </c>
      <c r="X13" s="315">
        <f t="shared" si="285"/>
      </c>
      <c r="Y13" s="319">
        <f t="shared" si="223"/>
      </c>
      <c r="Z13" s="362">
        <f t="shared" si="161"/>
      </c>
      <c r="AA13" s="363">
        <f t="shared" si="68"/>
      </c>
      <c r="AB13" s="364" t="s">
        <v>232</v>
      </c>
      <c r="AC13" s="346" t="s">
        <v>244</v>
      </c>
      <c r="AD13" s="309">
        <v>3</v>
      </c>
      <c r="AE13" s="310">
        <v>5071</v>
      </c>
      <c r="AF13" s="310">
        <v>241</v>
      </c>
      <c r="AG13" s="310">
        <v>406</v>
      </c>
      <c r="AH13" s="310">
        <v>32</v>
      </c>
      <c r="AI13" s="365">
        <v>15</v>
      </c>
      <c r="AJ13" s="310">
        <v>4</v>
      </c>
      <c r="AK13" s="310">
        <v>6</v>
      </c>
      <c r="AL13" s="310">
        <v>1</v>
      </c>
      <c r="AM13" s="327"/>
    </row>
    <row r="14">
      <c r="A14" s="303"/>
      <c r="B14" s="347" t="s">
        <v>238</v>
      </c>
      <c r="C14" s="347"/>
      <c r="D14" s="348">
        <f>SUM(D9:D13)</f>
      </c>
      <c r="E14" s="348">
        <f>SUM(E9:E13)</f>
      </c>
      <c r="F14" s="348">
        <f>SUM(F9:F13)</f>
      </c>
      <c r="I14" s="348">
        <f>SUM(I9:I13)</f>
      </c>
      <c r="J14" s="348">
        <f>SUM(J9:J13)</f>
      </c>
      <c r="K14" s="348">
        <f>SUM(K9:K13)</f>
      </c>
      <c r="L14" s="348">
        <f>SUM(L9:L13)</f>
      </c>
      <c r="M14" s="348">
        <f>SUM(M9:M13)</f>
      </c>
      <c r="N14" s="349">
        <f t="shared" si="328"/>
      </c>
      <c r="O14" s="350">
        <f t="shared" si="254"/>
      </c>
      <c r="P14" s="370">
        <f t="shared" si="192"/>
      </c>
      <c r="Q14" s="352">
        <f t="shared" si="99"/>
      </c>
      <c r="R14" s="353">
        <f t="shared" si="37"/>
      </c>
      <c r="S14" s="354">
        <f t="shared" si="130"/>
      </c>
      <c r="T14" s="354">
        <f t="shared" si="6"/>
      </c>
      <c r="U14" s="353">
        <f t="shared" si="491"/>
      </c>
      <c r="V14" s="354">
        <f t="shared" si="460"/>
      </c>
      <c r="W14" s="354">
        <f t="shared" si="359"/>
      </c>
      <c r="X14" s="355">
        <f t="shared" si="285"/>
      </c>
      <c r="Y14" s="355">
        <f t="shared" si="223"/>
      </c>
      <c r="Z14" s="355">
        <f t="shared" si="161"/>
      </c>
      <c r="AA14" s="356">
        <f t="shared" si="68"/>
      </c>
      <c r="AB14" s="356"/>
      <c r="AC14" s="357"/>
      <c r="AD14" s="347">
        <f>SUM(AD9:AD13)</f>
      </c>
      <c r="AE14" s="347">
        <f>SUM(AE9:AE13)</f>
      </c>
      <c r="AF14" s="347">
        <f>SUM(AF9:AF13)</f>
      </c>
      <c r="AG14" s="347">
        <f>SUM(AG9:AG13)</f>
      </c>
      <c r="AH14" s="347">
        <f>SUM(AH9:AH13)</f>
      </c>
      <c r="AI14" s="347">
        <f>SUM(AI9:AI13)</f>
      </c>
      <c r="AJ14" s="347">
        <f>SUM(AJ9:AJ13)</f>
      </c>
      <c r="AK14" s="347">
        <f>SUM(AK9:AK13)</f>
      </c>
      <c r="AL14" s="347">
        <f>SUM(AL9:AL13)</f>
      </c>
      <c r="AM14" s="327"/>
    </row>
    <row r="15">
      <c r="A15" s="303"/>
      <c r="B15" s="325" t="s">
        <v>246</v>
      </c>
      <c r="C15" s="326" t="s">
        <v>247</v>
      </c>
      <c r="D15" s="334">
        <f t="shared" ref="D15:D16" si="444">E15+F15</f>
      </c>
      <c r="E15" s="334">
        <v>549.11</v>
      </c>
      <c r="F15" s="334">
        <v>1025.6</v>
      </c>
      <c r="I15" s="310">
        <v>0</v>
      </c>
      <c r="J15" s="345">
        <v>0</v>
      </c>
      <c r="K15" s="366">
        <v>0</v>
      </c>
      <c r="L15" s="366">
        <v>0</v>
      </c>
      <c r="M15" s="367">
        <v>0</v>
      </c>
      <c r="N15" s="311">
        <f t="shared" si="328"/>
      </c>
      <c r="O15" s="312">
        <f t="shared" si="254"/>
      </c>
      <c r="P15" s="358">
        <f t="shared" si="192"/>
      </c>
      <c r="Q15" s="359">
        <f t="shared" si="99"/>
      </c>
      <c r="R15" s="360">
        <f t="shared" si="37"/>
      </c>
      <c r="S15" s="361">
        <f t="shared" si="130"/>
      </c>
      <c r="T15" s="361">
        <f t="shared" si="6"/>
      </c>
      <c r="U15" s="360">
        <f t="shared" si="491"/>
      </c>
      <c r="V15" s="361">
        <f t="shared" si="460"/>
      </c>
      <c r="W15" s="318">
        <f t="shared" si="359"/>
      </c>
      <c r="X15" s="315">
        <f t="shared" si="285"/>
      </c>
      <c r="Y15" s="319">
        <f t="shared" si="223"/>
      </c>
      <c r="Z15" s="362">
        <f t="shared" si="161"/>
      </c>
      <c r="AA15" s="363">
        <f t="shared" si="68"/>
      </c>
      <c r="AB15" s="364" t="s">
        <v>232</v>
      </c>
      <c r="AC15" s="346" t="s">
        <v>244</v>
      </c>
      <c r="AD15" s="309">
        <v>0</v>
      </c>
      <c r="AE15" s="310">
        <v>4286</v>
      </c>
      <c r="AF15" s="310">
        <v>230</v>
      </c>
      <c r="AG15" s="310">
        <v>392</v>
      </c>
      <c r="AH15" s="310">
        <v>30</v>
      </c>
      <c r="AI15" s="365">
        <v>18</v>
      </c>
      <c r="AJ15" s="310">
        <v>0</v>
      </c>
      <c r="AK15" s="310">
        <v>10</v>
      </c>
      <c r="AL15" s="310">
        <v>1</v>
      </c>
      <c r="AM15" s="327"/>
    </row>
    <row r="16">
      <c r="A16" s="303"/>
      <c r="B16" s="325" t="s">
        <v>248</v>
      </c>
      <c r="C16" s="326" t="s">
        <v>247</v>
      </c>
      <c r="D16" s="334">
        <f t="shared" si="444"/>
      </c>
      <c r="E16" s="334">
        <v>346.08</v>
      </c>
      <c r="F16" s="334">
        <v>337.66</v>
      </c>
      <c r="I16" s="310">
        <v>0</v>
      </c>
      <c r="J16" s="345">
        <v>0</v>
      </c>
      <c r="K16" s="366">
        <v>0</v>
      </c>
      <c r="L16" s="366">
        <v>0</v>
      </c>
      <c r="M16" s="367">
        <v>0</v>
      </c>
      <c r="N16" s="311">
        <f t="shared" si="328"/>
      </c>
      <c r="O16" s="312">
        <f t="shared" si="254"/>
      </c>
      <c r="P16" s="368">
        <f t="shared" si="192"/>
      </c>
      <c r="Q16" s="359">
        <f t="shared" si="99"/>
      </c>
      <c r="R16" s="360">
        <f t="shared" si="37"/>
      </c>
      <c r="S16" s="361">
        <f t="shared" si="130"/>
      </c>
      <c r="T16" s="361">
        <f t="shared" si="6"/>
      </c>
      <c r="U16" s="360">
        <f t="shared" si="491"/>
      </c>
      <c r="V16" s="361">
        <f t="shared" si="460"/>
      </c>
      <c r="W16" s="318">
        <f t="shared" si="359"/>
      </c>
      <c r="X16" s="315">
        <f t="shared" si="285"/>
      </c>
      <c r="Y16" s="319">
        <f t="shared" si="223"/>
      </c>
      <c r="Z16" s="362">
        <f t="shared" si="161"/>
      </c>
      <c r="AA16" s="363">
        <f t="shared" si="68"/>
      </c>
      <c r="AB16" s="364" t="s">
        <v>232</v>
      </c>
      <c r="AC16" s="346" t="s">
        <v>244</v>
      </c>
      <c r="AD16" s="309">
        <v>0</v>
      </c>
      <c r="AE16" s="310">
        <v>1192</v>
      </c>
      <c r="AF16" s="310">
        <v>75</v>
      </c>
      <c r="AG16" s="310">
        <v>131</v>
      </c>
      <c r="AH16" s="310">
        <v>8</v>
      </c>
      <c r="AI16" s="365">
        <v>5</v>
      </c>
      <c r="AJ16" s="310">
        <v>1</v>
      </c>
      <c r="AK16" s="310">
        <v>3</v>
      </c>
      <c r="AL16" s="310">
        <v>1</v>
      </c>
      <c r="AM16" s="327"/>
    </row>
    <row r="17">
      <c r="A17" s="303"/>
      <c r="B17" s="347" t="s">
        <v>238</v>
      </c>
      <c r="C17" s="347"/>
      <c r="D17" s="348">
        <f>SUM(D15:D16)</f>
      </c>
      <c r="E17" s="348">
        <f>SUM(E15:E16)</f>
      </c>
      <c r="F17" s="348">
        <f>SUM(F15:F16)</f>
      </c>
      <c r="I17" s="348">
        <f>SUM(I15:I16)</f>
      </c>
      <c r="J17" s="371">
        <f>SUM(J15:J16)</f>
      </c>
      <c r="K17" s="371">
        <f>SUM(K15:K16)</f>
      </c>
      <c r="L17" s="371">
        <f>SUM(L15:L16)</f>
      </c>
      <c r="M17" s="371">
        <f>SUM(M15:M16)</f>
      </c>
      <c r="N17" s="349">
        <f t="shared" si="328"/>
      </c>
      <c r="O17" s="350">
        <f t="shared" si="254"/>
      </c>
      <c r="P17" s="370">
        <f t="shared" si="192"/>
      </c>
      <c r="Q17" s="352">
        <f t="shared" si="99"/>
      </c>
      <c r="R17" s="353">
        <f t="shared" si="37"/>
      </c>
      <c r="S17" s="354">
        <f t="shared" si="130"/>
      </c>
      <c r="T17" s="354">
        <f t="shared" si="6"/>
      </c>
      <c r="U17" s="353">
        <f t="shared" si="491"/>
      </c>
      <c r="V17" s="354">
        <f t="shared" si="460"/>
      </c>
      <c r="W17" s="354">
        <f t="shared" si="359"/>
      </c>
      <c r="X17" s="354">
        <f t="shared" si="285"/>
      </c>
      <c r="Y17" s="354">
        <f t="shared" si="223"/>
      </c>
      <c r="Z17" s="355">
        <f t="shared" si="161"/>
      </c>
      <c r="AA17" s="356">
        <f t="shared" si="68"/>
      </c>
      <c r="AB17" s="356"/>
      <c r="AC17" s="356"/>
      <c r="AD17" s="348">
        <f>SUM(AD15:AD16)</f>
      </c>
      <c r="AE17" s="348">
        <f>SUM(AE15:AE16)</f>
      </c>
      <c r="AF17" s="348">
        <f>SUM(AF15:AF16)</f>
      </c>
      <c r="AG17" s="348">
        <f>SUM(AG15:AG16)</f>
      </c>
      <c r="AH17" s="348">
        <f>SUM(AH15:AH16)</f>
      </c>
      <c r="AI17" s="348">
        <f>SUM(AI15:AI16)</f>
      </c>
      <c r="AJ17" s="348">
        <f>SUM(AJ15:AJ16)</f>
      </c>
      <c r="AK17" s="348">
        <f>SUM(AK15:AK16)</f>
      </c>
      <c r="AL17" s="348">
        <f>SUM(AL15:AL16)</f>
      </c>
      <c r="AM17" s="372" t="s">
        <v>249</v>
      </c>
    </row>
    <row r="18">
      <c r="A18" s="303"/>
      <c r="B18" s="373" t="s">
        <v>250</v>
      </c>
      <c r="C18" s="373"/>
      <c r="D18" s="373">
        <f>D8+D14+D17</f>
      </c>
      <c r="E18" s="373">
        <f>E8+E14+E17</f>
      </c>
      <c r="F18" s="373">
        <f>F8+F14+F17</f>
      </c>
      <c r="I18" s="373">
        <f>I8+I14+I17</f>
      </c>
      <c r="J18" s="374">
        <f>J8+J14+J17</f>
      </c>
      <c r="K18" s="374">
        <f>K8+K14+K17</f>
      </c>
      <c r="L18" s="374">
        <f>L8+L14+L17</f>
      </c>
      <c r="M18" s="374">
        <f>M8+M14+M17</f>
      </c>
      <c r="N18" s="375">
        <f t="shared" si="328"/>
      </c>
      <c r="O18" s="376">
        <f t="shared" si="254"/>
      </c>
      <c r="P18" s="377">
        <f t="shared" si="192"/>
      </c>
      <c r="Q18" s="378">
        <f t="shared" si="99"/>
      </c>
      <c r="R18" s="379">
        <f t="shared" si="37"/>
      </c>
      <c r="S18" s="380">
        <f t="shared" si="130"/>
      </c>
      <c r="T18" s="380">
        <f t="shared" si="6"/>
      </c>
      <c r="U18" s="379">
        <f t="shared" si="491"/>
      </c>
      <c r="V18" s="380">
        <f t="shared" si="460"/>
      </c>
      <c r="W18" s="380">
        <f t="shared" si="359"/>
      </c>
      <c r="X18" s="379">
        <f t="shared" si="285"/>
      </c>
      <c r="Y18" s="379">
        <f t="shared" si="223"/>
      </c>
      <c r="Z18" s="379">
        <f t="shared" si="161"/>
      </c>
      <c r="AA18" s="381">
        <f t="shared" si="68"/>
      </c>
      <c r="AB18" s="381"/>
      <c r="AC18" s="381"/>
      <c r="AD18" s="373">
        <f>AD8+AD14+AD17</f>
      </c>
      <c r="AE18" s="373">
        <f>AE8+AE14+AE17</f>
      </c>
      <c r="AF18" s="373">
        <f>AF8+AF14+AF17</f>
      </c>
      <c r="AG18" s="373">
        <f>AG8+AG14+AG17</f>
      </c>
      <c r="AH18" s="373">
        <f>AH8+AH14+AH17</f>
      </c>
      <c r="AI18" s="373">
        <f>AI8+AI14+AI17</f>
      </c>
      <c r="AJ18" s="373">
        <f>AJ8+AJ14+AJ17</f>
      </c>
      <c r="AK18" s="373">
        <f>AK8+AK14+AK17</f>
      </c>
      <c r="AL18" s="373">
        <f>AL8+AL14+AL17</f>
      </c>
      <c r="AM18" s="372"/>
    </row>
    <row r="19">
      <c r="A19" s="282" t="s">
        <v>189</v>
      </c>
      <c r="B19" s="282"/>
      <c r="C19" s="282"/>
      <c r="D19" s="283" t="s">
        <v>190</v>
      </c>
      <c r="E19" s="283"/>
      <c r="F19" s="283"/>
      <c r="I19" s="283"/>
      <c r="J19" s="283"/>
      <c r="K19" s="283"/>
      <c r="L19" s="283"/>
      <c r="M19" s="283"/>
      <c r="N19" s="283"/>
      <c r="O19" s="283"/>
      <c r="P19" s="284" t="s">
        <v>191</v>
      </c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284"/>
      <c r="AB19" s="284"/>
      <c r="AC19" s="284"/>
      <c r="AD19" s="285" t="s">
        <v>192</v>
      </c>
      <c r="AE19" s="285"/>
      <c r="AF19" s="285"/>
      <c r="AG19" s="285"/>
      <c r="AH19" s="285"/>
      <c r="AI19" s="285"/>
      <c r="AJ19" s="285"/>
      <c r="AK19" s="285"/>
      <c r="AL19" s="285"/>
      <c r="AM19" s="286"/>
    </row>
    <row r="20">
      <c r="A20" s="287" t="s">
        <v>193</v>
      </c>
      <c r="B20" s="288" t="s">
        <v>194</v>
      </c>
      <c r="C20" s="288" t="s">
        <v>195</v>
      </c>
      <c r="D20" s="289" t="s">
        <v>196</v>
      </c>
      <c r="E20" s="290" t="s">
        <v>197</v>
      </c>
      <c r="F20" s="291" t="s">
        <v>198</v>
      </c>
      <c r="I20" s="292" t="s">
        <v>199</v>
      </c>
      <c r="J20" s="293" t="s">
        <v>200</v>
      </c>
      <c r="K20" s="294" t="s">
        <v>201</v>
      </c>
      <c r="L20" s="294" t="s">
        <v>202</v>
      </c>
      <c r="M20" s="294" t="s">
        <v>203</v>
      </c>
      <c r="N20" s="295" t="s">
        <v>204</v>
      </c>
      <c r="O20" s="295" t="s">
        <v>205</v>
      </c>
      <c r="P20" s="296" t="s">
        <v>206</v>
      </c>
      <c r="Q20" s="296" t="s">
        <v>207</v>
      </c>
      <c r="R20" s="296" t="s">
        <v>208</v>
      </c>
      <c r="S20" s="297" t="s">
        <v>209</v>
      </c>
      <c r="T20" s="297" t="s">
        <v>210</v>
      </c>
      <c r="U20" s="296" t="s">
        <v>211</v>
      </c>
      <c r="V20" s="297" t="s">
        <v>212</v>
      </c>
      <c r="W20" s="297" t="s">
        <v>213</v>
      </c>
      <c r="X20" s="296" t="s">
        <v>214</v>
      </c>
      <c r="Y20" s="297" t="s">
        <v>215</v>
      </c>
      <c r="Z20" s="296" t="s">
        <v>216</v>
      </c>
      <c r="AA20" s="298" t="s">
        <v>217</v>
      </c>
      <c r="AB20" s="298" t="s">
        <v>218</v>
      </c>
      <c r="AC20" s="299" t="s">
        <v>219</v>
      </c>
      <c r="AD20" s="300" t="s">
        <v>220</v>
      </c>
      <c r="AE20" s="301" t="s">
        <v>221</v>
      </c>
      <c r="AF20" s="301" t="s">
        <v>222</v>
      </c>
      <c r="AG20" s="301" t="s">
        <v>223</v>
      </c>
      <c r="AH20" s="301" t="s">
        <v>224</v>
      </c>
      <c r="AI20" s="301" t="s">
        <v>225</v>
      </c>
      <c r="AJ20" s="302" t="s">
        <v>226</v>
      </c>
      <c r="AK20" s="302" t="s">
        <v>227</v>
      </c>
      <c r="AL20" s="302" t="s">
        <v>228</v>
      </c>
      <c r="AM20" s="327"/>
    </row>
    <row r="21">
      <c r="A21" s="303" t="s">
        <v>251</v>
      </c>
      <c r="B21" s="304" t="s">
        <v>230</v>
      </c>
      <c r="C21" s="305" t="s">
        <v>240</v>
      </c>
      <c r="D21" s="306">
        <f t="shared" ref="D21:D25" si="445">E21+F21</f>
      </c>
      <c r="E21" s="307">
        <v>2223.4</v>
      </c>
      <c r="F21" s="382">
        <v>721.29</v>
      </c>
      <c r="I21" s="307">
        <v>2</v>
      </c>
      <c r="J21" s="328">
        <v>4536</v>
      </c>
      <c r="K21" s="309">
        <v>0</v>
      </c>
      <c r="L21" s="310">
        <v>0</v>
      </c>
      <c r="M21" s="310">
        <v>2</v>
      </c>
      <c r="N21" s="311">
        <f t="shared" ref="N21:N36" si="329">J21/D21</f>
      </c>
      <c r="O21" s="312">
        <f t="shared" ref="O21:O36" si="255">J21/(D21+300*AL21)</f>
      </c>
      <c r="P21" s="313">
        <f t="shared" ref="P21:P36" si="193">(D21/AE21)*1000</f>
      </c>
      <c r="Q21" s="314">
        <f t="shared" ref="Q21:Q36" si="100">AF21/AE21</f>
      </c>
      <c r="R21" s="315">
        <f t="shared" ref="R21:R36" si="38">D21/AG21</f>
      </c>
      <c r="S21" s="316">
        <f t="shared" ref="S21:S36" si="131">AH21/AG21</f>
      </c>
      <c r="T21" s="314">
        <f t="shared" ref="T21:T36" si="7">AI21/AG21</f>
      </c>
      <c r="U21" s="317">
        <f t="shared" ref="U21:U36" si="492">D21/AI21</f>
      </c>
      <c r="V21" s="314">
        <f t="shared" ref="V21:V36" si="461">AJ21/AI21</f>
      </c>
      <c r="W21" s="318">
        <f t="shared" ref="W21:W36" si="360">I21/AJ21</f>
      </c>
      <c r="X21" s="315">
        <f t="shared" ref="X21:X36" si="286">D21/I21</f>
      </c>
      <c r="Y21" s="319">
        <f t="shared" ref="Y21:Y36" si="224">J21/I21</f>
      </c>
      <c r="Z21" s="315">
        <f t="shared" ref="Z21:Z36" si="162">D21/AD21</f>
      </c>
      <c r="AA21" s="320">
        <f t="shared" ref="AA21:AA36" si="69">AK21*1000/D21</f>
      </c>
      <c r="AB21" s="321" t="s">
        <v>232</v>
      </c>
      <c r="AC21" s="322" t="s">
        <v>233</v>
      </c>
      <c r="AD21" s="307">
        <v>2</v>
      </c>
      <c r="AE21" s="306">
        <v>7564</v>
      </c>
      <c r="AF21" s="323">
        <v>374</v>
      </c>
      <c r="AG21" s="324">
        <v>543</v>
      </c>
      <c r="AH21" s="325">
        <v>77</v>
      </c>
      <c r="AI21" s="326">
        <v>22</v>
      </c>
      <c r="AJ21" s="325">
        <v>6</v>
      </c>
      <c r="AK21" s="326">
        <v>17</v>
      </c>
      <c r="AL21" s="326">
        <v>1</v>
      </c>
      <c r="AM21" s="327"/>
    </row>
    <row r="22">
      <c r="A22" s="303"/>
      <c r="B22" s="304" t="s">
        <v>234</v>
      </c>
      <c r="C22" s="305" t="s">
        <v>240</v>
      </c>
      <c r="D22" s="306">
        <f t="shared" si="445"/>
      </c>
      <c r="E22" s="307">
        <v>2403.97</v>
      </c>
      <c r="F22" s="307">
        <v>459.15</v>
      </c>
      <c r="I22" s="383">
        <v>4</v>
      </c>
      <c r="J22" s="329">
        <v>7272</v>
      </c>
      <c r="K22" s="309">
        <v>1</v>
      </c>
      <c r="L22" s="309">
        <v>0</v>
      </c>
      <c r="M22" s="309">
        <v>3</v>
      </c>
      <c r="N22" s="311">
        <f t="shared" si="329"/>
      </c>
      <c r="O22" s="312">
        <f t="shared" si="255"/>
      </c>
      <c r="P22" s="313">
        <f t="shared" si="193"/>
      </c>
      <c r="Q22" s="314">
        <f t="shared" si="100"/>
      </c>
      <c r="R22" s="330">
        <f t="shared" si="38"/>
      </c>
      <c r="S22" s="316">
        <f t="shared" si="131"/>
      </c>
      <c r="T22" s="314">
        <f t="shared" si="7"/>
      </c>
      <c r="U22" s="317">
        <f t="shared" si="492"/>
      </c>
      <c r="V22" s="314">
        <f t="shared" si="461"/>
      </c>
      <c r="W22" s="318">
        <f t="shared" si="360"/>
      </c>
      <c r="X22" s="315">
        <f t="shared" si="286"/>
      </c>
      <c r="Y22" s="319">
        <f t="shared" si="224"/>
      </c>
      <c r="Z22" s="315">
        <f t="shared" si="162"/>
      </c>
      <c r="AA22" s="331">
        <f t="shared" si="69"/>
      </c>
      <c r="AB22" s="332" t="s">
        <v>232</v>
      </c>
      <c r="AC22" s="322" t="s">
        <v>233</v>
      </c>
      <c r="AD22" s="307">
        <v>2</v>
      </c>
      <c r="AE22" s="306">
        <v>6478</v>
      </c>
      <c r="AF22" s="304">
        <v>274</v>
      </c>
      <c r="AG22" s="333">
        <v>386</v>
      </c>
      <c r="AH22" s="334">
        <v>70</v>
      </c>
      <c r="AI22" s="334">
        <v>30</v>
      </c>
      <c r="AJ22" s="335">
        <v>5</v>
      </c>
      <c r="AK22" s="336">
        <v>17</v>
      </c>
      <c r="AL22" s="326">
        <v>1</v>
      </c>
      <c r="AM22" s="327"/>
    </row>
    <row r="23">
      <c r="A23" s="303"/>
      <c r="B23" s="304" t="s">
        <v>235</v>
      </c>
      <c r="C23" s="305" t="s">
        <v>240</v>
      </c>
      <c r="D23" s="306">
        <f t="shared" si="445"/>
      </c>
      <c r="E23" s="307">
        <v>1845.28</v>
      </c>
      <c r="F23" s="307">
        <v>224.69</v>
      </c>
      <c r="I23" s="328">
        <v>2</v>
      </c>
      <c r="J23" s="307">
        <v>4348</v>
      </c>
      <c r="K23" s="309">
        <v>0</v>
      </c>
      <c r="L23" s="309">
        <v>0</v>
      </c>
      <c r="M23" s="309">
        <v>2</v>
      </c>
      <c r="N23" s="311">
        <f t="shared" si="329"/>
      </c>
      <c r="O23" s="312">
        <f t="shared" si="255"/>
      </c>
      <c r="P23" s="313">
        <f t="shared" si="193"/>
      </c>
      <c r="Q23" s="316">
        <f t="shared" si="100"/>
      </c>
      <c r="R23" s="315">
        <f t="shared" si="38"/>
      </c>
      <c r="S23" s="318">
        <f t="shared" si="131"/>
      </c>
      <c r="T23" s="337">
        <f t="shared" si="7"/>
      </c>
      <c r="U23" s="338">
        <f t="shared" si="492"/>
      </c>
      <c r="V23" s="337">
        <f t="shared" si="461"/>
      </c>
      <c r="W23" s="318">
        <f t="shared" si="360"/>
      </c>
      <c r="X23" s="315">
        <f t="shared" si="286"/>
      </c>
      <c r="Y23" s="319">
        <f t="shared" si="224"/>
      </c>
      <c r="Z23" s="315">
        <f t="shared" si="162"/>
      </c>
      <c r="AA23" s="331">
        <f t="shared" si="69"/>
      </c>
      <c r="AB23" s="332" t="s">
        <v>232</v>
      </c>
      <c r="AC23" s="322" t="s">
        <v>233</v>
      </c>
      <c r="AD23" s="307">
        <v>2</v>
      </c>
      <c r="AE23" s="306">
        <v>4477</v>
      </c>
      <c r="AF23" s="304">
        <v>166</v>
      </c>
      <c r="AG23" s="334">
        <v>261</v>
      </c>
      <c r="AH23" s="334">
        <v>49</v>
      </c>
      <c r="AI23" s="334">
        <v>30</v>
      </c>
      <c r="AJ23" s="335">
        <v>3</v>
      </c>
      <c r="AK23" s="336">
        <v>6</v>
      </c>
      <c r="AL23" s="326">
        <v>1</v>
      </c>
      <c r="AM23" s="327"/>
    </row>
    <row r="24">
      <c r="A24" s="303"/>
      <c r="B24" s="304" t="s">
        <v>236</v>
      </c>
      <c r="C24" s="305" t="s">
        <v>240</v>
      </c>
      <c r="D24" s="306">
        <f t="shared" si="445"/>
      </c>
      <c r="E24" s="307">
        <v>2031.25</v>
      </c>
      <c r="F24" s="307">
        <v>573.26</v>
      </c>
      <c r="I24" s="335">
        <v>4</v>
      </c>
      <c r="J24" s="335">
        <v>7272</v>
      </c>
      <c r="K24" s="335">
        <v>1</v>
      </c>
      <c r="L24" s="335">
        <v>0</v>
      </c>
      <c r="M24" s="335">
        <v>3</v>
      </c>
      <c r="N24" s="311">
        <f t="shared" si="329"/>
      </c>
      <c r="O24" s="312">
        <f t="shared" si="255"/>
      </c>
      <c r="P24" s="313">
        <f t="shared" si="193"/>
      </c>
      <c r="Q24" s="314">
        <f t="shared" si="100"/>
      </c>
      <c r="R24" s="339">
        <f t="shared" si="38"/>
      </c>
      <c r="S24" s="314">
        <f t="shared" si="131"/>
      </c>
      <c r="T24" s="314">
        <f t="shared" si="7"/>
      </c>
      <c r="U24" s="315">
        <f t="shared" si="492"/>
      </c>
      <c r="V24" s="314">
        <f t="shared" si="461"/>
      </c>
      <c r="W24" s="318">
        <f t="shared" si="360"/>
      </c>
      <c r="X24" s="315">
        <f t="shared" si="286"/>
      </c>
      <c r="Y24" s="319">
        <f t="shared" si="224"/>
      </c>
      <c r="Z24" s="315">
        <f t="shared" si="162"/>
      </c>
      <c r="AA24" s="331">
        <f t="shared" si="69"/>
      </c>
      <c r="AB24" s="340" t="s">
        <v>232</v>
      </c>
      <c r="AC24" s="341" t="s">
        <v>233</v>
      </c>
      <c r="AD24" s="342">
        <v>4</v>
      </c>
      <c r="AE24" s="333">
        <v>6223</v>
      </c>
      <c r="AF24" s="334">
        <v>215</v>
      </c>
      <c r="AG24" s="334">
        <v>332</v>
      </c>
      <c r="AH24" s="334">
        <v>64</v>
      </c>
      <c r="AI24" s="334">
        <v>33</v>
      </c>
      <c r="AJ24" s="335">
        <v>6</v>
      </c>
      <c r="AK24" s="336">
        <v>18</v>
      </c>
      <c r="AL24" s="326">
        <v>1</v>
      </c>
      <c r="AM24" s="327"/>
    </row>
    <row r="25">
      <c r="A25" s="303"/>
      <c r="B25" s="325" t="s">
        <v>237</v>
      </c>
      <c r="C25" s="305" t="s">
        <v>240</v>
      </c>
      <c r="D25" s="343">
        <f t="shared" si="445"/>
      </c>
      <c r="E25" s="344">
        <v>2579.94</v>
      </c>
      <c r="F25" s="344">
        <v>1129.19</v>
      </c>
      <c r="I25" s="310">
        <v>3</v>
      </c>
      <c r="J25" s="345">
        <v>6804</v>
      </c>
      <c r="K25" s="310">
        <v>0</v>
      </c>
      <c r="L25" s="310">
        <v>0</v>
      </c>
      <c r="M25" s="310">
        <v>3</v>
      </c>
      <c r="N25" s="311">
        <f t="shared" si="329"/>
      </c>
      <c r="O25" s="312">
        <f t="shared" si="255"/>
      </c>
      <c r="P25" s="313">
        <f t="shared" si="193"/>
      </c>
      <c r="Q25" s="314">
        <f t="shared" si="100"/>
      </c>
      <c r="R25" s="339">
        <f t="shared" si="38"/>
      </c>
      <c r="S25" s="314">
        <f t="shared" si="131"/>
      </c>
      <c r="T25" s="314">
        <f t="shared" si="7"/>
      </c>
      <c r="U25" s="315">
        <f t="shared" si="492"/>
      </c>
      <c r="V25" s="314">
        <f t="shared" si="461"/>
      </c>
      <c r="W25" s="318">
        <f t="shared" si="360"/>
      </c>
      <c r="X25" s="315">
        <f t="shared" si="286"/>
      </c>
      <c r="Y25" s="319">
        <f t="shared" si="224"/>
      </c>
      <c r="Z25" s="315">
        <f t="shared" si="162"/>
      </c>
      <c r="AA25" s="331">
        <f t="shared" si="69"/>
      </c>
      <c r="AB25" s="340" t="s">
        <v>232</v>
      </c>
      <c r="AC25" s="346" t="s">
        <v>233</v>
      </c>
      <c r="AD25" s="325">
        <v>2</v>
      </c>
      <c r="AE25" s="334">
        <v>9836</v>
      </c>
      <c r="AF25" s="334">
        <v>299</v>
      </c>
      <c r="AG25" s="334">
        <v>451</v>
      </c>
      <c r="AH25" s="334">
        <v>68</v>
      </c>
      <c r="AI25" s="334">
        <v>38</v>
      </c>
      <c r="AJ25" s="335">
        <v>6</v>
      </c>
      <c r="AK25" s="336">
        <v>9</v>
      </c>
      <c r="AL25" s="326">
        <v>1</v>
      </c>
      <c r="AM25" s="327"/>
    </row>
    <row r="26">
      <c r="A26" s="303"/>
      <c r="B26" s="347" t="s">
        <v>238</v>
      </c>
      <c r="C26" s="347"/>
      <c r="D26" s="348">
        <f>SUM(D21:D25)</f>
      </c>
      <c r="E26" s="348">
        <f>SUM(E21:E25)</f>
      </c>
      <c r="F26" s="348">
        <f>SUM(F21:F25)</f>
      </c>
      <c r="I26" s="348">
        <f>SUM(I21:I25)</f>
      </c>
      <c r="J26" s="348">
        <f>SUM(J21:J25)</f>
      </c>
      <c r="K26" s="348">
        <f>SUM(K21:K25)</f>
      </c>
      <c r="L26" s="348">
        <f>SUM(L21:L25)</f>
      </c>
      <c r="M26" s="348">
        <f>SUM(M21:M25)</f>
      </c>
      <c r="N26" s="349">
        <f t="shared" si="329"/>
      </c>
      <c r="O26" s="350">
        <f t="shared" si="255"/>
      </c>
      <c r="P26" s="351">
        <f t="shared" si="193"/>
      </c>
      <c r="Q26" s="352">
        <f t="shared" si="100"/>
      </c>
      <c r="R26" s="353">
        <f t="shared" si="38"/>
      </c>
      <c r="S26" s="354">
        <f t="shared" si="131"/>
      </c>
      <c r="T26" s="354">
        <f t="shared" si="7"/>
      </c>
      <c r="U26" s="353">
        <f t="shared" si="492"/>
      </c>
      <c r="V26" s="354">
        <f t="shared" si="461"/>
      </c>
      <c r="W26" s="354">
        <f t="shared" si="360"/>
      </c>
      <c r="X26" s="355">
        <f t="shared" si="286"/>
      </c>
      <c r="Y26" s="355">
        <f t="shared" si="224"/>
      </c>
      <c r="Z26" s="355">
        <f t="shared" si="162"/>
      </c>
      <c r="AA26" s="356">
        <f t="shared" si="69"/>
      </c>
      <c r="AB26" s="356"/>
      <c r="AC26" s="357"/>
      <c r="AD26" s="347">
        <f>SUM(AD21:AD25)</f>
      </c>
      <c r="AE26" s="347">
        <f>SUM(AE21:AE25)</f>
      </c>
      <c r="AF26" s="347">
        <f>SUM(AF21:AF25)</f>
      </c>
      <c r="AG26" s="347">
        <f>SUM(AG21:AG25)</f>
      </c>
      <c r="AH26" s="347">
        <f>SUM(AH21:AH25)</f>
      </c>
      <c r="AI26" s="347">
        <f>SUM(AI21:AI25)</f>
      </c>
      <c r="AJ26" s="347">
        <f>SUM(AJ21:AJ25)</f>
      </c>
      <c r="AK26" s="347">
        <f>SUM(AK21:AK25)</f>
      </c>
      <c r="AL26" s="347">
        <f>SUM(AL21:AL25)</f>
      </c>
      <c r="AM26" s="327"/>
    </row>
    <row r="27">
      <c r="A27" s="303"/>
      <c r="B27" s="304" t="s">
        <v>239</v>
      </c>
      <c r="C27" s="326" t="s">
        <v>231</v>
      </c>
      <c r="D27" s="334">
        <f t="shared" ref="D27:D31" si="446">E27+F27</f>
      </c>
      <c r="E27" s="326">
        <v>2059.33</v>
      </c>
      <c r="F27" s="326">
        <v>951.63</v>
      </c>
      <c r="I27" s="310">
        <v>1</v>
      </c>
      <c r="J27" s="345">
        <v>948</v>
      </c>
      <c r="K27" s="310">
        <v>0</v>
      </c>
      <c r="L27" s="310">
        <v>1</v>
      </c>
      <c r="M27" s="310">
        <v>0</v>
      </c>
      <c r="N27" s="311">
        <f t="shared" si="329"/>
      </c>
      <c r="O27" s="312">
        <f t="shared" si="255"/>
      </c>
      <c r="P27" s="358">
        <f t="shared" si="193"/>
      </c>
      <c r="Q27" s="359">
        <f t="shared" si="100"/>
      </c>
      <c r="R27" s="360">
        <f t="shared" si="38"/>
      </c>
      <c r="S27" s="361">
        <f t="shared" si="131"/>
      </c>
      <c r="T27" s="361">
        <f t="shared" si="7"/>
      </c>
      <c r="U27" s="360">
        <f t="shared" si="492"/>
      </c>
      <c r="V27" s="361">
        <f t="shared" si="461"/>
      </c>
      <c r="W27" s="318">
        <f t="shared" si="360"/>
      </c>
      <c r="X27" s="315">
        <f t="shared" si="286"/>
      </c>
      <c r="Y27" s="319">
        <f t="shared" si="224"/>
      </c>
      <c r="Z27" s="362">
        <f t="shared" si="162"/>
      </c>
      <c r="AA27" s="363">
        <f t="shared" si="69"/>
      </c>
      <c r="AB27" s="364" t="s">
        <v>232</v>
      </c>
      <c r="AC27" s="346" t="s">
        <v>233</v>
      </c>
      <c r="AD27" s="309">
        <v>2</v>
      </c>
      <c r="AE27" s="365">
        <v>8125</v>
      </c>
      <c r="AF27" s="365">
        <v>272</v>
      </c>
      <c r="AG27" s="365">
        <v>419</v>
      </c>
      <c r="AH27" s="365">
        <v>70</v>
      </c>
      <c r="AI27" s="365">
        <v>32</v>
      </c>
      <c r="AJ27" s="310">
        <v>2</v>
      </c>
      <c r="AK27" s="310">
        <v>7</v>
      </c>
      <c r="AL27" s="310">
        <v>1</v>
      </c>
      <c r="AM27" s="327"/>
    </row>
    <row r="28">
      <c r="A28" s="303"/>
      <c r="B28" s="304" t="s">
        <v>241</v>
      </c>
      <c r="C28" s="326" t="s">
        <v>231</v>
      </c>
      <c r="D28" s="334">
        <f t="shared" si="446"/>
      </c>
      <c r="E28" s="326">
        <v>2325.15</v>
      </c>
      <c r="F28" s="326">
        <v>1120.8</v>
      </c>
      <c r="I28" s="310">
        <v>1</v>
      </c>
      <c r="J28" s="310">
        <v>2268</v>
      </c>
      <c r="K28" s="310">
        <v>0</v>
      </c>
      <c r="L28" s="310">
        <v>0</v>
      </c>
      <c r="M28" s="310">
        <v>1</v>
      </c>
      <c r="N28" s="311">
        <f t="shared" si="329"/>
      </c>
      <c r="O28" s="312">
        <f t="shared" si="255"/>
      </c>
      <c r="P28" s="358">
        <f t="shared" si="193"/>
      </c>
      <c r="Q28" s="359">
        <f t="shared" si="100"/>
      </c>
      <c r="R28" s="360">
        <f t="shared" si="38"/>
      </c>
      <c r="S28" s="361">
        <f t="shared" si="131"/>
      </c>
      <c r="T28" s="361">
        <f t="shared" si="7"/>
      </c>
      <c r="U28" s="360">
        <f t="shared" si="492"/>
      </c>
      <c r="V28" s="361">
        <f t="shared" si="461"/>
      </c>
      <c r="W28" s="318">
        <f t="shared" si="360"/>
      </c>
      <c r="X28" s="315">
        <f t="shared" si="286"/>
      </c>
      <c r="Y28" s="319">
        <f t="shared" si="224"/>
      </c>
      <c r="Z28" s="362">
        <f t="shared" si="162"/>
      </c>
      <c r="AA28" s="363">
        <f t="shared" si="69"/>
      </c>
      <c r="AB28" s="364" t="s">
        <v>232</v>
      </c>
      <c r="AC28" s="346" t="s">
        <v>233</v>
      </c>
      <c r="AD28" s="309">
        <v>1</v>
      </c>
      <c r="AE28" s="365">
        <v>10962</v>
      </c>
      <c r="AF28" s="365">
        <v>372</v>
      </c>
      <c r="AG28" s="365">
        <v>569</v>
      </c>
      <c r="AH28" s="365">
        <v>78</v>
      </c>
      <c r="AI28" s="365">
        <v>21</v>
      </c>
      <c r="AJ28" s="310">
        <v>2</v>
      </c>
      <c r="AK28" s="310">
        <v>15</v>
      </c>
      <c r="AL28" s="310">
        <v>1</v>
      </c>
      <c r="AM28" s="327"/>
    </row>
    <row r="29">
      <c r="A29" s="303"/>
      <c r="B29" s="304" t="s">
        <v>242</v>
      </c>
      <c r="C29" s="326" t="s">
        <v>231</v>
      </c>
      <c r="D29" s="334">
        <f t="shared" si="446"/>
      </c>
      <c r="E29" s="326">
        <v>1720.81</v>
      </c>
      <c r="F29" s="326">
        <v>548.85</v>
      </c>
      <c r="I29" s="310">
        <v>2</v>
      </c>
      <c r="J29" s="310">
        <v>4536</v>
      </c>
      <c r="K29" s="310">
        <v>0</v>
      </c>
      <c r="L29" s="310">
        <v>0</v>
      </c>
      <c r="M29" s="310">
        <v>2</v>
      </c>
      <c r="N29" s="311">
        <f t="shared" si="329"/>
      </c>
      <c r="O29" s="312">
        <f t="shared" si="255"/>
      </c>
      <c r="P29" s="358">
        <f t="shared" si="193"/>
      </c>
      <c r="Q29" s="359">
        <f t="shared" si="100"/>
      </c>
      <c r="R29" s="360">
        <f t="shared" si="38"/>
      </c>
      <c r="S29" s="361">
        <f t="shared" si="131"/>
      </c>
      <c r="T29" s="361">
        <f t="shared" si="7"/>
      </c>
      <c r="U29" s="360">
        <f t="shared" si="492"/>
      </c>
      <c r="V29" s="361">
        <f t="shared" si="461"/>
      </c>
      <c r="W29" s="318">
        <f t="shared" si="360"/>
      </c>
      <c r="X29" s="315">
        <f t="shared" si="286"/>
      </c>
      <c r="Y29" s="319">
        <f t="shared" si="224"/>
      </c>
      <c r="Z29" s="362">
        <f t="shared" si="162"/>
      </c>
      <c r="AA29" s="363">
        <f t="shared" si="69"/>
      </c>
      <c r="AB29" s="364" t="s">
        <v>232</v>
      </c>
      <c r="AC29" s="346" t="s">
        <v>233</v>
      </c>
      <c r="AD29" s="309">
        <v>1</v>
      </c>
      <c r="AE29" s="365">
        <v>5855</v>
      </c>
      <c r="AF29" s="365">
        <v>202</v>
      </c>
      <c r="AG29" s="365">
        <v>357</v>
      </c>
      <c r="AH29" s="365">
        <v>57</v>
      </c>
      <c r="AI29" s="365">
        <v>25</v>
      </c>
      <c r="AJ29" s="310">
        <v>5</v>
      </c>
      <c r="AK29" s="310">
        <v>15</v>
      </c>
      <c r="AL29" s="310">
        <v>1</v>
      </c>
      <c r="AM29" s="327"/>
    </row>
    <row r="30">
      <c r="A30" s="303"/>
      <c r="B30" s="304" t="s">
        <v>243</v>
      </c>
      <c r="C30" s="326" t="s">
        <v>231</v>
      </c>
      <c r="D30" s="334">
        <f t="shared" si="446"/>
      </c>
      <c r="E30" s="334">
        <v>1922.39</v>
      </c>
      <c r="F30" s="334">
        <v>316.37</v>
      </c>
      <c r="I30" s="310">
        <v>3</v>
      </c>
      <c r="J30" s="345">
        <v>6804</v>
      </c>
      <c r="K30" s="366">
        <v>0</v>
      </c>
      <c r="L30" s="310">
        <v>0</v>
      </c>
      <c r="M30" s="384">
        <v>3</v>
      </c>
      <c r="N30" s="311">
        <f t="shared" si="329"/>
      </c>
      <c r="O30" s="312">
        <f t="shared" si="255"/>
      </c>
      <c r="P30" s="368">
        <f t="shared" si="193"/>
      </c>
      <c r="Q30" s="359">
        <f t="shared" si="100"/>
      </c>
      <c r="R30" s="360">
        <f t="shared" si="38"/>
      </c>
      <c r="S30" s="361">
        <f t="shared" si="131"/>
      </c>
      <c r="T30" s="361">
        <f t="shared" si="7"/>
      </c>
      <c r="U30" s="360">
        <f t="shared" si="492"/>
      </c>
      <c r="V30" s="361">
        <f t="shared" si="461"/>
      </c>
      <c r="W30" s="318">
        <f t="shared" si="360"/>
      </c>
      <c r="X30" s="315">
        <f t="shared" si="286"/>
      </c>
      <c r="Y30" s="319">
        <f t="shared" si="224"/>
      </c>
      <c r="Z30" s="362">
        <f t="shared" si="162"/>
      </c>
      <c r="AA30" s="363">
        <f t="shared" si="69"/>
      </c>
      <c r="AB30" s="364" t="s">
        <v>232</v>
      </c>
      <c r="AC30" s="346" t="s">
        <v>244</v>
      </c>
      <c r="AD30" s="309">
        <v>3</v>
      </c>
      <c r="AE30" s="310">
        <v>6238</v>
      </c>
      <c r="AF30" s="310">
        <v>198</v>
      </c>
      <c r="AG30" s="310">
        <v>306</v>
      </c>
      <c r="AH30" s="310">
        <v>39</v>
      </c>
      <c r="AI30" s="365">
        <v>21</v>
      </c>
      <c r="AJ30" s="310">
        <v>4</v>
      </c>
      <c r="AK30" s="310">
        <v>11</v>
      </c>
      <c r="AL30" s="310">
        <f t="shared" ref="AL30:AL31" si="316">COUNT(AK30)</f>
      </c>
      <c r="AM30" s="327"/>
    </row>
    <row r="31">
      <c r="A31" s="303"/>
      <c r="B31" s="304" t="s">
        <v>245</v>
      </c>
      <c r="C31" s="326" t="s">
        <v>231</v>
      </c>
      <c r="D31" s="334">
        <f t="shared" si="446"/>
      </c>
      <c r="E31" s="334">
        <v>2457.49</v>
      </c>
      <c r="F31" s="334">
        <v>355.52</v>
      </c>
      <c r="I31" s="310">
        <v>2</v>
      </c>
      <c r="J31" s="369">
        <v>4536</v>
      </c>
      <c r="K31" s="366">
        <v>0</v>
      </c>
      <c r="L31" s="366">
        <v>0</v>
      </c>
      <c r="M31" s="367">
        <v>2</v>
      </c>
      <c r="N31" s="311">
        <f t="shared" si="329"/>
      </c>
      <c r="O31" s="312">
        <f t="shared" si="255"/>
      </c>
      <c r="P31" s="368">
        <f t="shared" si="193"/>
      </c>
      <c r="Q31" s="359">
        <f t="shared" si="100"/>
      </c>
      <c r="R31" s="360">
        <f t="shared" si="38"/>
      </c>
      <c r="S31" s="361">
        <f t="shared" si="131"/>
      </c>
      <c r="T31" s="361">
        <f t="shared" si="7"/>
      </c>
      <c r="U31" s="360">
        <f t="shared" si="492"/>
      </c>
      <c r="V31" s="361">
        <f t="shared" si="461"/>
      </c>
      <c r="W31" s="318">
        <f t="shared" si="360"/>
      </c>
      <c r="X31" s="315">
        <f t="shared" si="286"/>
      </c>
      <c r="Y31" s="319">
        <f t="shared" si="224"/>
      </c>
      <c r="Z31" s="362">
        <f t="shared" si="162"/>
      </c>
      <c r="AA31" s="363">
        <f t="shared" si="69"/>
      </c>
      <c r="AB31" s="364" t="s">
        <v>232</v>
      </c>
      <c r="AC31" s="346" t="s">
        <v>244</v>
      </c>
      <c r="AD31" s="309">
        <v>2</v>
      </c>
      <c r="AE31" s="310">
        <v>7536</v>
      </c>
      <c r="AF31" s="310">
        <v>232</v>
      </c>
      <c r="AG31" s="310">
        <v>372</v>
      </c>
      <c r="AH31" s="310">
        <v>57</v>
      </c>
      <c r="AI31" s="365">
        <v>36</v>
      </c>
      <c r="AJ31" s="310">
        <v>5</v>
      </c>
      <c r="AK31" s="310">
        <v>16</v>
      </c>
      <c r="AL31" s="310">
        <f t="shared" si="316"/>
      </c>
      <c r="AM31" s="327"/>
    </row>
    <row r="32">
      <c r="A32" s="303"/>
      <c r="B32" s="347" t="s">
        <v>238</v>
      </c>
      <c r="C32" s="347"/>
      <c r="D32" s="348">
        <f>SUM(D27:D31)</f>
      </c>
      <c r="E32" s="348">
        <f>SUM(E27:E31)</f>
      </c>
      <c r="F32" s="348">
        <f>SUM(F27:F31)</f>
      </c>
      <c r="I32" s="348">
        <f>SUM(I27:I31)</f>
      </c>
      <c r="J32" s="348">
        <f>SUM(J27:J31)</f>
      </c>
      <c r="K32" s="348">
        <f>SUM(K27:K31)</f>
      </c>
      <c r="L32" s="348">
        <f>SUM(L27:L31)</f>
      </c>
      <c r="M32" s="348">
        <f>SUM(M27:M31)</f>
      </c>
      <c r="N32" s="349">
        <f t="shared" si="329"/>
      </c>
      <c r="O32" s="350">
        <f t="shared" si="255"/>
      </c>
      <c r="P32" s="370">
        <f t="shared" si="193"/>
      </c>
      <c r="Q32" s="352">
        <f t="shared" si="100"/>
      </c>
      <c r="R32" s="353">
        <f t="shared" si="38"/>
      </c>
      <c r="S32" s="354">
        <f t="shared" si="131"/>
      </c>
      <c r="T32" s="354">
        <f t="shared" si="7"/>
      </c>
      <c r="U32" s="353">
        <f t="shared" si="492"/>
      </c>
      <c r="V32" s="354">
        <f t="shared" si="461"/>
      </c>
      <c r="W32" s="354">
        <f t="shared" si="360"/>
      </c>
      <c r="X32" s="355">
        <f t="shared" si="286"/>
      </c>
      <c r="Y32" s="355">
        <f t="shared" si="224"/>
      </c>
      <c r="Z32" s="355">
        <f t="shared" si="162"/>
      </c>
      <c r="AA32" s="356">
        <f t="shared" si="69"/>
      </c>
      <c r="AB32" s="356"/>
      <c r="AC32" s="357"/>
      <c r="AD32" s="347">
        <f>SUM(AD27:AD31)</f>
      </c>
      <c r="AE32" s="347">
        <f>SUM(AE27:AE31)</f>
      </c>
      <c r="AF32" s="347">
        <f>SUM(AF27:AF31)</f>
      </c>
      <c r="AG32" s="347">
        <f>SUM(AG27:AG31)</f>
      </c>
      <c r="AH32" s="347">
        <f>SUM(AH27:AH31)</f>
      </c>
      <c r="AI32" s="347">
        <f>SUM(AI27:AI31)</f>
      </c>
      <c r="AJ32" s="347">
        <f>SUM(AJ27:AJ31)</f>
      </c>
      <c r="AK32" s="347">
        <f>SUM(AK27:AK31)</f>
      </c>
      <c r="AL32" s="347">
        <f>SUM(AL27:AL31)</f>
      </c>
      <c r="AM32" s="327"/>
    </row>
    <row r="33">
      <c r="A33" s="303"/>
      <c r="B33" s="325" t="s">
        <v>246</v>
      </c>
      <c r="C33" s="326" t="s">
        <v>247</v>
      </c>
      <c r="D33" s="334">
        <f t="shared" ref="D33:D34" si="447">E33+F33</f>
      </c>
      <c r="E33" s="334">
        <v>2879.2</v>
      </c>
      <c r="F33" s="334">
        <v>428.45</v>
      </c>
      <c r="I33" s="310">
        <v>4</v>
      </c>
      <c r="J33" s="345">
        <v>7364</v>
      </c>
      <c r="K33" s="366">
        <v>0</v>
      </c>
      <c r="L33" s="366">
        <v>1</v>
      </c>
      <c r="M33" s="367">
        <v>3</v>
      </c>
      <c r="N33" s="311">
        <f t="shared" si="329"/>
      </c>
      <c r="O33" s="312">
        <f t="shared" si="255"/>
      </c>
      <c r="P33" s="358">
        <f t="shared" si="193"/>
      </c>
      <c r="Q33" s="359">
        <f t="shared" si="100"/>
      </c>
      <c r="R33" s="360">
        <f t="shared" si="38"/>
      </c>
      <c r="S33" s="361">
        <f t="shared" si="131"/>
      </c>
      <c r="T33" s="361">
        <f t="shared" si="7"/>
      </c>
      <c r="U33" s="360">
        <f t="shared" si="492"/>
      </c>
      <c r="V33" s="361">
        <f t="shared" si="461"/>
      </c>
      <c r="W33" s="318">
        <f t="shared" si="360"/>
      </c>
      <c r="X33" s="315">
        <f t="shared" si="286"/>
      </c>
      <c r="Y33" s="319">
        <f t="shared" si="224"/>
      </c>
      <c r="Z33" s="362">
        <f t="shared" si="162"/>
      </c>
      <c r="AA33" s="363">
        <f t="shared" si="69"/>
      </c>
      <c r="AB33" s="364" t="s">
        <v>232</v>
      </c>
      <c r="AC33" s="346" t="s">
        <v>244</v>
      </c>
      <c r="AD33" s="309">
        <v>4</v>
      </c>
      <c r="AE33" s="310">
        <v>8722</v>
      </c>
      <c r="AF33" s="310">
        <v>246</v>
      </c>
      <c r="AG33" s="310">
        <v>355</v>
      </c>
      <c r="AH33" s="310">
        <v>71</v>
      </c>
      <c r="AI33" s="365">
        <v>54</v>
      </c>
      <c r="AJ33" s="310">
        <v>6</v>
      </c>
      <c r="AK33" s="310">
        <v>15</v>
      </c>
      <c r="AL33" s="310">
        <f t="shared" ref="AL33:AL34" si="317">COUNT(AK33)</f>
      </c>
      <c r="AM33" s="327"/>
    </row>
    <row r="34">
      <c r="A34" s="303"/>
      <c r="B34" s="325" t="s">
        <v>248</v>
      </c>
      <c r="C34" s="326" t="s">
        <v>247</v>
      </c>
      <c r="D34" s="334">
        <f t="shared" si="447"/>
      </c>
      <c r="E34" s="334">
        <v>1757.82</v>
      </c>
      <c r="F34" s="334">
        <v>91.76</v>
      </c>
      <c r="I34" s="310">
        <v>2</v>
      </c>
      <c r="J34" s="345">
        <v>3228</v>
      </c>
      <c r="K34" s="366">
        <v>0</v>
      </c>
      <c r="L34" s="366">
        <v>1</v>
      </c>
      <c r="M34" s="367">
        <v>1</v>
      </c>
      <c r="N34" s="311">
        <f t="shared" si="329"/>
      </c>
      <c r="O34" s="312">
        <f t="shared" si="255"/>
      </c>
      <c r="P34" s="368">
        <f t="shared" si="193"/>
      </c>
      <c r="Q34" s="359">
        <f t="shared" si="100"/>
      </c>
      <c r="R34" s="360">
        <f t="shared" si="38"/>
      </c>
      <c r="S34" s="361">
        <f t="shared" si="131"/>
      </c>
      <c r="T34" s="361">
        <f t="shared" si="7"/>
      </c>
      <c r="U34" s="360">
        <f t="shared" si="492"/>
      </c>
      <c r="V34" s="361">
        <f t="shared" si="461"/>
      </c>
      <c r="W34" s="318">
        <f t="shared" si="360"/>
      </c>
      <c r="X34" s="315">
        <f t="shared" si="286"/>
      </c>
      <c r="Y34" s="319">
        <f t="shared" si="224"/>
      </c>
      <c r="Z34" s="362">
        <f t="shared" si="162"/>
      </c>
      <c r="AA34" s="363">
        <f t="shared" si="69"/>
      </c>
      <c r="AB34" s="364" t="s">
        <v>232</v>
      </c>
      <c r="AC34" s="346" t="s">
        <v>244</v>
      </c>
      <c r="AD34" s="309">
        <v>1</v>
      </c>
      <c r="AE34" s="310">
        <v>6243</v>
      </c>
      <c r="AF34" s="310">
        <v>175</v>
      </c>
      <c r="AG34" s="310">
        <v>221</v>
      </c>
      <c r="AH34" s="310">
        <v>53</v>
      </c>
      <c r="AI34" s="365">
        <v>38</v>
      </c>
      <c r="AJ34" s="310">
        <v>3</v>
      </c>
      <c r="AK34" s="310">
        <v>9</v>
      </c>
      <c r="AL34" s="310">
        <f t="shared" si="317"/>
      </c>
      <c r="AM34" s="327"/>
    </row>
    <row r="35">
      <c r="A35" s="303"/>
      <c r="B35" s="347" t="s">
        <v>238</v>
      </c>
      <c r="C35" s="347"/>
      <c r="D35" s="348">
        <f>SUM(D33:D34)</f>
      </c>
      <c r="E35" s="348">
        <f>SUM(E33:E34)</f>
      </c>
      <c r="F35" s="348">
        <f>SUM(F33:F34)</f>
      </c>
      <c r="I35" s="348">
        <f>SUM(I33:I34)</f>
      </c>
      <c r="J35" s="371">
        <f>SUM(J33:J34)</f>
      </c>
      <c r="K35" s="371">
        <f>SUM(K33:K34)</f>
      </c>
      <c r="L35" s="371">
        <f>SUM(L33:L34)</f>
      </c>
      <c r="M35" s="371">
        <f>SUM(M33:M34)</f>
      </c>
      <c r="N35" s="349">
        <f t="shared" si="329"/>
      </c>
      <c r="O35" s="350">
        <f t="shared" si="255"/>
      </c>
      <c r="P35" s="370">
        <f t="shared" si="193"/>
      </c>
      <c r="Q35" s="352">
        <f t="shared" si="100"/>
      </c>
      <c r="R35" s="353">
        <f t="shared" si="38"/>
      </c>
      <c r="S35" s="354">
        <f t="shared" si="131"/>
      </c>
      <c r="T35" s="354">
        <f t="shared" si="7"/>
      </c>
      <c r="U35" s="353">
        <f t="shared" si="492"/>
      </c>
      <c r="V35" s="354">
        <f t="shared" si="461"/>
      </c>
      <c r="W35" s="354">
        <f t="shared" si="360"/>
      </c>
      <c r="X35" s="355">
        <f t="shared" si="286"/>
      </c>
      <c r="Y35" s="355">
        <f t="shared" si="224"/>
      </c>
      <c r="Z35" s="355">
        <f t="shared" si="162"/>
      </c>
      <c r="AA35" s="356">
        <f t="shared" si="69"/>
      </c>
      <c r="AB35" s="356"/>
      <c r="AC35" s="356"/>
      <c r="AD35" s="348">
        <f>SUM(AD33:AD34)</f>
      </c>
      <c r="AE35" s="348">
        <f>SUM(AE33:AE34)</f>
      </c>
      <c r="AF35" s="348">
        <f>SUM(AF33:AF34)</f>
      </c>
      <c r="AG35" s="348">
        <f>SUM(AG33:AG34)</f>
      </c>
      <c r="AH35" s="348">
        <f>SUM(AH33:AH34)</f>
      </c>
      <c r="AI35" s="348">
        <f>SUM(AI33:AI34)</f>
      </c>
      <c r="AJ35" s="348">
        <f>SUM(AJ33:AJ34)</f>
      </c>
      <c r="AK35" s="348">
        <f>SUM(AK33:AK34)</f>
      </c>
      <c r="AL35" s="348">
        <f>SUM(AL33:AL34)</f>
      </c>
      <c r="AM35" s="372" t="s">
        <v>249</v>
      </c>
    </row>
    <row r="36">
      <c r="A36" s="303"/>
      <c r="B36" s="373" t="s">
        <v>250</v>
      </c>
      <c r="C36" s="373"/>
      <c r="D36" s="373">
        <f>D26+D32+D35</f>
      </c>
      <c r="E36" s="373">
        <f>E26+E32+E35</f>
      </c>
      <c r="F36" s="373">
        <f>F26+F32+F35</f>
      </c>
      <c r="I36" s="373">
        <f>I26+I32+I35</f>
      </c>
      <c r="J36" s="374">
        <f>J26+J32+J35</f>
      </c>
      <c r="K36" s="374">
        <f>K26+K32+K35</f>
      </c>
      <c r="L36" s="374">
        <f>L26+L32+L35</f>
      </c>
      <c r="M36" s="374">
        <f>M26+M32+M35</f>
      </c>
      <c r="N36" s="375">
        <f t="shared" si="329"/>
      </c>
      <c r="O36" s="376">
        <f t="shared" si="255"/>
      </c>
      <c r="P36" s="377">
        <f t="shared" si="193"/>
      </c>
      <c r="Q36" s="378">
        <f t="shared" si="100"/>
      </c>
      <c r="R36" s="379">
        <f t="shared" si="38"/>
      </c>
      <c r="S36" s="380">
        <f t="shared" si="131"/>
      </c>
      <c r="T36" s="380">
        <f t="shared" si="7"/>
      </c>
      <c r="U36" s="379">
        <f t="shared" si="492"/>
      </c>
      <c r="V36" s="380">
        <f t="shared" si="461"/>
      </c>
      <c r="W36" s="380">
        <f t="shared" si="360"/>
      </c>
      <c r="X36" s="379">
        <f t="shared" si="286"/>
      </c>
      <c r="Y36" s="379">
        <f t="shared" si="224"/>
      </c>
      <c r="Z36" s="379">
        <f t="shared" si="162"/>
      </c>
      <c r="AA36" s="381">
        <f t="shared" si="69"/>
      </c>
      <c r="AB36" s="381"/>
      <c r="AC36" s="381"/>
      <c r="AD36" s="373">
        <f>AD26+AD32+AD35</f>
      </c>
      <c r="AE36" s="373">
        <f>AE26+AE32+AE35</f>
      </c>
      <c r="AF36" s="373">
        <f>AF26+AF32+AF35</f>
      </c>
      <c r="AG36" s="373">
        <f>AG26+AG32+AG35</f>
      </c>
      <c r="AH36" s="373">
        <f>AH26+AH32+AH35</f>
      </c>
      <c r="AI36" s="373">
        <f>AI26+AI32+AI35</f>
      </c>
      <c r="AJ36" s="373">
        <f>AJ26+AJ32+AJ35</f>
      </c>
      <c r="AK36" s="373">
        <f>AK26+AK32+AK35</f>
      </c>
      <c r="AL36" s="373">
        <f>AL26+AL32+AL35</f>
      </c>
      <c r="AM36" s="372"/>
    </row>
    <row r="37">
      <c r="A37" s="282" t="s">
        <v>189</v>
      </c>
      <c r="B37" s="282"/>
      <c r="C37" s="282"/>
      <c r="D37" s="283" t="s">
        <v>190</v>
      </c>
      <c r="E37" s="283"/>
      <c r="F37" s="283"/>
      <c r="I37" s="283"/>
      <c r="J37" s="283"/>
      <c r="K37" s="283"/>
      <c r="L37" s="283"/>
      <c r="M37" s="283"/>
      <c r="N37" s="283"/>
      <c r="O37" s="283"/>
      <c r="P37" s="284" t="s">
        <v>191</v>
      </c>
      <c r="Q37" s="284"/>
      <c r="R37" s="284"/>
      <c r="S37" s="284"/>
      <c r="T37" s="284"/>
      <c r="U37" s="284"/>
      <c r="V37" s="284"/>
      <c r="W37" s="284"/>
      <c r="X37" s="284"/>
      <c r="Y37" s="284"/>
      <c r="Z37" s="284"/>
      <c r="AA37" s="284"/>
      <c r="AB37" s="284"/>
      <c r="AC37" s="284"/>
      <c r="AD37" s="285" t="s">
        <v>192</v>
      </c>
      <c r="AE37" s="285"/>
      <c r="AF37" s="285"/>
      <c r="AG37" s="285"/>
      <c r="AH37" s="285"/>
      <c r="AI37" s="285"/>
      <c r="AJ37" s="285"/>
      <c r="AK37" s="285"/>
      <c r="AL37" s="285"/>
      <c r="AM37" s="286"/>
    </row>
    <row r="38">
      <c r="A38" s="287" t="s">
        <v>193</v>
      </c>
      <c r="B38" s="288" t="s">
        <v>194</v>
      </c>
      <c r="C38" s="288" t="s">
        <v>195</v>
      </c>
      <c r="D38" s="289" t="s">
        <v>196</v>
      </c>
      <c r="E38" s="290" t="s">
        <v>197</v>
      </c>
      <c r="F38" s="291" t="s">
        <v>198</v>
      </c>
      <c r="I38" s="292" t="s">
        <v>199</v>
      </c>
      <c r="J38" s="293" t="s">
        <v>200</v>
      </c>
      <c r="K38" s="294" t="s">
        <v>201</v>
      </c>
      <c r="L38" s="294" t="s">
        <v>202</v>
      </c>
      <c r="M38" s="294" t="s">
        <v>203</v>
      </c>
      <c r="N38" s="295" t="s">
        <v>204</v>
      </c>
      <c r="O38" s="295" t="s">
        <v>205</v>
      </c>
      <c r="P38" s="296" t="s">
        <v>206</v>
      </c>
      <c r="Q38" s="296" t="s">
        <v>207</v>
      </c>
      <c r="R38" s="296" t="s">
        <v>208</v>
      </c>
      <c r="S38" s="297" t="s">
        <v>209</v>
      </c>
      <c r="T38" s="297" t="s">
        <v>210</v>
      </c>
      <c r="U38" s="296" t="s">
        <v>211</v>
      </c>
      <c r="V38" s="297" t="s">
        <v>212</v>
      </c>
      <c r="W38" s="297" t="s">
        <v>213</v>
      </c>
      <c r="X38" s="296" t="s">
        <v>214</v>
      </c>
      <c r="Y38" s="297" t="s">
        <v>215</v>
      </c>
      <c r="Z38" s="296" t="s">
        <v>216</v>
      </c>
      <c r="AA38" s="298" t="s">
        <v>217</v>
      </c>
      <c r="AB38" s="298" t="s">
        <v>218</v>
      </c>
      <c r="AC38" s="299" t="s">
        <v>219</v>
      </c>
      <c r="AD38" s="300" t="s">
        <v>220</v>
      </c>
      <c r="AE38" s="301" t="s">
        <v>221</v>
      </c>
      <c r="AF38" s="301" t="s">
        <v>222</v>
      </c>
      <c r="AG38" s="301" t="s">
        <v>223</v>
      </c>
      <c r="AH38" s="301" t="s">
        <v>224</v>
      </c>
      <c r="AI38" s="301" t="s">
        <v>225</v>
      </c>
      <c r="AJ38" s="302" t="s">
        <v>226</v>
      </c>
      <c r="AK38" s="302" t="s">
        <v>227</v>
      </c>
      <c r="AL38" s="302" t="s">
        <v>228</v>
      </c>
      <c r="AM38" s="327"/>
    </row>
    <row r="39">
      <c r="A39" s="303" t="s">
        <v>252</v>
      </c>
      <c r="B39" s="304" t="s">
        <v>230</v>
      </c>
      <c r="C39" s="305" t="s">
        <v>240</v>
      </c>
      <c r="D39" s="306">
        <f t="shared" ref="D39:D43" si="448">E39+F39</f>
      </c>
      <c r="E39" s="307">
        <v>1359.42</v>
      </c>
      <c r="F39" s="382">
        <v>515.57</v>
      </c>
      <c r="I39" s="307">
        <v>3</v>
      </c>
      <c r="J39" s="328">
        <v>6804</v>
      </c>
      <c r="K39" s="309">
        <v>0</v>
      </c>
      <c r="L39" s="310">
        <v>0</v>
      </c>
      <c r="M39" s="310">
        <v>3</v>
      </c>
      <c r="N39" s="311">
        <f t="shared" ref="N39:N54" si="330">J39/D39</f>
      </c>
      <c r="O39" s="312">
        <f t="shared" ref="O39:O54" si="256">J39/(D39+300*AL39)</f>
      </c>
      <c r="P39" s="313">
        <f t="shared" ref="P39:P54" si="194">(D39/AE39)*1000</f>
      </c>
      <c r="Q39" s="314">
        <f t="shared" ref="Q39:Q54" si="101">AF39/AE39</f>
      </c>
      <c r="R39" s="315">
        <f t="shared" ref="R39:R54" si="39">D39/AG39</f>
      </c>
      <c r="S39" s="316">
        <f t="shared" ref="S39:S54" si="132">AH39/AG39</f>
      </c>
      <c r="T39" s="314">
        <f t="shared" ref="T39:T54" si="8">AI39/AG39</f>
      </c>
      <c r="U39" s="317">
        <f t="shared" ref="U39:U54" si="493">D39/AI39</f>
      </c>
      <c r="V39" s="314">
        <f t="shared" ref="V39:V54" si="462">AJ39/AI39</f>
      </c>
      <c r="W39" s="318">
        <f t="shared" ref="W39:W54" si="361">I39/AJ39</f>
      </c>
      <c r="X39" s="315">
        <f t="shared" ref="X39:X54" si="287">D39/I39</f>
      </c>
      <c r="Y39" s="319">
        <f t="shared" ref="Y39:Y54" si="225">J39/I39</f>
      </c>
      <c r="Z39" s="315">
        <f t="shared" ref="Z39:Z54" si="163">D39/AD39</f>
      </c>
      <c r="AA39" s="320">
        <f t="shared" ref="AA39:AA54" si="70">AK39*1000/D39</f>
      </c>
      <c r="AB39" s="321" t="s">
        <v>232</v>
      </c>
      <c r="AC39" s="322" t="s">
        <v>233</v>
      </c>
      <c r="AD39" s="307">
        <v>3</v>
      </c>
      <c r="AE39" s="306">
        <v>5189</v>
      </c>
      <c r="AF39" s="323">
        <v>221</v>
      </c>
      <c r="AG39" s="324">
        <v>340</v>
      </c>
      <c r="AH39" s="325">
        <v>44</v>
      </c>
      <c r="AI39" s="326">
        <v>18</v>
      </c>
      <c r="AJ39" s="325">
        <v>4</v>
      </c>
      <c r="AK39" s="326">
        <v>15</v>
      </c>
      <c r="AL39" s="326">
        <v>1</v>
      </c>
      <c r="AM39" s="327"/>
    </row>
    <row r="40">
      <c r="A40" s="303"/>
      <c r="B40" s="304" t="s">
        <v>234</v>
      </c>
      <c r="C40" s="305" t="s">
        <v>240</v>
      </c>
      <c r="D40" s="306">
        <f t="shared" si="448"/>
      </c>
      <c r="E40" s="307">
        <v>1726.68</v>
      </c>
      <c r="F40" s="307">
        <v>603.57</v>
      </c>
      <c r="I40" s="383">
        <v>1</v>
      </c>
      <c r="J40" s="329">
        <v>2268</v>
      </c>
      <c r="K40" s="309">
        <v>0</v>
      </c>
      <c r="L40" s="309">
        <v>0</v>
      </c>
      <c r="M40" s="309">
        <v>1</v>
      </c>
      <c r="N40" s="311">
        <f t="shared" si="330"/>
      </c>
      <c r="O40" s="312">
        <f t="shared" si="256"/>
      </c>
      <c r="P40" s="313">
        <f t="shared" si="194"/>
      </c>
      <c r="Q40" s="314">
        <f t="shared" si="101"/>
      </c>
      <c r="R40" s="330">
        <f t="shared" si="39"/>
      </c>
      <c r="S40" s="316">
        <f t="shared" si="132"/>
      </c>
      <c r="T40" s="314">
        <f t="shared" si="8"/>
      </c>
      <c r="U40" s="317">
        <f t="shared" si="493"/>
      </c>
      <c r="V40" s="314">
        <f t="shared" si="462"/>
      </c>
      <c r="W40" s="318">
        <f t="shared" si="361"/>
      </c>
      <c r="X40" s="315">
        <f t="shared" si="287"/>
      </c>
      <c r="Y40" s="319">
        <f t="shared" si="225"/>
      </c>
      <c r="Z40" s="315">
        <f t="shared" si="163"/>
      </c>
      <c r="AA40" s="331">
        <f t="shared" si="70"/>
      </c>
      <c r="AB40" s="332" t="s">
        <v>232</v>
      </c>
      <c r="AC40" s="322" t="s">
        <v>233</v>
      </c>
      <c r="AD40" s="307">
        <v>0</v>
      </c>
      <c r="AE40" s="306">
        <v>5884</v>
      </c>
      <c r="AF40" s="304">
        <v>203</v>
      </c>
      <c r="AG40" s="333">
        <v>340</v>
      </c>
      <c r="AH40" s="334">
        <v>46</v>
      </c>
      <c r="AI40" s="334">
        <v>19</v>
      </c>
      <c r="AJ40" s="335">
        <v>1</v>
      </c>
      <c r="AK40" s="336">
        <v>12</v>
      </c>
      <c r="AL40" s="326">
        <v>1</v>
      </c>
      <c r="AM40" s="327"/>
    </row>
    <row r="41">
      <c r="A41" s="303"/>
      <c r="B41" s="304" t="s">
        <v>235</v>
      </c>
      <c r="C41" s="305" t="s">
        <v>240</v>
      </c>
      <c r="D41" s="306">
        <f t="shared" si="448"/>
      </c>
      <c r="E41" s="307">
        <v>1395.04</v>
      </c>
      <c r="F41" s="307">
        <v>623.23</v>
      </c>
      <c r="I41" s="328">
        <v>2</v>
      </c>
      <c r="J41" s="307">
        <v>4348</v>
      </c>
      <c r="K41" s="309">
        <v>0</v>
      </c>
      <c r="L41" s="309">
        <v>0</v>
      </c>
      <c r="M41" s="309">
        <v>2</v>
      </c>
      <c r="N41" s="311">
        <f t="shared" si="330"/>
      </c>
      <c r="O41" s="312">
        <f t="shared" si="256"/>
      </c>
      <c r="P41" s="313">
        <f t="shared" si="194"/>
      </c>
      <c r="Q41" s="316">
        <f t="shared" si="101"/>
      </c>
      <c r="R41" s="315">
        <f t="shared" si="39"/>
      </c>
      <c r="S41" s="318">
        <f t="shared" si="132"/>
      </c>
      <c r="T41" s="337">
        <f t="shared" si="8"/>
      </c>
      <c r="U41" s="338">
        <f t="shared" si="493"/>
      </c>
      <c r="V41" s="337">
        <f t="shared" si="462"/>
      </c>
      <c r="W41" s="318">
        <f t="shared" si="361"/>
      </c>
      <c r="X41" s="315">
        <f t="shared" si="287"/>
      </c>
      <c r="Y41" s="319">
        <f t="shared" si="225"/>
      </c>
      <c r="Z41" s="315">
        <f t="shared" si="163"/>
      </c>
      <c r="AA41" s="331">
        <f t="shared" si="70"/>
      </c>
      <c r="AB41" s="332" t="s">
        <v>232</v>
      </c>
      <c r="AC41" s="322" t="s">
        <v>233</v>
      </c>
      <c r="AD41" s="307">
        <v>1</v>
      </c>
      <c r="AE41" s="306">
        <v>5555</v>
      </c>
      <c r="AF41" s="304">
        <v>238</v>
      </c>
      <c r="AG41" s="334">
        <v>399</v>
      </c>
      <c r="AH41" s="334">
        <v>49</v>
      </c>
      <c r="AI41" s="334">
        <v>20</v>
      </c>
      <c r="AJ41" s="335">
        <v>4</v>
      </c>
      <c r="AK41" s="336">
        <v>12</v>
      </c>
      <c r="AL41" s="326">
        <v>1</v>
      </c>
      <c r="AM41" s="327"/>
    </row>
    <row r="42">
      <c r="A42" s="303"/>
      <c r="B42" s="304" t="s">
        <v>236</v>
      </c>
      <c r="C42" s="305" t="s">
        <v>240</v>
      </c>
      <c r="D42" s="306">
        <f t="shared" si="448"/>
      </c>
      <c r="E42" s="307">
        <v>2123.66</v>
      </c>
      <c r="F42" s="307">
        <v>675.09</v>
      </c>
      <c r="I42" s="335">
        <v>3</v>
      </c>
      <c r="J42" s="335">
        <v>5484</v>
      </c>
      <c r="K42" s="335">
        <v>0</v>
      </c>
      <c r="L42" s="335">
        <v>1</v>
      </c>
      <c r="M42" s="335">
        <v>2</v>
      </c>
      <c r="N42" s="311">
        <f t="shared" si="330"/>
      </c>
      <c r="O42" s="312">
        <f t="shared" si="256"/>
      </c>
      <c r="P42" s="313">
        <f t="shared" si="194"/>
      </c>
      <c r="Q42" s="314">
        <f t="shared" si="101"/>
      </c>
      <c r="R42" s="339">
        <f t="shared" si="39"/>
      </c>
      <c r="S42" s="314">
        <f t="shared" si="132"/>
      </c>
      <c r="T42" s="314">
        <f t="shared" si="8"/>
      </c>
      <c r="U42" s="315">
        <f t="shared" si="493"/>
      </c>
      <c r="V42" s="314">
        <f t="shared" si="462"/>
      </c>
      <c r="W42" s="318">
        <f t="shared" si="361"/>
      </c>
      <c r="X42" s="315">
        <f t="shared" si="287"/>
      </c>
      <c r="Y42" s="319">
        <f t="shared" si="225"/>
      </c>
      <c r="Z42" s="315">
        <f t="shared" si="163"/>
      </c>
      <c r="AA42" s="331">
        <f t="shared" si="70"/>
      </c>
      <c r="AB42" s="340" t="s">
        <v>232</v>
      </c>
      <c r="AC42" s="341" t="s">
        <v>233</v>
      </c>
      <c r="AD42" s="342">
        <v>3</v>
      </c>
      <c r="AE42" s="333">
        <v>7281</v>
      </c>
      <c r="AF42" s="334">
        <v>260</v>
      </c>
      <c r="AG42" s="334">
        <v>407</v>
      </c>
      <c r="AH42" s="334">
        <v>75</v>
      </c>
      <c r="AI42" s="334">
        <v>14</v>
      </c>
      <c r="AJ42" s="335">
        <v>4</v>
      </c>
      <c r="AK42" s="336">
        <v>16</v>
      </c>
      <c r="AL42" s="326">
        <v>1</v>
      </c>
      <c r="AM42" s="327"/>
    </row>
    <row r="43">
      <c r="A43" s="303"/>
      <c r="B43" s="325" t="s">
        <v>237</v>
      </c>
      <c r="C43" s="305" t="s">
        <v>240</v>
      </c>
      <c r="D43" s="343">
        <f t="shared" si="448"/>
      </c>
      <c r="E43" s="344">
        <v>5398.52</v>
      </c>
      <c r="F43" s="344">
        <v>647.72</v>
      </c>
      <c r="I43" s="310">
        <v>10</v>
      </c>
      <c r="J43" s="345">
        <v>15561</v>
      </c>
      <c r="K43" s="310">
        <v>1</v>
      </c>
      <c r="L43" s="310">
        <v>4</v>
      </c>
      <c r="M43" s="310">
        <v>5</v>
      </c>
      <c r="N43" s="311">
        <f t="shared" si="330"/>
      </c>
      <c r="O43" s="312">
        <f t="shared" si="256"/>
      </c>
      <c r="P43" s="313">
        <f t="shared" si="194"/>
      </c>
      <c r="Q43" s="314">
        <f t="shared" si="101"/>
      </c>
      <c r="R43" s="339">
        <f t="shared" si="39"/>
      </c>
      <c r="S43" s="314">
        <f t="shared" si="132"/>
      </c>
      <c r="T43" s="314">
        <f t="shared" si="8"/>
      </c>
      <c r="U43" s="315">
        <f t="shared" si="493"/>
      </c>
      <c r="V43" s="314">
        <f t="shared" si="462"/>
      </c>
      <c r="W43" s="318">
        <f t="shared" si="361"/>
      </c>
      <c r="X43" s="315">
        <f t="shared" si="287"/>
      </c>
      <c r="Y43" s="319">
        <f t="shared" si="225"/>
      </c>
      <c r="Z43" s="315">
        <f t="shared" si="163"/>
      </c>
      <c r="AA43" s="331">
        <f t="shared" si="70"/>
      </c>
      <c r="AB43" s="340" t="s">
        <v>232</v>
      </c>
      <c r="AC43" s="346" t="s">
        <v>233</v>
      </c>
      <c r="AD43" s="325">
        <v>9</v>
      </c>
      <c r="AE43" s="334">
        <v>19946</v>
      </c>
      <c r="AF43" s="334">
        <v>541</v>
      </c>
      <c r="AG43" s="334">
        <v>724</v>
      </c>
      <c r="AH43" s="334">
        <v>137</v>
      </c>
      <c r="AI43" s="334">
        <v>20</v>
      </c>
      <c r="AJ43" s="335">
        <v>11</v>
      </c>
      <c r="AK43" s="336">
        <v>25</v>
      </c>
      <c r="AL43" s="326">
        <v>1</v>
      </c>
      <c r="AM43" s="327"/>
    </row>
    <row r="44">
      <c r="A44" s="303"/>
      <c r="B44" s="347" t="s">
        <v>238</v>
      </c>
      <c r="C44" s="347"/>
      <c r="D44" s="348">
        <f>SUM(D39:D43)</f>
      </c>
      <c r="E44" s="348">
        <f>SUM(E39:E43)</f>
      </c>
      <c r="F44" s="348">
        <f>SUM(F39:F43)</f>
      </c>
      <c r="I44" s="348">
        <f>SUM(I39:I43)</f>
      </c>
      <c r="J44" s="348">
        <f>SUM(J39:J43)</f>
      </c>
      <c r="K44" s="348">
        <f>SUM(K39:K43)</f>
      </c>
      <c r="L44" s="348">
        <f>SUM(L39:L43)</f>
      </c>
      <c r="M44" s="348">
        <f>SUM(M39:M43)</f>
      </c>
      <c r="N44" s="349">
        <f t="shared" si="330"/>
      </c>
      <c r="O44" s="350">
        <f t="shared" si="256"/>
      </c>
      <c r="P44" s="351">
        <f t="shared" si="194"/>
      </c>
      <c r="Q44" s="352">
        <f t="shared" si="101"/>
      </c>
      <c r="R44" s="353">
        <f t="shared" si="39"/>
      </c>
      <c r="S44" s="354">
        <f t="shared" si="132"/>
      </c>
      <c r="T44" s="354">
        <f t="shared" si="8"/>
      </c>
      <c r="U44" s="353">
        <f t="shared" si="493"/>
      </c>
      <c r="V44" s="354">
        <f t="shared" si="462"/>
      </c>
      <c r="W44" s="354">
        <f t="shared" si="361"/>
      </c>
      <c r="X44" s="355">
        <f t="shared" si="287"/>
      </c>
      <c r="Y44" s="355">
        <f t="shared" si="225"/>
      </c>
      <c r="Z44" s="355">
        <f t="shared" si="163"/>
      </c>
      <c r="AA44" s="356">
        <f t="shared" si="70"/>
      </c>
      <c r="AB44" s="356"/>
      <c r="AC44" s="357"/>
      <c r="AD44" s="347">
        <f>SUM(AD39:AD43)</f>
      </c>
      <c r="AE44" s="347">
        <f>SUM(AE39:AE43)</f>
      </c>
      <c r="AF44" s="347">
        <f>SUM(AF39:AF43)</f>
      </c>
      <c r="AG44" s="347">
        <f>SUM(AG39:AG43)</f>
      </c>
      <c r="AH44" s="347">
        <f>SUM(AH39:AH43)</f>
      </c>
      <c r="AI44" s="347">
        <f>SUM(AI39:AI43)</f>
      </c>
      <c r="AJ44" s="347">
        <f>SUM(AJ39:AJ43)</f>
      </c>
      <c r="AK44" s="347">
        <f>SUM(AK39:AK43)</f>
      </c>
      <c r="AL44" s="347">
        <f>SUM(AL39:AL43)</f>
      </c>
      <c r="AM44" s="327"/>
    </row>
    <row r="45">
      <c r="A45" s="303"/>
      <c r="B45" s="304" t="s">
        <v>239</v>
      </c>
      <c r="C45" s="326" t="s">
        <v>247</v>
      </c>
      <c r="D45" s="334">
        <f t="shared" ref="D45:D46" si="449">E45+F45</f>
      </c>
      <c r="E45" s="326">
        <v>4702.79</v>
      </c>
      <c r="F45" s="326">
        <v>645.28</v>
      </c>
      <c r="I45" s="310">
        <v>5</v>
      </c>
      <c r="J45" s="345">
        <v>9352</v>
      </c>
      <c r="K45" s="310">
        <v>1</v>
      </c>
      <c r="L45" s="310">
        <v>0</v>
      </c>
      <c r="M45" s="310">
        <v>4</v>
      </c>
      <c r="N45" s="311">
        <f t="shared" si="330"/>
      </c>
      <c r="O45" s="312">
        <f t="shared" si="256"/>
      </c>
      <c r="P45" s="358">
        <f t="shared" si="194"/>
      </c>
      <c r="Q45" s="359">
        <f t="shared" si="101"/>
      </c>
      <c r="R45" s="360">
        <f t="shared" si="39"/>
      </c>
      <c r="S45" s="361">
        <f t="shared" si="132"/>
      </c>
      <c r="T45" s="361">
        <f t="shared" si="8"/>
      </c>
      <c r="U45" s="360">
        <f t="shared" si="493"/>
      </c>
      <c r="V45" s="361">
        <f t="shared" si="462"/>
      </c>
      <c r="W45" s="318">
        <f t="shared" si="361"/>
      </c>
      <c r="X45" s="315">
        <f t="shared" si="287"/>
      </c>
      <c r="Y45" s="319">
        <f t="shared" si="225"/>
      </c>
      <c r="Z45" s="362">
        <f t="shared" si="163"/>
      </c>
      <c r="AA45" s="363">
        <f t="shared" si="70"/>
      </c>
      <c r="AB45" s="364" t="s">
        <v>232</v>
      </c>
      <c r="AC45" s="346" t="s">
        <v>233</v>
      </c>
      <c r="AD45" s="309">
        <v>6</v>
      </c>
      <c r="AE45" s="365">
        <v>25967</v>
      </c>
      <c r="AF45" s="365">
        <v>555</v>
      </c>
      <c r="AG45" s="365">
        <v>753</v>
      </c>
      <c r="AH45" s="365">
        <v>157</v>
      </c>
      <c r="AI45" s="365">
        <v>17</v>
      </c>
      <c r="AJ45" s="310">
        <v>10</v>
      </c>
      <c r="AK45" s="310">
        <v>31</v>
      </c>
      <c r="AL45" s="310">
        <v>1</v>
      </c>
      <c r="AM45" s="327"/>
    </row>
    <row r="46">
      <c r="A46" s="303"/>
      <c r="B46" s="304" t="s">
        <v>241</v>
      </c>
      <c r="C46" s="326" t="s">
        <v>247</v>
      </c>
      <c r="D46" s="334">
        <f t="shared" si="449"/>
      </c>
      <c r="E46" s="326">
        <v>7118.68</v>
      </c>
      <c r="F46" s="326">
        <v>1088.26</v>
      </c>
      <c r="I46" s="310">
        <v>6</v>
      </c>
      <c r="J46" s="310">
        <v>12288</v>
      </c>
      <c r="K46" s="310">
        <v>0</v>
      </c>
      <c r="L46" s="310">
        <v>1</v>
      </c>
      <c r="M46" s="310">
        <v>5</v>
      </c>
      <c r="N46" s="311">
        <f t="shared" si="330"/>
      </c>
      <c r="O46" s="312">
        <f t="shared" si="256"/>
      </c>
      <c r="P46" s="358">
        <f t="shared" si="194"/>
      </c>
      <c r="Q46" s="359">
        <f t="shared" si="101"/>
      </c>
      <c r="R46" s="360">
        <f t="shared" si="39"/>
      </c>
      <c r="S46" s="361">
        <f t="shared" si="132"/>
      </c>
      <c r="T46" s="361">
        <f t="shared" si="8"/>
      </c>
      <c r="U46" s="360">
        <f t="shared" si="493"/>
      </c>
      <c r="V46" s="361">
        <f t="shared" si="462"/>
      </c>
      <c r="W46" s="318">
        <f t="shared" si="361"/>
      </c>
      <c r="X46" s="315">
        <f t="shared" si="287"/>
      </c>
      <c r="Y46" s="319">
        <f t="shared" si="225"/>
      </c>
      <c r="Z46" s="362">
        <f t="shared" si="163"/>
      </c>
      <c r="AA46" s="363">
        <f t="shared" si="70"/>
      </c>
      <c r="AB46" s="364" t="s">
        <v>232</v>
      </c>
      <c r="AC46" s="346" t="s">
        <v>233</v>
      </c>
      <c r="AD46" s="309">
        <v>6</v>
      </c>
      <c r="AE46" s="365">
        <v>41266</v>
      </c>
      <c r="AF46" s="365">
        <v>837</v>
      </c>
      <c r="AG46" s="365">
        <v>1118</v>
      </c>
      <c r="AH46" s="365">
        <v>186</v>
      </c>
      <c r="AI46" s="365">
        <v>18</v>
      </c>
      <c r="AJ46" s="310">
        <v>10</v>
      </c>
      <c r="AK46" s="310">
        <v>37</v>
      </c>
      <c r="AL46" s="310">
        <v>1</v>
      </c>
      <c r="AM46" s="327"/>
    </row>
    <row r="47">
      <c r="A47" s="303"/>
      <c r="B47" s="347" t="s">
        <v>238</v>
      </c>
      <c r="C47" s="347"/>
      <c r="D47" s="348">
        <f>SUM(D45:D46)</f>
      </c>
      <c r="E47" s="348">
        <f>SUM(E45:E46)</f>
      </c>
      <c r="F47" s="348">
        <f>SUM(F45:F46)</f>
      </c>
      <c r="I47" s="348">
        <f>SUM(I45:I46)</f>
      </c>
      <c r="J47" s="348">
        <f>SUM(J45:J46)</f>
      </c>
      <c r="K47" s="348">
        <f>SUM(K45:K46)</f>
      </c>
      <c r="L47" s="348">
        <f>SUM(L45:L46)</f>
      </c>
      <c r="M47" s="348">
        <f>SUM(M45:M46)</f>
      </c>
      <c r="N47" s="349">
        <f t="shared" si="330"/>
      </c>
      <c r="O47" s="350">
        <f t="shared" si="256"/>
      </c>
      <c r="P47" s="370">
        <f t="shared" si="194"/>
      </c>
      <c r="Q47" s="352">
        <f t="shared" si="101"/>
      </c>
      <c r="R47" s="353">
        <f t="shared" si="39"/>
      </c>
      <c r="S47" s="354">
        <f t="shared" si="132"/>
      </c>
      <c r="T47" s="354">
        <f t="shared" si="8"/>
      </c>
      <c r="U47" s="353">
        <f t="shared" si="493"/>
      </c>
      <c r="V47" s="354">
        <f t="shared" si="462"/>
      </c>
      <c r="W47" s="354">
        <f t="shared" si="361"/>
      </c>
      <c r="X47" s="355">
        <f t="shared" si="287"/>
      </c>
      <c r="Y47" s="355">
        <f t="shared" si="225"/>
      </c>
      <c r="Z47" s="355">
        <f t="shared" si="163"/>
      </c>
      <c r="AA47" s="356">
        <f t="shared" si="70"/>
      </c>
      <c r="AB47" s="356"/>
      <c r="AC47" s="357"/>
      <c r="AD47" s="347">
        <f>SUM(AD45:AD46)</f>
      </c>
      <c r="AE47" s="347">
        <f>SUM(AE45:AE46)</f>
      </c>
      <c r="AF47" s="347">
        <f>SUM(AF45:AF46)</f>
      </c>
      <c r="AG47" s="347">
        <f>SUM(AG45:AG46)</f>
      </c>
      <c r="AH47" s="347">
        <f>SUM(AH45:AH46)</f>
      </c>
      <c r="AI47" s="347">
        <f>SUM(AI45:AI46)</f>
      </c>
      <c r="AJ47" s="347">
        <f>SUM(AJ45:AJ46)</f>
      </c>
      <c r="AK47" s="347">
        <f>SUM(AK45:AK46)</f>
      </c>
      <c r="AL47" s="347">
        <f>SUM(AL45:AL46)</f>
      </c>
      <c r="AM47" s="327"/>
    </row>
    <row r="48">
      <c r="A48" s="303"/>
      <c r="B48" s="304" t="s">
        <v>242</v>
      </c>
      <c r="C48" s="326" t="s">
        <v>231</v>
      </c>
      <c r="D48" s="334">
        <f t="shared" ref="D48:D52" si="450">E48+F48</f>
      </c>
      <c r="E48" s="334">
        <v>5539.2</v>
      </c>
      <c r="F48" s="334">
        <v>799.55</v>
      </c>
      <c r="I48" s="310">
        <v>0</v>
      </c>
      <c r="J48" s="345">
        <v>0</v>
      </c>
      <c r="K48" s="366">
        <v>0</v>
      </c>
      <c r="L48" s="366">
        <v>0</v>
      </c>
      <c r="M48" s="366">
        <v>0</v>
      </c>
      <c r="N48" s="311">
        <f t="shared" si="330"/>
      </c>
      <c r="O48" s="312">
        <f t="shared" si="256"/>
      </c>
      <c r="P48" s="358">
        <f t="shared" si="194"/>
      </c>
      <c r="Q48" s="359">
        <f t="shared" si="101"/>
      </c>
      <c r="R48" s="360">
        <f t="shared" si="39"/>
      </c>
      <c r="S48" s="361">
        <f t="shared" si="132"/>
      </c>
      <c r="T48" s="361">
        <f t="shared" si="8"/>
      </c>
      <c r="U48" s="360">
        <f t="shared" si="493"/>
      </c>
      <c r="V48" s="361">
        <f t="shared" si="462"/>
      </c>
      <c r="W48" s="318">
        <f t="shared" si="361"/>
      </c>
      <c r="X48" s="315">
        <f t="shared" si="287"/>
      </c>
      <c r="Y48" s="319">
        <f t="shared" si="225"/>
      </c>
      <c r="Z48" s="362">
        <f t="shared" si="163"/>
      </c>
      <c r="AA48" s="363">
        <f t="shared" si="70"/>
      </c>
      <c r="AB48" s="364" t="s">
        <v>232</v>
      </c>
      <c r="AC48" s="346" t="s">
        <v>233</v>
      </c>
      <c r="AD48" s="309">
        <v>0</v>
      </c>
      <c r="AE48" s="310">
        <v>31394</v>
      </c>
      <c r="AF48" s="310">
        <v>661</v>
      </c>
      <c r="AG48" s="310">
        <v>937</v>
      </c>
      <c r="AH48" s="310">
        <v>142</v>
      </c>
      <c r="AI48" s="365">
        <v>22</v>
      </c>
      <c r="AJ48" s="310">
        <v>4</v>
      </c>
      <c r="AK48" s="310">
        <v>17</v>
      </c>
      <c r="AL48" s="310">
        <f t="shared" ref="AL48:AL52" si="318">COUNT(AK48)</f>
      </c>
      <c r="AM48" s="327"/>
    </row>
    <row r="49">
      <c r="A49" s="303"/>
      <c r="B49" s="304" t="s">
        <v>243</v>
      </c>
      <c r="C49" s="326" t="s">
        <v>231</v>
      </c>
      <c r="D49" s="334">
        <f t="shared" si="450"/>
      </c>
      <c r="E49" s="334">
        <v>5777.44</v>
      </c>
      <c r="F49" s="334">
        <v>657.07</v>
      </c>
      <c r="I49" s="310">
        <v>1</v>
      </c>
      <c r="J49" s="345">
        <v>948</v>
      </c>
      <c r="K49" s="366">
        <v>0</v>
      </c>
      <c r="L49" s="366">
        <v>1</v>
      </c>
      <c r="M49" s="367">
        <v>0</v>
      </c>
      <c r="N49" s="311">
        <f t="shared" si="330"/>
      </c>
      <c r="O49" s="312">
        <f t="shared" si="256"/>
      </c>
      <c r="P49" s="368">
        <f t="shared" si="194"/>
      </c>
      <c r="Q49" s="359">
        <f t="shared" si="101"/>
      </c>
      <c r="R49" s="360">
        <f t="shared" si="39"/>
      </c>
      <c r="S49" s="361">
        <f t="shared" si="132"/>
      </c>
      <c r="T49" s="361">
        <f t="shared" si="8"/>
      </c>
      <c r="U49" s="360">
        <f t="shared" si="493"/>
      </c>
      <c r="V49" s="361">
        <f t="shared" si="462"/>
      </c>
      <c r="W49" s="318">
        <f t="shared" si="361"/>
      </c>
      <c r="X49" s="315">
        <f t="shared" si="287"/>
      </c>
      <c r="Y49" s="319">
        <f t="shared" si="225"/>
      </c>
      <c r="Z49" s="362">
        <f t="shared" si="163"/>
      </c>
      <c r="AA49" s="363">
        <f t="shared" si="70"/>
      </c>
      <c r="AB49" s="364" t="s">
        <v>232</v>
      </c>
      <c r="AC49" s="346" t="s">
        <v>244</v>
      </c>
      <c r="AD49" s="309">
        <v>1</v>
      </c>
      <c r="AE49" s="310">
        <v>37171</v>
      </c>
      <c r="AF49" s="310">
        <v>852</v>
      </c>
      <c r="AG49" s="310">
        <v>1152</v>
      </c>
      <c r="AH49" s="310">
        <v>172</v>
      </c>
      <c r="AI49" s="365">
        <v>18</v>
      </c>
      <c r="AJ49" s="310">
        <v>5</v>
      </c>
      <c r="AK49" s="310">
        <v>32</v>
      </c>
      <c r="AL49" s="310">
        <f t="shared" si="318"/>
      </c>
      <c r="AM49" s="327"/>
    </row>
    <row customHeight="true" ht="18.452380952380953" r="50">
      <c r="A50" s="303"/>
      <c r="B50" s="304" t="s">
        <v>245</v>
      </c>
      <c r="C50" s="326" t="s">
        <v>231</v>
      </c>
      <c r="D50" s="334">
        <f t="shared" si="450"/>
      </c>
      <c r="E50" s="334">
        <v>2650.82</v>
      </c>
      <c r="F50" s="334">
        <v>509.85</v>
      </c>
      <c r="I50" s="310">
        <v>2</v>
      </c>
      <c r="J50" s="345">
        <v>3137</v>
      </c>
      <c r="K50" s="366">
        <v>0</v>
      </c>
      <c r="L50" s="366">
        <v>1</v>
      </c>
      <c r="M50" s="367">
        <v>1</v>
      </c>
      <c r="N50" s="311">
        <f t="shared" si="330"/>
      </c>
      <c r="O50" s="312">
        <f t="shared" si="256"/>
      </c>
      <c r="P50" s="358">
        <f t="shared" si="194"/>
      </c>
      <c r="Q50" s="359">
        <f t="shared" si="101"/>
      </c>
      <c r="R50" s="360">
        <f t="shared" si="39"/>
      </c>
      <c r="S50" s="361">
        <f t="shared" si="132"/>
      </c>
      <c r="T50" s="361">
        <f t="shared" si="8"/>
      </c>
      <c r="U50" s="360">
        <f t="shared" si="493"/>
      </c>
      <c r="V50" s="361">
        <f t="shared" si="462"/>
      </c>
      <c r="W50" s="318">
        <f t="shared" si="361"/>
      </c>
      <c r="X50" s="315">
        <f t="shared" si="287"/>
      </c>
      <c r="Y50" s="319">
        <f t="shared" si="225"/>
      </c>
      <c r="Z50" s="362">
        <f t="shared" si="163"/>
      </c>
      <c r="AA50" s="363">
        <f t="shared" si="70"/>
      </c>
      <c r="AB50" s="364" t="s">
        <v>232</v>
      </c>
      <c r="AC50" s="346" t="s">
        <v>244</v>
      </c>
      <c r="AD50" s="309">
        <v>1</v>
      </c>
      <c r="AE50" s="310">
        <v>11798</v>
      </c>
      <c r="AF50" s="310">
        <v>324</v>
      </c>
      <c r="AG50" s="310">
        <v>505</v>
      </c>
      <c r="AH50" s="310">
        <v>78</v>
      </c>
      <c r="AI50" s="365">
        <v>23</v>
      </c>
      <c r="AJ50" s="310">
        <v>3</v>
      </c>
      <c r="AK50" s="310">
        <v>19</v>
      </c>
      <c r="AL50" s="310">
        <f t="shared" si="318"/>
      </c>
      <c r="AM50" s="327"/>
    </row>
    <row customHeight="true" ht="18.452380952380953" r="51">
      <c r="A51" s="303"/>
      <c r="B51" s="325" t="s">
        <v>246</v>
      </c>
      <c r="C51" s="326" t="s">
        <v>231</v>
      </c>
      <c r="D51" s="334">
        <f t="shared" si="450"/>
      </c>
      <c r="E51" s="334">
        <v>2358.46</v>
      </c>
      <c r="F51" s="334">
        <v>428.48</v>
      </c>
      <c r="I51" s="310">
        <v>1</v>
      </c>
      <c r="J51" s="345">
        <v>468</v>
      </c>
      <c r="K51" s="366">
        <v>1</v>
      </c>
      <c r="L51" s="366">
        <v>0</v>
      </c>
      <c r="M51" s="367">
        <v>0</v>
      </c>
      <c r="N51" s="311">
        <f t="shared" si="330"/>
      </c>
      <c r="O51" s="312">
        <f t="shared" si="256"/>
      </c>
      <c r="P51" s="368">
        <f t="shared" si="194"/>
      </c>
      <c r="Q51" s="359">
        <f t="shared" si="101"/>
      </c>
      <c r="R51" s="360">
        <f t="shared" si="39"/>
      </c>
      <c r="S51" s="361">
        <f t="shared" si="132"/>
      </c>
      <c r="T51" s="361">
        <f t="shared" si="8"/>
      </c>
      <c r="U51" s="360">
        <f t="shared" si="493"/>
      </c>
      <c r="V51" s="361">
        <f t="shared" si="462"/>
      </c>
      <c r="W51" s="318">
        <f t="shared" si="361"/>
      </c>
      <c r="X51" s="315">
        <f t="shared" si="287"/>
      </c>
      <c r="Y51" s="319">
        <f t="shared" si="225"/>
      </c>
      <c r="Z51" s="362">
        <f t="shared" si="163"/>
      </c>
      <c r="AA51" s="363">
        <f t="shared" si="70"/>
      </c>
      <c r="AB51" s="364" t="s">
        <v>232</v>
      </c>
      <c r="AC51" s="346" t="s">
        <v>244</v>
      </c>
      <c r="AD51" s="309">
        <v>1</v>
      </c>
      <c r="AE51" s="310">
        <v>10000</v>
      </c>
      <c r="AF51" s="310">
        <v>308</v>
      </c>
      <c r="AG51" s="310">
        <v>487</v>
      </c>
      <c r="AH51" s="310">
        <v>66</v>
      </c>
      <c r="AI51" s="365">
        <v>21</v>
      </c>
      <c r="AJ51" s="310">
        <v>6</v>
      </c>
      <c r="AK51" s="310">
        <v>9</v>
      </c>
      <c r="AL51" s="310">
        <f t="shared" si="318"/>
      </c>
      <c r="AM51" s="327"/>
    </row>
    <row customHeight="true" ht="18.452380952380953" r="52">
      <c r="A52" s="303"/>
      <c r="B52" s="325" t="s">
        <v>248</v>
      </c>
      <c r="C52" s="326" t="s">
        <v>231</v>
      </c>
      <c r="D52" s="334">
        <f t="shared" si="450"/>
      </c>
      <c r="E52" s="334">
        <v>976.71</v>
      </c>
      <c r="F52" s="334">
        <v>383.7</v>
      </c>
      <c r="I52" s="310">
        <v>1</v>
      </c>
      <c r="J52" s="345">
        <v>2080</v>
      </c>
      <c r="K52" s="366">
        <v>0</v>
      </c>
      <c r="L52" s="366">
        <v>0</v>
      </c>
      <c r="M52" s="367">
        <v>1</v>
      </c>
      <c r="N52" s="311">
        <f t="shared" si="330"/>
      </c>
      <c r="O52" s="312">
        <f t="shared" si="256"/>
      </c>
      <c r="P52" s="358">
        <f t="shared" si="194"/>
      </c>
      <c r="Q52" s="359">
        <f t="shared" si="101"/>
      </c>
      <c r="R52" s="360">
        <f t="shared" si="39"/>
      </c>
      <c r="S52" s="361">
        <f t="shared" si="132"/>
      </c>
      <c r="T52" s="361">
        <f t="shared" si="8"/>
      </c>
      <c r="U52" s="360">
        <f t="shared" si="493"/>
      </c>
      <c r="V52" s="361">
        <f t="shared" si="462"/>
      </c>
      <c r="W52" s="318">
        <f t="shared" si="361"/>
      </c>
      <c r="X52" s="315">
        <f t="shared" si="287"/>
      </c>
      <c r="Y52" s="319">
        <f t="shared" si="225"/>
      </c>
      <c r="Z52" s="362">
        <f t="shared" si="163"/>
      </c>
      <c r="AA52" s="363">
        <f t="shared" si="70"/>
      </c>
      <c r="AB52" s="364" t="s">
        <v>232</v>
      </c>
      <c r="AC52" s="346" t="s">
        <v>244</v>
      </c>
      <c r="AD52" s="309">
        <v>1</v>
      </c>
      <c r="AE52" s="310">
        <v>4133</v>
      </c>
      <c r="AF52" s="310">
        <v>127</v>
      </c>
      <c r="AG52" s="310">
        <v>210</v>
      </c>
      <c r="AH52" s="310">
        <v>29</v>
      </c>
      <c r="AI52" s="365">
        <v>12</v>
      </c>
      <c r="AJ52" s="310">
        <v>2</v>
      </c>
      <c r="AK52" s="310">
        <v>5</v>
      </c>
      <c r="AL52" s="310">
        <f t="shared" si="318"/>
      </c>
      <c r="AM52" s="327"/>
    </row>
    <row r="53">
      <c r="A53" s="303"/>
      <c r="B53" s="347" t="s">
        <v>238</v>
      </c>
      <c r="C53" s="347"/>
      <c r="D53" s="348">
        <f>SUM(D48:D52)</f>
      </c>
      <c r="E53" s="348">
        <f>SUM(E48:E52)</f>
      </c>
      <c r="F53" s="348">
        <f>SUM(F48:F52)</f>
      </c>
      <c r="I53" s="348">
        <f>SUM(I48:I52)</f>
      </c>
      <c r="J53" s="348">
        <f>SUM(J48:J52)</f>
      </c>
      <c r="K53" s="348">
        <f>SUM(K48:K52)</f>
      </c>
      <c r="L53" s="348">
        <f>SUM(L48:L52)</f>
      </c>
      <c r="M53" s="348">
        <f>SUM(M48:M52)</f>
      </c>
      <c r="N53" s="349">
        <f t="shared" si="330"/>
      </c>
      <c r="O53" s="350">
        <f t="shared" si="256"/>
      </c>
      <c r="P53" s="370">
        <f t="shared" si="194"/>
      </c>
      <c r="Q53" s="352">
        <f t="shared" si="101"/>
      </c>
      <c r="R53" s="353">
        <f t="shared" si="39"/>
      </c>
      <c r="S53" s="354">
        <f t="shared" si="132"/>
      </c>
      <c r="T53" s="354">
        <f t="shared" si="8"/>
      </c>
      <c r="U53" s="353">
        <f t="shared" si="493"/>
      </c>
      <c r="V53" s="354">
        <f t="shared" si="462"/>
      </c>
      <c r="W53" s="354">
        <f t="shared" si="361"/>
      </c>
      <c r="X53" s="355">
        <f t="shared" si="287"/>
      </c>
      <c r="Y53" s="355">
        <f t="shared" si="225"/>
      </c>
      <c r="Z53" s="355">
        <f t="shared" si="163"/>
      </c>
      <c r="AA53" s="356">
        <f t="shared" si="70"/>
      </c>
      <c r="AB53" s="356"/>
      <c r="AC53" s="356"/>
      <c r="AD53" s="348">
        <f>SUM(AD48:AD52)</f>
      </c>
      <c r="AE53" s="348">
        <f>SUM(AE48:AE52)</f>
      </c>
      <c r="AF53" s="348">
        <f>SUM(AF48:AF52)</f>
      </c>
      <c r="AG53" s="348">
        <f>SUM(AG48:AG52)</f>
      </c>
      <c r="AH53" s="348">
        <f>SUM(AH48:AH52)</f>
      </c>
      <c r="AI53" s="348">
        <f>SUM(AI48:AI52)</f>
      </c>
      <c r="AJ53" s="348">
        <f>SUM(AJ48:AJ52)</f>
      </c>
      <c r="AK53" s="348">
        <f>SUM(AK48:AK52)</f>
      </c>
      <c r="AL53" s="348">
        <f>SUM(AL48:AL52)</f>
      </c>
      <c r="AM53" s="372" t="s">
        <v>249</v>
      </c>
    </row>
    <row r="54">
      <c r="A54" s="303"/>
      <c r="B54" s="373" t="s">
        <v>250</v>
      </c>
      <c r="C54" s="373"/>
      <c r="D54" s="373">
        <f>D44+D47+D53</f>
      </c>
      <c r="E54" s="373">
        <f>E44+E47+E53</f>
      </c>
      <c r="F54" s="373">
        <f>F44+F47+F53</f>
      </c>
      <c r="I54" s="373">
        <f>I44+I47+I53</f>
      </c>
      <c r="J54" s="374">
        <f>J44+J47+J53</f>
      </c>
      <c r="K54" s="374">
        <f>K44+K47+K53</f>
      </c>
      <c r="L54" s="374">
        <f>L44+L47+L53</f>
      </c>
      <c r="M54" s="374">
        <f>M44+M47+M53</f>
      </c>
      <c r="N54" s="375">
        <f t="shared" si="330"/>
      </c>
      <c r="O54" s="376">
        <f t="shared" si="256"/>
      </c>
      <c r="P54" s="377">
        <f t="shared" si="194"/>
      </c>
      <c r="Q54" s="378">
        <f t="shared" si="101"/>
      </c>
      <c r="R54" s="379">
        <f t="shared" si="39"/>
      </c>
      <c r="S54" s="380">
        <f t="shared" si="132"/>
      </c>
      <c r="T54" s="380">
        <f t="shared" si="8"/>
      </c>
      <c r="U54" s="379">
        <f t="shared" si="493"/>
      </c>
      <c r="V54" s="380">
        <f t="shared" si="462"/>
      </c>
      <c r="W54" s="380">
        <f t="shared" si="361"/>
      </c>
      <c r="X54" s="379">
        <f t="shared" si="287"/>
      </c>
      <c r="Y54" s="379">
        <f t="shared" si="225"/>
      </c>
      <c r="Z54" s="379">
        <f t="shared" si="163"/>
      </c>
      <c r="AA54" s="381">
        <f t="shared" si="70"/>
      </c>
      <c r="AB54" s="381"/>
      <c r="AC54" s="381"/>
      <c r="AD54" s="373">
        <f>AD44+AD47+AD53</f>
      </c>
      <c r="AE54" s="373">
        <f>AE44+AE47+AE53</f>
      </c>
      <c r="AF54" s="373">
        <f>AF44+AF47+AF53</f>
      </c>
      <c r="AG54" s="373">
        <f>AG44+AG47+AG53</f>
      </c>
      <c r="AH54" s="373">
        <f>AH44+AH47+AH53</f>
      </c>
      <c r="AI54" s="373">
        <f>AI44+AI47+AI53</f>
      </c>
      <c r="AJ54" s="373">
        <f>AJ44+AJ47+AJ53</f>
      </c>
      <c r="AK54" s="373">
        <f>AK44+AK47+AK53</f>
      </c>
      <c r="AL54" s="373">
        <f>AL44+AL47+AL53</f>
      </c>
      <c r="AM54" s="372"/>
    </row>
    <row r="55">
      <c r="A55" s="282" t="s">
        <v>189</v>
      </c>
      <c r="B55" s="282"/>
      <c r="C55" s="282"/>
      <c r="D55" s="283" t="s">
        <v>190</v>
      </c>
      <c r="E55" s="283"/>
      <c r="F55" s="283"/>
      <c r="I55" s="283"/>
      <c r="J55" s="283"/>
      <c r="K55" s="283"/>
      <c r="L55" s="283"/>
      <c r="M55" s="283"/>
      <c r="N55" s="283"/>
      <c r="O55" s="283"/>
      <c r="P55" s="284" t="s">
        <v>191</v>
      </c>
      <c r="Q55" s="284"/>
      <c r="R55" s="284"/>
      <c r="S55" s="284"/>
      <c r="T55" s="284"/>
      <c r="U55" s="284"/>
      <c r="V55" s="284"/>
      <c r="W55" s="284"/>
      <c r="X55" s="284"/>
      <c r="Y55" s="284"/>
      <c r="Z55" s="284"/>
      <c r="AA55" s="284"/>
      <c r="AB55" s="284"/>
      <c r="AC55" s="284"/>
      <c r="AD55" s="285" t="s">
        <v>192</v>
      </c>
      <c r="AE55" s="285"/>
      <c r="AF55" s="285"/>
      <c r="AG55" s="285"/>
      <c r="AH55" s="285"/>
      <c r="AI55" s="285"/>
      <c r="AJ55" s="285"/>
      <c r="AK55" s="285"/>
      <c r="AL55" s="285"/>
      <c r="AM55" s="286"/>
    </row>
    <row r="56">
      <c r="A56" s="287" t="s">
        <v>193</v>
      </c>
      <c r="B56" s="288" t="s">
        <v>194</v>
      </c>
      <c r="C56" s="288" t="s">
        <v>195</v>
      </c>
      <c r="D56" s="289" t="s">
        <v>196</v>
      </c>
      <c r="E56" s="290" t="s">
        <v>197</v>
      </c>
      <c r="F56" s="291" t="s">
        <v>198</v>
      </c>
      <c r="I56" s="292" t="s">
        <v>199</v>
      </c>
      <c r="J56" s="293" t="s">
        <v>200</v>
      </c>
      <c r="K56" s="294" t="s">
        <v>201</v>
      </c>
      <c r="L56" s="294" t="s">
        <v>202</v>
      </c>
      <c r="M56" s="294" t="s">
        <v>203</v>
      </c>
      <c r="N56" s="295" t="s">
        <v>204</v>
      </c>
      <c r="O56" s="295" t="s">
        <v>205</v>
      </c>
      <c r="P56" s="296" t="s">
        <v>206</v>
      </c>
      <c r="Q56" s="296" t="s">
        <v>207</v>
      </c>
      <c r="R56" s="296" t="s">
        <v>208</v>
      </c>
      <c r="S56" s="297" t="s">
        <v>209</v>
      </c>
      <c r="T56" s="297" t="s">
        <v>210</v>
      </c>
      <c r="U56" s="296" t="s">
        <v>211</v>
      </c>
      <c r="V56" s="297" t="s">
        <v>212</v>
      </c>
      <c r="W56" s="297" t="s">
        <v>213</v>
      </c>
      <c r="X56" s="296" t="s">
        <v>214</v>
      </c>
      <c r="Y56" s="297" t="s">
        <v>215</v>
      </c>
      <c r="Z56" s="296" t="s">
        <v>216</v>
      </c>
      <c r="AA56" s="298" t="s">
        <v>217</v>
      </c>
      <c r="AB56" s="298" t="s">
        <v>218</v>
      </c>
      <c r="AC56" s="299" t="s">
        <v>219</v>
      </c>
      <c r="AD56" s="300" t="s">
        <v>220</v>
      </c>
      <c r="AE56" s="301" t="s">
        <v>221</v>
      </c>
      <c r="AF56" s="301" t="s">
        <v>222</v>
      </c>
      <c r="AG56" s="301" t="s">
        <v>223</v>
      </c>
      <c r="AH56" s="301" t="s">
        <v>224</v>
      </c>
      <c r="AI56" s="301" t="s">
        <v>225</v>
      </c>
      <c r="AJ56" s="302" t="s">
        <v>226</v>
      </c>
      <c r="AK56" s="302" t="s">
        <v>227</v>
      </c>
      <c r="AL56" s="302" t="s">
        <v>228</v>
      </c>
      <c r="AM56" s="327"/>
    </row>
    <row r="57">
      <c r="A57" s="303" t="s">
        <v>253</v>
      </c>
      <c r="B57" s="304" t="s">
        <v>230</v>
      </c>
      <c r="C57" s="305" t="s">
        <v>240</v>
      </c>
      <c r="D57" s="306">
        <f t="shared" ref="D57:D61" si="451">E57+F57</f>
      </c>
      <c r="E57" s="307">
        <v>2780.55</v>
      </c>
      <c r="F57" s="382">
        <v>718.63</v>
      </c>
      <c r="I57" s="307">
        <v>2</v>
      </c>
      <c r="J57" s="328">
        <v>936</v>
      </c>
      <c r="K57" s="309">
        <v>2</v>
      </c>
      <c r="L57" s="310">
        <v>0</v>
      </c>
      <c r="M57" s="310">
        <v>0</v>
      </c>
      <c r="N57" s="311">
        <f t="shared" ref="N57:N72" si="331">J57/D57</f>
      </c>
      <c r="O57" s="312">
        <f t="shared" ref="O57:O72" si="257">J57/(D57+300*AL57)</f>
      </c>
      <c r="P57" s="313">
        <f t="shared" ref="P57:P72" si="195">(D57/AE57)*1000</f>
      </c>
      <c r="Q57" s="314">
        <f t="shared" ref="Q57:Q72" si="102">AF57/AE57</f>
      </c>
      <c r="R57" s="315">
        <f t="shared" ref="R57:R72" si="40">D57/AG57</f>
      </c>
      <c r="S57" s="316">
        <f t="shared" ref="S57:S72" si="133">AH57/AG57</f>
      </c>
      <c r="T57" s="314">
        <f t="shared" ref="T57:T72" si="9">AI57/AG57</f>
      </c>
      <c r="U57" s="317">
        <f t="shared" ref="U57:U72" si="494">D57/AI57</f>
      </c>
      <c r="V57" s="314">
        <f t="shared" ref="V57:V72" si="463">AJ57/AI57</f>
      </c>
      <c r="W57" s="318">
        <f t="shared" ref="W57:W72" si="362">I57/AJ57</f>
      </c>
      <c r="X57" s="315">
        <f t="shared" ref="X57:X72" si="288">D57/I57</f>
      </c>
      <c r="Y57" s="319">
        <f t="shared" ref="Y57:Y72" si="226">J57/I57</f>
      </c>
      <c r="Z57" s="315">
        <f t="shared" ref="Z57:Z72" si="164">D57/AD57</f>
      </c>
      <c r="AA57" s="320">
        <f t="shared" ref="AA57:AA72" si="71">AK57*1000/D57</f>
      </c>
      <c r="AB57" s="321" t="s">
        <v>232</v>
      </c>
      <c r="AC57" s="322" t="s">
        <v>233</v>
      </c>
      <c r="AD57" s="307">
        <v>1</v>
      </c>
      <c r="AE57" s="306">
        <v>9264</v>
      </c>
      <c r="AF57" s="323">
        <v>435</v>
      </c>
      <c r="AG57" s="324">
        <v>598</v>
      </c>
      <c r="AH57" s="325">
        <v>109</v>
      </c>
      <c r="AI57" s="326">
        <v>51</v>
      </c>
      <c r="AJ57" s="325">
        <v>6</v>
      </c>
      <c r="AK57" s="326">
        <v>26</v>
      </c>
      <c r="AL57" s="326">
        <v>1</v>
      </c>
      <c r="AM57" s="327"/>
    </row>
    <row r="58">
      <c r="A58" s="303"/>
      <c r="B58" s="304" t="s">
        <v>234</v>
      </c>
      <c r="C58" s="305" t="s">
        <v>240</v>
      </c>
      <c r="D58" s="306">
        <f t="shared" si="451"/>
      </c>
      <c r="E58" s="307">
        <v>2546.23</v>
      </c>
      <c r="F58" s="307">
        <v>1562.78</v>
      </c>
      <c r="I58" s="383">
        <v>7</v>
      </c>
      <c r="J58" s="329">
        <v>13236</v>
      </c>
      <c r="K58" s="309">
        <v>0</v>
      </c>
      <c r="L58" s="309">
        <v>2</v>
      </c>
      <c r="M58" s="309">
        <v>5</v>
      </c>
      <c r="N58" s="311">
        <f t="shared" si="331"/>
      </c>
      <c r="O58" s="312">
        <f t="shared" si="257"/>
      </c>
      <c r="P58" s="313">
        <f t="shared" si="195"/>
      </c>
      <c r="Q58" s="314">
        <f t="shared" si="102"/>
      </c>
      <c r="R58" s="330">
        <f t="shared" si="40"/>
      </c>
      <c r="S58" s="316">
        <f t="shared" si="133"/>
      </c>
      <c r="T58" s="314">
        <f t="shared" si="9"/>
      </c>
      <c r="U58" s="317">
        <f t="shared" si="494"/>
      </c>
      <c r="V58" s="314">
        <f t="shared" si="463"/>
      </c>
      <c r="W58" s="318">
        <f t="shared" si="362"/>
      </c>
      <c r="X58" s="315">
        <f t="shared" si="288"/>
      </c>
      <c r="Y58" s="319">
        <f t="shared" si="226"/>
      </c>
      <c r="Z58" s="315">
        <f t="shared" si="164"/>
      </c>
      <c r="AA58" s="331">
        <f t="shared" si="71"/>
      </c>
      <c r="AB58" s="332" t="s">
        <v>232</v>
      </c>
      <c r="AC58" s="322" t="s">
        <v>233</v>
      </c>
      <c r="AD58" s="307">
        <v>6</v>
      </c>
      <c r="AE58" s="306">
        <v>8287</v>
      </c>
      <c r="AF58" s="304">
        <v>368</v>
      </c>
      <c r="AG58" s="333">
        <v>520</v>
      </c>
      <c r="AH58" s="334">
        <v>97</v>
      </c>
      <c r="AI58" s="334">
        <v>59</v>
      </c>
      <c r="AJ58" s="335">
        <v>12</v>
      </c>
      <c r="AK58" s="336">
        <v>21</v>
      </c>
      <c r="AL58" s="326">
        <v>1</v>
      </c>
      <c r="AM58" s="327"/>
    </row>
    <row r="59">
      <c r="A59" s="303"/>
      <c r="B59" s="304" t="s">
        <v>235</v>
      </c>
      <c r="C59" s="305" t="s">
        <v>240</v>
      </c>
      <c r="D59" s="306">
        <f t="shared" si="451"/>
      </c>
      <c r="E59" s="307">
        <v>2381.38</v>
      </c>
      <c r="F59" s="307">
        <v>1632</v>
      </c>
      <c r="I59" s="328">
        <v>2</v>
      </c>
      <c r="J59" s="307">
        <v>3216</v>
      </c>
      <c r="K59" s="309">
        <v>0</v>
      </c>
      <c r="L59" s="309">
        <v>1</v>
      </c>
      <c r="M59" s="309">
        <v>1</v>
      </c>
      <c r="N59" s="311">
        <f t="shared" si="331"/>
      </c>
      <c r="O59" s="312">
        <f t="shared" si="257"/>
      </c>
      <c r="P59" s="313">
        <f t="shared" si="195"/>
      </c>
      <c r="Q59" s="316">
        <f t="shared" si="102"/>
      </c>
      <c r="R59" s="315">
        <f t="shared" si="40"/>
      </c>
      <c r="S59" s="318">
        <f t="shared" si="133"/>
      </c>
      <c r="T59" s="337">
        <f t="shared" si="9"/>
      </c>
      <c r="U59" s="338">
        <f t="shared" si="494"/>
      </c>
      <c r="V59" s="337">
        <f t="shared" si="463"/>
      </c>
      <c r="W59" s="318">
        <f t="shared" si="362"/>
      </c>
      <c r="X59" s="315">
        <f t="shared" si="288"/>
      </c>
      <c r="Y59" s="319">
        <f t="shared" si="226"/>
      </c>
      <c r="Z59" s="315">
        <f t="shared" si="164"/>
      </c>
      <c r="AA59" s="331">
        <f t="shared" si="71"/>
      </c>
      <c r="AB59" s="332" t="s">
        <v>232</v>
      </c>
      <c r="AC59" s="322" t="s">
        <v>233</v>
      </c>
      <c r="AD59" s="307">
        <v>2</v>
      </c>
      <c r="AE59" s="306">
        <v>9731</v>
      </c>
      <c r="AF59" s="304">
        <v>328</v>
      </c>
      <c r="AG59" s="334">
        <v>464</v>
      </c>
      <c r="AH59" s="334">
        <v>77</v>
      </c>
      <c r="AI59" s="334">
        <v>33</v>
      </c>
      <c r="AJ59" s="335">
        <v>3</v>
      </c>
      <c r="AK59" s="336">
        <v>18</v>
      </c>
      <c r="AL59" s="326">
        <v>1</v>
      </c>
      <c r="AM59" s="327"/>
    </row>
    <row r="60">
      <c r="A60" s="303"/>
      <c r="B60" s="304" t="s">
        <v>236</v>
      </c>
      <c r="C60" s="305" t="s">
        <v>240</v>
      </c>
      <c r="D60" s="306">
        <f t="shared" si="451"/>
      </c>
      <c r="E60" s="307">
        <v>2370.15</v>
      </c>
      <c r="F60" s="307">
        <v>891.17</v>
      </c>
      <c r="I60" s="335">
        <v>4</v>
      </c>
      <c r="J60" s="335">
        <v>6432</v>
      </c>
      <c r="K60" s="335">
        <v>0</v>
      </c>
      <c r="L60" s="335">
        <v>2</v>
      </c>
      <c r="M60" s="335">
        <v>2</v>
      </c>
      <c r="N60" s="311">
        <f t="shared" si="331"/>
      </c>
      <c r="O60" s="312">
        <f t="shared" si="257"/>
      </c>
      <c r="P60" s="313">
        <f t="shared" si="195"/>
      </c>
      <c r="Q60" s="314">
        <f t="shared" si="102"/>
      </c>
      <c r="R60" s="339">
        <f t="shared" si="40"/>
      </c>
      <c r="S60" s="314">
        <f t="shared" si="133"/>
      </c>
      <c r="T60" s="314">
        <f t="shared" si="9"/>
      </c>
      <c r="U60" s="315">
        <f t="shared" si="494"/>
      </c>
      <c r="V60" s="314">
        <f t="shared" si="463"/>
      </c>
      <c r="W60" s="318">
        <f t="shared" si="362"/>
      </c>
      <c r="X60" s="315">
        <f t="shared" si="288"/>
      </c>
      <c r="Y60" s="319">
        <f t="shared" si="226"/>
      </c>
      <c r="Z60" s="315">
        <f t="shared" si="164"/>
      </c>
      <c r="AA60" s="331">
        <f t="shared" si="71"/>
      </c>
      <c r="AB60" s="340" t="s">
        <v>232</v>
      </c>
      <c r="AC60" s="341" t="s">
        <v>233</v>
      </c>
      <c r="AD60" s="342">
        <v>3</v>
      </c>
      <c r="AE60" s="333">
        <v>9792</v>
      </c>
      <c r="AF60" s="334">
        <v>257</v>
      </c>
      <c r="AG60" s="334">
        <v>394</v>
      </c>
      <c r="AH60" s="334">
        <v>58</v>
      </c>
      <c r="AI60" s="334">
        <v>16</v>
      </c>
      <c r="AJ60" s="335">
        <v>7</v>
      </c>
      <c r="AK60" s="336">
        <v>5</v>
      </c>
      <c r="AL60" s="326">
        <v>1</v>
      </c>
      <c r="AM60" s="327"/>
    </row>
    <row r="61">
      <c r="A61" s="303"/>
      <c r="B61" s="325" t="s">
        <v>237</v>
      </c>
      <c r="C61" s="305" t="s">
        <v>240</v>
      </c>
      <c r="D61" s="343">
        <f t="shared" si="451"/>
      </c>
      <c r="E61" s="344">
        <v>2793.94</v>
      </c>
      <c r="F61" s="344">
        <v>1052.8</v>
      </c>
      <c r="I61" s="310">
        <v>1</v>
      </c>
      <c r="J61" s="345">
        <v>2268</v>
      </c>
      <c r="K61" s="310">
        <v>0</v>
      </c>
      <c r="L61" s="310">
        <v>0</v>
      </c>
      <c r="M61" s="310">
        <v>1</v>
      </c>
      <c r="N61" s="311">
        <f t="shared" si="331"/>
      </c>
      <c r="O61" s="312">
        <f t="shared" si="257"/>
      </c>
      <c r="P61" s="313">
        <f t="shared" si="195"/>
      </c>
      <c r="Q61" s="314">
        <f t="shared" si="102"/>
      </c>
      <c r="R61" s="339">
        <f t="shared" si="40"/>
      </c>
      <c r="S61" s="314">
        <f t="shared" si="133"/>
      </c>
      <c r="T61" s="314">
        <f t="shared" si="9"/>
      </c>
      <c r="U61" s="315">
        <f t="shared" si="494"/>
      </c>
      <c r="V61" s="314">
        <f t="shared" si="463"/>
      </c>
      <c r="W61" s="318">
        <f t="shared" si="362"/>
      </c>
      <c r="X61" s="315">
        <f t="shared" si="288"/>
      </c>
      <c r="Y61" s="319">
        <f t="shared" si="226"/>
      </c>
      <c r="Z61" s="315">
        <f t="shared" si="164"/>
      </c>
      <c r="AA61" s="331">
        <f t="shared" si="71"/>
      </c>
      <c r="AB61" s="340" t="s">
        <v>232</v>
      </c>
      <c r="AC61" s="346" t="s">
        <v>233</v>
      </c>
      <c r="AD61" s="325">
        <v>1</v>
      </c>
      <c r="AE61" s="334">
        <v>12258</v>
      </c>
      <c r="AF61" s="334">
        <v>299</v>
      </c>
      <c r="AG61" s="334">
        <v>438</v>
      </c>
      <c r="AH61" s="334">
        <v>65</v>
      </c>
      <c r="AI61" s="334">
        <v>29</v>
      </c>
      <c r="AJ61" s="335">
        <v>3</v>
      </c>
      <c r="AK61" s="336">
        <v>17</v>
      </c>
      <c r="AL61" s="326">
        <v>1</v>
      </c>
      <c r="AM61" s="327"/>
    </row>
    <row r="62">
      <c r="A62" s="303"/>
      <c r="B62" s="347" t="s">
        <v>238</v>
      </c>
      <c r="C62" s="347"/>
      <c r="D62" s="348">
        <f>SUM(D57:D61)</f>
      </c>
      <c r="E62" s="348">
        <f>SUM(E57:E61)</f>
      </c>
      <c r="F62" s="348">
        <f>SUM(F57:F61)</f>
      </c>
      <c r="I62" s="348">
        <f>SUM(I57:I61)</f>
      </c>
      <c r="J62" s="348">
        <f>SUM(J57:J61)</f>
      </c>
      <c r="K62" s="348">
        <f>SUM(K57:K61)</f>
      </c>
      <c r="L62" s="348">
        <f>SUM(L57:L61)</f>
      </c>
      <c r="M62" s="348">
        <f>SUM(M57:M61)</f>
      </c>
      <c r="N62" s="349">
        <f t="shared" si="331"/>
      </c>
      <c r="O62" s="350">
        <f t="shared" si="257"/>
      </c>
      <c r="P62" s="351">
        <f t="shared" si="195"/>
      </c>
      <c r="Q62" s="352">
        <f t="shared" si="102"/>
      </c>
      <c r="R62" s="353">
        <f t="shared" si="40"/>
      </c>
      <c r="S62" s="354">
        <f t="shared" si="133"/>
      </c>
      <c r="T62" s="354">
        <f t="shared" si="9"/>
      </c>
      <c r="U62" s="353">
        <f t="shared" si="494"/>
      </c>
      <c r="V62" s="354">
        <f t="shared" si="463"/>
      </c>
      <c r="W62" s="354">
        <f t="shared" si="362"/>
      </c>
      <c r="X62" s="355">
        <f t="shared" si="288"/>
      </c>
      <c r="Y62" s="355">
        <f t="shared" si="226"/>
      </c>
      <c r="Z62" s="355">
        <f t="shared" si="164"/>
      </c>
      <c r="AA62" s="356">
        <f t="shared" si="71"/>
      </c>
      <c r="AB62" s="356"/>
      <c r="AC62" s="357"/>
      <c r="AD62" s="347">
        <f>SUM(AD57:AD61)</f>
      </c>
      <c r="AE62" s="347">
        <f>SUM(AE57:AE61)</f>
      </c>
      <c r="AF62" s="347">
        <f>SUM(AF57:AF61)</f>
      </c>
      <c r="AG62" s="347">
        <f>SUM(AG57:AG61)</f>
      </c>
      <c r="AH62" s="347">
        <f>SUM(AH57:AH61)</f>
      </c>
      <c r="AI62" s="347">
        <f>SUM(AI57:AI61)</f>
      </c>
      <c r="AJ62" s="347">
        <f>SUM(AJ57:AJ61)</f>
      </c>
      <c r="AK62" s="347">
        <f>SUM(AK57:AK61)</f>
      </c>
      <c r="AL62" s="347">
        <f>SUM(AL57:AL61)</f>
      </c>
      <c r="AM62" s="327"/>
    </row>
    <row r="63">
      <c r="A63" s="303"/>
      <c r="B63" s="304" t="s">
        <v>239</v>
      </c>
      <c r="C63" s="326" t="s">
        <v>231</v>
      </c>
      <c r="D63" s="334">
        <f t="shared" ref="D63:D66" si="452">E63+F63</f>
      </c>
      <c r="E63" s="326">
        <v>3230.73</v>
      </c>
      <c r="F63" s="326">
        <v>844.34</v>
      </c>
      <c r="I63" s="310">
        <v>4</v>
      </c>
      <c r="J63" s="345">
        <v>7272</v>
      </c>
      <c r="K63" s="310">
        <v>1</v>
      </c>
      <c r="L63" s="310">
        <v>0</v>
      </c>
      <c r="M63" s="310">
        <v>3</v>
      </c>
      <c r="N63" s="311">
        <f t="shared" si="331"/>
      </c>
      <c r="O63" s="312">
        <f t="shared" si="257"/>
      </c>
      <c r="P63" s="358">
        <f t="shared" si="195"/>
      </c>
      <c r="Q63" s="359">
        <f t="shared" si="102"/>
      </c>
      <c r="R63" s="360">
        <f t="shared" si="40"/>
      </c>
      <c r="S63" s="361">
        <f t="shared" si="133"/>
      </c>
      <c r="T63" s="361">
        <f t="shared" si="9"/>
      </c>
      <c r="U63" s="360">
        <f t="shared" si="494"/>
      </c>
      <c r="V63" s="361">
        <f t="shared" si="463"/>
      </c>
      <c r="W63" s="318">
        <f t="shared" si="362"/>
      </c>
      <c r="X63" s="315">
        <f t="shared" si="288"/>
      </c>
      <c r="Y63" s="319">
        <f t="shared" si="226"/>
      </c>
      <c r="Z63" s="362">
        <f t="shared" si="164"/>
      </c>
      <c r="AA63" s="363">
        <f t="shared" si="71"/>
      </c>
      <c r="AB63" s="364" t="s">
        <v>232</v>
      </c>
      <c r="AC63" s="346" t="s">
        <v>233</v>
      </c>
      <c r="AD63" s="309">
        <v>3</v>
      </c>
      <c r="AE63" s="365">
        <v>15385</v>
      </c>
      <c r="AF63" s="365">
        <v>420</v>
      </c>
      <c r="AG63" s="365">
        <v>590</v>
      </c>
      <c r="AH63" s="365">
        <v>104</v>
      </c>
      <c r="AI63" s="365">
        <v>28</v>
      </c>
      <c r="AJ63" s="310">
        <v>5</v>
      </c>
      <c r="AK63" s="310">
        <v>16</v>
      </c>
      <c r="AL63" s="310">
        <v>1</v>
      </c>
      <c r="AM63" s="327"/>
    </row>
    <row r="64">
      <c r="A64" s="303"/>
      <c r="B64" s="304" t="s">
        <v>241</v>
      </c>
      <c r="C64" s="326" t="s">
        <v>231</v>
      </c>
      <c r="D64" s="334">
        <f t="shared" si="452"/>
      </c>
      <c r="E64" s="326">
        <v>2914.75</v>
      </c>
      <c r="F64" s="326">
        <v>813.08</v>
      </c>
      <c r="I64" s="310">
        <v>2</v>
      </c>
      <c r="J64" s="310">
        <v>3216</v>
      </c>
      <c r="K64" s="310">
        <v>0</v>
      </c>
      <c r="L64" s="310">
        <v>1</v>
      </c>
      <c r="M64" s="310">
        <v>1</v>
      </c>
      <c r="N64" s="311">
        <f t="shared" si="331"/>
      </c>
      <c r="O64" s="312">
        <f t="shared" si="257"/>
      </c>
      <c r="P64" s="358">
        <f t="shared" si="195"/>
      </c>
      <c r="Q64" s="359">
        <f t="shared" si="102"/>
      </c>
      <c r="R64" s="360">
        <f t="shared" si="40"/>
      </c>
      <c r="S64" s="361">
        <f t="shared" si="133"/>
      </c>
      <c r="T64" s="361">
        <f t="shared" si="9"/>
      </c>
      <c r="U64" s="360">
        <f t="shared" si="494"/>
      </c>
      <c r="V64" s="361">
        <f t="shared" si="463"/>
      </c>
      <c r="W64" s="318">
        <f t="shared" si="362"/>
      </c>
      <c r="X64" s="315">
        <f t="shared" si="288"/>
      </c>
      <c r="Y64" s="319">
        <f t="shared" si="226"/>
      </c>
      <c r="Z64" s="362">
        <f t="shared" si="164"/>
      </c>
      <c r="AA64" s="363">
        <f t="shared" si="71"/>
      </c>
      <c r="AB64" s="364" t="s">
        <v>232</v>
      </c>
      <c r="AC64" s="346" t="s">
        <v>233</v>
      </c>
      <c r="AD64" s="309">
        <v>2</v>
      </c>
      <c r="AE64" s="365">
        <v>15019</v>
      </c>
      <c r="AF64" s="365">
        <v>376</v>
      </c>
      <c r="AG64" s="365">
        <v>588</v>
      </c>
      <c r="AH64" s="365">
        <v>85</v>
      </c>
      <c r="AI64" s="365">
        <v>25</v>
      </c>
      <c r="AJ64" s="310">
        <v>6</v>
      </c>
      <c r="AK64" s="310">
        <v>23</v>
      </c>
      <c r="AL64" s="310">
        <v>1</v>
      </c>
      <c r="AM64" s="327"/>
    </row>
    <row customHeight="true" ht="18.452380952380953" r="65">
      <c r="A65" s="303"/>
      <c r="B65" s="304" t="s">
        <v>242</v>
      </c>
      <c r="C65" s="326" t="s">
        <v>231</v>
      </c>
      <c r="D65" s="334">
        <f t="shared" si="452"/>
      </c>
      <c r="E65" s="326">
        <v>1854.01</v>
      </c>
      <c r="F65" s="326">
        <v>381.59</v>
      </c>
      <c r="I65" s="310">
        <v>0</v>
      </c>
      <c r="J65" s="310">
        <v>0</v>
      </c>
      <c r="K65" s="310">
        <v>0</v>
      </c>
      <c r="L65" s="310">
        <v>0</v>
      </c>
      <c r="M65" s="310">
        <v>0</v>
      </c>
      <c r="N65" s="311">
        <f t="shared" si="331"/>
      </c>
      <c r="O65" s="312">
        <f t="shared" si="257"/>
      </c>
      <c r="P65" s="358">
        <f t="shared" si="195"/>
      </c>
      <c r="Q65" s="359">
        <f t="shared" si="102"/>
      </c>
      <c r="R65" s="360">
        <f t="shared" si="40"/>
      </c>
      <c r="S65" s="361">
        <f t="shared" si="133"/>
      </c>
      <c r="T65" s="361">
        <f t="shared" si="9"/>
      </c>
      <c r="U65" s="360">
        <f t="shared" si="494"/>
      </c>
      <c r="V65" s="361">
        <f t="shared" si="463"/>
      </c>
      <c r="W65" s="318">
        <f t="shared" si="362"/>
      </c>
      <c r="X65" s="315">
        <f t="shared" si="288"/>
      </c>
      <c r="Y65" s="319">
        <f t="shared" si="226"/>
      </c>
      <c r="Z65" s="362">
        <f t="shared" si="164"/>
      </c>
      <c r="AA65" s="363">
        <f t="shared" si="71"/>
      </c>
      <c r="AB65" s="364" t="s">
        <v>232</v>
      </c>
      <c r="AC65" s="346" t="s">
        <v>233</v>
      </c>
      <c r="AD65" s="309">
        <v>0</v>
      </c>
      <c r="AE65" s="365">
        <v>6560</v>
      </c>
      <c r="AF65" s="365">
        <v>148</v>
      </c>
      <c r="AG65" s="365">
        <v>225</v>
      </c>
      <c r="AH65" s="365">
        <v>35</v>
      </c>
      <c r="AI65" s="365">
        <v>11</v>
      </c>
      <c r="AJ65" s="310">
        <v>0</v>
      </c>
      <c r="AK65" s="310">
        <v>6</v>
      </c>
      <c r="AL65" s="310">
        <v>1</v>
      </c>
      <c r="AM65" s="327"/>
    </row>
    <row customHeight="true" ht="18.452380952380953" r="66">
      <c r="A66" s="303"/>
      <c r="B66" s="304" t="s">
        <v>243</v>
      </c>
      <c r="C66" s="326" t="s">
        <v>231</v>
      </c>
      <c r="D66" s="334">
        <f t="shared" si="452"/>
      </c>
      <c r="E66" s="326">
        <v>2930.62</v>
      </c>
      <c r="F66" s="326">
        <v>673.9</v>
      </c>
      <c r="I66" s="310">
        <v>3</v>
      </c>
      <c r="J66" s="310">
        <v>6804</v>
      </c>
      <c r="K66" s="310">
        <v>0</v>
      </c>
      <c r="L66" s="310">
        <v>0</v>
      </c>
      <c r="M66" s="310">
        <v>1</v>
      </c>
      <c r="N66" s="311">
        <f t="shared" si="331"/>
      </c>
      <c r="O66" s="312">
        <f t="shared" si="257"/>
      </c>
      <c r="P66" s="358">
        <f t="shared" si="195"/>
      </c>
      <c r="Q66" s="359">
        <f t="shared" si="102"/>
      </c>
      <c r="R66" s="360">
        <f t="shared" si="40"/>
      </c>
      <c r="S66" s="361">
        <f t="shared" si="133"/>
      </c>
      <c r="T66" s="361">
        <f t="shared" si="9"/>
      </c>
      <c r="U66" s="360">
        <f t="shared" si="494"/>
      </c>
      <c r="V66" s="361">
        <f t="shared" si="463"/>
      </c>
      <c r="W66" s="318">
        <f t="shared" si="362"/>
      </c>
      <c r="X66" s="315">
        <f t="shared" si="288"/>
      </c>
      <c r="Y66" s="319">
        <f t="shared" si="226"/>
      </c>
      <c r="Z66" s="362">
        <f t="shared" si="164"/>
      </c>
      <c r="AA66" s="363">
        <f t="shared" si="71"/>
      </c>
      <c r="AB66" s="364" t="s">
        <v>232</v>
      </c>
      <c r="AC66" s="346" t="s">
        <v>244</v>
      </c>
      <c r="AD66" s="309">
        <v>1</v>
      </c>
      <c r="AE66" s="365">
        <v>3184</v>
      </c>
      <c r="AF66" s="365">
        <v>134</v>
      </c>
      <c r="AG66" s="365">
        <v>219</v>
      </c>
      <c r="AH66" s="365">
        <v>19</v>
      </c>
      <c r="AI66" s="365">
        <v>10</v>
      </c>
      <c r="AJ66" s="310">
        <v>4</v>
      </c>
      <c r="AK66" s="310">
        <v>8</v>
      </c>
      <c r="AL66" s="310">
        <v>1</v>
      </c>
      <c r="AM66" s="327"/>
    </row>
    <row r="67">
      <c r="A67" s="303"/>
      <c r="B67" s="347" t="s">
        <v>238</v>
      </c>
      <c r="C67" s="347"/>
      <c r="D67" s="348">
        <f>SUM(D63:D66)</f>
      </c>
      <c r="E67" s="348">
        <f>SUM(E63:E66)</f>
      </c>
      <c r="F67" s="348">
        <f>SUM(F63:F66)</f>
      </c>
      <c r="I67" s="348">
        <f>SUM(I63:I66)</f>
      </c>
      <c r="J67" s="348">
        <f>SUM(J63:J66)</f>
      </c>
      <c r="K67" s="348">
        <f>SUM(K63:K66)</f>
      </c>
      <c r="L67" s="348">
        <f>SUM(L63:L66)</f>
      </c>
      <c r="M67" s="348">
        <f>SUM(M63:M66)</f>
      </c>
      <c r="N67" s="349">
        <f t="shared" si="331"/>
      </c>
      <c r="O67" s="350">
        <f t="shared" si="257"/>
      </c>
      <c r="P67" s="370">
        <f t="shared" si="195"/>
      </c>
      <c r="Q67" s="352">
        <f t="shared" si="102"/>
      </c>
      <c r="R67" s="353">
        <f t="shared" si="40"/>
      </c>
      <c r="S67" s="354">
        <f t="shared" si="133"/>
      </c>
      <c r="T67" s="354">
        <f t="shared" si="9"/>
      </c>
      <c r="U67" s="353">
        <f t="shared" si="494"/>
      </c>
      <c r="V67" s="354">
        <f t="shared" si="463"/>
      </c>
      <c r="W67" s="354">
        <f t="shared" si="362"/>
      </c>
      <c r="X67" s="355">
        <f t="shared" si="288"/>
      </c>
      <c r="Y67" s="355">
        <f t="shared" si="226"/>
      </c>
      <c r="Z67" s="355">
        <f t="shared" si="164"/>
      </c>
      <c r="AA67" s="356">
        <f t="shared" si="71"/>
      </c>
      <c r="AB67" s="356"/>
      <c r="AC67" s="357"/>
      <c r="AD67" s="347">
        <f>SUM(AD63:AD66)</f>
      </c>
      <c r="AE67" s="347">
        <f>SUM(AE63:AE66)</f>
      </c>
      <c r="AF67" s="347">
        <f>SUM(AF63:AF66)</f>
      </c>
      <c r="AG67" s="347">
        <f>SUM(AG63:AG66)</f>
      </c>
      <c r="AH67" s="347">
        <f>SUM(AH63:AH66)</f>
      </c>
      <c r="AI67" s="347">
        <f>SUM(AI63:AI66)</f>
      </c>
      <c r="AJ67" s="347">
        <f>SUM(AJ63:AJ66)</f>
      </c>
      <c r="AK67" s="347">
        <f>SUM(AK63:AK66)</f>
      </c>
      <c r="AL67" s="347">
        <f>SUM(AL63:AL66)</f>
      </c>
      <c r="AM67" s="327"/>
    </row>
    <row r="68">
      <c r="A68" s="303"/>
      <c r="B68" s="304" t="s">
        <v>245</v>
      </c>
      <c r="C68" s="326" t="s">
        <v>247</v>
      </c>
      <c r="D68" s="334">
        <f t="shared" ref="D68:D70" si="453">E68+F68</f>
      </c>
      <c r="E68" s="334">
        <v>2248.76</v>
      </c>
      <c r="F68" s="334">
        <v>1037.27</v>
      </c>
      <c r="I68" s="310">
        <v>1</v>
      </c>
      <c r="J68" s="345">
        <v>468</v>
      </c>
      <c r="K68" s="366">
        <v>1</v>
      </c>
      <c r="L68" s="366">
        <v>0</v>
      </c>
      <c r="M68" s="367">
        <v>0</v>
      </c>
      <c r="N68" s="311">
        <f t="shared" si="331"/>
      </c>
      <c r="O68" s="312">
        <f t="shared" si="257"/>
      </c>
      <c r="P68" s="358">
        <f t="shared" si="195"/>
      </c>
      <c r="Q68" s="359">
        <f t="shared" si="102"/>
      </c>
      <c r="R68" s="360">
        <f t="shared" si="40"/>
      </c>
      <c r="S68" s="361">
        <f t="shared" si="133"/>
      </c>
      <c r="T68" s="361">
        <f t="shared" si="9"/>
      </c>
      <c r="U68" s="360">
        <f t="shared" si="494"/>
      </c>
      <c r="V68" s="361">
        <f t="shared" si="463"/>
      </c>
      <c r="W68" s="318">
        <f t="shared" si="362"/>
      </c>
      <c r="X68" s="315">
        <f t="shared" si="288"/>
      </c>
      <c r="Y68" s="319">
        <f t="shared" si="226"/>
      </c>
      <c r="Z68" s="362">
        <f t="shared" si="164"/>
      </c>
      <c r="AA68" s="363">
        <f t="shared" si="71"/>
      </c>
      <c r="AB68" s="364" t="s">
        <v>232</v>
      </c>
      <c r="AC68" s="346" t="s">
        <v>244</v>
      </c>
      <c r="AD68" s="309">
        <v>1</v>
      </c>
      <c r="AE68" s="310">
        <v>13034</v>
      </c>
      <c r="AF68" s="310">
        <v>353</v>
      </c>
      <c r="AG68" s="310">
        <v>655</v>
      </c>
      <c r="AH68" s="310">
        <v>66</v>
      </c>
      <c r="AI68" s="365">
        <v>21</v>
      </c>
      <c r="AJ68" s="310">
        <v>4</v>
      </c>
      <c r="AK68" s="310">
        <v>13</v>
      </c>
      <c r="AL68" s="310">
        <f t="shared" ref="AL68:AL70" si="319">COUNT(AK68)</f>
      </c>
      <c r="AM68" s="327"/>
    </row>
    <row r="69">
      <c r="A69" s="303"/>
      <c r="B69" s="325" t="s">
        <v>246</v>
      </c>
      <c r="C69" s="326" t="s">
        <v>247</v>
      </c>
      <c r="D69" s="334">
        <f t="shared" si="453"/>
      </c>
      <c r="E69" s="334">
        <v>1777.74</v>
      </c>
      <c r="F69" s="334">
        <v>1137.12</v>
      </c>
      <c r="I69" s="310">
        <v>2</v>
      </c>
      <c r="J69" s="345">
        <v>2736</v>
      </c>
      <c r="K69" s="366">
        <v>1</v>
      </c>
      <c r="L69" s="366">
        <v>0</v>
      </c>
      <c r="M69" s="367">
        <v>1</v>
      </c>
      <c r="N69" s="311">
        <f t="shared" si="331"/>
      </c>
      <c r="O69" s="312">
        <f t="shared" si="257"/>
      </c>
      <c r="P69" s="368">
        <f t="shared" si="195"/>
      </c>
      <c r="Q69" s="359">
        <f t="shared" si="102"/>
      </c>
      <c r="R69" s="360">
        <f t="shared" si="40"/>
      </c>
      <c r="S69" s="361">
        <f t="shared" si="133"/>
      </c>
      <c r="T69" s="361">
        <f t="shared" si="9"/>
      </c>
      <c r="U69" s="360">
        <f t="shared" si="494"/>
      </c>
      <c r="V69" s="361">
        <f t="shared" si="463"/>
      </c>
      <c r="W69" s="318">
        <f t="shared" si="362"/>
      </c>
      <c r="X69" s="315">
        <f t="shared" si="288"/>
      </c>
      <c r="Y69" s="319">
        <f t="shared" si="226"/>
      </c>
      <c r="Z69" s="362">
        <f t="shared" si="164"/>
      </c>
      <c r="AA69" s="363">
        <f t="shared" si="71"/>
      </c>
      <c r="AB69" s="364" t="s">
        <v>232</v>
      </c>
      <c r="AC69" s="346" t="s">
        <v>244</v>
      </c>
      <c r="AD69" s="309">
        <v>2</v>
      </c>
      <c r="AE69" s="310">
        <v>11076</v>
      </c>
      <c r="AF69" s="310">
        <v>351</v>
      </c>
      <c r="AG69" s="310">
        <v>645</v>
      </c>
      <c r="AH69" s="310">
        <v>61</v>
      </c>
      <c r="AI69" s="365">
        <v>26</v>
      </c>
      <c r="AJ69" s="310">
        <v>3</v>
      </c>
      <c r="AK69" s="310">
        <v>11</v>
      </c>
      <c r="AL69" s="310">
        <f t="shared" si="319"/>
      </c>
      <c r="AM69" s="327"/>
    </row>
    <row r="70">
      <c r="A70" s="303"/>
      <c r="B70" s="325" t="s">
        <v>248</v>
      </c>
      <c r="C70" s="326" t="s">
        <v>247</v>
      </c>
      <c r="D70" s="334">
        <f t="shared" si="453"/>
      </c>
      <c r="E70" s="334">
        <v>1072.2</v>
      </c>
      <c r="F70" s="334">
        <v>649.23</v>
      </c>
      <c r="I70" s="310">
        <v>0</v>
      </c>
      <c r="J70" s="345">
        <v>0</v>
      </c>
      <c r="K70" s="366">
        <v>0</v>
      </c>
      <c r="L70" s="366">
        <v>0</v>
      </c>
      <c r="M70" s="367">
        <v>0</v>
      </c>
      <c r="N70" s="311">
        <f t="shared" si="331"/>
      </c>
      <c r="O70" s="312">
        <f t="shared" si="257"/>
      </c>
      <c r="P70" s="358">
        <f t="shared" si="195"/>
      </c>
      <c r="Q70" s="359">
        <f t="shared" si="102"/>
      </c>
      <c r="R70" s="360">
        <f t="shared" si="40"/>
      </c>
      <c r="S70" s="361">
        <f t="shared" si="133"/>
      </c>
      <c r="T70" s="361">
        <f t="shared" si="9"/>
      </c>
      <c r="U70" s="360">
        <f t="shared" si="494"/>
      </c>
      <c r="V70" s="361">
        <f t="shared" si="463"/>
      </c>
      <c r="W70" s="318">
        <f t="shared" si="362"/>
      </c>
      <c r="X70" s="315">
        <f t="shared" si="288"/>
      </c>
      <c r="Y70" s="319">
        <f t="shared" si="226"/>
      </c>
      <c r="Z70" s="362">
        <f t="shared" si="164"/>
      </c>
      <c r="AA70" s="363">
        <f t="shared" si="71"/>
      </c>
      <c r="AB70" s="364" t="s">
        <v>232</v>
      </c>
      <c r="AC70" s="346" t="s">
        <v>244</v>
      </c>
      <c r="AD70" s="309">
        <v>0</v>
      </c>
      <c r="AE70" s="310">
        <v>6686</v>
      </c>
      <c r="AF70" s="310">
        <v>228</v>
      </c>
      <c r="AG70" s="310">
        <v>352</v>
      </c>
      <c r="AH70" s="310">
        <v>35</v>
      </c>
      <c r="AI70" s="365">
        <v>15</v>
      </c>
      <c r="AJ70" s="310">
        <v>0</v>
      </c>
      <c r="AK70" s="310">
        <v>6</v>
      </c>
      <c r="AL70" s="310">
        <f t="shared" si="319"/>
      </c>
      <c r="AM70" s="327"/>
    </row>
    <row r="71">
      <c r="A71" s="303"/>
      <c r="B71" s="347" t="s">
        <v>238</v>
      </c>
      <c r="C71" s="347"/>
      <c r="D71" s="348">
        <f>SUM(D68:D70)</f>
      </c>
      <c r="E71" s="348">
        <f>SUM(E68:E70)</f>
      </c>
      <c r="F71" s="348">
        <f>SUM(F68:F70)</f>
      </c>
      <c r="I71" s="348">
        <f>SUM(I68:I70)</f>
      </c>
      <c r="J71" s="348">
        <f>SUM(J68:J70)</f>
      </c>
      <c r="K71" s="348">
        <f>SUM(K68:K70)</f>
      </c>
      <c r="L71" s="348">
        <f>SUM(L68:L70)</f>
      </c>
      <c r="M71" s="348">
        <f>SUM(M68:M70)</f>
      </c>
      <c r="N71" s="349">
        <f t="shared" si="331"/>
      </c>
      <c r="O71" s="350">
        <f t="shared" si="257"/>
      </c>
      <c r="P71" s="370">
        <f t="shared" si="195"/>
      </c>
      <c r="Q71" s="352">
        <f t="shared" si="102"/>
      </c>
      <c r="R71" s="353">
        <f t="shared" si="40"/>
      </c>
      <c r="S71" s="354">
        <f t="shared" si="133"/>
      </c>
      <c r="T71" s="354">
        <f t="shared" si="9"/>
      </c>
      <c r="U71" s="353">
        <f t="shared" si="494"/>
      </c>
      <c r="V71" s="354">
        <f t="shared" si="463"/>
      </c>
      <c r="W71" s="354">
        <f t="shared" si="362"/>
      </c>
      <c r="X71" s="355">
        <f t="shared" si="288"/>
      </c>
      <c r="Y71" s="355">
        <f t="shared" si="226"/>
      </c>
      <c r="Z71" s="355">
        <f t="shared" si="164"/>
      </c>
      <c r="AA71" s="356">
        <f t="shared" si="71"/>
      </c>
      <c r="AB71" s="356"/>
      <c r="AC71" s="356"/>
      <c r="AD71" s="348">
        <f>SUM(AD68:AD70)</f>
      </c>
      <c r="AE71" s="348">
        <f>SUM(AE68:AE70)</f>
      </c>
      <c r="AF71" s="348">
        <f>SUM(AF68:AF70)</f>
      </c>
      <c r="AG71" s="348">
        <f>SUM(AG68:AG70)</f>
      </c>
      <c r="AH71" s="348">
        <f>SUM(AH68:AH70)</f>
      </c>
      <c r="AI71" s="348">
        <f>SUM(AI68:AI70)</f>
      </c>
      <c r="AJ71" s="348">
        <f>SUM(AJ68:AJ70)</f>
      </c>
      <c r="AK71" s="348">
        <f>SUM(AK68:AK70)</f>
      </c>
      <c r="AL71" s="348">
        <f>SUM(AL68:AL70)</f>
      </c>
      <c r="AM71" s="372" t="s">
        <v>249</v>
      </c>
    </row>
    <row r="72">
      <c r="A72" s="303"/>
      <c r="B72" s="373" t="s">
        <v>250</v>
      </c>
      <c r="C72" s="373"/>
      <c r="D72" s="373">
        <f>D62+D67+D71</f>
      </c>
      <c r="E72" s="373">
        <f>E62+E67+E71</f>
      </c>
      <c r="F72" s="373">
        <f>F62+F67+F71</f>
      </c>
      <c r="I72" s="373">
        <f>I62+I67+I71</f>
      </c>
      <c r="J72" s="374">
        <f>J62+J67+J71</f>
      </c>
      <c r="K72" s="374">
        <f>K62+K67+K71</f>
      </c>
      <c r="L72" s="374">
        <f>L62+L67+L71</f>
      </c>
      <c r="M72" s="374">
        <f>M62+M67+M71</f>
      </c>
      <c r="N72" s="375">
        <f t="shared" si="331"/>
      </c>
      <c r="O72" s="376">
        <f t="shared" si="257"/>
      </c>
      <c r="P72" s="377">
        <f t="shared" si="195"/>
      </c>
      <c r="Q72" s="378">
        <f t="shared" si="102"/>
      </c>
      <c r="R72" s="379">
        <f t="shared" si="40"/>
      </c>
      <c r="S72" s="380">
        <f t="shared" si="133"/>
      </c>
      <c r="T72" s="380">
        <f t="shared" si="9"/>
      </c>
      <c r="U72" s="379">
        <f t="shared" si="494"/>
      </c>
      <c r="V72" s="380">
        <f t="shared" si="463"/>
      </c>
      <c r="W72" s="380">
        <f t="shared" si="362"/>
      </c>
      <c r="X72" s="379">
        <f t="shared" si="288"/>
      </c>
      <c r="Y72" s="379">
        <f t="shared" si="226"/>
      </c>
      <c r="Z72" s="379">
        <f t="shared" si="164"/>
      </c>
      <c r="AA72" s="381">
        <f t="shared" si="71"/>
      </c>
      <c r="AB72" s="381"/>
      <c r="AC72" s="381"/>
      <c r="AD72" s="373">
        <f>AD62+AD67+AD71</f>
      </c>
      <c r="AE72" s="373">
        <f>AE62+AE67+AE71</f>
      </c>
      <c r="AF72" s="373">
        <f>AF62+AF67+AF71</f>
      </c>
      <c r="AG72" s="373">
        <f>AG62+AG67+AG71</f>
      </c>
      <c r="AH72" s="373">
        <f>AH62+AH67+AH71</f>
      </c>
      <c r="AI72" s="373">
        <f>AI62+AI67+AI71</f>
      </c>
      <c r="AJ72" s="373">
        <f>AJ62+AJ67+AJ71</f>
      </c>
      <c r="AK72" s="373">
        <f>AK62+AK67+AK71</f>
      </c>
      <c r="AL72" s="373">
        <f>AL62+AL67+AL71</f>
      </c>
      <c r="AM72" s="372"/>
    </row>
    <row r="73">
      <c r="A73" s="282" t="s">
        <v>189</v>
      </c>
      <c r="B73" s="282"/>
      <c r="C73" s="282"/>
      <c r="D73" s="283" t="s">
        <v>190</v>
      </c>
      <c r="E73" s="283"/>
      <c r="F73" s="283"/>
      <c r="I73" s="283"/>
      <c r="J73" s="283"/>
      <c r="K73" s="283"/>
      <c r="L73" s="283"/>
      <c r="M73" s="283"/>
      <c r="N73" s="283"/>
      <c r="O73" s="283"/>
      <c r="P73" s="284" t="s">
        <v>191</v>
      </c>
      <c r="Q73" s="284"/>
      <c r="R73" s="284"/>
      <c r="S73" s="284"/>
      <c r="T73" s="284"/>
      <c r="U73" s="284"/>
      <c r="V73" s="284"/>
      <c r="W73" s="284"/>
      <c r="X73" s="284"/>
      <c r="Y73" s="284"/>
      <c r="Z73" s="284"/>
      <c r="AA73" s="284"/>
      <c r="AB73" s="284"/>
      <c r="AC73" s="284"/>
      <c r="AD73" s="285" t="s">
        <v>192</v>
      </c>
      <c r="AE73" s="285"/>
      <c r="AF73" s="285"/>
      <c r="AG73" s="285"/>
      <c r="AH73" s="285"/>
      <c r="AI73" s="285"/>
      <c r="AJ73" s="285"/>
      <c r="AK73" s="285"/>
      <c r="AL73" s="285"/>
      <c r="AM73" s="286"/>
    </row>
    <row r="74">
      <c r="A74" s="287" t="s">
        <v>193</v>
      </c>
      <c r="B74" s="288" t="s">
        <v>194</v>
      </c>
      <c r="C74" s="288" t="s">
        <v>195</v>
      </c>
      <c r="D74" s="289" t="s">
        <v>196</v>
      </c>
      <c r="E74" s="290" t="s">
        <v>197</v>
      </c>
      <c r="F74" s="291" t="s">
        <v>198</v>
      </c>
      <c r="I74" s="292" t="s">
        <v>199</v>
      </c>
      <c r="J74" s="293" t="s">
        <v>200</v>
      </c>
      <c r="K74" s="294" t="s">
        <v>201</v>
      </c>
      <c r="L74" s="294" t="s">
        <v>202</v>
      </c>
      <c r="M74" s="294" t="s">
        <v>203</v>
      </c>
      <c r="N74" s="295" t="s">
        <v>204</v>
      </c>
      <c r="O74" s="295" t="s">
        <v>205</v>
      </c>
      <c r="P74" s="296" t="s">
        <v>206</v>
      </c>
      <c r="Q74" s="296" t="s">
        <v>207</v>
      </c>
      <c r="R74" s="296" t="s">
        <v>208</v>
      </c>
      <c r="S74" s="297" t="s">
        <v>209</v>
      </c>
      <c r="T74" s="297" t="s">
        <v>210</v>
      </c>
      <c r="U74" s="296" t="s">
        <v>211</v>
      </c>
      <c r="V74" s="297" t="s">
        <v>212</v>
      </c>
      <c r="W74" s="297" t="s">
        <v>213</v>
      </c>
      <c r="X74" s="296" t="s">
        <v>214</v>
      </c>
      <c r="Y74" s="297" t="s">
        <v>215</v>
      </c>
      <c r="Z74" s="296" t="s">
        <v>216</v>
      </c>
      <c r="AA74" s="298" t="s">
        <v>217</v>
      </c>
      <c r="AB74" s="298" t="s">
        <v>218</v>
      </c>
      <c r="AC74" s="299" t="s">
        <v>219</v>
      </c>
      <c r="AD74" s="300" t="s">
        <v>220</v>
      </c>
      <c r="AE74" s="301" t="s">
        <v>221</v>
      </c>
      <c r="AF74" s="301" t="s">
        <v>222</v>
      </c>
      <c r="AG74" s="301" t="s">
        <v>223</v>
      </c>
      <c r="AH74" s="301" t="s">
        <v>224</v>
      </c>
      <c r="AI74" s="301" t="s">
        <v>225</v>
      </c>
      <c r="AJ74" s="302" t="s">
        <v>226</v>
      </c>
      <c r="AK74" s="302" t="s">
        <v>227</v>
      </c>
      <c r="AL74" s="302" t="s">
        <v>228</v>
      </c>
      <c r="AM74" s="327"/>
    </row>
    <row r="75">
      <c r="A75" s="303" t="s">
        <v>254</v>
      </c>
      <c r="B75" s="304" t="s">
        <v>230</v>
      </c>
      <c r="C75" s="305" t="s">
        <v>240</v>
      </c>
      <c r="D75" s="306">
        <f t="shared" ref="D75:D79" si="454">E75+F75</f>
      </c>
      <c r="E75" s="307">
        <v>2559.05</v>
      </c>
      <c r="F75" s="382">
        <v>1079.77</v>
      </c>
      <c r="I75" s="307">
        <v>3</v>
      </c>
      <c r="J75" s="328">
        <v>6804</v>
      </c>
      <c r="K75" s="309">
        <v>0</v>
      </c>
      <c r="L75" s="310">
        <v>0</v>
      </c>
      <c r="M75" s="310">
        <v>3</v>
      </c>
      <c r="N75" s="311">
        <f t="shared" ref="N75:N90" si="332">J75/D75</f>
      </c>
      <c r="O75" s="312">
        <f t="shared" ref="O75:O90" si="258">J75/(D75+300*AL75)</f>
      </c>
      <c r="P75" s="313">
        <f t="shared" ref="P75:P90" si="196">(D75/AE75)*1000</f>
      </c>
      <c r="Q75" s="314">
        <f t="shared" ref="Q75:Q90" si="103">AF75/AE75</f>
      </c>
      <c r="R75" s="315">
        <f t="shared" ref="R75:R90" si="41">D75/AG75</f>
      </c>
      <c r="S75" s="316">
        <f t="shared" ref="S75:S90" si="134">AH75/AG75</f>
      </c>
      <c r="T75" s="314">
        <f t="shared" ref="T75:T90" si="10">AI75/AG75</f>
      </c>
      <c r="U75" s="317">
        <f t="shared" ref="U75:U90" si="495">D75/AI75</f>
      </c>
      <c r="V75" s="314">
        <f t="shared" ref="V75:V90" si="464">AJ75/AI75</f>
      </c>
      <c r="W75" s="318">
        <f t="shared" ref="W75:W90" si="363">I75/AJ75</f>
      </c>
      <c r="X75" s="315">
        <f t="shared" ref="X75:X90" si="289">D75/I75</f>
      </c>
      <c r="Y75" s="319">
        <f t="shared" ref="Y75:Y90" si="227">J75/I75</f>
      </c>
      <c r="Z75" s="315">
        <f t="shared" ref="Z75:Z90" si="165">D75/AD75</f>
      </c>
      <c r="AA75" s="320">
        <f t="shared" ref="AA75:AA90" si="72">AK75*1000/D75</f>
      </c>
      <c r="AB75" s="321" t="s">
        <v>232</v>
      </c>
      <c r="AC75" s="322" t="s">
        <v>233</v>
      </c>
      <c r="AD75" s="307">
        <v>3</v>
      </c>
      <c r="AE75" s="306">
        <v>10764</v>
      </c>
      <c r="AF75" s="323">
        <v>471</v>
      </c>
      <c r="AG75" s="324">
        <v>682</v>
      </c>
      <c r="AH75" s="325">
        <v>92</v>
      </c>
      <c r="AI75" s="326">
        <v>36</v>
      </c>
      <c r="AJ75" s="325">
        <v>6</v>
      </c>
      <c r="AK75" s="326">
        <v>22</v>
      </c>
      <c r="AL75" s="326">
        <v>1</v>
      </c>
      <c r="AM75" s="327"/>
    </row>
    <row r="76">
      <c r="A76" s="303"/>
      <c r="B76" s="304" t="s">
        <v>234</v>
      </c>
      <c r="C76" s="305" t="s">
        <v>240</v>
      </c>
      <c r="D76" s="306">
        <f t="shared" si="454"/>
      </c>
      <c r="E76" s="307">
        <v>1594.75</v>
      </c>
      <c r="F76" s="307">
        <v>973.64</v>
      </c>
      <c r="I76" s="383">
        <v>0</v>
      </c>
      <c r="J76" s="383">
        <v>0</v>
      </c>
      <c r="K76" s="383">
        <v>0</v>
      </c>
      <c r="L76" s="383">
        <v>0</v>
      </c>
      <c r="M76" s="383">
        <v>0</v>
      </c>
      <c r="N76" s="311">
        <f t="shared" si="332"/>
      </c>
      <c r="O76" s="312">
        <f t="shared" si="258"/>
      </c>
      <c r="P76" s="313">
        <f t="shared" si="196"/>
      </c>
      <c r="Q76" s="314">
        <f t="shared" si="103"/>
      </c>
      <c r="R76" s="330">
        <f t="shared" si="41"/>
      </c>
      <c r="S76" s="316">
        <f t="shared" si="134"/>
      </c>
      <c r="T76" s="314">
        <f t="shared" si="10"/>
      </c>
      <c r="U76" s="317">
        <f t="shared" si="495"/>
      </c>
      <c r="V76" s="314">
        <f t="shared" si="464"/>
      </c>
      <c r="W76" s="318">
        <f t="shared" si="363"/>
      </c>
      <c r="X76" s="315">
        <f t="shared" si="289"/>
      </c>
      <c r="Y76" s="319">
        <f t="shared" si="227"/>
      </c>
      <c r="Z76" s="315">
        <f t="shared" si="165"/>
      </c>
      <c r="AA76" s="331">
        <f t="shared" si="72"/>
      </c>
      <c r="AB76" s="332" t="s">
        <v>232</v>
      </c>
      <c r="AC76" s="322" t="s">
        <v>233</v>
      </c>
      <c r="AD76" s="307">
        <v>0</v>
      </c>
      <c r="AE76" s="306">
        <v>7066</v>
      </c>
      <c r="AF76" s="304">
        <v>307</v>
      </c>
      <c r="AG76" s="333">
        <v>492</v>
      </c>
      <c r="AH76" s="334">
        <v>70</v>
      </c>
      <c r="AI76" s="334">
        <v>39</v>
      </c>
      <c r="AJ76" s="335">
        <v>2</v>
      </c>
      <c r="AK76" s="336">
        <v>13</v>
      </c>
      <c r="AL76" s="326">
        <v>1</v>
      </c>
      <c r="AM76" s="327"/>
    </row>
    <row r="77">
      <c r="A77" s="303"/>
      <c r="B77" s="304" t="s">
        <v>235</v>
      </c>
      <c r="C77" s="305" t="s">
        <v>240</v>
      </c>
      <c r="D77" s="306">
        <f t="shared" si="454"/>
      </c>
      <c r="E77" s="307">
        <v>1824.28</v>
      </c>
      <c r="F77" s="307">
        <v>979.75</v>
      </c>
      <c r="I77" s="328">
        <v>0</v>
      </c>
      <c r="J77" s="328">
        <v>0</v>
      </c>
      <c r="K77" s="328">
        <v>0</v>
      </c>
      <c r="L77" s="328">
        <v>0</v>
      </c>
      <c r="M77" s="328">
        <v>0</v>
      </c>
      <c r="N77" s="311">
        <f t="shared" si="332"/>
      </c>
      <c r="O77" s="312">
        <f t="shared" si="258"/>
      </c>
      <c r="P77" s="313">
        <f t="shared" si="196"/>
      </c>
      <c r="Q77" s="316">
        <f t="shared" si="103"/>
      </c>
      <c r="R77" s="315">
        <f t="shared" si="41"/>
      </c>
      <c r="S77" s="318">
        <f t="shared" si="134"/>
      </c>
      <c r="T77" s="337">
        <f t="shared" si="10"/>
      </c>
      <c r="U77" s="338">
        <f t="shared" si="495"/>
      </c>
      <c r="V77" s="337">
        <f t="shared" si="464"/>
      </c>
      <c r="W77" s="318">
        <f t="shared" si="363"/>
      </c>
      <c r="X77" s="315">
        <f t="shared" si="289"/>
      </c>
      <c r="Y77" s="319">
        <f t="shared" si="227"/>
      </c>
      <c r="Z77" s="315">
        <f t="shared" si="165"/>
      </c>
      <c r="AA77" s="331">
        <f t="shared" si="72"/>
      </c>
      <c r="AB77" s="332" t="s">
        <v>232</v>
      </c>
      <c r="AC77" s="322" t="s">
        <v>233</v>
      </c>
      <c r="AD77" s="307">
        <v>0</v>
      </c>
      <c r="AE77" s="306">
        <v>8325</v>
      </c>
      <c r="AF77" s="304">
        <v>302</v>
      </c>
      <c r="AG77" s="334">
        <v>442</v>
      </c>
      <c r="AH77" s="334">
        <v>71</v>
      </c>
      <c r="AI77" s="334">
        <v>16</v>
      </c>
      <c r="AJ77" s="335">
        <v>1</v>
      </c>
      <c r="AK77" s="336">
        <v>20</v>
      </c>
      <c r="AL77" s="326">
        <v>1</v>
      </c>
      <c r="AM77" s="327"/>
    </row>
    <row r="78">
      <c r="A78" s="303"/>
      <c r="B78" s="304" t="s">
        <v>236</v>
      </c>
      <c r="C78" s="305" t="s">
        <v>240</v>
      </c>
      <c r="D78" s="306">
        <f t="shared" si="454"/>
      </c>
      <c r="E78" s="307">
        <v>1180.89</v>
      </c>
      <c r="F78" s="307">
        <v>969.11</v>
      </c>
      <c r="I78" s="335">
        <v>2</v>
      </c>
      <c r="J78" s="335">
        <v>2736</v>
      </c>
      <c r="K78" s="335">
        <v>1</v>
      </c>
      <c r="L78" s="335">
        <v>0</v>
      </c>
      <c r="M78" s="335">
        <v>1</v>
      </c>
      <c r="N78" s="311">
        <f t="shared" si="332"/>
      </c>
      <c r="O78" s="312">
        <f t="shared" si="258"/>
      </c>
      <c r="P78" s="313">
        <f t="shared" si="196"/>
      </c>
      <c r="Q78" s="314">
        <f t="shared" si="103"/>
      </c>
      <c r="R78" s="339">
        <f t="shared" si="41"/>
      </c>
      <c r="S78" s="314">
        <f t="shared" si="134"/>
      </c>
      <c r="T78" s="314">
        <f t="shared" si="10"/>
      </c>
      <c r="U78" s="315">
        <f t="shared" si="495"/>
      </c>
      <c r="V78" s="314">
        <f t="shared" si="464"/>
      </c>
      <c r="W78" s="318">
        <f t="shared" si="363"/>
      </c>
      <c r="X78" s="315">
        <f t="shared" si="289"/>
      </c>
      <c r="Y78" s="319">
        <f t="shared" si="227"/>
      </c>
      <c r="Z78" s="315">
        <f t="shared" si="165"/>
      </c>
      <c r="AA78" s="331">
        <f t="shared" si="72"/>
      </c>
      <c r="AB78" s="340" t="s">
        <v>232</v>
      </c>
      <c r="AC78" s="341" t="s">
        <v>233</v>
      </c>
      <c r="AD78" s="342">
        <v>2</v>
      </c>
      <c r="AE78" s="333">
        <v>5626</v>
      </c>
      <c r="AF78" s="334">
        <v>225</v>
      </c>
      <c r="AG78" s="334">
        <v>402</v>
      </c>
      <c r="AH78" s="334">
        <v>43</v>
      </c>
      <c r="AI78" s="334">
        <v>14</v>
      </c>
      <c r="AJ78" s="335">
        <v>2</v>
      </c>
      <c r="AK78" s="336">
        <v>6</v>
      </c>
      <c r="AL78" s="326">
        <v>1</v>
      </c>
      <c r="AM78" s="327"/>
    </row>
    <row r="79">
      <c r="A79" s="303"/>
      <c r="B79" s="325" t="s">
        <v>237</v>
      </c>
      <c r="C79" s="305" t="s">
        <v>240</v>
      </c>
      <c r="D79" s="343">
        <f t="shared" si="454"/>
      </c>
      <c r="E79" s="344">
        <v>1554.85</v>
      </c>
      <c r="F79" s="344">
        <v>876.57</v>
      </c>
      <c r="I79" s="310">
        <v>2</v>
      </c>
      <c r="J79" s="345">
        <v>3216</v>
      </c>
      <c r="K79" s="310">
        <v>0</v>
      </c>
      <c r="L79" s="310">
        <v>1</v>
      </c>
      <c r="M79" s="310">
        <v>1</v>
      </c>
      <c r="N79" s="311">
        <f t="shared" si="332"/>
      </c>
      <c r="O79" s="312">
        <f t="shared" si="258"/>
      </c>
      <c r="P79" s="313">
        <f t="shared" si="196"/>
      </c>
      <c r="Q79" s="314">
        <f t="shared" si="103"/>
      </c>
      <c r="R79" s="339">
        <f t="shared" si="41"/>
      </c>
      <c r="S79" s="314">
        <f t="shared" si="134"/>
      </c>
      <c r="T79" s="314">
        <f t="shared" si="10"/>
      </c>
      <c r="U79" s="315">
        <f t="shared" si="495"/>
      </c>
      <c r="V79" s="314">
        <f t="shared" si="464"/>
      </c>
      <c r="W79" s="318">
        <f t="shared" si="363"/>
      </c>
      <c r="X79" s="315">
        <f t="shared" si="289"/>
      </c>
      <c r="Y79" s="319">
        <f t="shared" si="227"/>
      </c>
      <c r="Z79" s="315">
        <f t="shared" si="165"/>
      </c>
      <c r="AA79" s="331">
        <f t="shared" si="72"/>
      </c>
      <c r="AB79" s="340" t="s">
        <v>232</v>
      </c>
      <c r="AC79" s="346" t="s">
        <v>233</v>
      </c>
      <c r="AD79" s="325">
        <v>1</v>
      </c>
      <c r="AE79" s="334">
        <v>6689</v>
      </c>
      <c r="AF79" s="334">
        <v>282</v>
      </c>
      <c r="AG79" s="334">
        <v>424</v>
      </c>
      <c r="AH79" s="334">
        <v>58</v>
      </c>
      <c r="AI79" s="334">
        <v>17</v>
      </c>
      <c r="AJ79" s="335">
        <v>4</v>
      </c>
      <c r="AK79" s="336">
        <v>14</v>
      </c>
      <c r="AL79" s="326">
        <v>1</v>
      </c>
      <c r="AM79" s="327"/>
    </row>
    <row r="80">
      <c r="A80" s="303"/>
      <c r="B80" s="347" t="s">
        <v>238</v>
      </c>
      <c r="C80" s="347"/>
      <c r="D80" s="348">
        <f>SUM(D75:D79)</f>
      </c>
      <c r="E80" s="348">
        <f>SUM(E75:E79)</f>
      </c>
      <c r="F80" s="348">
        <f>SUM(F75:F79)</f>
      </c>
      <c r="I80" s="348">
        <f>SUM(I75:I79)</f>
      </c>
      <c r="J80" s="348">
        <f>SUM(J75:J79)</f>
      </c>
      <c r="K80" s="348">
        <f>SUM(K75:K79)</f>
      </c>
      <c r="L80" s="348">
        <f>SUM(L75:L79)</f>
      </c>
      <c r="M80" s="348">
        <f>SUM(M75:M79)</f>
      </c>
      <c r="N80" s="349">
        <f t="shared" si="332"/>
      </c>
      <c r="O80" s="350">
        <f t="shared" si="258"/>
      </c>
      <c r="P80" s="351">
        <f t="shared" si="196"/>
      </c>
      <c r="Q80" s="352">
        <f t="shared" si="103"/>
      </c>
      <c r="R80" s="353">
        <f t="shared" si="41"/>
      </c>
      <c r="S80" s="354">
        <f t="shared" si="134"/>
      </c>
      <c r="T80" s="354">
        <f t="shared" si="10"/>
      </c>
      <c r="U80" s="353">
        <f t="shared" si="495"/>
      </c>
      <c r="V80" s="354">
        <f t="shared" si="464"/>
      </c>
      <c r="W80" s="354">
        <f t="shared" si="363"/>
      </c>
      <c r="X80" s="355">
        <f t="shared" si="289"/>
      </c>
      <c r="Y80" s="355">
        <f t="shared" si="227"/>
      </c>
      <c r="Z80" s="355">
        <f t="shared" si="165"/>
      </c>
      <c r="AA80" s="356">
        <f t="shared" si="72"/>
      </c>
      <c r="AB80" s="356"/>
      <c r="AC80" s="357"/>
      <c r="AD80" s="347">
        <f>SUM(AD75:AD79)</f>
      </c>
      <c r="AE80" s="347">
        <f>SUM(AE75:AE79)</f>
      </c>
      <c r="AF80" s="347">
        <f>SUM(AF75:AF79)</f>
      </c>
      <c r="AG80" s="347">
        <f>SUM(AG75:AG79)</f>
      </c>
      <c r="AH80" s="347">
        <f>SUM(AH75:AH79)</f>
      </c>
      <c r="AI80" s="347">
        <f>SUM(AI75:AI79)</f>
      </c>
      <c r="AJ80" s="347">
        <f>SUM(AJ75:AJ79)</f>
      </c>
      <c r="AK80" s="347">
        <f>SUM(AK75:AK79)</f>
      </c>
      <c r="AL80" s="347">
        <f>SUM(AL75:AL79)</f>
      </c>
      <c r="AM80" s="327"/>
    </row>
    <row r="81">
      <c r="A81" s="303"/>
      <c r="B81" s="304" t="s">
        <v>239</v>
      </c>
      <c r="C81" s="326" t="s">
        <v>231</v>
      </c>
      <c r="D81" s="334">
        <f t="shared" ref="D81:D84" si="455">E81+F81</f>
      </c>
      <c r="E81" s="326">
        <v>1143.47</v>
      </c>
      <c r="F81" s="326">
        <v>655.75</v>
      </c>
      <c r="I81" s="310">
        <v>1</v>
      </c>
      <c r="J81" s="345">
        <v>948</v>
      </c>
      <c r="K81" s="310">
        <v>0</v>
      </c>
      <c r="L81" s="310">
        <v>1</v>
      </c>
      <c r="M81" s="310">
        <v>0</v>
      </c>
      <c r="N81" s="311">
        <f t="shared" si="332"/>
      </c>
      <c r="O81" s="312">
        <f t="shared" si="258"/>
      </c>
      <c r="P81" s="358">
        <f t="shared" si="196"/>
      </c>
      <c r="Q81" s="359">
        <f t="shared" si="103"/>
      </c>
      <c r="R81" s="360">
        <f t="shared" si="41"/>
      </c>
      <c r="S81" s="361">
        <f t="shared" si="134"/>
      </c>
      <c r="T81" s="361">
        <f t="shared" si="10"/>
      </c>
      <c r="U81" s="360">
        <f t="shared" si="495"/>
      </c>
      <c r="V81" s="361">
        <f t="shared" si="464"/>
      </c>
      <c r="W81" s="318">
        <f t="shared" si="363"/>
      </c>
      <c r="X81" s="315">
        <f t="shared" si="289"/>
      </c>
      <c r="Y81" s="319">
        <f t="shared" si="227"/>
      </c>
      <c r="Z81" s="362">
        <f t="shared" si="165"/>
      </c>
      <c r="AA81" s="363">
        <f t="shared" si="72"/>
      </c>
      <c r="AB81" s="364" t="s">
        <v>232</v>
      </c>
      <c r="AC81" s="346" t="s">
        <v>233</v>
      </c>
      <c r="AD81" s="309">
        <v>0</v>
      </c>
      <c r="AE81" s="365">
        <v>4315</v>
      </c>
      <c r="AF81" s="365">
        <v>177</v>
      </c>
      <c r="AG81" s="365">
        <v>314</v>
      </c>
      <c r="AH81" s="365">
        <v>41</v>
      </c>
      <c r="AI81" s="365">
        <v>11</v>
      </c>
      <c r="AJ81" s="310">
        <v>2</v>
      </c>
      <c r="AK81" s="310">
        <v>10</v>
      </c>
      <c r="AL81" s="310">
        <v>1</v>
      </c>
      <c r="AM81" s="327"/>
    </row>
    <row r="82">
      <c r="A82" s="303"/>
      <c r="B82" s="304" t="s">
        <v>241</v>
      </c>
      <c r="C82" s="326" t="s">
        <v>231</v>
      </c>
      <c r="D82" s="334">
        <f t="shared" si="455"/>
      </c>
      <c r="E82" s="326">
        <v>1361.02</v>
      </c>
      <c r="F82" s="326">
        <v>561.44</v>
      </c>
      <c r="I82" s="310">
        <v>3</v>
      </c>
      <c r="J82" s="310">
        <v>6804</v>
      </c>
      <c r="K82" s="310">
        <v>0</v>
      </c>
      <c r="L82" s="310">
        <v>0</v>
      </c>
      <c r="M82" s="310">
        <v>3</v>
      </c>
      <c r="N82" s="311">
        <f t="shared" si="332"/>
      </c>
      <c r="O82" s="312">
        <f t="shared" si="258"/>
      </c>
      <c r="P82" s="358">
        <f t="shared" si="196"/>
      </c>
      <c r="Q82" s="359">
        <f t="shared" si="103"/>
      </c>
      <c r="R82" s="360">
        <f t="shared" si="41"/>
      </c>
      <c r="S82" s="361">
        <f t="shared" si="134"/>
      </c>
      <c r="T82" s="361">
        <f t="shared" si="10"/>
      </c>
      <c r="U82" s="360">
        <f t="shared" si="495"/>
      </c>
      <c r="V82" s="361">
        <f t="shared" si="464"/>
      </c>
      <c r="W82" s="318">
        <f t="shared" si="363"/>
      </c>
      <c r="X82" s="315">
        <f t="shared" si="289"/>
      </c>
      <c r="Y82" s="319">
        <f t="shared" si="227"/>
      </c>
      <c r="Z82" s="362">
        <f t="shared" si="165"/>
      </c>
      <c r="AA82" s="363">
        <f t="shared" si="72"/>
      </c>
      <c r="AB82" s="364" t="s">
        <v>232</v>
      </c>
      <c r="AC82" s="346" t="s">
        <v>233</v>
      </c>
      <c r="AD82" s="309">
        <v>2</v>
      </c>
      <c r="AE82" s="365">
        <v>4561</v>
      </c>
      <c r="AF82" s="365">
        <v>192</v>
      </c>
      <c r="AG82" s="365">
        <v>293</v>
      </c>
      <c r="AH82" s="365">
        <v>51</v>
      </c>
      <c r="AI82" s="365">
        <v>12</v>
      </c>
      <c r="AJ82" s="310">
        <v>3</v>
      </c>
      <c r="AK82" s="310">
        <v>11</v>
      </c>
      <c r="AL82" s="310">
        <v>1</v>
      </c>
      <c r="AM82" s="327"/>
    </row>
    <row r="83">
      <c r="A83" s="303"/>
      <c r="B83" s="304" t="s">
        <v>242</v>
      </c>
      <c r="C83" s="326" t="s">
        <v>231</v>
      </c>
      <c r="D83" s="334">
        <f t="shared" si="455"/>
      </c>
      <c r="E83" s="326">
        <v>1353.21</v>
      </c>
      <c r="F83" s="326">
        <v>1165.17</v>
      </c>
      <c r="I83" s="310">
        <v>3</v>
      </c>
      <c r="J83" s="310">
        <v>6804</v>
      </c>
      <c r="K83" s="310">
        <v>0</v>
      </c>
      <c r="L83" s="310">
        <v>0</v>
      </c>
      <c r="M83" s="310">
        <v>3</v>
      </c>
      <c r="N83" s="311">
        <f t="shared" si="332"/>
      </c>
      <c r="O83" s="312">
        <f t="shared" si="258"/>
      </c>
      <c r="P83" s="358">
        <f t="shared" si="196"/>
      </c>
      <c r="Q83" s="359">
        <f t="shared" si="103"/>
      </c>
      <c r="R83" s="360">
        <f t="shared" si="41"/>
      </c>
      <c r="S83" s="361">
        <f t="shared" si="134"/>
      </c>
      <c r="T83" s="361">
        <f t="shared" si="10"/>
      </c>
      <c r="U83" s="360">
        <f t="shared" si="495"/>
      </c>
      <c r="V83" s="361">
        <f t="shared" si="464"/>
      </c>
      <c r="W83" s="318">
        <f t="shared" si="363"/>
      </c>
      <c r="X83" s="315">
        <f t="shared" si="289"/>
      </c>
      <c r="Y83" s="319">
        <f t="shared" si="227"/>
      </c>
      <c r="Z83" s="362">
        <f t="shared" si="165"/>
      </c>
      <c r="AA83" s="363">
        <f t="shared" si="72"/>
      </c>
      <c r="AB83" s="364" t="s">
        <v>232</v>
      </c>
      <c r="AC83" s="346" t="s">
        <v>233</v>
      </c>
      <c r="AD83" s="309">
        <v>3</v>
      </c>
      <c r="AE83" s="365">
        <v>4401</v>
      </c>
      <c r="AF83" s="365">
        <v>201</v>
      </c>
      <c r="AG83" s="365">
        <v>309</v>
      </c>
      <c r="AH83" s="365">
        <v>52</v>
      </c>
      <c r="AI83" s="365">
        <v>15</v>
      </c>
      <c r="AJ83" s="310">
        <v>5</v>
      </c>
      <c r="AK83" s="310">
        <v>13</v>
      </c>
      <c r="AL83" s="310">
        <f t="shared" ref="AL83:AL84" si="320">COUNT(AK83)</f>
      </c>
      <c r="AM83" s="327"/>
    </row>
    <row r="84">
      <c r="A84" s="303"/>
      <c r="B84" s="304" t="s">
        <v>243</v>
      </c>
      <c r="C84" s="326" t="s">
        <v>231</v>
      </c>
      <c r="D84" s="334">
        <f t="shared" si="455"/>
      </c>
      <c r="E84" s="326">
        <v>2147.99</v>
      </c>
      <c r="F84" s="326">
        <v>922.79</v>
      </c>
      <c r="I84" s="310">
        <v>2</v>
      </c>
      <c r="J84" s="310">
        <v>3216</v>
      </c>
      <c r="K84" s="310">
        <v>0</v>
      </c>
      <c r="L84" s="310">
        <v>1</v>
      </c>
      <c r="M84" s="310">
        <v>1</v>
      </c>
      <c r="N84" s="311">
        <f t="shared" si="332"/>
      </c>
      <c r="O84" s="312">
        <f t="shared" si="258"/>
      </c>
      <c r="P84" s="358">
        <f t="shared" si="196"/>
      </c>
      <c r="Q84" s="359">
        <f t="shared" si="103"/>
      </c>
      <c r="R84" s="360">
        <f t="shared" si="41"/>
      </c>
      <c r="S84" s="361">
        <f t="shared" si="134"/>
      </c>
      <c r="T84" s="361">
        <f t="shared" si="10"/>
      </c>
      <c r="U84" s="360">
        <f t="shared" si="495"/>
      </c>
      <c r="V84" s="361">
        <f t="shared" si="464"/>
      </c>
      <c r="W84" s="318">
        <f t="shared" si="363"/>
      </c>
      <c r="X84" s="315">
        <f t="shared" si="289"/>
      </c>
      <c r="Y84" s="319">
        <f t="shared" si="227"/>
      </c>
      <c r="Z84" s="362">
        <f t="shared" si="165"/>
      </c>
      <c r="AA84" s="363">
        <f t="shared" si="72"/>
      </c>
      <c r="AB84" s="364" t="s">
        <v>232</v>
      </c>
      <c r="AC84" s="346" t="s">
        <v>244</v>
      </c>
      <c r="AD84" s="309">
        <v>3</v>
      </c>
      <c r="AE84" s="365">
        <v>6454</v>
      </c>
      <c r="AF84" s="365">
        <v>264</v>
      </c>
      <c r="AG84" s="365">
        <v>428</v>
      </c>
      <c r="AH84" s="365">
        <v>63</v>
      </c>
      <c r="AI84" s="365">
        <v>31</v>
      </c>
      <c r="AJ84" s="310">
        <v>6</v>
      </c>
      <c r="AK84" s="310">
        <v>13</v>
      </c>
      <c r="AL84" s="310">
        <f t="shared" si="320"/>
      </c>
      <c r="AM84" s="327"/>
    </row>
    <row r="85">
      <c r="A85" s="303"/>
      <c r="B85" s="347" t="s">
        <v>238</v>
      </c>
      <c r="C85" s="347"/>
      <c r="D85" s="348">
        <f>SUM(D81:D84)</f>
      </c>
      <c r="E85" s="348">
        <f>SUM(E81:E84)</f>
      </c>
      <c r="F85" s="348">
        <f>SUM(F81:F84)</f>
      </c>
      <c r="I85" s="348">
        <f>SUM(I81:I84)</f>
      </c>
      <c r="J85" s="348">
        <f>SUM(J81:J84)</f>
      </c>
      <c r="K85" s="348">
        <f>SUM(K81:K84)</f>
      </c>
      <c r="L85" s="348">
        <f>SUM(L81:L84)</f>
      </c>
      <c r="M85" s="348">
        <f>SUM(M81:M84)</f>
      </c>
      <c r="N85" s="349">
        <f t="shared" si="332"/>
      </c>
      <c r="O85" s="350">
        <f t="shared" si="258"/>
      </c>
      <c r="P85" s="370">
        <f t="shared" si="196"/>
      </c>
      <c r="Q85" s="352">
        <f t="shared" si="103"/>
      </c>
      <c r="R85" s="353">
        <f t="shared" si="41"/>
      </c>
      <c r="S85" s="354">
        <f t="shared" si="134"/>
      </c>
      <c r="T85" s="354">
        <f t="shared" si="10"/>
      </c>
      <c r="U85" s="353">
        <f t="shared" si="495"/>
      </c>
      <c r="V85" s="354">
        <f t="shared" si="464"/>
      </c>
      <c r="W85" s="354">
        <f t="shared" si="363"/>
      </c>
      <c r="X85" s="355">
        <f t="shared" si="289"/>
      </c>
      <c r="Y85" s="355">
        <f t="shared" si="227"/>
      </c>
      <c r="Z85" s="355">
        <f t="shared" si="165"/>
      </c>
      <c r="AA85" s="356">
        <f t="shared" si="72"/>
      </c>
      <c r="AB85" s="356"/>
      <c r="AC85" s="357"/>
      <c r="AD85" s="347">
        <f>SUM(AD81:AD84)</f>
      </c>
      <c r="AE85" s="347">
        <f>SUM(AE81:AE84)</f>
      </c>
      <c r="AF85" s="347">
        <f>SUM(AF81:AF84)</f>
      </c>
      <c r="AG85" s="347">
        <f>SUM(AG81:AG84)</f>
      </c>
      <c r="AH85" s="347">
        <f>SUM(AH81:AH84)</f>
      </c>
      <c r="AI85" s="347">
        <f>SUM(AI81:AI84)</f>
      </c>
      <c r="AJ85" s="347">
        <f>SUM(AJ81:AJ84)</f>
      </c>
      <c r="AK85" s="347">
        <f>SUM(AK81:AK84)</f>
      </c>
      <c r="AL85" s="347">
        <f>SUM(AL81:AL84)</f>
      </c>
      <c r="AM85" s="327"/>
    </row>
    <row r="86">
      <c r="A86" s="303"/>
      <c r="B86" s="304" t="s">
        <v>245</v>
      </c>
      <c r="C86" s="326" t="s">
        <v>247</v>
      </c>
      <c r="D86" s="334">
        <f t="shared" ref="D86:D88" si="456">E86+F86</f>
      </c>
      <c r="E86" s="334">
        <v>2186.87</v>
      </c>
      <c r="F86" s="334">
        <v>1094.16</v>
      </c>
      <c r="I86" s="310">
        <v>2</v>
      </c>
      <c r="J86" s="345">
        <v>4348</v>
      </c>
      <c r="K86" s="366">
        <v>0</v>
      </c>
      <c r="L86" s="366">
        <v>0</v>
      </c>
      <c r="M86" s="367">
        <v>2</v>
      </c>
      <c r="N86" s="311">
        <f t="shared" si="332"/>
      </c>
      <c r="O86" s="312">
        <f t="shared" si="258"/>
      </c>
      <c r="P86" s="358">
        <f t="shared" si="196"/>
      </c>
      <c r="Q86" s="359">
        <f t="shared" si="103"/>
      </c>
      <c r="R86" s="360">
        <f t="shared" si="41"/>
      </c>
      <c r="S86" s="361">
        <f t="shared" si="134"/>
      </c>
      <c r="T86" s="361">
        <f t="shared" si="10"/>
      </c>
      <c r="U86" s="360">
        <f t="shared" si="495"/>
      </c>
      <c r="V86" s="361">
        <f t="shared" si="464"/>
      </c>
      <c r="W86" s="318">
        <f t="shared" si="363"/>
      </c>
      <c r="X86" s="315">
        <f t="shared" si="289"/>
      </c>
      <c r="Y86" s="319">
        <f t="shared" si="227"/>
      </c>
      <c r="Z86" s="362">
        <f t="shared" si="165"/>
      </c>
      <c r="AA86" s="363">
        <f t="shared" si="72"/>
      </c>
      <c r="AB86" s="364" t="s">
        <v>232</v>
      </c>
      <c r="AC86" s="346" t="s">
        <v>244</v>
      </c>
      <c r="AD86" s="309">
        <v>2</v>
      </c>
      <c r="AE86" s="310">
        <v>8770</v>
      </c>
      <c r="AF86" s="310">
        <v>325</v>
      </c>
      <c r="AG86" s="310">
        <v>498</v>
      </c>
      <c r="AH86" s="310">
        <v>57</v>
      </c>
      <c r="AI86" s="365">
        <v>31</v>
      </c>
      <c r="AJ86" s="310">
        <v>8</v>
      </c>
      <c r="AK86" s="310">
        <v>21</v>
      </c>
      <c r="AL86" s="310">
        <f t="shared" ref="AL86:AL88" si="321">COUNT(AK86)</f>
      </c>
      <c r="AM86" s="327"/>
    </row>
    <row r="87">
      <c r="A87" s="303"/>
      <c r="B87" s="325" t="s">
        <v>246</v>
      </c>
      <c r="C87" s="326" t="s">
        <v>247</v>
      </c>
      <c r="D87" s="334">
        <f t="shared" si="456"/>
      </c>
      <c r="E87" s="334">
        <v>2718.59</v>
      </c>
      <c r="F87" s="334">
        <v>627.67</v>
      </c>
      <c r="I87" s="310">
        <v>1</v>
      </c>
      <c r="J87" s="345">
        <v>2268</v>
      </c>
      <c r="K87" s="366">
        <v>0</v>
      </c>
      <c r="L87" s="366">
        <v>0</v>
      </c>
      <c r="M87" s="367">
        <v>1</v>
      </c>
      <c r="N87" s="311">
        <f t="shared" si="332"/>
      </c>
      <c r="O87" s="312">
        <f t="shared" si="258"/>
      </c>
      <c r="P87" s="368">
        <f t="shared" si="196"/>
      </c>
      <c r="Q87" s="359">
        <f t="shared" si="103"/>
      </c>
      <c r="R87" s="360">
        <f t="shared" si="41"/>
      </c>
      <c r="S87" s="361">
        <f t="shared" si="134"/>
      </c>
      <c r="T87" s="361">
        <f t="shared" si="10"/>
      </c>
      <c r="U87" s="360">
        <f t="shared" si="495"/>
      </c>
      <c r="V87" s="361">
        <f t="shared" si="464"/>
      </c>
      <c r="W87" s="318">
        <f t="shared" si="363"/>
      </c>
      <c r="X87" s="315">
        <f t="shared" si="289"/>
      </c>
      <c r="Y87" s="319">
        <f t="shared" si="227"/>
      </c>
      <c r="Z87" s="362">
        <f t="shared" si="165"/>
      </c>
      <c r="AA87" s="363">
        <f t="shared" si="72"/>
      </c>
      <c r="AB87" s="364" t="s">
        <v>232</v>
      </c>
      <c r="AC87" s="346" t="s">
        <v>244</v>
      </c>
      <c r="AD87" s="309">
        <v>1</v>
      </c>
      <c r="AE87" s="310">
        <v>12303</v>
      </c>
      <c r="AF87" s="310">
        <v>365</v>
      </c>
      <c r="AG87" s="310">
        <v>601</v>
      </c>
      <c r="AH87" s="310">
        <v>74</v>
      </c>
      <c r="AI87" s="365">
        <v>29</v>
      </c>
      <c r="AJ87" s="310">
        <v>3</v>
      </c>
      <c r="AK87" s="310">
        <v>24</v>
      </c>
      <c r="AL87" s="310">
        <f t="shared" si="321"/>
      </c>
      <c r="AM87" s="327"/>
    </row>
    <row r="88">
      <c r="A88" s="303"/>
      <c r="B88" s="325" t="s">
        <v>248</v>
      </c>
      <c r="C88" s="326" t="s">
        <v>247</v>
      </c>
      <c r="D88" s="334">
        <f t="shared" si="456"/>
      </c>
      <c r="E88" s="334">
        <v>1722.82</v>
      </c>
      <c r="F88" s="334">
        <v>299.2</v>
      </c>
      <c r="I88" s="310">
        <v>4</v>
      </c>
      <c r="J88" s="345">
        <v>5592</v>
      </c>
      <c r="K88" s="366">
        <v>0</v>
      </c>
      <c r="L88" s="366">
        <v>1</v>
      </c>
      <c r="M88" s="367">
        <v>2</v>
      </c>
      <c r="N88" s="311">
        <f t="shared" si="332"/>
      </c>
      <c r="O88" s="312">
        <f t="shared" si="258"/>
      </c>
      <c r="P88" s="358">
        <f t="shared" si="196"/>
      </c>
      <c r="Q88" s="359">
        <f t="shared" si="103"/>
      </c>
      <c r="R88" s="360">
        <f t="shared" si="41"/>
      </c>
      <c r="S88" s="361">
        <f t="shared" si="134"/>
      </c>
      <c r="T88" s="361">
        <f t="shared" si="10"/>
      </c>
      <c r="U88" s="360">
        <f t="shared" si="495"/>
      </c>
      <c r="V88" s="361">
        <f t="shared" si="464"/>
      </c>
      <c r="W88" s="318">
        <f t="shared" si="363"/>
      </c>
      <c r="X88" s="315">
        <f t="shared" si="289"/>
      </c>
      <c r="Y88" s="319">
        <f t="shared" si="227"/>
      </c>
      <c r="Z88" s="362">
        <f t="shared" si="165"/>
      </c>
      <c r="AA88" s="363">
        <f t="shared" si="72"/>
      </c>
      <c r="AB88" s="364" t="s">
        <v>232</v>
      </c>
      <c r="AC88" s="346" t="s">
        <v>244</v>
      </c>
      <c r="AD88" s="309">
        <v>4</v>
      </c>
      <c r="AE88" s="310">
        <v>8350</v>
      </c>
      <c r="AF88" s="310">
        <v>211</v>
      </c>
      <c r="AG88" s="310">
        <v>324</v>
      </c>
      <c r="AH88" s="310">
        <v>50</v>
      </c>
      <c r="AI88" s="365">
        <v>11</v>
      </c>
      <c r="AJ88" s="310">
        <v>6</v>
      </c>
      <c r="AK88" s="310">
        <v>6</v>
      </c>
      <c r="AL88" s="310">
        <f t="shared" si="321"/>
      </c>
      <c r="AM88" s="327"/>
    </row>
    <row r="89">
      <c r="A89" s="303"/>
      <c r="B89" s="347" t="s">
        <v>238</v>
      </c>
      <c r="C89" s="347"/>
      <c r="D89" s="348">
        <f>SUM(D86:D88)</f>
      </c>
      <c r="E89" s="348">
        <f>SUM(E86:E88)</f>
      </c>
      <c r="F89" s="348">
        <f>SUM(F86:F88)</f>
      </c>
      <c r="I89" s="348">
        <f>SUM(I86:I88)</f>
      </c>
      <c r="J89" s="348">
        <f>SUM(J86:J88)</f>
      </c>
      <c r="K89" s="348">
        <f>SUM(K86:K88)</f>
      </c>
      <c r="L89" s="348">
        <f>SUM(L86:L88)</f>
      </c>
      <c r="M89" s="348">
        <f>SUM(M86:M88)</f>
      </c>
      <c r="N89" s="349">
        <f t="shared" si="332"/>
      </c>
      <c r="O89" s="350">
        <f t="shared" si="258"/>
      </c>
      <c r="P89" s="370">
        <f t="shared" si="196"/>
      </c>
      <c r="Q89" s="352">
        <f t="shared" si="103"/>
      </c>
      <c r="R89" s="353">
        <f t="shared" si="41"/>
      </c>
      <c r="S89" s="354">
        <f t="shared" si="134"/>
      </c>
      <c r="T89" s="354">
        <f t="shared" si="10"/>
      </c>
      <c r="U89" s="353">
        <f t="shared" si="495"/>
      </c>
      <c r="V89" s="354">
        <f t="shared" si="464"/>
      </c>
      <c r="W89" s="354">
        <f t="shared" si="363"/>
      </c>
      <c r="X89" s="355">
        <f t="shared" si="289"/>
      </c>
      <c r="Y89" s="355">
        <f t="shared" si="227"/>
      </c>
      <c r="Z89" s="355">
        <f t="shared" si="165"/>
      </c>
      <c r="AA89" s="356">
        <f t="shared" si="72"/>
      </c>
      <c r="AB89" s="356"/>
      <c r="AC89" s="356"/>
      <c r="AD89" s="348">
        <f>SUM(AD86:AD88)</f>
      </c>
      <c r="AE89" s="348">
        <f>SUM(AE86:AE88)</f>
      </c>
      <c r="AF89" s="348">
        <f>SUM(AF86:AF88)</f>
      </c>
      <c r="AG89" s="348">
        <f>SUM(AG86:AG88)</f>
      </c>
      <c r="AH89" s="348">
        <f>SUM(AH86:AH88)</f>
      </c>
      <c r="AI89" s="348">
        <f>SUM(AI86:AI88)</f>
      </c>
      <c r="AJ89" s="348">
        <f>SUM(AJ86:AJ88)</f>
      </c>
      <c r="AK89" s="348">
        <f>SUM(AK86:AK88)</f>
      </c>
      <c r="AL89" s="348">
        <f>SUM(AL86:AL88)</f>
      </c>
      <c r="AM89" s="372" t="s">
        <v>249</v>
      </c>
    </row>
    <row r="90">
      <c r="A90" s="303"/>
      <c r="B90" s="373" t="s">
        <v>250</v>
      </c>
      <c r="C90" s="373"/>
      <c r="D90" s="373">
        <f>D80+D85+D89</f>
      </c>
      <c r="E90" s="373">
        <f>E80+E85+E89</f>
      </c>
      <c r="F90" s="373">
        <f>F80+F85+F89</f>
      </c>
      <c r="I90" s="373">
        <f>I80+I85+I89</f>
      </c>
      <c r="J90" s="374">
        <f>J80+J85+J89</f>
      </c>
      <c r="K90" s="374">
        <f>K80+K85+K89</f>
      </c>
      <c r="L90" s="374">
        <f>L80+L85+L89</f>
      </c>
      <c r="M90" s="374">
        <f>M80+M85+M89</f>
      </c>
      <c r="N90" s="375">
        <f t="shared" si="332"/>
      </c>
      <c r="O90" s="376">
        <f t="shared" si="258"/>
      </c>
      <c r="P90" s="377">
        <f t="shared" si="196"/>
      </c>
      <c r="Q90" s="378">
        <f t="shared" si="103"/>
      </c>
      <c r="R90" s="379">
        <f t="shared" si="41"/>
      </c>
      <c r="S90" s="380">
        <f t="shared" si="134"/>
      </c>
      <c r="T90" s="380">
        <f t="shared" si="10"/>
      </c>
      <c r="U90" s="379">
        <f t="shared" si="495"/>
      </c>
      <c r="V90" s="380">
        <f t="shared" si="464"/>
      </c>
      <c r="W90" s="380">
        <f t="shared" si="363"/>
      </c>
      <c r="X90" s="379">
        <f t="shared" si="289"/>
      </c>
      <c r="Y90" s="379">
        <f t="shared" si="227"/>
      </c>
      <c r="Z90" s="379">
        <f t="shared" si="165"/>
      </c>
      <c r="AA90" s="381">
        <f t="shared" si="72"/>
      </c>
      <c r="AB90" s="381"/>
      <c r="AC90" s="381"/>
      <c r="AD90" s="373">
        <f>AD80+AD85+AD89</f>
      </c>
      <c r="AE90" s="373">
        <f>AE80+AE85+AE89</f>
      </c>
      <c r="AF90" s="373">
        <f>AF80+AF85+AF89</f>
      </c>
      <c r="AG90" s="373">
        <f>AG80+AG85+AG89</f>
      </c>
      <c r="AH90" s="373">
        <f>AH80+AH85+AH89</f>
      </c>
      <c r="AI90" s="373">
        <f>AI80+AI85+AI89</f>
      </c>
      <c r="AJ90" s="373">
        <f>AJ80+AJ85+AJ89</f>
      </c>
      <c r="AK90" s="373">
        <f>AK80+AK85+AK89</f>
      </c>
      <c r="AL90" s="373">
        <f>AL80+AL85+AL89</f>
      </c>
      <c r="AM90" s="372"/>
    </row>
    <row r="91">
      <c r="A91" s="282" t="s">
        <v>189</v>
      </c>
      <c r="B91" s="282"/>
      <c r="C91" s="282"/>
      <c r="D91" s="283" t="s">
        <v>190</v>
      </c>
      <c r="E91" s="283"/>
      <c r="F91" s="283"/>
      <c r="I91" s="283"/>
      <c r="J91" s="283"/>
      <c r="K91" s="283"/>
      <c r="L91" s="283"/>
      <c r="M91" s="283"/>
      <c r="N91" s="283"/>
      <c r="O91" s="283"/>
      <c r="P91" s="284" t="s">
        <v>191</v>
      </c>
      <c r="Q91" s="284"/>
      <c r="R91" s="284"/>
      <c r="S91" s="284"/>
      <c r="T91" s="284"/>
      <c r="U91" s="284"/>
      <c r="V91" s="284"/>
      <c r="W91" s="284"/>
      <c r="X91" s="284"/>
      <c r="Y91" s="284"/>
      <c r="Z91" s="284"/>
      <c r="AA91" s="284"/>
      <c r="AB91" s="284"/>
      <c r="AC91" s="284"/>
      <c r="AD91" s="285" t="s">
        <v>192</v>
      </c>
      <c r="AE91" s="285"/>
      <c r="AF91" s="285"/>
      <c r="AG91" s="285"/>
      <c r="AH91" s="285"/>
      <c r="AI91" s="285"/>
      <c r="AJ91" s="285"/>
      <c r="AK91" s="285"/>
      <c r="AL91" s="285"/>
      <c r="AM91" s="286"/>
    </row>
    <row r="92">
      <c r="A92" s="287" t="s">
        <v>193</v>
      </c>
      <c r="B92" s="288" t="s">
        <v>194</v>
      </c>
      <c r="C92" s="288" t="s">
        <v>195</v>
      </c>
      <c r="D92" s="289" t="s">
        <v>196</v>
      </c>
      <c r="E92" s="290" t="s">
        <v>197</v>
      </c>
      <c r="F92" s="291" t="s">
        <v>198</v>
      </c>
      <c r="I92" s="292" t="s">
        <v>199</v>
      </c>
      <c r="J92" s="293" t="s">
        <v>200</v>
      </c>
      <c r="K92" s="294" t="s">
        <v>201</v>
      </c>
      <c r="L92" s="294" t="s">
        <v>202</v>
      </c>
      <c r="M92" s="294" t="s">
        <v>203</v>
      </c>
      <c r="N92" s="295" t="s">
        <v>204</v>
      </c>
      <c r="O92" s="295" t="s">
        <v>205</v>
      </c>
      <c r="P92" s="296" t="s">
        <v>206</v>
      </c>
      <c r="Q92" s="296" t="s">
        <v>207</v>
      </c>
      <c r="R92" s="296" t="s">
        <v>208</v>
      </c>
      <c r="S92" s="297" t="s">
        <v>209</v>
      </c>
      <c r="T92" s="297" t="s">
        <v>210</v>
      </c>
      <c r="U92" s="296" t="s">
        <v>211</v>
      </c>
      <c r="V92" s="297" t="s">
        <v>212</v>
      </c>
      <c r="W92" s="297" t="s">
        <v>213</v>
      </c>
      <c r="X92" s="296" t="s">
        <v>214</v>
      </c>
      <c r="Y92" s="297" t="s">
        <v>215</v>
      </c>
      <c r="Z92" s="296" t="s">
        <v>216</v>
      </c>
      <c r="AA92" s="298" t="s">
        <v>217</v>
      </c>
      <c r="AB92" s="298" t="s">
        <v>218</v>
      </c>
      <c r="AC92" s="299" t="s">
        <v>219</v>
      </c>
      <c r="AD92" s="300" t="s">
        <v>220</v>
      </c>
      <c r="AE92" s="301" t="s">
        <v>221</v>
      </c>
      <c r="AF92" s="301" t="s">
        <v>222</v>
      </c>
      <c r="AG92" s="301" t="s">
        <v>223</v>
      </c>
      <c r="AH92" s="301" t="s">
        <v>224</v>
      </c>
      <c r="AI92" s="301" t="s">
        <v>225</v>
      </c>
      <c r="AJ92" s="302" t="s">
        <v>226</v>
      </c>
      <c r="AK92" s="302" t="s">
        <v>227</v>
      </c>
      <c r="AL92" s="302" t="s">
        <v>228</v>
      </c>
      <c r="AM92" s="327"/>
    </row>
    <row r="93">
      <c r="A93" s="303" t="s">
        <v>255</v>
      </c>
      <c r="B93" s="304" t="s">
        <v>230</v>
      </c>
      <c r="C93" s="305" t="s">
        <v>240</v>
      </c>
      <c r="D93" s="306">
        <f t="shared" ref="D93:D97" si="457">E93+F93</f>
      </c>
      <c r="E93" s="307">
        <v>3335.8</v>
      </c>
      <c r="F93" s="382">
        <v>458.06</v>
      </c>
      <c r="I93" s="307">
        <v>2</v>
      </c>
      <c r="J93" s="328">
        <v>3028</v>
      </c>
      <c r="K93" s="309">
        <v>0</v>
      </c>
      <c r="L93" s="310">
        <v>1</v>
      </c>
      <c r="M93" s="310">
        <v>1</v>
      </c>
      <c r="N93" s="311">
        <f t="shared" ref="N93:N108" si="333">J93/D93</f>
      </c>
      <c r="O93" s="312">
        <f t="shared" ref="O93:O108" si="259">J93/(D93+300*AL93)</f>
      </c>
      <c r="P93" s="313">
        <f t="shared" ref="P93:P108" si="197">(D93/AE93)*1000</f>
      </c>
      <c r="Q93" s="314">
        <f t="shared" ref="Q93:Q108" si="104">AF93/AE93</f>
      </c>
      <c r="R93" s="315">
        <f t="shared" ref="R93:R108" si="42">D93/AG93</f>
      </c>
      <c r="S93" s="316">
        <f t="shared" ref="S93:S108" si="135">AH93/AG93</f>
      </c>
      <c r="T93" s="314">
        <f t="shared" ref="T93:T108" si="11">AI93/AG93</f>
      </c>
      <c r="U93" s="317">
        <f t="shared" ref="U93:U108" si="496">D93/AI93</f>
      </c>
      <c r="V93" s="314">
        <f t="shared" ref="V93:V108" si="465">AJ93/AI93</f>
      </c>
      <c r="W93" s="318">
        <f t="shared" ref="W93:W108" si="364">I93/AJ93</f>
      </c>
      <c r="X93" s="315">
        <f t="shared" ref="X93:X108" si="290">D93/I93</f>
      </c>
      <c r="Y93" s="319">
        <f t="shared" ref="Y93:Y108" si="228">J93/I93</f>
      </c>
      <c r="Z93" s="315">
        <f t="shared" ref="Z93:Z108" si="166">D93/AD93</f>
      </c>
      <c r="AA93" s="320">
        <f t="shared" ref="AA93:AA108" si="73">AK93*1000/D93</f>
      </c>
      <c r="AB93" s="321" t="s">
        <v>232</v>
      </c>
      <c r="AC93" s="322" t="s">
        <v>233</v>
      </c>
      <c r="AD93" s="307">
        <v>2</v>
      </c>
      <c r="AE93" s="306">
        <v>13095</v>
      </c>
      <c r="AF93" s="323">
        <v>343</v>
      </c>
      <c r="AG93" s="324">
        <v>541</v>
      </c>
      <c r="AH93" s="325">
        <v>76</v>
      </c>
      <c r="AI93" s="326">
        <v>21</v>
      </c>
      <c r="AJ93" s="325">
        <v>3</v>
      </c>
      <c r="AK93" s="326">
        <v>11</v>
      </c>
      <c r="AL93" s="365">
        <f t="shared" ref="AL93:AL97" si="322">COUNT(AK93)</f>
      </c>
      <c r="AM93" s="327"/>
    </row>
    <row r="94">
      <c r="A94" s="303"/>
      <c r="B94" s="304" t="s">
        <v>234</v>
      </c>
      <c r="C94" s="305" t="s">
        <v>240</v>
      </c>
      <c r="D94" s="306">
        <f t="shared" si="457"/>
      </c>
      <c r="E94" s="307">
        <v>3584.96</v>
      </c>
      <c r="F94" s="307">
        <v>487.47</v>
      </c>
      <c r="I94" s="383">
        <v>4</v>
      </c>
      <c r="J94" s="383">
        <v>7752</v>
      </c>
      <c r="K94" s="383">
        <v>0</v>
      </c>
      <c r="L94" s="383">
        <v>1</v>
      </c>
      <c r="M94" s="383">
        <v>3</v>
      </c>
      <c r="N94" s="311">
        <f t="shared" si="333"/>
      </c>
      <c r="O94" s="312">
        <f t="shared" si="259"/>
      </c>
      <c r="P94" s="313">
        <f t="shared" si="197"/>
      </c>
      <c r="Q94" s="314">
        <f t="shared" si="104"/>
      </c>
      <c r="R94" s="330">
        <f t="shared" si="42"/>
      </c>
      <c r="S94" s="316">
        <f t="shared" si="135"/>
      </c>
      <c r="T94" s="314">
        <f t="shared" si="11"/>
      </c>
      <c r="U94" s="317">
        <f t="shared" si="496"/>
      </c>
      <c r="V94" s="314">
        <f t="shared" si="465"/>
      </c>
      <c r="W94" s="318">
        <f t="shared" si="364"/>
      </c>
      <c r="X94" s="315">
        <f t="shared" si="290"/>
      </c>
      <c r="Y94" s="319">
        <f t="shared" si="228"/>
      </c>
      <c r="Z94" s="315">
        <f t="shared" si="166"/>
      </c>
      <c r="AA94" s="331">
        <f t="shared" si="73"/>
      </c>
      <c r="AB94" s="332" t="s">
        <v>232</v>
      </c>
      <c r="AC94" s="322" t="s">
        <v>233</v>
      </c>
      <c r="AD94" s="307">
        <v>4</v>
      </c>
      <c r="AE94" s="306">
        <v>13277</v>
      </c>
      <c r="AF94" s="304">
        <v>391</v>
      </c>
      <c r="AG94" s="333">
        <v>571</v>
      </c>
      <c r="AH94" s="334">
        <v>102</v>
      </c>
      <c r="AI94" s="334">
        <v>36</v>
      </c>
      <c r="AJ94" s="335">
        <v>8</v>
      </c>
      <c r="AK94" s="336">
        <v>21</v>
      </c>
      <c r="AL94" s="365">
        <f t="shared" si="322"/>
      </c>
      <c r="AM94" s="327"/>
    </row>
    <row r="95">
      <c r="A95" s="303"/>
      <c r="B95" s="304" t="s">
        <v>235</v>
      </c>
      <c r="C95" s="305" t="s">
        <v>240</v>
      </c>
      <c r="D95" s="306">
        <f t="shared" si="457"/>
      </c>
      <c r="E95" s="307">
        <v>4488.43</v>
      </c>
      <c r="F95" s="307">
        <v>673.27</v>
      </c>
      <c r="I95" s="328">
        <v>5</v>
      </c>
      <c r="J95" s="328">
        <v>10020</v>
      </c>
      <c r="K95" s="328">
        <v>0</v>
      </c>
      <c r="L95" s="328">
        <v>1</v>
      </c>
      <c r="M95" s="328">
        <v>4</v>
      </c>
      <c r="N95" s="311">
        <f t="shared" si="333"/>
      </c>
      <c r="O95" s="312">
        <f t="shared" si="259"/>
      </c>
      <c r="P95" s="313">
        <f t="shared" si="197"/>
      </c>
      <c r="Q95" s="316">
        <f t="shared" si="104"/>
      </c>
      <c r="R95" s="315">
        <f t="shared" si="42"/>
      </c>
      <c r="S95" s="318">
        <f t="shared" si="135"/>
      </c>
      <c r="T95" s="337">
        <f t="shared" si="11"/>
      </c>
      <c r="U95" s="338">
        <f t="shared" si="496"/>
      </c>
      <c r="V95" s="337">
        <f t="shared" si="465"/>
      </c>
      <c r="W95" s="318">
        <f t="shared" si="364"/>
      </c>
      <c r="X95" s="315">
        <f t="shared" si="290"/>
      </c>
      <c r="Y95" s="319">
        <f t="shared" si="228"/>
      </c>
      <c r="Z95" s="315">
        <f t="shared" si="166"/>
      </c>
      <c r="AA95" s="331">
        <f t="shared" si="73"/>
      </c>
      <c r="AB95" s="332" t="s">
        <v>232</v>
      </c>
      <c r="AC95" s="322" t="s">
        <v>233</v>
      </c>
      <c r="AD95" s="307">
        <v>4</v>
      </c>
      <c r="AE95" s="306">
        <v>15707</v>
      </c>
      <c r="AF95" s="304">
        <v>423</v>
      </c>
      <c r="AG95" s="334">
        <v>606</v>
      </c>
      <c r="AH95" s="334">
        <v>94</v>
      </c>
      <c r="AI95" s="334">
        <v>28</v>
      </c>
      <c r="AJ95" s="335">
        <v>7</v>
      </c>
      <c r="AK95" s="336">
        <v>16</v>
      </c>
      <c r="AL95" s="365">
        <f t="shared" si="322"/>
      </c>
      <c r="AM95" s="327"/>
    </row>
    <row r="96">
      <c r="A96" s="303"/>
      <c r="B96" s="304" t="s">
        <v>236</v>
      </c>
      <c r="C96" s="305" t="s">
        <v>240</v>
      </c>
      <c r="D96" s="306">
        <f t="shared" si="457"/>
      </c>
      <c r="E96" s="307">
        <v>4103.24</v>
      </c>
      <c r="F96" s="307">
        <v>676.76</v>
      </c>
      <c r="I96" s="335">
        <v>7</v>
      </c>
      <c r="J96" s="335">
        <v>9229.600000000002</v>
      </c>
      <c r="K96" s="335">
        <v>0</v>
      </c>
      <c r="L96" s="335">
        <v>0</v>
      </c>
      <c r="M96" s="335">
        <v>4</v>
      </c>
      <c r="N96" s="311">
        <f t="shared" si="333"/>
      </c>
      <c r="O96" s="312">
        <f t="shared" si="259"/>
      </c>
      <c r="P96" s="313">
        <f t="shared" si="197"/>
      </c>
      <c r="Q96" s="314">
        <f t="shared" si="104"/>
      </c>
      <c r="R96" s="339">
        <f t="shared" si="42"/>
      </c>
      <c r="S96" s="314">
        <f t="shared" si="135"/>
      </c>
      <c r="T96" s="314">
        <f t="shared" si="11"/>
      </c>
      <c r="U96" s="315">
        <f t="shared" si="496"/>
      </c>
      <c r="V96" s="314">
        <f t="shared" si="465"/>
      </c>
      <c r="W96" s="318">
        <f t="shared" si="364"/>
      </c>
      <c r="X96" s="315">
        <f t="shared" si="290"/>
      </c>
      <c r="Y96" s="319">
        <f t="shared" si="228"/>
      </c>
      <c r="Z96" s="315">
        <f t="shared" si="166"/>
      </c>
      <c r="AA96" s="331">
        <f t="shared" si="73"/>
      </c>
      <c r="AB96" s="340" t="s">
        <v>232</v>
      </c>
      <c r="AC96" s="341" t="s">
        <v>233</v>
      </c>
      <c r="AD96" s="342">
        <v>4</v>
      </c>
      <c r="AE96" s="333">
        <v>15904</v>
      </c>
      <c r="AF96" s="334">
        <v>475</v>
      </c>
      <c r="AG96" s="334">
        <v>675</v>
      </c>
      <c r="AH96" s="334">
        <v>97</v>
      </c>
      <c r="AI96" s="334">
        <v>34</v>
      </c>
      <c r="AJ96" s="335">
        <v>9</v>
      </c>
      <c r="AK96" s="336">
        <v>18</v>
      </c>
      <c r="AL96" s="365">
        <f t="shared" si="322"/>
      </c>
      <c r="AM96" s="327"/>
    </row>
    <row r="97">
      <c r="A97" s="303"/>
      <c r="B97" s="325" t="s">
        <v>237</v>
      </c>
      <c r="C97" s="305" t="s">
        <v>240</v>
      </c>
      <c r="D97" s="343">
        <f t="shared" si="457"/>
      </c>
      <c r="E97" s="344">
        <v>5998.59</v>
      </c>
      <c r="F97" s="344">
        <v>894.11</v>
      </c>
      <c r="I97" s="310">
        <v>7</v>
      </c>
      <c r="J97" s="345">
        <v>8316.000000000004</v>
      </c>
      <c r="K97" s="310">
        <v>2</v>
      </c>
      <c r="L97" s="310">
        <v>3</v>
      </c>
      <c r="M97" s="310">
        <v>2</v>
      </c>
      <c r="N97" s="311">
        <f t="shared" si="333"/>
      </c>
      <c r="O97" s="312">
        <f t="shared" si="259"/>
      </c>
      <c r="P97" s="313">
        <f t="shared" si="197"/>
      </c>
      <c r="Q97" s="314">
        <f t="shared" si="104"/>
      </c>
      <c r="R97" s="339">
        <f t="shared" si="42"/>
      </c>
      <c r="S97" s="314">
        <f t="shared" si="135"/>
      </c>
      <c r="T97" s="314">
        <f t="shared" si="11"/>
      </c>
      <c r="U97" s="315">
        <f t="shared" si="496"/>
      </c>
      <c r="V97" s="314">
        <f t="shared" si="465"/>
      </c>
      <c r="W97" s="318">
        <f t="shared" si="364"/>
      </c>
      <c r="X97" s="315">
        <f t="shared" si="290"/>
      </c>
      <c r="Y97" s="319">
        <f t="shared" si="228"/>
      </c>
      <c r="Z97" s="315">
        <f t="shared" si="166"/>
      </c>
      <c r="AA97" s="331">
        <f t="shared" si="73"/>
      </c>
      <c r="AB97" s="340" t="s">
        <v>232</v>
      </c>
      <c r="AC97" s="346" t="s">
        <v>233</v>
      </c>
      <c r="AD97" s="325">
        <v>7</v>
      </c>
      <c r="AE97" s="334">
        <v>26700</v>
      </c>
      <c r="AF97" s="334">
        <v>690</v>
      </c>
      <c r="AG97" s="334">
        <v>959</v>
      </c>
      <c r="AH97" s="334">
        <v>152</v>
      </c>
      <c r="AI97" s="334">
        <v>52</v>
      </c>
      <c r="AJ97" s="335">
        <v>14</v>
      </c>
      <c r="AK97" s="336">
        <v>30</v>
      </c>
      <c r="AL97" s="365">
        <f t="shared" si="322"/>
      </c>
      <c r="AM97" s="327"/>
    </row>
    <row r="98">
      <c r="A98" s="303"/>
      <c r="B98" s="347" t="s">
        <v>238</v>
      </c>
      <c r="C98" s="347"/>
      <c r="D98" s="348">
        <f>SUM(D93:D97)</f>
      </c>
      <c r="E98" s="348">
        <f>SUM(E93:E97)</f>
      </c>
      <c r="F98" s="348">
        <f>SUM(F93:F97)</f>
      </c>
      <c r="I98" s="348">
        <f>SUM(I93:I97)</f>
      </c>
      <c r="J98" s="348">
        <f>SUM(J93:J97)</f>
      </c>
      <c r="K98" s="348">
        <f>SUM(K93:K97)</f>
      </c>
      <c r="L98" s="348">
        <f>SUM(L93:L97)</f>
      </c>
      <c r="M98" s="348">
        <f>SUM(M93:M97)</f>
      </c>
      <c r="N98" s="349">
        <f t="shared" si="333"/>
      </c>
      <c r="O98" s="350">
        <f t="shared" si="259"/>
      </c>
      <c r="P98" s="351">
        <f t="shared" si="197"/>
      </c>
      <c r="Q98" s="352">
        <f t="shared" si="104"/>
      </c>
      <c r="R98" s="353">
        <f t="shared" si="42"/>
      </c>
      <c r="S98" s="354">
        <f t="shared" si="135"/>
      </c>
      <c r="T98" s="354">
        <f t="shared" si="11"/>
      </c>
      <c r="U98" s="353">
        <f t="shared" si="496"/>
      </c>
      <c r="V98" s="354">
        <f t="shared" si="465"/>
      </c>
      <c r="W98" s="354">
        <f t="shared" si="364"/>
      </c>
      <c r="X98" s="355">
        <f t="shared" si="290"/>
      </c>
      <c r="Y98" s="355">
        <f t="shared" si="228"/>
      </c>
      <c r="Z98" s="355">
        <f t="shared" si="166"/>
      </c>
      <c r="AA98" s="356">
        <f t="shared" si="73"/>
      </c>
      <c r="AB98" s="356"/>
      <c r="AC98" s="357"/>
      <c r="AD98" s="347">
        <f>SUM(AD93:AD97)</f>
      </c>
      <c r="AE98" s="347">
        <f>SUM(AE93:AE97)</f>
      </c>
      <c r="AF98" s="347">
        <f>SUM(AF93:AF97)</f>
      </c>
      <c r="AG98" s="347">
        <f>SUM(AG93:AG97)</f>
      </c>
      <c r="AH98" s="347">
        <f>SUM(AH93:AH97)</f>
      </c>
      <c r="AI98" s="347">
        <f>SUM(AI93:AI97)</f>
      </c>
      <c r="AJ98" s="347">
        <f>SUM(AJ93:AJ97)</f>
      </c>
      <c r="AK98" s="347">
        <f>SUM(AK93:AK97)</f>
      </c>
      <c r="AL98" s="347">
        <f>SUM(AL93:AL97)</f>
      </c>
      <c r="AM98" s="327"/>
    </row>
    <row r="99">
      <c r="A99" s="303"/>
      <c r="B99" s="304" t="s">
        <v>239</v>
      </c>
      <c r="C99" s="326" t="s">
        <v>231</v>
      </c>
      <c r="D99" s="334">
        <f t="shared" ref="D99:D102" si="458">E99+F99</f>
      </c>
      <c r="E99" s="326">
        <v>4406.26</v>
      </c>
      <c r="F99" s="326">
        <v>522.69</v>
      </c>
      <c r="I99" s="310">
        <v>1</v>
      </c>
      <c r="J99" s="345">
        <v>2268</v>
      </c>
      <c r="K99" s="310">
        <v>0</v>
      </c>
      <c r="L99" s="310">
        <v>0</v>
      </c>
      <c r="M99" s="310">
        <v>1</v>
      </c>
      <c r="N99" s="311">
        <f t="shared" si="333"/>
      </c>
      <c r="O99" s="312">
        <f t="shared" si="259"/>
      </c>
      <c r="P99" s="358">
        <f t="shared" si="197"/>
      </c>
      <c r="Q99" s="359">
        <f t="shared" si="104"/>
      </c>
      <c r="R99" s="360">
        <f t="shared" si="42"/>
      </c>
      <c r="S99" s="361">
        <f t="shared" si="135"/>
      </c>
      <c r="T99" s="361">
        <f t="shared" si="11"/>
      </c>
      <c r="U99" s="360">
        <f t="shared" si="496"/>
      </c>
      <c r="V99" s="361">
        <f t="shared" si="465"/>
      </c>
      <c r="W99" s="318">
        <f t="shared" si="364"/>
      </c>
      <c r="X99" s="315">
        <f t="shared" si="290"/>
      </c>
      <c r="Y99" s="319">
        <f t="shared" si="228"/>
      </c>
      <c r="Z99" s="362">
        <f t="shared" si="166"/>
      </c>
      <c r="AA99" s="363">
        <f t="shared" si="73"/>
      </c>
      <c r="AB99" s="364" t="s">
        <v>232</v>
      </c>
      <c r="AC99" s="346" t="s">
        <v>233</v>
      </c>
      <c r="AD99" s="309">
        <v>0</v>
      </c>
      <c r="AE99" s="365">
        <v>20618</v>
      </c>
      <c r="AF99" s="365">
        <v>468</v>
      </c>
      <c r="AG99" s="365">
        <v>633</v>
      </c>
      <c r="AH99" s="365">
        <v>97</v>
      </c>
      <c r="AI99" s="365">
        <v>29</v>
      </c>
      <c r="AJ99" s="310">
        <v>2</v>
      </c>
      <c r="AK99" s="310">
        <v>16</v>
      </c>
      <c r="AL99" s="365">
        <f t="shared" ref="AL99:AL102" si="323">COUNT(AK99)</f>
      </c>
      <c r="AM99" s="327"/>
    </row>
    <row r="100">
      <c r="A100" s="303"/>
      <c r="B100" s="304" t="s">
        <v>241</v>
      </c>
      <c r="C100" s="326" t="s">
        <v>231</v>
      </c>
      <c r="D100" s="334">
        <f t="shared" si="458"/>
      </c>
      <c r="E100" s="326">
        <v>3577.47</v>
      </c>
      <c r="F100" s="326">
        <v>508.63</v>
      </c>
      <c r="I100" s="310">
        <v>2</v>
      </c>
      <c r="J100" s="310">
        <v>4536</v>
      </c>
      <c r="K100" s="310">
        <v>0</v>
      </c>
      <c r="L100" s="310">
        <v>0</v>
      </c>
      <c r="M100" s="310">
        <v>2</v>
      </c>
      <c r="N100" s="311">
        <f t="shared" si="333"/>
      </c>
      <c r="O100" s="312">
        <f t="shared" si="259"/>
      </c>
      <c r="P100" s="358">
        <f t="shared" si="197"/>
      </c>
      <c r="Q100" s="359">
        <f t="shared" si="104"/>
      </c>
      <c r="R100" s="360">
        <f t="shared" si="42"/>
      </c>
      <c r="S100" s="361">
        <f t="shared" si="135"/>
      </c>
      <c r="T100" s="361">
        <f t="shared" si="11"/>
      </c>
      <c r="U100" s="360">
        <f t="shared" si="496"/>
      </c>
      <c r="V100" s="361">
        <f t="shared" si="465"/>
      </c>
      <c r="W100" s="318">
        <f t="shared" si="364"/>
      </c>
      <c r="X100" s="315">
        <f t="shared" si="290"/>
      </c>
      <c r="Y100" s="319">
        <f t="shared" si="228"/>
      </c>
      <c r="Z100" s="362">
        <f t="shared" si="166"/>
      </c>
      <c r="AA100" s="363">
        <f t="shared" si="73"/>
      </c>
      <c r="AB100" s="364" t="s">
        <v>232</v>
      </c>
      <c r="AC100" s="346" t="s">
        <v>233</v>
      </c>
      <c r="AD100" s="309">
        <v>2</v>
      </c>
      <c r="AE100" s="365">
        <v>19439</v>
      </c>
      <c r="AF100" s="365">
        <v>467</v>
      </c>
      <c r="AG100" s="365">
        <v>628</v>
      </c>
      <c r="AH100" s="365">
        <v>128</v>
      </c>
      <c r="AI100" s="365">
        <v>18</v>
      </c>
      <c r="AJ100" s="310">
        <v>10</v>
      </c>
      <c r="AK100" s="310">
        <v>20</v>
      </c>
      <c r="AL100" s="365">
        <f t="shared" si="323"/>
      </c>
      <c r="AM100" s="327"/>
    </row>
    <row r="101">
      <c r="A101" s="303"/>
      <c r="B101" s="304" t="s">
        <v>242</v>
      </c>
      <c r="C101" s="326" t="s">
        <v>231</v>
      </c>
      <c r="D101" s="334">
        <f t="shared" si="458"/>
      </c>
      <c r="E101" s="326">
        <v>2347.64</v>
      </c>
      <c r="F101" s="326">
        <v>451.29</v>
      </c>
      <c r="I101" s="310">
        <v>2</v>
      </c>
      <c r="J101" s="310">
        <v>4348</v>
      </c>
      <c r="K101" s="310">
        <v>0</v>
      </c>
      <c r="L101" s="310">
        <v>0</v>
      </c>
      <c r="M101" s="310">
        <v>2</v>
      </c>
      <c r="N101" s="311">
        <f t="shared" si="333"/>
      </c>
      <c r="O101" s="312">
        <f t="shared" si="259"/>
      </c>
      <c r="P101" s="358">
        <f t="shared" si="197"/>
      </c>
      <c r="Q101" s="359">
        <f t="shared" si="104"/>
      </c>
      <c r="R101" s="360">
        <f t="shared" si="42"/>
      </c>
      <c r="S101" s="361">
        <f t="shared" si="135"/>
      </c>
      <c r="T101" s="361">
        <f t="shared" si="11"/>
      </c>
      <c r="U101" s="360">
        <f t="shared" si="496"/>
      </c>
      <c r="V101" s="361">
        <f t="shared" si="465"/>
      </c>
      <c r="W101" s="318">
        <f t="shared" si="364"/>
      </c>
      <c r="X101" s="315">
        <f t="shared" si="290"/>
      </c>
      <c r="Y101" s="319">
        <f t="shared" si="228"/>
      </c>
      <c r="Z101" s="362">
        <f t="shared" si="166"/>
      </c>
      <c r="AA101" s="363">
        <f t="shared" si="73"/>
      </c>
      <c r="AB101" s="364" t="s">
        <v>232</v>
      </c>
      <c r="AC101" s="346" t="s">
        <v>233</v>
      </c>
      <c r="AD101" s="309">
        <v>2</v>
      </c>
      <c r="AE101" s="365">
        <v>9614</v>
      </c>
      <c r="AF101" s="365">
        <v>220</v>
      </c>
      <c r="AG101" s="365">
        <v>393</v>
      </c>
      <c r="AH101" s="365">
        <v>62</v>
      </c>
      <c r="AI101" s="365">
        <v>21</v>
      </c>
      <c r="AJ101" s="310">
        <v>3</v>
      </c>
      <c r="AK101" s="310">
        <v>18</v>
      </c>
      <c r="AL101" s="365">
        <f t="shared" si="323"/>
      </c>
      <c r="AM101" s="327"/>
    </row>
    <row r="102">
      <c r="A102" s="303"/>
      <c r="B102" s="304" t="s">
        <v>243</v>
      </c>
      <c r="C102" s="326" t="s">
        <v>231</v>
      </c>
      <c r="D102" s="334">
        <f t="shared" si="458"/>
      </c>
      <c r="E102" s="326">
        <v>2994.02</v>
      </c>
      <c r="F102" s="326">
        <v>439.64</v>
      </c>
      <c r="I102" s="310">
        <v>3</v>
      </c>
      <c r="J102" s="310">
        <v>6804</v>
      </c>
      <c r="K102" s="310">
        <v>0</v>
      </c>
      <c r="L102" s="310">
        <v>0</v>
      </c>
      <c r="M102" s="310">
        <v>3</v>
      </c>
      <c r="N102" s="311">
        <f t="shared" si="333"/>
      </c>
      <c r="O102" s="312">
        <f t="shared" si="259"/>
      </c>
      <c r="P102" s="358">
        <f t="shared" si="197"/>
      </c>
      <c r="Q102" s="359">
        <f t="shared" si="104"/>
      </c>
      <c r="R102" s="360">
        <f t="shared" si="42"/>
      </c>
      <c r="S102" s="361">
        <f t="shared" si="135"/>
      </c>
      <c r="T102" s="361">
        <f t="shared" si="11"/>
      </c>
      <c r="U102" s="360">
        <f t="shared" si="496"/>
      </c>
      <c r="V102" s="361">
        <f t="shared" si="465"/>
      </c>
      <c r="W102" s="318">
        <f t="shared" si="364"/>
      </c>
      <c r="X102" s="315">
        <f t="shared" si="290"/>
      </c>
      <c r="Y102" s="319">
        <f t="shared" si="228"/>
      </c>
      <c r="Z102" s="362">
        <f t="shared" si="166"/>
      </c>
      <c r="AA102" s="363">
        <f t="shared" si="73"/>
      </c>
      <c r="AB102" s="364" t="s">
        <v>232</v>
      </c>
      <c r="AC102" s="346" t="s">
        <v>244</v>
      </c>
      <c r="AD102" s="309">
        <v>3</v>
      </c>
      <c r="AE102" s="365">
        <v>10378</v>
      </c>
      <c r="AF102" s="365">
        <v>269</v>
      </c>
      <c r="AG102" s="365">
        <v>349</v>
      </c>
      <c r="AH102" s="365">
        <v>80</v>
      </c>
      <c r="AI102" s="365">
        <v>29</v>
      </c>
      <c r="AJ102" s="310">
        <v>8</v>
      </c>
      <c r="AK102" s="310">
        <v>14</v>
      </c>
      <c r="AL102" s="365">
        <f t="shared" si="323"/>
      </c>
      <c r="AM102" s="327"/>
    </row>
    <row r="103">
      <c r="A103" s="303"/>
      <c r="B103" s="347" t="s">
        <v>238</v>
      </c>
      <c r="C103" s="347"/>
      <c r="D103" s="348">
        <f>SUM(D99:D102)</f>
      </c>
      <c r="E103" s="348">
        <f>SUM(E99:E102)</f>
      </c>
      <c r="F103" s="348">
        <f>SUM(F99:F102)</f>
      </c>
      <c r="I103" s="348">
        <f>SUM(I99:I102)</f>
      </c>
      <c r="J103" s="348">
        <f>SUM(J99:J102)</f>
      </c>
      <c r="K103" s="348">
        <f>SUM(K99:K102)</f>
      </c>
      <c r="L103" s="348">
        <f>SUM(L99:L102)</f>
      </c>
      <c r="M103" s="348">
        <f>SUM(M99:M102)</f>
      </c>
      <c r="N103" s="349">
        <f t="shared" si="333"/>
      </c>
      <c r="O103" s="350">
        <f t="shared" si="259"/>
      </c>
      <c r="P103" s="370">
        <f t="shared" si="197"/>
      </c>
      <c r="Q103" s="352">
        <f t="shared" si="104"/>
      </c>
      <c r="R103" s="353">
        <f t="shared" si="42"/>
      </c>
      <c r="S103" s="354">
        <f t="shared" si="135"/>
      </c>
      <c r="T103" s="354">
        <f t="shared" si="11"/>
      </c>
      <c r="U103" s="353">
        <f t="shared" si="496"/>
      </c>
      <c r="V103" s="354">
        <f t="shared" si="465"/>
      </c>
      <c r="W103" s="354">
        <f t="shared" si="364"/>
      </c>
      <c r="X103" s="355">
        <f t="shared" si="290"/>
      </c>
      <c r="Y103" s="355">
        <f t="shared" si="228"/>
      </c>
      <c r="Z103" s="355">
        <f t="shared" si="166"/>
      </c>
      <c r="AA103" s="356">
        <f t="shared" si="73"/>
      </c>
      <c r="AB103" s="356"/>
      <c r="AC103" s="357"/>
      <c r="AD103" s="347">
        <f>SUM(AD99:AD102)</f>
      </c>
      <c r="AE103" s="347">
        <f>SUM(AE99:AE102)</f>
      </c>
      <c r="AF103" s="347">
        <f>SUM(AF99:AF102)</f>
      </c>
      <c r="AG103" s="347">
        <f>SUM(AG99:AG102)</f>
      </c>
      <c r="AH103" s="347">
        <f>SUM(AH99:AH102)</f>
      </c>
      <c r="AI103" s="347">
        <f>SUM(AI99:AI102)</f>
      </c>
      <c r="AJ103" s="347">
        <f>SUM(AJ99:AJ102)</f>
      </c>
      <c r="AK103" s="347">
        <f>SUM(AK99:AK102)</f>
      </c>
      <c r="AL103" s="347">
        <f>SUM(AL99:AL102)</f>
      </c>
      <c r="AM103" s="327"/>
    </row>
    <row r="104">
      <c r="A104" s="303"/>
      <c r="B104" s="304" t="s">
        <v>245</v>
      </c>
      <c r="C104" s="326" t="s">
        <v>247</v>
      </c>
      <c r="D104" s="334">
        <f t="shared" ref="D104:D106" si="459">E104+F104</f>
      </c>
      <c r="E104" s="334">
        <v>2547.26</v>
      </c>
      <c r="F104" s="334">
        <v>262.19</v>
      </c>
      <c r="I104" s="310">
        <v>1</v>
      </c>
      <c r="J104" s="345">
        <v>468</v>
      </c>
      <c r="K104" s="366">
        <v>1</v>
      </c>
      <c r="L104" s="366">
        <v>0</v>
      </c>
      <c r="M104" s="367">
        <v>0</v>
      </c>
      <c r="N104" s="311">
        <f t="shared" si="333"/>
      </c>
      <c r="O104" s="312">
        <f t="shared" si="259"/>
      </c>
      <c r="P104" s="358">
        <f t="shared" si="197"/>
      </c>
      <c r="Q104" s="359">
        <f t="shared" si="104"/>
      </c>
      <c r="R104" s="360">
        <f t="shared" si="42"/>
      </c>
      <c r="S104" s="361">
        <f t="shared" si="135"/>
      </c>
      <c r="T104" s="361">
        <f t="shared" si="11"/>
      </c>
      <c r="U104" s="360">
        <f t="shared" si="496"/>
      </c>
      <c r="V104" s="361">
        <f t="shared" si="465"/>
      </c>
      <c r="W104" s="318">
        <f t="shared" si="364"/>
      </c>
      <c r="X104" s="315">
        <f t="shared" si="290"/>
      </c>
      <c r="Y104" s="319">
        <f t="shared" si="228"/>
      </c>
      <c r="Z104" s="362">
        <f t="shared" si="166"/>
      </c>
      <c r="AA104" s="363">
        <f t="shared" si="73"/>
      </c>
      <c r="AB104" s="364" t="s">
        <v>232</v>
      </c>
      <c r="AC104" s="346" t="s">
        <v>244</v>
      </c>
      <c r="AD104" s="309">
        <v>1</v>
      </c>
      <c r="AE104" s="310">
        <v>10243</v>
      </c>
      <c r="AF104" s="310">
        <v>248</v>
      </c>
      <c r="AG104" s="310">
        <v>344</v>
      </c>
      <c r="AH104" s="310">
        <v>57</v>
      </c>
      <c r="AI104" s="365">
        <v>14</v>
      </c>
      <c r="AJ104" s="310">
        <v>2</v>
      </c>
      <c r="AK104" s="310">
        <v>8</v>
      </c>
      <c r="AL104" s="365">
        <f t="shared" ref="AL104:AL106" si="324">COUNT(AK104)</f>
      </c>
      <c r="AM104" s="327"/>
    </row>
    <row r="105">
      <c r="A105" s="303"/>
      <c r="B105" s="325" t="s">
        <v>246</v>
      </c>
      <c r="C105" s="326" t="s">
        <v>247</v>
      </c>
      <c r="D105" s="334">
        <f t="shared" si="459"/>
      </c>
      <c r="E105" s="334">
        <v>2000.46</v>
      </c>
      <c r="F105" s="334">
        <v>464.39</v>
      </c>
      <c r="I105" s="310">
        <v>2</v>
      </c>
      <c r="J105" s="345">
        <v>3216</v>
      </c>
      <c r="K105" s="366">
        <v>0</v>
      </c>
      <c r="L105" s="366">
        <v>1</v>
      </c>
      <c r="M105" s="367">
        <v>1</v>
      </c>
      <c r="N105" s="311">
        <f t="shared" si="333"/>
      </c>
      <c r="O105" s="312">
        <f t="shared" si="259"/>
      </c>
      <c r="P105" s="368">
        <f t="shared" si="197"/>
      </c>
      <c r="Q105" s="359">
        <f t="shared" si="104"/>
      </c>
      <c r="R105" s="360">
        <f t="shared" si="42"/>
      </c>
      <c r="S105" s="361">
        <f t="shared" si="135"/>
      </c>
      <c r="T105" s="361">
        <f t="shared" si="11"/>
      </c>
      <c r="U105" s="360">
        <f t="shared" si="496"/>
      </c>
      <c r="V105" s="361">
        <f t="shared" si="465"/>
      </c>
      <c r="W105" s="318">
        <f t="shared" si="364"/>
      </c>
      <c r="X105" s="315">
        <f t="shared" si="290"/>
      </c>
      <c r="Y105" s="319">
        <f t="shared" si="228"/>
      </c>
      <c r="Z105" s="362">
        <f t="shared" si="166"/>
      </c>
      <c r="AA105" s="363">
        <f t="shared" si="73"/>
      </c>
      <c r="AB105" s="364" t="s">
        <v>232</v>
      </c>
      <c r="AC105" s="346" t="s">
        <v>244</v>
      </c>
      <c r="AD105" s="309">
        <v>2</v>
      </c>
      <c r="AE105" s="310">
        <v>7908</v>
      </c>
      <c r="AF105" s="310">
        <v>242</v>
      </c>
      <c r="AG105" s="310">
        <v>334</v>
      </c>
      <c r="AH105" s="310">
        <v>55</v>
      </c>
      <c r="AI105" s="365">
        <v>20</v>
      </c>
      <c r="AJ105" s="310">
        <v>4</v>
      </c>
      <c r="AK105" s="310">
        <v>19</v>
      </c>
      <c r="AL105" s="365">
        <f t="shared" si="324"/>
      </c>
      <c r="AM105" s="327"/>
    </row>
    <row r="106">
      <c r="A106" s="303"/>
      <c r="B106" s="325" t="s">
        <v>248</v>
      </c>
      <c r="C106" s="326" t="s">
        <v>247</v>
      </c>
      <c r="D106" s="334">
        <f t="shared" si="459"/>
      </c>
      <c r="E106" s="334">
        <v>1136.95</v>
      </c>
      <c r="F106" s="334">
        <v>543.44</v>
      </c>
      <c r="I106" s="310">
        <v>2</v>
      </c>
      <c r="J106" s="345">
        <v>4536</v>
      </c>
      <c r="K106" s="366">
        <v>0</v>
      </c>
      <c r="L106" s="366">
        <v>0</v>
      </c>
      <c r="M106" s="367">
        <v>2</v>
      </c>
      <c r="N106" s="311">
        <f t="shared" si="333"/>
      </c>
      <c r="O106" s="312">
        <f t="shared" si="259"/>
      </c>
      <c r="P106" s="358">
        <f t="shared" si="197"/>
      </c>
      <c r="Q106" s="359">
        <f t="shared" si="104"/>
      </c>
      <c r="R106" s="360">
        <f t="shared" si="42"/>
      </c>
      <c r="S106" s="361">
        <f t="shared" si="135"/>
      </c>
      <c r="T106" s="361">
        <f t="shared" si="11"/>
      </c>
      <c r="U106" s="360">
        <f t="shared" si="496"/>
      </c>
      <c r="V106" s="361">
        <f t="shared" si="465"/>
      </c>
      <c r="W106" s="318">
        <f t="shared" si="364"/>
      </c>
      <c r="X106" s="315">
        <f t="shared" si="290"/>
      </c>
      <c r="Y106" s="319">
        <f t="shared" si="228"/>
      </c>
      <c r="Z106" s="362">
        <f t="shared" si="166"/>
      </c>
      <c r="AA106" s="363">
        <f t="shared" si="73"/>
      </c>
      <c r="AB106" s="364" t="s">
        <v>232</v>
      </c>
      <c r="AC106" s="346" t="s">
        <v>244</v>
      </c>
      <c r="AD106" s="309">
        <v>2</v>
      </c>
      <c r="AE106" s="310">
        <v>4588</v>
      </c>
      <c r="AF106" s="310">
        <v>162</v>
      </c>
      <c r="AG106" s="310">
        <v>231</v>
      </c>
      <c r="AH106" s="310">
        <v>49</v>
      </c>
      <c r="AI106" s="365">
        <v>10</v>
      </c>
      <c r="AJ106" s="310">
        <v>3</v>
      </c>
      <c r="AK106" s="310">
        <v>13</v>
      </c>
      <c r="AL106" s="365">
        <f t="shared" si="324"/>
      </c>
      <c r="AM106" s="327"/>
    </row>
    <row r="107">
      <c r="A107" s="303"/>
      <c r="B107" s="347" t="s">
        <v>238</v>
      </c>
      <c r="C107" s="347"/>
      <c r="D107" s="348">
        <f>SUM(D104:D106)</f>
      </c>
      <c r="E107" s="348">
        <f>SUM(E104:E106)</f>
      </c>
      <c r="F107" s="348">
        <f>SUM(F104:F106)</f>
      </c>
      <c r="I107" s="348">
        <f>SUM(I104:I106)</f>
      </c>
      <c r="J107" s="348">
        <f>SUM(J104:J106)</f>
      </c>
      <c r="K107" s="348">
        <f>SUM(K104:K106)</f>
      </c>
      <c r="L107" s="348">
        <f>SUM(L104:L106)</f>
      </c>
      <c r="M107" s="348">
        <f>SUM(M104:M106)</f>
      </c>
      <c r="N107" s="349">
        <f t="shared" si="333"/>
      </c>
      <c r="O107" s="350">
        <f t="shared" si="259"/>
      </c>
      <c r="P107" s="370">
        <f t="shared" si="197"/>
      </c>
      <c r="Q107" s="352">
        <f t="shared" si="104"/>
      </c>
      <c r="R107" s="353">
        <f t="shared" si="42"/>
      </c>
      <c r="S107" s="354">
        <f t="shared" si="135"/>
      </c>
      <c r="T107" s="354">
        <f t="shared" si="11"/>
      </c>
      <c r="U107" s="353">
        <f t="shared" si="496"/>
      </c>
      <c r="V107" s="354">
        <f t="shared" si="465"/>
      </c>
      <c r="W107" s="354">
        <f t="shared" si="364"/>
      </c>
      <c r="X107" s="355">
        <f t="shared" si="290"/>
      </c>
      <c r="Y107" s="355">
        <f t="shared" si="228"/>
      </c>
      <c r="Z107" s="355">
        <f t="shared" si="166"/>
      </c>
      <c r="AA107" s="356">
        <f t="shared" si="73"/>
      </c>
      <c r="AB107" s="356"/>
      <c r="AC107" s="356"/>
      <c r="AD107" s="348">
        <f>SUM(AD104:AD106)</f>
      </c>
      <c r="AE107" s="348">
        <f>SUM(AE104:AE106)</f>
      </c>
      <c r="AF107" s="348">
        <f>SUM(AF104:AF106)</f>
      </c>
      <c r="AG107" s="348">
        <f>SUM(AG104:AG106)</f>
      </c>
      <c r="AH107" s="348">
        <f>SUM(AH104:AH106)</f>
      </c>
      <c r="AI107" s="348">
        <f>SUM(AI104:AI106)</f>
      </c>
      <c r="AJ107" s="348">
        <f>SUM(AJ104:AJ106)</f>
      </c>
      <c r="AK107" s="348">
        <f>SUM(AK104:AK106)</f>
      </c>
      <c r="AL107" s="348">
        <f>SUM(AL104:AL106)</f>
      </c>
      <c r="AM107" s="372" t="s">
        <v>249</v>
      </c>
    </row>
    <row r="108">
      <c r="A108" s="303"/>
      <c r="B108" s="373" t="s">
        <v>250</v>
      </c>
      <c r="C108" s="373"/>
      <c r="D108" s="373">
        <f>D98+D103+D107</f>
      </c>
      <c r="E108" s="373">
        <f>E98+E103+E107</f>
      </c>
      <c r="F108" s="373">
        <f>F98+F103+F107</f>
      </c>
      <c r="I108" s="373">
        <f>I98+I103+I107</f>
      </c>
      <c r="J108" s="374">
        <f>J98+J103+J107</f>
      </c>
      <c r="K108" s="374">
        <f>K98+K103+K107</f>
      </c>
      <c r="L108" s="374">
        <f>L98+L103+L107</f>
      </c>
      <c r="M108" s="374">
        <f>M98+M103+M107</f>
      </c>
      <c r="N108" s="375">
        <f t="shared" si="333"/>
      </c>
      <c r="O108" s="376">
        <f t="shared" si="259"/>
      </c>
      <c r="P108" s="377">
        <f t="shared" si="197"/>
      </c>
      <c r="Q108" s="378">
        <f t="shared" si="104"/>
      </c>
      <c r="R108" s="379">
        <f t="shared" si="42"/>
      </c>
      <c r="S108" s="380">
        <f t="shared" si="135"/>
      </c>
      <c r="T108" s="380">
        <f t="shared" si="11"/>
      </c>
      <c r="U108" s="379">
        <f t="shared" si="496"/>
      </c>
      <c r="V108" s="380">
        <f t="shared" si="465"/>
      </c>
      <c r="W108" s="380">
        <f t="shared" si="364"/>
      </c>
      <c r="X108" s="379">
        <f t="shared" si="290"/>
      </c>
      <c r="Y108" s="379">
        <f t="shared" si="228"/>
      </c>
      <c r="Z108" s="379">
        <f t="shared" si="166"/>
      </c>
      <c r="AA108" s="381">
        <f t="shared" si="73"/>
      </c>
      <c r="AB108" s="381"/>
      <c r="AC108" s="381"/>
      <c r="AD108" s="373">
        <f>AD98+AD103+AD107</f>
      </c>
      <c r="AE108" s="373">
        <f>AE98+AE103+AE107</f>
      </c>
      <c r="AF108" s="373">
        <f>AF98+AF103+AF107</f>
      </c>
      <c r="AG108" s="373">
        <f>AG98+AG103+AG107</f>
      </c>
      <c r="AH108" s="373">
        <f>AH98+AH103+AH107</f>
      </c>
      <c r="AI108" s="373">
        <f>AI98+AI103+AI107</f>
      </c>
      <c r="AJ108" s="373">
        <f>AJ98+AJ103+AJ107</f>
      </c>
      <c r="AK108" s="373">
        <f>AK98+AK103+AK107</f>
      </c>
      <c r="AL108" s="373">
        <f>AL98+AL103+AL107</f>
      </c>
      <c r="AM108" s="372"/>
    </row>
    <row r="109">
      <c r="A109" s="282" t="s">
        <v>189</v>
      </c>
      <c r="B109" s="282"/>
      <c r="C109" s="282"/>
      <c r="D109" s="283" t="s">
        <v>190</v>
      </c>
      <c r="E109" s="283"/>
      <c r="F109" s="283"/>
      <c r="G109" s="283"/>
      <c r="I109" s="283"/>
      <c r="J109" s="283"/>
      <c r="K109" s="283"/>
      <c r="L109" s="283"/>
      <c r="M109" s="283"/>
      <c r="N109" s="283"/>
      <c r="O109" s="283"/>
      <c r="P109" s="284" t="s">
        <v>191</v>
      </c>
      <c r="Q109" s="284"/>
      <c r="R109" s="284"/>
      <c r="S109" s="284"/>
      <c r="T109" s="284"/>
      <c r="U109" s="284"/>
      <c r="V109" s="284"/>
      <c r="W109" s="284"/>
      <c r="X109" s="284"/>
      <c r="Y109" s="284"/>
      <c r="Z109" s="284"/>
      <c r="AA109" s="284"/>
      <c r="AB109" s="284"/>
      <c r="AC109" s="284"/>
      <c r="AD109" s="285" t="s">
        <v>192</v>
      </c>
      <c r="AE109" s="285"/>
      <c r="AF109" s="285"/>
      <c r="AG109" s="285"/>
      <c r="AH109" s="285"/>
      <c r="AI109" s="285"/>
      <c r="AJ109" s="285"/>
      <c r="AK109" s="285"/>
      <c r="AL109" s="285"/>
      <c r="AM109" s="286"/>
    </row>
    <row r="110">
      <c r="A110" s="287" t="s">
        <v>193</v>
      </c>
      <c r="B110" s="288" t="s">
        <v>194</v>
      </c>
      <c r="C110" s="288" t="s">
        <v>195</v>
      </c>
      <c r="D110" s="289" t="s">
        <v>196</v>
      </c>
      <c r="E110" s="290" t="s">
        <v>197</v>
      </c>
      <c r="F110" s="291" t="s">
        <v>198</v>
      </c>
      <c r="G110" s="385" t="s">
        <v>256</v>
      </c>
      <c r="I110" s="292" t="s">
        <v>199</v>
      </c>
      <c r="J110" s="293" t="s">
        <v>200</v>
      </c>
      <c r="K110" s="294" t="s">
        <v>201</v>
      </c>
      <c r="L110" s="294" t="s">
        <v>202</v>
      </c>
      <c r="M110" s="294" t="s">
        <v>203</v>
      </c>
      <c r="N110" s="295" t="s">
        <v>204</v>
      </c>
      <c r="O110" s="295" t="s">
        <v>205</v>
      </c>
      <c r="P110" s="296" t="s">
        <v>206</v>
      </c>
      <c r="Q110" s="296" t="s">
        <v>207</v>
      </c>
      <c r="R110" s="296" t="s">
        <v>208</v>
      </c>
      <c r="S110" s="297" t="s">
        <v>209</v>
      </c>
      <c r="T110" s="297" t="s">
        <v>210</v>
      </c>
      <c r="U110" s="296" t="s">
        <v>211</v>
      </c>
      <c r="V110" s="297" t="s">
        <v>212</v>
      </c>
      <c r="W110" s="297" t="s">
        <v>213</v>
      </c>
      <c r="X110" s="296" t="s">
        <v>214</v>
      </c>
      <c r="Y110" s="297" t="s">
        <v>215</v>
      </c>
      <c r="Z110" s="296" t="s">
        <v>216</v>
      </c>
      <c r="AA110" s="298" t="s">
        <v>217</v>
      </c>
      <c r="AB110" s="298" t="s">
        <v>218</v>
      </c>
      <c r="AC110" s="299" t="s">
        <v>219</v>
      </c>
      <c r="AD110" s="300" t="s">
        <v>220</v>
      </c>
      <c r="AE110" s="301" t="s">
        <v>221</v>
      </c>
      <c r="AF110" s="301" t="s">
        <v>222</v>
      </c>
      <c r="AG110" s="301" t="s">
        <v>223</v>
      </c>
      <c r="AH110" s="301" t="s">
        <v>224</v>
      </c>
      <c r="AI110" s="301" t="s">
        <v>225</v>
      </c>
      <c r="AJ110" s="302" t="s">
        <v>226</v>
      </c>
      <c r="AK110" s="302" t="s">
        <v>227</v>
      </c>
      <c r="AL110" s="302" t="s">
        <v>228</v>
      </c>
      <c r="AM110" s="327"/>
    </row>
    <row r="111">
      <c r="A111" s="303" t="s">
        <v>257</v>
      </c>
      <c r="B111" s="304" t="s">
        <v>230</v>
      </c>
      <c r="C111" s="305" t="s">
        <v>240</v>
      </c>
      <c r="D111" s="306">
        <f t="shared" ref="D111:D115" si="0">E111+F111+G111</f>
      </c>
      <c r="E111" s="307">
        <v>3060.88</v>
      </c>
      <c r="F111" s="382">
        <v>688.76</v>
      </c>
      <c r="G111" s="382">
        <v>0</v>
      </c>
      <c r="I111" s="307">
        <v>1</v>
      </c>
      <c r="J111" s="328">
        <v>948</v>
      </c>
      <c r="K111" s="309">
        <v>0</v>
      </c>
      <c r="L111" s="310">
        <v>1</v>
      </c>
      <c r="M111" s="310">
        <v>0</v>
      </c>
      <c r="N111" s="311">
        <f t="shared" ref="N111:N126" si="334">J111/D111</f>
      </c>
      <c r="O111" s="312">
        <f t="shared" ref="O111:O126" si="260">J111/(D111+300*AL111)</f>
      </c>
      <c r="P111" s="313">
        <f t="shared" ref="P111:P126" si="198">(D111/AE111)*1000</f>
      </c>
      <c r="Q111" s="314">
        <f t="shared" ref="Q111:Q126" si="105">AF111/AE111</f>
      </c>
      <c r="R111" s="315">
        <f t="shared" ref="R111:R126" si="43">D111/AG111</f>
      </c>
      <c r="S111" s="316">
        <f t="shared" ref="S111:S126" si="136">AH111/AG111</f>
      </c>
      <c r="T111" s="314">
        <f t="shared" ref="T111:T126" si="12">AI111/AG111</f>
      </c>
      <c r="U111" s="317">
        <f t="shared" ref="U111:U126" si="497">D111/AI111</f>
      </c>
      <c r="V111" s="314">
        <f t="shared" ref="V111:V126" si="466">AJ111/AI111</f>
      </c>
      <c r="W111" s="318">
        <f t="shared" ref="W111:W126" si="365">I111/AJ111</f>
      </c>
      <c r="X111" s="315">
        <f t="shared" ref="X111:X126" si="291">D111/I111</f>
      </c>
      <c r="Y111" s="319">
        <f t="shared" ref="Y111:Y126" si="229">J111/I111</f>
      </c>
      <c r="Z111" s="315">
        <f t="shared" ref="Z111:Z126" si="167">D111/AD111</f>
      </c>
      <c r="AA111" s="320">
        <f t="shared" ref="AA111:AA126" si="74">AK111*1000/D111</f>
      </c>
      <c r="AB111" s="321" t="s">
        <v>232</v>
      </c>
      <c r="AC111" s="322" t="s">
        <v>258</v>
      </c>
      <c r="AD111" s="307">
        <v>1</v>
      </c>
      <c r="AE111" s="306">
        <v>13453</v>
      </c>
      <c r="AF111" s="323">
        <v>401</v>
      </c>
      <c r="AG111" s="324">
        <v>624</v>
      </c>
      <c r="AH111" s="325">
        <v>89</v>
      </c>
      <c r="AI111" s="326">
        <v>32</v>
      </c>
      <c r="AJ111" s="325">
        <v>3</v>
      </c>
      <c r="AK111" s="326">
        <v>17</v>
      </c>
      <c r="AL111" s="310">
        <v>1</v>
      </c>
      <c r="AM111" s="327"/>
    </row>
    <row r="112">
      <c r="A112" s="303"/>
      <c r="B112" s="304" t="s">
        <v>234</v>
      </c>
      <c r="C112" s="305" t="s">
        <v>240</v>
      </c>
      <c r="D112" s="306">
        <f t="shared" si="0"/>
      </c>
      <c r="E112" s="307">
        <v>2211.53</v>
      </c>
      <c r="F112" s="307">
        <v>556.89</v>
      </c>
      <c r="G112" s="307">
        <v>0</v>
      </c>
      <c r="I112" s="383">
        <v>2</v>
      </c>
      <c r="J112" s="383">
        <v>4536</v>
      </c>
      <c r="K112" s="383">
        <v>0</v>
      </c>
      <c r="L112" s="383">
        <v>0</v>
      </c>
      <c r="M112" s="383">
        <v>2</v>
      </c>
      <c r="N112" s="386">
        <f t="shared" si="334"/>
      </c>
      <c r="O112" s="387">
        <f t="shared" si="260"/>
      </c>
      <c r="P112" s="313">
        <f t="shared" si="198"/>
      </c>
      <c r="Q112" s="314">
        <f t="shared" si="105"/>
      </c>
      <c r="R112" s="330">
        <f t="shared" si="43"/>
      </c>
      <c r="S112" s="316">
        <f t="shared" si="136"/>
      </c>
      <c r="T112" s="314">
        <f t="shared" si="12"/>
      </c>
      <c r="U112" s="317">
        <f t="shared" si="497"/>
      </c>
      <c r="V112" s="314">
        <f t="shared" si="466"/>
      </c>
      <c r="W112" s="318">
        <f t="shared" si="365"/>
      </c>
      <c r="X112" s="315">
        <f t="shared" si="291"/>
      </c>
      <c r="Y112" s="319">
        <f t="shared" si="229"/>
      </c>
      <c r="Z112" s="315">
        <f t="shared" si="167"/>
      </c>
      <c r="AA112" s="331">
        <f t="shared" si="74"/>
      </c>
      <c r="AB112" s="332" t="s">
        <v>232</v>
      </c>
      <c r="AC112" s="322" t="s">
        <v>258</v>
      </c>
      <c r="AD112" s="307">
        <v>1</v>
      </c>
      <c r="AE112" s="306">
        <v>7058</v>
      </c>
      <c r="AF112" s="304">
        <v>217</v>
      </c>
      <c r="AG112" s="333">
        <v>346</v>
      </c>
      <c r="AH112" s="334">
        <v>52</v>
      </c>
      <c r="AI112" s="334">
        <v>25</v>
      </c>
      <c r="AJ112" s="335">
        <v>3</v>
      </c>
      <c r="AK112" s="336">
        <v>17</v>
      </c>
      <c r="AL112" s="310">
        <v>1</v>
      </c>
      <c r="AM112" s="327"/>
    </row>
    <row r="113">
      <c r="A113" s="303"/>
      <c r="B113" s="304" t="s">
        <v>235</v>
      </c>
      <c r="C113" s="305" t="s">
        <v>240</v>
      </c>
      <c r="D113" s="306">
        <f t="shared" si="0"/>
      </c>
      <c r="E113" s="307">
        <v>1625.99</v>
      </c>
      <c r="F113" s="307">
        <v>761.99</v>
      </c>
      <c r="G113" s="307">
        <v>0</v>
      </c>
      <c r="I113" s="328">
        <v>1</v>
      </c>
      <c r="J113" s="328">
        <v>2268</v>
      </c>
      <c r="K113" s="328">
        <v>0</v>
      </c>
      <c r="L113" s="328">
        <v>0</v>
      </c>
      <c r="M113" s="328">
        <v>1</v>
      </c>
      <c r="N113" s="386">
        <f t="shared" si="334"/>
      </c>
      <c r="O113" s="387">
        <f t="shared" si="260"/>
      </c>
      <c r="P113" s="313">
        <f t="shared" si="198"/>
      </c>
      <c r="Q113" s="316">
        <f t="shared" si="105"/>
      </c>
      <c r="R113" s="315">
        <f t="shared" si="43"/>
      </c>
      <c r="S113" s="318">
        <f t="shared" si="136"/>
      </c>
      <c r="T113" s="337">
        <f t="shared" si="12"/>
      </c>
      <c r="U113" s="338">
        <f t="shared" si="497"/>
      </c>
      <c r="V113" s="337">
        <f t="shared" si="466"/>
      </c>
      <c r="W113" s="318">
        <f t="shared" si="365"/>
      </c>
      <c r="X113" s="315">
        <f t="shared" si="291"/>
      </c>
      <c r="Y113" s="319">
        <f t="shared" si="229"/>
      </c>
      <c r="Z113" s="315">
        <f t="shared" si="167"/>
      </c>
      <c r="AA113" s="331">
        <f t="shared" si="74"/>
      </c>
      <c r="AB113" s="332" t="s">
        <v>232</v>
      </c>
      <c r="AC113" s="322" t="s">
        <v>258</v>
      </c>
      <c r="AD113" s="307">
        <v>0</v>
      </c>
      <c r="AE113" s="306">
        <v>5883</v>
      </c>
      <c r="AF113" s="304">
        <v>203</v>
      </c>
      <c r="AG113" s="334">
        <v>333</v>
      </c>
      <c r="AH113" s="334">
        <v>56</v>
      </c>
      <c r="AI113" s="334">
        <v>23</v>
      </c>
      <c r="AJ113" s="335">
        <v>6</v>
      </c>
      <c r="AK113" s="336">
        <v>14</v>
      </c>
      <c r="AL113" s="310">
        <v>1</v>
      </c>
      <c r="AM113" s="327"/>
    </row>
    <row r="114">
      <c r="A114" s="303"/>
      <c r="B114" s="304" t="s">
        <v>236</v>
      </c>
      <c r="C114" s="305" t="s">
        <v>240</v>
      </c>
      <c r="D114" s="306">
        <f t="shared" si="0"/>
      </c>
      <c r="E114" s="307">
        <v>2329.71</v>
      </c>
      <c r="F114" s="307">
        <v>392.37</v>
      </c>
      <c r="G114" s="307">
        <v>0</v>
      </c>
      <c r="I114" s="335">
        <v>3</v>
      </c>
      <c r="J114" s="335">
        <v>6616</v>
      </c>
      <c r="K114" s="335">
        <v>0</v>
      </c>
      <c r="L114" s="335">
        <v>0</v>
      </c>
      <c r="M114" s="335">
        <v>3</v>
      </c>
      <c r="N114" s="386">
        <f t="shared" si="334"/>
      </c>
      <c r="O114" s="387">
        <f t="shared" si="260"/>
      </c>
      <c r="P114" s="313">
        <f t="shared" si="198"/>
      </c>
      <c r="Q114" s="314">
        <f t="shared" si="105"/>
      </c>
      <c r="R114" s="339">
        <f t="shared" si="43"/>
      </c>
      <c r="S114" s="314">
        <f t="shared" si="136"/>
      </c>
      <c r="T114" s="314">
        <f t="shared" si="12"/>
      </c>
      <c r="U114" s="315">
        <f t="shared" si="497"/>
      </c>
      <c r="V114" s="314">
        <f t="shared" si="466"/>
      </c>
      <c r="W114" s="318">
        <f t="shared" si="365"/>
      </c>
      <c r="X114" s="315">
        <f t="shared" si="291"/>
      </c>
      <c r="Y114" s="319">
        <f t="shared" si="229"/>
      </c>
      <c r="Z114" s="315">
        <f t="shared" si="167"/>
      </c>
      <c r="AA114" s="331">
        <f t="shared" si="74"/>
      </c>
      <c r="AB114" s="340" t="s">
        <v>232</v>
      </c>
      <c r="AC114" s="322" t="s">
        <v>258</v>
      </c>
      <c r="AD114" s="342">
        <v>3</v>
      </c>
      <c r="AE114" s="333">
        <v>7374</v>
      </c>
      <c r="AF114" s="334">
        <v>239</v>
      </c>
      <c r="AG114" s="334">
        <v>382</v>
      </c>
      <c r="AH114" s="334">
        <v>66</v>
      </c>
      <c r="AI114" s="334">
        <v>12</v>
      </c>
      <c r="AJ114" s="335">
        <v>7</v>
      </c>
      <c r="AK114" s="336">
        <v>25</v>
      </c>
      <c r="AL114" s="310">
        <v>1</v>
      </c>
      <c r="AM114" s="327"/>
    </row>
    <row r="115">
      <c r="A115" s="303"/>
      <c r="B115" s="325" t="s">
        <v>237</v>
      </c>
      <c r="C115" s="305" t="s">
        <v>240</v>
      </c>
      <c r="D115" s="306">
        <f t="shared" si="0"/>
      </c>
      <c r="E115" s="344">
        <v>3131.04</v>
      </c>
      <c r="F115" s="344">
        <v>627.54</v>
      </c>
      <c r="G115" s="344">
        <v>0</v>
      </c>
      <c r="I115" s="310">
        <v>4</v>
      </c>
      <c r="J115" s="345">
        <v>7272</v>
      </c>
      <c r="K115" s="310">
        <v>1</v>
      </c>
      <c r="L115" s="310">
        <v>0</v>
      </c>
      <c r="M115" s="310">
        <v>3</v>
      </c>
      <c r="N115" s="386">
        <f t="shared" si="334"/>
      </c>
      <c r="O115" s="387">
        <f t="shared" si="260"/>
      </c>
      <c r="P115" s="313">
        <f t="shared" si="198"/>
      </c>
      <c r="Q115" s="314">
        <f t="shared" si="105"/>
      </c>
      <c r="R115" s="339">
        <f t="shared" si="43"/>
      </c>
      <c r="S115" s="314">
        <f t="shared" si="136"/>
      </c>
      <c r="T115" s="314">
        <f t="shared" si="12"/>
      </c>
      <c r="U115" s="315">
        <f t="shared" si="497"/>
      </c>
      <c r="V115" s="314">
        <f t="shared" si="466"/>
      </c>
      <c r="W115" s="318">
        <f t="shared" si="365"/>
      </c>
      <c r="X115" s="315">
        <f t="shared" si="291"/>
      </c>
      <c r="Y115" s="319">
        <f t="shared" si="229"/>
      </c>
      <c r="Z115" s="315">
        <f t="shared" si="167"/>
      </c>
      <c r="AA115" s="331">
        <f t="shared" si="74"/>
      </c>
      <c r="AB115" s="340" t="s">
        <v>232</v>
      </c>
      <c r="AC115" s="322" t="s">
        <v>258</v>
      </c>
      <c r="AD115" s="325">
        <v>4</v>
      </c>
      <c r="AE115" s="334">
        <v>10503</v>
      </c>
      <c r="AF115" s="334">
        <v>276</v>
      </c>
      <c r="AG115" s="334">
        <v>432</v>
      </c>
      <c r="AH115" s="334">
        <v>77</v>
      </c>
      <c r="AI115" s="334">
        <v>21</v>
      </c>
      <c r="AJ115" s="335">
        <v>6</v>
      </c>
      <c r="AK115" s="336">
        <v>24</v>
      </c>
      <c r="AL115" s="310">
        <v>1</v>
      </c>
      <c r="AM115" s="327"/>
    </row>
    <row r="116">
      <c r="A116" s="303"/>
      <c r="B116" s="347" t="s">
        <v>238</v>
      </c>
      <c r="C116" s="347"/>
      <c r="D116" s="348">
        <f>SUM(D111:D115)</f>
      </c>
      <c r="E116" s="348">
        <f>SUM(E111:E115)</f>
      </c>
      <c r="F116" s="348">
        <f>SUM(F111:F115)</f>
      </c>
      <c r="G116" s="348">
        <f>SUM(G111:G115)</f>
      </c>
      <c r="I116" s="348">
        <f>SUM(I111:I115)</f>
      </c>
      <c r="J116" s="348">
        <f>SUM(J111:J115)</f>
      </c>
      <c r="K116" s="348">
        <f>SUM(K111:K115)</f>
      </c>
      <c r="L116" s="348">
        <f>SUM(L111:L115)</f>
      </c>
      <c r="M116" s="348">
        <f>SUM(M111:M115)</f>
      </c>
      <c r="N116" s="349">
        <f t="shared" si="334"/>
      </c>
      <c r="O116" s="350">
        <f t="shared" si="260"/>
      </c>
      <c r="P116" s="351">
        <f t="shared" si="198"/>
      </c>
      <c r="Q116" s="352">
        <f t="shared" si="105"/>
      </c>
      <c r="R116" s="353">
        <f t="shared" si="43"/>
      </c>
      <c r="S116" s="354">
        <f t="shared" si="136"/>
      </c>
      <c r="T116" s="354">
        <f t="shared" si="12"/>
      </c>
      <c r="U116" s="353">
        <f t="shared" si="497"/>
      </c>
      <c r="V116" s="354">
        <f t="shared" si="466"/>
      </c>
      <c r="W116" s="354">
        <f t="shared" si="365"/>
      </c>
      <c r="X116" s="355">
        <f t="shared" si="291"/>
      </c>
      <c r="Y116" s="355">
        <f t="shared" si="229"/>
      </c>
      <c r="Z116" s="355">
        <f t="shared" si="167"/>
      </c>
      <c r="AA116" s="356">
        <f t="shared" si="74"/>
      </c>
      <c r="AB116" s="356"/>
      <c r="AC116" s="357"/>
      <c r="AD116" s="347">
        <f>SUM(AD111:AD115)</f>
      </c>
      <c r="AE116" s="347">
        <f>SUM(AE111:AE115)</f>
      </c>
      <c r="AF116" s="347">
        <f>SUM(AF111:AF115)</f>
      </c>
      <c r="AG116" s="347">
        <f>SUM(AG111:AG115)</f>
      </c>
      <c r="AH116" s="347">
        <f>SUM(AH111:AH115)</f>
      </c>
      <c r="AI116" s="347">
        <f>SUM(AI111:AI115)</f>
      </c>
      <c r="AJ116" s="347">
        <f>SUM(AJ111:AJ115)</f>
      </c>
      <c r="AK116" s="347">
        <f>SUM(AK111:AK115)</f>
      </c>
      <c r="AL116" s="347">
        <f>SUM(AL111:AL115)</f>
      </c>
      <c r="AM116" s="327"/>
    </row>
    <row r="117">
      <c r="A117" s="303"/>
      <c r="B117" s="304" t="s">
        <v>239</v>
      </c>
      <c r="C117" s="326" t="s">
        <v>231</v>
      </c>
      <c r="D117" s="334">
        <f t="shared" ref="D117:D120" si="1">E117+F117+G117</f>
      </c>
      <c r="E117" s="326">
        <v>5165.86</v>
      </c>
      <c r="F117" s="326">
        <v>747.06</v>
      </c>
      <c r="G117" s="326">
        <v>0</v>
      </c>
      <c r="I117" s="310">
        <v>6</v>
      </c>
      <c r="J117" s="345">
        <v>10449</v>
      </c>
      <c r="K117" s="310">
        <v>1</v>
      </c>
      <c r="L117" s="310">
        <v>1</v>
      </c>
      <c r="M117" s="310">
        <v>4</v>
      </c>
      <c r="N117" s="386">
        <f t="shared" si="334"/>
      </c>
      <c r="O117" s="387">
        <f t="shared" si="260"/>
      </c>
      <c r="P117" s="358">
        <f t="shared" si="198"/>
      </c>
      <c r="Q117" s="359">
        <f t="shared" si="105"/>
      </c>
      <c r="R117" s="360">
        <f t="shared" si="43"/>
      </c>
      <c r="S117" s="361">
        <f t="shared" si="136"/>
      </c>
      <c r="T117" s="361">
        <f t="shared" si="12"/>
      </c>
      <c r="U117" s="360">
        <f t="shared" si="497"/>
      </c>
      <c r="V117" s="361">
        <f t="shared" si="466"/>
      </c>
      <c r="W117" s="318">
        <f t="shared" si="365"/>
      </c>
      <c r="X117" s="315">
        <f t="shared" si="291"/>
      </c>
      <c r="Y117" s="319">
        <f t="shared" si="229"/>
      </c>
      <c r="Z117" s="362">
        <f t="shared" si="167"/>
      </c>
      <c r="AA117" s="363">
        <f t="shared" si="74"/>
      </c>
      <c r="AB117" s="364" t="s">
        <v>232</v>
      </c>
      <c r="AC117" s="346" t="s">
        <v>258</v>
      </c>
      <c r="AD117" s="309">
        <v>6</v>
      </c>
      <c r="AE117" s="365">
        <v>17872</v>
      </c>
      <c r="AF117" s="365">
        <v>485</v>
      </c>
      <c r="AG117" s="365">
        <v>673</v>
      </c>
      <c r="AH117" s="365">
        <v>141</v>
      </c>
      <c r="AI117" s="365">
        <v>46</v>
      </c>
      <c r="AJ117" s="310">
        <v>12</v>
      </c>
      <c r="AK117" s="310">
        <v>35</v>
      </c>
      <c r="AL117" s="310">
        <v>1</v>
      </c>
      <c r="AM117" s="327"/>
    </row>
    <row r="118">
      <c r="A118" s="303"/>
      <c r="B118" s="304" t="s">
        <v>241</v>
      </c>
      <c r="C118" s="326" t="s">
        <v>231</v>
      </c>
      <c r="D118" s="388">
        <f t="shared" si="1"/>
      </c>
      <c r="E118" s="326">
        <v>3476.32</v>
      </c>
      <c r="F118" s="326">
        <v>711.27</v>
      </c>
      <c r="G118" s="326">
        <v>12.6</v>
      </c>
      <c r="I118" s="310">
        <v>2</v>
      </c>
      <c r="J118" s="310">
        <v>4536</v>
      </c>
      <c r="K118" s="310">
        <v>0</v>
      </c>
      <c r="L118" s="310">
        <v>0</v>
      </c>
      <c r="M118" s="310">
        <v>2</v>
      </c>
      <c r="N118" s="386">
        <f t="shared" si="334"/>
      </c>
      <c r="O118" s="387">
        <f t="shared" si="260"/>
      </c>
      <c r="P118" s="358">
        <f t="shared" si="198"/>
      </c>
      <c r="Q118" s="359">
        <f t="shared" si="105"/>
      </c>
      <c r="R118" s="360">
        <f t="shared" si="43"/>
      </c>
      <c r="S118" s="361">
        <f t="shared" si="136"/>
      </c>
      <c r="T118" s="361">
        <f t="shared" si="12"/>
      </c>
      <c r="U118" s="360">
        <f t="shared" si="497"/>
      </c>
      <c r="V118" s="361">
        <f t="shared" si="466"/>
      </c>
      <c r="W118" s="318">
        <f t="shared" si="365"/>
      </c>
      <c r="X118" s="315">
        <f t="shared" si="291"/>
      </c>
      <c r="Y118" s="319">
        <f t="shared" si="229"/>
      </c>
      <c r="Z118" s="362">
        <f t="shared" si="167"/>
      </c>
      <c r="AA118" s="363">
        <f t="shared" si="74"/>
      </c>
      <c r="AB118" s="364" t="s">
        <v>232</v>
      </c>
      <c r="AC118" s="346" t="s">
        <v>258</v>
      </c>
      <c r="AD118" s="309">
        <v>1</v>
      </c>
      <c r="AE118" s="365">
        <v>14441</v>
      </c>
      <c r="AF118" s="365">
        <v>355</v>
      </c>
      <c r="AG118" s="365">
        <v>561</v>
      </c>
      <c r="AH118" s="365">
        <v>108</v>
      </c>
      <c r="AI118" s="365">
        <v>27</v>
      </c>
      <c r="AJ118" s="310">
        <v>2</v>
      </c>
      <c r="AK118" s="310">
        <v>17</v>
      </c>
      <c r="AL118" s="310">
        <v>1</v>
      </c>
      <c r="AM118" s="327"/>
    </row>
    <row r="119">
      <c r="A119" s="303"/>
      <c r="B119" s="304" t="s">
        <v>242</v>
      </c>
      <c r="C119" s="326" t="s">
        <v>231</v>
      </c>
      <c r="D119" s="334">
        <f t="shared" si="1"/>
      </c>
      <c r="E119" s="326">
        <v>2634.08</v>
      </c>
      <c r="F119" s="326">
        <v>671.73</v>
      </c>
      <c r="G119" s="326">
        <v>58.11</v>
      </c>
      <c r="I119" s="310">
        <v>0</v>
      </c>
      <c r="J119" s="310">
        <v>0</v>
      </c>
      <c r="K119" s="310">
        <v>0</v>
      </c>
      <c r="L119" s="310">
        <v>0</v>
      </c>
      <c r="M119" s="310">
        <v>0</v>
      </c>
      <c r="N119" s="386">
        <f t="shared" si="334"/>
      </c>
      <c r="O119" s="387">
        <f t="shared" si="260"/>
      </c>
      <c r="P119" s="358">
        <f t="shared" si="198"/>
      </c>
      <c r="Q119" s="359">
        <f t="shared" si="105"/>
      </c>
      <c r="R119" s="360">
        <f t="shared" si="43"/>
      </c>
      <c r="S119" s="361">
        <f t="shared" si="136"/>
      </c>
      <c r="T119" s="361">
        <f t="shared" si="12"/>
      </c>
      <c r="U119" s="360">
        <f t="shared" si="497"/>
      </c>
      <c r="V119" s="361">
        <f t="shared" si="466"/>
      </c>
      <c r="W119" s="318">
        <f t="shared" si="365"/>
      </c>
      <c r="X119" s="315">
        <f t="shared" si="291"/>
      </c>
      <c r="Y119" s="319">
        <f t="shared" si="229"/>
      </c>
      <c r="Z119" s="362">
        <f t="shared" si="167"/>
      </c>
      <c r="AA119" s="363">
        <f t="shared" si="74"/>
      </c>
      <c r="AB119" s="364" t="s">
        <v>232</v>
      </c>
      <c r="AC119" s="346" t="s">
        <v>258</v>
      </c>
      <c r="AD119" s="309">
        <v>0</v>
      </c>
      <c r="AE119" s="365">
        <v>9754</v>
      </c>
      <c r="AF119" s="365">
        <v>270</v>
      </c>
      <c r="AG119" s="365">
        <v>443</v>
      </c>
      <c r="AH119" s="365">
        <v>60</v>
      </c>
      <c r="AI119" s="365">
        <v>21</v>
      </c>
      <c r="AJ119" s="310">
        <v>4</v>
      </c>
      <c r="AK119" s="310">
        <v>12</v>
      </c>
      <c r="AL119" s="310">
        <v>1</v>
      </c>
      <c r="AM119" s="327"/>
    </row>
    <row r="120">
      <c r="A120" s="303"/>
      <c r="B120" s="304" t="s">
        <v>243</v>
      </c>
      <c r="C120" s="326" t="s">
        <v>231</v>
      </c>
      <c r="D120" s="334">
        <f t="shared" si="1"/>
      </c>
      <c r="E120" s="326">
        <v>2060.85</v>
      </c>
      <c r="F120" s="326">
        <v>229.07</v>
      </c>
      <c r="G120" s="326">
        <v>141.21</v>
      </c>
      <c r="I120" s="310">
        <v>2</v>
      </c>
      <c r="J120" s="310">
        <v>4536</v>
      </c>
      <c r="K120" s="310">
        <v>0</v>
      </c>
      <c r="L120" s="310">
        <v>0</v>
      </c>
      <c r="M120" s="310">
        <v>2</v>
      </c>
      <c r="N120" s="386">
        <f t="shared" si="334"/>
      </c>
      <c r="O120" s="387">
        <f t="shared" si="260"/>
      </c>
      <c r="P120" s="358">
        <f t="shared" si="198"/>
      </c>
      <c r="Q120" s="359">
        <f t="shared" si="105"/>
      </c>
      <c r="R120" s="360">
        <f t="shared" si="43"/>
      </c>
      <c r="S120" s="361">
        <f t="shared" si="136"/>
      </c>
      <c r="T120" s="361">
        <f t="shared" si="12"/>
      </c>
      <c r="U120" s="360">
        <f t="shared" si="497"/>
      </c>
      <c r="V120" s="361">
        <f t="shared" si="466"/>
      </c>
      <c r="W120" s="318">
        <f t="shared" si="365"/>
      </c>
      <c r="X120" s="315">
        <f t="shared" si="291"/>
      </c>
      <c r="Y120" s="319">
        <f t="shared" si="229"/>
      </c>
      <c r="Z120" s="362">
        <f t="shared" si="167"/>
      </c>
      <c r="AA120" s="363">
        <f t="shared" si="74"/>
      </c>
      <c r="AB120" s="364" t="s">
        <v>232</v>
      </c>
      <c r="AC120" s="346" t="s">
        <v>258</v>
      </c>
      <c r="AD120" s="309">
        <v>2</v>
      </c>
      <c r="AE120" s="365">
        <v>5310</v>
      </c>
      <c r="AF120" s="365">
        <v>165</v>
      </c>
      <c r="AG120" s="365">
        <v>279</v>
      </c>
      <c r="AH120" s="365">
        <v>57</v>
      </c>
      <c r="AI120" s="365">
        <v>22</v>
      </c>
      <c r="AJ120" s="310">
        <v>9</v>
      </c>
      <c r="AK120" s="310">
        <v>20</v>
      </c>
      <c r="AL120" s="310">
        <v>1</v>
      </c>
      <c r="AM120" s="327"/>
    </row>
    <row r="121">
      <c r="A121" s="303"/>
      <c r="B121" s="347" t="s">
        <v>238</v>
      </c>
      <c r="C121" s="347"/>
      <c r="D121" s="348">
        <f>SUM(D117:D120)</f>
      </c>
      <c r="E121" s="348">
        <f>SUM(E117:E120)</f>
      </c>
      <c r="F121" s="348">
        <f>SUM(F117:F120)</f>
      </c>
      <c r="G121" s="348">
        <f>SUM(G117:G120)</f>
      </c>
      <c r="I121" s="348">
        <f>SUM(I117:I120)</f>
      </c>
      <c r="J121" s="348">
        <f>SUM(J117:J120)</f>
      </c>
      <c r="K121" s="348">
        <f>SUM(K117:K120)</f>
      </c>
      <c r="L121" s="348">
        <f>SUM(L117:L120)</f>
      </c>
      <c r="M121" s="348">
        <f>SUM(M117:M120)</f>
      </c>
      <c r="N121" s="349">
        <f t="shared" si="334"/>
      </c>
      <c r="O121" s="350">
        <f t="shared" si="260"/>
      </c>
      <c r="P121" s="370">
        <f t="shared" si="198"/>
      </c>
      <c r="Q121" s="352">
        <f t="shared" si="105"/>
      </c>
      <c r="R121" s="353">
        <f t="shared" si="43"/>
      </c>
      <c r="S121" s="354">
        <f t="shared" si="136"/>
      </c>
      <c r="T121" s="354">
        <f t="shared" si="12"/>
      </c>
      <c r="U121" s="353">
        <f t="shared" si="497"/>
      </c>
      <c r="V121" s="354">
        <f t="shared" si="466"/>
      </c>
      <c r="W121" s="354">
        <f t="shared" si="365"/>
      </c>
      <c r="X121" s="355">
        <f t="shared" si="291"/>
      </c>
      <c r="Y121" s="355">
        <f t="shared" si="229"/>
      </c>
      <c r="Z121" s="355">
        <f t="shared" si="167"/>
      </c>
      <c r="AA121" s="356">
        <f t="shared" si="74"/>
      </c>
      <c r="AB121" s="356"/>
      <c r="AC121" s="357"/>
      <c r="AD121" s="347">
        <f>SUM(AD117:AD120)</f>
      </c>
      <c r="AE121" s="347">
        <f>SUM(AE117:AE120)</f>
      </c>
      <c r="AF121" s="347">
        <f>SUM(AF117:AF120)</f>
      </c>
      <c r="AG121" s="347">
        <f>SUM(AG117:AG120)</f>
      </c>
      <c r="AH121" s="347">
        <f>SUM(AH117:AH120)</f>
      </c>
      <c r="AI121" s="347">
        <f>SUM(AI117:AI120)</f>
      </c>
      <c r="AJ121" s="347">
        <f>SUM(AJ117:AJ120)</f>
      </c>
      <c r="AK121" s="347">
        <f>SUM(AK117:AK120)</f>
      </c>
      <c r="AL121" s="347">
        <f>SUM(AL117:AL120)</f>
      </c>
      <c r="AM121" s="327"/>
    </row>
    <row r="122">
      <c r="A122" s="303"/>
      <c r="B122" s="304" t="s">
        <v>245</v>
      </c>
      <c r="C122" s="326" t="s">
        <v>247</v>
      </c>
      <c r="D122" s="334">
        <f t="shared" ref="D122:D124" si="2">E122+F122+G122</f>
      </c>
      <c r="E122" s="334">
        <v>2337.16</v>
      </c>
      <c r="F122" s="334">
        <v>0</v>
      </c>
      <c r="G122" s="334">
        <v>0.07</v>
      </c>
      <c r="I122" s="310">
        <v>2</v>
      </c>
      <c r="J122" s="345">
        <v>4536</v>
      </c>
      <c r="K122" s="366">
        <v>0</v>
      </c>
      <c r="L122" s="366">
        <v>0</v>
      </c>
      <c r="M122" s="367">
        <v>2</v>
      </c>
      <c r="N122" s="386">
        <f t="shared" si="334"/>
      </c>
      <c r="O122" s="387">
        <f t="shared" si="260"/>
      </c>
      <c r="P122" s="358">
        <f t="shared" si="198"/>
      </c>
      <c r="Q122" s="359">
        <f t="shared" si="105"/>
      </c>
      <c r="R122" s="360">
        <f t="shared" si="43"/>
      </c>
      <c r="S122" s="361">
        <f t="shared" si="136"/>
      </c>
      <c r="T122" s="361">
        <f t="shared" si="12"/>
      </c>
      <c r="U122" s="360">
        <f t="shared" si="497"/>
      </c>
      <c r="V122" s="361">
        <f t="shared" si="466"/>
      </c>
      <c r="W122" s="318">
        <f t="shared" si="365"/>
      </c>
      <c r="X122" s="315">
        <f t="shared" si="291"/>
      </c>
      <c r="Y122" s="319">
        <f t="shared" si="229"/>
      </c>
      <c r="Z122" s="362">
        <f t="shared" si="167"/>
      </c>
      <c r="AA122" s="363">
        <f t="shared" si="74"/>
      </c>
      <c r="AB122" s="364" t="s">
        <v>232</v>
      </c>
      <c r="AC122" s="346" t="s">
        <v>258</v>
      </c>
      <c r="AD122" s="309">
        <v>2</v>
      </c>
      <c r="AE122" s="310">
        <v>6287</v>
      </c>
      <c r="AF122" s="310">
        <v>185</v>
      </c>
      <c r="AG122" s="310">
        <v>294</v>
      </c>
      <c r="AH122" s="310">
        <v>42</v>
      </c>
      <c r="AI122" s="365">
        <v>15</v>
      </c>
      <c r="AJ122" s="310">
        <v>2</v>
      </c>
      <c r="AK122" s="310">
        <v>12</v>
      </c>
      <c r="AL122" s="310">
        <v>1</v>
      </c>
      <c r="AM122" s="327"/>
    </row>
    <row r="123">
      <c r="A123" s="303"/>
      <c r="B123" s="325" t="s">
        <v>246</v>
      </c>
      <c r="C123" s="326" t="s">
        <v>247</v>
      </c>
      <c r="D123" s="334">
        <f t="shared" si="2"/>
      </c>
      <c r="E123" s="334">
        <v>2192.69</v>
      </c>
      <c r="F123" s="334">
        <v>0</v>
      </c>
      <c r="G123" s="334">
        <v>0</v>
      </c>
      <c r="I123" s="310">
        <v>1</v>
      </c>
      <c r="J123" s="345">
        <v>2268</v>
      </c>
      <c r="K123" s="366">
        <v>0</v>
      </c>
      <c r="L123" s="366">
        <v>0</v>
      </c>
      <c r="M123" s="367">
        <v>1</v>
      </c>
      <c r="N123" s="386">
        <f t="shared" si="334"/>
      </c>
      <c r="O123" s="387">
        <f t="shared" si="260"/>
      </c>
      <c r="P123" s="368">
        <f t="shared" si="198"/>
      </c>
      <c r="Q123" s="359">
        <f t="shared" si="105"/>
      </c>
      <c r="R123" s="360">
        <f t="shared" si="43"/>
      </c>
      <c r="S123" s="361">
        <f t="shared" si="136"/>
      </c>
      <c r="T123" s="361">
        <f t="shared" si="12"/>
      </c>
      <c r="U123" s="360">
        <f t="shared" si="497"/>
      </c>
      <c r="V123" s="361">
        <f t="shared" si="466"/>
      </c>
      <c r="W123" s="318">
        <f t="shared" si="365"/>
      </c>
      <c r="X123" s="315">
        <f t="shared" si="291"/>
      </c>
      <c r="Y123" s="319">
        <f t="shared" si="229"/>
      </c>
      <c r="Z123" s="362">
        <f t="shared" si="167"/>
      </c>
      <c r="AA123" s="363">
        <f t="shared" si="74"/>
      </c>
      <c r="AB123" s="364" t="s">
        <v>232</v>
      </c>
      <c r="AC123" s="346" t="s">
        <v>258</v>
      </c>
      <c r="AD123" s="309">
        <v>1</v>
      </c>
      <c r="AE123" s="310">
        <v>6270</v>
      </c>
      <c r="AF123" s="310">
        <v>169</v>
      </c>
      <c r="AG123" s="310">
        <v>294</v>
      </c>
      <c r="AH123" s="310">
        <v>45</v>
      </c>
      <c r="AI123" s="365">
        <v>7</v>
      </c>
      <c r="AJ123" s="310">
        <v>1</v>
      </c>
      <c r="AK123" s="310">
        <v>7</v>
      </c>
      <c r="AL123" s="310">
        <v>1</v>
      </c>
      <c r="AM123" s="327"/>
    </row>
    <row r="124">
      <c r="A124" s="303"/>
      <c r="B124" s="325" t="s">
        <v>248</v>
      </c>
      <c r="C124" s="326" t="s">
        <v>247</v>
      </c>
      <c r="D124" s="334">
        <f t="shared" si="2"/>
      </c>
      <c r="E124" s="334">
        <v>1091.28</v>
      </c>
      <c r="F124" s="334">
        <v>0</v>
      </c>
      <c r="G124" s="334">
        <v>0</v>
      </c>
      <c r="I124" s="310">
        <v>0</v>
      </c>
      <c r="J124" s="345">
        <v>0</v>
      </c>
      <c r="K124" s="366">
        <v>0</v>
      </c>
      <c r="L124" s="366">
        <v>0</v>
      </c>
      <c r="M124" s="367">
        <v>0</v>
      </c>
      <c r="N124" s="386">
        <f t="shared" si="334"/>
      </c>
      <c r="O124" s="387">
        <f t="shared" si="260"/>
      </c>
      <c r="P124" s="358">
        <f t="shared" si="198"/>
      </c>
      <c r="Q124" s="359">
        <f t="shared" si="105"/>
      </c>
      <c r="R124" s="360">
        <f t="shared" si="43"/>
      </c>
      <c r="S124" s="361">
        <f t="shared" si="136"/>
      </c>
      <c r="T124" s="361">
        <f t="shared" si="12"/>
      </c>
      <c r="U124" s="360">
        <f t="shared" si="497"/>
      </c>
      <c r="V124" s="361">
        <f t="shared" si="466"/>
      </c>
      <c r="W124" s="318">
        <f t="shared" si="365"/>
      </c>
      <c r="X124" s="315">
        <f t="shared" si="291"/>
      </c>
      <c r="Y124" s="319">
        <f t="shared" si="229"/>
      </c>
      <c r="Z124" s="362">
        <f t="shared" si="167"/>
      </c>
      <c r="AA124" s="363">
        <f t="shared" si="74"/>
      </c>
      <c r="AB124" s="364" t="s">
        <v>232</v>
      </c>
      <c r="AC124" s="346" t="s">
        <v>258</v>
      </c>
      <c r="AD124" s="309">
        <v>1</v>
      </c>
      <c r="AE124" s="310">
        <v>2799</v>
      </c>
      <c r="AF124" s="310">
        <v>62</v>
      </c>
      <c r="AG124" s="310">
        <v>132</v>
      </c>
      <c r="AH124" s="310">
        <v>27</v>
      </c>
      <c r="AI124" s="365">
        <v>6</v>
      </c>
      <c r="AJ124" s="310">
        <v>2</v>
      </c>
      <c r="AK124" s="310">
        <v>9</v>
      </c>
      <c r="AL124" s="310">
        <v>1</v>
      </c>
      <c r="AM124" s="327"/>
    </row>
    <row r="125">
      <c r="A125" s="303"/>
      <c r="B125" s="347" t="s">
        <v>238</v>
      </c>
      <c r="C125" s="347"/>
      <c r="D125" s="348">
        <f>SUM(D122:D124)</f>
      </c>
      <c r="E125" s="348">
        <f>SUM(E122:E124)</f>
      </c>
      <c r="F125" s="348">
        <f>SUM(F122:F124)</f>
      </c>
      <c r="G125" s="348">
        <f>SUM(G122:G124)</f>
      </c>
      <c r="I125" s="348">
        <f>SUM(I122:I124)</f>
      </c>
      <c r="J125" s="348">
        <f>SUM(J122:J124)</f>
      </c>
      <c r="K125" s="348">
        <f>SUM(K122:K124)</f>
      </c>
      <c r="L125" s="348">
        <f>SUM(L122:L124)</f>
      </c>
      <c r="M125" s="348">
        <f>SUM(M122:M124)</f>
      </c>
      <c r="N125" s="349">
        <f t="shared" si="334"/>
      </c>
      <c r="O125" s="350">
        <f t="shared" si="260"/>
      </c>
      <c r="P125" s="370">
        <f t="shared" si="198"/>
      </c>
      <c r="Q125" s="352">
        <f t="shared" si="105"/>
      </c>
      <c r="R125" s="353">
        <f t="shared" si="43"/>
      </c>
      <c r="S125" s="354">
        <f t="shared" si="136"/>
      </c>
      <c r="T125" s="354">
        <f t="shared" si="12"/>
      </c>
      <c r="U125" s="353">
        <f t="shared" si="497"/>
      </c>
      <c r="V125" s="354">
        <f t="shared" si="466"/>
      </c>
      <c r="W125" s="354">
        <f t="shared" si="365"/>
      </c>
      <c r="X125" s="355">
        <f t="shared" si="291"/>
      </c>
      <c r="Y125" s="355">
        <f t="shared" si="229"/>
      </c>
      <c r="Z125" s="355">
        <f t="shared" si="167"/>
      </c>
      <c r="AA125" s="356">
        <f t="shared" si="74"/>
      </c>
      <c r="AB125" s="356"/>
      <c r="AC125" s="356"/>
      <c r="AD125" s="348">
        <f>SUM(AD122:AD124)</f>
      </c>
      <c r="AE125" s="348">
        <f>SUM(AE122:AE124)</f>
      </c>
      <c r="AF125" s="348">
        <f>SUM(AF122:AF124)</f>
      </c>
      <c r="AG125" s="348">
        <f>SUM(AG122:AG124)</f>
      </c>
      <c r="AH125" s="348">
        <f>SUM(AH122:AH124)</f>
      </c>
      <c r="AI125" s="348">
        <f>SUM(AI122:AI124)</f>
      </c>
      <c r="AJ125" s="348">
        <f>SUM(AJ122:AJ124)</f>
      </c>
      <c r="AK125" s="348">
        <f>SUM(AK122:AK124)</f>
      </c>
      <c r="AL125" s="348">
        <f>SUM(AL122:AL124)</f>
      </c>
      <c r="AM125" s="372" t="s">
        <v>249</v>
      </c>
    </row>
    <row r="126">
      <c r="A126" s="303"/>
      <c r="B126" s="373" t="s">
        <v>250</v>
      </c>
      <c r="C126" s="373"/>
      <c r="D126" s="373">
        <f>D116+D121+D125</f>
      </c>
      <c r="E126" s="373">
        <f>E116+E121+E125</f>
      </c>
      <c r="F126" s="373">
        <f>F116+F121+F125</f>
      </c>
      <c r="G126" s="373">
        <f>G116+G121+G125</f>
      </c>
      <c r="I126" s="373">
        <f>I116+I121+I125</f>
      </c>
      <c r="J126" s="374">
        <f>J116+J121+J125</f>
      </c>
      <c r="K126" s="374">
        <f>K116+K121+K125</f>
      </c>
      <c r="L126" s="374">
        <f>L116+L121+L125</f>
      </c>
      <c r="M126" s="374">
        <f>M116+M121+M125</f>
      </c>
      <c r="N126" s="375">
        <f t="shared" si="334"/>
      </c>
      <c r="O126" s="376">
        <f t="shared" si="260"/>
      </c>
      <c r="P126" s="377">
        <f t="shared" si="198"/>
      </c>
      <c r="Q126" s="378">
        <f t="shared" si="105"/>
      </c>
      <c r="R126" s="379">
        <f t="shared" si="43"/>
      </c>
      <c r="S126" s="380">
        <f t="shared" si="136"/>
      </c>
      <c r="T126" s="380">
        <f t="shared" si="12"/>
      </c>
      <c r="U126" s="379">
        <f t="shared" si="497"/>
      </c>
      <c r="V126" s="380">
        <f t="shared" si="466"/>
      </c>
      <c r="W126" s="380">
        <f t="shared" si="365"/>
      </c>
      <c r="X126" s="379">
        <f t="shared" si="291"/>
      </c>
      <c r="Y126" s="379">
        <f t="shared" si="229"/>
      </c>
      <c r="Z126" s="379">
        <f t="shared" si="167"/>
      </c>
      <c r="AA126" s="381">
        <f t="shared" si="74"/>
      </c>
      <c r="AB126" s="381"/>
      <c r="AC126" s="381"/>
      <c r="AD126" s="373">
        <f>AD116+AD121+AD125</f>
      </c>
      <c r="AE126" s="373">
        <f>AE116+AE121+AE125</f>
      </c>
      <c r="AF126" s="373">
        <f>AF116+AF121+AF125</f>
      </c>
      <c r="AG126" s="373">
        <f>AG116+AG121+AG125</f>
      </c>
      <c r="AH126" s="373">
        <f>AH116+AH121+AH125</f>
      </c>
      <c r="AI126" s="373">
        <f>AI116+AI121+AI125</f>
      </c>
      <c r="AJ126" s="373">
        <f>AJ116+AJ121+AJ125</f>
      </c>
      <c r="AK126" s="373">
        <f>AK116+AK121+AK125</f>
      </c>
      <c r="AL126" s="373">
        <f>AL116+AL121+AL125</f>
      </c>
      <c r="AM126" s="372"/>
    </row>
    <row r="127">
      <c r="A127" s="282" t="s">
        <v>189</v>
      </c>
      <c r="B127" s="282"/>
      <c r="C127" s="282"/>
      <c r="D127" s="283" t="s">
        <v>190</v>
      </c>
      <c r="E127" s="283"/>
      <c r="F127" s="283"/>
      <c r="G127" s="283"/>
      <c r="I127" s="283"/>
      <c r="J127" s="283"/>
      <c r="K127" s="283"/>
      <c r="L127" s="283"/>
      <c r="M127" s="283"/>
      <c r="N127" s="283"/>
      <c r="O127" s="283"/>
      <c r="P127" s="284" t="s">
        <v>191</v>
      </c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  <c r="AA127" s="284"/>
      <c r="AB127" s="284"/>
      <c r="AC127" s="284"/>
      <c r="AD127" s="285" t="s">
        <v>192</v>
      </c>
      <c r="AE127" s="285"/>
      <c r="AF127" s="285"/>
      <c r="AG127" s="285"/>
      <c r="AH127" s="285"/>
      <c r="AI127" s="285"/>
      <c r="AJ127" s="285"/>
      <c r="AK127" s="285"/>
      <c r="AL127" s="285"/>
      <c r="AM127" s="286"/>
    </row>
    <row r="128">
      <c r="A128" s="287" t="s">
        <v>193</v>
      </c>
      <c r="B128" s="288" t="s">
        <v>194</v>
      </c>
      <c r="C128" s="288" t="s">
        <v>195</v>
      </c>
      <c r="D128" s="289" t="s">
        <v>196</v>
      </c>
      <c r="E128" s="290" t="s">
        <v>197</v>
      </c>
      <c r="F128" s="291" t="s">
        <v>198</v>
      </c>
      <c r="G128" s="385" t="s">
        <v>256</v>
      </c>
      <c r="I128" s="292" t="s">
        <v>199</v>
      </c>
      <c r="J128" s="293" t="s">
        <v>200</v>
      </c>
      <c r="K128" s="294" t="s">
        <v>201</v>
      </c>
      <c r="L128" s="294" t="s">
        <v>202</v>
      </c>
      <c r="M128" s="294" t="s">
        <v>203</v>
      </c>
      <c r="N128" s="295" t="s">
        <v>204</v>
      </c>
      <c r="O128" s="295" t="s">
        <v>205</v>
      </c>
      <c r="P128" s="296" t="s">
        <v>206</v>
      </c>
      <c r="Q128" s="296" t="s">
        <v>207</v>
      </c>
      <c r="R128" s="296" t="s">
        <v>208</v>
      </c>
      <c r="S128" s="297" t="s">
        <v>209</v>
      </c>
      <c r="T128" s="297" t="s">
        <v>210</v>
      </c>
      <c r="U128" s="296" t="s">
        <v>211</v>
      </c>
      <c r="V128" s="297" t="s">
        <v>212</v>
      </c>
      <c r="W128" s="297" t="s">
        <v>213</v>
      </c>
      <c r="X128" s="296" t="s">
        <v>214</v>
      </c>
      <c r="Y128" s="297" t="s">
        <v>215</v>
      </c>
      <c r="Z128" s="296" t="s">
        <v>216</v>
      </c>
      <c r="AA128" s="298" t="s">
        <v>217</v>
      </c>
      <c r="AB128" s="298" t="s">
        <v>218</v>
      </c>
      <c r="AC128" s="299" t="s">
        <v>219</v>
      </c>
      <c r="AD128" s="300" t="s">
        <v>220</v>
      </c>
      <c r="AE128" s="301" t="s">
        <v>221</v>
      </c>
      <c r="AF128" s="301" t="s">
        <v>222</v>
      </c>
      <c r="AG128" s="301" t="s">
        <v>223</v>
      </c>
      <c r="AH128" s="301" t="s">
        <v>224</v>
      </c>
      <c r="AI128" s="301" t="s">
        <v>225</v>
      </c>
      <c r="AJ128" s="302" t="s">
        <v>226</v>
      </c>
      <c r="AK128" s="302" t="s">
        <v>227</v>
      </c>
      <c r="AL128" s="302" t="s">
        <v>228</v>
      </c>
      <c r="AM128" s="327"/>
    </row>
    <row r="129">
      <c r="A129" s="303" t="s">
        <v>259</v>
      </c>
      <c r="B129" s="304" t="s">
        <v>230</v>
      </c>
      <c r="C129" s="305" t="s">
        <v>240</v>
      </c>
      <c r="D129" s="306">
        <f t="shared" ref="D129:D133" si="3">E129+F129+G129</f>
      </c>
      <c r="E129" s="307">
        <v>3040.93</v>
      </c>
      <c r="F129" s="382">
        <v>1337.11</v>
      </c>
      <c r="G129" s="382">
        <v>0</v>
      </c>
      <c r="I129" s="307">
        <v>4</v>
      </c>
      <c r="J129" s="328">
        <v>5112</v>
      </c>
      <c r="K129" s="309">
        <v>0</v>
      </c>
      <c r="L129" s="310">
        <v>3</v>
      </c>
      <c r="M129" s="310">
        <v>1</v>
      </c>
      <c r="N129" s="311">
        <f t="shared" ref="N129:N144" si="335">J129/D129</f>
      </c>
      <c r="O129" s="312">
        <f t="shared" ref="O129:O144" si="261">J129/(D129+300*AL129)</f>
      </c>
      <c r="P129" s="313">
        <f t="shared" ref="P129:P144" si="199">(D129/AE129)*1000</f>
      </c>
      <c r="Q129" s="314">
        <f t="shared" ref="Q129:Q144" si="106">AF129/AE129</f>
      </c>
      <c r="R129" s="315">
        <f t="shared" ref="R129:R144" si="44">D129/AG129</f>
      </c>
      <c r="S129" s="316">
        <f t="shared" ref="S129:S144" si="137">AH129/AG129</f>
      </c>
      <c r="T129" s="314">
        <f t="shared" ref="T129:T144" si="13">AI129/AG129</f>
      </c>
      <c r="U129" s="317">
        <f t="shared" ref="U129:U144" si="498">D129/AI129</f>
      </c>
      <c r="V129" s="314">
        <f t="shared" ref="V129:V144" si="467">AJ129/AI129</f>
      </c>
      <c r="W129" s="318">
        <f t="shared" ref="W129:W144" si="366">I129/AJ129</f>
      </c>
      <c r="X129" s="315">
        <f t="shared" ref="X129:X144" si="292">D129/I129</f>
      </c>
      <c r="Y129" s="319">
        <f t="shared" ref="Y129:Y144" si="230">J129/I129</f>
      </c>
      <c r="Z129" s="315">
        <f t="shared" ref="Z129:Z144" si="168">D129/AD129</f>
      </c>
      <c r="AA129" s="320">
        <f t="shared" ref="AA129:AA144" si="75">AK129*1000/D129</f>
      </c>
      <c r="AB129" s="321" t="s">
        <v>232</v>
      </c>
      <c r="AC129" s="322" t="s">
        <v>258</v>
      </c>
      <c r="AD129" s="307">
        <v>3</v>
      </c>
      <c r="AE129" s="306">
        <v>10715</v>
      </c>
      <c r="AF129" s="323">
        <v>404</v>
      </c>
      <c r="AG129" s="324">
        <v>556</v>
      </c>
      <c r="AH129" s="325">
        <v>108</v>
      </c>
      <c r="AI129" s="326">
        <v>32</v>
      </c>
      <c r="AJ129" s="325">
        <v>9</v>
      </c>
      <c r="AK129" s="326">
        <v>30</v>
      </c>
      <c r="AL129" s="310">
        <v>1</v>
      </c>
      <c r="AM129" s="327"/>
    </row>
    <row r="130">
      <c r="A130" s="303"/>
      <c r="B130" s="304" t="s">
        <v>234</v>
      </c>
      <c r="C130" s="305" t="s">
        <v>240</v>
      </c>
      <c r="D130" s="306">
        <f t="shared" si="3"/>
      </c>
      <c r="E130" s="307">
        <v>2297.56</v>
      </c>
      <c r="F130" s="307">
        <v>1012.75</v>
      </c>
      <c r="G130" s="307">
        <v>0</v>
      </c>
      <c r="I130" s="383">
        <v>3</v>
      </c>
      <c r="J130" s="383">
        <v>5296</v>
      </c>
      <c r="K130" s="383">
        <v>0</v>
      </c>
      <c r="L130" s="383">
        <v>1</v>
      </c>
      <c r="M130" s="383">
        <v>2</v>
      </c>
      <c r="N130" s="386">
        <f t="shared" si="335"/>
      </c>
      <c r="O130" s="387">
        <f t="shared" si="261"/>
      </c>
      <c r="P130" s="313">
        <f t="shared" si="199"/>
      </c>
      <c r="Q130" s="314">
        <f t="shared" si="106"/>
      </c>
      <c r="R130" s="330">
        <f t="shared" si="44"/>
      </c>
      <c r="S130" s="316">
        <f t="shared" si="137"/>
      </c>
      <c r="T130" s="314">
        <f t="shared" si="13"/>
      </c>
      <c r="U130" s="317">
        <f t="shared" si="498"/>
      </c>
      <c r="V130" s="314">
        <f t="shared" si="467"/>
      </c>
      <c r="W130" s="318">
        <f t="shared" si="366"/>
      </c>
      <c r="X130" s="315">
        <f t="shared" si="292"/>
      </c>
      <c r="Y130" s="319">
        <f t="shared" si="230"/>
      </c>
      <c r="Z130" s="315">
        <f t="shared" si="168"/>
      </c>
      <c r="AA130" s="331">
        <f t="shared" si="75"/>
      </c>
      <c r="AB130" s="332" t="s">
        <v>232</v>
      </c>
      <c r="AC130" s="322" t="s">
        <v>258</v>
      </c>
      <c r="AD130" s="307">
        <v>2</v>
      </c>
      <c r="AE130" s="306">
        <v>8015</v>
      </c>
      <c r="AF130" s="304">
        <v>304</v>
      </c>
      <c r="AG130" s="333">
        <v>471</v>
      </c>
      <c r="AH130" s="334">
        <v>74</v>
      </c>
      <c r="AI130" s="334">
        <v>31</v>
      </c>
      <c r="AJ130" s="335">
        <v>5</v>
      </c>
      <c r="AK130" s="336">
        <v>11</v>
      </c>
      <c r="AL130" s="310">
        <v>1</v>
      </c>
      <c r="AM130" s="327"/>
    </row>
    <row r="131">
      <c r="A131" s="303"/>
      <c r="B131" s="304" t="s">
        <v>235</v>
      </c>
      <c r="C131" s="305" t="s">
        <v>240</v>
      </c>
      <c r="D131" s="306">
        <f t="shared" si="3"/>
      </c>
      <c r="E131" s="307">
        <v>2523</v>
      </c>
      <c r="F131" s="307">
        <v>822.84</v>
      </c>
      <c r="G131" s="307">
        <v>0</v>
      </c>
      <c r="I131" s="328">
        <v>3</v>
      </c>
      <c r="J131" s="328">
        <v>5405</v>
      </c>
      <c r="K131" s="328">
        <v>0</v>
      </c>
      <c r="L131" s="328">
        <v>1</v>
      </c>
      <c r="M131" s="328">
        <v>2</v>
      </c>
      <c r="N131" s="386">
        <f t="shared" si="335"/>
      </c>
      <c r="O131" s="387">
        <f t="shared" si="261"/>
      </c>
      <c r="P131" s="313">
        <f t="shared" si="199"/>
      </c>
      <c r="Q131" s="316">
        <f t="shared" si="106"/>
      </c>
      <c r="R131" s="315">
        <f t="shared" si="44"/>
      </c>
      <c r="S131" s="318">
        <f t="shared" si="137"/>
      </c>
      <c r="T131" s="337">
        <f t="shared" si="13"/>
      </c>
      <c r="U131" s="338">
        <f t="shared" si="498"/>
      </c>
      <c r="V131" s="337">
        <f t="shared" si="467"/>
      </c>
      <c r="W131" s="318">
        <f t="shared" si="366"/>
      </c>
      <c r="X131" s="315">
        <f t="shared" si="292"/>
      </c>
      <c r="Y131" s="319">
        <f t="shared" si="230"/>
      </c>
      <c r="Z131" s="315">
        <f t="shared" si="168"/>
      </c>
      <c r="AA131" s="331">
        <f t="shared" si="75"/>
      </c>
      <c r="AB131" s="332" t="s">
        <v>232</v>
      </c>
      <c r="AC131" s="322" t="s">
        <v>258</v>
      </c>
      <c r="AD131" s="307">
        <v>3</v>
      </c>
      <c r="AE131" s="306">
        <v>7915</v>
      </c>
      <c r="AF131" s="304">
        <v>264</v>
      </c>
      <c r="AG131" s="334">
        <v>449</v>
      </c>
      <c r="AH131" s="334">
        <v>81</v>
      </c>
      <c r="AI131" s="334">
        <v>44</v>
      </c>
      <c r="AJ131" s="335">
        <v>8</v>
      </c>
      <c r="AK131" s="336">
        <v>21</v>
      </c>
      <c r="AL131" s="310">
        <v>1</v>
      </c>
      <c r="AM131" s="327"/>
    </row>
    <row r="132">
      <c r="A132" s="303"/>
      <c r="B132" s="304" t="s">
        <v>236</v>
      </c>
      <c r="C132" s="305" t="s">
        <v>240</v>
      </c>
      <c r="D132" s="306">
        <f t="shared" si="3"/>
      </c>
      <c r="E132" s="307">
        <v>2834.48</v>
      </c>
      <c r="F132" s="307">
        <v>448.24</v>
      </c>
      <c r="G132" s="307">
        <v>0</v>
      </c>
      <c r="I132" s="335">
        <v>2</v>
      </c>
      <c r="J132" s="335">
        <v>4348</v>
      </c>
      <c r="K132" s="335">
        <v>0</v>
      </c>
      <c r="L132" s="335">
        <v>0</v>
      </c>
      <c r="M132" s="335">
        <v>2</v>
      </c>
      <c r="N132" s="386">
        <f t="shared" si="335"/>
      </c>
      <c r="O132" s="387">
        <f t="shared" si="261"/>
      </c>
      <c r="P132" s="313">
        <f t="shared" si="199"/>
      </c>
      <c r="Q132" s="314">
        <f t="shared" si="106"/>
      </c>
      <c r="R132" s="339">
        <f t="shared" si="44"/>
      </c>
      <c r="S132" s="314">
        <f t="shared" si="137"/>
      </c>
      <c r="T132" s="314">
        <f t="shared" si="13"/>
      </c>
      <c r="U132" s="315">
        <f t="shared" si="498"/>
      </c>
      <c r="V132" s="314">
        <f t="shared" si="467"/>
      </c>
      <c r="W132" s="318">
        <f t="shared" si="366"/>
      </c>
      <c r="X132" s="315">
        <f t="shared" si="292"/>
      </c>
      <c r="Y132" s="319">
        <f t="shared" si="230"/>
      </c>
      <c r="Z132" s="315">
        <f t="shared" si="168"/>
      </c>
      <c r="AA132" s="331">
        <f t="shared" si="75"/>
      </c>
      <c r="AB132" s="340" t="s">
        <v>232</v>
      </c>
      <c r="AC132" s="322" t="s">
        <v>258</v>
      </c>
      <c r="AD132" s="342">
        <v>1</v>
      </c>
      <c r="AE132" s="333">
        <v>9094</v>
      </c>
      <c r="AF132" s="334">
        <v>236</v>
      </c>
      <c r="AG132" s="334">
        <v>495</v>
      </c>
      <c r="AH132" s="334">
        <v>61</v>
      </c>
      <c r="AI132" s="334">
        <v>21</v>
      </c>
      <c r="AJ132" s="335">
        <v>4</v>
      </c>
      <c r="AK132" s="336">
        <v>19</v>
      </c>
      <c r="AL132" s="310">
        <v>1</v>
      </c>
      <c r="AM132" s="327"/>
    </row>
    <row r="133">
      <c r="A133" s="303"/>
      <c r="B133" s="325" t="s">
        <v>237</v>
      </c>
      <c r="C133" s="305" t="s">
        <v>240</v>
      </c>
      <c r="D133" s="306">
        <f t="shared" si="3"/>
      </c>
      <c r="E133" s="344">
        <v>1894.73</v>
      </c>
      <c r="F133" s="344">
        <v>757.71</v>
      </c>
      <c r="G133" s="344">
        <v>0</v>
      </c>
      <c r="I133" s="310">
        <v>3</v>
      </c>
      <c r="J133" s="345">
        <v>6804</v>
      </c>
      <c r="K133" s="310">
        <v>0</v>
      </c>
      <c r="L133" s="310">
        <v>0</v>
      </c>
      <c r="M133" s="310">
        <v>3</v>
      </c>
      <c r="N133" s="386">
        <f t="shared" si="335"/>
      </c>
      <c r="O133" s="387">
        <f t="shared" si="261"/>
      </c>
      <c r="P133" s="313">
        <f t="shared" si="199"/>
      </c>
      <c r="Q133" s="314">
        <f t="shared" si="106"/>
      </c>
      <c r="R133" s="339">
        <f t="shared" si="44"/>
      </c>
      <c r="S133" s="314">
        <f t="shared" si="137"/>
      </c>
      <c r="T133" s="314">
        <f t="shared" si="13"/>
      </c>
      <c r="U133" s="315">
        <f t="shared" si="498"/>
      </c>
      <c r="V133" s="314">
        <f t="shared" si="467"/>
      </c>
      <c r="W133" s="318">
        <f t="shared" si="366"/>
      </c>
      <c r="X133" s="315">
        <f t="shared" si="292"/>
      </c>
      <c r="Y133" s="319">
        <f t="shared" si="230"/>
      </c>
      <c r="Z133" s="315">
        <f t="shared" si="168"/>
      </c>
      <c r="AA133" s="331">
        <f t="shared" si="75"/>
      </c>
      <c r="AB133" s="340" t="s">
        <v>232</v>
      </c>
      <c r="AC133" s="322" t="s">
        <v>258</v>
      </c>
      <c r="AD133" s="325">
        <v>3</v>
      </c>
      <c r="AE133" s="334">
        <v>5642</v>
      </c>
      <c r="AF133" s="334">
        <v>208</v>
      </c>
      <c r="AG133" s="334">
        <v>393</v>
      </c>
      <c r="AH133" s="334">
        <v>52</v>
      </c>
      <c r="AI133" s="334">
        <v>27</v>
      </c>
      <c r="AJ133" s="335">
        <v>6</v>
      </c>
      <c r="AK133" s="336">
        <v>17</v>
      </c>
      <c r="AL133" s="310">
        <v>1</v>
      </c>
      <c r="AM133" s="327"/>
    </row>
    <row r="134">
      <c r="A134" s="303"/>
      <c r="B134" s="347" t="s">
        <v>238</v>
      </c>
      <c r="C134" s="347"/>
      <c r="D134" s="348">
        <f>SUM(D129:D133)</f>
      </c>
      <c r="E134" s="348">
        <f>SUM(E129:E133)</f>
      </c>
      <c r="F134" s="348">
        <f>SUM(F129:F133)</f>
      </c>
      <c r="G134" s="348">
        <f>SUM(G129:G133)</f>
      </c>
      <c r="I134" s="348">
        <f>SUM(I129:I133)</f>
      </c>
      <c r="J134" s="348">
        <f>SUM(J129:J133)</f>
      </c>
      <c r="K134" s="348">
        <f>SUM(K129:K133)</f>
      </c>
      <c r="L134" s="348">
        <f>SUM(L129:L133)</f>
      </c>
      <c r="M134" s="348">
        <f>SUM(M129:M133)</f>
      </c>
      <c r="N134" s="349">
        <f t="shared" si="335"/>
      </c>
      <c r="O134" s="350">
        <f t="shared" si="261"/>
      </c>
      <c r="P134" s="351">
        <f t="shared" si="199"/>
      </c>
      <c r="Q134" s="352">
        <f t="shared" si="106"/>
      </c>
      <c r="R134" s="353">
        <f t="shared" si="44"/>
      </c>
      <c r="S134" s="354">
        <f t="shared" si="137"/>
      </c>
      <c r="T134" s="354">
        <f t="shared" si="13"/>
      </c>
      <c r="U134" s="353">
        <f t="shared" si="498"/>
      </c>
      <c r="V134" s="354">
        <f t="shared" si="467"/>
      </c>
      <c r="W134" s="354">
        <f t="shared" si="366"/>
      </c>
      <c r="X134" s="355">
        <f t="shared" si="292"/>
      </c>
      <c r="Y134" s="355">
        <f t="shared" si="230"/>
      </c>
      <c r="Z134" s="355">
        <f t="shared" si="168"/>
      </c>
      <c r="AA134" s="356">
        <f t="shared" si="75"/>
      </c>
      <c r="AB134" s="356"/>
      <c r="AC134" s="357"/>
      <c r="AD134" s="347">
        <f>SUM(AD129:AD133)</f>
      </c>
      <c r="AE134" s="347">
        <f>SUM(AE129:AE133)</f>
      </c>
      <c r="AF134" s="347">
        <f>SUM(AF129:AF133)</f>
      </c>
      <c r="AG134" s="347">
        <f>SUM(AG129:AG133)</f>
      </c>
      <c r="AH134" s="347">
        <f>SUM(AH129:AH133)</f>
      </c>
      <c r="AI134" s="347">
        <f>SUM(AI129:AI133)</f>
      </c>
      <c r="AJ134" s="347">
        <f>SUM(AJ129:AJ133)</f>
      </c>
      <c r="AK134" s="347">
        <f>SUM(AK129:AK133)</f>
      </c>
      <c r="AL134" s="347">
        <f>SUM(AL129:AL133)</f>
      </c>
      <c r="AM134" s="327"/>
    </row>
    <row r="135">
      <c r="A135" s="303"/>
      <c r="B135" s="304" t="s">
        <v>239</v>
      </c>
      <c r="C135" s="326" t="s">
        <v>247</v>
      </c>
      <c r="D135" s="334">
        <f t="shared" ref="D135:D137" si="4">E135+F135+G135</f>
      </c>
      <c r="E135" s="326">
        <v>2231.14</v>
      </c>
      <c r="F135" s="326">
        <v>759</v>
      </c>
      <c r="G135" s="326">
        <v>0</v>
      </c>
      <c r="I135" s="310">
        <v>3</v>
      </c>
      <c r="J135" s="345">
        <v>5004</v>
      </c>
      <c r="K135" s="310">
        <v>1</v>
      </c>
      <c r="L135" s="310">
        <v>0</v>
      </c>
      <c r="M135" s="310">
        <v>2</v>
      </c>
      <c r="N135" s="386">
        <f t="shared" si="335"/>
      </c>
      <c r="O135" s="387">
        <f t="shared" si="261"/>
      </c>
      <c r="P135" s="358">
        <f t="shared" si="199"/>
      </c>
      <c r="Q135" s="359">
        <f t="shared" si="106"/>
      </c>
      <c r="R135" s="360">
        <f t="shared" si="44"/>
      </c>
      <c r="S135" s="361">
        <f t="shared" si="137"/>
      </c>
      <c r="T135" s="361">
        <f t="shared" si="13"/>
      </c>
      <c r="U135" s="360">
        <f t="shared" si="498"/>
      </c>
      <c r="V135" s="361">
        <f t="shared" si="467"/>
      </c>
      <c r="W135" s="318">
        <f t="shared" si="366"/>
      </c>
      <c r="X135" s="315">
        <f t="shared" si="292"/>
      </c>
      <c r="Y135" s="319">
        <f t="shared" si="230"/>
      </c>
      <c r="Z135" s="362">
        <f t="shared" si="168"/>
      </c>
      <c r="AA135" s="363">
        <f t="shared" si="75"/>
      </c>
      <c r="AB135" s="364" t="s">
        <v>232</v>
      </c>
      <c r="AC135" s="346" t="s">
        <v>258</v>
      </c>
      <c r="AD135" s="309">
        <v>3</v>
      </c>
      <c r="AE135" s="365">
        <v>5632</v>
      </c>
      <c r="AF135" s="365">
        <v>223</v>
      </c>
      <c r="AG135" s="365">
        <v>455</v>
      </c>
      <c r="AH135" s="365">
        <v>61</v>
      </c>
      <c r="AI135" s="365">
        <v>34</v>
      </c>
      <c r="AJ135" s="310">
        <v>6</v>
      </c>
      <c r="AK135" s="310">
        <v>17</v>
      </c>
      <c r="AL135" s="310">
        <v>1</v>
      </c>
      <c r="AM135" s="327"/>
    </row>
    <row r="136">
      <c r="A136" s="303"/>
      <c r="B136" s="304" t="s">
        <v>241</v>
      </c>
      <c r="C136" s="326" t="s">
        <v>247</v>
      </c>
      <c r="D136" s="334">
        <f t="shared" si="4"/>
      </c>
      <c r="E136" s="326">
        <v>2283.13</v>
      </c>
      <c r="F136" s="326">
        <v>800.38</v>
      </c>
      <c r="G136" s="326">
        <v>0</v>
      </c>
      <c r="I136" s="310">
        <v>4</v>
      </c>
      <c r="J136" s="310">
        <v>6432</v>
      </c>
      <c r="K136" s="310">
        <v>0</v>
      </c>
      <c r="L136" s="310">
        <v>2</v>
      </c>
      <c r="M136" s="310">
        <v>2</v>
      </c>
      <c r="N136" s="386">
        <f t="shared" si="335"/>
      </c>
      <c r="O136" s="387">
        <f t="shared" si="261"/>
      </c>
      <c r="P136" s="358">
        <f t="shared" si="199"/>
      </c>
      <c r="Q136" s="359">
        <f t="shared" si="106"/>
      </c>
      <c r="R136" s="360">
        <f t="shared" si="44"/>
      </c>
      <c r="S136" s="361">
        <f t="shared" si="137"/>
      </c>
      <c r="T136" s="361">
        <f t="shared" si="13"/>
      </c>
      <c r="U136" s="360">
        <f t="shared" si="498"/>
      </c>
      <c r="V136" s="361">
        <f t="shared" si="467"/>
      </c>
      <c r="W136" s="318">
        <f t="shared" si="366"/>
      </c>
      <c r="X136" s="315">
        <f t="shared" si="292"/>
      </c>
      <c r="Y136" s="319">
        <f t="shared" si="230"/>
      </c>
      <c r="Z136" s="362">
        <f t="shared" si="168"/>
      </c>
      <c r="AA136" s="363">
        <f t="shared" si="75"/>
      </c>
      <c r="AB136" s="364" t="s">
        <v>232</v>
      </c>
      <c r="AC136" s="346" t="s">
        <v>258</v>
      </c>
      <c r="AD136" s="309">
        <v>3</v>
      </c>
      <c r="AE136" s="365">
        <v>8589</v>
      </c>
      <c r="AF136" s="365">
        <v>263</v>
      </c>
      <c r="AG136" s="365">
        <v>539</v>
      </c>
      <c r="AH136" s="365">
        <v>72</v>
      </c>
      <c r="AI136" s="365">
        <v>28</v>
      </c>
      <c r="AJ136" s="310">
        <v>4</v>
      </c>
      <c r="AK136" s="310">
        <v>20</v>
      </c>
      <c r="AL136" s="310">
        <v>1</v>
      </c>
      <c r="AM136" s="327"/>
    </row>
    <row r="137">
      <c r="A137" s="303"/>
      <c r="B137" s="304" t="s">
        <v>242</v>
      </c>
      <c r="C137" s="326" t="s">
        <v>247</v>
      </c>
      <c r="D137" s="334">
        <f t="shared" si="4"/>
      </c>
      <c r="E137" s="326">
        <v>2821.12</v>
      </c>
      <c r="F137" s="326">
        <v>886.13</v>
      </c>
      <c r="G137" s="326">
        <v>0</v>
      </c>
      <c r="I137" s="310">
        <v>1</v>
      </c>
      <c r="J137" s="310">
        <v>2268</v>
      </c>
      <c r="K137" s="310">
        <v>0</v>
      </c>
      <c r="L137" s="310">
        <v>0</v>
      </c>
      <c r="M137" s="310">
        <v>1</v>
      </c>
      <c r="N137" s="386">
        <f t="shared" si="335"/>
      </c>
      <c r="O137" s="387">
        <f t="shared" si="261"/>
      </c>
      <c r="P137" s="358">
        <f t="shared" si="199"/>
      </c>
      <c r="Q137" s="359">
        <f t="shared" si="106"/>
      </c>
      <c r="R137" s="360">
        <f t="shared" si="44"/>
      </c>
      <c r="S137" s="361">
        <f t="shared" si="137"/>
      </c>
      <c r="T137" s="361">
        <f t="shared" si="13"/>
      </c>
      <c r="U137" s="360">
        <f t="shared" si="498"/>
      </c>
      <c r="V137" s="361">
        <f t="shared" si="467"/>
      </c>
      <c r="W137" s="318">
        <f t="shared" si="366"/>
      </c>
      <c r="X137" s="315">
        <f t="shared" si="292"/>
      </c>
      <c r="Y137" s="319">
        <f t="shared" si="230"/>
      </c>
      <c r="Z137" s="362">
        <f t="shared" si="168"/>
      </c>
      <c r="AA137" s="363">
        <f t="shared" si="75"/>
      </c>
      <c r="AB137" s="364" t="s">
        <v>232</v>
      </c>
      <c r="AC137" s="346" t="s">
        <v>258</v>
      </c>
      <c r="AD137" s="309">
        <v>1</v>
      </c>
      <c r="AE137" s="365">
        <v>9280</v>
      </c>
      <c r="AF137" s="365">
        <v>281</v>
      </c>
      <c r="AG137" s="365">
        <v>531</v>
      </c>
      <c r="AH137" s="365">
        <v>71</v>
      </c>
      <c r="AI137" s="365">
        <v>26</v>
      </c>
      <c r="AJ137" s="310">
        <v>1</v>
      </c>
      <c r="AK137" s="310">
        <v>15</v>
      </c>
      <c r="AL137" s="310">
        <f>COUNT(AK137)</f>
      </c>
      <c r="AM137" s="327"/>
    </row>
    <row r="138">
      <c r="A138" s="303"/>
      <c r="B138" s="347" t="s">
        <v>238</v>
      </c>
      <c r="C138" s="347"/>
      <c r="D138" s="348">
        <f>SUM(D135:D137)</f>
      </c>
      <c r="E138" s="348">
        <f>SUM(E135:E137)</f>
      </c>
      <c r="F138" s="348">
        <f>SUM(F135:F137)</f>
      </c>
      <c r="G138" s="348">
        <f>SUM(G135:G137)</f>
      </c>
      <c r="I138" s="348">
        <f>SUM(I135:I137)</f>
      </c>
      <c r="J138" s="348">
        <f>SUM(J135:J137)</f>
      </c>
      <c r="K138" s="348">
        <f>SUM(K135:K137)</f>
      </c>
      <c r="L138" s="348">
        <f>SUM(L135:L137)</f>
      </c>
      <c r="M138" s="348">
        <f>SUM(M135:M137)</f>
      </c>
      <c r="N138" s="349">
        <f t="shared" si="335"/>
      </c>
      <c r="O138" s="350">
        <f t="shared" si="261"/>
      </c>
      <c r="P138" s="370">
        <f t="shared" si="199"/>
      </c>
      <c r="Q138" s="352">
        <f t="shared" si="106"/>
      </c>
      <c r="R138" s="353">
        <f t="shared" si="44"/>
      </c>
      <c r="S138" s="354">
        <f t="shared" si="137"/>
      </c>
      <c r="T138" s="354">
        <f t="shared" si="13"/>
      </c>
      <c r="U138" s="353">
        <f t="shared" si="498"/>
      </c>
      <c r="V138" s="354">
        <f t="shared" si="467"/>
      </c>
      <c r="W138" s="354">
        <f t="shared" si="366"/>
      </c>
      <c r="X138" s="355">
        <f t="shared" si="292"/>
      </c>
      <c r="Y138" s="355">
        <f t="shared" si="230"/>
      </c>
      <c r="Z138" s="355">
        <f t="shared" si="168"/>
      </c>
      <c r="AA138" s="356">
        <f t="shared" si="75"/>
      </c>
      <c r="AB138" s="356"/>
      <c r="AC138" s="357"/>
      <c r="AD138" s="347">
        <f>SUM(AD135:AD137)</f>
      </c>
      <c r="AE138" s="347">
        <f>SUM(AE135:AE137)</f>
      </c>
      <c r="AF138" s="347">
        <f>SUM(AF135:AF137)</f>
      </c>
      <c r="AG138" s="347">
        <f>SUM(AG135:AG137)</f>
      </c>
      <c r="AH138" s="347">
        <f>SUM(AH135:AH137)</f>
      </c>
      <c r="AI138" s="347">
        <f>SUM(AI135:AI137)</f>
      </c>
      <c r="AJ138" s="347">
        <f>SUM(AJ135:AJ137)</f>
      </c>
      <c r="AK138" s="347">
        <f>SUM(AK135:AK137)</f>
      </c>
      <c r="AL138" s="347">
        <f>SUM(AL135:AL137)</f>
      </c>
      <c r="AM138" s="327"/>
    </row>
    <row r="139">
      <c r="A139" s="303"/>
      <c r="B139" s="304" t="s">
        <v>243</v>
      </c>
      <c r="C139" s="326" t="s">
        <v>231</v>
      </c>
      <c r="D139" s="334">
        <f t="shared" ref="D139:D142" si="5">E139+F139+G139</f>
      </c>
      <c r="E139" s="334">
        <v>1768.04</v>
      </c>
      <c r="F139" s="334">
        <v>502.72</v>
      </c>
      <c r="G139" s="326">
        <v>0</v>
      </c>
      <c r="I139" s="326">
        <v>0</v>
      </c>
      <c r="J139" s="326">
        <v>0</v>
      </c>
      <c r="K139" s="326">
        <v>0</v>
      </c>
      <c r="L139" s="326">
        <v>0</v>
      </c>
      <c r="M139" s="326">
        <v>0</v>
      </c>
      <c r="N139" s="386">
        <f t="shared" si="335"/>
      </c>
      <c r="O139" s="387">
        <f t="shared" si="261"/>
      </c>
      <c r="P139" s="358">
        <f t="shared" si="199"/>
      </c>
      <c r="Q139" s="359">
        <f t="shared" si="106"/>
      </c>
      <c r="R139" s="360">
        <f t="shared" si="44"/>
      </c>
      <c r="S139" s="361">
        <f t="shared" si="137"/>
      </c>
      <c r="T139" s="361">
        <f t="shared" si="13"/>
      </c>
      <c r="U139" s="360">
        <f t="shared" si="498"/>
      </c>
      <c r="V139" s="361">
        <f t="shared" si="467"/>
      </c>
      <c r="W139" s="318">
        <f t="shared" si="366"/>
      </c>
      <c r="X139" s="315">
        <f t="shared" si="292"/>
      </c>
      <c r="Y139" s="319">
        <f t="shared" si="230"/>
      </c>
      <c r="Z139" s="362">
        <f t="shared" si="168"/>
      </c>
      <c r="AA139" s="363">
        <f t="shared" si="75"/>
      </c>
      <c r="AB139" s="364" t="s">
        <v>232</v>
      </c>
      <c r="AC139" s="346" t="s">
        <v>244</v>
      </c>
      <c r="AD139" s="309">
        <v>0</v>
      </c>
      <c r="AE139" s="310">
        <v>6246</v>
      </c>
      <c r="AF139" s="310">
        <v>209</v>
      </c>
      <c r="AG139" s="310">
        <v>404</v>
      </c>
      <c r="AH139" s="310">
        <v>59</v>
      </c>
      <c r="AI139" s="365">
        <v>21</v>
      </c>
      <c r="AJ139" s="310">
        <v>1</v>
      </c>
      <c r="AK139" s="310">
        <v>21</v>
      </c>
      <c r="AL139" s="310">
        <f t="shared" ref="AL139:AL142" si="325">COUNT(AK139)</f>
      </c>
      <c r="AM139" s="327"/>
    </row>
    <row r="140">
      <c r="A140" s="303"/>
      <c r="B140" s="325" t="s">
        <v>245</v>
      </c>
      <c r="C140" s="326" t="s">
        <v>231</v>
      </c>
      <c r="D140" s="334">
        <f t="shared" si="5"/>
      </c>
      <c r="E140" s="334">
        <v>2132.58</v>
      </c>
      <c r="F140" s="334">
        <v>466.6</v>
      </c>
      <c r="G140" s="326">
        <v>0</v>
      </c>
      <c r="I140" s="310">
        <v>2</v>
      </c>
      <c r="J140" s="345">
        <v>3137</v>
      </c>
      <c r="K140" s="366">
        <v>0</v>
      </c>
      <c r="L140" s="366">
        <v>1</v>
      </c>
      <c r="M140" s="367">
        <v>1</v>
      </c>
      <c r="N140" s="386">
        <f t="shared" si="335"/>
      </c>
      <c r="O140" s="387">
        <f t="shared" si="261"/>
      </c>
      <c r="P140" s="368">
        <f t="shared" si="199"/>
      </c>
      <c r="Q140" s="359">
        <f t="shared" si="106"/>
      </c>
      <c r="R140" s="360">
        <f t="shared" si="44"/>
      </c>
      <c r="S140" s="361">
        <f t="shared" si="137"/>
      </c>
      <c r="T140" s="361">
        <f t="shared" si="13"/>
      </c>
      <c r="U140" s="360">
        <f t="shared" si="498"/>
      </c>
      <c r="V140" s="361">
        <f t="shared" si="467"/>
      </c>
      <c r="W140" s="318">
        <f t="shared" si="366"/>
      </c>
      <c r="X140" s="315">
        <f t="shared" si="292"/>
      </c>
      <c r="Y140" s="319">
        <f t="shared" si="230"/>
      </c>
      <c r="Z140" s="362">
        <f t="shared" si="168"/>
      </c>
      <c r="AA140" s="363">
        <f t="shared" si="75"/>
      </c>
      <c r="AB140" s="364" t="s">
        <v>232</v>
      </c>
      <c r="AC140" s="346" t="s">
        <v>244</v>
      </c>
      <c r="AD140" s="309">
        <v>2</v>
      </c>
      <c r="AE140" s="310">
        <v>7657</v>
      </c>
      <c r="AF140" s="310">
        <v>238</v>
      </c>
      <c r="AG140" s="310">
        <v>417</v>
      </c>
      <c r="AH140" s="310">
        <v>43</v>
      </c>
      <c r="AI140" s="365">
        <v>12</v>
      </c>
      <c r="AJ140" s="310">
        <v>4</v>
      </c>
      <c r="AK140" s="310">
        <v>15</v>
      </c>
      <c r="AL140" s="310">
        <f t="shared" si="325"/>
      </c>
      <c r="AM140" s="327"/>
    </row>
    <row customHeight="true" ht="18.452380952380953" r="141">
      <c r="A141" s="303"/>
      <c r="B141" s="325" t="s">
        <v>246</v>
      </c>
      <c r="C141" s="326" t="s">
        <v>231</v>
      </c>
      <c r="D141" s="334">
        <f t="shared" si="5"/>
      </c>
      <c r="E141" s="334">
        <v>2397.02</v>
      </c>
      <c r="F141" s="334">
        <v>578.72</v>
      </c>
      <c r="G141" s="326">
        <v>288.11</v>
      </c>
      <c r="I141" s="310">
        <v>2</v>
      </c>
      <c r="J141" s="345">
        <v>3216</v>
      </c>
      <c r="K141" s="366">
        <v>0</v>
      </c>
      <c r="L141" s="366">
        <v>1</v>
      </c>
      <c r="M141" s="367">
        <v>1</v>
      </c>
      <c r="N141" s="386">
        <f t="shared" si="335"/>
      </c>
      <c r="O141" s="387">
        <f t="shared" si="261"/>
      </c>
      <c r="P141" s="368">
        <f t="shared" si="199"/>
      </c>
      <c r="Q141" s="359">
        <f t="shared" si="106"/>
      </c>
      <c r="R141" s="360">
        <f t="shared" si="44"/>
      </c>
      <c r="S141" s="361">
        <f t="shared" si="137"/>
      </c>
      <c r="T141" s="361">
        <f t="shared" si="13"/>
      </c>
      <c r="U141" s="360">
        <f t="shared" si="498"/>
      </c>
      <c r="V141" s="361">
        <f t="shared" si="467"/>
      </c>
      <c r="W141" s="318">
        <f t="shared" si="366"/>
      </c>
      <c r="X141" s="315">
        <f t="shared" si="292"/>
      </c>
      <c r="Y141" s="319">
        <f t="shared" si="230"/>
      </c>
      <c r="Z141" s="362">
        <f t="shared" si="168"/>
      </c>
      <c r="AA141" s="363">
        <f t="shared" si="75"/>
      </c>
      <c r="AB141" s="364" t="s">
        <v>232</v>
      </c>
      <c r="AC141" s="346" t="s">
        <v>244</v>
      </c>
      <c r="AD141" s="309">
        <v>2</v>
      </c>
      <c r="AE141" s="310">
        <v>9072</v>
      </c>
      <c r="AF141" s="310">
        <v>222</v>
      </c>
      <c r="AG141" s="310">
        <v>471</v>
      </c>
      <c r="AH141" s="310">
        <v>61</v>
      </c>
      <c r="AI141" s="365">
        <v>10</v>
      </c>
      <c r="AJ141" s="310">
        <v>8</v>
      </c>
      <c r="AK141" s="310">
        <v>20</v>
      </c>
      <c r="AL141" s="310">
        <f t="shared" si="325"/>
      </c>
      <c r="AM141" s="327"/>
    </row>
    <row r="142">
      <c r="A142" s="303"/>
      <c r="B142" s="325" t="s">
        <v>248</v>
      </c>
      <c r="C142" s="326" t="s">
        <v>231</v>
      </c>
      <c r="D142" s="334">
        <f t="shared" si="5"/>
      </c>
      <c r="E142" s="334">
        <v>1723.26</v>
      </c>
      <c r="F142" s="334">
        <v>129.1</v>
      </c>
      <c r="G142" s="326">
        <v>315.7</v>
      </c>
      <c r="I142" s="310">
        <v>0</v>
      </c>
      <c r="J142" s="345">
        <v>0</v>
      </c>
      <c r="K142" s="326">
        <v>0</v>
      </c>
      <c r="L142" s="326">
        <v>0</v>
      </c>
      <c r="M142" s="326">
        <v>0</v>
      </c>
      <c r="N142" s="386">
        <f t="shared" si="335"/>
      </c>
      <c r="O142" s="387">
        <f t="shared" si="261"/>
      </c>
      <c r="P142" s="358">
        <f t="shared" si="199"/>
      </c>
      <c r="Q142" s="359">
        <f t="shared" si="106"/>
      </c>
      <c r="R142" s="360">
        <f t="shared" si="44"/>
      </c>
      <c r="S142" s="361">
        <f t="shared" si="137"/>
      </c>
      <c r="T142" s="361">
        <f t="shared" si="13"/>
      </c>
      <c r="U142" s="360">
        <f t="shared" si="498"/>
      </c>
      <c r="V142" s="361">
        <f t="shared" si="467"/>
      </c>
      <c r="W142" s="318">
        <f t="shared" si="366"/>
      </c>
      <c r="X142" s="315">
        <f t="shared" si="292"/>
      </c>
      <c r="Y142" s="319">
        <f t="shared" si="230"/>
      </c>
      <c r="Z142" s="362">
        <f t="shared" si="168"/>
      </c>
      <c r="AA142" s="363">
        <f t="shared" si="75"/>
      </c>
      <c r="AB142" s="364" t="s">
        <v>232</v>
      </c>
      <c r="AC142" s="346" t="s">
        <v>244</v>
      </c>
      <c r="AD142" s="309">
        <v>0</v>
      </c>
      <c r="AE142" s="310">
        <v>6997</v>
      </c>
      <c r="AF142" s="310">
        <v>158</v>
      </c>
      <c r="AG142" s="310">
        <v>292</v>
      </c>
      <c r="AH142" s="310">
        <v>31</v>
      </c>
      <c r="AI142" s="365">
        <v>4</v>
      </c>
      <c r="AJ142" s="310">
        <v>0</v>
      </c>
      <c r="AK142" s="310">
        <v>4</v>
      </c>
      <c r="AL142" s="310">
        <f t="shared" si="325"/>
      </c>
      <c r="AM142" s="327"/>
    </row>
    <row r="143">
      <c r="A143" s="303"/>
      <c r="B143" s="347" t="s">
        <v>238</v>
      </c>
      <c r="C143" s="347"/>
      <c r="D143" s="348">
        <f>SUM(D139:D142)</f>
      </c>
      <c r="E143" s="348">
        <f>SUM(E139:E142)</f>
      </c>
      <c r="F143" s="348">
        <f>SUM(F139:F142)</f>
      </c>
      <c r="G143" s="348">
        <f>SUM(G139:G142)</f>
      </c>
      <c r="I143" s="348">
        <f>SUM(I139:I142)</f>
      </c>
      <c r="J143" s="348">
        <f>SUM(J139:J142)</f>
      </c>
      <c r="K143" s="348">
        <f>SUM(K139:K142)</f>
      </c>
      <c r="L143" s="348">
        <f>SUM(L139:L142)</f>
      </c>
      <c r="M143" s="348">
        <f>SUM(M139:M142)</f>
      </c>
      <c r="N143" s="349">
        <f t="shared" si="335"/>
      </c>
      <c r="O143" s="350">
        <f t="shared" si="261"/>
      </c>
      <c r="P143" s="370">
        <f t="shared" si="199"/>
      </c>
      <c r="Q143" s="352">
        <f t="shared" si="106"/>
      </c>
      <c r="R143" s="353">
        <f t="shared" si="44"/>
      </c>
      <c r="S143" s="354">
        <f t="shared" si="137"/>
      </c>
      <c r="T143" s="354">
        <f t="shared" si="13"/>
      </c>
      <c r="U143" s="353">
        <f t="shared" si="498"/>
      </c>
      <c r="V143" s="354">
        <f t="shared" si="467"/>
      </c>
      <c r="W143" s="354">
        <f t="shared" si="366"/>
      </c>
      <c r="X143" s="355">
        <f t="shared" si="292"/>
      </c>
      <c r="Y143" s="355">
        <f t="shared" si="230"/>
      </c>
      <c r="Z143" s="355">
        <f t="shared" si="168"/>
      </c>
      <c r="AA143" s="356">
        <f t="shared" si="75"/>
      </c>
      <c r="AB143" s="356"/>
      <c r="AC143" s="356"/>
      <c r="AD143" s="348">
        <f>SUM(AD139:AD142)</f>
      </c>
      <c r="AE143" s="348">
        <f>SUM(AE139:AE142)</f>
      </c>
      <c r="AF143" s="348">
        <f>SUM(AF139:AF142)</f>
      </c>
      <c r="AG143" s="348">
        <f>SUM(AG139:AG142)</f>
      </c>
      <c r="AH143" s="348">
        <f>SUM(AH139:AH142)</f>
      </c>
      <c r="AI143" s="348">
        <f>SUM(AI139:AI142)</f>
      </c>
      <c r="AJ143" s="348">
        <f>SUM(AJ139:AJ142)</f>
      </c>
      <c r="AK143" s="348">
        <f>SUM(AK139:AK142)</f>
      </c>
      <c r="AL143" s="348">
        <f>SUM(AL139:AL142)</f>
      </c>
      <c r="AM143" s="372" t="s">
        <v>249</v>
      </c>
    </row>
    <row r="144">
      <c r="A144" s="303"/>
      <c r="B144" s="373" t="s">
        <v>250</v>
      </c>
      <c r="C144" s="373"/>
      <c r="D144" s="373">
        <f>D134+D138+D143</f>
      </c>
      <c r="E144" s="373">
        <f>E134+E138+E143</f>
      </c>
      <c r="F144" s="373">
        <f>F134+F138+F143</f>
      </c>
      <c r="G144" s="373">
        <f>G134+G138+G143</f>
      </c>
      <c r="I144" s="373">
        <f>I134+I138+I143</f>
      </c>
      <c r="J144" s="374">
        <f>J134+J138+J143</f>
      </c>
      <c r="K144" s="374">
        <f>K134+K138+K143</f>
      </c>
      <c r="L144" s="374">
        <f>L134+L138+L143</f>
      </c>
      <c r="M144" s="374">
        <f>M134+M138+M143</f>
      </c>
      <c r="N144" s="375">
        <f t="shared" si="335"/>
      </c>
      <c r="O144" s="376">
        <f t="shared" si="261"/>
      </c>
      <c r="P144" s="377">
        <f t="shared" si="199"/>
      </c>
      <c r="Q144" s="378">
        <f t="shared" si="106"/>
      </c>
      <c r="R144" s="379">
        <f t="shared" si="44"/>
      </c>
      <c r="S144" s="380">
        <f t="shared" si="137"/>
      </c>
      <c r="T144" s="380">
        <f t="shared" si="13"/>
      </c>
      <c r="U144" s="379">
        <f t="shared" si="498"/>
      </c>
      <c r="V144" s="380">
        <f t="shared" si="467"/>
      </c>
      <c r="W144" s="380">
        <f t="shared" si="366"/>
      </c>
      <c r="X144" s="379">
        <f t="shared" si="292"/>
      </c>
      <c r="Y144" s="379">
        <f t="shared" si="230"/>
      </c>
      <c r="Z144" s="379">
        <f t="shared" si="168"/>
      </c>
      <c r="AA144" s="381">
        <f t="shared" si="75"/>
      </c>
      <c r="AB144" s="381"/>
      <c r="AC144" s="381"/>
      <c r="AD144" s="373">
        <f>AD134+AD138+AD143</f>
      </c>
      <c r="AE144" s="373">
        <f>AE134+AE138+AE143</f>
      </c>
      <c r="AF144" s="373">
        <f>AF134+AF138+AF143</f>
      </c>
      <c r="AG144" s="373">
        <f>AG134+AG138+AG143</f>
      </c>
      <c r="AH144" s="373">
        <f>AH134+AH138+AH143</f>
      </c>
      <c r="AI144" s="373">
        <f>AI134+AI138+AI143</f>
      </c>
      <c r="AJ144" s="373">
        <f>AJ134+AJ138+AJ143</f>
      </c>
      <c r="AK144" s="373">
        <f>AK134+AK138+AK143</f>
      </c>
      <c r="AL144" s="373">
        <f>AL134+AL138+AL143</f>
      </c>
      <c r="AM144" s="372"/>
    </row>
    <row r="145">
      <c r="A145" s="389" t="s">
        <v>189</v>
      </c>
      <c r="B145" s="389"/>
      <c r="C145" s="389"/>
      <c r="D145" s="390" t="s">
        <v>190</v>
      </c>
      <c r="E145" s="390"/>
      <c r="F145" s="390"/>
      <c r="G145" s="390"/>
      <c r="H145" s="390"/>
      <c r="I145" s="390"/>
      <c r="J145" s="390"/>
      <c r="K145" s="390"/>
      <c r="L145" s="390"/>
      <c r="M145" s="390"/>
      <c r="N145" s="390"/>
      <c r="O145" s="390"/>
      <c r="P145" s="391" t="s">
        <v>191</v>
      </c>
      <c r="Q145" s="391"/>
      <c r="R145" s="391"/>
      <c r="S145" s="391"/>
      <c r="T145" s="391"/>
      <c r="U145" s="391"/>
      <c r="V145" s="391"/>
      <c r="W145" s="391"/>
      <c r="X145" s="391"/>
      <c r="Y145" s="391"/>
      <c r="Z145" s="391"/>
      <c r="AA145" s="391"/>
      <c r="AB145" s="391"/>
      <c r="AC145" s="391"/>
      <c r="AD145" s="392" t="s">
        <v>192</v>
      </c>
      <c r="AE145" s="392"/>
      <c r="AF145" s="392"/>
      <c r="AG145" s="392"/>
      <c r="AH145" s="392"/>
      <c r="AI145" s="392"/>
      <c r="AJ145" s="392"/>
      <c r="AK145" s="392"/>
      <c r="AL145" s="392"/>
      <c r="AM145" s="393"/>
    </row>
    <row r="146">
      <c r="A146" s="287" t="s">
        <v>193</v>
      </c>
      <c r="B146" s="288" t="s">
        <v>194</v>
      </c>
      <c r="C146" s="288" t="s">
        <v>195</v>
      </c>
      <c r="D146" s="289" t="s">
        <v>196</v>
      </c>
      <c r="E146" s="290" t="s">
        <v>197</v>
      </c>
      <c r="F146" s="394" t="s">
        <v>198</v>
      </c>
      <c r="G146" s="394" t="s">
        <v>256</v>
      </c>
      <c r="H146" s="395" t="s">
        <v>260</v>
      </c>
      <c r="I146" s="396" t="s">
        <v>199</v>
      </c>
      <c r="J146" s="289" t="s">
        <v>200</v>
      </c>
      <c r="K146" s="397" t="s">
        <v>201</v>
      </c>
      <c r="L146" s="397" t="s">
        <v>202</v>
      </c>
      <c r="M146" s="397" t="s">
        <v>203</v>
      </c>
      <c r="N146" s="295" t="s">
        <v>204</v>
      </c>
      <c r="O146" s="398" t="s">
        <v>205</v>
      </c>
      <c r="P146" s="296" t="s">
        <v>206</v>
      </c>
      <c r="Q146" s="296" t="s">
        <v>207</v>
      </c>
      <c r="R146" s="296" t="s">
        <v>208</v>
      </c>
      <c r="S146" s="297" t="s">
        <v>209</v>
      </c>
      <c r="T146" s="297" t="s">
        <v>210</v>
      </c>
      <c r="U146" s="296" t="s">
        <v>211</v>
      </c>
      <c r="V146" s="297" t="s">
        <v>212</v>
      </c>
      <c r="W146" s="297" t="s">
        <v>213</v>
      </c>
      <c r="X146" s="296" t="s">
        <v>214</v>
      </c>
      <c r="Y146" s="297" t="s">
        <v>215</v>
      </c>
      <c r="Z146" s="296" t="s">
        <v>216</v>
      </c>
      <c r="AA146" s="298" t="s">
        <v>217</v>
      </c>
      <c r="AB146" s="298" t="s">
        <v>218</v>
      </c>
      <c r="AC146" s="299" t="s">
        <v>219</v>
      </c>
      <c r="AD146" s="300" t="s">
        <v>220</v>
      </c>
      <c r="AE146" s="301" t="s">
        <v>221</v>
      </c>
      <c r="AF146" s="301" t="s">
        <v>222</v>
      </c>
      <c r="AG146" s="301" t="s">
        <v>223</v>
      </c>
      <c r="AH146" s="301" t="s">
        <v>224</v>
      </c>
      <c r="AI146" s="301" t="s">
        <v>225</v>
      </c>
      <c r="AJ146" s="302" t="s">
        <v>226</v>
      </c>
      <c r="AK146" s="302" t="s">
        <v>227</v>
      </c>
      <c r="AL146" s="302" t="s">
        <v>228</v>
      </c>
      <c r="AM146" s="399"/>
    </row>
    <row r="147">
      <c r="A147" s="400" t="s">
        <v>261</v>
      </c>
      <c r="B147" s="304" t="s">
        <v>230</v>
      </c>
      <c r="C147" s="401" t="s">
        <v>231</v>
      </c>
      <c r="D147" s="334">
        <f t="shared" ref="D147:D150" si="390">E147+F147+G147+H147</f>
      </c>
      <c r="E147" s="334">
        <v>2739.88</v>
      </c>
      <c r="F147" s="401">
        <v>112.79</v>
      </c>
      <c r="G147" s="401">
        <v>1970.97</v>
      </c>
      <c r="H147" s="401">
        <v>0</v>
      </c>
      <c r="I147" s="334">
        <v>5</v>
      </c>
      <c r="J147" s="304">
        <v>9164</v>
      </c>
      <c r="K147" s="402">
        <v>1</v>
      </c>
      <c r="L147" s="365">
        <v>0</v>
      </c>
      <c r="M147" s="365">
        <v>4</v>
      </c>
      <c r="N147" s="403">
        <f t="shared" ref="N147:N162" si="336">J147/D147</f>
      </c>
      <c r="O147" s="404">
        <f t="shared" ref="O147:O162" si="262">J147/(D147+300*AL147)</f>
      </c>
      <c r="P147" s="358">
        <f t="shared" ref="P147:P162" si="200">(D147/AE147)*1000</f>
      </c>
      <c r="Q147" s="405">
        <f t="shared" ref="Q147:Q162" si="107">AF147/AE147</f>
      </c>
      <c r="R147" s="406">
        <f t="shared" ref="R147:R162" si="45">D147/AG147</f>
      </c>
      <c r="S147" s="407">
        <f t="shared" ref="S147:S162" si="138">AH147/AG147</f>
      </c>
      <c r="T147" s="405">
        <f t="shared" ref="T147:T162" si="14">AI147/AG147</f>
      </c>
      <c r="U147" s="408">
        <f t="shared" ref="U147:U162" si="499">D147/AI147</f>
      </c>
      <c r="V147" s="405">
        <f t="shared" ref="V147:V162" si="468">AJ147/AI147</f>
      </c>
      <c r="W147" s="409">
        <f t="shared" ref="W147:W162" si="367">I147/AJ147</f>
      </c>
      <c r="X147" s="406">
        <f t="shared" ref="X147:X162" si="293">D147/I147</f>
      </c>
      <c r="Y147" s="410">
        <f t="shared" ref="Y147:Y162" si="231">J147/I147</f>
      </c>
      <c r="Z147" s="406">
        <f t="shared" ref="Z147:Z162" si="169">D147/AD147</f>
      </c>
      <c r="AA147" s="320">
        <f t="shared" ref="AA147:AA162" si="76">AK147*1000/D147</f>
      </c>
      <c r="AB147" s="321" t="s">
        <v>232</v>
      </c>
      <c r="AC147" s="411" t="s">
        <v>233</v>
      </c>
      <c r="AD147" s="334">
        <v>5</v>
      </c>
      <c r="AE147" s="334">
        <v>11197</v>
      </c>
      <c r="AF147" s="304">
        <v>621</v>
      </c>
      <c r="AG147" s="304">
        <v>862</v>
      </c>
      <c r="AH147" s="304">
        <v>100</v>
      </c>
      <c r="AI147" s="334">
        <v>44</v>
      </c>
      <c r="AJ147" s="304">
        <v>7</v>
      </c>
      <c r="AK147" s="334">
        <v>16</v>
      </c>
      <c r="AL147" s="365">
        <v>1</v>
      </c>
      <c r="AM147" s="399"/>
    </row>
    <row r="148">
      <c r="A148" s="400"/>
      <c r="B148" s="304" t="s">
        <v>234</v>
      </c>
      <c r="C148" s="401" t="s">
        <v>231</v>
      </c>
      <c r="D148" s="334">
        <f t="shared" si="390"/>
      </c>
      <c r="E148" s="334">
        <v>859.18</v>
      </c>
      <c r="F148" s="334">
        <v>288.44</v>
      </c>
      <c r="G148" s="334">
        <v>2475.59</v>
      </c>
      <c r="H148" s="334">
        <v>0</v>
      </c>
      <c r="I148" s="412">
        <v>1</v>
      </c>
      <c r="J148" s="412">
        <v>2268</v>
      </c>
      <c r="K148" s="412">
        <v>0</v>
      </c>
      <c r="L148" s="412">
        <v>0</v>
      </c>
      <c r="M148" s="412">
        <v>1</v>
      </c>
      <c r="N148" s="413">
        <f t="shared" si="336"/>
      </c>
      <c r="O148" s="414">
        <f t="shared" si="262"/>
      </c>
      <c r="P148" s="358">
        <f t="shared" si="200"/>
      </c>
      <c r="Q148" s="405">
        <f t="shared" si="107"/>
      </c>
      <c r="R148" s="415">
        <f t="shared" si="45"/>
      </c>
      <c r="S148" s="407">
        <f t="shared" si="138"/>
      </c>
      <c r="T148" s="405">
        <f t="shared" si="14"/>
      </c>
      <c r="U148" s="408">
        <f t="shared" si="499"/>
      </c>
      <c r="V148" s="405">
        <f t="shared" si="468"/>
      </c>
      <c r="W148" s="409">
        <f t="shared" si="367"/>
      </c>
      <c r="X148" s="406">
        <f t="shared" si="293"/>
      </c>
      <c r="Y148" s="410">
        <f t="shared" si="231"/>
      </c>
      <c r="Z148" s="406">
        <f t="shared" si="169"/>
      </c>
      <c r="AA148" s="331">
        <f t="shared" si="76"/>
      </c>
      <c r="AB148" s="332" t="s">
        <v>232</v>
      </c>
      <c r="AC148" s="411" t="s">
        <v>233</v>
      </c>
      <c r="AD148" s="334">
        <v>0</v>
      </c>
      <c r="AE148" s="334">
        <v>8410</v>
      </c>
      <c r="AF148" s="304">
        <v>591</v>
      </c>
      <c r="AG148" s="333">
        <v>783</v>
      </c>
      <c r="AH148" s="334">
        <v>91</v>
      </c>
      <c r="AI148" s="334">
        <v>44</v>
      </c>
      <c r="AJ148" s="416">
        <v>3</v>
      </c>
      <c r="AK148" s="417">
        <v>13</v>
      </c>
      <c r="AL148" s="365">
        <v>1</v>
      </c>
      <c r="AM148" s="399"/>
    </row>
    <row r="149">
      <c r="A149" s="400"/>
      <c r="B149" s="304" t="s">
        <v>235</v>
      </c>
      <c r="C149" s="401" t="s">
        <v>231</v>
      </c>
      <c r="D149" s="334">
        <f t="shared" si="390"/>
      </c>
      <c r="E149" s="334">
        <v>1253.79</v>
      </c>
      <c r="F149" s="334">
        <v>0</v>
      </c>
      <c r="G149" s="334">
        <v>1512.45</v>
      </c>
      <c r="H149" s="334">
        <v>0</v>
      </c>
      <c r="I149" s="304">
        <v>1</v>
      </c>
      <c r="J149" s="304">
        <v>2268</v>
      </c>
      <c r="K149" s="304">
        <v>0</v>
      </c>
      <c r="L149" s="304">
        <v>0</v>
      </c>
      <c r="M149" s="304">
        <v>1</v>
      </c>
      <c r="N149" s="413">
        <f t="shared" si="336"/>
      </c>
      <c r="O149" s="414">
        <f t="shared" si="262"/>
      </c>
      <c r="P149" s="358">
        <f t="shared" si="200"/>
      </c>
      <c r="Q149" s="407">
        <f t="shared" si="107"/>
      </c>
      <c r="R149" s="406">
        <f t="shared" si="45"/>
      </c>
      <c r="S149" s="409">
        <f t="shared" si="138"/>
      </c>
      <c r="T149" s="418">
        <f t="shared" si="14"/>
      </c>
      <c r="U149" s="419">
        <f t="shared" si="499"/>
      </c>
      <c r="V149" s="418">
        <f t="shared" si="468"/>
      </c>
      <c r="W149" s="405">
        <f t="shared" si="367"/>
      </c>
      <c r="X149" s="406">
        <f t="shared" si="293"/>
      </c>
      <c r="Y149" s="410">
        <f t="shared" si="231"/>
      </c>
      <c r="Z149" s="406">
        <f t="shared" si="169"/>
      </c>
      <c r="AA149" s="331">
        <f t="shared" si="76"/>
      </c>
      <c r="AB149" s="332" t="s">
        <v>232</v>
      </c>
      <c r="AC149" s="411" t="s">
        <v>233</v>
      </c>
      <c r="AD149" s="334">
        <v>2</v>
      </c>
      <c r="AE149" s="334">
        <v>9421</v>
      </c>
      <c r="AF149" s="304">
        <v>386</v>
      </c>
      <c r="AG149" s="334">
        <v>765</v>
      </c>
      <c r="AH149" s="334">
        <v>75</v>
      </c>
      <c r="AI149" s="334">
        <v>12</v>
      </c>
      <c r="AJ149" s="416">
        <v>1</v>
      </c>
      <c r="AK149" s="417">
        <v>17</v>
      </c>
      <c r="AL149" s="365">
        <v>1</v>
      </c>
      <c r="AM149" s="399"/>
    </row>
    <row r="150">
      <c r="A150" s="400"/>
      <c r="B150" s="304" t="s">
        <v>236</v>
      </c>
      <c r="C150" s="401" t="s">
        <v>231</v>
      </c>
      <c r="D150" s="334">
        <f t="shared" si="390"/>
      </c>
      <c r="E150" s="334">
        <v>744.14</v>
      </c>
      <c r="F150" s="334">
        <v>0</v>
      </c>
      <c r="G150" s="334">
        <v>2717.87</v>
      </c>
      <c r="H150" s="334">
        <v>0</v>
      </c>
      <c r="I150" s="416">
        <v>1</v>
      </c>
      <c r="J150" s="416">
        <v>2080</v>
      </c>
      <c r="K150" s="416">
        <v>0</v>
      </c>
      <c r="L150" s="416">
        <v>0</v>
      </c>
      <c r="M150" s="416">
        <v>1</v>
      </c>
      <c r="N150" s="413">
        <f t="shared" si="336"/>
      </c>
      <c r="O150" s="414">
        <f t="shared" si="262"/>
      </c>
      <c r="P150" s="358">
        <f t="shared" si="200"/>
      </c>
      <c r="Q150" s="405">
        <f t="shared" si="107"/>
      </c>
      <c r="R150" s="420">
        <f t="shared" si="45"/>
      </c>
      <c r="S150" s="405">
        <f t="shared" si="138"/>
      </c>
      <c r="T150" s="405">
        <f t="shared" si="14"/>
      </c>
      <c r="U150" s="406">
        <f t="shared" si="499"/>
      </c>
      <c r="V150" s="405">
        <f t="shared" si="468"/>
      </c>
      <c r="W150" s="405">
        <f t="shared" si="367"/>
      </c>
      <c r="X150" s="406">
        <f t="shared" si="293"/>
      </c>
      <c r="Y150" s="410">
        <f t="shared" si="231"/>
      </c>
      <c r="Z150" s="406">
        <f t="shared" si="169"/>
      </c>
      <c r="AA150" s="331">
        <f t="shared" si="76"/>
      </c>
      <c r="AB150" s="340" t="s">
        <v>232</v>
      </c>
      <c r="AC150" s="411" t="s">
        <v>233</v>
      </c>
      <c r="AD150" s="412">
        <v>1</v>
      </c>
      <c r="AE150" s="333">
        <v>12241</v>
      </c>
      <c r="AF150" s="334">
        <v>655</v>
      </c>
      <c r="AG150" s="334">
        <v>1027</v>
      </c>
      <c r="AH150" s="334">
        <v>98</v>
      </c>
      <c r="AI150" s="334">
        <v>48</v>
      </c>
      <c r="AJ150" s="416">
        <v>4</v>
      </c>
      <c r="AK150" s="417">
        <v>12</v>
      </c>
      <c r="AL150" s="365">
        <v>1</v>
      </c>
      <c r="AM150" s="399"/>
    </row>
    <row r="151">
      <c r="A151" s="400"/>
      <c r="B151" s="347" t="s">
        <v>238</v>
      </c>
      <c r="C151" s="347"/>
      <c r="D151" s="348">
        <f>SUM(D147:D150)</f>
      </c>
      <c r="E151" s="348">
        <f>SUM(E147:E150)</f>
      </c>
      <c r="F151" s="348">
        <f>SUM(F147:F150)</f>
      </c>
      <c r="G151" s="348">
        <f>SUM(G147:G150)</f>
      </c>
      <c r="H151" s="348">
        <f>SUM(H147:H150)</f>
      </c>
      <c r="I151" s="348">
        <f>SUM(I147:I150)</f>
      </c>
      <c r="J151" s="348">
        <f>SUM(J147:J150)</f>
      </c>
      <c r="K151" s="348">
        <f>SUM(K147:K150)</f>
      </c>
      <c r="L151" s="348">
        <f>SUM(L147:L150)</f>
      </c>
      <c r="M151" s="348">
        <f>SUM(M147:M150)</f>
      </c>
      <c r="N151" s="421">
        <f t="shared" si="336"/>
      </c>
      <c r="O151" s="422">
        <f t="shared" si="262"/>
      </c>
      <c r="P151" s="351">
        <f t="shared" si="200"/>
      </c>
      <c r="Q151" s="352">
        <f t="shared" si="107"/>
      </c>
      <c r="R151" s="353">
        <f t="shared" si="45"/>
      </c>
      <c r="S151" s="354">
        <f t="shared" si="138"/>
      </c>
      <c r="T151" s="354">
        <f t="shared" si="14"/>
      </c>
      <c r="U151" s="353">
        <f t="shared" si="499"/>
      </c>
      <c r="V151" s="354">
        <f t="shared" si="468"/>
      </c>
      <c r="W151" s="354">
        <f t="shared" si="367"/>
      </c>
      <c r="X151" s="355">
        <f t="shared" si="293"/>
      </c>
      <c r="Y151" s="423">
        <f t="shared" si="231"/>
      </c>
      <c r="Z151" s="355">
        <f t="shared" si="169"/>
      </c>
      <c r="AA151" s="356">
        <f t="shared" si="76"/>
      </c>
      <c r="AB151" s="356"/>
      <c r="AC151" s="424"/>
      <c r="AD151" s="347">
        <f>SUM(AD147:AD150)</f>
      </c>
      <c r="AE151" s="347">
        <f>SUM(AE147:AE150)</f>
      </c>
      <c r="AF151" s="347">
        <f>SUM(AF147:AF150)</f>
      </c>
      <c r="AG151" s="347">
        <f>SUM(AG147:AG150)</f>
      </c>
      <c r="AH151" s="347">
        <f>SUM(AH147:AH150)</f>
      </c>
      <c r="AI151" s="347">
        <f>SUM(AI147:AI150)</f>
      </c>
      <c r="AJ151" s="347">
        <f>SUM(AJ147:AJ150)</f>
      </c>
      <c r="AK151" s="347">
        <f>SUM(AK147:AK150)</f>
      </c>
      <c r="AL151" s="347">
        <f>SUM(AL147:AL150)</f>
      </c>
      <c r="AM151" s="399"/>
    </row>
    <row r="152">
      <c r="A152" s="400"/>
      <c r="B152" s="304" t="s">
        <v>237</v>
      </c>
      <c r="C152" s="334" t="s">
        <v>240</v>
      </c>
      <c r="D152" s="334">
        <f t="shared" ref="D152:D156" si="391">E152+F152+G152+H152</f>
      </c>
      <c r="E152" s="334">
        <v>410.63</v>
      </c>
      <c r="F152" s="334">
        <v>0</v>
      </c>
      <c r="G152" s="334">
        <v>2596.06</v>
      </c>
      <c r="H152" s="334">
        <v>780.09</v>
      </c>
      <c r="I152" s="365">
        <v>1</v>
      </c>
      <c r="J152" s="369">
        <v>2268</v>
      </c>
      <c r="K152" s="365">
        <v>0</v>
      </c>
      <c r="L152" s="365">
        <v>0</v>
      </c>
      <c r="M152" s="365">
        <v>1</v>
      </c>
      <c r="N152" s="413">
        <f t="shared" si="336"/>
      </c>
      <c r="O152" s="414">
        <f t="shared" si="262"/>
      </c>
      <c r="P152" s="358">
        <f t="shared" si="200"/>
      </c>
      <c r="Q152" s="359">
        <f t="shared" si="107"/>
      </c>
      <c r="R152" s="360">
        <f t="shared" si="45"/>
      </c>
      <c r="S152" s="361">
        <f t="shared" si="138"/>
      </c>
      <c r="T152" s="361">
        <f t="shared" si="14"/>
      </c>
      <c r="U152" s="360">
        <f t="shared" si="499"/>
      </c>
      <c r="V152" s="361">
        <f t="shared" si="468"/>
      </c>
      <c r="W152" s="361">
        <f t="shared" si="367"/>
      </c>
      <c r="X152" s="362">
        <f t="shared" si="293"/>
      </c>
      <c r="Y152" s="425">
        <f t="shared" si="231"/>
      </c>
      <c r="Z152" s="362">
        <f t="shared" si="169"/>
      </c>
      <c r="AA152" s="363">
        <f t="shared" si="76"/>
      </c>
      <c r="AB152" s="364" t="s">
        <v>232</v>
      </c>
      <c r="AC152" s="411" t="s">
        <v>233</v>
      </c>
      <c r="AD152" s="402">
        <v>1</v>
      </c>
      <c r="AE152" s="365">
        <v>13584</v>
      </c>
      <c r="AF152" s="365">
        <v>587</v>
      </c>
      <c r="AG152" s="365">
        <v>908</v>
      </c>
      <c r="AH152" s="365">
        <v>113</v>
      </c>
      <c r="AI152" s="365">
        <v>55</v>
      </c>
      <c r="AJ152" s="365">
        <v>2</v>
      </c>
      <c r="AK152" s="365">
        <v>13</v>
      </c>
      <c r="AL152" s="365">
        <v>1</v>
      </c>
      <c r="AM152" s="399"/>
    </row>
    <row r="153">
      <c r="A153" s="400"/>
      <c r="B153" s="304" t="s">
        <v>239</v>
      </c>
      <c r="C153" s="334" t="s">
        <v>240</v>
      </c>
      <c r="D153" s="334">
        <f t="shared" si="391"/>
      </c>
      <c r="E153" s="334">
        <v>459.54</v>
      </c>
      <c r="F153" s="334">
        <v>0</v>
      </c>
      <c r="G153" s="334">
        <v>2584.28</v>
      </c>
      <c r="H153" s="334">
        <v>1117.47</v>
      </c>
      <c r="I153" s="365">
        <v>4</v>
      </c>
      <c r="J153" s="365">
        <v>8884</v>
      </c>
      <c r="K153" s="365">
        <v>0</v>
      </c>
      <c r="L153" s="365">
        <v>0</v>
      </c>
      <c r="M153" s="365">
        <v>4</v>
      </c>
      <c r="N153" s="413">
        <f t="shared" si="336"/>
      </c>
      <c r="O153" s="414">
        <f t="shared" si="262"/>
      </c>
      <c r="P153" s="358">
        <f t="shared" si="200"/>
      </c>
      <c r="Q153" s="359">
        <f t="shared" si="107"/>
      </c>
      <c r="R153" s="360">
        <f t="shared" si="45"/>
      </c>
      <c r="S153" s="361">
        <f t="shared" si="138"/>
      </c>
      <c r="T153" s="361">
        <f t="shared" si="14"/>
      </c>
      <c r="U153" s="360">
        <f t="shared" si="499"/>
      </c>
      <c r="V153" s="361">
        <f t="shared" si="468"/>
      </c>
      <c r="W153" s="361">
        <f t="shared" si="367"/>
      </c>
      <c r="X153" s="362">
        <f t="shared" si="293"/>
      </c>
      <c r="Y153" s="425">
        <f t="shared" si="231"/>
      </c>
      <c r="Z153" s="362">
        <f t="shared" si="169"/>
      </c>
      <c r="AA153" s="363">
        <f t="shared" si="76"/>
      </c>
      <c r="AB153" s="364" t="s">
        <v>232</v>
      </c>
      <c r="AC153" s="411" t="s">
        <v>233</v>
      </c>
      <c r="AD153" s="402">
        <v>4</v>
      </c>
      <c r="AE153" s="365">
        <v>12769</v>
      </c>
      <c r="AF153" s="365">
        <v>655</v>
      </c>
      <c r="AG153" s="365">
        <v>976</v>
      </c>
      <c r="AH153" s="365">
        <v>136</v>
      </c>
      <c r="AI153" s="365">
        <v>46</v>
      </c>
      <c r="AJ153" s="365">
        <v>6</v>
      </c>
      <c r="AK153" s="365">
        <v>26</v>
      </c>
      <c r="AL153" s="365">
        <v>1</v>
      </c>
      <c r="AM153" s="399"/>
    </row>
    <row r="154">
      <c r="A154" s="400"/>
      <c r="B154" s="304" t="s">
        <v>241</v>
      </c>
      <c r="C154" s="334" t="s">
        <v>240</v>
      </c>
      <c r="D154" s="334">
        <f t="shared" si="391"/>
      </c>
      <c r="E154" s="334">
        <v>340.04</v>
      </c>
      <c r="F154" s="326">
        <v>0</v>
      </c>
      <c r="G154" s="334">
        <v>1938.33</v>
      </c>
      <c r="H154" s="334">
        <v>1735.87</v>
      </c>
      <c r="I154" s="365">
        <v>2</v>
      </c>
      <c r="J154" s="365">
        <v>3216</v>
      </c>
      <c r="K154" s="310">
        <v>0</v>
      </c>
      <c r="L154" s="310">
        <v>1</v>
      </c>
      <c r="M154" s="310">
        <v>1</v>
      </c>
      <c r="N154" s="413">
        <f t="shared" si="336"/>
      </c>
      <c r="O154" s="414">
        <f t="shared" si="262"/>
      </c>
      <c r="P154" s="358">
        <f t="shared" si="200"/>
      </c>
      <c r="Q154" s="359">
        <f t="shared" si="107"/>
      </c>
      <c r="R154" s="360">
        <f t="shared" si="45"/>
      </c>
      <c r="S154" s="361">
        <f t="shared" si="138"/>
      </c>
      <c r="T154" s="361">
        <f t="shared" si="14"/>
      </c>
      <c r="U154" s="360">
        <f t="shared" si="499"/>
      </c>
      <c r="V154" s="361">
        <f t="shared" si="468"/>
      </c>
      <c r="W154" s="361">
        <f t="shared" si="367"/>
      </c>
      <c r="X154" s="362">
        <f t="shared" si="293"/>
      </c>
      <c r="Y154" s="425">
        <f t="shared" si="231"/>
      </c>
      <c r="Z154" s="362">
        <f t="shared" si="169"/>
      </c>
      <c r="AA154" s="363">
        <f t="shared" si="76"/>
      </c>
      <c r="AB154" s="364" t="s">
        <v>232</v>
      </c>
      <c r="AC154" s="411" t="s">
        <v>233</v>
      </c>
      <c r="AD154" s="402">
        <v>2</v>
      </c>
      <c r="AE154" s="365">
        <v>11870</v>
      </c>
      <c r="AF154" s="365">
        <v>547</v>
      </c>
      <c r="AG154" s="365">
        <v>847</v>
      </c>
      <c r="AH154" s="365">
        <v>125</v>
      </c>
      <c r="AI154" s="365">
        <v>36</v>
      </c>
      <c r="AJ154" s="310">
        <v>4</v>
      </c>
      <c r="AK154" s="310">
        <v>18</v>
      </c>
      <c r="AL154" s="310">
        <v>1</v>
      </c>
      <c r="AM154" s="399"/>
    </row>
    <row customHeight="true" ht="18.452380952380953" r="155">
      <c r="A155" s="400"/>
      <c r="B155" s="304" t="s">
        <v>242</v>
      </c>
      <c r="C155" s="334" t="s">
        <v>240</v>
      </c>
      <c r="D155" s="334">
        <f t="shared" si="391"/>
      </c>
      <c r="E155" s="326">
        <v>0</v>
      </c>
      <c r="F155" s="334">
        <v>158.12</v>
      </c>
      <c r="G155" s="334">
        <v>1035.79</v>
      </c>
      <c r="H155" s="334">
        <v>1822.59</v>
      </c>
      <c r="I155" s="365">
        <v>1</v>
      </c>
      <c r="J155" s="365">
        <v>468</v>
      </c>
      <c r="K155" s="310">
        <v>1</v>
      </c>
      <c r="L155" s="310">
        <v>0</v>
      </c>
      <c r="M155" s="310">
        <v>0</v>
      </c>
      <c r="N155" s="413">
        <f t="shared" si="336"/>
      </c>
      <c r="O155" s="414">
        <f t="shared" si="262"/>
      </c>
      <c r="P155" s="358">
        <f t="shared" si="200"/>
      </c>
      <c r="Q155" s="359">
        <f t="shared" si="107"/>
      </c>
      <c r="R155" s="360">
        <f t="shared" si="45"/>
      </c>
      <c r="S155" s="361">
        <f t="shared" si="138"/>
      </c>
      <c r="T155" s="361">
        <f t="shared" si="14"/>
      </c>
      <c r="U155" s="360">
        <f t="shared" si="499"/>
      </c>
      <c r="V155" s="361">
        <f t="shared" si="468"/>
      </c>
      <c r="W155" s="361">
        <f t="shared" si="367"/>
      </c>
      <c r="X155" s="362">
        <f t="shared" si="293"/>
      </c>
      <c r="Y155" s="425">
        <f t="shared" si="231"/>
      </c>
      <c r="Z155" s="362">
        <f t="shared" si="169"/>
      </c>
      <c r="AA155" s="363">
        <f t="shared" si="76"/>
      </c>
      <c r="AB155" s="364" t="s">
        <v>232</v>
      </c>
      <c r="AC155" s="411" t="s">
        <v>233</v>
      </c>
      <c r="AD155" s="402">
        <v>1</v>
      </c>
      <c r="AE155" s="365">
        <v>10917</v>
      </c>
      <c r="AF155" s="365">
        <v>385</v>
      </c>
      <c r="AG155" s="365">
        <v>669</v>
      </c>
      <c r="AH155" s="365">
        <v>71</v>
      </c>
      <c r="AI155" s="365">
        <v>21</v>
      </c>
      <c r="AJ155" s="365">
        <v>2</v>
      </c>
      <c r="AK155" s="365">
        <v>16</v>
      </c>
      <c r="AL155" s="365">
        <v>1</v>
      </c>
      <c r="AM155" s="399"/>
    </row>
    <row customHeight="true" ht="18.452380952380953" r="156">
      <c r="A156" s="400"/>
      <c r="B156" s="304" t="s">
        <v>243</v>
      </c>
      <c r="C156" s="334" t="s">
        <v>240</v>
      </c>
      <c r="D156" s="334">
        <f t="shared" si="391"/>
      </c>
      <c r="E156" s="334">
        <v>100.15</v>
      </c>
      <c r="F156" s="334">
        <v>670.29</v>
      </c>
      <c r="G156" s="334">
        <v>322.87</v>
      </c>
      <c r="H156" s="334">
        <v>1615.4</v>
      </c>
      <c r="I156" s="365">
        <v>1</v>
      </c>
      <c r="J156" s="365">
        <v>2268</v>
      </c>
      <c r="K156" s="310">
        <v>0</v>
      </c>
      <c r="L156" s="310">
        <v>0</v>
      </c>
      <c r="M156" s="310">
        <v>1</v>
      </c>
      <c r="N156" s="413">
        <f t="shared" si="336"/>
      </c>
      <c r="O156" s="414">
        <f t="shared" si="262"/>
      </c>
      <c r="P156" s="358">
        <f t="shared" si="200"/>
      </c>
      <c r="Q156" s="359">
        <f t="shared" si="107"/>
      </c>
      <c r="R156" s="360">
        <f t="shared" si="45"/>
      </c>
      <c r="S156" s="361">
        <f t="shared" si="138"/>
      </c>
      <c r="T156" s="361">
        <f t="shared" si="14"/>
      </c>
      <c r="U156" s="360">
        <f t="shared" si="499"/>
      </c>
      <c r="V156" s="361">
        <f t="shared" si="468"/>
      </c>
      <c r="W156" s="361">
        <f t="shared" si="367"/>
      </c>
      <c r="X156" s="362">
        <f t="shared" si="293"/>
      </c>
      <c r="Y156" s="425">
        <f t="shared" si="231"/>
      </c>
      <c r="Z156" s="362">
        <f t="shared" si="169"/>
      </c>
      <c r="AA156" s="363">
        <f t="shared" si="76"/>
      </c>
      <c r="AB156" s="364" t="s">
        <v>232</v>
      </c>
      <c r="AC156" s="411" t="s">
        <v>262</v>
      </c>
      <c r="AD156" s="402">
        <v>0</v>
      </c>
      <c r="AE156" s="365">
        <v>8573</v>
      </c>
      <c r="AF156" s="365">
        <v>300</v>
      </c>
      <c r="AG156" s="365">
        <v>568</v>
      </c>
      <c r="AH156" s="365">
        <v>44</v>
      </c>
      <c r="AI156" s="365">
        <v>15</v>
      </c>
      <c r="AJ156" s="365">
        <v>1</v>
      </c>
      <c r="AK156" s="365">
        <v>6</v>
      </c>
      <c r="AL156" s="365">
        <v>1</v>
      </c>
      <c r="AM156" s="399"/>
    </row>
    <row r="157">
      <c r="A157" s="400"/>
      <c r="B157" s="347" t="s">
        <v>238</v>
      </c>
      <c r="C157" s="347"/>
      <c r="D157" s="348">
        <f>SUM(D152:D156)</f>
      </c>
      <c r="E157" s="348">
        <f>SUM(E152:E156)</f>
      </c>
      <c r="F157" s="348">
        <f>SUM(F152:F156)</f>
      </c>
      <c r="G157" s="348">
        <f>SUM(G152:G156)</f>
      </c>
      <c r="H157" s="348">
        <f>SUM(H152:H156)</f>
      </c>
      <c r="I157" s="348">
        <f>SUM(I152:I156)</f>
      </c>
      <c r="J157" s="348">
        <f>SUM(J152:J156)</f>
      </c>
      <c r="K157" s="348">
        <f>SUM(K152:K156)</f>
      </c>
      <c r="L157" s="348">
        <f>SUM(L152:L156)</f>
      </c>
      <c r="M157" s="348">
        <f>SUM(M152:M156)</f>
      </c>
      <c r="N157" s="421">
        <f t="shared" si="336"/>
      </c>
      <c r="O157" s="422">
        <f t="shared" si="262"/>
      </c>
      <c r="P157" s="370">
        <f t="shared" si="200"/>
      </c>
      <c r="Q157" s="352">
        <f t="shared" si="107"/>
      </c>
      <c r="R157" s="353">
        <f t="shared" si="45"/>
      </c>
      <c r="S157" s="354">
        <f t="shared" si="138"/>
      </c>
      <c r="T157" s="354">
        <f t="shared" si="14"/>
      </c>
      <c r="U157" s="353">
        <f t="shared" si="499"/>
      </c>
      <c r="V157" s="354">
        <f t="shared" si="468"/>
      </c>
      <c r="W157" s="354">
        <f t="shared" si="367"/>
      </c>
      <c r="X157" s="355">
        <f t="shared" si="293"/>
      </c>
      <c r="Y157" s="423">
        <f t="shared" si="231"/>
      </c>
      <c r="Z157" s="355">
        <f t="shared" si="169"/>
      </c>
      <c r="AA157" s="356">
        <f t="shared" si="76"/>
      </c>
      <c r="AB157" s="356"/>
      <c r="AC157" s="424"/>
      <c r="AD157" s="347">
        <f>SUM(AD152:AD156)</f>
      </c>
      <c r="AE157" s="347">
        <f>SUM(AE152:AE156)</f>
      </c>
      <c r="AF157" s="347">
        <f>SUM(AF152:AF156)</f>
      </c>
      <c r="AG157" s="347">
        <f>SUM(AG152:AG156)</f>
      </c>
      <c r="AH157" s="347">
        <f>SUM(AH152:AH156)</f>
      </c>
      <c r="AI157" s="347">
        <f>SUM(AI152:AI156)</f>
      </c>
      <c r="AJ157" s="347">
        <f>SUM(AJ152:AJ156)</f>
      </c>
      <c r="AK157" s="347">
        <f>SUM(AK152:AK156)</f>
      </c>
      <c r="AL157" s="347">
        <f>SUM(AL152:AL156)</f>
      </c>
      <c r="AM157" s="399"/>
    </row>
    <row r="158">
      <c r="A158" s="400"/>
      <c r="B158" s="304" t="s">
        <v>245</v>
      </c>
      <c r="C158" s="334" t="s">
        <v>247</v>
      </c>
      <c r="D158" s="334">
        <f t="shared" ref="D158:D160" si="392">E158+F158+G158+H158</f>
      </c>
      <c r="E158" s="334">
        <v>88.7</v>
      </c>
      <c r="F158" s="334">
        <v>174.89</v>
      </c>
      <c r="G158" s="334">
        <v>513</v>
      </c>
      <c r="H158" s="334">
        <v>979.53</v>
      </c>
      <c r="I158" s="310">
        <v>0</v>
      </c>
      <c r="J158" s="345">
        <v>0</v>
      </c>
      <c r="K158" s="303">
        <v>0</v>
      </c>
      <c r="L158" s="303">
        <v>0</v>
      </c>
      <c r="M158" s="305">
        <v>0</v>
      </c>
      <c r="N158" s="413">
        <f t="shared" si="336"/>
      </c>
      <c r="O158" s="414">
        <f t="shared" si="262"/>
      </c>
      <c r="P158" s="368">
        <f t="shared" si="200"/>
      </c>
      <c r="Q158" s="359">
        <f t="shared" si="107"/>
      </c>
      <c r="R158" s="360">
        <f t="shared" si="45"/>
      </c>
      <c r="S158" s="361">
        <f t="shared" si="138"/>
      </c>
      <c r="T158" s="361">
        <f t="shared" si="14"/>
      </c>
      <c r="U158" s="360">
        <f t="shared" si="499"/>
      </c>
      <c r="V158" s="361">
        <f t="shared" si="468"/>
      </c>
      <c r="W158" s="361">
        <f t="shared" si="367"/>
      </c>
      <c r="X158" s="362">
        <f t="shared" si="293"/>
      </c>
      <c r="Y158" s="425">
        <f t="shared" si="231"/>
      </c>
      <c r="Z158" s="362">
        <f t="shared" si="169"/>
      </c>
      <c r="AA158" s="363">
        <f t="shared" si="76"/>
      </c>
      <c r="AB158" s="364" t="s">
        <v>232</v>
      </c>
      <c r="AC158" s="411" t="s">
        <v>262</v>
      </c>
      <c r="AD158" s="402">
        <v>0</v>
      </c>
      <c r="AE158" s="365">
        <v>7004</v>
      </c>
      <c r="AF158" s="365">
        <v>295</v>
      </c>
      <c r="AG158" s="365">
        <v>506</v>
      </c>
      <c r="AH158" s="365">
        <v>45</v>
      </c>
      <c r="AI158" s="365">
        <v>16</v>
      </c>
      <c r="AJ158" s="310">
        <v>0</v>
      </c>
      <c r="AK158" s="310">
        <v>8</v>
      </c>
      <c r="AL158" s="310">
        <v>1</v>
      </c>
      <c r="AM158" s="399"/>
    </row>
    <row r="159">
      <c r="A159" s="400"/>
      <c r="B159" s="304" t="s">
        <v>246</v>
      </c>
      <c r="C159" s="334" t="s">
        <v>247</v>
      </c>
      <c r="D159" s="334">
        <f t="shared" si="392"/>
      </c>
      <c r="E159" s="326">
        <v>0</v>
      </c>
      <c r="F159" s="326">
        <v>0</v>
      </c>
      <c r="G159" s="334">
        <v>623.52</v>
      </c>
      <c r="H159" s="334">
        <v>754.9</v>
      </c>
      <c r="I159" s="365">
        <v>1</v>
      </c>
      <c r="J159" s="369">
        <v>2268</v>
      </c>
      <c r="K159" s="303">
        <v>0</v>
      </c>
      <c r="L159" s="303">
        <v>0</v>
      </c>
      <c r="M159" s="305">
        <v>1</v>
      </c>
      <c r="N159" s="413">
        <f t="shared" si="336"/>
      </c>
      <c r="O159" s="414">
        <f t="shared" si="262"/>
      </c>
      <c r="P159" s="368">
        <f t="shared" si="200"/>
      </c>
      <c r="Q159" s="359">
        <f t="shared" si="107"/>
      </c>
      <c r="R159" s="360">
        <f t="shared" si="45"/>
      </c>
      <c r="S159" s="361">
        <f t="shared" si="138"/>
      </c>
      <c r="T159" s="361">
        <f t="shared" si="14"/>
      </c>
      <c r="U159" s="360">
        <f t="shared" si="499"/>
      </c>
      <c r="V159" s="361">
        <f t="shared" si="468"/>
      </c>
      <c r="W159" s="361">
        <f t="shared" si="367"/>
      </c>
      <c r="X159" s="362">
        <f t="shared" si="293"/>
      </c>
      <c r="Y159" s="425">
        <f t="shared" si="231"/>
      </c>
      <c r="Z159" s="362">
        <f t="shared" si="169"/>
      </c>
      <c r="AA159" s="363">
        <f t="shared" si="76"/>
      </c>
      <c r="AB159" s="364" t="s">
        <v>232</v>
      </c>
      <c r="AC159" s="411" t="s">
        <v>262</v>
      </c>
      <c r="AD159" s="402">
        <v>1</v>
      </c>
      <c r="AE159" s="365">
        <v>5981</v>
      </c>
      <c r="AF159" s="365">
        <v>266</v>
      </c>
      <c r="AG159" s="365">
        <v>421</v>
      </c>
      <c r="AH159" s="365">
        <v>39</v>
      </c>
      <c r="AI159" s="365">
        <v>14</v>
      </c>
      <c r="AJ159" s="310">
        <v>4</v>
      </c>
      <c r="AK159" s="310">
        <v>7</v>
      </c>
      <c r="AL159" s="310">
        <v>1</v>
      </c>
      <c r="AM159" s="399"/>
    </row>
    <row r="160">
      <c r="A160" s="400"/>
      <c r="B160" s="304" t="s">
        <v>248</v>
      </c>
      <c r="C160" s="334" t="s">
        <v>247</v>
      </c>
      <c r="D160" s="334">
        <f t="shared" si="392"/>
      </c>
      <c r="E160" s="326">
        <v>0</v>
      </c>
      <c r="F160" s="326">
        <v>0</v>
      </c>
      <c r="G160" s="334">
        <v>1022.61</v>
      </c>
      <c r="H160" s="334">
        <v>515.35</v>
      </c>
      <c r="I160" s="310">
        <v>2</v>
      </c>
      <c r="J160" s="345">
        <v>3216</v>
      </c>
      <c r="K160" s="326">
        <v>0</v>
      </c>
      <c r="L160" s="326">
        <v>1</v>
      </c>
      <c r="M160" s="326">
        <v>1</v>
      </c>
      <c r="N160" s="413">
        <f t="shared" si="336"/>
      </c>
      <c r="O160" s="414">
        <f t="shared" si="262"/>
      </c>
      <c r="P160" s="358">
        <f t="shared" si="200"/>
      </c>
      <c r="Q160" s="359">
        <f t="shared" si="107"/>
      </c>
      <c r="R160" s="360">
        <f t="shared" si="45"/>
      </c>
      <c r="S160" s="361">
        <f t="shared" si="138"/>
      </c>
      <c r="T160" s="361">
        <f t="shared" si="14"/>
      </c>
      <c r="U160" s="360">
        <f t="shared" si="499"/>
      </c>
      <c r="V160" s="361">
        <f t="shared" si="468"/>
      </c>
      <c r="W160" s="361">
        <f t="shared" si="367"/>
      </c>
      <c r="X160" s="362">
        <f t="shared" si="293"/>
      </c>
      <c r="Y160" s="425">
        <f t="shared" si="231"/>
      </c>
      <c r="Z160" s="362">
        <f t="shared" si="169"/>
      </c>
      <c r="AA160" s="363">
        <f t="shared" si="76"/>
      </c>
      <c r="AB160" s="364" t="s">
        <v>232</v>
      </c>
      <c r="AC160" s="411" t="s">
        <v>262</v>
      </c>
      <c r="AD160" s="402">
        <v>1</v>
      </c>
      <c r="AE160" s="365">
        <v>5047</v>
      </c>
      <c r="AF160" s="365">
        <v>253</v>
      </c>
      <c r="AG160" s="365">
        <v>370</v>
      </c>
      <c r="AH160" s="365">
        <v>30</v>
      </c>
      <c r="AI160" s="365">
        <v>20</v>
      </c>
      <c r="AJ160" s="310">
        <v>2</v>
      </c>
      <c r="AK160" s="310">
        <v>12</v>
      </c>
      <c r="AL160" s="310">
        <v>1</v>
      </c>
      <c r="AM160" s="399"/>
    </row>
    <row r="161">
      <c r="A161" s="400"/>
      <c r="B161" s="347" t="s">
        <v>238</v>
      </c>
      <c r="C161" s="347"/>
      <c r="D161" s="348">
        <f>SUM(D158:D160)</f>
      </c>
      <c r="E161" s="348">
        <f>SUM(E158:E160)</f>
      </c>
      <c r="F161" s="348">
        <f>SUM(F158:F160)</f>
      </c>
      <c r="G161" s="348">
        <f>SUM(G158:G160)</f>
      </c>
      <c r="H161" s="348">
        <f>SUM(H158:H160)</f>
      </c>
      <c r="I161" s="348">
        <f>SUM(I158:I160)</f>
      </c>
      <c r="J161" s="348">
        <f>SUM(J158:J160)</f>
      </c>
      <c r="K161" s="348">
        <f>SUM(K158:K160)</f>
      </c>
      <c r="L161" s="348">
        <f>SUM(L158:L160)</f>
      </c>
      <c r="M161" s="348">
        <f>SUM(M158:M160)</f>
      </c>
      <c r="N161" s="421">
        <f t="shared" si="336"/>
      </c>
      <c r="O161" s="422">
        <f t="shared" si="262"/>
      </c>
      <c r="P161" s="370">
        <f t="shared" si="200"/>
      </c>
      <c r="Q161" s="352">
        <f t="shared" si="107"/>
      </c>
      <c r="R161" s="353">
        <f t="shared" si="45"/>
      </c>
      <c r="S161" s="354">
        <f t="shared" si="138"/>
      </c>
      <c r="T161" s="354">
        <f t="shared" si="14"/>
      </c>
      <c r="U161" s="353">
        <f t="shared" si="499"/>
      </c>
      <c r="V161" s="354">
        <f t="shared" si="468"/>
      </c>
      <c r="W161" s="354">
        <f t="shared" si="367"/>
      </c>
      <c r="X161" s="355">
        <f t="shared" si="293"/>
      </c>
      <c r="Y161" s="423">
        <f t="shared" si="231"/>
      </c>
      <c r="Z161" s="355">
        <f t="shared" si="169"/>
      </c>
      <c r="AA161" s="356">
        <f t="shared" si="76"/>
      </c>
      <c r="AB161" s="356"/>
      <c r="AC161" s="356"/>
      <c r="AD161" s="348">
        <f>SUM(AD158:AD160)</f>
      </c>
      <c r="AE161" s="348">
        <f>SUM(AE158:AE160)</f>
      </c>
      <c r="AF161" s="348">
        <f>SUM(AF158:AF160)</f>
      </c>
      <c r="AG161" s="348">
        <f>SUM(AG158:AG160)</f>
      </c>
      <c r="AH161" s="348">
        <f>SUM(AH158:AH160)</f>
      </c>
      <c r="AI161" s="348">
        <f>SUM(AI158:AI160)</f>
      </c>
      <c r="AJ161" s="348">
        <f>SUM(AJ158:AJ160)</f>
      </c>
      <c r="AK161" s="348">
        <f>SUM(AK158:AK160)</f>
      </c>
      <c r="AL161" s="348">
        <f>SUM(AL158:AL160)</f>
      </c>
      <c r="AM161" s="426" t="s">
        <v>249</v>
      </c>
    </row>
    <row r="162">
      <c r="A162" s="400"/>
      <c r="B162" s="373" t="s">
        <v>250</v>
      </c>
      <c r="C162" s="373"/>
      <c r="D162" s="373">
        <f>D151+D157+D161</f>
      </c>
      <c r="E162" s="373">
        <f>E151+E157+E161</f>
      </c>
      <c r="F162" s="373">
        <f>F151+F157+F161</f>
      </c>
      <c r="G162" s="373">
        <f>G151+G157+G161</f>
      </c>
      <c r="H162" s="373">
        <f>H151+H157+H161</f>
      </c>
      <c r="I162" s="373">
        <f>I151+I157+I161</f>
      </c>
      <c r="J162" s="374">
        <f>J151+J157+J161</f>
      </c>
      <c r="K162" s="374">
        <f>K151+K157+K161</f>
      </c>
      <c r="L162" s="374">
        <f>L151+L157+L161</f>
      </c>
      <c r="M162" s="374">
        <f>M151+M157+M161</f>
      </c>
      <c r="N162" s="427">
        <f t="shared" si="336"/>
      </c>
      <c r="O162" s="427">
        <f t="shared" si="262"/>
      </c>
      <c r="P162" s="377">
        <f t="shared" si="200"/>
      </c>
      <c r="Q162" s="378">
        <f t="shared" si="107"/>
      </c>
      <c r="R162" s="379">
        <f t="shared" si="45"/>
      </c>
      <c r="S162" s="380">
        <f t="shared" si="138"/>
      </c>
      <c r="T162" s="380">
        <f t="shared" si="14"/>
      </c>
      <c r="U162" s="379">
        <f t="shared" si="499"/>
      </c>
      <c r="V162" s="380">
        <f t="shared" si="468"/>
      </c>
      <c r="W162" s="380">
        <f t="shared" si="367"/>
      </c>
      <c r="X162" s="379">
        <f t="shared" si="293"/>
      </c>
      <c r="Y162" s="428">
        <f t="shared" si="231"/>
      </c>
      <c r="Z162" s="379">
        <f t="shared" si="169"/>
      </c>
      <c r="AA162" s="381">
        <f t="shared" si="76"/>
      </c>
      <c r="AB162" s="381"/>
      <c r="AC162" s="381"/>
      <c r="AD162" s="373">
        <f>AD151+AD157+AD161</f>
      </c>
      <c r="AE162" s="373">
        <f>AE151+AE157+AE161</f>
      </c>
      <c r="AF162" s="373">
        <f>AF151+AF157+AF161</f>
      </c>
      <c r="AG162" s="373">
        <f>AG151+AG157+AG161</f>
      </c>
      <c r="AH162" s="373">
        <f>AH151+AH157+AH161</f>
      </c>
      <c r="AI162" s="373">
        <f>AI151+AI157+AI161</f>
      </c>
      <c r="AJ162" s="373">
        <f>AJ151+AJ157+AJ161</f>
      </c>
      <c r="AK162" s="373">
        <f>AK151+AK157+AK161</f>
      </c>
      <c r="AL162" s="373">
        <f>AL151+AL157+AL161</f>
      </c>
      <c r="AM162" s="426"/>
    </row>
    <row r="163">
      <c r="A163" s="389" t="s">
        <v>189</v>
      </c>
      <c r="B163" s="389"/>
      <c r="C163" s="389"/>
      <c r="D163" s="390" t="s">
        <v>190</v>
      </c>
      <c r="E163" s="390"/>
      <c r="F163" s="390"/>
      <c r="G163" s="390"/>
      <c r="H163" s="390"/>
      <c r="I163" s="390"/>
      <c r="J163" s="390"/>
      <c r="K163" s="390"/>
      <c r="L163" s="390"/>
      <c r="M163" s="390"/>
      <c r="N163" s="390"/>
      <c r="O163" s="390"/>
      <c r="P163" s="391" t="s">
        <v>191</v>
      </c>
      <c r="Q163" s="391"/>
      <c r="R163" s="391"/>
      <c r="S163" s="391"/>
      <c r="T163" s="391"/>
      <c r="U163" s="391"/>
      <c r="V163" s="391"/>
      <c r="W163" s="391"/>
      <c r="X163" s="391"/>
      <c r="Y163" s="391"/>
      <c r="Z163" s="391"/>
      <c r="AA163" s="391"/>
      <c r="AB163" s="391"/>
      <c r="AC163" s="391"/>
      <c r="AD163" s="392" t="s">
        <v>192</v>
      </c>
      <c r="AE163" s="392"/>
      <c r="AF163" s="392"/>
      <c r="AG163" s="392"/>
      <c r="AH163" s="392"/>
      <c r="AI163" s="392"/>
      <c r="AJ163" s="392"/>
      <c r="AK163" s="392"/>
      <c r="AL163" s="392"/>
      <c r="AM163" s="393"/>
    </row>
    <row r="164">
      <c r="A164" s="287" t="s">
        <v>193</v>
      </c>
      <c r="B164" s="288" t="s">
        <v>194</v>
      </c>
      <c r="C164" s="288" t="s">
        <v>195</v>
      </c>
      <c r="D164" s="289" t="s">
        <v>196</v>
      </c>
      <c r="E164" s="290" t="s">
        <v>197</v>
      </c>
      <c r="F164" s="394" t="s">
        <v>198</v>
      </c>
      <c r="G164" s="394" t="s">
        <v>256</v>
      </c>
      <c r="H164" s="395" t="s">
        <v>260</v>
      </c>
      <c r="I164" s="429" t="s">
        <v>199</v>
      </c>
      <c r="J164" s="430" t="s">
        <v>200</v>
      </c>
      <c r="K164" s="431" t="s">
        <v>201</v>
      </c>
      <c r="L164" s="397" t="s">
        <v>202</v>
      </c>
      <c r="M164" s="397" t="s">
        <v>203</v>
      </c>
      <c r="N164" s="295" t="s">
        <v>204</v>
      </c>
      <c r="O164" s="398" t="s">
        <v>205</v>
      </c>
      <c r="P164" s="296" t="s">
        <v>206</v>
      </c>
      <c r="Q164" s="296" t="s">
        <v>207</v>
      </c>
      <c r="R164" s="296" t="s">
        <v>208</v>
      </c>
      <c r="S164" s="297" t="s">
        <v>209</v>
      </c>
      <c r="T164" s="297" t="s">
        <v>210</v>
      </c>
      <c r="U164" s="296" t="s">
        <v>211</v>
      </c>
      <c r="V164" s="297" t="s">
        <v>212</v>
      </c>
      <c r="W164" s="297" t="s">
        <v>213</v>
      </c>
      <c r="X164" s="296" t="s">
        <v>214</v>
      </c>
      <c r="Y164" s="297" t="s">
        <v>215</v>
      </c>
      <c r="Z164" s="296" t="s">
        <v>216</v>
      </c>
      <c r="AA164" s="298" t="s">
        <v>217</v>
      </c>
      <c r="AB164" s="298" t="s">
        <v>218</v>
      </c>
      <c r="AC164" s="299" t="s">
        <v>219</v>
      </c>
      <c r="AD164" s="300" t="s">
        <v>220</v>
      </c>
      <c r="AE164" s="301" t="s">
        <v>221</v>
      </c>
      <c r="AF164" s="301" t="s">
        <v>222</v>
      </c>
      <c r="AG164" s="301" t="s">
        <v>223</v>
      </c>
      <c r="AH164" s="301" t="s">
        <v>224</v>
      </c>
      <c r="AI164" s="301" t="s">
        <v>225</v>
      </c>
      <c r="AJ164" s="302" t="s">
        <v>226</v>
      </c>
      <c r="AK164" s="302" t="s">
        <v>227</v>
      </c>
      <c r="AL164" s="302" t="s">
        <v>228</v>
      </c>
      <c r="AM164" s="399"/>
    </row>
    <row r="165">
      <c r="A165" s="303" t="s">
        <v>263</v>
      </c>
      <c r="B165" s="304" t="s">
        <v>230</v>
      </c>
      <c r="C165" s="305" t="s">
        <v>240</v>
      </c>
      <c r="D165" s="401">
        <f t="shared" ref="D165:D169" si="393">E165+F165+G165+H165</f>
      </c>
      <c r="E165" s="307">
        <v>0</v>
      </c>
      <c r="F165" s="307">
        <v>0</v>
      </c>
      <c r="G165" s="306">
        <v>1302.09</v>
      </c>
      <c r="H165" s="306">
        <v>1437.08</v>
      </c>
      <c r="I165" s="306">
        <v>2</v>
      </c>
      <c r="J165" s="324">
        <v>1896</v>
      </c>
      <c r="K165" s="309">
        <v>0</v>
      </c>
      <c r="L165" s="310">
        <v>2</v>
      </c>
      <c r="M165" s="310">
        <v>0</v>
      </c>
      <c r="N165" s="403">
        <f t="shared" ref="N165:N180" si="337">J165/D165</f>
      </c>
      <c r="O165" s="404">
        <f t="shared" ref="O165:O180" si="263">J165/(D165+300*AL165)</f>
      </c>
      <c r="P165" s="358">
        <f t="shared" ref="P165:P180" si="201">(D165/AE165)*1000</f>
      </c>
      <c r="Q165" s="405">
        <f t="shared" ref="Q165:Q180" si="108">AF165/AE165</f>
      </c>
      <c r="R165" s="406">
        <f t="shared" ref="R165:R180" si="46">D165/AG165</f>
      </c>
      <c r="S165" s="407">
        <f t="shared" ref="S165:S180" si="139">AH165/AG165</f>
      </c>
      <c r="T165" s="405">
        <f t="shared" ref="T165:T180" si="15">AI165/AG165</f>
      </c>
      <c r="U165" s="408">
        <f t="shared" ref="U165:U180" si="500">D165/AI165</f>
      </c>
      <c r="V165" s="405">
        <f t="shared" ref="V165:V180" si="469">AJ165/AI165</f>
      </c>
      <c r="W165" s="409">
        <f t="shared" ref="W165:W180" si="368">I165/AJ165</f>
      </c>
      <c r="X165" s="406">
        <f t="shared" ref="X165:X180" si="294">D165/I165</f>
      </c>
      <c r="Y165" s="410">
        <f t="shared" ref="Y165:Y180" si="232">J165/I165</f>
      </c>
      <c r="Z165" s="406">
        <f t="shared" ref="Z165:Z180" si="170">D165/AD165</f>
      </c>
      <c r="AA165" s="320">
        <f t="shared" ref="AA165:AA180" si="77">AK165*1000/D165</f>
      </c>
      <c r="AB165" s="321" t="s">
        <v>232</v>
      </c>
      <c r="AC165" s="411" t="s">
        <v>233</v>
      </c>
      <c r="AD165" s="334">
        <v>1</v>
      </c>
      <c r="AE165" s="334">
        <v>7984</v>
      </c>
      <c r="AF165" s="304">
        <v>417</v>
      </c>
      <c r="AG165" s="304">
        <v>665</v>
      </c>
      <c r="AH165" s="304">
        <v>75</v>
      </c>
      <c r="AI165" s="334">
        <v>22</v>
      </c>
      <c r="AJ165" s="325">
        <v>3</v>
      </c>
      <c r="AK165" s="326">
        <v>17</v>
      </c>
      <c r="AL165" s="310">
        <v>1</v>
      </c>
      <c r="AM165" s="399"/>
    </row>
    <row r="166">
      <c r="A166" s="400"/>
      <c r="B166" s="304" t="s">
        <v>234</v>
      </c>
      <c r="C166" s="305" t="s">
        <v>240</v>
      </c>
      <c r="D166" s="401">
        <f t="shared" si="393"/>
      </c>
      <c r="E166" s="307">
        <v>0</v>
      </c>
      <c r="F166" s="307">
        <v>0</v>
      </c>
      <c r="G166" s="306">
        <v>1703.65</v>
      </c>
      <c r="H166" s="306">
        <v>1119.36</v>
      </c>
      <c r="I166" s="306">
        <v>1</v>
      </c>
      <c r="J166" s="324">
        <v>948</v>
      </c>
      <c r="K166" s="342">
        <v>0</v>
      </c>
      <c r="L166" s="342">
        <v>1</v>
      </c>
      <c r="M166" s="342">
        <v>0</v>
      </c>
      <c r="N166" s="413">
        <f t="shared" si="337"/>
      </c>
      <c r="O166" s="414">
        <f t="shared" si="263"/>
      </c>
      <c r="P166" s="358">
        <f t="shared" si="201"/>
      </c>
      <c r="Q166" s="405">
        <f t="shared" si="108"/>
      </c>
      <c r="R166" s="415">
        <f t="shared" si="46"/>
      </c>
      <c r="S166" s="407">
        <f t="shared" si="139"/>
      </c>
      <c r="T166" s="405">
        <f t="shared" si="15"/>
      </c>
      <c r="U166" s="408">
        <f t="shared" si="500"/>
      </c>
      <c r="V166" s="405">
        <f t="shared" si="469"/>
      </c>
      <c r="W166" s="409">
        <f t="shared" si="368"/>
      </c>
      <c r="X166" s="406">
        <f t="shared" si="294"/>
      </c>
      <c r="Y166" s="410">
        <f t="shared" si="232"/>
      </c>
      <c r="Z166" s="406">
        <f t="shared" si="170"/>
      </c>
      <c r="AA166" s="331">
        <f t="shared" si="77"/>
      </c>
      <c r="AB166" s="332" t="s">
        <v>232</v>
      </c>
      <c r="AC166" s="411" t="s">
        <v>233</v>
      </c>
      <c r="AD166" s="334">
        <v>1</v>
      </c>
      <c r="AE166" s="334">
        <v>6545</v>
      </c>
      <c r="AF166" s="304">
        <v>328</v>
      </c>
      <c r="AG166" s="333">
        <v>510</v>
      </c>
      <c r="AH166" s="334">
        <v>61</v>
      </c>
      <c r="AI166" s="334">
        <v>18</v>
      </c>
      <c r="AJ166" s="335">
        <v>3</v>
      </c>
      <c r="AK166" s="336">
        <v>10</v>
      </c>
      <c r="AL166" s="310">
        <v>1</v>
      </c>
      <c r="AM166" s="399"/>
    </row>
    <row r="167">
      <c r="A167" s="400"/>
      <c r="B167" s="304" t="s">
        <v>235</v>
      </c>
      <c r="C167" s="305" t="s">
        <v>240</v>
      </c>
      <c r="D167" s="401">
        <f t="shared" si="393"/>
      </c>
      <c r="E167" s="307">
        <v>0</v>
      </c>
      <c r="F167" s="307">
        <v>0</v>
      </c>
      <c r="G167" s="306">
        <v>1328.85</v>
      </c>
      <c r="H167" s="306">
        <v>1200.37</v>
      </c>
      <c r="I167" s="307">
        <v>0</v>
      </c>
      <c r="J167" s="307">
        <v>0</v>
      </c>
      <c r="K167" s="307">
        <v>0</v>
      </c>
      <c r="L167" s="307">
        <v>0</v>
      </c>
      <c r="M167" s="307">
        <v>0</v>
      </c>
      <c r="N167" s="413">
        <f t="shared" si="337"/>
      </c>
      <c r="O167" s="414">
        <f t="shared" si="263"/>
      </c>
      <c r="P167" s="358">
        <f t="shared" si="201"/>
      </c>
      <c r="Q167" s="407">
        <f t="shared" si="108"/>
      </c>
      <c r="R167" s="406">
        <f t="shared" si="46"/>
      </c>
      <c r="S167" s="409">
        <f t="shared" si="139"/>
      </c>
      <c r="T167" s="418">
        <f t="shared" si="15"/>
      </c>
      <c r="U167" s="419">
        <f t="shared" si="500"/>
      </c>
      <c r="V167" s="418">
        <f t="shared" si="469"/>
      </c>
      <c r="W167" s="405">
        <f t="shared" si="368"/>
      </c>
      <c r="X167" s="406">
        <f t="shared" si="294"/>
      </c>
      <c r="Y167" s="410">
        <f t="shared" si="232"/>
      </c>
      <c r="Z167" s="406">
        <f t="shared" si="170"/>
      </c>
      <c r="AA167" s="331">
        <f t="shared" si="77"/>
      </c>
      <c r="AB167" s="332" t="s">
        <v>232</v>
      </c>
      <c r="AC167" s="411" t="s">
        <v>233</v>
      </c>
      <c r="AD167" s="334">
        <v>0</v>
      </c>
      <c r="AE167" s="334">
        <v>6243</v>
      </c>
      <c r="AF167" s="304">
        <v>315</v>
      </c>
      <c r="AG167" s="334">
        <v>526</v>
      </c>
      <c r="AH167" s="334">
        <v>63</v>
      </c>
      <c r="AI167" s="334">
        <v>21</v>
      </c>
      <c r="AJ167" s="335">
        <v>1</v>
      </c>
      <c r="AK167" s="336">
        <v>17</v>
      </c>
      <c r="AL167" s="310">
        <v>1</v>
      </c>
      <c r="AM167" s="399"/>
    </row>
    <row r="168">
      <c r="A168" s="400"/>
      <c r="B168" s="304" t="s">
        <v>236</v>
      </c>
      <c r="C168" s="305" t="s">
        <v>240</v>
      </c>
      <c r="D168" s="401">
        <f t="shared" si="393"/>
      </c>
      <c r="E168" s="306">
        <v>276.43</v>
      </c>
      <c r="F168" s="307">
        <v>0</v>
      </c>
      <c r="G168" s="306">
        <v>1124.95</v>
      </c>
      <c r="H168" s="306">
        <v>1567.41</v>
      </c>
      <c r="I168" s="306">
        <v>2</v>
      </c>
      <c r="J168" s="416">
        <v>3137</v>
      </c>
      <c r="K168" s="335">
        <v>0</v>
      </c>
      <c r="L168" s="335">
        <v>1</v>
      </c>
      <c r="M168" s="335">
        <v>1</v>
      </c>
      <c r="N168" s="413">
        <f t="shared" si="337"/>
      </c>
      <c r="O168" s="414">
        <f t="shared" si="263"/>
      </c>
      <c r="P168" s="358">
        <f t="shared" si="201"/>
      </c>
      <c r="Q168" s="405">
        <f t="shared" si="108"/>
      </c>
      <c r="R168" s="420">
        <f t="shared" si="46"/>
      </c>
      <c r="S168" s="405">
        <f t="shared" si="139"/>
      </c>
      <c r="T168" s="405">
        <f t="shared" si="15"/>
      </c>
      <c r="U168" s="406">
        <f t="shared" si="500"/>
      </c>
      <c r="V168" s="405">
        <f t="shared" si="469"/>
      </c>
      <c r="W168" s="405">
        <f t="shared" si="368"/>
      </c>
      <c r="X168" s="406">
        <f t="shared" si="294"/>
      </c>
      <c r="Y168" s="410">
        <f t="shared" si="232"/>
      </c>
      <c r="Z168" s="406">
        <f t="shared" si="170"/>
      </c>
      <c r="AA168" s="331">
        <f t="shared" si="77"/>
      </c>
      <c r="AB168" s="340" t="s">
        <v>232</v>
      </c>
      <c r="AC168" s="411" t="s">
        <v>233</v>
      </c>
      <c r="AD168" s="412">
        <v>2</v>
      </c>
      <c r="AE168" s="333">
        <v>7125</v>
      </c>
      <c r="AF168" s="334">
        <v>287</v>
      </c>
      <c r="AG168" s="334">
        <v>474</v>
      </c>
      <c r="AH168" s="334">
        <v>55</v>
      </c>
      <c r="AI168" s="334">
        <v>22</v>
      </c>
      <c r="AJ168" s="335">
        <v>4</v>
      </c>
      <c r="AK168" s="336">
        <v>14</v>
      </c>
      <c r="AL168" s="310">
        <v>1</v>
      </c>
      <c r="AM168" s="399"/>
    </row>
    <row customHeight="true" ht="18.452380952380953" r="169">
      <c r="A169" s="400"/>
      <c r="B169" s="304" t="s">
        <v>237</v>
      </c>
      <c r="C169" s="305" t="s">
        <v>240</v>
      </c>
      <c r="D169" s="401">
        <f t="shared" si="393"/>
      </c>
      <c r="E169" s="333">
        <v>509.96</v>
      </c>
      <c r="F169" s="344">
        <v>0</v>
      </c>
      <c r="G169" s="333">
        <v>746.94</v>
      </c>
      <c r="H169" s="333">
        <v>2339.02</v>
      </c>
      <c r="I169" s="416">
        <v>3</v>
      </c>
      <c r="J169" s="416">
        <v>5040</v>
      </c>
      <c r="K169" s="335">
        <v>0</v>
      </c>
      <c r="L169" s="335">
        <v>0</v>
      </c>
      <c r="M169" s="335">
        <v>2</v>
      </c>
      <c r="N169" s="413">
        <f t="shared" si="337"/>
      </c>
      <c r="O169" s="414">
        <f t="shared" si="263"/>
      </c>
      <c r="P169" s="358">
        <f t="shared" si="201"/>
      </c>
      <c r="Q169" s="405">
        <f t="shared" si="108"/>
      </c>
      <c r="R169" s="420">
        <f t="shared" si="46"/>
      </c>
      <c r="S169" s="405">
        <f t="shared" si="139"/>
      </c>
      <c r="T169" s="405">
        <f t="shared" si="15"/>
      </c>
      <c r="U169" s="406">
        <f t="shared" si="500"/>
      </c>
      <c r="V169" s="405">
        <f t="shared" si="469"/>
      </c>
      <c r="W169" s="405">
        <f t="shared" si="368"/>
      </c>
      <c r="X169" s="406">
        <f t="shared" si="294"/>
      </c>
      <c r="Y169" s="410">
        <f t="shared" si="232"/>
      </c>
      <c r="Z169" s="406">
        <f t="shared" si="170"/>
      </c>
      <c r="AA169" s="331">
        <f t="shared" si="77"/>
      </c>
      <c r="AB169" s="364" t="s">
        <v>232</v>
      </c>
      <c r="AC169" s="411" t="s">
        <v>233</v>
      </c>
      <c r="AD169" s="412">
        <v>2</v>
      </c>
      <c r="AE169" s="333">
        <v>8681</v>
      </c>
      <c r="AF169" s="334">
        <v>293</v>
      </c>
      <c r="AG169" s="334">
        <v>464</v>
      </c>
      <c r="AH169" s="334">
        <v>64</v>
      </c>
      <c r="AI169" s="334">
        <v>35</v>
      </c>
      <c r="AJ169" s="335">
        <v>8</v>
      </c>
      <c r="AK169" s="336">
        <v>15</v>
      </c>
      <c r="AL169" s="310">
        <v>1</v>
      </c>
      <c r="AM169" s="399"/>
    </row>
    <row r="170">
      <c r="A170" s="400"/>
      <c r="B170" s="347" t="s">
        <v>238</v>
      </c>
      <c r="C170" s="347"/>
      <c r="D170" s="348">
        <f>SUM(D165:D169)</f>
      </c>
      <c r="E170" s="348">
        <f>SUM(E165:E169)</f>
      </c>
      <c r="F170" s="348">
        <f>SUM(F165:F169)</f>
      </c>
      <c r="G170" s="348">
        <f>SUM(G165:G169)</f>
      </c>
      <c r="H170" s="348">
        <f>SUM(H165:H169)</f>
      </c>
      <c r="I170" s="348">
        <f>SUM(I165:I169)</f>
      </c>
      <c r="J170" s="348">
        <f>SUM(J165:J169)</f>
      </c>
      <c r="K170" s="348">
        <f>SUM(K165:K169)</f>
      </c>
      <c r="L170" s="348">
        <f>SUM(L165:L169)</f>
      </c>
      <c r="M170" s="348">
        <f>SUM(M165:M169)</f>
      </c>
      <c r="N170" s="421">
        <f t="shared" si="337"/>
      </c>
      <c r="O170" s="422">
        <f t="shared" si="263"/>
      </c>
      <c r="P170" s="351">
        <f t="shared" si="201"/>
      </c>
      <c r="Q170" s="352">
        <f t="shared" si="108"/>
      </c>
      <c r="R170" s="353">
        <f t="shared" si="46"/>
      </c>
      <c r="S170" s="354">
        <f t="shared" si="139"/>
      </c>
      <c r="T170" s="354">
        <f t="shared" si="15"/>
      </c>
      <c r="U170" s="353">
        <f t="shared" si="500"/>
      </c>
      <c r="V170" s="354">
        <f t="shared" si="469"/>
      </c>
      <c r="W170" s="354">
        <f t="shared" si="368"/>
      </c>
      <c r="X170" s="355">
        <f t="shared" si="294"/>
      </c>
      <c r="Y170" s="423">
        <f t="shared" si="232"/>
      </c>
      <c r="Z170" s="355">
        <f t="shared" si="170"/>
      </c>
      <c r="AA170" s="356">
        <f t="shared" si="77"/>
      </c>
      <c r="AB170" s="356"/>
      <c r="AC170" s="424"/>
      <c r="AD170" s="347">
        <f>SUM(AD165:AD169)</f>
      </c>
      <c r="AE170" s="347">
        <f>SUM(AE165:AE169)</f>
      </c>
      <c r="AF170" s="347">
        <f>SUM(AF165:AF169)</f>
      </c>
      <c r="AG170" s="347">
        <f>SUM(AG165:AG169)</f>
      </c>
      <c r="AH170" s="347">
        <f>SUM(AH165:AH169)</f>
      </c>
      <c r="AI170" s="347">
        <f>SUM(AI165:AI169)</f>
      </c>
      <c r="AJ170" s="347">
        <f>SUM(AJ165:AJ169)</f>
      </c>
      <c r="AK170" s="347">
        <f>SUM(AK165:AK169)</f>
      </c>
      <c r="AL170" s="347">
        <f>SUM(AL165:AL169)</f>
      </c>
      <c r="AM170" s="399"/>
    </row>
    <row r="171">
      <c r="A171" s="400"/>
      <c r="B171" s="304" t="s">
        <v>239</v>
      </c>
      <c r="C171" s="326" t="s">
        <v>247</v>
      </c>
      <c r="D171" s="334">
        <f t="shared" ref="D171:D173" si="394">E171+F171+G171+H171</f>
      </c>
      <c r="E171" s="334">
        <v>845.21</v>
      </c>
      <c r="F171" s="326">
        <v>0</v>
      </c>
      <c r="G171" s="334">
        <v>689.28</v>
      </c>
      <c r="H171" s="334">
        <v>1284.39</v>
      </c>
      <c r="I171" s="365">
        <v>1</v>
      </c>
      <c r="J171" s="369">
        <v>2268</v>
      </c>
      <c r="K171" s="310">
        <v>0</v>
      </c>
      <c r="L171" s="310">
        <v>0</v>
      </c>
      <c r="M171" s="310">
        <v>1</v>
      </c>
      <c r="N171" s="413">
        <f t="shared" si="337"/>
      </c>
      <c r="O171" s="414">
        <f t="shared" si="263"/>
      </c>
      <c r="P171" s="358">
        <f t="shared" si="201"/>
      </c>
      <c r="Q171" s="359">
        <f t="shared" si="108"/>
      </c>
      <c r="R171" s="360">
        <f t="shared" si="46"/>
      </c>
      <c r="S171" s="361">
        <f t="shared" si="139"/>
      </c>
      <c r="T171" s="361">
        <f t="shared" si="15"/>
      </c>
      <c r="U171" s="360">
        <f t="shared" si="500"/>
      </c>
      <c r="V171" s="361">
        <f t="shared" si="469"/>
      </c>
      <c r="W171" s="361">
        <f t="shared" si="368"/>
      </c>
      <c r="X171" s="362">
        <f t="shared" si="294"/>
      </c>
      <c r="Y171" s="425">
        <f t="shared" si="232"/>
      </c>
      <c r="Z171" s="362">
        <f t="shared" si="170"/>
      </c>
      <c r="AA171" s="363">
        <f t="shared" si="77"/>
      </c>
      <c r="AB171" s="364" t="s">
        <v>232</v>
      </c>
      <c r="AC171" s="411" t="s">
        <v>233</v>
      </c>
      <c r="AD171" s="402">
        <v>1</v>
      </c>
      <c r="AE171" s="365">
        <v>6671</v>
      </c>
      <c r="AF171" s="365">
        <v>248</v>
      </c>
      <c r="AG171" s="365">
        <v>425</v>
      </c>
      <c r="AH171" s="365">
        <v>49</v>
      </c>
      <c r="AI171" s="365">
        <v>27</v>
      </c>
      <c r="AJ171" s="310">
        <v>2</v>
      </c>
      <c r="AK171" s="310">
        <v>14</v>
      </c>
      <c r="AL171" s="310">
        <v>1</v>
      </c>
      <c r="AM171" s="399"/>
    </row>
    <row r="172">
      <c r="A172" s="400"/>
      <c r="B172" s="304" t="s">
        <v>241</v>
      </c>
      <c r="C172" s="326" t="s">
        <v>247</v>
      </c>
      <c r="D172" s="334">
        <f t="shared" si="394"/>
      </c>
      <c r="E172" s="334">
        <v>823.05</v>
      </c>
      <c r="F172" s="334">
        <v>302.45</v>
      </c>
      <c r="G172" s="334">
        <v>238.36</v>
      </c>
      <c r="H172" s="334">
        <v>0.53</v>
      </c>
      <c r="I172" s="310">
        <v>0</v>
      </c>
      <c r="J172" s="310">
        <v>0</v>
      </c>
      <c r="K172" s="310">
        <v>0</v>
      </c>
      <c r="L172" s="310">
        <v>0</v>
      </c>
      <c r="M172" s="310">
        <v>0</v>
      </c>
      <c r="N172" s="413">
        <f t="shared" si="337"/>
      </c>
      <c r="O172" s="414">
        <f t="shared" si="263"/>
      </c>
      <c r="P172" s="358">
        <f t="shared" si="201"/>
      </c>
      <c r="Q172" s="359">
        <f t="shared" si="108"/>
      </c>
      <c r="R172" s="360">
        <f t="shared" si="46"/>
      </c>
      <c r="S172" s="361">
        <f t="shared" si="139"/>
      </c>
      <c r="T172" s="361">
        <f t="shared" si="15"/>
      </c>
      <c r="U172" s="360">
        <f t="shared" si="500"/>
      </c>
      <c r="V172" s="361">
        <f t="shared" si="469"/>
      </c>
      <c r="W172" s="361">
        <f t="shared" si="368"/>
      </c>
      <c r="X172" s="362">
        <f t="shared" si="294"/>
      </c>
      <c r="Y172" s="425">
        <f t="shared" si="232"/>
      </c>
      <c r="Z172" s="362">
        <f t="shared" si="170"/>
      </c>
      <c r="AA172" s="363">
        <f t="shared" si="77"/>
      </c>
      <c r="AB172" s="364" t="s">
        <v>232</v>
      </c>
      <c r="AC172" s="411" t="s">
        <v>233</v>
      </c>
      <c r="AD172" s="402">
        <v>0</v>
      </c>
      <c r="AE172" s="365">
        <v>2902</v>
      </c>
      <c r="AF172" s="365">
        <v>172</v>
      </c>
      <c r="AG172" s="365">
        <v>300</v>
      </c>
      <c r="AH172" s="365">
        <v>40</v>
      </c>
      <c r="AI172" s="365">
        <v>23</v>
      </c>
      <c r="AJ172" s="310">
        <v>2</v>
      </c>
      <c r="AK172" s="310">
        <v>8</v>
      </c>
      <c r="AL172" s="310">
        <v>1</v>
      </c>
      <c r="AM172" s="399"/>
    </row>
    <row customHeight="true" ht="18.452380952380953" r="173">
      <c r="A173" s="400"/>
      <c r="B173" s="304" t="s">
        <v>242</v>
      </c>
      <c r="C173" s="326" t="s">
        <v>247</v>
      </c>
      <c r="D173" s="334">
        <f t="shared" si="394"/>
      </c>
      <c r="E173" s="334">
        <v>405.52</v>
      </c>
      <c r="F173" s="334">
        <v>346.29</v>
      </c>
      <c r="G173" s="326">
        <v>0</v>
      </c>
      <c r="H173" s="326">
        <v>0</v>
      </c>
      <c r="I173" s="310">
        <v>4</v>
      </c>
      <c r="J173" s="310">
        <v>6432</v>
      </c>
      <c r="K173" s="310">
        <v>0</v>
      </c>
      <c r="L173" s="310">
        <v>2</v>
      </c>
      <c r="M173" s="310">
        <v>2</v>
      </c>
      <c r="N173" s="413">
        <f t="shared" si="337"/>
      </c>
      <c r="O173" s="414">
        <f t="shared" si="263"/>
      </c>
      <c r="P173" s="358">
        <f t="shared" si="201"/>
      </c>
      <c r="Q173" s="359">
        <f t="shared" si="108"/>
      </c>
      <c r="R173" s="360">
        <f t="shared" si="46"/>
      </c>
      <c r="S173" s="361">
        <f t="shared" si="139"/>
      </c>
      <c r="T173" s="361">
        <f t="shared" si="15"/>
      </c>
      <c r="U173" s="360">
        <f t="shared" si="500"/>
      </c>
      <c r="V173" s="361">
        <f t="shared" si="469"/>
      </c>
      <c r="W173" s="361">
        <f t="shared" si="368"/>
      </c>
      <c r="X173" s="362">
        <f t="shared" si="294"/>
      </c>
      <c r="Y173" s="425">
        <f t="shared" si="232"/>
      </c>
      <c r="Z173" s="362">
        <f t="shared" si="170"/>
      </c>
      <c r="AA173" s="363">
        <f t="shared" si="77"/>
      </c>
      <c r="AB173" s="364" t="s">
        <v>232</v>
      </c>
      <c r="AC173" s="411" t="s">
        <v>233</v>
      </c>
      <c r="AD173" s="402">
        <v>1</v>
      </c>
      <c r="AE173" s="365">
        <v>1664</v>
      </c>
      <c r="AF173" s="365">
        <v>147</v>
      </c>
      <c r="AG173" s="365">
        <v>204</v>
      </c>
      <c r="AH173" s="365">
        <v>15</v>
      </c>
      <c r="AI173" s="365">
        <v>12</v>
      </c>
      <c r="AJ173" s="310">
        <v>4</v>
      </c>
      <c r="AK173" s="310">
        <v>5</v>
      </c>
      <c r="AL173" s="310">
        <v>1</v>
      </c>
      <c r="AM173" s="399"/>
    </row>
    <row r="174">
      <c r="A174" s="400"/>
      <c r="B174" s="347" t="s">
        <v>238</v>
      </c>
      <c r="C174" s="347"/>
      <c r="D174" s="348">
        <f>SUM(D171:D173)</f>
      </c>
      <c r="E174" s="348">
        <f>SUM(E171:E173)</f>
      </c>
      <c r="F174" s="348">
        <f>SUM(F171:F173)</f>
      </c>
      <c r="G174" s="348">
        <f>SUM(G171:G173)</f>
      </c>
      <c r="H174" s="348">
        <f>SUM(H171:H173)</f>
      </c>
      <c r="I174" s="348">
        <f>SUM(I171:I173)</f>
      </c>
      <c r="J174" s="348">
        <f>SUM(J171:J173)</f>
      </c>
      <c r="K174" s="348">
        <f>SUM(K171:K173)</f>
      </c>
      <c r="L174" s="348">
        <f>SUM(L171:L173)</f>
      </c>
      <c r="M174" s="348">
        <f>SUM(M171:M173)</f>
      </c>
      <c r="N174" s="421">
        <f t="shared" si="337"/>
      </c>
      <c r="O174" s="422">
        <f t="shared" si="263"/>
      </c>
      <c r="P174" s="370">
        <f t="shared" si="201"/>
      </c>
      <c r="Q174" s="352">
        <f t="shared" si="108"/>
      </c>
      <c r="R174" s="353">
        <f t="shared" si="46"/>
      </c>
      <c r="S174" s="354">
        <f t="shared" si="139"/>
      </c>
      <c r="T174" s="354">
        <f t="shared" si="15"/>
      </c>
      <c r="U174" s="353">
        <f t="shared" si="500"/>
      </c>
      <c r="V174" s="354">
        <f t="shared" si="469"/>
      </c>
      <c r="W174" s="354">
        <f t="shared" si="368"/>
      </c>
      <c r="X174" s="355">
        <f t="shared" si="294"/>
      </c>
      <c r="Y174" s="423">
        <f t="shared" si="232"/>
      </c>
      <c r="Z174" s="355">
        <f t="shared" si="170"/>
      </c>
      <c r="AA174" s="356">
        <f t="shared" si="77"/>
      </c>
      <c r="AB174" s="356"/>
      <c r="AC174" s="424"/>
      <c r="AD174" s="347">
        <f>SUM(AD171:AD173)</f>
      </c>
      <c r="AE174" s="347">
        <f>SUM(AE171:AE173)</f>
      </c>
      <c r="AF174" s="347">
        <f>SUM(AF171:AF173)</f>
      </c>
      <c r="AG174" s="347">
        <f>SUM(AG171:AG173)</f>
      </c>
      <c r="AH174" s="347">
        <f>SUM(AH171:AH173)</f>
      </c>
      <c r="AI174" s="347">
        <f>SUM(AI171:AI173)</f>
      </c>
      <c r="AJ174" s="347">
        <f>SUM(AJ171:AJ173)</f>
      </c>
      <c r="AK174" s="347">
        <f>SUM(AK171:AK173)</f>
      </c>
      <c r="AL174" s="347">
        <f>SUM(AL171:AL173)</f>
      </c>
      <c r="AM174" s="399"/>
    </row>
    <row customHeight="true" ht="18.452380952380953" r="175">
      <c r="A175" s="400"/>
      <c r="B175" s="304" t="s">
        <v>243</v>
      </c>
      <c r="C175" s="326" t="s">
        <v>231</v>
      </c>
      <c r="D175" s="334">
        <f t="shared" ref="D175:D178" si="395">E175+F175+G175+H175</f>
      </c>
      <c r="E175" s="334">
        <v>385.89</v>
      </c>
      <c r="F175" s="326">
        <v>583.71</v>
      </c>
      <c r="G175" s="326">
        <v>0</v>
      </c>
      <c r="H175" s="326">
        <v>0</v>
      </c>
      <c r="I175" s="310">
        <v>1</v>
      </c>
      <c r="J175" s="345">
        <v>948</v>
      </c>
      <c r="K175" s="303">
        <v>0</v>
      </c>
      <c r="L175" s="303">
        <v>1</v>
      </c>
      <c r="M175" s="305">
        <v>0</v>
      </c>
      <c r="N175" s="413">
        <f t="shared" si="337"/>
      </c>
      <c r="O175" s="414">
        <f t="shared" si="263"/>
      </c>
      <c r="P175" s="368">
        <f t="shared" si="201"/>
      </c>
      <c r="Q175" s="359">
        <f t="shared" si="108"/>
      </c>
      <c r="R175" s="360">
        <f t="shared" si="46"/>
      </c>
      <c r="S175" s="361">
        <f t="shared" si="139"/>
      </c>
      <c r="T175" s="361">
        <f t="shared" si="15"/>
      </c>
      <c r="U175" s="360">
        <f t="shared" si="500"/>
      </c>
      <c r="V175" s="361">
        <f t="shared" si="469"/>
      </c>
      <c r="W175" s="361">
        <f t="shared" si="368"/>
      </c>
      <c r="X175" s="362">
        <f t="shared" si="294"/>
      </c>
      <c r="Y175" s="425">
        <f t="shared" si="232"/>
      </c>
      <c r="Z175" s="362">
        <f t="shared" si="170"/>
      </c>
      <c r="AA175" s="363">
        <f t="shared" si="77"/>
      </c>
      <c r="AB175" s="364" t="s">
        <v>232</v>
      </c>
      <c r="AC175" s="411" t="s">
        <v>262</v>
      </c>
      <c r="AD175" s="402">
        <v>1</v>
      </c>
      <c r="AE175" s="365">
        <v>1775</v>
      </c>
      <c r="AF175" s="365">
        <v>154</v>
      </c>
      <c r="AG175" s="365">
        <v>203</v>
      </c>
      <c r="AH175" s="365">
        <v>20</v>
      </c>
      <c r="AI175" s="365">
        <v>14</v>
      </c>
      <c r="AJ175" s="310">
        <v>1</v>
      </c>
      <c r="AK175" s="310">
        <v>10</v>
      </c>
      <c r="AL175" s="310">
        <v>1</v>
      </c>
      <c r="AM175" s="399"/>
    </row>
    <row r="176">
      <c r="A176" s="400"/>
      <c r="B176" s="304" t="s">
        <v>245</v>
      </c>
      <c r="C176" s="326" t="s">
        <v>231</v>
      </c>
      <c r="D176" s="334">
        <f t="shared" si="395"/>
      </c>
      <c r="E176" s="334">
        <v>585.71</v>
      </c>
      <c r="F176" s="334">
        <v>752</v>
      </c>
      <c r="G176" s="326">
        <v>0</v>
      </c>
      <c r="H176" s="326">
        <v>0</v>
      </c>
      <c r="I176" s="310">
        <v>0</v>
      </c>
      <c r="J176" s="345">
        <v>0</v>
      </c>
      <c r="K176" s="303">
        <v>0</v>
      </c>
      <c r="L176" s="303">
        <v>0</v>
      </c>
      <c r="M176" s="305">
        <v>0</v>
      </c>
      <c r="N176" s="413">
        <f t="shared" si="337"/>
      </c>
      <c r="O176" s="414">
        <f t="shared" si="263"/>
      </c>
      <c r="P176" s="368">
        <f t="shared" si="201"/>
      </c>
      <c r="Q176" s="359">
        <f t="shared" si="108"/>
      </c>
      <c r="R176" s="360">
        <f t="shared" si="46"/>
      </c>
      <c r="S176" s="361">
        <f t="shared" si="139"/>
      </c>
      <c r="T176" s="361">
        <f t="shared" si="15"/>
      </c>
      <c r="U176" s="360">
        <f t="shared" si="500"/>
      </c>
      <c r="V176" s="361">
        <f t="shared" si="469"/>
      </c>
      <c r="W176" s="361">
        <f t="shared" si="368"/>
      </c>
      <c r="X176" s="362">
        <f t="shared" si="294"/>
      </c>
      <c r="Y176" s="425">
        <f t="shared" si="232"/>
      </c>
      <c r="Z176" s="362">
        <f t="shared" si="170"/>
      </c>
      <c r="AA176" s="363">
        <f t="shared" si="77"/>
      </c>
      <c r="AB176" s="364" t="s">
        <v>232</v>
      </c>
      <c r="AC176" s="411" t="s">
        <v>262</v>
      </c>
      <c r="AD176" s="402">
        <v>0</v>
      </c>
      <c r="AE176" s="365">
        <v>3135</v>
      </c>
      <c r="AF176" s="365">
        <v>202</v>
      </c>
      <c r="AG176" s="365">
        <v>273</v>
      </c>
      <c r="AH176" s="365">
        <v>17</v>
      </c>
      <c r="AI176" s="365">
        <v>14</v>
      </c>
      <c r="AJ176" s="310">
        <v>0</v>
      </c>
      <c r="AK176" s="310">
        <v>5</v>
      </c>
      <c r="AL176" s="310">
        <v>1</v>
      </c>
      <c r="AM176" s="399"/>
    </row>
    <row r="177">
      <c r="A177" s="400"/>
      <c r="B177" s="304" t="s">
        <v>246</v>
      </c>
      <c r="C177" s="326" t="s">
        <v>231</v>
      </c>
      <c r="D177" s="334">
        <f t="shared" si="395"/>
      </c>
      <c r="E177" s="326">
        <v>712.75</v>
      </c>
      <c r="F177" s="326">
        <v>700.47</v>
      </c>
      <c r="G177" s="326">
        <v>0</v>
      </c>
      <c r="H177" s="326">
        <v>0</v>
      </c>
      <c r="I177" s="365">
        <v>3</v>
      </c>
      <c r="J177" s="369">
        <v>4085</v>
      </c>
      <c r="K177" s="303">
        <v>0</v>
      </c>
      <c r="L177" s="303">
        <v>2</v>
      </c>
      <c r="M177" s="305">
        <v>1</v>
      </c>
      <c r="N177" s="413">
        <f t="shared" si="337"/>
      </c>
      <c r="O177" s="414">
        <f t="shared" si="263"/>
      </c>
      <c r="P177" s="368">
        <f t="shared" si="201"/>
      </c>
      <c r="Q177" s="359">
        <f t="shared" si="108"/>
      </c>
      <c r="R177" s="360">
        <f t="shared" si="46"/>
      </c>
      <c r="S177" s="361">
        <f t="shared" si="139"/>
      </c>
      <c r="T177" s="361">
        <f t="shared" si="15"/>
      </c>
      <c r="U177" s="360">
        <f t="shared" si="500"/>
      </c>
      <c r="V177" s="361">
        <f t="shared" si="469"/>
      </c>
      <c r="W177" s="361">
        <f t="shared" si="368"/>
      </c>
      <c r="X177" s="362">
        <f t="shared" si="294"/>
      </c>
      <c r="Y177" s="425">
        <f t="shared" si="232"/>
      </c>
      <c r="Z177" s="362">
        <f t="shared" si="170"/>
      </c>
      <c r="AA177" s="363">
        <f t="shared" si="77"/>
      </c>
      <c r="AB177" s="364" t="s">
        <v>232</v>
      </c>
      <c r="AC177" s="411" t="s">
        <v>262</v>
      </c>
      <c r="AD177" s="402">
        <v>3</v>
      </c>
      <c r="AE177" s="365">
        <v>3830</v>
      </c>
      <c r="AF177" s="365">
        <v>211</v>
      </c>
      <c r="AG177" s="365">
        <v>279</v>
      </c>
      <c r="AH177" s="365">
        <v>34</v>
      </c>
      <c r="AI177" s="365">
        <v>13</v>
      </c>
      <c r="AJ177" s="310">
        <v>6</v>
      </c>
      <c r="AK177" s="310">
        <v>12</v>
      </c>
      <c r="AL177" s="310">
        <v>1</v>
      </c>
      <c r="AM177" s="399"/>
    </row>
    <row r="178">
      <c r="A178" s="400"/>
      <c r="B178" s="304" t="s">
        <v>248</v>
      </c>
      <c r="C178" s="326" t="s">
        <v>231</v>
      </c>
      <c r="D178" s="334">
        <f t="shared" si="395"/>
      </c>
      <c r="E178" s="326">
        <v>971.12</v>
      </c>
      <c r="F178" s="326">
        <v>453.54</v>
      </c>
      <c r="G178" s="326">
        <v>0</v>
      </c>
      <c r="H178" s="326">
        <v>0</v>
      </c>
      <c r="I178" s="310">
        <v>1</v>
      </c>
      <c r="J178" s="345">
        <v>2268</v>
      </c>
      <c r="K178" s="326">
        <v>0</v>
      </c>
      <c r="L178" s="326">
        <v>0</v>
      </c>
      <c r="M178" s="326">
        <v>1</v>
      </c>
      <c r="N178" s="413">
        <f t="shared" si="337"/>
      </c>
      <c r="O178" s="414">
        <f t="shared" si="263"/>
      </c>
      <c r="P178" s="358">
        <f t="shared" si="201"/>
      </c>
      <c r="Q178" s="359">
        <f t="shared" si="108"/>
      </c>
      <c r="R178" s="360">
        <f t="shared" si="46"/>
      </c>
      <c r="S178" s="361">
        <f t="shared" si="139"/>
      </c>
      <c r="T178" s="361">
        <f t="shared" si="15"/>
      </c>
      <c r="U178" s="360">
        <f t="shared" si="500"/>
      </c>
      <c r="V178" s="361">
        <f t="shared" si="469"/>
      </c>
      <c r="W178" s="361">
        <f t="shared" si="368"/>
      </c>
      <c r="X178" s="362">
        <f t="shared" si="294"/>
      </c>
      <c r="Y178" s="425">
        <f t="shared" si="232"/>
      </c>
      <c r="Z178" s="362">
        <f t="shared" si="170"/>
      </c>
      <c r="AA178" s="363">
        <f t="shared" si="77"/>
      </c>
      <c r="AB178" s="364" t="s">
        <v>232</v>
      </c>
      <c r="AC178" s="411" t="s">
        <v>262</v>
      </c>
      <c r="AD178" s="402">
        <v>0</v>
      </c>
      <c r="AE178" s="365">
        <v>3444</v>
      </c>
      <c r="AF178" s="365">
        <v>199</v>
      </c>
      <c r="AG178" s="365">
        <v>270</v>
      </c>
      <c r="AH178" s="365">
        <v>44</v>
      </c>
      <c r="AI178" s="365">
        <v>17</v>
      </c>
      <c r="AJ178" s="310">
        <v>1</v>
      </c>
      <c r="AK178" s="310">
        <v>6</v>
      </c>
      <c r="AL178" s="310">
        <v>1</v>
      </c>
      <c r="AM178" s="399"/>
    </row>
    <row r="179">
      <c r="A179" s="400"/>
      <c r="B179" s="347" t="s">
        <v>238</v>
      </c>
      <c r="C179" s="347"/>
      <c r="D179" s="348">
        <f>SUM(D175:D178)</f>
      </c>
      <c r="E179" s="348">
        <f>SUM(E175:E178)</f>
      </c>
      <c r="F179" s="348">
        <f>SUM(F175:F178)</f>
      </c>
      <c r="G179" s="348">
        <f>SUM(G175:G178)</f>
      </c>
      <c r="H179" s="348">
        <f>SUM(H175:H178)</f>
      </c>
      <c r="I179" s="348">
        <f>SUM(I175:I178)</f>
      </c>
      <c r="J179" s="348">
        <f>SUM(J175:J178)</f>
      </c>
      <c r="K179" s="348">
        <f>SUM(K175:K178)</f>
      </c>
      <c r="L179" s="348">
        <f>SUM(L175:L178)</f>
      </c>
      <c r="M179" s="348">
        <f>SUM(M175:M178)</f>
      </c>
      <c r="N179" s="421">
        <f t="shared" si="337"/>
      </c>
      <c r="O179" s="422">
        <f t="shared" si="263"/>
      </c>
      <c r="P179" s="370">
        <f t="shared" si="201"/>
      </c>
      <c r="Q179" s="352">
        <f t="shared" si="108"/>
      </c>
      <c r="R179" s="353">
        <f t="shared" si="46"/>
      </c>
      <c r="S179" s="354">
        <f t="shared" si="139"/>
      </c>
      <c r="T179" s="354">
        <f t="shared" si="15"/>
      </c>
      <c r="U179" s="353">
        <f t="shared" si="500"/>
      </c>
      <c r="V179" s="354">
        <f t="shared" si="469"/>
      </c>
      <c r="W179" s="354">
        <f t="shared" si="368"/>
      </c>
      <c r="X179" s="355">
        <f t="shared" si="294"/>
      </c>
      <c r="Y179" s="423">
        <f t="shared" si="232"/>
      </c>
      <c r="Z179" s="355">
        <f t="shared" si="170"/>
      </c>
      <c r="AA179" s="356">
        <f t="shared" si="77"/>
      </c>
      <c r="AB179" s="356"/>
      <c r="AC179" s="356"/>
      <c r="AD179" s="348">
        <f>SUM(AD175:AD178)</f>
      </c>
      <c r="AE179" s="348">
        <f>SUM(AE175:AE178)</f>
      </c>
      <c r="AF179" s="348">
        <f>SUM(AF175:AF178)</f>
      </c>
      <c r="AG179" s="348">
        <f>SUM(AG175:AG178)</f>
      </c>
      <c r="AH179" s="348">
        <f>SUM(AH175:AH178)</f>
      </c>
      <c r="AI179" s="348">
        <f>SUM(AI175:AI178)</f>
      </c>
      <c r="AJ179" s="348">
        <f>SUM(AJ175:AJ178)</f>
      </c>
      <c r="AK179" s="348">
        <f>SUM(AK175:AK178)</f>
      </c>
      <c r="AL179" s="348">
        <f>SUM(AL175:AL178)</f>
      </c>
      <c r="AM179" s="426" t="s">
        <v>249</v>
      </c>
    </row>
    <row r="180">
      <c r="A180" s="400"/>
      <c r="B180" s="373" t="s">
        <v>250</v>
      </c>
      <c r="C180" s="373"/>
      <c r="D180" s="373">
        <f>D170+D174+D179</f>
      </c>
      <c r="E180" s="373">
        <f>E170+E174+E179</f>
      </c>
      <c r="F180" s="373">
        <f>F170+F174+F179</f>
      </c>
      <c r="G180" s="373">
        <f>G170+G174+G179</f>
      </c>
      <c r="H180" s="373">
        <f>H170+H174+H179</f>
      </c>
      <c r="I180" s="373">
        <f>I170+I174+I179</f>
      </c>
      <c r="J180" s="374">
        <f>J170+J174+J179</f>
      </c>
      <c r="K180" s="374">
        <f>K170+K174+K179</f>
      </c>
      <c r="L180" s="374">
        <f>L170+L174+L179</f>
      </c>
      <c r="M180" s="374">
        <f>M170+M174+M179</f>
      </c>
      <c r="N180" s="427">
        <f t="shared" si="337"/>
      </c>
      <c r="O180" s="427">
        <f t="shared" si="263"/>
      </c>
      <c r="P180" s="377">
        <f t="shared" si="201"/>
      </c>
      <c r="Q180" s="378">
        <f t="shared" si="108"/>
      </c>
      <c r="R180" s="379">
        <f t="shared" si="46"/>
      </c>
      <c r="S180" s="380">
        <f t="shared" si="139"/>
      </c>
      <c r="T180" s="380">
        <f t="shared" si="15"/>
      </c>
      <c r="U180" s="379">
        <f t="shared" si="500"/>
      </c>
      <c r="V180" s="380">
        <f t="shared" si="469"/>
      </c>
      <c r="W180" s="380">
        <f t="shared" si="368"/>
      </c>
      <c r="X180" s="379">
        <f t="shared" si="294"/>
      </c>
      <c r="Y180" s="428">
        <f t="shared" si="232"/>
      </c>
      <c r="Z180" s="379">
        <f t="shared" si="170"/>
      </c>
      <c r="AA180" s="381">
        <f t="shared" si="77"/>
      </c>
      <c r="AB180" s="381"/>
      <c r="AC180" s="381"/>
      <c r="AD180" s="373">
        <f>AD170+AD174+AD179</f>
      </c>
      <c r="AE180" s="373">
        <f>AE170+AE174+AE179</f>
      </c>
      <c r="AF180" s="373">
        <f>AF170+AF174+AF179</f>
      </c>
      <c r="AG180" s="373">
        <f>AG170+AG174+AG179</f>
      </c>
      <c r="AH180" s="373">
        <f>AH170+AH174+AH179</f>
      </c>
      <c r="AI180" s="373">
        <f>AI170+AI174+AI179</f>
      </c>
      <c r="AJ180" s="373">
        <f>AJ170+AJ174+AJ179</f>
      </c>
      <c r="AK180" s="373">
        <f>AK170+AK174+AK179</f>
      </c>
      <c r="AL180" s="373">
        <f>AL170+AL174+AL179</f>
      </c>
      <c r="AM180" s="426"/>
    </row>
    <row r="181">
      <c r="A181" s="389" t="s">
        <v>189</v>
      </c>
      <c r="B181" s="389"/>
      <c r="C181" s="389"/>
      <c r="D181" s="390" t="s">
        <v>190</v>
      </c>
      <c r="E181" s="390"/>
      <c r="F181" s="390"/>
      <c r="G181" s="390"/>
      <c r="H181" s="390"/>
      <c r="I181" s="390"/>
      <c r="J181" s="390"/>
      <c r="K181" s="390"/>
      <c r="L181" s="390"/>
      <c r="M181" s="390"/>
      <c r="N181" s="390"/>
      <c r="O181" s="390"/>
      <c r="P181" s="391" t="s">
        <v>191</v>
      </c>
      <c r="Q181" s="391"/>
      <c r="R181" s="391"/>
      <c r="S181" s="391"/>
      <c r="T181" s="391"/>
      <c r="U181" s="391"/>
      <c r="V181" s="391"/>
      <c r="W181" s="391"/>
      <c r="X181" s="391"/>
      <c r="Y181" s="391"/>
      <c r="Z181" s="391"/>
      <c r="AA181" s="391"/>
      <c r="AB181" s="391"/>
      <c r="AC181" s="391"/>
      <c r="AD181" s="392" t="s">
        <v>192</v>
      </c>
      <c r="AE181" s="392"/>
      <c r="AF181" s="392"/>
      <c r="AG181" s="392"/>
      <c r="AH181" s="392"/>
      <c r="AI181" s="392"/>
      <c r="AJ181" s="392"/>
      <c r="AK181" s="392"/>
      <c r="AL181" s="392"/>
      <c r="AM181" s="393"/>
    </row>
    <row r="182">
      <c r="A182" s="287" t="s">
        <v>193</v>
      </c>
      <c r="B182" s="288" t="s">
        <v>194</v>
      </c>
      <c r="C182" s="288" t="s">
        <v>195</v>
      </c>
      <c r="D182" s="289" t="s">
        <v>196</v>
      </c>
      <c r="E182" s="290" t="s">
        <v>197</v>
      </c>
      <c r="F182" s="394" t="s">
        <v>198</v>
      </c>
      <c r="G182" s="394" t="s">
        <v>256</v>
      </c>
      <c r="H182" s="395" t="s">
        <v>260</v>
      </c>
      <c r="I182" s="429" t="s">
        <v>199</v>
      </c>
      <c r="J182" s="430" t="s">
        <v>200</v>
      </c>
      <c r="K182" s="431" t="s">
        <v>201</v>
      </c>
      <c r="L182" s="397" t="s">
        <v>202</v>
      </c>
      <c r="M182" s="397" t="s">
        <v>203</v>
      </c>
      <c r="N182" s="295" t="s">
        <v>204</v>
      </c>
      <c r="O182" s="398" t="s">
        <v>205</v>
      </c>
      <c r="P182" s="296" t="s">
        <v>206</v>
      </c>
      <c r="Q182" s="296" t="s">
        <v>207</v>
      </c>
      <c r="R182" s="296" t="s">
        <v>208</v>
      </c>
      <c r="S182" s="297" t="s">
        <v>209</v>
      </c>
      <c r="T182" s="297" t="s">
        <v>210</v>
      </c>
      <c r="U182" s="296" t="s">
        <v>211</v>
      </c>
      <c r="V182" s="297" t="s">
        <v>212</v>
      </c>
      <c r="W182" s="297" t="s">
        <v>213</v>
      </c>
      <c r="X182" s="296" t="s">
        <v>214</v>
      </c>
      <c r="Y182" s="297" t="s">
        <v>215</v>
      </c>
      <c r="Z182" s="296" t="s">
        <v>216</v>
      </c>
      <c r="AA182" s="298" t="s">
        <v>217</v>
      </c>
      <c r="AB182" s="298" t="s">
        <v>218</v>
      </c>
      <c r="AC182" s="299" t="s">
        <v>219</v>
      </c>
      <c r="AD182" s="300" t="s">
        <v>220</v>
      </c>
      <c r="AE182" s="301" t="s">
        <v>221</v>
      </c>
      <c r="AF182" s="301" t="s">
        <v>222</v>
      </c>
      <c r="AG182" s="301" t="s">
        <v>223</v>
      </c>
      <c r="AH182" s="301" t="s">
        <v>224</v>
      </c>
      <c r="AI182" s="301" t="s">
        <v>225</v>
      </c>
      <c r="AJ182" s="302" t="s">
        <v>226</v>
      </c>
      <c r="AK182" s="302" t="s">
        <v>227</v>
      </c>
      <c r="AL182" s="302" t="s">
        <v>228</v>
      </c>
      <c r="AM182" s="399"/>
    </row>
    <row r="183">
      <c r="A183" s="303" t="s">
        <v>264</v>
      </c>
      <c r="B183" s="304" t="s">
        <v>230</v>
      </c>
      <c r="C183" s="305" t="s">
        <v>240</v>
      </c>
      <c r="D183" s="401">
        <f t="shared" ref="D183:D187" si="396">E183+F183+G183+H183</f>
      </c>
      <c r="E183" s="307">
        <v>2121.56</v>
      </c>
      <c r="F183" s="307">
        <v>574.3</v>
      </c>
      <c r="G183" s="307">
        <v>0</v>
      </c>
      <c r="H183" s="307">
        <v>0</v>
      </c>
      <c r="I183" s="306">
        <v>1</v>
      </c>
      <c r="J183" s="324">
        <v>2080</v>
      </c>
      <c r="K183" s="309">
        <v>0</v>
      </c>
      <c r="L183" s="310">
        <v>0</v>
      </c>
      <c r="M183" s="310">
        <v>1</v>
      </c>
      <c r="N183" s="403">
        <f t="shared" ref="N183:N198" si="338">J183/D183</f>
      </c>
      <c r="O183" s="404">
        <f t="shared" ref="O183:O198" si="264">J183/(D183+300*AL183)</f>
      </c>
      <c r="P183" s="358">
        <f t="shared" ref="P183:P198" si="202">(D183/AE183)*1000</f>
      </c>
      <c r="Q183" s="405">
        <f t="shared" ref="Q183:Q198" si="109">AF183/AE183</f>
      </c>
      <c r="R183" s="406">
        <f t="shared" ref="R183:R198" si="47">D183/AG183</f>
      </c>
      <c r="S183" s="407">
        <f t="shared" ref="S183:S198" si="140">AH183/AG183</f>
      </c>
      <c r="T183" s="405">
        <f t="shared" ref="T183:T198" si="16">AI183/AG183</f>
      </c>
      <c r="U183" s="408">
        <f t="shared" ref="U183:U198" si="501">D183/AI183</f>
      </c>
      <c r="V183" s="405">
        <f t="shared" ref="V183:V198" si="470">AJ183/AI183</f>
      </c>
      <c r="W183" s="409">
        <f t="shared" ref="W183:W198" si="369">I183/AJ183</f>
      </c>
      <c r="X183" s="406">
        <f t="shared" ref="X183:X198" si="295">D183/I183</f>
      </c>
      <c r="Y183" s="410">
        <f t="shared" ref="Y183:Y198" si="233">J183/I183</f>
      </c>
      <c r="Z183" s="406">
        <f t="shared" ref="Z183:Z198" si="171">D183/AD183</f>
      </c>
      <c r="AA183" s="320">
        <f t="shared" ref="AA183:AA198" si="78">AK183*1000/D183</f>
      </c>
      <c r="AB183" s="321" t="s">
        <v>232</v>
      </c>
      <c r="AC183" s="411" t="s">
        <v>233</v>
      </c>
      <c r="AD183" s="334">
        <v>1</v>
      </c>
      <c r="AE183" s="334">
        <v>5833</v>
      </c>
      <c r="AF183" s="304">
        <v>267</v>
      </c>
      <c r="AG183" s="304">
        <v>366</v>
      </c>
      <c r="AH183" s="304">
        <v>61</v>
      </c>
      <c r="AI183" s="334">
        <v>32</v>
      </c>
      <c r="AJ183" s="325">
        <v>5</v>
      </c>
      <c r="AK183" s="326">
        <v>15</v>
      </c>
      <c r="AL183" s="310">
        <v>1</v>
      </c>
      <c r="AM183" s="399"/>
    </row>
    <row r="184">
      <c r="A184" s="303"/>
      <c r="B184" s="304" t="s">
        <v>234</v>
      </c>
      <c r="C184" s="305" t="s">
        <v>240</v>
      </c>
      <c r="D184" s="401">
        <f t="shared" si="396"/>
      </c>
      <c r="E184" s="307">
        <v>1836.72</v>
      </c>
      <c r="F184" s="307">
        <v>400.1</v>
      </c>
      <c r="G184" s="307">
        <v>0</v>
      </c>
      <c r="H184" s="307">
        <v>0</v>
      </c>
      <c r="I184" s="306">
        <v>1</v>
      </c>
      <c r="J184" s="324">
        <v>2268</v>
      </c>
      <c r="K184" s="342">
        <v>0</v>
      </c>
      <c r="L184" s="342">
        <v>0</v>
      </c>
      <c r="M184" s="342">
        <v>1</v>
      </c>
      <c r="N184" s="413">
        <f t="shared" si="338"/>
      </c>
      <c r="O184" s="414">
        <f t="shared" si="264"/>
      </c>
      <c r="P184" s="358">
        <f t="shared" si="202"/>
      </c>
      <c r="Q184" s="405">
        <f t="shared" si="109"/>
      </c>
      <c r="R184" s="415">
        <f t="shared" si="47"/>
      </c>
      <c r="S184" s="407">
        <f t="shared" si="140"/>
      </c>
      <c r="T184" s="405">
        <f t="shared" si="16"/>
      </c>
      <c r="U184" s="408">
        <f t="shared" si="501"/>
      </c>
      <c r="V184" s="405">
        <f t="shared" si="470"/>
      </c>
      <c r="W184" s="409">
        <f t="shared" si="369"/>
      </c>
      <c r="X184" s="406">
        <f t="shared" si="295"/>
      </c>
      <c r="Y184" s="410">
        <f t="shared" si="233"/>
      </c>
      <c r="Z184" s="406">
        <f t="shared" si="171"/>
      </c>
      <c r="AA184" s="331">
        <f t="shared" si="78"/>
      </c>
      <c r="AB184" s="332" t="s">
        <v>232</v>
      </c>
      <c r="AC184" s="411" t="s">
        <v>233</v>
      </c>
      <c r="AD184" s="334">
        <v>1</v>
      </c>
      <c r="AE184" s="334">
        <v>4372</v>
      </c>
      <c r="AF184" s="304">
        <v>174</v>
      </c>
      <c r="AG184" s="333">
        <v>271</v>
      </c>
      <c r="AH184" s="334">
        <v>40</v>
      </c>
      <c r="AI184" s="334">
        <v>26</v>
      </c>
      <c r="AJ184" s="335">
        <v>4</v>
      </c>
      <c r="AK184" s="336">
        <v>12</v>
      </c>
      <c r="AL184" s="310">
        <v>1</v>
      </c>
      <c r="AM184" s="399"/>
    </row>
    <row r="185">
      <c r="A185" s="303"/>
      <c r="B185" s="304" t="s">
        <v>235</v>
      </c>
      <c r="C185" s="305" t="s">
        <v>240</v>
      </c>
      <c r="D185" s="401">
        <f t="shared" si="396"/>
      </c>
      <c r="E185" s="307">
        <v>1796.33</v>
      </c>
      <c r="F185" s="307">
        <v>827.42</v>
      </c>
      <c r="G185" s="307">
        <v>0</v>
      </c>
      <c r="H185" s="307">
        <v>0</v>
      </c>
      <c r="I185" s="307">
        <v>2</v>
      </c>
      <c r="J185" s="307">
        <v>3216</v>
      </c>
      <c r="K185" s="307">
        <v>0</v>
      </c>
      <c r="L185" s="307">
        <v>1</v>
      </c>
      <c r="M185" s="307">
        <v>1</v>
      </c>
      <c r="N185" s="413">
        <f t="shared" si="338"/>
      </c>
      <c r="O185" s="414">
        <f t="shared" si="264"/>
      </c>
      <c r="P185" s="358">
        <f t="shared" si="202"/>
      </c>
      <c r="Q185" s="407">
        <f t="shared" si="109"/>
      </c>
      <c r="R185" s="406">
        <f t="shared" si="47"/>
      </c>
      <c r="S185" s="409">
        <f t="shared" si="140"/>
      </c>
      <c r="T185" s="418">
        <f t="shared" si="16"/>
      </c>
      <c r="U185" s="419">
        <f t="shared" si="501"/>
      </c>
      <c r="V185" s="418">
        <f t="shared" si="470"/>
      </c>
      <c r="W185" s="405">
        <f t="shared" si="369"/>
      </c>
      <c r="X185" s="406">
        <f t="shared" si="295"/>
      </c>
      <c r="Y185" s="410">
        <f t="shared" si="233"/>
      </c>
      <c r="Z185" s="406">
        <f t="shared" si="171"/>
      </c>
      <c r="AA185" s="331">
        <f t="shared" si="78"/>
      </c>
      <c r="AB185" s="332" t="s">
        <v>232</v>
      </c>
      <c r="AC185" s="411" t="s">
        <v>233</v>
      </c>
      <c r="AD185" s="334">
        <v>1</v>
      </c>
      <c r="AE185" s="334">
        <v>4666</v>
      </c>
      <c r="AF185" s="304">
        <v>198</v>
      </c>
      <c r="AG185" s="334">
        <v>289</v>
      </c>
      <c r="AH185" s="334">
        <v>53</v>
      </c>
      <c r="AI185" s="334">
        <v>32</v>
      </c>
      <c r="AJ185" s="335">
        <v>3</v>
      </c>
      <c r="AK185" s="336">
        <v>11</v>
      </c>
      <c r="AL185" s="310">
        <v>1</v>
      </c>
      <c r="AM185" s="399"/>
    </row>
    <row r="186">
      <c r="A186" s="303"/>
      <c r="B186" s="304" t="s">
        <v>236</v>
      </c>
      <c r="C186" s="305" t="s">
        <v>240</v>
      </c>
      <c r="D186" s="401">
        <f t="shared" si="396"/>
      </c>
      <c r="E186" s="306">
        <v>725.53</v>
      </c>
      <c r="F186" s="307">
        <v>1086.66</v>
      </c>
      <c r="G186" s="307">
        <v>0</v>
      </c>
      <c r="H186" s="307">
        <v>0</v>
      </c>
      <c r="I186" s="307">
        <v>0</v>
      </c>
      <c r="J186" s="307">
        <v>0</v>
      </c>
      <c r="K186" s="307">
        <v>0</v>
      </c>
      <c r="L186" s="307">
        <v>0</v>
      </c>
      <c r="M186" s="307">
        <v>0</v>
      </c>
      <c r="N186" s="413">
        <f t="shared" si="338"/>
      </c>
      <c r="O186" s="414">
        <f t="shared" si="264"/>
      </c>
      <c r="P186" s="358">
        <f t="shared" si="202"/>
      </c>
      <c r="Q186" s="405">
        <f t="shared" si="109"/>
      </c>
      <c r="R186" s="420">
        <f t="shared" si="47"/>
      </c>
      <c r="S186" s="405">
        <f t="shared" si="140"/>
      </c>
      <c r="T186" s="405">
        <f t="shared" si="16"/>
      </c>
      <c r="U186" s="406">
        <f t="shared" si="501"/>
      </c>
      <c r="V186" s="405">
        <f t="shared" si="470"/>
      </c>
      <c r="W186" s="405">
        <f t="shared" si="369"/>
      </c>
      <c r="X186" s="406">
        <f t="shared" si="295"/>
      </c>
      <c r="Y186" s="410">
        <f t="shared" si="233"/>
      </c>
      <c r="Z186" s="406">
        <f t="shared" si="171"/>
      </c>
      <c r="AA186" s="331">
        <f t="shared" si="78"/>
      </c>
      <c r="AB186" s="340" t="s">
        <v>232</v>
      </c>
      <c r="AC186" s="411" t="s">
        <v>233</v>
      </c>
      <c r="AD186" s="412">
        <v>0</v>
      </c>
      <c r="AE186" s="333">
        <v>3287</v>
      </c>
      <c r="AF186" s="334">
        <v>138</v>
      </c>
      <c r="AG186" s="334">
        <v>180</v>
      </c>
      <c r="AH186" s="334">
        <v>35</v>
      </c>
      <c r="AI186" s="334">
        <v>12</v>
      </c>
      <c r="AJ186" s="335">
        <v>2</v>
      </c>
      <c r="AK186" s="336">
        <v>8</v>
      </c>
      <c r="AL186" s="310">
        <v>1</v>
      </c>
      <c r="AM186" s="399"/>
    </row>
    <row r="187">
      <c r="A187" s="303"/>
      <c r="B187" s="304" t="s">
        <v>237</v>
      </c>
      <c r="C187" s="305" t="s">
        <v>240</v>
      </c>
      <c r="D187" s="401">
        <f t="shared" si="396"/>
      </c>
      <c r="E187" s="333">
        <v>1249.37</v>
      </c>
      <c r="F187" s="344">
        <v>962.88</v>
      </c>
      <c r="G187" s="344">
        <v>0</v>
      </c>
      <c r="H187" s="344">
        <v>0</v>
      </c>
      <c r="I187" s="416">
        <v>3</v>
      </c>
      <c r="J187" s="416">
        <v>2364</v>
      </c>
      <c r="K187" s="335">
        <v>1</v>
      </c>
      <c r="L187" s="335">
        <v>2</v>
      </c>
      <c r="M187" s="335">
        <v>0</v>
      </c>
      <c r="N187" s="413">
        <f t="shared" si="338"/>
      </c>
      <c r="O187" s="414">
        <f t="shared" si="264"/>
      </c>
      <c r="P187" s="358">
        <f t="shared" si="202"/>
      </c>
      <c r="Q187" s="405">
        <f t="shared" si="109"/>
      </c>
      <c r="R187" s="420">
        <f t="shared" si="47"/>
      </c>
      <c r="S187" s="405">
        <f t="shared" si="140"/>
      </c>
      <c r="T187" s="405">
        <f t="shared" si="16"/>
      </c>
      <c r="U187" s="406">
        <f t="shared" si="501"/>
      </c>
      <c r="V187" s="405">
        <f t="shared" si="470"/>
      </c>
      <c r="W187" s="405">
        <f t="shared" si="369"/>
      </c>
      <c r="X187" s="406">
        <f t="shared" si="295"/>
      </c>
      <c r="Y187" s="410">
        <f t="shared" si="233"/>
      </c>
      <c r="Z187" s="406">
        <f t="shared" si="171"/>
      </c>
      <c r="AA187" s="331">
        <f t="shared" si="78"/>
      </c>
      <c r="AB187" s="364" t="s">
        <v>232</v>
      </c>
      <c r="AC187" s="411" t="s">
        <v>233</v>
      </c>
      <c r="AD187" s="412">
        <v>3</v>
      </c>
      <c r="AE187" s="333">
        <v>4205</v>
      </c>
      <c r="AF187" s="334">
        <v>208</v>
      </c>
      <c r="AG187" s="334">
        <v>319</v>
      </c>
      <c r="AH187" s="334">
        <v>55</v>
      </c>
      <c r="AI187" s="334">
        <v>15</v>
      </c>
      <c r="AJ187" s="335">
        <v>4</v>
      </c>
      <c r="AK187" s="336">
        <v>18</v>
      </c>
      <c r="AL187" s="310">
        <v>1</v>
      </c>
      <c r="AM187" s="399"/>
    </row>
    <row r="188">
      <c r="A188" s="303"/>
      <c r="B188" s="347" t="s">
        <v>238</v>
      </c>
      <c r="C188" s="347"/>
      <c r="D188" s="348">
        <f>SUM(D183:D187)</f>
      </c>
      <c r="E188" s="348">
        <f>SUM(E183:E187)</f>
      </c>
      <c r="F188" s="348">
        <f>SUM(F183:F187)</f>
      </c>
      <c r="G188" s="348">
        <f>SUM(G183:G187)</f>
      </c>
      <c r="H188" s="348">
        <f>SUM(H183:H187)</f>
      </c>
      <c r="I188" s="348">
        <f>SUM(I183:I187)</f>
      </c>
      <c r="J188" s="348">
        <f>SUM(J183:J187)</f>
      </c>
      <c r="K188" s="348">
        <f>SUM(K183:K187)</f>
      </c>
      <c r="L188" s="348">
        <f>SUM(L183:L187)</f>
      </c>
      <c r="M188" s="348">
        <f>SUM(M183:M187)</f>
      </c>
      <c r="N188" s="421">
        <f t="shared" si="338"/>
      </c>
      <c r="O188" s="422">
        <f t="shared" si="264"/>
      </c>
      <c r="P188" s="351">
        <f t="shared" si="202"/>
      </c>
      <c r="Q188" s="352">
        <f t="shared" si="109"/>
      </c>
      <c r="R188" s="353">
        <f t="shared" si="47"/>
      </c>
      <c r="S188" s="354">
        <f t="shared" si="140"/>
      </c>
      <c r="T188" s="354">
        <f t="shared" si="16"/>
      </c>
      <c r="U188" s="353">
        <f t="shared" si="501"/>
      </c>
      <c r="V188" s="354">
        <f t="shared" si="470"/>
      </c>
      <c r="W188" s="354">
        <f t="shared" si="369"/>
      </c>
      <c r="X188" s="355">
        <f t="shared" si="295"/>
      </c>
      <c r="Y188" s="423">
        <f t="shared" si="233"/>
      </c>
      <c r="Z188" s="355">
        <f t="shared" si="171"/>
      </c>
      <c r="AA188" s="356">
        <f t="shared" si="78"/>
      </c>
      <c r="AB188" s="356"/>
      <c r="AC188" s="424"/>
      <c r="AD188" s="347">
        <f>SUM(AD183:AD187)</f>
      </c>
      <c r="AE188" s="347">
        <f>SUM(AE183:AE187)</f>
      </c>
      <c r="AF188" s="347">
        <f>SUM(AF183:AF187)</f>
      </c>
      <c r="AG188" s="347">
        <f>SUM(AG183:AG187)</f>
      </c>
      <c r="AH188" s="347">
        <f>SUM(AH183:AH187)</f>
      </c>
      <c r="AI188" s="347">
        <f>SUM(AI183:AI187)</f>
      </c>
      <c r="AJ188" s="347">
        <f>SUM(AJ183:AJ187)</f>
      </c>
      <c r="AK188" s="347">
        <f>SUM(AK183:AK187)</f>
      </c>
      <c r="AL188" s="347">
        <f>SUM(AL183:AL187)</f>
      </c>
      <c r="AM188" s="399"/>
    </row>
    <row r="189">
      <c r="A189" s="303"/>
      <c r="B189" s="304" t="s">
        <v>239</v>
      </c>
      <c r="C189" s="326" t="s">
        <v>247</v>
      </c>
      <c r="D189" s="334">
        <f t="shared" ref="D189:D192" si="397">E189+F189+G189+H189</f>
      </c>
      <c r="E189" s="334">
        <v>2318.09</v>
      </c>
      <c r="F189" s="326">
        <v>1953.02</v>
      </c>
      <c r="G189" s="326">
        <v>0</v>
      </c>
      <c r="H189" s="326">
        <v>0</v>
      </c>
      <c r="I189" s="365">
        <v>4</v>
      </c>
      <c r="J189" s="369">
        <v>9072</v>
      </c>
      <c r="K189" s="310">
        <v>0</v>
      </c>
      <c r="L189" s="310">
        <v>0</v>
      </c>
      <c r="M189" s="310">
        <v>4</v>
      </c>
      <c r="N189" s="413">
        <f t="shared" si="338"/>
      </c>
      <c r="O189" s="414">
        <f t="shared" si="264"/>
      </c>
      <c r="P189" s="358">
        <f t="shared" si="202"/>
      </c>
      <c r="Q189" s="359">
        <f t="shared" si="109"/>
      </c>
      <c r="R189" s="360">
        <f t="shared" si="47"/>
      </c>
      <c r="S189" s="361">
        <f t="shared" si="140"/>
      </c>
      <c r="T189" s="361">
        <f t="shared" si="16"/>
      </c>
      <c r="U189" s="360">
        <f t="shared" si="501"/>
      </c>
      <c r="V189" s="361">
        <f t="shared" si="470"/>
      </c>
      <c r="W189" s="361">
        <f t="shared" si="369"/>
      </c>
      <c r="X189" s="362">
        <f t="shared" si="295"/>
      </c>
      <c r="Y189" s="425">
        <f t="shared" si="233"/>
      </c>
      <c r="Z189" s="362">
        <f t="shared" si="171"/>
      </c>
      <c r="AA189" s="363">
        <f t="shared" si="78"/>
      </c>
      <c r="AB189" s="364" t="s">
        <v>232</v>
      </c>
      <c r="AC189" s="411" t="s">
        <v>233</v>
      </c>
      <c r="AD189" s="402">
        <v>4</v>
      </c>
      <c r="AE189" s="365">
        <v>8008</v>
      </c>
      <c r="AF189" s="365">
        <v>337</v>
      </c>
      <c r="AG189" s="365">
        <v>455</v>
      </c>
      <c r="AH189" s="365">
        <v>88</v>
      </c>
      <c r="AI189" s="365">
        <v>36</v>
      </c>
      <c r="AJ189" s="310">
        <v>5</v>
      </c>
      <c r="AK189" s="310">
        <v>21</v>
      </c>
      <c r="AL189" s="310">
        <v>1</v>
      </c>
      <c r="AM189" s="399"/>
    </row>
    <row r="190">
      <c r="A190" s="303"/>
      <c r="B190" s="304" t="s">
        <v>241</v>
      </c>
      <c r="C190" s="326" t="s">
        <v>247</v>
      </c>
      <c r="D190" s="334">
        <f t="shared" si="397"/>
      </c>
      <c r="E190" s="334">
        <v>2612.71</v>
      </c>
      <c r="F190" s="334">
        <v>1415.61</v>
      </c>
      <c r="G190" s="326">
        <v>0</v>
      </c>
      <c r="H190" s="326">
        <v>0</v>
      </c>
      <c r="I190" s="310">
        <v>4</v>
      </c>
      <c r="J190" s="310">
        <v>7272</v>
      </c>
      <c r="K190" s="310">
        <v>1</v>
      </c>
      <c r="L190" s="310">
        <v>0</v>
      </c>
      <c r="M190" s="310">
        <v>3</v>
      </c>
      <c r="N190" s="413">
        <f t="shared" si="338"/>
      </c>
      <c r="O190" s="414">
        <f t="shared" si="264"/>
      </c>
      <c r="P190" s="358">
        <f t="shared" si="202"/>
      </c>
      <c r="Q190" s="359">
        <f t="shared" si="109"/>
      </c>
      <c r="R190" s="360">
        <f t="shared" si="47"/>
      </c>
      <c r="S190" s="361">
        <f t="shared" si="140"/>
      </c>
      <c r="T190" s="361">
        <f t="shared" si="16"/>
      </c>
      <c r="U190" s="360">
        <f t="shared" si="501"/>
      </c>
      <c r="V190" s="361">
        <f t="shared" si="470"/>
      </c>
      <c r="W190" s="361">
        <f t="shared" si="369"/>
      </c>
      <c r="X190" s="362">
        <f t="shared" si="295"/>
      </c>
      <c r="Y190" s="425">
        <f t="shared" si="233"/>
      </c>
      <c r="Z190" s="362">
        <f t="shared" si="171"/>
      </c>
      <c r="AA190" s="363">
        <f t="shared" si="78"/>
      </c>
      <c r="AB190" s="364" t="s">
        <v>232</v>
      </c>
      <c r="AC190" s="411" t="s">
        <v>233</v>
      </c>
      <c r="AD190" s="402">
        <v>4</v>
      </c>
      <c r="AE190" s="365">
        <v>9070</v>
      </c>
      <c r="AF190" s="365">
        <v>316</v>
      </c>
      <c r="AG190" s="365">
        <v>431</v>
      </c>
      <c r="AH190" s="365">
        <v>73</v>
      </c>
      <c r="AI190" s="365">
        <v>31</v>
      </c>
      <c r="AJ190" s="310">
        <v>7</v>
      </c>
      <c r="AK190" s="310">
        <v>12</v>
      </c>
      <c r="AL190" s="310">
        <v>1</v>
      </c>
      <c r="AM190" s="399"/>
    </row>
    <row r="191">
      <c r="A191" s="303"/>
      <c r="B191" s="304" t="s">
        <v>242</v>
      </c>
      <c r="C191" s="326" t="s">
        <v>247</v>
      </c>
      <c r="D191" s="388">
        <f t="shared" si="397"/>
      </c>
      <c r="E191" s="334">
        <v>4168.76</v>
      </c>
      <c r="F191" s="334">
        <v>1042.08</v>
      </c>
      <c r="G191" s="326">
        <v>0</v>
      </c>
      <c r="H191" s="326">
        <v>0</v>
      </c>
      <c r="I191" s="310">
        <v>7</v>
      </c>
      <c r="J191" s="310">
        <v>12672</v>
      </c>
      <c r="K191" s="310">
        <v>0</v>
      </c>
      <c r="L191" s="310">
        <v>2</v>
      </c>
      <c r="M191" s="310">
        <v>5</v>
      </c>
      <c r="N191" s="413">
        <f t="shared" si="338"/>
      </c>
      <c r="O191" s="414">
        <f t="shared" si="264"/>
      </c>
      <c r="P191" s="358">
        <f t="shared" si="202"/>
      </c>
      <c r="Q191" s="359">
        <f t="shared" si="109"/>
      </c>
      <c r="R191" s="360">
        <f t="shared" si="47"/>
      </c>
      <c r="S191" s="361">
        <f t="shared" si="140"/>
      </c>
      <c r="T191" s="361">
        <f t="shared" si="16"/>
      </c>
      <c r="U191" s="360">
        <f t="shared" si="501"/>
      </c>
      <c r="V191" s="361">
        <f t="shared" si="470"/>
      </c>
      <c r="W191" s="361">
        <f t="shared" si="369"/>
      </c>
      <c r="X191" s="362">
        <f t="shared" si="295"/>
      </c>
      <c r="Y191" s="425">
        <f t="shared" si="233"/>
      </c>
      <c r="Z191" s="362">
        <f t="shared" si="171"/>
      </c>
      <c r="AA191" s="363">
        <f t="shared" si="78"/>
      </c>
      <c r="AB191" s="364" t="s">
        <v>232</v>
      </c>
      <c r="AC191" s="411" t="s">
        <v>233</v>
      </c>
      <c r="AD191" s="402">
        <v>7</v>
      </c>
      <c r="AE191" s="365">
        <v>14486</v>
      </c>
      <c r="AF191" s="365">
        <v>424</v>
      </c>
      <c r="AG191" s="365">
        <v>535</v>
      </c>
      <c r="AH191" s="365">
        <v>109</v>
      </c>
      <c r="AI191" s="365">
        <v>33</v>
      </c>
      <c r="AJ191" s="310">
        <v>12</v>
      </c>
      <c r="AK191" s="310">
        <v>32</v>
      </c>
      <c r="AL191" s="310">
        <v>1</v>
      </c>
      <c r="AM191" s="399"/>
    </row>
    <row customHeight="true" ht="18.452380952380953" r="192">
      <c r="A192" s="303"/>
      <c r="B192" s="304" t="s">
        <v>243</v>
      </c>
      <c r="C192" s="326" t="s">
        <v>247</v>
      </c>
      <c r="D192" s="334">
        <f t="shared" si="397"/>
      </c>
      <c r="E192" s="334">
        <v>3028.53</v>
      </c>
      <c r="F192" s="334">
        <v>998.18</v>
      </c>
      <c r="G192" s="326">
        <v>0</v>
      </c>
      <c r="H192" s="326">
        <v>0</v>
      </c>
      <c r="I192" s="310">
        <v>3</v>
      </c>
      <c r="J192" s="310">
        <v>3496</v>
      </c>
      <c r="K192" s="310">
        <v>1</v>
      </c>
      <c r="L192" s="310">
        <v>1</v>
      </c>
      <c r="M192" s="310">
        <v>1</v>
      </c>
      <c r="N192" s="413">
        <f t="shared" si="338"/>
      </c>
      <c r="O192" s="414">
        <f t="shared" si="264"/>
      </c>
      <c r="P192" s="358">
        <f t="shared" si="202"/>
      </c>
      <c r="Q192" s="359">
        <f t="shared" si="109"/>
      </c>
      <c r="R192" s="360">
        <f t="shared" si="47"/>
      </c>
      <c r="S192" s="361">
        <f t="shared" si="140"/>
      </c>
      <c r="T192" s="361">
        <f t="shared" si="16"/>
      </c>
      <c r="U192" s="360">
        <f t="shared" si="501"/>
      </c>
      <c r="V192" s="361">
        <f t="shared" si="470"/>
      </c>
      <c r="W192" s="361">
        <f t="shared" si="369"/>
      </c>
      <c r="X192" s="362">
        <f t="shared" si="295"/>
      </c>
      <c r="Y192" s="425">
        <f t="shared" si="233"/>
      </c>
      <c r="Z192" s="362">
        <f t="shared" si="171"/>
      </c>
      <c r="AA192" s="363">
        <f t="shared" si="78"/>
      </c>
      <c r="AB192" s="364" t="s">
        <v>232</v>
      </c>
      <c r="AC192" s="411" t="s">
        <v>262</v>
      </c>
      <c r="AD192" s="402">
        <v>3</v>
      </c>
      <c r="AE192" s="365">
        <v>12510</v>
      </c>
      <c r="AF192" s="365">
        <v>375</v>
      </c>
      <c r="AG192" s="365">
        <v>453</v>
      </c>
      <c r="AH192" s="365">
        <v>89</v>
      </c>
      <c r="AI192" s="365">
        <v>34</v>
      </c>
      <c r="AJ192" s="310">
        <v>4</v>
      </c>
      <c r="AK192" s="310">
        <v>17</v>
      </c>
      <c r="AL192" s="310">
        <v>1</v>
      </c>
      <c r="AM192" s="399"/>
    </row>
    <row r="193">
      <c r="A193" s="303"/>
      <c r="B193" s="347" t="s">
        <v>238</v>
      </c>
      <c r="C193" s="347"/>
      <c r="D193" s="348">
        <f>SUM(D189:D192)</f>
      </c>
      <c r="E193" s="348">
        <f>SUM(E189:E192)</f>
      </c>
      <c r="F193" s="348">
        <f>SUM(F189:F192)</f>
      </c>
      <c r="G193" s="348">
        <f>SUM(G189:G192)</f>
      </c>
      <c r="H193" s="348">
        <f>SUM(H189:H192)</f>
      </c>
      <c r="I193" s="348">
        <f>SUM(I189:I192)</f>
      </c>
      <c r="J193" s="348">
        <f>SUM(J189:J192)</f>
      </c>
      <c r="K193" s="348">
        <f>SUM(K189:K192)</f>
      </c>
      <c r="L193" s="348">
        <f>SUM(L189:L192)</f>
      </c>
      <c r="M193" s="348">
        <f>SUM(M189:M192)</f>
      </c>
      <c r="N193" s="421">
        <f t="shared" si="338"/>
      </c>
      <c r="O193" s="422">
        <f t="shared" si="264"/>
      </c>
      <c r="P193" s="370">
        <f t="shared" si="202"/>
      </c>
      <c r="Q193" s="352">
        <f t="shared" si="109"/>
      </c>
      <c r="R193" s="353">
        <f t="shared" si="47"/>
      </c>
      <c r="S193" s="354">
        <f t="shared" si="140"/>
      </c>
      <c r="T193" s="354">
        <f t="shared" si="16"/>
      </c>
      <c r="U193" s="353">
        <f t="shared" si="501"/>
      </c>
      <c r="V193" s="354">
        <f t="shared" si="470"/>
      </c>
      <c r="W193" s="354">
        <f t="shared" si="369"/>
      </c>
      <c r="X193" s="355">
        <f t="shared" si="295"/>
      </c>
      <c r="Y193" s="423">
        <f t="shared" si="233"/>
      </c>
      <c r="Z193" s="355">
        <f t="shared" si="171"/>
      </c>
      <c r="AA193" s="356">
        <f t="shared" si="78"/>
      </c>
      <c r="AB193" s="356"/>
      <c r="AC193" s="424"/>
      <c r="AD193" s="347">
        <f>SUM(AD189:AD192)</f>
      </c>
      <c r="AE193" s="347">
        <f>SUM(AE189:AE192)</f>
      </c>
      <c r="AF193" s="347">
        <f>SUM(AF189:AF192)</f>
      </c>
      <c r="AG193" s="347">
        <f>SUM(AG189:AG192)</f>
      </c>
      <c r="AH193" s="347">
        <f>SUM(AH189:AH192)</f>
      </c>
      <c r="AI193" s="347">
        <f>SUM(AI189:AI192)</f>
      </c>
      <c r="AJ193" s="347">
        <f>SUM(AJ189:AJ192)</f>
      </c>
      <c r="AK193" s="347">
        <f>SUM(AK189:AK192)</f>
      </c>
      <c r="AL193" s="347">
        <f>SUM(AL189:AL192)</f>
      </c>
      <c r="AM193" s="399"/>
    </row>
    <row r="194">
      <c r="A194" s="303"/>
      <c r="B194" s="304" t="s">
        <v>245</v>
      </c>
      <c r="C194" s="326" t="s">
        <v>231</v>
      </c>
      <c r="D194" s="334">
        <f t="shared" ref="D194:D196" si="398">E194+F194+G194+H194</f>
      </c>
      <c r="E194" s="334">
        <v>4445.75</v>
      </c>
      <c r="F194" s="334">
        <v>792.9</v>
      </c>
      <c r="G194" s="326">
        <v>0</v>
      </c>
      <c r="H194" s="326">
        <v>0</v>
      </c>
      <c r="I194" s="310">
        <v>5</v>
      </c>
      <c r="J194" s="345">
        <v>9352</v>
      </c>
      <c r="K194" s="303">
        <v>1</v>
      </c>
      <c r="L194" s="303">
        <v>0</v>
      </c>
      <c r="M194" s="305">
        <v>4</v>
      </c>
      <c r="N194" s="413">
        <f t="shared" si="338"/>
      </c>
      <c r="O194" s="414">
        <f t="shared" si="264"/>
      </c>
      <c r="P194" s="368">
        <f t="shared" si="202"/>
      </c>
      <c r="Q194" s="359">
        <f t="shared" si="109"/>
      </c>
      <c r="R194" s="360">
        <f t="shared" si="47"/>
      </c>
      <c r="S194" s="361">
        <f t="shared" si="140"/>
      </c>
      <c r="T194" s="361">
        <f t="shared" si="16"/>
      </c>
      <c r="U194" s="360">
        <f t="shared" si="501"/>
      </c>
      <c r="V194" s="361">
        <f t="shared" si="470"/>
      </c>
      <c r="W194" s="361">
        <f t="shared" si="369"/>
      </c>
      <c r="X194" s="362">
        <f t="shared" si="295"/>
      </c>
      <c r="Y194" s="425">
        <f t="shared" si="233"/>
      </c>
      <c r="Z194" s="362">
        <f t="shared" si="171"/>
      </c>
      <c r="AA194" s="363">
        <f t="shared" si="78"/>
      </c>
      <c r="AB194" s="364" t="s">
        <v>232</v>
      </c>
      <c r="AC194" s="411" t="s">
        <v>262</v>
      </c>
      <c r="AD194" s="402">
        <v>4</v>
      </c>
      <c r="AE194" s="365">
        <v>20195</v>
      </c>
      <c r="AF194" s="365">
        <v>452</v>
      </c>
      <c r="AG194" s="365">
        <v>523</v>
      </c>
      <c r="AH194" s="365">
        <v>100</v>
      </c>
      <c r="AI194" s="365">
        <v>28</v>
      </c>
      <c r="AJ194" s="310">
        <v>7</v>
      </c>
      <c r="AK194" s="310">
        <v>17</v>
      </c>
      <c r="AL194" s="310">
        <v>1</v>
      </c>
      <c r="AM194" s="399"/>
    </row>
    <row r="195">
      <c r="A195" s="303"/>
      <c r="B195" s="304" t="s">
        <v>246</v>
      </c>
      <c r="C195" s="326" t="s">
        <v>231</v>
      </c>
      <c r="D195" s="334">
        <f t="shared" si="398"/>
      </c>
      <c r="E195" s="326">
        <v>3182.56</v>
      </c>
      <c r="F195" s="326">
        <v>739.62</v>
      </c>
      <c r="G195" s="326">
        <v>0</v>
      </c>
      <c r="H195" s="326">
        <v>0</v>
      </c>
      <c r="I195" s="365">
        <v>2</v>
      </c>
      <c r="J195" s="369">
        <v>3028</v>
      </c>
      <c r="K195" s="303">
        <v>0</v>
      </c>
      <c r="L195" s="303">
        <v>1</v>
      </c>
      <c r="M195" s="305">
        <v>1</v>
      </c>
      <c r="N195" s="413">
        <f t="shared" si="338"/>
      </c>
      <c r="O195" s="414">
        <f t="shared" si="264"/>
      </c>
      <c r="P195" s="368">
        <f t="shared" si="202"/>
      </c>
      <c r="Q195" s="359">
        <f t="shared" si="109"/>
      </c>
      <c r="R195" s="360">
        <f t="shared" si="47"/>
      </c>
      <c r="S195" s="361">
        <f t="shared" si="140"/>
      </c>
      <c r="T195" s="361">
        <f t="shared" si="16"/>
      </c>
      <c r="U195" s="360">
        <f t="shared" si="501"/>
      </c>
      <c r="V195" s="361">
        <f t="shared" si="470"/>
      </c>
      <c r="W195" s="361">
        <f t="shared" si="369"/>
      </c>
      <c r="X195" s="362">
        <f t="shared" si="295"/>
      </c>
      <c r="Y195" s="425">
        <f t="shared" si="233"/>
      </c>
      <c r="Z195" s="362">
        <f t="shared" si="171"/>
      </c>
      <c r="AA195" s="363">
        <f t="shared" si="78"/>
      </c>
      <c r="AB195" s="364" t="s">
        <v>232</v>
      </c>
      <c r="AC195" s="411" t="s">
        <v>262</v>
      </c>
      <c r="AD195" s="402">
        <v>2</v>
      </c>
      <c r="AE195" s="365">
        <v>15331</v>
      </c>
      <c r="AF195" s="365">
        <v>351</v>
      </c>
      <c r="AG195" s="365">
        <v>433</v>
      </c>
      <c r="AH195" s="365">
        <v>65</v>
      </c>
      <c r="AI195" s="365">
        <v>12</v>
      </c>
      <c r="AJ195" s="310">
        <v>3</v>
      </c>
      <c r="AK195" s="310">
        <v>16</v>
      </c>
      <c r="AL195" s="310">
        <v>1</v>
      </c>
      <c r="AM195" s="399"/>
    </row>
    <row r="196">
      <c r="A196" s="303"/>
      <c r="B196" s="304" t="s">
        <v>248</v>
      </c>
      <c r="C196" s="326" t="s">
        <v>231</v>
      </c>
      <c r="D196" s="334">
        <f t="shared" si="398"/>
      </c>
      <c r="E196" s="326">
        <v>4439.35</v>
      </c>
      <c r="F196" s="326">
        <v>424.24</v>
      </c>
      <c r="G196" s="326">
        <v>0</v>
      </c>
      <c r="H196" s="326">
        <v>0</v>
      </c>
      <c r="I196" s="310">
        <v>4</v>
      </c>
      <c r="J196" s="345">
        <v>7752</v>
      </c>
      <c r="K196" s="326">
        <v>0</v>
      </c>
      <c r="L196" s="326">
        <v>1</v>
      </c>
      <c r="M196" s="326">
        <v>3</v>
      </c>
      <c r="N196" s="413">
        <f t="shared" si="338"/>
      </c>
      <c r="O196" s="414">
        <f t="shared" si="264"/>
      </c>
      <c r="P196" s="358">
        <f t="shared" si="202"/>
      </c>
      <c r="Q196" s="359">
        <f t="shared" si="109"/>
      </c>
      <c r="R196" s="360">
        <f t="shared" si="47"/>
      </c>
      <c r="S196" s="361">
        <f t="shared" si="140"/>
      </c>
      <c r="T196" s="361">
        <f t="shared" si="16"/>
      </c>
      <c r="U196" s="360">
        <f t="shared" si="501"/>
      </c>
      <c r="V196" s="361">
        <f t="shared" si="470"/>
      </c>
      <c r="W196" s="361">
        <f t="shared" si="369"/>
      </c>
      <c r="X196" s="362">
        <f t="shared" si="295"/>
      </c>
      <c r="Y196" s="425">
        <f t="shared" si="233"/>
      </c>
      <c r="Z196" s="362">
        <f t="shared" si="171"/>
      </c>
      <c r="AA196" s="363">
        <f t="shared" si="78"/>
      </c>
      <c r="AB196" s="364" t="s">
        <v>232</v>
      </c>
      <c r="AC196" s="411" t="s">
        <v>262</v>
      </c>
      <c r="AD196" s="402">
        <v>3</v>
      </c>
      <c r="AE196" s="365">
        <v>18250</v>
      </c>
      <c r="AF196" s="365">
        <v>412</v>
      </c>
      <c r="AG196" s="365">
        <v>506</v>
      </c>
      <c r="AH196" s="365">
        <v>97</v>
      </c>
      <c r="AI196" s="365">
        <v>29</v>
      </c>
      <c r="AJ196" s="310">
        <v>11</v>
      </c>
      <c r="AK196" s="310">
        <v>19</v>
      </c>
      <c r="AL196" s="310">
        <v>1</v>
      </c>
      <c r="AM196" s="399"/>
    </row>
    <row r="197">
      <c r="A197" s="303"/>
      <c r="B197" s="347" t="s">
        <v>238</v>
      </c>
      <c r="C197" s="347"/>
      <c r="D197" s="348">
        <f>SUM(D194:D196)</f>
      </c>
      <c r="E197" s="348">
        <f>SUM(E194:E196)</f>
      </c>
      <c r="F197" s="348">
        <f>SUM(F194:F196)</f>
      </c>
      <c r="G197" s="348">
        <f>SUM(G194:G196)</f>
      </c>
      <c r="H197" s="348">
        <f>SUM(H194:H196)</f>
      </c>
      <c r="I197" s="348">
        <f>SUM(I194:I196)</f>
      </c>
      <c r="J197" s="348">
        <f>SUM(J194:J196)</f>
      </c>
      <c r="K197" s="348">
        <f>SUM(K194:K196)</f>
      </c>
      <c r="L197" s="348">
        <f>SUM(L194:L196)</f>
      </c>
      <c r="M197" s="348">
        <f>SUM(M194:M196)</f>
      </c>
      <c r="N197" s="421">
        <f t="shared" si="338"/>
      </c>
      <c r="O197" s="422">
        <f t="shared" si="264"/>
      </c>
      <c r="P197" s="370">
        <f t="shared" si="202"/>
      </c>
      <c r="Q197" s="352">
        <f t="shared" si="109"/>
      </c>
      <c r="R197" s="353">
        <f t="shared" si="47"/>
      </c>
      <c r="S197" s="354">
        <f t="shared" si="140"/>
      </c>
      <c r="T197" s="354">
        <f t="shared" si="16"/>
      </c>
      <c r="U197" s="353">
        <f t="shared" si="501"/>
      </c>
      <c r="V197" s="354">
        <f t="shared" si="470"/>
      </c>
      <c r="W197" s="354">
        <f t="shared" si="369"/>
      </c>
      <c r="X197" s="355">
        <f t="shared" si="295"/>
      </c>
      <c r="Y197" s="423">
        <f t="shared" si="233"/>
      </c>
      <c r="Z197" s="355">
        <f t="shared" si="171"/>
      </c>
      <c r="AA197" s="356">
        <f t="shared" si="78"/>
      </c>
      <c r="AB197" s="356"/>
      <c r="AC197" s="356"/>
      <c r="AD197" s="348">
        <f>SUM(AD194:AD196)</f>
      </c>
      <c r="AE197" s="348">
        <f>SUM(AE194:AE196)</f>
      </c>
      <c r="AF197" s="348">
        <f>SUM(AF194:AF196)</f>
      </c>
      <c r="AG197" s="348">
        <f>SUM(AG194:AG196)</f>
      </c>
      <c r="AH197" s="348">
        <f>SUM(AH194:AH196)</f>
      </c>
      <c r="AI197" s="348">
        <f>SUM(AI194:AI196)</f>
      </c>
      <c r="AJ197" s="348">
        <f>SUM(AJ194:AJ196)</f>
      </c>
      <c r="AK197" s="348">
        <f>SUM(AK194:AK196)</f>
      </c>
      <c r="AL197" s="348">
        <f>SUM(AL194:AL196)</f>
      </c>
      <c r="AM197" s="426" t="s">
        <v>249</v>
      </c>
    </row>
    <row r="198">
      <c r="A198" s="303"/>
      <c r="B198" s="373" t="s">
        <v>250</v>
      </c>
      <c r="C198" s="373"/>
      <c r="D198" s="373">
        <f>D188+D193+D197</f>
      </c>
      <c r="E198" s="373">
        <f>E188+E193+E197</f>
      </c>
      <c r="F198" s="373">
        <f>F188+F193+F197</f>
      </c>
      <c r="G198" s="373">
        <f>G188+G193+G197</f>
      </c>
      <c r="H198" s="373">
        <f>H188+H193+H197</f>
      </c>
      <c r="I198" s="373">
        <f>I188+I193+I197</f>
      </c>
      <c r="J198" s="374">
        <f>J188+J193+J197</f>
      </c>
      <c r="K198" s="374">
        <f>K188+K193+K197</f>
      </c>
      <c r="L198" s="374">
        <f>L188+L193+L197</f>
      </c>
      <c r="M198" s="374">
        <f>M188+M193+M197</f>
      </c>
      <c r="N198" s="427">
        <f t="shared" si="338"/>
      </c>
      <c r="O198" s="427">
        <f t="shared" si="264"/>
      </c>
      <c r="P198" s="377">
        <f t="shared" si="202"/>
      </c>
      <c r="Q198" s="378">
        <f t="shared" si="109"/>
      </c>
      <c r="R198" s="379">
        <f t="shared" si="47"/>
      </c>
      <c r="S198" s="380">
        <f t="shared" si="140"/>
      </c>
      <c r="T198" s="380">
        <f t="shared" si="16"/>
      </c>
      <c r="U198" s="379">
        <f t="shared" si="501"/>
      </c>
      <c r="V198" s="380">
        <f t="shared" si="470"/>
      </c>
      <c r="W198" s="380">
        <f t="shared" si="369"/>
      </c>
      <c r="X198" s="379">
        <f t="shared" si="295"/>
      </c>
      <c r="Y198" s="428">
        <f t="shared" si="233"/>
      </c>
      <c r="Z198" s="379">
        <f t="shared" si="171"/>
      </c>
      <c r="AA198" s="381">
        <f t="shared" si="78"/>
      </c>
      <c r="AB198" s="381"/>
      <c r="AC198" s="381"/>
      <c r="AD198" s="373">
        <f>AD188+AD193+AD197</f>
      </c>
      <c r="AE198" s="373">
        <f>AE188+AE193+AE197</f>
      </c>
      <c r="AF198" s="373">
        <f>AF188+AF193+AF197</f>
      </c>
      <c r="AG198" s="373">
        <f>AG188+AG193+AG197</f>
      </c>
      <c r="AH198" s="373">
        <f>AH188+AH193+AH197</f>
      </c>
      <c r="AI198" s="373">
        <f>AI188+AI193+AI197</f>
      </c>
      <c r="AJ198" s="373">
        <f>AJ188+AJ193+AJ197</f>
      </c>
      <c r="AK198" s="373">
        <f>AK188+AK193+AK197</f>
      </c>
      <c r="AL198" s="373">
        <f>AL188+AL193+AL197</f>
      </c>
      <c r="AM198" s="426"/>
    </row>
    <row r="199">
      <c r="A199" s="389" t="s">
        <v>189</v>
      </c>
      <c r="B199" s="389"/>
      <c r="C199" s="389"/>
      <c r="D199" s="390" t="s">
        <v>190</v>
      </c>
      <c r="E199" s="390"/>
      <c r="F199" s="390"/>
      <c r="G199" s="390"/>
      <c r="H199" s="390"/>
      <c r="I199" s="390"/>
      <c r="J199" s="390"/>
      <c r="K199" s="390"/>
      <c r="L199" s="390"/>
      <c r="M199" s="390"/>
      <c r="N199" s="390"/>
      <c r="O199" s="390"/>
      <c r="P199" s="391" t="s">
        <v>191</v>
      </c>
      <c r="Q199" s="391"/>
      <c r="R199" s="391"/>
      <c r="S199" s="391"/>
      <c r="T199" s="391"/>
      <c r="U199" s="391"/>
      <c r="V199" s="391"/>
      <c r="W199" s="391"/>
      <c r="X199" s="391"/>
      <c r="Y199" s="391"/>
      <c r="Z199" s="391"/>
      <c r="AA199" s="391"/>
      <c r="AB199" s="391"/>
      <c r="AC199" s="391"/>
      <c r="AD199" s="392" t="s">
        <v>192</v>
      </c>
      <c r="AE199" s="392"/>
      <c r="AF199" s="392"/>
      <c r="AG199" s="392"/>
      <c r="AH199" s="392"/>
      <c r="AI199" s="392"/>
      <c r="AJ199" s="392"/>
      <c r="AK199" s="392"/>
      <c r="AL199" s="392"/>
      <c r="AM199" s="393"/>
    </row>
    <row r="200">
      <c r="A200" s="287" t="s">
        <v>193</v>
      </c>
      <c r="B200" s="288" t="s">
        <v>194</v>
      </c>
      <c r="C200" s="288" t="s">
        <v>195</v>
      </c>
      <c r="D200" s="289" t="s">
        <v>196</v>
      </c>
      <c r="E200" s="290" t="s">
        <v>197</v>
      </c>
      <c r="F200" s="394" t="s">
        <v>198</v>
      </c>
      <c r="G200" s="394" t="s">
        <v>256</v>
      </c>
      <c r="H200" s="395" t="s">
        <v>260</v>
      </c>
      <c r="I200" s="429" t="s">
        <v>199</v>
      </c>
      <c r="J200" s="430" t="s">
        <v>200</v>
      </c>
      <c r="K200" s="431" t="s">
        <v>201</v>
      </c>
      <c r="L200" s="397" t="s">
        <v>202</v>
      </c>
      <c r="M200" s="397" t="s">
        <v>203</v>
      </c>
      <c r="N200" s="295" t="s">
        <v>204</v>
      </c>
      <c r="O200" s="398" t="s">
        <v>205</v>
      </c>
      <c r="P200" s="296" t="s">
        <v>206</v>
      </c>
      <c r="Q200" s="296" t="s">
        <v>207</v>
      </c>
      <c r="R200" s="296" t="s">
        <v>208</v>
      </c>
      <c r="S200" s="297" t="s">
        <v>209</v>
      </c>
      <c r="T200" s="297" t="s">
        <v>210</v>
      </c>
      <c r="U200" s="296" t="s">
        <v>211</v>
      </c>
      <c r="V200" s="297" t="s">
        <v>212</v>
      </c>
      <c r="W200" s="297" t="s">
        <v>213</v>
      </c>
      <c r="X200" s="296" t="s">
        <v>214</v>
      </c>
      <c r="Y200" s="297" t="s">
        <v>215</v>
      </c>
      <c r="Z200" s="296" t="s">
        <v>216</v>
      </c>
      <c r="AA200" s="298" t="s">
        <v>217</v>
      </c>
      <c r="AB200" s="298" t="s">
        <v>218</v>
      </c>
      <c r="AC200" s="299" t="s">
        <v>219</v>
      </c>
      <c r="AD200" s="300" t="s">
        <v>220</v>
      </c>
      <c r="AE200" s="301" t="s">
        <v>221</v>
      </c>
      <c r="AF200" s="301" t="s">
        <v>222</v>
      </c>
      <c r="AG200" s="301" t="s">
        <v>223</v>
      </c>
      <c r="AH200" s="301" t="s">
        <v>224</v>
      </c>
      <c r="AI200" s="301" t="s">
        <v>225</v>
      </c>
      <c r="AJ200" s="302" t="s">
        <v>226</v>
      </c>
      <c r="AK200" s="302" t="s">
        <v>227</v>
      </c>
      <c r="AL200" s="302" t="s">
        <v>228</v>
      </c>
      <c r="AM200" s="399"/>
    </row>
    <row r="201">
      <c r="A201" s="303" t="s">
        <v>265</v>
      </c>
      <c r="B201" s="304" t="s">
        <v>230</v>
      </c>
      <c r="C201" s="305" t="s">
        <v>240</v>
      </c>
      <c r="D201" s="401">
        <f t="shared" ref="D201:D204" si="399">E201+F201+G201+H201</f>
      </c>
      <c r="E201" s="307">
        <v>3170.94</v>
      </c>
      <c r="F201" s="307">
        <v>744.69</v>
      </c>
      <c r="G201" s="307">
        <v>0</v>
      </c>
      <c r="H201" s="307">
        <v>0</v>
      </c>
      <c r="I201" s="306">
        <v>2</v>
      </c>
      <c r="J201" s="324">
        <v>3216</v>
      </c>
      <c r="K201" s="309">
        <v>0</v>
      </c>
      <c r="L201" s="310">
        <v>1</v>
      </c>
      <c r="M201" s="310">
        <v>1</v>
      </c>
      <c r="N201" s="403">
        <f t="shared" ref="N201:N216" si="339">J201/D201</f>
      </c>
      <c r="O201" s="404">
        <f t="shared" ref="O201:O216" si="265">J201/(D201+300*AL201)</f>
      </c>
      <c r="P201" s="358">
        <f t="shared" ref="P201:P216" si="203">(D201/AE201)*1000</f>
      </c>
      <c r="Q201" s="405">
        <f t="shared" ref="Q201:Q216" si="110">AF201/AE201</f>
      </c>
      <c r="R201" s="406">
        <f t="shared" ref="R201:R216" si="48">D201/AG201</f>
      </c>
      <c r="S201" s="407">
        <f t="shared" ref="S201:S216" si="141">AH201/AG201</f>
      </c>
      <c r="T201" s="405">
        <f t="shared" ref="T201:T216" si="17">AI201/AG201</f>
      </c>
      <c r="U201" s="408">
        <f t="shared" ref="U201:U216" si="502">D201/AI201</f>
      </c>
      <c r="V201" s="405">
        <f t="shared" ref="V201:V216" si="471">AJ201/AI201</f>
      </c>
      <c r="W201" s="409">
        <f t="shared" ref="W201:W216" si="370">I201/AJ201</f>
      </c>
      <c r="X201" s="406">
        <f t="shared" ref="X201:X216" si="296">D201/I201</f>
      </c>
      <c r="Y201" s="410">
        <f t="shared" ref="Y201:Y216" si="234">J201/I201</f>
      </c>
      <c r="Z201" s="406">
        <f t="shared" ref="Z201:Z216" si="172">D201/AD201</f>
      </c>
      <c r="AA201" s="320">
        <f t="shared" ref="AA201:AA216" si="79">AK201*1000/D201</f>
      </c>
      <c r="AB201" s="321" t="s">
        <v>232</v>
      </c>
      <c r="AC201" s="411" t="s">
        <v>233</v>
      </c>
      <c r="AD201" s="334">
        <v>1</v>
      </c>
      <c r="AE201" s="334">
        <v>9899</v>
      </c>
      <c r="AF201" s="304">
        <v>387</v>
      </c>
      <c r="AG201" s="304">
        <v>571</v>
      </c>
      <c r="AH201" s="304">
        <v>79</v>
      </c>
      <c r="AI201" s="334">
        <v>22</v>
      </c>
      <c r="AJ201" s="325">
        <v>6</v>
      </c>
      <c r="AK201" s="326">
        <v>19</v>
      </c>
      <c r="AL201" s="310">
        <v>1</v>
      </c>
      <c r="AM201" s="399"/>
    </row>
    <row r="202">
      <c r="A202" s="303"/>
      <c r="B202" s="304" t="s">
        <v>234</v>
      </c>
      <c r="C202" s="305" t="s">
        <v>240</v>
      </c>
      <c r="D202" s="401">
        <f t="shared" si="399"/>
      </c>
      <c r="E202" s="307">
        <v>1398.58</v>
      </c>
      <c r="F202" s="307">
        <v>1684.64</v>
      </c>
      <c r="G202" s="307">
        <v>0</v>
      </c>
      <c r="H202" s="307">
        <v>0</v>
      </c>
      <c r="I202" s="306">
        <v>1</v>
      </c>
      <c r="J202" s="324">
        <v>2268</v>
      </c>
      <c r="K202" s="342">
        <v>0</v>
      </c>
      <c r="L202" s="342">
        <v>0</v>
      </c>
      <c r="M202" s="342">
        <v>1</v>
      </c>
      <c r="N202" s="413">
        <f t="shared" si="339"/>
      </c>
      <c r="O202" s="414">
        <f t="shared" si="265"/>
      </c>
      <c r="P202" s="358">
        <f t="shared" si="203"/>
      </c>
      <c r="Q202" s="405">
        <f t="shared" si="110"/>
      </c>
      <c r="R202" s="415">
        <f t="shared" si="48"/>
      </c>
      <c r="S202" s="407">
        <f t="shared" si="141"/>
      </c>
      <c r="T202" s="405">
        <f t="shared" si="17"/>
      </c>
      <c r="U202" s="408">
        <f t="shared" si="502"/>
      </c>
      <c r="V202" s="405">
        <f t="shared" si="471"/>
      </c>
      <c r="W202" s="409">
        <f t="shared" si="370"/>
      </c>
      <c r="X202" s="406">
        <f t="shared" si="296"/>
      </c>
      <c r="Y202" s="410">
        <f t="shared" si="234"/>
      </c>
      <c r="Z202" s="406">
        <f t="shared" si="172"/>
      </c>
      <c r="AA202" s="331">
        <f t="shared" si="79"/>
      </c>
      <c r="AB202" s="332" t="s">
        <v>232</v>
      </c>
      <c r="AC202" s="411" t="s">
        <v>233</v>
      </c>
      <c r="AD202" s="334">
        <v>0</v>
      </c>
      <c r="AE202" s="334">
        <v>6417</v>
      </c>
      <c r="AF202" s="304">
        <v>340</v>
      </c>
      <c r="AG202" s="333">
        <v>461</v>
      </c>
      <c r="AH202" s="334">
        <v>52</v>
      </c>
      <c r="AI202" s="334">
        <v>34</v>
      </c>
      <c r="AJ202" s="335">
        <v>4</v>
      </c>
      <c r="AK202" s="336">
        <v>15</v>
      </c>
      <c r="AL202" s="310">
        <v>1</v>
      </c>
      <c r="AM202" s="399"/>
    </row>
    <row r="203">
      <c r="A203" s="303"/>
      <c r="B203" s="304" t="s">
        <v>235</v>
      </c>
      <c r="C203" s="305" t="s">
        <v>240</v>
      </c>
      <c r="D203" s="401">
        <f t="shared" si="399"/>
      </c>
      <c r="E203" s="307">
        <v>2130.19</v>
      </c>
      <c r="F203" s="307">
        <v>741.43</v>
      </c>
      <c r="G203" s="307">
        <v>0</v>
      </c>
      <c r="H203" s="307">
        <v>0</v>
      </c>
      <c r="I203" s="307">
        <v>2</v>
      </c>
      <c r="J203" s="307">
        <v>3216</v>
      </c>
      <c r="K203" s="307">
        <v>0</v>
      </c>
      <c r="L203" s="307">
        <v>1</v>
      </c>
      <c r="M203" s="307">
        <v>1</v>
      </c>
      <c r="N203" s="413">
        <f t="shared" si="339"/>
      </c>
      <c r="O203" s="414">
        <f t="shared" si="265"/>
      </c>
      <c r="P203" s="358">
        <f t="shared" si="203"/>
      </c>
      <c r="Q203" s="407">
        <f t="shared" si="110"/>
      </c>
      <c r="R203" s="406">
        <f t="shared" si="48"/>
      </c>
      <c r="S203" s="409">
        <f t="shared" si="141"/>
      </c>
      <c r="T203" s="418">
        <f t="shared" si="17"/>
      </c>
      <c r="U203" s="419">
        <f t="shared" si="502"/>
      </c>
      <c r="V203" s="418">
        <f t="shared" si="471"/>
      </c>
      <c r="W203" s="405">
        <f t="shared" si="370"/>
      </c>
      <c r="X203" s="406">
        <f t="shared" si="296"/>
      </c>
      <c r="Y203" s="410">
        <f t="shared" si="234"/>
      </c>
      <c r="Z203" s="406">
        <f t="shared" si="172"/>
      </c>
      <c r="AA203" s="331">
        <f t="shared" si="79"/>
      </c>
      <c r="AB203" s="332" t="s">
        <v>232</v>
      </c>
      <c r="AC203" s="411" t="s">
        <v>233</v>
      </c>
      <c r="AD203" s="326">
        <v>0</v>
      </c>
      <c r="AE203" s="334">
        <v>4828</v>
      </c>
      <c r="AF203" s="304">
        <v>225</v>
      </c>
      <c r="AG203" s="334">
        <v>325</v>
      </c>
      <c r="AH203" s="334">
        <v>66</v>
      </c>
      <c r="AI203" s="334">
        <v>18</v>
      </c>
      <c r="AJ203" s="335">
        <v>3</v>
      </c>
      <c r="AK203" s="336">
        <v>16</v>
      </c>
      <c r="AL203" s="310">
        <v>1</v>
      </c>
      <c r="AM203" s="399"/>
    </row>
    <row r="204">
      <c r="A204" s="303"/>
      <c r="B204" s="304" t="s">
        <v>236</v>
      </c>
      <c r="C204" s="305" t="s">
        <v>240</v>
      </c>
      <c r="D204" s="401">
        <f t="shared" si="399"/>
      </c>
      <c r="E204" s="306">
        <v>2383.73</v>
      </c>
      <c r="F204" s="307">
        <v>933.71</v>
      </c>
      <c r="G204" s="307">
        <v>0</v>
      </c>
      <c r="H204" s="307">
        <v>0</v>
      </c>
      <c r="I204" s="307">
        <v>2</v>
      </c>
      <c r="J204" s="307">
        <v>4536</v>
      </c>
      <c r="K204" s="307">
        <v>0</v>
      </c>
      <c r="L204" s="307">
        <v>0</v>
      </c>
      <c r="M204" s="307">
        <v>2</v>
      </c>
      <c r="N204" s="413">
        <f t="shared" si="339"/>
      </c>
      <c r="O204" s="414">
        <f t="shared" si="265"/>
      </c>
      <c r="P204" s="358">
        <f t="shared" si="203"/>
      </c>
      <c r="Q204" s="405">
        <f t="shared" si="110"/>
      </c>
      <c r="R204" s="420">
        <f t="shared" si="48"/>
      </c>
      <c r="S204" s="405">
        <f t="shared" si="141"/>
      </c>
      <c r="T204" s="405">
        <f t="shared" si="17"/>
      </c>
      <c r="U204" s="406">
        <f t="shared" si="502"/>
      </c>
      <c r="V204" s="405">
        <f t="shared" si="471"/>
      </c>
      <c r="W204" s="405">
        <f t="shared" si="370"/>
      </c>
      <c r="X204" s="406">
        <f t="shared" si="296"/>
      </c>
      <c r="Y204" s="410">
        <f t="shared" si="234"/>
      </c>
      <c r="Z204" s="406">
        <f t="shared" si="172"/>
      </c>
      <c r="AA204" s="331">
        <f t="shared" si="79"/>
      </c>
      <c r="AB204" s="340" t="s">
        <v>232</v>
      </c>
      <c r="AC204" s="411" t="s">
        <v>233</v>
      </c>
      <c r="AD204" s="412">
        <v>2</v>
      </c>
      <c r="AE204" s="333">
        <v>5765</v>
      </c>
      <c r="AF204" s="334">
        <v>263</v>
      </c>
      <c r="AG204" s="334">
        <v>388</v>
      </c>
      <c r="AH204" s="334">
        <v>62</v>
      </c>
      <c r="AI204" s="334">
        <v>17</v>
      </c>
      <c r="AJ204" s="335">
        <v>4</v>
      </c>
      <c r="AK204" s="336">
        <v>15</v>
      </c>
      <c r="AL204" s="310">
        <v>1</v>
      </c>
      <c r="AM204" s="399"/>
    </row>
    <row r="205">
      <c r="A205" s="303"/>
      <c r="B205" s="347" t="s">
        <v>238</v>
      </c>
      <c r="C205" s="347"/>
      <c r="D205" s="348">
        <f>SUM(D201:D204)</f>
      </c>
      <c r="E205" s="348">
        <f>SUM(E201:E204)</f>
      </c>
      <c r="F205" s="348">
        <f>SUM(F201:F204)</f>
      </c>
      <c r="G205" s="348">
        <f>SUM(G201:G204)</f>
      </c>
      <c r="H205" s="348">
        <f>SUM(H201:H204)</f>
      </c>
      <c r="I205" s="348">
        <f>SUM(I201:I204)</f>
      </c>
      <c r="J205" s="348">
        <f>SUM(J201:J204)</f>
      </c>
      <c r="K205" s="348">
        <f>SUM(K201:K204)</f>
      </c>
      <c r="L205" s="348">
        <f>SUM(L201:L204)</f>
      </c>
      <c r="M205" s="348">
        <f>SUM(M201:M204)</f>
      </c>
      <c r="N205" s="421">
        <f t="shared" si="339"/>
      </c>
      <c r="O205" s="422">
        <f t="shared" si="265"/>
      </c>
      <c r="P205" s="351">
        <f t="shared" si="203"/>
      </c>
      <c r="Q205" s="352">
        <f t="shared" si="110"/>
      </c>
      <c r="R205" s="353">
        <f t="shared" si="48"/>
      </c>
      <c r="S205" s="354">
        <f t="shared" si="141"/>
      </c>
      <c r="T205" s="354">
        <f t="shared" si="17"/>
      </c>
      <c r="U205" s="353">
        <f t="shared" si="502"/>
      </c>
      <c r="V205" s="354">
        <f t="shared" si="471"/>
      </c>
      <c r="W205" s="354">
        <f t="shared" si="370"/>
      </c>
      <c r="X205" s="355">
        <f t="shared" si="296"/>
      </c>
      <c r="Y205" s="423">
        <f t="shared" si="234"/>
      </c>
      <c r="Z205" s="355">
        <f t="shared" si="172"/>
      </c>
      <c r="AA205" s="356">
        <f t="shared" si="79"/>
      </c>
      <c r="AB205" s="356"/>
      <c r="AC205" s="424"/>
      <c r="AD205" s="347">
        <f>SUM(AD201:AD204)</f>
      </c>
      <c r="AE205" s="347">
        <f>SUM(AE201:AE204)</f>
      </c>
      <c r="AF205" s="347">
        <f>SUM(AF201:AF204)</f>
      </c>
      <c r="AG205" s="347">
        <f>SUM(AG201:AG204)</f>
      </c>
      <c r="AH205" s="347">
        <f>SUM(AH201:AH204)</f>
      </c>
      <c r="AI205" s="347">
        <f>SUM(AI201:AI204)</f>
      </c>
      <c r="AJ205" s="347">
        <f>SUM(AJ201:AJ204)</f>
      </c>
      <c r="AK205" s="347">
        <f>SUM(AK201:AK204)</f>
      </c>
      <c r="AL205" s="347">
        <f>SUM(AL201:AL204)</f>
      </c>
      <c r="AM205" s="399"/>
    </row>
    <row r="206">
      <c r="A206" s="303"/>
      <c r="B206" s="304" t="s">
        <v>237</v>
      </c>
      <c r="C206" s="326" t="s">
        <v>247</v>
      </c>
      <c r="D206" s="334">
        <f t="shared" ref="D206:D209" si="400">E206+F206+G206+H206</f>
      </c>
      <c r="E206" s="334">
        <v>2548.07</v>
      </c>
      <c r="F206" s="326">
        <v>462.86</v>
      </c>
      <c r="G206" s="326">
        <v>0</v>
      </c>
      <c r="H206" s="326">
        <v>0</v>
      </c>
      <c r="I206" s="365">
        <v>2</v>
      </c>
      <c r="J206" s="369">
        <v>4536</v>
      </c>
      <c r="K206" s="310">
        <v>0</v>
      </c>
      <c r="L206" s="310">
        <v>0</v>
      </c>
      <c r="M206" s="310">
        <v>2</v>
      </c>
      <c r="N206" s="413">
        <f t="shared" si="339"/>
      </c>
      <c r="O206" s="414">
        <f t="shared" si="265"/>
      </c>
      <c r="P206" s="358">
        <f t="shared" si="203"/>
      </c>
      <c r="Q206" s="359">
        <f t="shared" si="110"/>
      </c>
      <c r="R206" s="360">
        <f t="shared" si="48"/>
      </c>
      <c r="S206" s="361">
        <f t="shared" si="141"/>
      </c>
      <c r="T206" s="361">
        <f t="shared" si="17"/>
      </c>
      <c r="U206" s="360">
        <f t="shared" si="502"/>
      </c>
      <c r="V206" s="361">
        <f t="shared" si="471"/>
      </c>
      <c r="W206" s="361">
        <f t="shared" si="370"/>
      </c>
      <c r="X206" s="362">
        <f t="shared" si="296"/>
      </c>
      <c r="Y206" s="425">
        <f t="shared" si="234"/>
      </c>
      <c r="Z206" s="362">
        <f t="shared" si="172"/>
      </c>
      <c r="AA206" s="363">
        <f t="shared" si="79"/>
      </c>
      <c r="AB206" s="364" t="s">
        <v>232</v>
      </c>
      <c r="AC206" s="411" t="s">
        <v>233</v>
      </c>
      <c r="AD206" s="402">
        <v>2</v>
      </c>
      <c r="AE206" s="365">
        <v>6380</v>
      </c>
      <c r="AF206" s="365">
        <v>241</v>
      </c>
      <c r="AG206" s="310">
        <v>349</v>
      </c>
      <c r="AH206" s="365">
        <v>78</v>
      </c>
      <c r="AI206" s="365">
        <v>20</v>
      </c>
      <c r="AJ206" s="310">
        <v>4</v>
      </c>
      <c r="AK206" s="310">
        <v>17</v>
      </c>
      <c r="AL206" s="310">
        <v>1</v>
      </c>
      <c r="AM206" s="399"/>
    </row>
    <row r="207">
      <c r="A207" s="303"/>
      <c r="B207" s="304" t="s">
        <v>239</v>
      </c>
      <c r="C207" s="326" t="s">
        <v>247</v>
      </c>
      <c r="D207" s="334">
        <f t="shared" si="400"/>
      </c>
      <c r="E207" s="334">
        <v>3209.58</v>
      </c>
      <c r="F207" s="334">
        <v>379.5</v>
      </c>
      <c r="G207" s="326">
        <v>0</v>
      </c>
      <c r="H207" s="326">
        <v>0</v>
      </c>
      <c r="I207" s="310">
        <v>4</v>
      </c>
      <c r="J207" s="310">
        <v>9072</v>
      </c>
      <c r="K207" s="310">
        <v>0</v>
      </c>
      <c r="L207" s="310">
        <v>0</v>
      </c>
      <c r="M207" s="310">
        <v>4</v>
      </c>
      <c r="N207" s="413">
        <f t="shared" si="339"/>
      </c>
      <c r="O207" s="414">
        <f t="shared" si="265"/>
      </c>
      <c r="P207" s="358">
        <f t="shared" si="203"/>
      </c>
      <c r="Q207" s="359">
        <f t="shared" si="110"/>
      </c>
      <c r="R207" s="360">
        <f t="shared" si="48"/>
      </c>
      <c r="S207" s="361">
        <f t="shared" si="141"/>
      </c>
      <c r="T207" s="361">
        <f t="shared" si="17"/>
      </c>
      <c r="U207" s="360">
        <f t="shared" si="502"/>
      </c>
      <c r="V207" s="361">
        <f t="shared" si="471"/>
      </c>
      <c r="W207" s="361">
        <f t="shared" si="370"/>
      </c>
      <c r="X207" s="362">
        <f t="shared" si="296"/>
      </c>
      <c r="Y207" s="425">
        <f t="shared" si="234"/>
      </c>
      <c r="Z207" s="362">
        <f t="shared" si="172"/>
      </c>
      <c r="AA207" s="363">
        <f t="shared" si="79"/>
      </c>
      <c r="AB207" s="364" t="s">
        <v>232</v>
      </c>
      <c r="AC207" s="411" t="s">
        <v>233</v>
      </c>
      <c r="AD207" s="402">
        <v>4</v>
      </c>
      <c r="AE207" s="365">
        <v>6704</v>
      </c>
      <c r="AF207" s="365">
        <v>254</v>
      </c>
      <c r="AG207" s="365">
        <v>366</v>
      </c>
      <c r="AH207" s="365">
        <v>75</v>
      </c>
      <c r="AI207" s="365">
        <v>24</v>
      </c>
      <c r="AJ207" s="310">
        <v>4</v>
      </c>
      <c r="AK207" s="310">
        <v>18</v>
      </c>
      <c r="AL207" s="310">
        <v>1</v>
      </c>
      <c r="AM207" s="399"/>
    </row>
    <row r="208">
      <c r="A208" s="303"/>
      <c r="B208" s="304" t="s">
        <v>241</v>
      </c>
      <c r="C208" s="326" t="s">
        <v>247</v>
      </c>
      <c r="D208" s="334">
        <f t="shared" si="400"/>
      </c>
      <c r="E208" s="334">
        <v>2664.95</v>
      </c>
      <c r="F208" s="334">
        <v>194.51</v>
      </c>
      <c r="G208" s="326">
        <v>0</v>
      </c>
      <c r="H208" s="326">
        <v>0</v>
      </c>
      <c r="I208" s="310">
        <v>1</v>
      </c>
      <c r="J208" s="310">
        <v>468</v>
      </c>
      <c r="K208" s="310">
        <v>1</v>
      </c>
      <c r="L208" s="310">
        <v>0</v>
      </c>
      <c r="M208" s="310">
        <v>0</v>
      </c>
      <c r="N208" s="413">
        <f t="shared" si="339"/>
      </c>
      <c r="O208" s="414">
        <f t="shared" si="265"/>
      </c>
      <c r="P208" s="358">
        <f t="shared" si="203"/>
      </c>
      <c r="Q208" s="359">
        <f t="shared" si="110"/>
      </c>
      <c r="R208" s="360">
        <f t="shared" si="48"/>
      </c>
      <c r="S208" s="361">
        <f t="shared" si="141"/>
      </c>
      <c r="T208" s="361">
        <f t="shared" si="17"/>
      </c>
      <c r="U208" s="360">
        <f t="shared" si="502"/>
      </c>
      <c r="V208" s="361">
        <f t="shared" si="471"/>
      </c>
      <c r="W208" s="361">
        <f t="shared" si="370"/>
      </c>
      <c r="X208" s="362">
        <f t="shared" si="296"/>
      </c>
      <c r="Y208" s="425">
        <f t="shared" si="234"/>
      </c>
      <c r="Z208" s="362">
        <f t="shared" si="172"/>
      </c>
      <c r="AA208" s="363">
        <f t="shared" si="79"/>
      </c>
      <c r="AB208" s="364" t="s">
        <v>232</v>
      </c>
      <c r="AC208" s="411" t="s">
        <v>233</v>
      </c>
      <c r="AD208" s="402">
        <v>1</v>
      </c>
      <c r="AE208" s="365">
        <v>7742</v>
      </c>
      <c r="AF208" s="365">
        <v>217</v>
      </c>
      <c r="AG208" s="365">
        <v>346</v>
      </c>
      <c r="AH208" s="365">
        <v>64</v>
      </c>
      <c r="AI208" s="365">
        <v>6</v>
      </c>
      <c r="AJ208" s="310">
        <v>2</v>
      </c>
      <c r="AK208" s="310">
        <v>19</v>
      </c>
      <c r="AL208" s="310">
        <v>1</v>
      </c>
      <c r="AM208" s="399"/>
    </row>
    <row r="209">
      <c r="A209" s="303"/>
      <c r="B209" s="304" t="s">
        <v>242</v>
      </c>
      <c r="C209" s="326" t="s">
        <v>247</v>
      </c>
      <c r="D209" s="334">
        <f t="shared" si="400"/>
      </c>
      <c r="E209" s="334">
        <v>3539.94</v>
      </c>
      <c r="F209" s="334">
        <v>460.39</v>
      </c>
      <c r="G209" s="326">
        <v>0</v>
      </c>
      <c r="H209" s="326">
        <v>0</v>
      </c>
      <c r="I209" s="310">
        <v>1</v>
      </c>
      <c r="J209" s="310">
        <v>2268</v>
      </c>
      <c r="K209" s="310">
        <v>0</v>
      </c>
      <c r="L209" s="310">
        <v>0</v>
      </c>
      <c r="M209" s="310">
        <v>1</v>
      </c>
      <c r="N209" s="413">
        <f t="shared" si="339"/>
      </c>
      <c r="O209" s="414">
        <f t="shared" si="265"/>
      </c>
      <c r="P209" s="358">
        <f t="shared" si="203"/>
      </c>
      <c r="Q209" s="359">
        <f t="shared" si="110"/>
      </c>
      <c r="R209" s="360">
        <f t="shared" si="48"/>
      </c>
      <c r="S209" s="361">
        <f t="shared" si="141"/>
      </c>
      <c r="T209" s="361">
        <f t="shared" si="17"/>
      </c>
      <c r="U209" s="360">
        <f t="shared" si="502"/>
      </c>
      <c r="V209" s="361">
        <f t="shared" si="471"/>
      </c>
      <c r="W209" s="361">
        <f t="shared" si="370"/>
      </c>
      <c r="X209" s="362">
        <f t="shared" si="296"/>
      </c>
      <c r="Y209" s="425">
        <f t="shared" si="234"/>
      </c>
      <c r="Z209" s="362">
        <f t="shared" si="172"/>
      </c>
      <c r="AA209" s="363">
        <f t="shared" si="79"/>
      </c>
      <c r="AB209" s="364" t="s">
        <v>232</v>
      </c>
      <c r="AC209" s="432" t="s">
        <v>233</v>
      </c>
      <c r="AD209" s="402">
        <v>1</v>
      </c>
      <c r="AE209" s="365">
        <v>9954</v>
      </c>
      <c r="AF209" s="365">
        <v>306</v>
      </c>
      <c r="AG209" s="365">
        <v>455</v>
      </c>
      <c r="AH209" s="365">
        <v>79</v>
      </c>
      <c r="AI209" s="365">
        <v>20</v>
      </c>
      <c r="AJ209" s="310">
        <v>1</v>
      </c>
      <c r="AK209" s="310">
        <v>12</v>
      </c>
      <c r="AL209" s="310">
        <v>1</v>
      </c>
      <c r="AM209" s="399"/>
    </row>
    <row r="210">
      <c r="A210" s="303"/>
      <c r="B210" s="347" t="s">
        <v>238</v>
      </c>
      <c r="C210" s="347"/>
      <c r="D210" s="348">
        <f>SUM(D206:D209)</f>
      </c>
      <c r="E210" s="348">
        <f>SUM(E206:E209)</f>
      </c>
      <c r="F210" s="348">
        <f>SUM(F206:F209)</f>
      </c>
      <c r="G210" s="348">
        <f>SUM(G206:G209)</f>
      </c>
      <c r="H210" s="348">
        <f>SUM(H206:H209)</f>
      </c>
      <c r="I210" s="348">
        <f>SUM(I206:I209)</f>
      </c>
      <c r="J210" s="348">
        <f>SUM(J206:J209)</f>
      </c>
      <c r="K210" s="348">
        <f>SUM(K206:K209)</f>
      </c>
      <c r="L210" s="348">
        <f>SUM(L206:L209)</f>
      </c>
      <c r="M210" s="348">
        <f>SUM(M206:M209)</f>
      </c>
      <c r="N210" s="421">
        <f t="shared" si="339"/>
      </c>
      <c r="O210" s="422">
        <f t="shared" si="265"/>
      </c>
      <c r="P210" s="370">
        <f t="shared" si="203"/>
      </c>
      <c r="Q210" s="352">
        <f t="shared" si="110"/>
      </c>
      <c r="R210" s="353">
        <f t="shared" si="48"/>
      </c>
      <c r="S210" s="354">
        <f t="shared" si="141"/>
      </c>
      <c r="T210" s="354">
        <f t="shared" si="17"/>
      </c>
      <c r="U210" s="353">
        <f t="shared" si="502"/>
      </c>
      <c r="V210" s="354">
        <f t="shared" si="471"/>
      </c>
      <c r="W210" s="354">
        <f t="shared" si="370"/>
      </c>
      <c r="X210" s="355">
        <f t="shared" si="296"/>
      </c>
      <c r="Y210" s="423">
        <f t="shared" si="234"/>
      </c>
      <c r="Z210" s="355">
        <f t="shared" si="172"/>
      </c>
      <c r="AA210" s="356">
        <f t="shared" si="79"/>
      </c>
      <c r="AB210" s="356"/>
      <c r="AC210" s="424"/>
      <c r="AD210" s="347">
        <f>SUM(AD206:AD209)</f>
      </c>
      <c r="AE210" s="347">
        <f>SUM(AE206:AE209)</f>
      </c>
      <c r="AF210" s="347">
        <f>SUM(AF206:AF209)</f>
      </c>
      <c r="AG210" s="347">
        <f>SUM(AG206:AG209)</f>
      </c>
      <c r="AH210" s="347">
        <f>SUM(AH206:AH209)</f>
      </c>
      <c r="AI210" s="347">
        <f>SUM(AI206:AI209)</f>
      </c>
      <c r="AJ210" s="347">
        <f>SUM(AJ206:AJ209)</f>
      </c>
      <c r="AK210" s="347">
        <f>SUM(AK206:AK209)</f>
      </c>
      <c r="AL210" s="347">
        <f>SUM(AL206:AL209)</f>
      </c>
      <c r="AM210" s="399"/>
    </row>
    <row customHeight="true" ht="18.452380952380953" r="211">
      <c r="A211" s="303"/>
      <c r="B211" s="304" t="s">
        <v>243</v>
      </c>
      <c r="C211" s="326" t="s">
        <v>231</v>
      </c>
      <c r="D211" s="334">
        <f t="shared" ref="D211:D214" si="401">E211+F211+G211+H211</f>
      </c>
      <c r="E211" s="334">
        <v>2384.02</v>
      </c>
      <c r="F211" s="334">
        <v>544.02</v>
      </c>
      <c r="G211" s="326">
        <v>0</v>
      </c>
      <c r="H211" s="326">
        <v>0</v>
      </c>
      <c r="I211" s="310">
        <v>1</v>
      </c>
      <c r="J211" s="345">
        <v>468</v>
      </c>
      <c r="K211" s="303">
        <v>1</v>
      </c>
      <c r="L211" s="303">
        <v>0</v>
      </c>
      <c r="M211" s="305">
        <v>0</v>
      </c>
      <c r="N211" s="413">
        <f t="shared" si="339"/>
      </c>
      <c r="O211" s="414">
        <f t="shared" si="265"/>
      </c>
      <c r="P211" s="368">
        <f t="shared" si="203"/>
      </c>
      <c r="Q211" s="359">
        <f t="shared" si="110"/>
      </c>
      <c r="R211" s="360">
        <f t="shared" si="48"/>
      </c>
      <c r="S211" s="361">
        <f t="shared" si="141"/>
      </c>
      <c r="T211" s="361">
        <f t="shared" si="17"/>
      </c>
      <c r="U211" s="360">
        <f t="shared" si="502"/>
      </c>
      <c r="V211" s="361">
        <f t="shared" si="471"/>
      </c>
      <c r="W211" s="361">
        <f t="shared" si="370"/>
      </c>
      <c r="X211" s="362">
        <f t="shared" si="296"/>
      </c>
      <c r="Y211" s="425">
        <f t="shared" si="234"/>
      </c>
      <c r="Z211" s="362">
        <f t="shared" si="172"/>
      </c>
      <c r="AA211" s="363">
        <f t="shared" si="79"/>
      </c>
      <c r="AB211" s="364" t="s">
        <v>232</v>
      </c>
      <c r="AC211" s="411" t="s">
        <v>262</v>
      </c>
      <c r="AD211" s="402">
        <v>0</v>
      </c>
      <c r="AE211" s="365">
        <v>9298</v>
      </c>
      <c r="AF211" s="365">
        <v>280</v>
      </c>
      <c r="AG211" s="365">
        <v>381</v>
      </c>
      <c r="AH211" s="365">
        <v>76</v>
      </c>
      <c r="AI211" s="365">
        <v>9</v>
      </c>
      <c r="AJ211" s="310">
        <v>5</v>
      </c>
      <c r="AK211" s="310">
        <v>16</v>
      </c>
      <c r="AL211" s="310">
        <v>1</v>
      </c>
      <c r="AM211" s="399"/>
    </row>
    <row r="212">
      <c r="A212" s="303"/>
      <c r="B212" s="304" t="s">
        <v>245</v>
      </c>
      <c r="C212" s="326" t="s">
        <v>231</v>
      </c>
      <c r="D212" s="334">
        <f t="shared" si="401"/>
      </c>
      <c r="E212" s="334">
        <v>1848.79</v>
      </c>
      <c r="F212" s="334">
        <v>699.68</v>
      </c>
      <c r="G212" s="326">
        <v>0</v>
      </c>
      <c r="H212" s="326">
        <v>0</v>
      </c>
      <c r="I212" s="310">
        <v>2</v>
      </c>
      <c r="J212" s="345">
        <v>4536</v>
      </c>
      <c r="K212" s="303">
        <v>0</v>
      </c>
      <c r="L212" s="303">
        <v>0</v>
      </c>
      <c r="M212" s="305">
        <v>2</v>
      </c>
      <c r="N212" s="413">
        <f t="shared" si="339"/>
      </c>
      <c r="O212" s="414">
        <f t="shared" si="265"/>
      </c>
      <c r="P212" s="368">
        <f t="shared" si="203"/>
      </c>
      <c r="Q212" s="359">
        <f t="shared" si="110"/>
      </c>
      <c r="R212" s="360">
        <f t="shared" si="48"/>
      </c>
      <c r="S212" s="361">
        <f t="shared" si="141"/>
      </c>
      <c r="T212" s="361">
        <f t="shared" si="17"/>
      </c>
      <c r="U212" s="360">
        <f t="shared" si="502"/>
      </c>
      <c r="V212" s="361">
        <f t="shared" si="471"/>
      </c>
      <c r="W212" s="361">
        <f t="shared" si="370"/>
      </c>
      <c r="X212" s="362">
        <f t="shared" si="296"/>
      </c>
      <c r="Y212" s="425">
        <f t="shared" si="234"/>
      </c>
      <c r="Z212" s="362">
        <f t="shared" si="172"/>
      </c>
      <c r="AA212" s="363">
        <f t="shared" si="79"/>
      </c>
      <c r="AB212" s="364" t="s">
        <v>232</v>
      </c>
      <c r="AC212" s="411" t="s">
        <v>262</v>
      </c>
      <c r="AD212" s="402">
        <v>2</v>
      </c>
      <c r="AE212" s="365">
        <v>6064</v>
      </c>
      <c r="AF212" s="365">
        <v>225</v>
      </c>
      <c r="AG212" s="365">
        <v>340</v>
      </c>
      <c r="AH212" s="365">
        <v>58</v>
      </c>
      <c r="AI212" s="365">
        <v>22</v>
      </c>
      <c r="AJ212" s="310">
        <v>3</v>
      </c>
      <c r="AK212" s="310">
        <v>14</v>
      </c>
      <c r="AL212" s="310">
        <v>1</v>
      </c>
      <c r="AM212" s="399"/>
    </row>
    <row r="213">
      <c r="A213" s="303"/>
      <c r="B213" s="304" t="s">
        <v>246</v>
      </c>
      <c r="C213" s="326" t="s">
        <v>231</v>
      </c>
      <c r="D213" s="334">
        <f t="shared" si="401"/>
      </c>
      <c r="E213" s="326">
        <v>1801.97</v>
      </c>
      <c r="F213" s="326">
        <v>507.78</v>
      </c>
      <c r="G213" s="326">
        <v>0</v>
      </c>
      <c r="H213" s="326">
        <v>0</v>
      </c>
      <c r="I213" s="365">
        <v>2</v>
      </c>
      <c r="J213" s="369">
        <v>3137</v>
      </c>
      <c r="K213" s="303">
        <v>0</v>
      </c>
      <c r="L213" s="303">
        <v>1</v>
      </c>
      <c r="M213" s="305">
        <v>1</v>
      </c>
      <c r="N213" s="413">
        <f t="shared" si="339"/>
      </c>
      <c r="O213" s="414">
        <f t="shared" si="265"/>
      </c>
      <c r="P213" s="368">
        <f t="shared" si="203"/>
      </c>
      <c r="Q213" s="359">
        <f t="shared" si="110"/>
      </c>
      <c r="R213" s="360">
        <f t="shared" si="48"/>
      </c>
      <c r="S213" s="361">
        <f t="shared" si="141"/>
      </c>
      <c r="T213" s="361">
        <f t="shared" si="17"/>
      </c>
      <c r="U213" s="360">
        <f t="shared" si="502"/>
      </c>
      <c r="V213" s="361">
        <f t="shared" si="471"/>
      </c>
      <c r="W213" s="361">
        <f t="shared" si="370"/>
      </c>
      <c r="X213" s="362">
        <f t="shared" si="296"/>
      </c>
      <c r="Y213" s="425">
        <f t="shared" si="234"/>
      </c>
      <c r="Z213" s="362">
        <f t="shared" si="172"/>
      </c>
      <c r="AA213" s="363">
        <f t="shared" si="79"/>
      </c>
      <c r="AB213" s="364" t="s">
        <v>232</v>
      </c>
      <c r="AC213" s="411" t="s">
        <v>262</v>
      </c>
      <c r="AD213" s="402">
        <v>2</v>
      </c>
      <c r="AE213" s="365">
        <v>7027</v>
      </c>
      <c r="AF213" s="365">
        <v>224</v>
      </c>
      <c r="AG213" s="365">
        <v>339</v>
      </c>
      <c r="AH213" s="365">
        <v>61</v>
      </c>
      <c r="AI213" s="365">
        <v>8</v>
      </c>
      <c r="AJ213" s="310">
        <v>6</v>
      </c>
      <c r="AK213" s="310">
        <v>17</v>
      </c>
      <c r="AL213" s="310">
        <v>1</v>
      </c>
      <c r="AM213" s="399"/>
    </row>
    <row r="214">
      <c r="A214" s="303"/>
      <c r="B214" s="304" t="s">
        <v>248</v>
      </c>
      <c r="C214" s="326" t="s">
        <v>231</v>
      </c>
      <c r="D214" s="334">
        <f t="shared" si="401"/>
      </c>
      <c r="E214" s="326">
        <v>1656.69</v>
      </c>
      <c r="F214" s="326">
        <v>710.85</v>
      </c>
      <c r="G214" s="326">
        <v>0</v>
      </c>
      <c r="H214" s="326">
        <v>0</v>
      </c>
      <c r="I214" s="310">
        <v>2</v>
      </c>
      <c r="J214" s="345">
        <v>4536</v>
      </c>
      <c r="K214" s="326">
        <v>0</v>
      </c>
      <c r="L214" s="326">
        <v>0</v>
      </c>
      <c r="M214" s="326">
        <v>2</v>
      </c>
      <c r="N214" s="413">
        <f t="shared" si="339"/>
      </c>
      <c r="O214" s="414">
        <f t="shared" si="265"/>
      </c>
      <c r="P214" s="358">
        <f t="shared" si="203"/>
      </c>
      <c r="Q214" s="359">
        <f t="shared" si="110"/>
      </c>
      <c r="R214" s="360">
        <f t="shared" si="48"/>
      </c>
      <c r="S214" s="361">
        <f t="shared" si="141"/>
      </c>
      <c r="T214" s="361">
        <f t="shared" si="17"/>
      </c>
      <c r="U214" s="360">
        <f t="shared" si="502"/>
      </c>
      <c r="V214" s="361">
        <f t="shared" si="471"/>
      </c>
      <c r="W214" s="361">
        <f t="shared" si="370"/>
      </c>
      <c r="X214" s="362">
        <f t="shared" si="296"/>
      </c>
      <c r="Y214" s="425">
        <f t="shared" si="234"/>
      </c>
      <c r="Z214" s="362">
        <f t="shared" si="172"/>
      </c>
      <c r="AA214" s="363">
        <f t="shared" si="79"/>
      </c>
      <c r="AB214" s="364" t="s">
        <v>232</v>
      </c>
      <c r="AC214" s="411" t="s">
        <v>262</v>
      </c>
      <c r="AD214" s="402">
        <v>2</v>
      </c>
      <c r="AE214" s="365">
        <v>7554</v>
      </c>
      <c r="AF214" s="365">
        <v>276</v>
      </c>
      <c r="AG214" s="365">
        <v>394</v>
      </c>
      <c r="AH214" s="365">
        <v>65</v>
      </c>
      <c r="AI214" s="365">
        <v>11</v>
      </c>
      <c r="AJ214" s="310">
        <v>7</v>
      </c>
      <c r="AK214" s="310">
        <v>16</v>
      </c>
      <c r="AL214" s="310">
        <v>1</v>
      </c>
      <c r="AM214" s="399"/>
    </row>
    <row r="215">
      <c r="A215" s="303"/>
      <c r="B215" s="347" t="s">
        <v>238</v>
      </c>
      <c r="C215" s="347"/>
      <c r="D215" s="348">
        <f>SUM(D211:D214)</f>
      </c>
      <c r="E215" s="348">
        <f>SUM(E211:E214)</f>
      </c>
      <c r="F215" s="348">
        <f>SUM(F211:F214)</f>
      </c>
      <c r="G215" s="348">
        <f>SUM(G211:G214)</f>
      </c>
      <c r="H215" s="348">
        <f>SUM(H211:H214)</f>
      </c>
      <c r="I215" s="348">
        <f>SUM(I211:I214)</f>
      </c>
      <c r="J215" s="348">
        <f>SUM(J211:J214)</f>
      </c>
      <c r="K215" s="348">
        <f>SUM(K211:K214)</f>
      </c>
      <c r="L215" s="348">
        <f>SUM(L211:L214)</f>
      </c>
      <c r="M215" s="348">
        <f>SUM(M211:M214)</f>
      </c>
      <c r="N215" s="421">
        <f t="shared" si="339"/>
      </c>
      <c r="O215" s="422">
        <f t="shared" si="265"/>
      </c>
      <c r="P215" s="370">
        <f t="shared" si="203"/>
      </c>
      <c r="Q215" s="352">
        <f t="shared" si="110"/>
      </c>
      <c r="R215" s="353">
        <f t="shared" si="48"/>
      </c>
      <c r="S215" s="354">
        <f t="shared" si="141"/>
      </c>
      <c r="T215" s="354">
        <f t="shared" si="17"/>
      </c>
      <c r="U215" s="353">
        <f t="shared" si="502"/>
      </c>
      <c r="V215" s="354">
        <f t="shared" si="471"/>
      </c>
      <c r="W215" s="354">
        <f t="shared" si="370"/>
      </c>
      <c r="X215" s="355">
        <f t="shared" si="296"/>
      </c>
      <c r="Y215" s="423">
        <f t="shared" si="234"/>
      </c>
      <c r="Z215" s="355">
        <f t="shared" si="172"/>
      </c>
      <c r="AA215" s="356">
        <f t="shared" si="79"/>
      </c>
      <c r="AB215" s="356"/>
      <c r="AC215" s="356"/>
      <c r="AD215" s="348">
        <f>SUM(AD211:AD214)</f>
      </c>
      <c r="AE215" s="348">
        <f>SUM(AE211:AE214)</f>
      </c>
      <c r="AF215" s="348">
        <f>SUM(AF211:AF214)</f>
      </c>
      <c r="AG215" s="348">
        <f>SUM(AG211:AG214)</f>
      </c>
      <c r="AH215" s="348">
        <f>SUM(AH211:AH214)</f>
      </c>
      <c r="AI215" s="348">
        <f>SUM(AI211:AI214)</f>
      </c>
      <c r="AJ215" s="348">
        <f>SUM(AJ211:AJ214)</f>
      </c>
      <c r="AK215" s="348">
        <f>SUM(AK211:AK214)</f>
      </c>
      <c r="AL215" s="348">
        <f>SUM(AL211:AL214)</f>
      </c>
      <c r="AM215" s="426" t="s">
        <v>249</v>
      </c>
    </row>
    <row r="216">
      <c r="A216" s="303"/>
      <c r="B216" s="373" t="s">
        <v>250</v>
      </c>
      <c r="C216" s="373"/>
      <c r="D216" s="373">
        <f>D205+D210+D215</f>
      </c>
      <c r="E216" s="373">
        <f>E205+E210+E215</f>
      </c>
      <c r="F216" s="373">
        <f>F205+F210+F215</f>
      </c>
      <c r="G216" s="373">
        <f>G205+G210+G215</f>
      </c>
      <c r="H216" s="373">
        <f>H205+H210+H215</f>
      </c>
      <c r="I216" s="373">
        <f>I205+I210+I215</f>
      </c>
      <c r="J216" s="374">
        <f>J205+J210+J215</f>
      </c>
      <c r="K216" s="374">
        <f>K205+K210+K215</f>
      </c>
      <c r="L216" s="374">
        <f>L205+L210+L215</f>
      </c>
      <c r="M216" s="374">
        <f>M205+M210+M215</f>
      </c>
      <c r="N216" s="427">
        <f t="shared" si="339"/>
      </c>
      <c r="O216" s="427">
        <f t="shared" si="265"/>
      </c>
      <c r="P216" s="377">
        <f t="shared" si="203"/>
      </c>
      <c r="Q216" s="378">
        <f t="shared" si="110"/>
      </c>
      <c r="R216" s="379">
        <f t="shared" si="48"/>
      </c>
      <c r="S216" s="380">
        <f t="shared" si="141"/>
      </c>
      <c r="T216" s="380">
        <f t="shared" si="17"/>
      </c>
      <c r="U216" s="379">
        <f t="shared" si="502"/>
      </c>
      <c r="V216" s="380">
        <f t="shared" si="471"/>
      </c>
      <c r="W216" s="380">
        <f t="shared" si="370"/>
      </c>
      <c r="X216" s="379">
        <f t="shared" si="296"/>
      </c>
      <c r="Y216" s="428">
        <f t="shared" si="234"/>
      </c>
      <c r="Z216" s="379">
        <f t="shared" si="172"/>
      </c>
      <c r="AA216" s="381">
        <f t="shared" si="79"/>
      </c>
      <c r="AB216" s="381"/>
      <c r="AC216" s="381"/>
      <c r="AD216" s="373">
        <f>AD205+AD210+AD215</f>
      </c>
      <c r="AE216" s="373">
        <f>AE205+AE210+AE215</f>
      </c>
      <c r="AF216" s="373">
        <f>AF205+AF210+AF215</f>
      </c>
      <c r="AG216" s="373">
        <f>AG205+AG210+AG215</f>
      </c>
      <c r="AH216" s="373">
        <f>AH205+AH210+AH215</f>
      </c>
      <c r="AI216" s="373">
        <f>AI205+AI210+AI215</f>
      </c>
      <c r="AJ216" s="373">
        <f>AJ205+AJ210+AJ215</f>
      </c>
      <c r="AK216" s="373">
        <f>AK205+AK210+AK215</f>
      </c>
      <c r="AL216" s="373">
        <f>AL205+AL210+AL215</f>
      </c>
      <c r="AM216" s="426"/>
    </row>
    <row r="217">
      <c r="A217" s="389" t="s">
        <v>189</v>
      </c>
      <c r="B217" s="389"/>
      <c r="C217" s="389"/>
      <c r="D217" s="390" t="s">
        <v>190</v>
      </c>
      <c r="E217" s="390"/>
      <c r="F217" s="390"/>
      <c r="G217" s="390"/>
      <c r="H217" s="390"/>
      <c r="I217" s="390"/>
      <c r="J217" s="390"/>
      <c r="K217" s="390"/>
      <c r="L217" s="390"/>
      <c r="M217" s="390"/>
      <c r="N217" s="390"/>
      <c r="O217" s="390"/>
      <c r="P217" s="391" t="s">
        <v>191</v>
      </c>
      <c r="Q217" s="391"/>
      <c r="R217" s="391"/>
      <c r="S217" s="391"/>
      <c r="T217" s="391"/>
      <c r="U217" s="391"/>
      <c r="V217" s="391"/>
      <c r="W217" s="391"/>
      <c r="X217" s="391"/>
      <c r="Y217" s="391"/>
      <c r="Z217" s="391"/>
      <c r="AA217" s="391"/>
      <c r="AB217" s="391"/>
      <c r="AC217" s="391"/>
      <c r="AD217" s="392" t="s">
        <v>192</v>
      </c>
      <c r="AE217" s="392"/>
      <c r="AF217" s="392"/>
      <c r="AG217" s="392"/>
      <c r="AH217" s="392"/>
      <c r="AI217" s="392"/>
      <c r="AJ217" s="392"/>
      <c r="AK217" s="392"/>
      <c r="AL217" s="392"/>
      <c r="AM217" s="393"/>
    </row>
    <row r="218">
      <c r="A218" s="287" t="s">
        <v>193</v>
      </c>
      <c r="B218" s="288" t="s">
        <v>194</v>
      </c>
      <c r="C218" s="288" t="s">
        <v>195</v>
      </c>
      <c r="D218" s="289" t="s">
        <v>196</v>
      </c>
      <c r="E218" s="290" t="s">
        <v>197</v>
      </c>
      <c r="F218" s="394" t="s">
        <v>198</v>
      </c>
      <c r="G218" s="394" t="s">
        <v>256</v>
      </c>
      <c r="H218" s="395" t="s">
        <v>260</v>
      </c>
      <c r="I218" s="429" t="s">
        <v>199</v>
      </c>
      <c r="J218" s="430" t="s">
        <v>200</v>
      </c>
      <c r="K218" s="431" t="s">
        <v>201</v>
      </c>
      <c r="L218" s="397" t="s">
        <v>202</v>
      </c>
      <c r="M218" s="397" t="s">
        <v>203</v>
      </c>
      <c r="N218" s="295" t="s">
        <v>204</v>
      </c>
      <c r="O218" s="398" t="s">
        <v>205</v>
      </c>
      <c r="P218" s="296" t="s">
        <v>206</v>
      </c>
      <c r="Q218" s="296" t="s">
        <v>207</v>
      </c>
      <c r="R218" s="296" t="s">
        <v>208</v>
      </c>
      <c r="S218" s="297" t="s">
        <v>209</v>
      </c>
      <c r="T218" s="297" t="s">
        <v>210</v>
      </c>
      <c r="U218" s="296" t="s">
        <v>211</v>
      </c>
      <c r="V218" s="297" t="s">
        <v>212</v>
      </c>
      <c r="W218" s="297" t="s">
        <v>213</v>
      </c>
      <c r="X218" s="296" t="s">
        <v>214</v>
      </c>
      <c r="Y218" s="297" t="s">
        <v>215</v>
      </c>
      <c r="Z218" s="296" t="s">
        <v>216</v>
      </c>
      <c r="AA218" s="298" t="s">
        <v>217</v>
      </c>
      <c r="AB218" s="298" t="s">
        <v>218</v>
      </c>
      <c r="AC218" s="299" t="s">
        <v>219</v>
      </c>
      <c r="AD218" s="300" t="s">
        <v>220</v>
      </c>
      <c r="AE218" s="301" t="s">
        <v>221</v>
      </c>
      <c r="AF218" s="301" t="s">
        <v>222</v>
      </c>
      <c r="AG218" s="301" t="s">
        <v>223</v>
      </c>
      <c r="AH218" s="301" t="s">
        <v>224</v>
      </c>
      <c r="AI218" s="301" t="s">
        <v>225</v>
      </c>
      <c r="AJ218" s="302" t="s">
        <v>226</v>
      </c>
      <c r="AK218" s="302" t="s">
        <v>227</v>
      </c>
      <c r="AL218" s="302" t="s">
        <v>228</v>
      </c>
      <c r="AM218" s="399"/>
    </row>
    <row r="219">
      <c r="A219" s="303" t="s">
        <v>266</v>
      </c>
      <c r="B219" s="304" t="s">
        <v>230</v>
      </c>
      <c r="C219" s="305" t="s">
        <v>240</v>
      </c>
      <c r="D219" s="401">
        <f t="shared" ref="D219:D222" si="402">E219+F219+G219+H219</f>
      </c>
      <c r="E219" s="307">
        <v>3546.96</v>
      </c>
      <c r="F219" s="307">
        <v>471.76</v>
      </c>
      <c r="G219" s="307">
        <v>0</v>
      </c>
      <c r="H219" s="307">
        <v>0</v>
      </c>
      <c r="I219" s="306">
        <v>3</v>
      </c>
      <c r="J219" s="324">
        <v>6804</v>
      </c>
      <c r="K219" s="309">
        <v>0</v>
      </c>
      <c r="L219" s="310">
        <v>0</v>
      </c>
      <c r="M219" s="310">
        <v>3</v>
      </c>
      <c r="N219" s="403">
        <f t="shared" ref="N219:N234" si="340">J219/D219</f>
      </c>
      <c r="O219" s="404">
        <f t="shared" ref="O219:O234" si="266">J219/(D219+300*AL219)</f>
      </c>
      <c r="P219" s="358">
        <f t="shared" ref="P219:P234" si="204">(D219/AE219)*1000</f>
      </c>
      <c r="Q219" s="405">
        <f t="shared" ref="Q219:Q234" si="111">AF219/AE219</f>
      </c>
      <c r="R219" s="406">
        <f t="shared" ref="R219:R234" si="49">D219/AG219</f>
      </c>
      <c r="S219" s="407">
        <f t="shared" ref="S219:S234" si="142">AH219/AG219</f>
      </c>
      <c r="T219" s="405">
        <f t="shared" ref="T219:T234" si="18">AI219/AG219</f>
      </c>
      <c r="U219" s="408">
        <f t="shared" ref="U219:U234" si="503">D219/AI219</f>
      </c>
      <c r="V219" s="405">
        <f t="shared" ref="V219:V234" si="472">AJ219/AI219</f>
      </c>
      <c r="W219" s="409">
        <f t="shared" ref="W219:W234" si="371">I219/AJ219</f>
      </c>
      <c r="X219" s="406">
        <f t="shared" ref="X219:X234" si="297">D219/I219</f>
      </c>
      <c r="Y219" s="410">
        <f t="shared" ref="Y219:Y234" si="235">J219/I219</f>
      </c>
      <c r="Z219" s="406">
        <f t="shared" ref="Z219:Z234" si="173">D219/AD219</f>
      </c>
      <c r="AA219" s="320">
        <f t="shared" ref="AA219:AA234" si="80">AK219*1000/D219</f>
      </c>
      <c r="AB219" s="321" t="s">
        <v>232</v>
      </c>
      <c r="AC219" s="411" t="s">
        <v>233</v>
      </c>
      <c r="AD219" s="334">
        <v>3</v>
      </c>
      <c r="AE219" s="334">
        <v>12723</v>
      </c>
      <c r="AF219" s="304">
        <v>394</v>
      </c>
      <c r="AG219" s="304">
        <v>566</v>
      </c>
      <c r="AH219" s="304">
        <v>106</v>
      </c>
      <c r="AI219" s="334">
        <v>29</v>
      </c>
      <c r="AJ219" s="325">
        <v>8</v>
      </c>
      <c r="AK219" s="326">
        <v>25</v>
      </c>
      <c r="AL219" s="310">
        <v>1</v>
      </c>
      <c r="AM219" s="399"/>
    </row>
    <row r="220">
      <c r="A220" s="303"/>
      <c r="B220" s="304" t="s">
        <v>234</v>
      </c>
      <c r="C220" s="305" t="s">
        <v>240</v>
      </c>
      <c r="D220" s="401">
        <f t="shared" si="402"/>
      </c>
      <c r="E220" s="307">
        <v>2922.7</v>
      </c>
      <c r="F220" s="307">
        <v>501.7</v>
      </c>
      <c r="G220" s="307">
        <v>0</v>
      </c>
      <c r="H220" s="307">
        <v>0</v>
      </c>
      <c r="I220" s="306">
        <v>4</v>
      </c>
      <c r="J220" s="324">
        <v>5112</v>
      </c>
      <c r="K220" s="342">
        <v>0</v>
      </c>
      <c r="L220" s="342">
        <v>3</v>
      </c>
      <c r="M220" s="342">
        <v>1</v>
      </c>
      <c r="N220" s="413">
        <f t="shared" si="340"/>
      </c>
      <c r="O220" s="414">
        <f t="shared" si="266"/>
      </c>
      <c r="P220" s="358">
        <f t="shared" si="204"/>
      </c>
      <c r="Q220" s="405">
        <f t="shared" si="111"/>
      </c>
      <c r="R220" s="415">
        <f t="shared" si="49"/>
      </c>
      <c r="S220" s="407">
        <f t="shared" si="142"/>
      </c>
      <c r="T220" s="405">
        <f t="shared" si="18"/>
      </c>
      <c r="U220" s="408">
        <f t="shared" si="503"/>
      </c>
      <c r="V220" s="405">
        <f t="shared" si="472"/>
      </c>
      <c r="W220" s="409">
        <f t="shared" si="371"/>
      </c>
      <c r="X220" s="406">
        <f t="shared" si="297"/>
      </c>
      <c r="Y220" s="410">
        <f t="shared" si="235"/>
      </c>
      <c r="Z220" s="406">
        <f t="shared" si="173"/>
      </c>
      <c r="AA220" s="331">
        <f t="shared" si="80"/>
      </c>
      <c r="AB220" s="332" t="s">
        <v>232</v>
      </c>
      <c r="AC220" s="411" t="s">
        <v>233</v>
      </c>
      <c r="AD220" s="334">
        <v>3</v>
      </c>
      <c r="AE220" s="334">
        <v>9465</v>
      </c>
      <c r="AF220" s="304">
        <v>314</v>
      </c>
      <c r="AG220" s="333">
        <v>420</v>
      </c>
      <c r="AH220" s="334">
        <v>73</v>
      </c>
      <c r="AI220" s="334">
        <v>22</v>
      </c>
      <c r="AJ220" s="335">
        <v>7</v>
      </c>
      <c r="AK220" s="336">
        <v>6</v>
      </c>
      <c r="AL220" s="310">
        <v>1</v>
      </c>
      <c r="AM220" s="399"/>
    </row>
    <row r="221">
      <c r="A221" s="303"/>
      <c r="B221" s="304" t="s">
        <v>235</v>
      </c>
      <c r="C221" s="305" t="s">
        <v>240</v>
      </c>
      <c r="D221" s="401">
        <f t="shared" si="402"/>
      </c>
      <c r="E221" s="307">
        <v>3715.61</v>
      </c>
      <c r="F221" s="307">
        <v>648.81</v>
      </c>
      <c r="G221" s="307">
        <v>0</v>
      </c>
      <c r="H221" s="307">
        <v>0</v>
      </c>
      <c r="I221" s="307">
        <v>1</v>
      </c>
      <c r="J221" s="307">
        <v>2268</v>
      </c>
      <c r="K221" s="307">
        <v>0</v>
      </c>
      <c r="L221" s="307">
        <v>0</v>
      </c>
      <c r="M221" s="307">
        <v>1</v>
      </c>
      <c r="N221" s="413">
        <f t="shared" si="340"/>
      </c>
      <c r="O221" s="414">
        <f t="shared" si="266"/>
      </c>
      <c r="P221" s="358">
        <f t="shared" si="204"/>
      </c>
      <c r="Q221" s="407">
        <f t="shared" si="111"/>
      </c>
      <c r="R221" s="406">
        <f t="shared" si="49"/>
      </c>
      <c r="S221" s="409">
        <f t="shared" si="142"/>
      </c>
      <c r="T221" s="418">
        <f t="shared" si="18"/>
      </c>
      <c r="U221" s="419">
        <f t="shared" si="503"/>
      </c>
      <c r="V221" s="418">
        <f t="shared" si="472"/>
      </c>
      <c r="W221" s="405">
        <f t="shared" si="371"/>
      </c>
      <c r="X221" s="406">
        <f t="shared" si="297"/>
      </c>
      <c r="Y221" s="410">
        <f t="shared" si="235"/>
      </c>
      <c r="Z221" s="406">
        <f t="shared" si="173"/>
      </c>
      <c r="AA221" s="331">
        <f t="shared" si="80"/>
      </c>
      <c r="AB221" s="332" t="s">
        <v>232</v>
      </c>
      <c r="AC221" s="411" t="s">
        <v>233</v>
      </c>
      <c r="AD221" s="326">
        <v>2</v>
      </c>
      <c r="AE221" s="334">
        <v>12093</v>
      </c>
      <c r="AF221" s="304">
        <v>341</v>
      </c>
      <c r="AG221" s="334">
        <v>464</v>
      </c>
      <c r="AH221" s="334">
        <v>73</v>
      </c>
      <c r="AI221" s="334">
        <v>28</v>
      </c>
      <c r="AJ221" s="335">
        <v>3</v>
      </c>
      <c r="AK221" s="336">
        <v>18</v>
      </c>
      <c r="AL221" s="310">
        <v>1</v>
      </c>
      <c r="AM221" s="399"/>
    </row>
    <row r="222">
      <c r="A222" s="303"/>
      <c r="B222" s="304" t="s">
        <v>236</v>
      </c>
      <c r="C222" s="305" t="s">
        <v>240</v>
      </c>
      <c r="D222" s="401">
        <f t="shared" si="402"/>
      </c>
      <c r="E222" s="306">
        <v>4081.38</v>
      </c>
      <c r="F222" s="307">
        <v>645.56</v>
      </c>
      <c r="G222" s="307">
        <v>0</v>
      </c>
      <c r="H222" s="307">
        <v>0</v>
      </c>
      <c r="I222" s="307">
        <v>3</v>
      </c>
      <c r="J222" s="307">
        <v>6804</v>
      </c>
      <c r="K222" s="307">
        <v>0</v>
      </c>
      <c r="L222" s="307">
        <v>0</v>
      </c>
      <c r="M222" s="307">
        <v>3</v>
      </c>
      <c r="N222" s="413">
        <f t="shared" si="340"/>
      </c>
      <c r="O222" s="414">
        <f t="shared" si="266"/>
      </c>
      <c r="P222" s="358">
        <f t="shared" si="204"/>
      </c>
      <c r="Q222" s="405">
        <f t="shared" si="111"/>
      </c>
      <c r="R222" s="420">
        <f t="shared" si="49"/>
      </c>
      <c r="S222" s="405">
        <f t="shared" si="142"/>
      </c>
      <c r="T222" s="405">
        <f t="shared" si="18"/>
      </c>
      <c r="U222" s="406">
        <f t="shared" si="503"/>
      </c>
      <c r="V222" s="405">
        <f t="shared" si="472"/>
      </c>
      <c r="W222" s="405">
        <f t="shared" si="371"/>
      </c>
      <c r="X222" s="406">
        <f t="shared" si="297"/>
      </c>
      <c r="Y222" s="410">
        <f t="shared" si="235"/>
      </c>
      <c r="Z222" s="406">
        <f t="shared" si="173"/>
      </c>
      <c r="AA222" s="331">
        <f t="shared" si="80"/>
      </c>
      <c r="AB222" s="340" t="s">
        <v>232</v>
      </c>
      <c r="AC222" s="411" t="s">
        <v>233</v>
      </c>
      <c r="AD222" s="412">
        <v>3</v>
      </c>
      <c r="AE222" s="333">
        <v>11233</v>
      </c>
      <c r="AF222" s="334">
        <v>342</v>
      </c>
      <c r="AG222" s="334">
        <v>523</v>
      </c>
      <c r="AH222" s="334">
        <v>76</v>
      </c>
      <c r="AI222" s="334">
        <v>23</v>
      </c>
      <c r="AJ222" s="335">
        <v>6</v>
      </c>
      <c r="AK222" s="336">
        <v>11</v>
      </c>
      <c r="AL222" s="310">
        <v>1</v>
      </c>
      <c r="AM222" s="399"/>
    </row>
    <row r="223">
      <c r="A223" s="303"/>
      <c r="B223" s="347" t="s">
        <v>238</v>
      </c>
      <c r="C223" s="347"/>
      <c r="D223" s="348">
        <f>SUM(D219:D222)</f>
      </c>
      <c r="E223" s="348">
        <f>SUM(E219:E222)</f>
      </c>
      <c r="F223" s="348">
        <f>SUM(F219:F222)</f>
      </c>
      <c r="G223" s="348">
        <f>SUM(G219:G222)</f>
      </c>
      <c r="H223" s="348">
        <f>SUM(H219:H222)</f>
      </c>
      <c r="I223" s="348">
        <f>SUM(I219:I222)</f>
      </c>
      <c r="J223" s="348">
        <f>SUM(J219:J222)</f>
      </c>
      <c r="K223" s="348">
        <f>SUM(K219:K222)</f>
      </c>
      <c r="L223" s="348">
        <f>SUM(L219:L222)</f>
      </c>
      <c r="M223" s="348">
        <f>SUM(M219:M222)</f>
      </c>
      <c r="N223" s="421">
        <f t="shared" si="340"/>
      </c>
      <c r="O223" s="422">
        <f t="shared" si="266"/>
      </c>
      <c r="P223" s="351">
        <f t="shared" si="204"/>
      </c>
      <c r="Q223" s="352">
        <f t="shared" si="111"/>
      </c>
      <c r="R223" s="353">
        <f t="shared" si="49"/>
      </c>
      <c r="S223" s="354">
        <f t="shared" si="142"/>
      </c>
      <c r="T223" s="354">
        <f t="shared" si="18"/>
      </c>
      <c r="U223" s="353">
        <f t="shared" si="503"/>
      </c>
      <c r="V223" s="354">
        <f t="shared" si="472"/>
      </c>
      <c r="W223" s="354">
        <f t="shared" si="371"/>
      </c>
      <c r="X223" s="355">
        <f t="shared" si="297"/>
      </c>
      <c r="Y223" s="423">
        <f t="shared" si="235"/>
      </c>
      <c r="Z223" s="355">
        <f t="shared" si="173"/>
      </c>
      <c r="AA223" s="356">
        <f t="shared" si="80"/>
      </c>
      <c r="AB223" s="356"/>
      <c r="AC223" s="424"/>
      <c r="AD223" s="347">
        <f>SUM(AD219:AD222)</f>
      </c>
      <c r="AE223" s="347">
        <f>SUM(AE219:AE222)</f>
      </c>
      <c r="AF223" s="347">
        <f>SUM(AF219:AF222)</f>
      </c>
      <c r="AG223" s="347">
        <f>SUM(AG219:AG222)</f>
      </c>
      <c r="AH223" s="347">
        <f>SUM(AH219:AH222)</f>
      </c>
      <c r="AI223" s="347">
        <f>SUM(AI219:AI222)</f>
      </c>
      <c r="AJ223" s="347">
        <f>SUM(AJ219:AJ222)</f>
      </c>
      <c r="AK223" s="347">
        <f>SUM(AK219:AK222)</f>
      </c>
      <c r="AL223" s="347">
        <f>SUM(AL219:AL222)</f>
      </c>
      <c r="AM223" s="399"/>
    </row>
    <row r="224">
      <c r="A224" s="303"/>
      <c r="B224" s="304" t="s">
        <v>237</v>
      </c>
      <c r="C224" s="326" t="s">
        <v>247</v>
      </c>
      <c r="D224" s="334">
        <f t="shared" ref="D224:D227" si="403">E224+F224+G224+H224</f>
      </c>
      <c r="E224" s="334">
        <v>2088.07</v>
      </c>
      <c r="F224" s="326">
        <v>372.18</v>
      </c>
      <c r="G224" s="326">
        <v>0</v>
      </c>
      <c r="H224" s="326">
        <v>0</v>
      </c>
      <c r="I224" s="310">
        <v>0</v>
      </c>
      <c r="J224" s="310">
        <v>0</v>
      </c>
      <c r="K224" s="310">
        <v>0</v>
      </c>
      <c r="L224" s="310">
        <v>0</v>
      </c>
      <c r="M224" s="310">
        <v>0</v>
      </c>
      <c r="N224" s="413">
        <f t="shared" si="340"/>
      </c>
      <c r="O224" s="414">
        <f t="shared" si="266"/>
      </c>
      <c r="P224" s="358">
        <f t="shared" si="204"/>
      </c>
      <c r="Q224" s="359">
        <f t="shared" si="111"/>
      </c>
      <c r="R224" s="360">
        <f t="shared" si="49"/>
      </c>
      <c r="S224" s="361">
        <f t="shared" si="142"/>
      </c>
      <c r="T224" s="361">
        <f t="shared" si="18"/>
      </c>
      <c r="U224" s="360">
        <f t="shared" si="503"/>
      </c>
      <c r="V224" s="361">
        <f t="shared" si="472"/>
      </c>
      <c r="W224" s="361">
        <f t="shared" si="371"/>
      </c>
      <c r="X224" s="362">
        <f t="shared" si="297"/>
      </c>
      <c r="Y224" s="425">
        <f t="shared" si="235"/>
      </c>
      <c r="Z224" s="362">
        <f t="shared" si="173"/>
      </c>
      <c r="AA224" s="363">
        <f t="shared" si="80"/>
      </c>
      <c r="AB224" s="364" t="s">
        <v>232</v>
      </c>
      <c r="AC224" s="411" t="s">
        <v>233</v>
      </c>
      <c r="AD224" s="402">
        <v>0</v>
      </c>
      <c r="AE224" s="365">
        <v>7328</v>
      </c>
      <c r="AF224" s="365">
        <v>207</v>
      </c>
      <c r="AG224" s="310">
        <v>413</v>
      </c>
      <c r="AH224" s="365">
        <v>49</v>
      </c>
      <c r="AI224" s="365">
        <v>9</v>
      </c>
      <c r="AJ224" s="310">
        <v>3</v>
      </c>
      <c r="AK224" s="310">
        <v>8</v>
      </c>
      <c r="AL224" s="310">
        <v>1</v>
      </c>
      <c r="AM224" s="399"/>
    </row>
    <row r="225">
      <c r="A225" s="303"/>
      <c r="B225" s="304" t="s">
        <v>239</v>
      </c>
      <c r="C225" s="326" t="s">
        <v>247</v>
      </c>
      <c r="D225" s="334">
        <f t="shared" si="403"/>
      </c>
      <c r="E225" s="334">
        <v>2670.94</v>
      </c>
      <c r="F225" s="334">
        <v>620.55</v>
      </c>
      <c r="G225" s="326">
        <v>0</v>
      </c>
      <c r="H225" s="326">
        <v>0</v>
      </c>
      <c r="I225" s="310">
        <v>1</v>
      </c>
      <c r="J225" s="310">
        <v>2268</v>
      </c>
      <c r="K225" s="310">
        <v>0</v>
      </c>
      <c r="L225" s="310">
        <v>0</v>
      </c>
      <c r="M225" s="310">
        <v>1</v>
      </c>
      <c r="N225" s="413">
        <f t="shared" si="340"/>
      </c>
      <c r="O225" s="414">
        <f t="shared" si="266"/>
      </c>
      <c r="P225" s="358">
        <f t="shared" si="204"/>
      </c>
      <c r="Q225" s="359">
        <f t="shared" si="111"/>
      </c>
      <c r="R225" s="360">
        <f t="shared" si="49"/>
      </c>
      <c r="S225" s="361">
        <f t="shared" si="142"/>
      </c>
      <c r="T225" s="361">
        <f t="shared" si="18"/>
      </c>
      <c r="U225" s="360">
        <f t="shared" si="503"/>
      </c>
      <c r="V225" s="361">
        <f t="shared" si="472"/>
      </c>
      <c r="W225" s="361">
        <f t="shared" si="371"/>
      </c>
      <c r="X225" s="362">
        <f t="shared" si="297"/>
      </c>
      <c r="Y225" s="425">
        <f t="shared" si="235"/>
      </c>
      <c r="Z225" s="362">
        <f t="shared" si="173"/>
      </c>
      <c r="AA225" s="363">
        <f t="shared" si="80"/>
      </c>
      <c r="AB225" s="364" t="s">
        <v>232</v>
      </c>
      <c r="AC225" s="411" t="s">
        <v>233</v>
      </c>
      <c r="AD225" s="402">
        <v>0</v>
      </c>
      <c r="AE225" s="365">
        <v>10112</v>
      </c>
      <c r="AF225" s="365">
        <v>331</v>
      </c>
      <c r="AG225" s="365">
        <v>514</v>
      </c>
      <c r="AH225" s="365">
        <v>73</v>
      </c>
      <c r="AI225" s="365">
        <v>15</v>
      </c>
      <c r="AJ225" s="310">
        <v>3</v>
      </c>
      <c r="AK225" s="310">
        <v>15</v>
      </c>
      <c r="AL225" s="310">
        <v>1</v>
      </c>
      <c r="AM225" s="399"/>
    </row>
    <row r="226">
      <c r="A226" s="303"/>
      <c r="B226" s="304" t="s">
        <v>241</v>
      </c>
      <c r="C226" s="326" t="s">
        <v>247</v>
      </c>
      <c r="D226" s="334">
        <f t="shared" si="403"/>
      </c>
      <c r="E226" s="334">
        <v>1751.22</v>
      </c>
      <c r="F226" s="334">
        <v>788</v>
      </c>
      <c r="G226" s="326">
        <v>0</v>
      </c>
      <c r="H226" s="326">
        <v>0</v>
      </c>
      <c r="I226" s="310">
        <v>3</v>
      </c>
      <c r="J226" s="310">
        <v>5484</v>
      </c>
      <c r="K226" s="310">
        <v>0</v>
      </c>
      <c r="L226" s="310">
        <v>1</v>
      </c>
      <c r="M226" s="310">
        <v>2</v>
      </c>
      <c r="N226" s="413">
        <f t="shared" si="340"/>
      </c>
      <c r="O226" s="414">
        <f t="shared" si="266"/>
      </c>
      <c r="P226" s="358">
        <f t="shared" si="204"/>
      </c>
      <c r="Q226" s="359">
        <f t="shared" si="111"/>
      </c>
      <c r="R226" s="360">
        <f t="shared" si="49"/>
      </c>
      <c r="S226" s="361">
        <f t="shared" si="142"/>
      </c>
      <c r="T226" s="361">
        <f t="shared" si="18"/>
      </c>
      <c r="U226" s="360">
        <f t="shared" si="503"/>
      </c>
      <c r="V226" s="361">
        <f t="shared" si="472"/>
      </c>
      <c r="W226" s="361">
        <f t="shared" si="371"/>
      </c>
      <c r="X226" s="362">
        <f t="shared" si="297"/>
      </c>
      <c r="Y226" s="425">
        <f t="shared" si="235"/>
      </c>
      <c r="Z226" s="362">
        <f t="shared" si="173"/>
      </c>
      <c r="AA226" s="363">
        <f t="shared" si="80"/>
      </c>
      <c r="AB226" s="364" t="s">
        <v>232</v>
      </c>
      <c r="AC226" s="411" t="s">
        <v>233</v>
      </c>
      <c r="AD226" s="402">
        <v>2</v>
      </c>
      <c r="AE226" s="365">
        <v>7854</v>
      </c>
      <c r="AF226" s="365">
        <v>299</v>
      </c>
      <c r="AG226" s="365">
        <v>483</v>
      </c>
      <c r="AH226" s="365">
        <v>72</v>
      </c>
      <c r="AI226" s="365">
        <v>20</v>
      </c>
      <c r="AJ226" s="310">
        <v>6</v>
      </c>
      <c r="AK226" s="310">
        <v>18</v>
      </c>
      <c r="AL226" s="310">
        <v>1</v>
      </c>
      <c r="AM226" s="399"/>
    </row>
    <row r="227">
      <c r="A227" s="303"/>
      <c r="B227" s="304" t="s">
        <v>242</v>
      </c>
      <c r="C227" s="326" t="s">
        <v>247</v>
      </c>
      <c r="D227" s="334">
        <f t="shared" si="403"/>
      </c>
      <c r="E227" s="334">
        <v>1647.69</v>
      </c>
      <c r="F227" s="334">
        <v>1075.41</v>
      </c>
      <c r="G227" s="326">
        <v>0</v>
      </c>
      <c r="H227" s="326">
        <v>0</v>
      </c>
      <c r="I227" s="310">
        <v>5</v>
      </c>
      <c r="J227" s="310">
        <v>3780</v>
      </c>
      <c r="K227" s="310">
        <v>2</v>
      </c>
      <c r="L227" s="310">
        <v>3</v>
      </c>
      <c r="M227" s="310">
        <v>0</v>
      </c>
      <c r="N227" s="413">
        <f t="shared" si="340"/>
      </c>
      <c r="O227" s="414">
        <f t="shared" si="266"/>
      </c>
      <c r="P227" s="358">
        <f t="shared" si="204"/>
      </c>
      <c r="Q227" s="359">
        <f t="shared" si="111"/>
      </c>
      <c r="R227" s="360">
        <f t="shared" si="49"/>
      </c>
      <c r="S227" s="361">
        <f t="shared" si="142"/>
      </c>
      <c r="T227" s="361">
        <f t="shared" si="18"/>
      </c>
      <c r="U227" s="360">
        <f t="shared" si="503"/>
      </c>
      <c r="V227" s="361">
        <f t="shared" si="472"/>
      </c>
      <c r="W227" s="361">
        <f t="shared" si="371"/>
      </c>
      <c r="X227" s="362">
        <f t="shared" si="297"/>
      </c>
      <c r="Y227" s="425">
        <f t="shared" si="235"/>
      </c>
      <c r="Z227" s="362">
        <f t="shared" si="173"/>
      </c>
      <c r="AA227" s="363">
        <f t="shared" si="80"/>
      </c>
      <c r="AB227" s="364" t="s">
        <v>232</v>
      </c>
      <c r="AC227" s="432" t="s">
        <v>233</v>
      </c>
      <c r="AD227" s="402">
        <v>3</v>
      </c>
      <c r="AE227" s="365">
        <v>8241</v>
      </c>
      <c r="AF227" s="365">
        <v>353</v>
      </c>
      <c r="AG227" s="365">
        <v>528</v>
      </c>
      <c r="AH227" s="365">
        <v>66</v>
      </c>
      <c r="AI227" s="365">
        <v>18</v>
      </c>
      <c r="AJ227" s="310">
        <v>4</v>
      </c>
      <c r="AK227" s="310">
        <v>20</v>
      </c>
      <c r="AL227" s="310">
        <v>1</v>
      </c>
      <c r="AM227" s="399"/>
    </row>
    <row r="228">
      <c r="A228" s="303"/>
      <c r="B228" s="347" t="s">
        <v>238</v>
      </c>
      <c r="C228" s="347"/>
      <c r="D228" s="348">
        <f>SUM(D224:D227)</f>
      </c>
      <c r="E228" s="348">
        <f>SUM(E224:E227)</f>
      </c>
      <c r="F228" s="348">
        <f>SUM(F224:F227)</f>
      </c>
      <c r="G228" s="348">
        <f>SUM(G224:G227)</f>
      </c>
      <c r="H228" s="348">
        <f>SUM(H224:H227)</f>
      </c>
      <c r="I228" s="348">
        <f>SUM(I224:I227)</f>
      </c>
      <c r="J228" s="348">
        <f>SUM(J224:J227)</f>
      </c>
      <c r="K228" s="348">
        <f>SUM(K224:K227)</f>
      </c>
      <c r="L228" s="348">
        <f>SUM(L224:L227)</f>
      </c>
      <c r="M228" s="348">
        <f>SUM(M224:M227)</f>
      </c>
      <c r="N228" s="421">
        <f t="shared" si="340"/>
      </c>
      <c r="O228" s="422">
        <f t="shared" si="266"/>
      </c>
      <c r="P228" s="370">
        <f t="shared" si="204"/>
      </c>
      <c r="Q228" s="352">
        <f t="shared" si="111"/>
      </c>
      <c r="R228" s="353">
        <f t="shared" si="49"/>
      </c>
      <c r="S228" s="354">
        <f t="shared" si="142"/>
      </c>
      <c r="T228" s="354">
        <f t="shared" si="18"/>
      </c>
      <c r="U228" s="353">
        <f t="shared" si="503"/>
      </c>
      <c r="V228" s="354">
        <f t="shared" si="472"/>
      </c>
      <c r="W228" s="354">
        <f t="shared" si="371"/>
      </c>
      <c r="X228" s="355">
        <f t="shared" si="297"/>
      </c>
      <c r="Y228" s="423">
        <f t="shared" si="235"/>
      </c>
      <c r="Z228" s="355">
        <f t="shared" si="173"/>
      </c>
      <c r="AA228" s="356">
        <f t="shared" si="80"/>
      </c>
      <c r="AB228" s="356"/>
      <c r="AC228" s="424"/>
      <c r="AD228" s="347">
        <f>SUM(AD224:AD227)</f>
      </c>
      <c r="AE228" s="347">
        <f>SUM(AE224:AE227)</f>
      </c>
      <c r="AF228" s="347">
        <f>SUM(AF224:AF227)</f>
      </c>
      <c r="AG228" s="347">
        <f>SUM(AG224:AG227)</f>
      </c>
      <c r="AH228" s="347">
        <f>SUM(AH224:AH227)</f>
      </c>
      <c r="AI228" s="347">
        <f>SUM(AI224:AI227)</f>
      </c>
      <c r="AJ228" s="347">
        <f>SUM(AJ224:AJ227)</f>
      </c>
      <c r="AK228" s="347">
        <f>SUM(AK224:AK227)</f>
      </c>
      <c r="AL228" s="347">
        <f>SUM(AL224:AL227)</f>
      </c>
      <c r="AM228" s="399"/>
    </row>
    <row r="229">
      <c r="A229" s="303"/>
      <c r="B229" s="304" t="s">
        <v>243</v>
      </c>
      <c r="C229" s="326" t="s">
        <v>231</v>
      </c>
      <c r="D229" s="334">
        <f t="shared" ref="D229:D232" si="404">E229+F229+G229+H229</f>
      </c>
      <c r="E229" s="334">
        <v>1867.54</v>
      </c>
      <c r="F229" s="334">
        <v>810.75</v>
      </c>
      <c r="G229" s="326">
        <v>0</v>
      </c>
      <c r="H229" s="326">
        <v>0</v>
      </c>
      <c r="I229" s="310">
        <v>3</v>
      </c>
      <c r="J229" s="345">
        <v>6616</v>
      </c>
      <c r="K229" s="303">
        <v>0</v>
      </c>
      <c r="L229" s="303">
        <v>0</v>
      </c>
      <c r="M229" s="305">
        <v>3</v>
      </c>
      <c r="N229" s="413">
        <f t="shared" si="340"/>
      </c>
      <c r="O229" s="414">
        <f t="shared" si="266"/>
      </c>
      <c r="P229" s="368">
        <f t="shared" si="204"/>
      </c>
      <c r="Q229" s="359">
        <f t="shared" si="111"/>
      </c>
      <c r="R229" s="360">
        <f t="shared" si="49"/>
      </c>
      <c r="S229" s="361">
        <f t="shared" si="142"/>
      </c>
      <c r="T229" s="361">
        <f t="shared" si="18"/>
      </c>
      <c r="U229" s="360">
        <f t="shared" si="503"/>
      </c>
      <c r="V229" s="361">
        <f t="shared" si="472"/>
      </c>
      <c r="W229" s="361">
        <f t="shared" si="371"/>
      </c>
      <c r="X229" s="362">
        <f t="shared" si="297"/>
      </c>
      <c r="Y229" s="425">
        <f t="shared" si="235"/>
      </c>
      <c r="Z229" s="362">
        <f t="shared" si="173"/>
      </c>
      <c r="AA229" s="363">
        <f t="shared" si="80"/>
      </c>
      <c r="AB229" s="364" t="s">
        <v>232</v>
      </c>
      <c r="AC229" s="411" t="s">
        <v>262</v>
      </c>
      <c r="AD229" s="402">
        <v>3</v>
      </c>
      <c r="AE229" s="365">
        <v>7975</v>
      </c>
      <c r="AF229" s="365">
        <v>298</v>
      </c>
      <c r="AG229" s="365">
        <v>471</v>
      </c>
      <c r="AH229" s="365">
        <v>57</v>
      </c>
      <c r="AI229" s="365">
        <v>15</v>
      </c>
      <c r="AJ229" s="310">
        <v>4</v>
      </c>
      <c r="AK229" s="310">
        <v>18</v>
      </c>
      <c r="AL229" s="310">
        <v>1</v>
      </c>
      <c r="AM229" s="399"/>
    </row>
    <row r="230">
      <c r="A230" s="303"/>
      <c r="B230" s="304" t="s">
        <v>245</v>
      </c>
      <c r="C230" s="326" t="s">
        <v>231</v>
      </c>
      <c r="D230" s="334">
        <f t="shared" si="404"/>
      </c>
      <c r="E230" s="334">
        <v>1961.51</v>
      </c>
      <c r="F230" s="334">
        <v>455.77</v>
      </c>
      <c r="G230" s="326">
        <v>0</v>
      </c>
      <c r="H230" s="326">
        <v>0</v>
      </c>
      <c r="I230" s="310">
        <v>0</v>
      </c>
      <c r="J230" s="345">
        <v>0</v>
      </c>
      <c r="K230" s="303">
        <v>0</v>
      </c>
      <c r="L230" s="303">
        <v>0</v>
      </c>
      <c r="M230" s="305">
        <v>0</v>
      </c>
      <c r="N230" s="413">
        <f t="shared" si="340"/>
      </c>
      <c r="O230" s="414">
        <f t="shared" si="266"/>
      </c>
      <c r="P230" s="368">
        <f t="shared" si="204"/>
      </c>
      <c r="Q230" s="359">
        <f t="shared" si="111"/>
      </c>
      <c r="R230" s="360">
        <f t="shared" si="49"/>
      </c>
      <c r="S230" s="361">
        <f t="shared" si="142"/>
      </c>
      <c r="T230" s="361">
        <f t="shared" si="18"/>
      </c>
      <c r="U230" s="360">
        <f t="shared" si="503"/>
      </c>
      <c r="V230" s="361">
        <f t="shared" si="472"/>
      </c>
      <c r="W230" s="361">
        <f t="shared" si="371"/>
      </c>
      <c r="X230" s="362">
        <f t="shared" si="297"/>
      </c>
      <c r="Y230" s="425">
        <f t="shared" si="235"/>
      </c>
      <c r="Z230" s="362">
        <f t="shared" si="173"/>
      </c>
      <c r="AA230" s="363">
        <f t="shared" si="80"/>
      </c>
      <c r="AB230" s="364" t="s">
        <v>232</v>
      </c>
      <c r="AC230" s="411" t="s">
        <v>262</v>
      </c>
      <c r="AD230" s="402">
        <v>0</v>
      </c>
      <c r="AE230" s="365">
        <v>577</v>
      </c>
      <c r="AF230" s="365">
        <v>14</v>
      </c>
      <c r="AG230" s="365">
        <v>29</v>
      </c>
      <c r="AH230" s="365">
        <v>5</v>
      </c>
      <c r="AI230" s="365">
        <v>3</v>
      </c>
      <c r="AJ230" s="310">
        <v>2</v>
      </c>
      <c r="AK230" s="310">
        <v>7</v>
      </c>
      <c r="AL230" s="310">
        <v>1</v>
      </c>
      <c r="AM230" s="399"/>
    </row>
    <row r="231">
      <c r="A231" s="303"/>
      <c r="B231" s="304" t="s">
        <v>246</v>
      </c>
      <c r="C231" s="326" t="s">
        <v>231</v>
      </c>
      <c r="D231" s="334">
        <f t="shared" si="404"/>
      </c>
      <c r="E231" s="326">
        <v>1145.59</v>
      </c>
      <c r="F231" s="326">
        <v>421.53</v>
      </c>
      <c r="G231" s="326">
        <v>0</v>
      </c>
      <c r="H231" s="326">
        <v>0</v>
      </c>
      <c r="I231" s="365">
        <v>2</v>
      </c>
      <c r="J231" s="369">
        <v>4536</v>
      </c>
      <c r="K231" s="303">
        <v>0</v>
      </c>
      <c r="L231" s="303">
        <v>0</v>
      </c>
      <c r="M231" s="305">
        <v>2</v>
      </c>
      <c r="N231" s="413">
        <f t="shared" si="340"/>
      </c>
      <c r="O231" s="414">
        <f t="shared" si="266"/>
      </c>
      <c r="P231" s="368">
        <f t="shared" si="204"/>
      </c>
      <c r="Q231" s="359">
        <f t="shared" si="111"/>
      </c>
      <c r="R231" s="360">
        <f t="shared" si="49"/>
      </c>
      <c r="S231" s="361">
        <f t="shared" si="142"/>
      </c>
      <c r="T231" s="361">
        <f t="shared" si="18"/>
      </c>
      <c r="U231" s="360">
        <f t="shared" si="503"/>
      </c>
      <c r="V231" s="361">
        <f t="shared" si="472"/>
      </c>
      <c r="W231" s="361">
        <f t="shared" si="371"/>
      </c>
      <c r="X231" s="362">
        <f t="shared" si="297"/>
      </c>
      <c r="Y231" s="425">
        <f t="shared" si="235"/>
      </c>
      <c r="Z231" s="362">
        <f t="shared" si="173"/>
      </c>
      <c r="AA231" s="363">
        <f t="shared" si="80"/>
      </c>
      <c r="AB231" s="364" t="s">
        <v>232</v>
      </c>
      <c r="AC231" s="411" t="s">
        <v>262</v>
      </c>
      <c r="AD231" s="402">
        <v>2</v>
      </c>
      <c r="AE231" s="365">
        <v>5254</v>
      </c>
      <c r="AF231" s="365">
        <v>167</v>
      </c>
      <c r="AG231" s="365">
        <v>271</v>
      </c>
      <c r="AH231" s="365">
        <v>42</v>
      </c>
      <c r="AI231" s="365">
        <v>11</v>
      </c>
      <c r="AJ231" s="310">
        <v>4</v>
      </c>
      <c r="AK231" s="310">
        <v>14</v>
      </c>
      <c r="AL231" s="310">
        <v>1</v>
      </c>
      <c r="AM231" s="399"/>
    </row>
    <row r="232">
      <c r="A232" s="303"/>
      <c r="B232" s="304" t="s">
        <v>248</v>
      </c>
      <c r="C232" s="326" t="s">
        <v>231</v>
      </c>
      <c r="D232" s="334">
        <f t="shared" si="404"/>
      </c>
      <c r="E232" s="326">
        <v>1287.87</v>
      </c>
      <c r="F232" s="326">
        <v>694.21</v>
      </c>
      <c r="G232" s="326">
        <v>0</v>
      </c>
      <c r="H232" s="326">
        <v>0</v>
      </c>
      <c r="I232" s="310">
        <v>3</v>
      </c>
      <c r="J232" s="345">
        <v>5484</v>
      </c>
      <c r="K232" s="326">
        <v>0</v>
      </c>
      <c r="L232" s="326">
        <v>1</v>
      </c>
      <c r="M232" s="326">
        <v>2</v>
      </c>
      <c r="N232" s="413">
        <f t="shared" si="340"/>
      </c>
      <c r="O232" s="414">
        <f t="shared" si="266"/>
      </c>
      <c r="P232" s="358">
        <f t="shared" si="204"/>
      </c>
      <c r="Q232" s="359">
        <f t="shared" si="111"/>
      </c>
      <c r="R232" s="360">
        <f t="shared" si="49"/>
      </c>
      <c r="S232" s="361">
        <f t="shared" si="142"/>
      </c>
      <c r="T232" s="361">
        <f t="shared" si="18"/>
      </c>
      <c r="U232" s="360">
        <f t="shared" si="503"/>
      </c>
      <c r="V232" s="361">
        <f t="shared" si="472"/>
      </c>
      <c r="W232" s="361">
        <f t="shared" si="371"/>
      </c>
      <c r="X232" s="362">
        <f t="shared" si="297"/>
      </c>
      <c r="Y232" s="425">
        <f t="shared" si="235"/>
      </c>
      <c r="Z232" s="362">
        <f t="shared" si="173"/>
      </c>
      <c r="AA232" s="363">
        <f t="shared" si="80"/>
      </c>
      <c r="AB232" s="364" t="s">
        <v>232</v>
      </c>
      <c r="AC232" s="411" t="s">
        <v>262</v>
      </c>
      <c r="AD232" s="402">
        <v>2</v>
      </c>
      <c r="AE232" s="365">
        <v>5850</v>
      </c>
      <c r="AF232" s="365">
        <v>223</v>
      </c>
      <c r="AG232" s="365">
        <v>311</v>
      </c>
      <c r="AH232" s="365">
        <v>60</v>
      </c>
      <c r="AI232" s="365">
        <v>19</v>
      </c>
      <c r="AJ232" s="310">
        <v>6</v>
      </c>
      <c r="AK232" s="310">
        <v>24</v>
      </c>
      <c r="AL232" s="310">
        <v>1</v>
      </c>
      <c r="AM232" s="399"/>
    </row>
    <row r="233">
      <c r="A233" s="303"/>
      <c r="B233" s="347" t="s">
        <v>238</v>
      </c>
      <c r="C233" s="347"/>
      <c r="D233" s="348">
        <f>SUM(D229:D232)</f>
      </c>
      <c r="E233" s="348">
        <f>SUM(E229:E232)</f>
      </c>
      <c r="F233" s="348">
        <f>SUM(F229:F232)</f>
      </c>
      <c r="G233" s="348">
        <f>SUM(G229:G232)</f>
      </c>
      <c r="H233" s="348">
        <f>SUM(H229:H232)</f>
      </c>
      <c r="I233" s="348">
        <f>SUM(I229:I232)</f>
      </c>
      <c r="J233" s="348">
        <f>SUM(J229:J232)</f>
      </c>
      <c r="K233" s="348">
        <f>SUM(K229:K232)</f>
      </c>
      <c r="L233" s="348">
        <f>SUM(L229:L232)</f>
      </c>
      <c r="M233" s="348">
        <f>SUM(M229:M232)</f>
      </c>
      <c r="N233" s="421">
        <f t="shared" si="340"/>
      </c>
      <c r="O233" s="422">
        <f t="shared" si="266"/>
      </c>
      <c r="P233" s="370">
        <f t="shared" si="204"/>
      </c>
      <c r="Q233" s="352">
        <f t="shared" si="111"/>
      </c>
      <c r="R233" s="353">
        <f t="shared" si="49"/>
      </c>
      <c r="S233" s="354">
        <f t="shared" si="142"/>
      </c>
      <c r="T233" s="354">
        <f t="shared" si="18"/>
      </c>
      <c r="U233" s="353">
        <f t="shared" si="503"/>
      </c>
      <c r="V233" s="354">
        <f t="shared" si="472"/>
      </c>
      <c r="W233" s="354">
        <f t="shared" si="371"/>
      </c>
      <c r="X233" s="355">
        <f t="shared" si="297"/>
      </c>
      <c r="Y233" s="423">
        <f t="shared" si="235"/>
      </c>
      <c r="Z233" s="355">
        <f t="shared" si="173"/>
      </c>
      <c r="AA233" s="356">
        <f t="shared" si="80"/>
      </c>
      <c r="AB233" s="356"/>
      <c r="AC233" s="356"/>
      <c r="AD233" s="348">
        <f>SUM(AD229:AD232)</f>
      </c>
      <c r="AE233" s="348">
        <f>SUM(AE229:AE232)</f>
      </c>
      <c r="AF233" s="348">
        <f>SUM(AF229:AF232)</f>
      </c>
      <c r="AG233" s="348">
        <f>SUM(AG229:AG232)</f>
      </c>
      <c r="AH233" s="348">
        <f>SUM(AH229:AH232)</f>
      </c>
      <c r="AI233" s="348">
        <f>SUM(AI229:AI232)</f>
      </c>
      <c r="AJ233" s="348">
        <f>SUM(AJ229:AJ232)</f>
      </c>
      <c r="AK233" s="348">
        <f>SUM(AK229:AK232)</f>
      </c>
      <c r="AL233" s="348">
        <f>SUM(AL229:AL232)</f>
      </c>
      <c r="AM233" s="426" t="s">
        <v>249</v>
      </c>
    </row>
    <row r="234">
      <c r="A234" s="303"/>
      <c r="B234" s="373" t="s">
        <v>250</v>
      </c>
      <c r="C234" s="373"/>
      <c r="D234" s="373">
        <f>D223+D228+D233</f>
      </c>
      <c r="E234" s="373">
        <f>E223+E228+E233</f>
      </c>
      <c r="F234" s="373">
        <f>F223+F228+F233</f>
      </c>
      <c r="G234" s="373">
        <f>G223+G228+G233</f>
      </c>
      <c r="H234" s="373">
        <f>H223+H228+H233</f>
      </c>
      <c r="I234" s="373">
        <f>I223+I228+I233</f>
      </c>
      <c r="J234" s="374">
        <f>J223+J228+J233</f>
      </c>
      <c r="K234" s="374">
        <f>K223+K228+K233</f>
      </c>
      <c r="L234" s="374">
        <f>L223+L228+L233</f>
      </c>
      <c r="M234" s="374">
        <f>M223+M228+M233</f>
      </c>
      <c r="N234" s="427">
        <f t="shared" si="340"/>
      </c>
      <c r="O234" s="427">
        <f t="shared" si="266"/>
      </c>
      <c r="P234" s="377">
        <f t="shared" si="204"/>
      </c>
      <c r="Q234" s="378">
        <f t="shared" si="111"/>
      </c>
      <c r="R234" s="379">
        <f t="shared" si="49"/>
      </c>
      <c r="S234" s="380">
        <f t="shared" si="142"/>
      </c>
      <c r="T234" s="380">
        <f t="shared" si="18"/>
      </c>
      <c r="U234" s="379">
        <f t="shared" si="503"/>
      </c>
      <c r="V234" s="380">
        <f t="shared" si="472"/>
      </c>
      <c r="W234" s="380">
        <f t="shared" si="371"/>
      </c>
      <c r="X234" s="379">
        <f t="shared" si="297"/>
      </c>
      <c r="Y234" s="428">
        <f t="shared" si="235"/>
      </c>
      <c r="Z234" s="379">
        <f t="shared" si="173"/>
      </c>
      <c r="AA234" s="381">
        <f t="shared" si="80"/>
      </c>
      <c r="AB234" s="381"/>
      <c r="AC234" s="381"/>
      <c r="AD234" s="373">
        <f>AD223+AD228+AD233</f>
      </c>
      <c r="AE234" s="373">
        <f>AE223+AE228+AE233</f>
      </c>
      <c r="AF234" s="373">
        <f>AF223+AF228+AF233</f>
      </c>
      <c r="AG234" s="373">
        <f>AG223+AG228+AG233</f>
      </c>
      <c r="AH234" s="373">
        <f>AH223+AH228+AH233</f>
      </c>
      <c r="AI234" s="373">
        <f>AI223+AI228+AI233</f>
      </c>
      <c r="AJ234" s="373">
        <f>AJ223+AJ228+AJ233</f>
      </c>
      <c r="AK234" s="373">
        <f>AK223+AK228+AK233</f>
      </c>
      <c r="AL234" s="373">
        <f>AL223+AL228+AL233</f>
      </c>
      <c r="AM234" s="426"/>
    </row>
    <row r="235">
      <c r="A235" s="389" t="s">
        <v>189</v>
      </c>
      <c r="B235" s="389"/>
      <c r="C235" s="389"/>
      <c r="D235" s="390" t="s">
        <v>190</v>
      </c>
      <c r="E235" s="390"/>
      <c r="F235" s="390"/>
      <c r="G235" s="390"/>
      <c r="H235" s="390"/>
      <c r="I235" s="390"/>
      <c r="J235" s="390"/>
      <c r="K235" s="390"/>
      <c r="L235" s="390"/>
      <c r="M235" s="390"/>
      <c r="N235" s="390"/>
      <c r="O235" s="390"/>
      <c r="P235" s="391" t="s">
        <v>191</v>
      </c>
      <c r="Q235" s="391"/>
      <c r="R235" s="391"/>
      <c r="S235" s="391"/>
      <c r="T235" s="391"/>
      <c r="U235" s="391"/>
      <c r="V235" s="391"/>
      <c r="W235" s="391"/>
      <c r="X235" s="391"/>
      <c r="Y235" s="391"/>
      <c r="Z235" s="391"/>
      <c r="AA235" s="391"/>
      <c r="AB235" s="391"/>
      <c r="AC235" s="391"/>
      <c r="AD235" s="392" t="s">
        <v>192</v>
      </c>
      <c r="AE235" s="392"/>
      <c r="AF235" s="392"/>
      <c r="AG235" s="392"/>
      <c r="AH235" s="392"/>
      <c r="AI235" s="392"/>
      <c r="AJ235" s="392"/>
      <c r="AK235" s="392"/>
      <c r="AL235" s="392"/>
      <c r="AM235" s="433"/>
    </row>
    <row r="236">
      <c r="A236" s="287" t="s">
        <v>193</v>
      </c>
      <c r="B236" s="288" t="s">
        <v>194</v>
      </c>
      <c r="C236" s="288" t="s">
        <v>195</v>
      </c>
      <c r="D236" s="289" t="s">
        <v>196</v>
      </c>
      <c r="E236" s="290" t="s">
        <v>197</v>
      </c>
      <c r="F236" s="394" t="s">
        <v>198</v>
      </c>
      <c r="G236" s="394" t="s">
        <v>256</v>
      </c>
      <c r="H236" s="395" t="s">
        <v>260</v>
      </c>
      <c r="I236" s="429" t="s">
        <v>199</v>
      </c>
      <c r="J236" s="430" t="s">
        <v>200</v>
      </c>
      <c r="K236" s="431" t="s">
        <v>201</v>
      </c>
      <c r="L236" s="397" t="s">
        <v>202</v>
      </c>
      <c r="M236" s="397" t="s">
        <v>203</v>
      </c>
      <c r="N236" s="295" t="s">
        <v>204</v>
      </c>
      <c r="O236" s="398" t="s">
        <v>205</v>
      </c>
      <c r="P236" s="296" t="s">
        <v>206</v>
      </c>
      <c r="Q236" s="296" t="s">
        <v>207</v>
      </c>
      <c r="R236" s="296" t="s">
        <v>208</v>
      </c>
      <c r="S236" s="297" t="s">
        <v>209</v>
      </c>
      <c r="T236" s="297" t="s">
        <v>210</v>
      </c>
      <c r="U236" s="296" t="s">
        <v>211</v>
      </c>
      <c r="V236" s="297" t="s">
        <v>212</v>
      </c>
      <c r="W236" s="297" t="s">
        <v>213</v>
      </c>
      <c r="X236" s="296" t="s">
        <v>214</v>
      </c>
      <c r="Y236" s="297" t="s">
        <v>215</v>
      </c>
      <c r="Z236" s="296" t="s">
        <v>216</v>
      </c>
      <c r="AA236" s="298" t="s">
        <v>217</v>
      </c>
      <c r="AB236" s="298" t="s">
        <v>218</v>
      </c>
      <c r="AC236" s="299" t="s">
        <v>219</v>
      </c>
      <c r="AD236" s="300" t="s">
        <v>220</v>
      </c>
      <c r="AE236" s="301" t="s">
        <v>221</v>
      </c>
      <c r="AF236" s="301" t="s">
        <v>222</v>
      </c>
      <c r="AG236" s="301" t="s">
        <v>223</v>
      </c>
      <c r="AH236" s="301" t="s">
        <v>224</v>
      </c>
      <c r="AI236" s="301" t="s">
        <v>225</v>
      </c>
      <c r="AJ236" s="302" t="s">
        <v>226</v>
      </c>
      <c r="AK236" s="302" t="s">
        <v>227</v>
      </c>
      <c r="AL236" s="302" t="s">
        <v>228</v>
      </c>
      <c r="AM236" s="433"/>
    </row>
    <row r="237">
      <c r="A237" s="303" t="s">
        <v>267</v>
      </c>
      <c r="B237" s="304" t="s">
        <v>230</v>
      </c>
      <c r="C237" s="305" t="s">
        <v>240</v>
      </c>
      <c r="D237" s="401">
        <f t="shared" ref="D237:D240" si="405">E237+F237+G237+H237</f>
      </c>
      <c r="E237" s="307">
        <v>3047.22</v>
      </c>
      <c r="F237" s="307">
        <v>889.68</v>
      </c>
      <c r="G237" s="307">
        <v>0</v>
      </c>
      <c r="H237" s="307">
        <v>0</v>
      </c>
      <c r="I237" s="306">
        <v>4</v>
      </c>
      <c r="J237" s="324">
        <v>7272</v>
      </c>
      <c r="K237" s="309">
        <v>1</v>
      </c>
      <c r="L237" s="310">
        <v>0</v>
      </c>
      <c r="M237" s="310">
        <v>3</v>
      </c>
      <c r="N237" s="403">
        <f t="shared" ref="N237:N252" si="341">J237/D237</f>
      </c>
      <c r="O237" s="404">
        <f t="shared" ref="O237:O252" si="267">J237/(D237+300*AL237)</f>
      </c>
      <c r="P237" s="358">
        <f t="shared" ref="P237:P252" si="205">(D237/AE237)*1000</f>
      </c>
      <c r="Q237" s="405">
        <f t="shared" ref="Q237:Q252" si="112">AF237/AE237</f>
      </c>
      <c r="R237" s="406">
        <f t="shared" ref="R237:R252" si="50">D237/AG237</f>
      </c>
      <c r="S237" s="407">
        <f t="shared" ref="S237:S252" si="143">AH237/AG237</f>
      </c>
      <c r="T237" s="405">
        <f t="shared" ref="T237:T252" si="19">AI237/AG237</f>
      </c>
      <c r="U237" s="408">
        <f t="shared" ref="U237:U252" si="504">D237/AI237</f>
      </c>
      <c r="V237" s="405">
        <f t="shared" ref="V237:V252" si="473">AJ237/AI237</f>
      </c>
      <c r="W237" s="409">
        <f t="shared" ref="W237:W252" si="372">I237/AJ237</f>
      </c>
      <c r="X237" s="406">
        <f t="shared" ref="X237:X252" si="298">D237/I237</f>
      </c>
      <c r="Y237" s="410">
        <f t="shared" ref="Y237:Y252" si="236">J237/I237</f>
      </c>
      <c r="Z237" s="406">
        <f t="shared" ref="Z237:Z252" si="174">D237/AD237</f>
      </c>
      <c r="AA237" s="320">
        <f t="shared" ref="AA237:AA252" si="81">AK237*1000/D237</f>
      </c>
      <c r="AB237" s="321" t="s">
        <v>232</v>
      </c>
      <c r="AC237" s="411" t="s">
        <v>233</v>
      </c>
      <c r="AD237" s="334">
        <v>4</v>
      </c>
      <c r="AE237" s="334">
        <v>10774</v>
      </c>
      <c r="AF237" s="304">
        <v>385</v>
      </c>
      <c r="AG237" s="304">
        <v>584</v>
      </c>
      <c r="AH237" s="304">
        <v>100</v>
      </c>
      <c r="AI237" s="334">
        <v>20</v>
      </c>
      <c r="AJ237" s="325">
        <v>7</v>
      </c>
      <c r="AK237" s="326">
        <v>17</v>
      </c>
      <c r="AL237" s="310">
        <v>1</v>
      </c>
      <c r="AM237" s="434"/>
    </row>
    <row r="238">
      <c r="A238" s="303"/>
      <c r="B238" s="304" t="s">
        <v>234</v>
      </c>
      <c r="C238" s="305" t="s">
        <v>240</v>
      </c>
      <c r="D238" s="401">
        <f t="shared" si="405"/>
      </c>
      <c r="E238" s="307">
        <v>2439.83</v>
      </c>
      <c r="F238" s="307">
        <v>991.94</v>
      </c>
      <c r="G238" s="307">
        <v>0</v>
      </c>
      <c r="H238" s="307">
        <v>0</v>
      </c>
      <c r="I238" s="306">
        <v>2</v>
      </c>
      <c r="J238" s="324">
        <v>4536</v>
      </c>
      <c r="K238" s="342">
        <v>0</v>
      </c>
      <c r="L238" s="342">
        <v>0</v>
      </c>
      <c r="M238" s="342">
        <v>2</v>
      </c>
      <c r="N238" s="413">
        <f t="shared" si="341"/>
      </c>
      <c r="O238" s="414">
        <f t="shared" si="267"/>
      </c>
      <c r="P238" s="358">
        <f t="shared" si="205"/>
      </c>
      <c r="Q238" s="405">
        <f t="shared" si="112"/>
      </c>
      <c r="R238" s="415">
        <f t="shared" si="50"/>
      </c>
      <c r="S238" s="407">
        <f t="shared" si="143"/>
      </c>
      <c r="T238" s="405">
        <f t="shared" si="19"/>
      </c>
      <c r="U238" s="408">
        <f t="shared" si="504"/>
      </c>
      <c r="V238" s="405">
        <f t="shared" si="473"/>
      </c>
      <c r="W238" s="409">
        <f t="shared" si="372"/>
      </c>
      <c r="X238" s="406">
        <f t="shared" si="298"/>
      </c>
      <c r="Y238" s="410">
        <f t="shared" si="236"/>
      </c>
      <c r="Z238" s="406">
        <f t="shared" si="174"/>
      </c>
      <c r="AA238" s="331">
        <f t="shared" si="81"/>
      </c>
      <c r="AB238" s="332" t="s">
        <v>232</v>
      </c>
      <c r="AC238" s="411" t="s">
        <v>233</v>
      </c>
      <c r="AD238" s="334">
        <v>2</v>
      </c>
      <c r="AE238" s="334">
        <v>10240</v>
      </c>
      <c r="AF238" s="304">
        <v>330</v>
      </c>
      <c r="AG238" s="333">
        <v>528</v>
      </c>
      <c r="AH238" s="334">
        <v>80</v>
      </c>
      <c r="AI238" s="334">
        <v>26</v>
      </c>
      <c r="AJ238" s="335">
        <v>4</v>
      </c>
      <c r="AK238" s="336">
        <v>16</v>
      </c>
      <c r="AL238" s="310">
        <v>1</v>
      </c>
      <c r="AM238" s="434"/>
    </row>
    <row r="239">
      <c r="A239" s="303"/>
      <c r="B239" s="304" t="s">
        <v>235</v>
      </c>
      <c r="C239" s="305" t="s">
        <v>240</v>
      </c>
      <c r="D239" s="401">
        <f t="shared" si="405"/>
      </c>
      <c r="E239" s="307">
        <v>2661.95</v>
      </c>
      <c r="F239" s="307">
        <v>1007.74</v>
      </c>
      <c r="G239" s="307">
        <v>0</v>
      </c>
      <c r="H239" s="307">
        <v>0</v>
      </c>
      <c r="I239" s="307">
        <v>2</v>
      </c>
      <c r="J239" s="307">
        <v>2736</v>
      </c>
      <c r="K239" s="307">
        <v>1</v>
      </c>
      <c r="L239" s="307">
        <v>0</v>
      </c>
      <c r="M239" s="307">
        <v>1</v>
      </c>
      <c r="N239" s="413">
        <f t="shared" si="341"/>
      </c>
      <c r="O239" s="414">
        <f t="shared" si="267"/>
      </c>
      <c r="P239" s="358">
        <f t="shared" si="205"/>
      </c>
      <c r="Q239" s="407">
        <f t="shared" si="112"/>
      </c>
      <c r="R239" s="406">
        <f t="shared" si="50"/>
      </c>
      <c r="S239" s="409">
        <f t="shared" si="143"/>
      </c>
      <c r="T239" s="418">
        <f t="shared" si="19"/>
      </c>
      <c r="U239" s="419">
        <f t="shared" si="504"/>
      </c>
      <c r="V239" s="418">
        <f t="shared" si="473"/>
      </c>
      <c r="W239" s="405">
        <f t="shared" si="372"/>
      </c>
      <c r="X239" s="406">
        <f t="shared" si="298"/>
      </c>
      <c r="Y239" s="410">
        <f t="shared" si="236"/>
      </c>
      <c r="Z239" s="406">
        <f t="shared" si="174"/>
      </c>
      <c r="AA239" s="331">
        <f t="shared" si="81"/>
      </c>
      <c r="AB239" s="332" t="s">
        <v>232</v>
      </c>
      <c r="AC239" s="411" t="s">
        <v>233</v>
      </c>
      <c r="AD239" s="326">
        <v>1</v>
      </c>
      <c r="AE239" s="334">
        <v>11153</v>
      </c>
      <c r="AF239" s="304">
        <v>336</v>
      </c>
      <c r="AG239" s="334">
        <v>560</v>
      </c>
      <c r="AH239" s="334">
        <v>78</v>
      </c>
      <c r="AI239" s="334">
        <v>23</v>
      </c>
      <c r="AJ239" s="335">
        <v>3</v>
      </c>
      <c r="AK239" s="336">
        <v>15</v>
      </c>
      <c r="AL239" s="310">
        <v>1</v>
      </c>
      <c r="AM239" s="434"/>
    </row>
    <row r="240">
      <c r="A240" s="303"/>
      <c r="B240" s="304" t="s">
        <v>236</v>
      </c>
      <c r="C240" s="305" t="s">
        <v>240</v>
      </c>
      <c r="D240" s="401">
        <f t="shared" si="405"/>
      </c>
      <c r="E240" s="306">
        <v>1889.02</v>
      </c>
      <c r="F240" s="307">
        <v>566.11</v>
      </c>
      <c r="G240" s="307">
        <v>0</v>
      </c>
      <c r="H240" s="307">
        <v>0</v>
      </c>
      <c r="I240" s="307">
        <v>0</v>
      </c>
      <c r="J240" s="307">
        <v>0</v>
      </c>
      <c r="K240" s="307">
        <v>0</v>
      </c>
      <c r="L240" s="307">
        <v>0</v>
      </c>
      <c r="M240" s="307">
        <v>0</v>
      </c>
      <c r="N240" s="413">
        <f t="shared" si="341"/>
      </c>
      <c r="O240" s="414">
        <f t="shared" si="267"/>
      </c>
      <c r="P240" s="358">
        <f t="shared" si="205"/>
      </c>
      <c r="Q240" s="405">
        <f t="shared" si="112"/>
      </c>
      <c r="R240" s="420">
        <f t="shared" si="50"/>
      </c>
      <c r="S240" s="405">
        <f t="shared" si="143"/>
      </c>
      <c r="T240" s="405">
        <f t="shared" si="19"/>
      </c>
      <c r="U240" s="406">
        <f t="shared" si="504"/>
      </c>
      <c r="V240" s="405">
        <f t="shared" si="473"/>
      </c>
      <c r="W240" s="405">
        <f t="shared" si="372"/>
      </c>
      <c r="X240" s="406">
        <f t="shared" si="298"/>
      </c>
      <c r="Y240" s="410">
        <f t="shared" si="236"/>
      </c>
      <c r="Z240" s="406">
        <f t="shared" si="174"/>
      </c>
      <c r="AA240" s="331">
        <f t="shared" si="81"/>
      </c>
      <c r="AB240" s="340" t="s">
        <v>232</v>
      </c>
      <c r="AC240" s="411" t="s">
        <v>233</v>
      </c>
      <c r="AD240" s="412">
        <v>0</v>
      </c>
      <c r="AE240" s="333">
        <v>6667</v>
      </c>
      <c r="AF240" s="334">
        <v>202</v>
      </c>
      <c r="AG240" s="334">
        <v>293</v>
      </c>
      <c r="AH240" s="334">
        <v>41</v>
      </c>
      <c r="AI240" s="334">
        <v>13</v>
      </c>
      <c r="AJ240" s="335">
        <v>1</v>
      </c>
      <c r="AK240" s="336">
        <v>8</v>
      </c>
      <c r="AL240" s="310">
        <v>1</v>
      </c>
      <c r="AM240" s="434"/>
    </row>
    <row r="241">
      <c r="A241" s="303"/>
      <c r="B241" s="347" t="s">
        <v>238</v>
      </c>
      <c r="C241" s="347"/>
      <c r="D241" s="348">
        <f>SUM(D237:D240)</f>
      </c>
      <c r="E241" s="348">
        <f>SUM(E237:E240)</f>
      </c>
      <c r="F241" s="348">
        <f>SUM(F237:F240)</f>
      </c>
      <c r="G241" s="348">
        <f>SUM(G237:G240)</f>
      </c>
      <c r="H241" s="348">
        <f>SUM(H237:H240)</f>
      </c>
      <c r="I241" s="348">
        <f>SUM(I237:I240)</f>
      </c>
      <c r="J241" s="348">
        <f>SUM(J237:J240)</f>
      </c>
      <c r="K241" s="348">
        <f>SUM(K237:K240)</f>
      </c>
      <c r="L241" s="348">
        <f>SUM(L237:L240)</f>
      </c>
      <c r="M241" s="348">
        <f>SUM(M237:M240)</f>
      </c>
      <c r="N241" s="421">
        <f t="shared" si="341"/>
      </c>
      <c r="O241" s="422">
        <f t="shared" si="267"/>
      </c>
      <c r="P241" s="351">
        <f t="shared" si="205"/>
      </c>
      <c r="Q241" s="352">
        <f t="shared" si="112"/>
      </c>
      <c r="R241" s="353">
        <f t="shared" si="50"/>
      </c>
      <c r="S241" s="354">
        <f t="shared" si="143"/>
      </c>
      <c r="T241" s="354">
        <f t="shared" si="19"/>
      </c>
      <c r="U241" s="353">
        <f t="shared" si="504"/>
      </c>
      <c r="V241" s="354">
        <f t="shared" si="473"/>
      </c>
      <c r="W241" s="354">
        <f t="shared" si="372"/>
      </c>
      <c r="X241" s="355">
        <f t="shared" si="298"/>
      </c>
      <c r="Y241" s="423">
        <f t="shared" si="236"/>
      </c>
      <c r="Z241" s="355">
        <f t="shared" si="174"/>
      </c>
      <c r="AA241" s="356">
        <f t="shared" si="81"/>
      </c>
      <c r="AB241" s="356"/>
      <c r="AC241" s="424"/>
      <c r="AD241" s="347">
        <f>SUM(AD237:AD240)</f>
      </c>
      <c r="AE241" s="347">
        <f>SUM(AE237:AE240)</f>
      </c>
      <c r="AF241" s="347">
        <f>SUM(AF237:AF240)</f>
      </c>
      <c r="AG241" s="347">
        <f>SUM(AG237:AG240)</f>
      </c>
      <c r="AH241" s="347">
        <f>SUM(AH237:AH240)</f>
      </c>
      <c r="AI241" s="347">
        <f>SUM(AI237:AI240)</f>
      </c>
      <c r="AJ241" s="347">
        <f>SUM(AJ237:AJ240)</f>
      </c>
      <c r="AK241" s="347">
        <f>SUM(AK237:AK240)</f>
      </c>
      <c r="AL241" s="347">
        <f>SUM(AL237:AL240)</f>
      </c>
      <c r="AM241" s="434"/>
    </row>
    <row r="242">
      <c r="A242" s="303"/>
      <c r="B242" s="304" t="s">
        <v>237</v>
      </c>
      <c r="C242" s="326" t="s">
        <v>231</v>
      </c>
      <c r="D242" s="334">
        <f t="shared" ref="D242:D245" si="406">E242+F242+G242+H242</f>
      </c>
      <c r="E242" s="334">
        <v>1554.6</v>
      </c>
      <c r="F242" s="326">
        <v>302.89</v>
      </c>
      <c r="G242" s="326">
        <v>0</v>
      </c>
      <c r="H242" s="326">
        <v>0</v>
      </c>
      <c r="I242" s="310">
        <v>0</v>
      </c>
      <c r="J242" s="310">
        <v>0</v>
      </c>
      <c r="K242" s="310">
        <v>0</v>
      </c>
      <c r="L242" s="310">
        <v>0</v>
      </c>
      <c r="M242" s="310">
        <v>0</v>
      </c>
      <c r="N242" s="413">
        <f t="shared" si="341"/>
      </c>
      <c r="O242" s="414">
        <f t="shared" si="267"/>
      </c>
      <c r="P242" s="358">
        <f t="shared" si="205"/>
      </c>
      <c r="Q242" s="359">
        <f t="shared" si="112"/>
      </c>
      <c r="R242" s="360">
        <f t="shared" si="50"/>
      </c>
      <c r="S242" s="361">
        <f t="shared" si="143"/>
      </c>
      <c r="T242" s="361">
        <f t="shared" si="19"/>
      </c>
      <c r="U242" s="360">
        <f t="shared" si="504"/>
      </c>
      <c r="V242" s="361">
        <f t="shared" si="473"/>
      </c>
      <c r="W242" s="361">
        <f t="shared" si="372"/>
      </c>
      <c r="X242" s="362">
        <f t="shared" si="298"/>
      </c>
      <c r="Y242" s="425">
        <f t="shared" si="236"/>
      </c>
      <c r="Z242" s="362">
        <f t="shared" si="174"/>
      </c>
      <c r="AA242" s="363">
        <f t="shared" si="81"/>
      </c>
      <c r="AB242" s="364" t="s">
        <v>232</v>
      </c>
      <c r="AC242" s="411" t="s">
        <v>233</v>
      </c>
      <c r="AD242" s="402">
        <v>0</v>
      </c>
      <c r="AE242" s="365">
        <v>4356</v>
      </c>
      <c r="AF242" s="365">
        <v>131</v>
      </c>
      <c r="AG242" s="310">
        <v>224</v>
      </c>
      <c r="AH242" s="365">
        <v>38</v>
      </c>
      <c r="AI242" s="365">
        <v>14</v>
      </c>
      <c r="AJ242" s="310">
        <v>1</v>
      </c>
      <c r="AK242" s="310">
        <v>7</v>
      </c>
      <c r="AL242" s="310">
        <v>1</v>
      </c>
      <c r="AM242" s="434"/>
    </row>
    <row r="243">
      <c r="A243" s="303"/>
      <c r="B243" s="304" t="s">
        <v>239</v>
      </c>
      <c r="C243" s="326" t="s">
        <v>231</v>
      </c>
      <c r="D243" s="334">
        <f t="shared" si="406"/>
      </c>
      <c r="E243" s="334">
        <v>1611.76</v>
      </c>
      <c r="F243" s="334">
        <v>633.99</v>
      </c>
      <c r="G243" s="326">
        <v>0</v>
      </c>
      <c r="H243" s="326">
        <v>0</v>
      </c>
      <c r="I243" s="310">
        <v>3</v>
      </c>
      <c r="J243" s="310">
        <v>5405</v>
      </c>
      <c r="K243" s="310">
        <v>0</v>
      </c>
      <c r="L243" s="310">
        <v>1</v>
      </c>
      <c r="M243" s="310">
        <v>2</v>
      </c>
      <c r="N243" s="413">
        <f t="shared" si="341"/>
      </c>
      <c r="O243" s="414">
        <f t="shared" si="267"/>
      </c>
      <c r="P243" s="358">
        <f t="shared" si="205"/>
      </c>
      <c r="Q243" s="359">
        <f t="shared" si="112"/>
      </c>
      <c r="R243" s="360">
        <f t="shared" si="50"/>
      </c>
      <c r="S243" s="361">
        <f t="shared" si="143"/>
      </c>
      <c r="T243" s="361">
        <f t="shared" si="19"/>
      </c>
      <c r="U243" s="360">
        <f t="shared" si="504"/>
      </c>
      <c r="V243" s="361">
        <f t="shared" si="473"/>
      </c>
      <c r="W243" s="361">
        <f t="shared" si="372"/>
      </c>
      <c r="X243" s="362">
        <f t="shared" si="298"/>
      </c>
      <c r="Y243" s="425">
        <f t="shared" si="236"/>
      </c>
      <c r="Z243" s="362">
        <f t="shared" si="174"/>
      </c>
      <c r="AA243" s="363">
        <f t="shared" si="81"/>
      </c>
      <c r="AB243" s="364" t="s">
        <v>232</v>
      </c>
      <c r="AC243" s="411" t="s">
        <v>233</v>
      </c>
      <c r="AD243" s="402">
        <v>2</v>
      </c>
      <c r="AE243" s="365">
        <v>4285</v>
      </c>
      <c r="AF243" s="365">
        <v>209</v>
      </c>
      <c r="AG243" s="365">
        <v>293</v>
      </c>
      <c r="AH243" s="365">
        <v>56</v>
      </c>
      <c r="AI243" s="365">
        <v>22</v>
      </c>
      <c r="AJ243" s="310">
        <v>2</v>
      </c>
      <c r="AK243" s="310">
        <v>14</v>
      </c>
      <c r="AL243" s="310">
        <v>1</v>
      </c>
      <c r="AM243" s="434"/>
    </row>
    <row r="244">
      <c r="A244" s="303"/>
      <c r="B244" s="304" t="s">
        <v>241</v>
      </c>
      <c r="C244" s="326" t="s">
        <v>231</v>
      </c>
      <c r="D244" s="334">
        <f t="shared" si="406"/>
      </c>
      <c r="E244" s="334">
        <v>2567.67</v>
      </c>
      <c r="F244" s="334">
        <v>729.02</v>
      </c>
      <c r="G244" s="326">
        <v>0</v>
      </c>
      <c r="H244" s="326">
        <v>0</v>
      </c>
      <c r="I244" s="310">
        <v>2</v>
      </c>
      <c r="J244" s="310">
        <v>4536</v>
      </c>
      <c r="K244" s="310">
        <v>0</v>
      </c>
      <c r="L244" s="310">
        <v>0</v>
      </c>
      <c r="M244" s="310">
        <v>2</v>
      </c>
      <c r="N244" s="413">
        <f t="shared" si="341"/>
      </c>
      <c r="O244" s="414">
        <f t="shared" si="267"/>
      </c>
      <c r="P244" s="358">
        <f t="shared" si="205"/>
      </c>
      <c r="Q244" s="359">
        <f t="shared" si="112"/>
      </c>
      <c r="R244" s="360">
        <f t="shared" si="50"/>
      </c>
      <c r="S244" s="361">
        <f t="shared" si="143"/>
      </c>
      <c r="T244" s="361">
        <f t="shared" si="19"/>
      </c>
      <c r="U244" s="360">
        <f t="shared" si="504"/>
      </c>
      <c r="V244" s="361">
        <f t="shared" si="473"/>
      </c>
      <c r="W244" s="361">
        <f t="shared" si="372"/>
      </c>
      <c r="X244" s="362">
        <f t="shared" si="298"/>
      </c>
      <c r="Y244" s="425">
        <f t="shared" si="236"/>
      </c>
      <c r="Z244" s="362">
        <f t="shared" si="174"/>
      </c>
      <c r="AA244" s="363">
        <f t="shared" si="81"/>
      </c>
      <c r="AB244" s="364" t="s">
        <v>232</v>
      </c>
      <c r="AC244" s="411" t="s">
        <v>233</v>
      </c>
      <c r="AD244" s="402">
        <v>3</v>
      </c>
      <c r="AE244" s="365">
        <v>6723</v>
      </c>
      <c r="AF244" s="365">
        <v>249</v>
      </c>
      <c r="AG244" s="365">
        <v>426</v>
      </c>
      <c r="AH244" s="365">
        <v>62</v>
      </c>
      <c r="AI244" s="365">
        <v>19</v>
      </c>
      <c r="AJ244" s="310">
        <v>4</v>
      </c>
      <c r="AK244" s="310">
        <v>16</v>
      </c>
      <c r="AL244" s="310">
        <v>1</v>
      </c>
      <c r="AM244" s="434"/>
    </row>
    <row r="245">
      <c r="A245" s="303"/>
      <c r="B245" s="304" t="s">
        <v>242</v>
      </c>
      <c r="C245" s="326" t="s">
        <v>231</v>
      </c>
      <c r="D245" s="334">
        <f t="shared" si="406"/>
      </c>
      <c r="E245" s="334">
        <v>2716.93</v>
      </c>
      <c r="F245" s="334">
        <v>318.79</v>
      </c>
      <c r="G245" s="326">
        <v>0</v>
      </c>
      <c r="H245" s="326">
        <v>0</v>
      </c>
      <c r="I245" s="310">
        <v>4</v>
      </c>
      <c r="J245" s="310">
        <v>6432</v>
      </c>
      <c r="K245" s="310">
        <v>0</v>
      </c>
      <c r="L245" s="310">
        <v>2</v>
      </c>
      <c r="M245" s="310">
        <v>2</v>
      </c>
      <c r="N245" s="413">
        <f t="shared" si="341"/>
      </c>
      <c r="O245" s="414">
        <f t="shared" si="267"/>
      </c>
      <c r="P245" s="358">
        <f t="shared" si="205"/>
      </c>
      <c r="Q245" s="359">
        <f t="shared" si="112"/>
      </c>
      <c r="R245" s="360">
        <f t="shared" si="50"/>
      </c>
      <c r="S245" s="361">
        <f t="shared" si="143"/>
      </c>
      <c r="T245" s="361">
        <f t="shared" si="19"/>
      </c>
      <c r="U245" s="360">
        <f t="shared" si="504"/>
      </c>
      <c r="V245" s="361">
        <f t="shared" si="473"/>
      </c>
      <c r="W245" s="361">
        <f t="shared" si="372"/>
      </c>
      <c r="X245" s="362">
        <f t="shared" si="298"/>
      </c>
      <c r="Y245" s="425">
        <f t="shared" si="236"/>
      </c>
      <c r="Z245" s="362">
        <f t="shared" si="174"/>
      </c>
      <c r="AA245" s="363">
        <f t="shared" si="81"/>
      </c>
      <c r="AB245" s="364" t="s">
        <v>232</v>
      </c>
      <c r="AC245" s="432" t="s">
        <v>233</v>
      </c>
      <c r="AD245" s="402">
        <v>3</v>
      </c>
      <c r="AE245" s="365">
        <v>7528</v>
      </c>
      <c r="AF245" s="365">
        <v>251</v>
      </c>
      <c r="AG245" s="365">
        <v>478</v>
      </c>
      <c r="AH245" s="365">
        <v>60</v>
      </c>
      <c r="AI245" s="365">
        <v>14</v>
      </c>
      <c r="AJ245" s="310">
        <v>7</v>
      </c>
      <c r="AK245" s="310">
        <v>13</v>
      </c>
      <c r="AL245" s="310">
        <v>1</v>
      </c>
      <c r="AM245" s="434"/>
    </row>
    <row r="246">
      <c r="A246" s="303"/>
      <c r="B246" s="347" t="s">
        <v>238</v>
      </c>
      <c r="C246" s="347"/>
      <c r="D246" s="348">
        <f>SUM(D242:D245)</f>
      </c>
      <c r="E246" s="348">
        <f>SUM(E242:E245)</f>
      </c>
      <c r="F246" s="348">
        <f>SUM(F242:F245)</f>
      </c>
      <c r="G246" s="348">
        <f>SUM(G242:G245)</f>
      </c>
      <c r="H246" s="348">
        <f>SUM(H242:H245)</f>
      </c>
      <c r="I246" s="348">
        <f>SUM(I242:I245)</f>
      </c>
      <c r="J246" s="348">
        <f>SUM(J242:J245)</f>
      </c>
      <c r="K246" s="348">
        <f>SUM(K242:K245)</f>
      </c>
      <c r="L246" s="348">
        <f>SUM(L242:L245)</f>
      </c>
      <c r="M246" s="348">
        <f>SUM(M242:M245)</f>
      </c>
      <c r="N246" s="421">
        <f t="shared" si="341"/>
      </c>
      <c r="O246" s="422">
        <f t="shared" si="267"/>
      </c>
      <c r="P246" s="370">
        <f t="shared" si="205"/>
      </c>
      <c r="Q246" s="352">
        <f t="shared" si="112"/>
      </c>
      <c r="R246" s="353">
        <f t="shared" si="50"/>
      </c>
      <c r="S246" s="354">
        <f t="shared" si="143"/>
      </c>
      <c r="T246" s="354">
        <f t="shared" si="19"/>
      </c>
      <c r="U246" s="353">
        <f t="shared" si="504"/>
      </c>
      <c r="V246" s="354">
        <f t="shared" si="473"/>
      </c>
      <c r="W246" s="354">
        <f t="shared" si="372"/>
      </c>
      <c r="X246" s="355">
        <f t="shared" si="298"/>
      </c>
      <c r="Y246" s="423">
        <f t="shared" si="236"/>
      </c>
      <c r="Z246" s="355">
        <f t="shared" si="174"/>
      </c>
      <c r="AA246" s="356">
        <f t="shared" si="81"/>
      </c>
      <c r="AB246" s="356"/>
      <c r="AC246" s="424"/>
      <c r="AD246" s="347">
        <f>SUM(AD242:AD245)</f>
      </c>
      <c r="AE246" s="347">
        <f>SUM(AE242:AE245)</f>
      </c>
      <c r="AF246" s="347">
        <f>SUM(AF242:AF245)</f>
      </c>
      <c r="AG246" s="347">
        <f>SUM(AG242:AG245)</f>
      </c>
      <c r="AH246" s="347">
        <f>SUM(AH242:AH245)</f>
      </c>
      <c r="AI246" s="347">
        <f>SUM(AI242:AI245)</f>
      </c>
      <c r="AJ246" s="347">
        <f>SUM(AJ242:AJ245)</f>
      </c>
      <c r="AK246" s="347">
        <f>SUM(AK242:AK245)</f>
      </c>
      <c r="AL246" s="347">
        <f>SUM(AL242:AL245)</f>
      </c>
      <c r="AM246" s="434"/>
    </row>
    <row r="247">
      <c r="A247" s="303"/>
      <c r="B247" s="304" t="s">
        <v>243</v>
      </c>
      <c r="C247" s="326" t="s">
        <v>247</v>
      </c>
      <c r="D247" s="334">
        <f t="shared" ref="D247:D250" si="407">E247+F247+G247+H247</f>
      </c>
      <c r="E247" s="334">
        <v>2402.61</v>
      </c>
      <c r="F247" s="334">
        <v>243.39</v>
      </c>
      <c r="G247" s="326">
        <v>0</v>
      </c>
      <c r="H247" s="326">
        <v>0</v>
      </c>
      <c r="I247" s="310">
        <v>0</v>
      </c>
      <c r="J247" s="345">
        <v>0</v>
      </c>
      <c r="K247" s="303">
        <v>0</v>
      </c>
      <c r="L247" s="303">
        <v>0</v>
      </c>
      <c r="M247" s="305">
        <v>0</v>
      </c>
      <c r="N247" s="413">
        <f t="shared" si="341"/>
      </c>
      <c r="O247" s="414">
        <f t="shared" si="267"/>
      </c>
      <c r="P247" s="368">
        <f t="shared" si="205"/>
      </c>
      <c r="Q247" s="359">
        <f t="shared" si="112"/>
      </c>
      <c r="R247" s="360">
        <f t="shared" si="50"/>
      </c>
      <c r="S247" s="361">
        <f t="shared" si="143"/>
      </c>
      <c r="T247" s="361">
        <f t="shared" si="19"/>
      </c>
      <c r="U247" s="360">
        <f t="shared" si="504"/>
      </c>
      <c r="V247" s="361">
        <f t="shared" si="473"/>
      </c>
      <c r="W247" s="361">
        <f t="shared" si="372"/>
      </c>
      <c r="X247" s="362">
        <f t="shared" si="298"/>
      </c>
      <c r="Y247" s="425">
        <f t="shared" si="236"/>
      </c>
      <c r="Z247" s="362">
        <f t="shared" si="174"/>
      </c>
      <c r="AA247" s="363">
        <f t="shared" si="81"/>
      </c>
      <c r="AB247" s="364" t="s">
        <v>232</v>
      </c>
      <c r="AC247" s="411" t="s">
        <v>262</v>
      </c>
      <c r="AD247" s="402">
        <v>0</v>
      </c>
      <c r="AE247" s="365">
        <v>6162</v>
      </c>
      <c r="AF247" s="365">
        <v>189</v>
      </c>
      <c r="AG247" s="365">
        <v>357</v>
      </c>
      <c r="AH247" s="365">
        <v>49</v>
      </c>
      <c r="AI247" s="365">
        <v>27</v>
      </c>
      <c r="AJ247" s="310">
        <v>3</v>
      </c>
      <c r="AK247" s="310">
        <v>5</v>
      </c>
      <c r="AL247" s="310">
        <v>1</v>
      </c>
      <c r="AM247" s="434"/>
    </row>
    <row r="248">
      <c r="A248" s="303"/>
      <c r="B248" s="304" t="s">
        <v>245</v>
      </c>
      <c r="C248" s="326" t="s">
        <v>247</v>
      </c>
      <c r="D248" s="334">
        <f t="shared" si="407"/>
      </c>
      <c r="E248" s="334">
        <v>1533.87</v>
      </c>
      <c r="F248" s="334">
        <v>423.36</v>
      </c>
      <c r="G248" s="326">
        <v>0</v>
      </c>
      <c r="H248" s="326">
        <v>0</v>
      </c>
      <c r="I248" s="310">
        <v>1</v>
      </c>
      <c r="J248" s="345">
        <v>468</v>
      </c>
      <c r="K248" s="303">
        <v>1</v>
      </c>
      <c r="L248" s="303">
        <v>0</v>
      </c>
      <c r="M248" s="305">
        <v>0</v>
      </c>
      <c r="N248" s="413">
        <f t="shared" si="341"/>
      </c>
      <c r="O248" s="414">
        <f t="shared" si="267"/>
      </c>
      <c r="P248" s="368">
        <f t="shared" si="205"/>
      </c>
      <c r="Q248" s="359">
        <f t="shared" si="112"/>
      </c>
      <c r="R248" s="360">
        <f t="shared" si="50"/>
      </c>
      <c r="S248" s="361">
        <f t="shared" si="143"/>
      </c>
      <c r="T248" s="361">
        <f t="shared" si="19"/>
      </c>
      <c r="U248" s="360">
        <f t="shared" si="504"/>
      </c>
      <c r="V248" s="361">
        <f t="shared" si="473"/>
      </c>
      <c r="W248" s="361">
        <f t="shared" si="372"/>
      </c>
      <c r="X248" s="362">
        <f t="shared" si="298"/>
      </c>
      <c r="Y248" s="425">
        <f t="shared" si="236"/>
      </c>
      <c r="Z248" s="362">
        <f t="shared" si="174"/>
      </c>
      <c r="AA248" s="363">
        <f t="shared" si="81"/>
      </c>
      <c r="AB248" s="364" t="s">
        <v>232</v>
      </c>
      <c r="AC248" s="411" t="s">
        <v>262</v>
      </c>
      <c r="AD248" s="402">
        <v>1</v>
      </c>
      <c r="AE248" s="365">
        <v>4839</v>
      </c>
      <c r="AF248" s="365">
        <v>130</v>
      </c>
      <c r="AG248" s="365">
        <v>248</v>
      </c>
      <c r="AH248" s="365">
        <v>36</v>
      </c>
      <c r="AI248" s="365">
        <v>10</v>
      </c>
      <c r="AJ248" s="310">
        <v>1</v>
      </c>
      <c r="AK248" s="310">
        <v>11</v>
      </c>
      <c r="AL248" s="310">
        <v>1</v>
      </c>
      <c r="AM248" s="434"/>
    </row>
    <row r="249">
      <c r="A249" s="303"/>
      <c r="B249" s="304" t="s">
        <v>246</v>
      </c>
      <c r="C249" s="326" t="s">
        <v>247</v>
      </c>
      <c r="D249" s="334">
        <f t="shared" si="407"/>
      </c>
      <c r="E249" s="326">
        <v>1869.21</v>
      </c>
      <c r="F249" s="326">
        <v>765.52</v>
      </c>
      <c r="G249" s="326">
        <v>0</v>
      </c>
      <c r="H249" s="326">
        <v>0</v>
      </c>
      <c r="I249" s="365">
        <v>5</v>
      </c>
      <c r="J249" s="369">
        <v>11340</v>
      </c>
      <c r="K249" s="303">
        <v>0</v>
      </c>
      <c r="L249" s="303">
        <v>0</v>
      </c>
      <c r="M249" s="305">
        <v>5</v>
      </c>
      <c r="N249" s="413">
        <f t="shared" si="341"/>
      </c>
      <c r="O249" s="414">
        <f t="shared" si="267"/>
      </c>
      <c r="P249" s="368">
        <f t="shared" si="205"/>
      </c>
      <c r="Q249" s="359">
        <f t="shared" si="112"/>
      </c>
      <c r="R249" s="360">
        <f t="shared" si="50"/>
      </c>
      <c r="S249" s="361">
        <f t="shared" si="143"/>
      </c>
      <c r="T249" s="361">
        <f t="shared" si="19"/>
      </c>
      <c r="U249" s="360">
        <f t="shared" si="504"/>
      </c>
      <c r="V249" s="361">
        <f t="shared" si="473"/>
      </c>
      <c r="W249" s="361">
        <f t="shared" si="372"/>
      </c>
      <c r="X249" s="362">
        <f t="shared" si="298"/>
      </c>
      <c r="Y249" s="425">
        <f t="shared" si="236"/>
      </c>
      <c r="Z249" s="362">
        <f t="shared" si="174"/>
      </c>
      <c r="AA249" s="363">
        <f t="shared" si="81"/>
      </c>
      <c r="AB249" s="364" t="s">
        <v>232</v>
      </c>
      <c r="AC249" s="411" t="s">
        <v>262</v>
      </c>
      <c r="AD249" s="402">
        <v>2</v>
      </c>
      <c r="AE249" s="365">
        <v>6483</v>
      </c>
      <c r="AF249" s="365">
        <v>185</v>
      </c>
      <c r="AG249" s="365">
        <v>371</v>
      </c>
      <c r="AH249" s="365">
        <v>49</v>
      </c>
      <c r="AI249" s="365">
        <v>16</v>
      </c>
      <c r="AJ249" s="310">
        <v>7</v>
      </c>
      <c r="AK249" s="310">
        <v>16</v>
      </c>
      <c r="AL249" s="310">
        <v>1</v>
      </c>
      <c r="AM249" s="434"/>
    </row>
    <row r="250">
      <c r="A250" s="303"/>
      <c r="B250" s="304" t="s">
        <v>248</v>
      </c>
      <c r="C250" s="326" t="s">
        <v>247</v>
      </c>
      <c r="D250" s="334">
        <f t="shared" si="407"/>
      </c>
      <c r="E250" s="326">
        <v>2028.31</v>
      </c>
      <c r="F250" s="326">
        <v>261.14</v>
      </c>
      <c r="G250" s="326">
        <v>0</v>
      </c>
      <c r="H250" s="326">
        <v>0</v>
      </c>
      <c r="I250" s="310">
        <v>2</v>
      </c>
      <c r="J250" s="345">
        <v>4536</v>
      </c>
      <c r="K250" s="326">
        <v>0</v>
      </c>
      <c r="L250" s="326">
        <v>0</v>
      </c>
      <c r="M250" s="326">
        <v>2</v>
      </c>
      <c r="N250" s="413">
        <f t="shared" si="341"/>
      </c>
      <c r="O250" s="414">
        <f t="shared" si="267"/>
      </c>
      <c r="P250" s="358">
        <f t="shared" si="205"/>
      </c>
      <c r="Q250" s="359">
        <f t="shared" si="112"/>
      </c>
      <c r="R250" s="360">
        <f t="shared" si="50"/>
      </c>
      <c r="S250" s="361">
        <f t="shared" si="143"/>
      </c>
      <c r="T250" s="361">
        <f t="shared" si="19"/>
      </c>
      <c r="U250" s="360">
        <f t="shared" si="504"/>
      </c>
      <c r="V250" s="361">
        <f t="shared" si="473"/>
      </c>
      <c r="W250" s="361">
        <f t="shared" si="372"/>
      </c>
      <c r="X250" s="362">
        <f t="shared" si="298"/>
      </c>
      <c r="Y250" s="425">
        <f t="shared" si="236"/>
      </c>
      <c r="Z250" s="362">
        <f t="shared" si="174"/>
      </c>
      <c r="AA250" s="363">
        <f t="shared" si="81"/>
      </c>
      <c r="AB250" s="364" t="s">
        <v>232</v>
      </c>
      <c r="AC250" s="411" t="s">
        <v>262</v>
      </c>
      <c r="AD250" s="402">
        <v>1</v>
      </c>
      <c r="AE250" s="365">
        <v>5810</v>
      </c>
      <c r="AF250" s="365">
        <v>183</v>
      </c>
      <c r="AG250" s="365">
        <v>348</v>
      </c>
      <c r="AH250" s="365">
        <v>47</v>
      </c>
      <c r="AI250" s="365">
        <v>16</v>
      </c>
      <c r="AJ250" s="310">
        <v>2</v>
      </c>
      <c r="AK250" s="310">
        <v>12</v>
      </c>
      <c r="AL250" s="310">
        <v>1</v>
      </c>
      <c r="AM250" s="434"/>
    </row>
    <row r="251">
      <c r="A251" s="303"/>
      <c r="B251" s="347" t="s">
        <v>238</v>
      </c>
      <c r="C251" s="347"/>
      <c r="D251" s="348">
        <f>SUM(D247:D250)</f>
      </c>
      <c r="E251" s="348">
        <f>SUM(E247:E250)</f>
      </c>
      <c r="F251" s="348">
        <f>SUM(F247:F250)</f>
      </c>
      <c r="G251" s="348">
        <f>SUM(G247:G250)</f>
      </c>
      <c r="H251" s="348">
        <f>SUM(H247:H250)</f>
      </c>
      <c r="I251" s="348">
        <f>SUM(I247:I250)</f>
      </c>
      <c r="J251" s="348">
        <f>SUM(J247:J250)</f>
      </c>
      <c r="K251" s="348">
        <f>SUM(K247:K250)</f>
      </c>
      <c r="L251" s="348">
        <f>SUM(L247:L250)</f>
      </c>
      <c r="M251" s="348">
        <f>SUM(M247:M250)</f>
      </c>
      <c r="N251" s="421">
        <f t="shared" si="341"/>
      </c>
      <c r="O251" s="422">
        <f t="shared" si="267"/>
      </c>
      <c r="P251" s="370">
        <f t="shared" si="205"/>
      </c>
      <c r="Q251" s="352">
        <f t="shared" si="112"/>
      </c>
      <c r="R251" s="353">
        <f t="shared" si="50"/>
      </c>
      <c r="S251" s="354">
        <f t="shared" si="143"/>
      </c>
      <c r="T251" s="354">
        <f t="shared" si="19"/>
      </c>
      <c r="U251" s="353">
        <f t="shared" si="504"/>
      </c>
      <c r="V251" s="354">
        <f t="shared" si="473"/>
      </c>
      <c r="W251" s="354">
        <f t="shared" si="372"/>
      </c>
      <c r="X251" s="355">
        <f t="shared" si="298"/>
      </c>
      <c r="Y251" s="423">
        <f t="shared" si="236"/>
      </c>
      <c r="Z251" s="355">
        <f t="shared" si="174"/>
      </c>
      <c r="AA251" s="356">
        <f t="shared" si="81"/>
      </c>
      <c r="AB251" s="356"/>
      <c r="AC251" s="356"/>
      <c r="AD251" s="348">
        <f>SUM(AD247:AD250)</f>
      </c>
      <c r="AE251" s="348">
        <f>SUM(AE247:AE250)</f>
      </c>
      <c r="AF251" s="348">
        <f>SUM(AF247:AF250)</f>
      </c>
      <c r="AG251" s="348">
        <f>SUM(AG247:AG250)</f>
      </c>
      <c r="AH251" s="348">
        <f>SUM(AH247:AH250)</f>
      </c>
      <c r="AI251" s="348">
        <f>SUM(AI247:AI250)</f>
      </c>
      <c r="AJ251" s="348">
        <f>SUM(AJ247:AJ250)</f>
      </c>
      <c r="AK251" s="348">
        <f>SUM(AK247:AK250)</f>
      </c>
      <c r="AL251" s="348">
        <f>SUM(AL247:AL250)</f>
      </c>
      <c r="AM251" s="426" t="s">
        <v>249</v>
      </c>
    </row>
    <row r="252">
      <c r="A252" s="303"/>
      <c r="B252" s="373" t="s">
        <v>250</v>
      </c>
      <c r="C252" s="373"/>
      <c r="D252" s="373">
        <f>D241+D246+D251</f>
      </c>
      <c r="E252" s="373">
        <f>E241+E246+E251</f>
      </c>
      <c r="F252" s="373">
        <f>F241+F246+F251</f>
      </c>
      <c r="G252" s="373">
        <f>G241+G246+G251</f>
      </c>
      <c r="H252" s="373">
        <f>H241+H246+H251</f>
      </c>
      <c r="I252" s="373">
        <f>I241+I246+I251</f>
      </c>
      <c r="J252" s="374">
        <f>J241+J246+J251</f>
      </c>
      <c r="K252" s="374">
        <f>K241+K246+K251</f>
      </c>
      <c r="L252" s="374">
        <f>L241+L246+L251</f>
      </c>
      <c r="M252" s="374">
        <f>M241+M246+M251</f>
      </c>
      <c r="N252" s="427">
        <f t="shared" si="341"/>
      </c>
      <c r="O252" s="427">
        <f t="shared" si="267"/>
      </c>
      <c r="P252" s="377">
        <f t="shared" si="205"/>
      </c>
      <c r="Q252" s="378">
        <f t="shared" si="112"/>
      </c>
      <c r="R252" s="379">
        <f t="shared" si="50"/>
      </c>
      <c r="S252" s="380">
        <f t="shared" si="143"/>
      </c>
      <c r="T252" s="380">
        <f t="shared" si="19"/>
      </c>
      <c r="U252" s="379">
        <f t="shared" si="504"/>
      </c>
      <c r="V252" s="380">
        <f t="shared" si="473"/>
      </c>
      <c r="W252" s="380">
        <f t="shared" si="372"/>
      </c>
      <c r="X252" s="379">
        <f t="shared" si="298"/>
      </c>
      <c r="Y252" s="428">
        <f t="shared" si="236"/>
      </c>
      <c r="Z252" s="379">
        <f t="shared" si="174"/>
      </c>
      <c r="AA252" s="381">
        <f t="shared" si="81"/>
      </c>
      <c r="AB252" s="381"/>
      <c r="AC252" s="381"/>
      <c r="AD252" s="373">
        <f>AD241+AD246+AD251</f>
      </c>
      <c r="AE252" s="373">
        <f>AE241+AE246+AE251</f>
      </c>
      <c r="AF252" s="373">
        <f>AF241+AF246+AF251</f>
      </c>
      <c r="AG252" s="373">
        <f>AG241+AG246+AG251</f>
      </c>
      <c r="AH252" s="373">
        <f>AH241+AH246+AH251</f>
      </c>
      <c r="AI252" s="373">
        <f>AI241+AI246+AI251</f>
      </c>
      <c r="AJ252" s="373">
        <f>AJ241+AJ246+AJ251</f>
      </c>
      <c r="AK252" s="373">
        <f>AK241+AK246+AK251</f>
      </c>
      <c r="AL252" s="373">
        <f>AL241+AL246+AL251</f>
      </c>
      <c r="AM252" s="426"/>
    </row>
    <row r="253">
      <c r="A253" s="389" t="s">
        <v>189</v>
      </c>
      <c r="B253" s="389"/>
      <c r="C253" s="389"/>
      <c r="D253" s="390" t="s">
        <v>190</v>
      </c>
      <c r="E253" s="390"/>
      <c r="F253" s="390"/>
      <c r="G253" s="390"/>
      <c r="H253" s="390"/>
      <c r="I253" s="390"/>
      <c r="J253" s="390"/>
      <c r="K253" s="390"/>
      <c r="L253" s="390"/>
      <c r="M253" s="390"/>
      <c r="N253" s="390"/>
      <c r="O253" s="390"/>
      <c r="P253" s="391" t="s">
        <v>191</v>
      </c>
      <c r="Q253" s="391"/>
      <c r="R253" s="391"/>
      <c r="S253" s="391"/>
      <c r="T253" s="391"/>
      <c r="U253" s="391"/>
      <c r="V253" s="391"/>
      <c r="W253" s="391"/>
      <c r="X253" s="391"/>
      <c r="Y253" s="391"/>
      <c r="Z253" s="391"/>
      <c r="AA253" s="391"/>
      <c r="AB253" s="391"/>
      <c r="AC253" s="391"/>
      <c r="AD253" s="392" t="s">
        <v>192</v>
      </c>
      <c r="AE253" s="392"/>
      <c r="AF253" s="392"/>
      <c r="AG253" s="392"/>
      <c r="AH253" s="392"/>
      <c r="AI253" s="392"/>
      <c r="AJ253" s="392"/>
      <c r="AK253" s="392"/>
      <c r="AL253" s="392"/>
      <c r="AM253" s="433"/>
    </row>
    <row r="254">
      <c r="A254" s="287" t="s">
        <v>193</v>
      </c>
      <c r="B254" s="288" t="s">
        <v>194</v>
      </c>
      <c r="C254" s="288" t="s">
        <v>195</v>
      </c>
      <c r="D254" s="289" t="s">
        <v>196</v>
      </c>
      <c r="E254" s="290" t="s">
        <v>197</v>
      </c>
      <c r="F254" s="394" t="s">
        <v>198</v>
      </c>
      <c r="G254" s="394" t="s">
        <v>256</v>
      </c>
      <c r="H254" s="395" t="s">
        <v>260</v>
      </c>
      <c r="I254" s="429" t="s">
        <v>199</v>
      </c>
      <c r="J254" s="430" t="s">
        <v>200</v>
      </c>
      <c r="K254" s="431" t="s">
        <v>201</v>
      </c>
      <c r="L254" s="397" t="s">
        <v>202</v>
      </c>
      <c r="M254" s="397" t="s">
        <v>203</v>
      </c>
      <c r="N254" s="295" t="s">
        <v>204</v>
      </c>
      <c r="O254" s="398" t="s">
        <v>205</v>
      </c>
      <c r="P254" s="296" t="s">
        <v>206</v>
      </c>
      <c r="Q254" s="296" t="s">
        <v>207</v>
      </c>
      <c r="R254" s="296" t="s">
        <v>208</v>
      </c>
      <c r="S254" s="297" t="s">
        <v>209</v>
      </c>
      <c r="T254" s="297" t="s">
        <v>210</v>
      </c>
      <c r="U254" s="296" t="s">
        <v>211</v>
      </c>
      <c r="V254" s="297" t="s">
        <v>212</v>
      </c>
      <c r="W254" s="297" t="s">
        <v>213</v>
      </c>
      <c r="X254" s="296" t="s">
        <v>214</v>
      </c>
      <c r="Y254" s="297" t="s">
        <v>215</v>
      </c>
      <c r="Z254" s="296" t="s">
        <v>216</v>
      </c>
      <c r="AA254" s="298" t="s">
        <v>217</v>
      </c>
      <c r="AB254" s="298" t="s">
        <v>218</v>
      </c>
      <c r="AC254" s="299" t="s">
        <v>219</v>
      </c>
      <c r="AD254" s="300" t="s">
        <v>220</v>
      </c>
      <c r="AE254" s="301" t="s">
        <v>221</v>
      </c>
      <c r="AF254" s="301" t="s">
        <v>222</v>
      </c>
      <c r="AG254" s="301" t="s">
        <v>223</v>
      </c>
      <c r="AH254" s="301" t="s">
        <v>224</v>
      </c>
      <c r="AI254" s="301" t="s">
        <v>225</v>
      </c>
      <c r="AJ254" s="302" t="s">
        <v>226</v>
      </c>
      <c r="AK254" s="302" t="s">
        <v>227</v>
      </c>
      <c r="AL254" s="302" t="s">
        <v>228</v>
      </c>
      <c r="AM254" s="433"/>
    </row>
    <row r="255">
      <c r="A255" s="303" t="s">
        <v>268</v>
      </c>
      <c r="B255" s="304" t="s">
        <v>230</v>
      </c>
      <c r="C255" s="305" t="s">
        <v>240</v>
      </c>
      <c r="D255" s="401">
        <f t="shared" ref="D255:D258" si="408">E255+F255+G255+H255</f>
      </c>
      <c r="E255" s="307">
        <v>2556.65</v>
      </c>
      <c r="F255" s="307">
        <v>829.28</v>
      </c>
      <c r="G255" s="307">
        <v>0</v>
      </c>
      <c r="H255" s="307">
        <v>0</v>
      </c>
      <c r="I255" s="306">
        <v>1</v>
      </c>
      <c r="J255" s="324">
        <v>2080</v>
      </c>
      <c r="K255" s="309">
        <v>0</v>
      </c>
      <c r="L255" s="310">
        <v>0</v>
      </c>
      <c r="M255" s="310">
        <v>1</v>
      </c>
      <c r="N255" s="403">
        <f t="shared" ref="N255:N270" si="342">J255/D255</f>
      </c>
      <c r="O255" s="404">
        <f t="shared" ref="O255:O270" si="268">J255/(D255+300*AL255)</f>
      </c>
      <c r="P255" s="358">
        <f t="shared" ref="P255:P270" si="206">(D255/AE255)*1000</f>
      </c>
      <c r="Q255" s="405">
        <f t="shared" ref="Q255:Q270" si="113">AF255/AE255</f>
      </c>
      <c r="R255" s="406">
        <f t="shared" ref="R255:R270" si="51">D255/AG255</f>
      </c>
      <c r="S255" s="407">
        <f t="shared" ref="S255:S270" si="144">AH255/AG255</f>
      </c>
      <c r="T255" s="405">
        <f t="shared" ref="T255:T270" si="20">AI255/AG255</f>
      </c>
      <c r="U255" s="408">
        <f t="shared" ref="U255:U270" si="505">D255/AI255</f>
      </c>
      <c r="V255" s="405">
        <f t="shared" ref="V255:V270" si="474">AJ255/AI255</f>
      </c>
      <c r="W255" s="409">
        <f t="shared" ref="W255:W270" si="373">I255/AJ255</f>
      </c>
      <c r="X255" s="406">
        <f t="shared" ref="X255:X270" si="299">D255/I255</f>
      </c>
      <c r="Y255" s="410">
        <f t="shared" ref="Y255:Y270" si="237">J255/I255</f>
      </c>
      <c r="Z255" s="406">
        <f t="shared" ref="Z255:Z270" si="175">D255/AD255</f>
      </c>
      <c r="AA255" s="320">
        <f t="shared" ref="AA255:AA270" si="82">AK255*1000/D255</f>
      </c>
      <c r="AB255" s="321" t="s">
        <v>232</v>
      </c>
      <c r="AC255" s="411" t="s">
        <v>233</v>
      </c>
      <c r="AD255" s="334">
        <v>1</v>
      </c>
      <c r="AE255" s="334">
        <v>7264</v>
      </c>
      <c r="AF255" s="304">
        <v>370</v>
      </c>
      <c r="AG255" s="304">
        <v>517</v>
      </c>
      <c r="AH255" s="304">
        <v>81</v>
      </c>
      <c r="AI255" s="334">
        <v>30</v>
      </c>
      <c r="AJ255" s="325">
        <v>4</v>
      </c>
      <c r="AK255" s="326">
        <v>18</v>
      </c>
      <c r="AL255" s="310">
        <v>1</v>
      </c>
      <c r="AM255" s="434"/>
    </row>
    <row r="256">
      <c r="A256" s="303"/>
      <c r="B256" s="304" t="s">
        <v>234</v>
      </c>
      <c r="C256" s="305" t="s">
        <v>240</v>
      </c>
      <c r="D256" s="401">
        <f t="shared" si="408"/>
      </c>
      <c r="E256" s="307">
        <v>2663.71</v>
      </c>
      <c r="F256" s="307">
        <v>1133.73</v>
      </c>
      <c r="G256" s="307">
        <v>0</v>
      </c>
      <c r="H256" s="307">
        <v>0</v>
      </c>
      <c r="I256" s="306">
        <v>6</v>
      </c>
      <c r="J256" s="324">
        <v>3164.6000000000004</v>
      </c>
      <c r="K256" s="342">
        <v>0</v>
      </c>
      <c r="L256" s="342">
        <v>3</v>
      </c>
      <c r="M256" s="342">
        <v>0</v>
      </c>
      <c r="N256" s="413">
        <f t="shared" si="342"/>
      </c>
      <c r="O256" s="414">
        <f t="shared" si="268"/>
      </c>
      <c r="P256" s="358">
        <f t="shared" si="206"/>
      </c>
      <c r="Q256" s="405">
        <f t="shared" si="113"/>
      </c>
      <c r="R256" s="415">
        <f t="shared" si="51"/>
      </c>
      <c r="S256" s="407">
        <f t="shared" si="144"/>
      </c>
      <c r="T256" s="405">
        <f t="shared" si="20"/>
      </c>
      <c r="U256" s="408">
        <f t="shared" si="505"/>
      </c>
      <c r="V256" s="405">
        <f t="shared" si="474"/>
      </c>
      <c r="W256" s="409">
        <f t="shared" si="373"/>
      </c>
      <c r="X256" s="406">
        <f t="shared" si="299"/>
      </c>
      <c r="Y256" s="410">
        <f t="shared" si="237"/>
      </c>
      <c r="Z256" s="406">
        <f t="shared" si="175"/>
      </c>
      <c r="AA256" s="331">
        <f t="shared" si="82"/>
      </c>
      <c r="AB256" s="332" t="s">
        <v>232</v>
      </c>
      <c r="AC256" s="411" t="s">
        <v>233</v>
      </c>
      <c r="AD256" s="334">
        <v>4</v>
      </c>
      <c r="AE256" s="334">
        <v>6827</v>
      </c>
      <c r="AF256" s="304">
        <v>326</v>
      </c>
      <c r="AG256" s="333">
        <v>449</v>
      </c>
      <c r="AH256" s="334">
        <v>94</v>
      </c>
      <c r="AI256" s="334">
        <v>31</v>
      </c>
      <c r="AJ256" s="335">
        <v>8</v>
      </c>
      <c r="AK256" s="336">
        <v>19</v>
      </c>
      <c r="AL256" s="310">
        <v>1</v>
      </c>
      <c r="AM256" s="434"/>
    </row>
    <row r="257">
      <c r="A257" s="303"/>
      <c r="B257" s="304" t="s">
        <v>235</v>
      </c>
      <c r="C257" s="305" t="s">
        <v>240</v>
      </c>
      <c r="D257" s="401">
        <f t="shared" si="408"/>
      </c>
      <c r="E257" s="307">
        <v>4141.76</v>
      </c>
      <c r="F257" s="307">
        <v>499.36</v>
      </c>
      <c r="G257" s="307">
        <v>0</v>
      </c>
      <c r="H257" s="307">
        <v>0</v>
      </c>
      <c r="I257" s="307">
        <v>3</v>
      </c>
      <c r="J257" s="307">
        <v>5483.999999999998</v>
      </c>
      <c r="K257" s="307">
        <v>0</v>
      </c>
      <c r="L257" s="307">
        <v>1</v>
      </c>
      <c r="M257" s="307">
        <v>2</v>
      </c>
      <c r="N257" s="413">
        <f t="shared" si="342"/>
      </c>
      <c r="O257" s="414">
        <f t="shared" si="268"/>
      </c>
      <c r="P257" s="358">
        <f t="shared" si="206"/>
      </c>
      <c r="Q257" s="407">
        <f t="shared" si="113"/>
      </c>
      <c r="R257" s="406">
        <f t="shared" si="51"/>
      </c>
      <c r="S257" s="409">
        <f t="shared" si="144"/>
      </c>
      <c r="T257" s="418">
        <f t="shared" si="20"/>
      </c>
      <c r="U257" s="419">
        <f t="shared" si="505"/>
      </c>
      <c r="V257" s="418">
        <f t="shared" si="474"/>
      </c>
      <c r="W257" s="405">
        <f t="shared" si="373"/>
      </c>
      <c r="X257" s="406">
        <f t="shared" si="299"/>
      </c>
      <c r="Y257" s="410">
        <f t="shared" si="237"/>
      </c>
      <c r="Z257" s="406">
        <f t="shared" si="175"/>
      </c>
      <c r="AA257" s="331">
        <f t="shared" si="82"/>
      </c>
      <c r="AB257" s="332" t="s">
        <v>232</v>
      </c>
      <c r="AC257" s="411" t="s">
        <v>233</v>
      </c>
      <c r="AD257" s="326">
        <v>3</v>
      </c>
      <c r="AE257" s="334">
        <v>12356</v>
      </c>
      <c r="AF257" s="304">
        <v>348</v>
      </c>
      <c r="AG257" s="334">
        <v>481</v>
      </c>
      <c r="AH257" s="334">
        <v>98</v>
      </c>
      <c r="AI257" s="334">
        <v>28</v>
      </c>
      <c r="AJ257" s="335">
        <v>5</v>
      </c>
      <c r="AK257" s="336">
        <v>20</v>
      </c>
      <c r="AL257" s="310">
        <v>1</v>
      </c>
      <c r="AM257" s="434"/>
    </row>
    <row r="258">
      <c r="A258" s="303"/>
      <c r="B258" s="304" t="s">
        <v>236</v>
      </c>
      <c r="C258" s="305" t="s">
        <v>240</v>
      </c>
      <c r="D258" s="401">
        <f t="shared" si="408"/>
      </c>
      <c r="E258" s="306">
        <v>2625.73</v>
      </c>
      <c r="F258" s="307">
        <v>260.92</v>
      </c>
      <c r="G258" s="307">
        <v>0</v>
      </c>
      <c r="H258" s="307">
        <v>0</v>
      </c>
      <c r="I258" s="307">
        <v>2</v>
      </c>
      <c r="J258" s="307">
        <v>4536</v>
      </c>
      <c r="K258" s="307">
        <v>0</v>
      </c>
      <c r="L258" s="307">
        <v>0</v>
      </c>
      <c r="M258" s="307">
        <v>2</v>
      </c>
      <c r="N258" s="413">
        <f t="shared" si="342"/>
      </c>
      <c r="O258" s="414">
        <f t="shared" si="268"/>
      </c>
      <c r="P258" s="358">
        <f t="shared" si="206"/>
      </c>
      <c r="Q258" s="405">
        <f t="shared" si="113"/>
      </c>
      <c r="R258" s="420">
        <f t="shared" si="51"/>
      </c>
      <c r="S258" s="405">
        <f t="shared" si="144"/>
      </c>
      <c r="T258" s="405">
        <f t="shared" si="20"/>
      </c>
      <c r="U258" s="406">
        <f t="shared" si="505"/>
      </c>
      <c r="V258" s="405">
        <f t="shared" si="474"/>
      </c>
      <c r="W258" s="405">
        <f t="shared" si="373"/>
      </c>
      <c r="X258" s="406">
        <f t="shared" si="299"/>
      </c>
      <c r="Y258" s="410">
        <f t="shared" si="237"/>
      </c>
      <c r="Z258" s="406">
        <f t="shared" si="175"/>
      </c>
      <c r="AA258" s="331">
        <f t="shared" si="82"/>
      </c>
      <c r="AB258" s="340" t="s">
        <v>232</v>
      </c>
      <c r="AC258" s="411" t="s">
        <v>233</v>
      </c>
      <c r="AD258" s="412">
        <v>1</v>
      </c>
      <c r="AE258" s="333">
        <v>8195</v>
      </c>
      <c r="AF258" s="334">
        <v>240</v>
      </c>
      <c r="AG258" s="334">
        <v>354</v>
      </c>
      <c r="AH258" s="334">
        <v>47</v>
      </c>
      <c r="AI258" s="334">
        <v>13</v>
      </c>
      <c r="AJ258" s="335">
        <v>5</v>
      </c>
      <c r="AK258" s="336">
        <v>15</v>
      </c>
      <c r="AL258" s="310">
        <v>1</v>
      </c>
      <c r="AM258" s="434"/>
    </row>
    <row r="259">
      <c r="A259" s="303"/>
      <c r="B259" s="347" t="s">
        <v>238</v>
      </c>
      <c r="C259" s="347"/>
      <c r="D259" s="348">
        <f>SUM(D255:D258)</f>
      </c>
      <c r="E259" s="348">
        <f>SUM(E255:E258)</f>
      </c>
      <c r="F259" s="348">
        <f>SUM(F255:F258)</f>
      </c>
      <c r="G259" s="348">
        <f>SUM(G255:G258)</f>
      </c>
      <c r="H259" s="348">
        <f>SUM(H255:H258)</f>
      </c>
      <c r="I259" s="348">
        <f>SUM(I255:I258)</f>
      </c>
      <c r="J259" s="348">
        <f>SUM(J255:J258)</f>
      </c>
      <c r="K259" s="348">
        <f>SUM(K255:K258)</f>
      </c>
      <c r="L259" s="348">
        <f>SUM(L255:L258)</f>
      </c>
      <c r="M259" s="348">
        <f>SUM(M255:M258)</f>
      </c>
      <c r="N259" s="421">
        <f t="shared" si="342"/>
      </c>
      <c r="O259" s="422">
        <f t="shared" si="268"/>
      </c>
      <c r="P259" s="351">
        <f t="shared" si="206"/>
      </c>
      <c r="Q259" s="352">
        <f t="shared" si="113"/>
      </c>
      <c r="R259" s="353">
        <f t="shared" si="51"/>
      </c>
      <c r="S259" s="354">
        <f t="shared" si="144"/>
      </c>
      <c r="T259" s="354">
        <f t="shared" si="20"/>
      </c>
      <c r="U259" s="353">
        <f t="shared" si="505"/>
      </c>
      <c r="V259" s="354">
        <f t="shared" si="474"/>
      </c>
      <c r="W259" s="354">
        <f t="shared" si="373"/>
      </c>
      <c r="X259" s="355">
        <f t="shared" si="299"/>
      </c>
      <c r="Y259" s="423">
        <f t="shared" si="237"/>
      </c>
      <c r="Z259" s="355">
        <f t="shared" si="175"/>
      </c>
      <c r="AA259" s="356">
        <f t="shared" si="82"/>
      </c>
      <c r="AB259" s="356"/>
      <c r="AC259" s="424"/>
      <c r="AD259" s="347">
        <f>SUM(AD255:AD258)</f>
      </c>
      <c r="AE259" s="347">
        <f>SUM(AE255:AE258)</f>
      </c>
      <c r="AF259" s="347">
        <f>SUM(AF255:AF258)</f>
      </c>
      <c r="AG259" s="347">
        <f>SUM(AG255:AG258)</f>
      </c>
      <c r="AH259" s="347">
        <f>SUM(AH255:AH258)</f>
      </c>
      <c r="AI259" s="347">
        <f>SUM(AI255:AI258)</f>
      </c>
      <c r="AJ259" s="347">
        <f>SUM(AJ255:AJ258)</f>
      </c>
      <c r="AK259" s="347">
        <f>SUM(AK255:AK258)</f>
      </c>
      <c r="AL259" s="347">
        <f>SUM(AL255:AL258)</f>
      </c>
      <c r="AM259" s="434"/>
    </row>
    <row r="260">
      <c r="A260" s="303"/>
      <c r="B260" s="304" t="s">
        <v>237</v>
      </c>
      <c r="C260" s="326" t="s">
        <v>231</v>
      </c>
      <c r="D260" s="334">
        <f t="shared" ref="D260:D263" si="409">E260+F260+G260+H260</f>
      </c>
      <c r="E260" s="334">
        <v>3498.64</v>
      </c>
      <c r="F260" s="326">
        <v>210.51</v>
      </c>
      <c r="G260" s="326">
        <v>0</v>
      </c>
      <c r="H260" s="326">
        <v>0</v>
      </c>
      <c r="I260" s="310">
        <v>3</v>
      </c>
      <c r="J260" s="310">
        <v>4965</v>
      </c>
      <c r="K260" s="310">
        <v>1</v>
      </c>
      <c r="L260" s="310">
        <v>0</v>
      </c>
      <c r="M260" s="310">
        <v>2</v>
      </c>
      <c r="N260" s="413">
        <f t="shared" si="342"/>
      </c>
      <c r="O260" s="414">
        <f t="shared" si="268"/>
      </c>
      <c r="P260" s="358">
        <f t="shared" si="206"/>
      </c>
      <c r="Q260" s="359">
        <f t="shared" si="113"/>
      </c>
      <c r="R260" s="360">
        <f t="shared" si="51"/>
      </c>
      <c r="S260" s="361">
        <f t="shared" si="144"/>
      </c>
      <c r="T260" s="361">
        <f t="shared" si="20"/>
      </c>
      <c r="U260" s="360">
        <f t="shared" si="505"/>
      </c>
      <c r="V260" s="361">
        <f t="shared" si="474"/>
      </c>
      <c r="W260" s="361">
        <f t="shared" si="373"/>
      </c>
      <c r="X260" s="362">
        <f t="shared" si="299"/>
      </c>
      <c r="Y260" s="425">
        <f t="shared" si="237"/>
      </c>
      <c r="Z260" s="362">
        <f t="shared" si="175"/>
      </c>
      <c r="AA260" s="363">
        <f t="shared" si="82"/>
      </c>
      <c r="AB260" s="364" t="s">
        <v>232</v>
      </c>
      <c r="AC260" s="411" t="s">
        <v>233</v>
      </c>
      <c r="AD260" s="402">
        <v>3</v>
      </c>
      <c r="AE260" s="365">
        <v>11078</v>
      </c>
      <c r="AF260" s="365">
        <v>286</v>
      </c>
      <c r="AG260" s="310">
        <v>440</v>
      </c>
      <c r="AH260" s="365">
        <v>83</v>
      </c>
      <c r="AI260" s="365">
        <v>13</v>
      </c>
      <c r="AJ260" s="310">
        <v>3</v>
      </c>
      <c r="AK260" s="310">
        <v>15</v>
      </c>
      <c r="AL260" s="310">
        <v>1</v>
      </c>
      <c r="AM260" s="434"/>
    </row>
    <row r="261">
      <c r="A261" s="303"/>
      <c r="B261" s="304" t="s">
        <v>239</v>
      </c>
      <c r="C261" s="326" t="s">
        <v>231</v>
      </c>
      <c r="D261" s="334">
        <f t="shared" si="409"/>
      </c>
      <c r="E261" s="334">
        <v>3516.91</v>
      </c>
      <c r="F261" s="334">
        <v>336.74</v>
      </c>
      <c r="G261" s="326">
        <v>0</v>
      </c>
      <c r="H261" s="326">
        <v>0</v>
      </c>
      <c r="I261" s="310">
        <v>4</v>
      </c>
      <c r="J261" s="310">
        <v>4766</v>
      </c>
      <c r="K261" s="310">
        <v>0</v>
      </c>
      <c r="L261" s="310">
        <v>3</v>
      </c>
      <c r="M261" s="310">
        <v>1</v>
      </c>
      <c r="N261" s="413">
        <f t="shared" si="342"/>
      </c>
      <c r="O261" s="414">
        <f t="shared" si="268"/>
      </c>
      <c r="P261" s="358">
        <f t="shared" si="206"/>
      </c>
      <c r="Q261" s="359">
        <f t="shared" si="113"/>
      </c>
      <c r="R261" s="360">
        <f t="shared" si="51"/>
      </c>
      <c r="S261" s="361">
        <f t="shared" si="144"/>
      </c>
      <c r="T261" s="361">
        <f t="shared" si="20"/>
      </c>
      <c r="U261" s="360">
        <f t="shared" si="505"/>
      </c>
      <c r="V261" s="361">
        <f t="shared" si="474"/>
      </c>
      <c r="W261" s="361">
        <f t="shared" si="373"/>
      </c>
      <c r="X261" s="362">
        <f t="shared" si="299"/>
      </c>
      <c r="Y261" s="425">
        <f t="shared" si="237"/>
      </c>
      <c r="Z261" s="362">
        <f t="shared" si="175"/>
      </c>
      <c r="AA261" s="363">
        <f t="shared" si="82"/>
      </c>
      <c r="AB261" s="364" t="s">
        <v>232</v>
      </c>
      <c r="AC261" s="411" t="s">
        <v>233</v>
      </c>
      <c r="AD261" s="402">
        <v>3</v>
      </c>
      <c r="AE261" s="365">
        <v>11077</v>
      </c>
      <c r="AF261" s="365">
        <v>281</v>
      </c>
      <c r="AG261" s="365">
        <v>451</v>
      </c>
      <c r="AH261" s="365">
        <v>69</v>
      </c>
      <c r="AI261" s="365">
        <v>24</v>
      </c>
      <c r="AJ261" s="310">
        <v>10</v>
      </c>
      <c r="AK261" s="310">
        <v>14</v>
      </c>
      <c r="AL261" s="310">
        <v>1</v>
      </c>
      <c r="AM261" s="434"/>
    </row>
    <row r="262">
      <c r="A262" s="303"/>
      <c r="B262" s="304" t="s">
        <v>241</v>
      </c>
      <c r="C262" s="326" t="s">
        <v>231</v>
      </c>
      <c r="D262" s="334">
        <f t="shared" si="409"/>
      </c>
      <c r="E262" s="334">
        <v>2970.92</v>
      </c>
      <c r="F262" s="334">
        <v>320.73</v>
      </c>
      <c r="G262" s="326">
        <v>0</v>
      </c>
      <c r="H262" s="326">
        <v>0</v>
      </c>
      <c r="I262" s="310">
        <v>4</v>
      </c>
      <c r="J262" s="310">
        <v>5952</v>
      </c>
      <c r="K262" s="310">
        <v>1</v>
      </c>
      <c r="L262" s="310">
        <v>1</v>
      </c>
      <c r="M262" s="310">
        <v>2</v>
      </c>
      <c r="N262" s="413">
        <f t="shared" si="342"/>
      </c>
      <c r="O262" s="414">
        <f t="shared" si="268"/>
      </c>
      <c r="P262" s="358">
        <f t="shared" si="206"/>
      </c>
      <c r="Q262" s="359">
        <f t="shared" si="113"/>
      </c>
      <c r="R262" s="360">
        <f t="shared" si="51"/>
      </c>
      <c r="S262" s="361">
        <f t="shared" si="144"/>
      </c>
      <c r="T262" s="361">
        <f t="shared" si="20"/>
      </c>
      <c r="U262" s="360">
        <f t="shared" si="505"/>
      </c>
      <c r="V262" s="361">
        <f t="shared" si="474"/>
      </c>
      <c r="W262" s="361">
        <f t="shared" si="373"/>
      </c>
      <c r="X262" s="362">
        <f t="shared" si="299"/>
      </c>
      <c r="Y262" s="425">
        <f t="shared" si="237"/>
      </c>
      <c r="Z262" s="362">
        <f t="shared" si="175"/>
      </c>
      <c r="AA262" s="363">
        <f t="shared" si="82"/>
      </c>
      <c r="AB262" s="364" t="s">
        <v>232</v>
      </c>
      <c r="AC262" s="411" t="s">
        <v>233</v>
      </c>
      <c r="AD262" s="402">
        <v>3</v>
      </c>
      <c r="AE262" s="365">
        <v>9402</v>
      </c>
      <c r="AF262" s="365">
        <v>265</v>
      </c>
      <c r="AG262" s="365">
        <v>418</v>
      </c>
      <c r="AH262" s="365">
        <v>76</v>
      </c>
      <c r="AI262" s="365">
        <v>19</v>
      </c>
      <c r="AJ262" s="310">
        <v>5</v>
      </c>
      <c r="AK262" s="310">
        <v>19</v>
      </c>
      <c r="AL262" s="310">
        <v>1</v>
      </c>
      <c r="AM262" s="434"/>
    </row>
    <row r="263">
      <c r="A263" s="303"/>
      <c r="B263" s="304" t="s">
        <v>242</v>
      </c>
      <c r="C263" s="326" t="s">
        <v>231</v>
      </c>
      <c r="D263" s="334">
        <f t="shared" si="409"/>
      </c>
      <c r="E263" s="326">
        <v>4313.26</v>
      </c>
      <c r="F263" s="326">
        <v>370.89</v>
      </c>
      <c r="G263" s="326">
        <v>0</v>
      </c>
      <c r="H263" s="326">
        <v>0</v>
      </c>
      <c r="I263" s="310">
        <v>3</v>
      </c>
      <c r="J263" s="310">
        <v>3605</v>
      </c>
      <c r="K263" s="310">
        <v>1</v>
      </c>
      <c r="L263" s="310">
        <v>1</v>
      </c>
      <c r="M263" s="310">
        <v>1</v>
      </c>
      <c r="N263" s="413">
        <f t="shared" si="342"/>
      </c>
      <c r="O263" s="414">
        <f t="shared" si="268"/>
      </c>
      <c r="P263" s="358">
        <f t="shared" si="206"/>
      </c>
      <c r="Q263" s="359">
        <f t="shared" si="113"/>
      </c>
      <c r="R263" s="360">
        <f t="shared" si="51"/>
      </c>
      <c r="S263" s="361">
        <f t="shared" si="144"/>
      </c>
      <c r="T263" s="361">
        <f t="shared" si="20"/>
      </c>
      <c r="U263" s="360">
        <f t="shared" si="505"/>
      </c>
      <c r="V263" s="361">
        <f t="shared" si="474"/>
      </c>
      <c r="W263" s="361">
        <f t="shared" si="373"/>
      </c>
      <c r="X263" s="362">
        <f t="shared" si="299"/>
      </c>
      <c r="Y263" s="425">
        <f t="shared" si="237"/>
      </c>
      <c r="Z263" s="362">
        <f t="shared" si="175"/>
      </c>
      <c r="AA263" s="363">
        <f t="shared" si="82"/>
      </c>
      <c r="AB263" s="364" t="s">
        <v>232</v>
      </c>
      <c r="AC263" s="432" t="s">
        <v>233</v>
      </c>
      <c r="AD263" s="402">
        <v>3</v>
      </c>
      <c r="AE263" s="365">
        <v>15611</v>
      </c>
      <c r="AF263" s="365">
        <v>377</v>
      </c>
      <c r="AG263" s="365">
        <v>540</v>
      </c>
      <c r="AH263" s="365">
        <v>111</v>
      </c>
      <c r="AI263" s="365">
        <v>24</v>
      </c>
      <c r="AJ263" s="310">
        <v>6</v>
      </c>
      <c r="AK263" s="310">
        <v>18</v>
      </c>
      <c r="AL263" s="310">
        <v>1</v>
      </c>
      <c r="AM263" s="434"/>
    </row>
    <row r="264">
      <c r="A264" s="303"/>
      <c r="B264" s="347" t="s">
        <v>238</v>
      </c>
      <c r="C264" s="347"/>
      <c r="D264" s="348">
        <f>SUM(D260:D263)</f>
      </c>
      <c r="E264" s="348">
        <f>SUM(E260:E263)</f>
      </c>
      <c r="F264" s="348">
        <f>SUM(F260:F263)</f>
      </c>
      <c r="G264" s="348">
        <f>SUM(G260:G263)</f>
      </c>
      <c r="H264" s="348">
        <f>SUM(H260:H263)</f>
      </c>
      <c r="I264" s="348">
        <f>SUM(I260:I263)</f>
      </c>
      <c r="J264" s="348">
        <f>SUM(J260:J263)</f>
      </c>
      <c r="K264" s="348">
        <f>SUM(K260:K263)</f>
      </c>
      <c r="L264" s="348">
        <f>SUM(L260:L263)</f>
      </c>
      <c r="M264" s="348">
        <f>SUM(M260:M263)</f>
      </c>
      <c r="N264" s="421">
        <f t="shared" si="342"/>
      </c>
      <c r="O264" s="422">
        <f t="shared" si="268"/>
      </c>
      <c r="P264" s="370">
        <f t="shared" si="206"/>
      </c>
      <c r="Q264" s="352">
        <f t="shared" si="113"/>
      </c>
      <c r="R264" s="353">
        <f t="shared" si="51"/>
      </c>
      <c r="S264" s="354">
        <f t="shared" si="144"/>
      </c>
      <c r="T264" s="354">
        <f t="shared" si="20"/>
      </c>
      <c r="U264" s="353">
        <f t="shared" si="505"/>
      </c>
      <c r="V264" s="354">
        <f t="shared" si="474"/>
      </c>
      <c r="W264" s="354">
        <f t="shared" si="373"/>
      </c>
      <c r="X264" s="355">
        <f t="shared" si="299"/>
      </c>
      <c r="Y264" s="423">
        <f t="shared" si="237"/>
      </c>
      <c r="Z264" s="355">
        <f t="shared" si="175"/>
      </c>
      <c r="AA264" s="356">
        <f t="shared" si="82"/>
      </c>
      <c r="AB264" s="356"/>
      <c r="AC264" s="424"/>
      <c r="AD264" s="347">
        <f>SUM(AD260:AD263)</f>
      </c>
      <c r="AE264" s="347">
        <f>SUM(AE260:AE263)</f>
      </c>
      <c r="AF264" s="347">
        <f>SUM(AF260:AF263)</f>
      </c>
      <c r="AG264" s="347">
        <f>SUM(AG260:AG263)</f>
      </c>
      <c r="AH264" s="347">
        <f>SUM(AH260:AH263)</f>
      </c>
      <c r="AI264" s="347">
        <f>SUM(AI260:AI263)</f>
      </c>
      <c r="AJ264" s="347">
        <f>SUM(AJ260:AJ263)</f>
      </c>
      <c r="AK264" s="347">
        <f>SUM(AK260:AK263)</f>
      </c>
      <c r="AL264" s="347">
        <f>SUM(AL260:AL263)</f>
      </c>
      <c r="AM264" s="434"/>
    </row>
    <row r="265">
      <c r="A265" s="303"/>
      <c r="B265" s="304" t="s">
        <v>243</v>
      </c>
      <c r="C265" s="326" t="s">
        <v>247</v>
      </c>
      <c r="D265" s="334">
        <f t="shared" ref="D265:D268" si="410">E265+F265+G265+H265</f>
      </c>
      <c r="E265" s="334">
        <v>3513.5</v>
      </c>
      <c r="F265" s="334">
        <v>605.33</v>
      </c>
      <c r="G265" s="326">
        <v>0</v>
      </c>
      <c r="H265" s="326">
        <v>0</v>
      </c>
      <c r="I265" s="310">
        <v>1</v>
      </c>
      <c r="J265" s="345">
        <v>2268</v>
      </c>
      <c r="K265" s="303">
        <v>0</v>
      </c>
      <c r="L265" s="303">
        <v>0</v>
      </c>
      <c r="M265" s="305">
        <v>1</v>
      </c>
      <c r="N265" s="413">
        <f t="shared" si="342"/>
      </c>
      <c r="O265" s="414">
        <f t="shared" si="268"/>
      </c>
      <c r="P265" s="368">
        <f t="shared" si="206"/>
      </c>
      <c r="Q265" s="359">
        <f t="shared" si="113"/>
      </c>
      <c r="R265" s="360">
        <f t="shared" si="51"/>
      </c>
      <c r="S265" s="361">
        <f t="shared" si="144"/>
      </c>
      <c r="T265" s="361">
        <f t="shared" si="20"/>
      </c>
      <c r="U265" s="360">
        <f t="shared" si="505"/>
      </c>
      <c r="V265" s="361">
        <f t="shared" si="474"/>
      </c>
      <c r="W265" s="361">
        <f t="shared" si="373"/>
      </c>
      <c r="X265" s="362">
        <f t="shared" si="299"/>
      </c>
      <c r="Y265" s="425">
        <f t="shared" si="237"/>
      </c>
      <c r="Z265" s="362">
        <f t="shared" si="175"/>
      </c>
      <c r="AA265" s="363">
        <f t="shared" si="82"/>
      </c>
      <c r="AB265" s="364" t="s">
        <v>232</v>
      </c>
      <c r="AC265" s="411" t="s">
        <v>262</v>
      </c>
      <c r="AD265" s="402">
        <v>1</v>
      </c>
      <c r="AE265" s="365">
        <v>11806</v>
      </c>
      <c r="AF265" s="365">
        <v>293</v>
      </c>
      <c r="AG265" s="365">
        <v>439</v>
      </c>
      <c r="AH265" s="365">
        <v>77</v>
      </c>
      <c r="AI265" s="365">
        <v>24</v>
      </c>
      <c r="AJ265" s="310">
        <v>1</v>
      </c>
      <c r="AK265" s="310">
        <v>13</v>
      </c>
      <c r="AL265" s="310">
        <v>1</v>
      </c>
      <c r="AM265" s="434"/>
    </row>
    <row r="266">
      <c r="A266" s="303"/>
      <c r="B266" s="304" t="s">
        <v>245</v>
      </c>
      <c r="C266" s="326" t="s">
        <v>247</v>
      </c>
      <c r="D266" s="334">
        <f t="shared" si="410"/>
      </c>
      <c r="E266" s="334">
        <v>3333.81</v>
      </c>
      <c r="F266" s="334">
        <v>228.83</v>
      </c>
      <c r="G266" s="326">
        <v>0</v>
      </c>
      <c r="H266" s="326">
        <v>0</v>
      </c>
      <c r="I266" s="310">
        <v>1</v>
      </c>
      <c r="J266" s="345">
        <v>468</v>
      </c>
      <c r="K266" s="303">
        <v>1</v>
      </c>
      <c r="L266" s="303">
        <v>0</v>
      </c>
      <c r="M266" s="305">
        <v>0</v>
      </c>
      <c r="N266" s="413">
        <f t="shared" si="342"/>
      </c>
      <c r="O266" s="414">
        <f t="shared" si="268"/>
      </c>
      <c r="P266" s="368">
        <f t="shared" si="206"/>
      </c>
      <c r="Q266" s="359">
        <f t="shared" si="113"/>
      </c>
      <c r="R266" s="360">
        <f t="shared" si="51"/>
      </c>
      <c r="S266" s="361">
        <f t="shared" si="144"/>
      </c>
      <c r="T266" s="361">
        <f t="shared" si="20"/>
      </c>
      <c r="U266" s="360">
        <f t="shared" si="505"/>
      </c>
      <c r="V266" s="361">
        <f t="shared" si="474"/>
      </c>
      <c r="W266" s="361">
        <f t="shared" si="373"/>
      </c>
      <c r="X266" s="362">
        <f t="shared" si="299"/>
      </c>
      <c r="Y266" s="425">
        <f t="shared" si="237"/>
      </c>
      <c r="Z266" s="362">
        <f t="shared" si="175"/>
      </c>
      <c r="AA266" s="363">
        <f t="shared" si="82"/>
      </c>
      <c r="AB266" s="364" t="s">
        <v>232</v>
      </c>
      <c r="AC266" s="411" t="s">
        <v>262</v>
      </c>
      <c r="AD266" s="402">
        <v>1</v>
      </c>
      <c r="AE266" s="365">
        <v>13379</v>
      </c>
      <c r="AF266" s="365">
        <v>287</v>
      </c>
      <c r="AG266" s="365">
        <v>446</v>
      </c>
      <c r="AH266" s="365">
        <v>69</v>
      </c>
      <c r="AI266" s="365">
        <v>6</v>
      </c>
      <c r="AJ266" s="310">
        <v>3</v>
      </c>
      <c r="AK266" s="310">
        <v>13</v>
      </c>
      <c r="AL266" s="310">
        <v>1</v>
      </c>
      <c r="AM266" s="434"/>
    </row>
    <row r="267">
      <c r="A267" s="303"/>
      <c r="B267" s="304" t="s">
        <v>246</v>
      </c>
      <c r="C267" s="326" t="s">
        <v>247</v>
      </c>
      <c r="D267" s="334">
        <f t="shared" si="410"/>
      </c>
      <c r="E267" s="326">
        <v>2815.56</v>
      </c>
      <c r="F267" s="326">
        <v>198.16</v>
      </c>
      <c r="G267" s="326">
        <v>0</v>
      </c>
      <c r="H267" s="326">
        <v>0</v>
      </c>
      <c r="I267" s="365">
        <v>2</v>
      </c>
      <c r="J267" s="369">
        <v>4536</v>
      </c>
      <c r="K267" s="303">
        <v>0</v>
      </c>
      <c r="L267" s="303">
        <v>0</v>
      </c>
      <c r="M267" s="305">
        <v>2</v>
      </c>
      <c r="N267" s="413">
        <f t="shared" si="342"/>
      </c>
      <c r="O267" s="414">
        <f t="shared" si="268"/>
      </c>
      <c r="P267" s="368">
        <f t="shared" si="206"/>
      </c>
      <c r="Q267" s="359">
        <f t="shared" si="113"/>
      </c>
      <c r="R267" s="360">
        <f t="shared" si="51"/>
      </c>
      <c r="S267" s="361">
        <f t="shared" si="144"/>
      </c>
      <c r="T267" s="361">
        <f t="shared" si="20"/>
      </c>
      <c r="U267" s="360">
        <f t="shared" si="505"/>
      </c>
      <c r="V267" s="361">
        <f t="shared" si="474"/>
      </c>
      <c r="W267" s="361">
        <f t="shared" si="373"/>
      </c>
      <c r="X267" s="362">
        <f t="shared" si="299"/>
      </c>
      <c r="Y267" s="425">
        <f t="shared" si="237"/>
      </c>
      <c r="Z267" s="362">
        <f t="shared" si="175"/>
      </c>
      <c r="AA267" s="363">
        <f t="shared" si="82"/>
      </c>
      <c r="AB267" s="364" t="s">
        <v>232</v>
      </c>
      <c r="AC267" s="411" t="s">
        <v>262</v>
      </c>
      <c r="AD267" s="402">
        <v>1</v>
      </c>
      <c r="AE267" s="365">
        <v>8292</v>
      </c>
      <c r="AF267" s="365">
        <v>219</v>
      </c>
      <c r="AG267" s="365">
        <v>329</v>
      </c>
      <c r="AH267" s="365">
        <v>61</v>
      </c>
      <c r="AI267" s="365">
        <v>21</v>
      </c>
      <c r="AJ267" s="310">
        <v>5</v>
      </c>
      <c r="AK267" s="310">
        <v>19</v>
      </c>
      <c r="AL267" s="310">
        <v>1</v>
      </c>
      <c r="AM267" s="434"/>
    </row>
    <row r="268">
      <c r="A268" s="303"/>
      <c r="B268" s="304" t="s">
        <v>248</v>
      </c>
      <c r="C268" s="326" t="s">
        <v>247</v>
      </c>
      <c r="D268" s="334">
        <f t="shared" si="410"/>
      </c>
      <c r="E268" s="326">
        <v>2046.09</v>
      </c>
      <c r="F268" s="326">
        <v>0</v>
      </c>
      <c r="G268" s="326">
        <v>0</v>
      </c>
      <c r="H268" s="326">
        <v>0</v>
      </c>
      <c r="I268" s="310">
        <v>1</v>
      </c>
      <c r="J268" s="345">
        <v>2268</v>
      </c>
      <c r="K268" s="326">
        <v>0</v>
      </c>
      <c r="L268" s="326">
        <v>0</v>
      </c>
      <c r="M268" s="326">
        <v>1</v>
      </c>
      <c r="N268" s="413">
        <f t="shared" si="342"/>
      </c>
      <c r="O268" s="414">
        <f t="shared" si="268"/>
      </c>
      <c r="P268" s="358">
        <f t="shared" si="206"/>
      </c>
      <c r="Q268" s="359">
        <f t="shared" si="113"/>
      </c>
      <c r="R268" s="360">
        <f t="shared" si="51"/>
      </c>
      <c r="S268" s="361">
        <f t="shared" si="144"/>
      </c>
      <c r="T268" s="361">
        <f t="shared" si="20"/>
      </c>
      <c r="U268" s="360">
        <f t="shared" si="505"/>
      </c>
      <c r="V268" s="361">
        <f t="shared" si="474"/>
      </c>
      <c r="W268" s="361">
        <f t="shared" si="373"/>
      </c>
      <c r="X268" s="362">
        <f t="shared" si="299"/>
      </c>
      <c r="Y268" s="425">
        <f t="shared" si="237"/>
      </c>
      <c r="Z268" s="362">
        <f t="shared" si="175"/>
      </c>
      <c r="AA268" s="363">
        <f t="shared" si="82"/>
      </c>
      <c r="AB268" s="364" t="s">
        <v>232</v>
      </c>
      <c r="AC268" s="411" t="s">
        <v>262</v>
      </c>
      <c r="AD268" s="402">
        <v>0</v>
      </c>
      <c r="AE268" s="365">
        <v>4416</v>
      </c>
      <c r="AF268" s="365">
        <v>124</v>
      </c>
      <c r="AG268" s="365">
        <v>193</v>
      </c>
      <c r="AH268" s="365">
        <v>40</v>
      </c>
      <c r="AI268" s="365">
        <v>17</v>
      </c>
      <c r="AJ268" s="310">
        <v>9</v>
      </c>
      <c r="AK268" s="310">
        <v>11</v>
      </c>
      <c r="AL268" s="310">
        <v>1</v>
      </c>
      <c r="AM268" s="434"/>
    </row>
    <row r="269">
      <c r="A269" s="303"/>
      <c r="B269" s="347" t="s">
        <v>238</v>
      </c>
      <c r="C269" s="347"/>
      <c r="D269" s="348">
        <f>SUM(D265:D268)</f>
      </c>
      <c r="E269" s="348">
        <f>SUM(E265:E268)</f>
      </c>
      <c r="F269" s="348">
        <f>SUM(F265:F268)</f>
      </c>
      <c r="G269" s="348">
        <f>SUM(G265:G268)</f>
      </c>
      <c r="H269" s="348">
        <f>SUM(H265:H268)</f>
      </c>
      <c r="I269" s="348">
        <f>SUM(I265:I268)</f>
      </c>
      <c r="J269" s="348">
        <f>SUM(J265:J268)</f>
      </c>
      <c r="K269" s="348">
        <f>SUM(K265:K268)</f>
      </c>
      <c r="L269" s="348">
        <f>SUM(L265:L268)</f>
      </c>
      <c r="M269" s="348">
        <f>SUM(M265:M268)</f>
      </c>
      <c r="N269" s="421">
        <f t="shared" si="342"/>
      </c>
      <c r="O269" s="422">
        <f t="shared" si="268"/>
      </c>
      <c r="P269" s="370">
        <f t="shared" si="206"/>
      </c>
      <c r="Q269" s="352">
        <f t="shared" si="113"/>
      </c>
      <c r="R269" s="353">
        <f t="shared" si="51"/>
      </c>
      <c r="S269" s="354">
        <f t="shared" si="144"/>
      </c>
      <c r="T269" s="354">
        <f t="shared" si="20"/>
      </c>
      <c r="U269" s="353">
        <f t="shared" si="505"/>
      </c>
      <c r="V269" s="354">
        <f t="shared" si="474"/>
      </c>
      <c r="W269" s="354">
        <f t="shared" si="373"/>
      </c>
      <c r="X269" s="355">
        <f t="shared" si="299"/>
      </c>
      <c r="Y269" s="423">
        <f t="shared" si="237"/>
      </c>
      <c r="Z269" s="355">
        <f t="shared" si="175"/>
      </c>
      <c r="AA269" s="356">
        <f t="shared" si="82"/>
      </c>
      <c r="AB269" s="356"/>
      <c r="AC269" s="356"/>
      <c r="AD269" s="348">
        <f>SUM(AD265:AD268)</f>
      </c>
      <c r="AE269" s="348">
        <f>SUM(AE265:AE268)</f>
      </c>
      <c r="AF269" s="348">
        <f>SUM(AF265:AF268)</f>
      </c>
      <c r="AG269" s="348">
        <f>SUM(AG265:AG268)</f>
      </c>
      <c r="AH269" s="348">
        <f>SUM(AH265:AH268)</f>
      </c>
      <c r="AI269" s="348">
        <f>SUM(AI265:AI268)</f>
      </c>
      <c r="AJ269" s="348">
        <f>SUM(AJ265:AJ268)</f>
      </c>
      <c r="AK269" s="348">
        <f>SUM(AK265:AK268)</f>
      </c>
      <c r="AL269" s="348">
        <f>SUM(AL265:AL268)</f>
      </c>
      <c r="AM269" s="426" t="s">
        <v>249</v>
      </c>
    </row>
    <row r="270">
      <c r="A270" s="303"/>
      <c r="B270" s="373" t="s">
        <v>250</v>
      </c>
      <c r="C270" s="373"/>
      <c r="D270" s="373">
        <f>D259+D264+D269</f>
      </c>
      <c r="E270" s="373">
        <f>E259+E264+E269</f>
      </c>
      <c r="F270" s="373">
        <f>F259+F264+F269</f>
      </c>
      <c r="G270" s="373">
        <f>G259+G264+G269</f>
      </c>
      <c r="H270" s="373">
        <f>H259+H264+H269</f>
      </c>
      <c r="I270" s="373">
        <f>I259+I264+I269</f>
      </c>
      <c r="J270" s="374">
        <f>J259+J264+J269</f>
      </c>
      <c r="K270" s="374">
        <f>K259+K264+K269</f>
      </c>
      <c r="L270" s="374">
        <f>L259+L264+L269</f>
      </c>
      <c r="M270" s="374">
        <f>M259+M264+M269</f>
      </c>
      <c r="N270" s="427">
        <f t="shared" si="342"/>
      </c>
      <c r="O270" s="427">
        <f t="shared" si="268"/>
      </c>
      <c r="P270" s="377">
        <f t="shared" si="206"/>
      </c>
      <c r="Q270" s="378">
        <f t="shared" si="113"/>
      </c>
      <c r="R270" s="379">
        <f t="shared" si="51"/>
      </c>
      <c r="S270" s="380">
        <f t="shared" si="144"/>
      </c>
      <c r="T270" s="380">
        <f t="shared" si="20"/>
      </c>
      <c r="U270" s="379">
        <f t="shared" si="505"/>
      </c>
      <c r="V270" s="380">
        <f t="shared" si="474"/>
      </c>
      <c r="W270" s="380">
        <f t="shared" si="373"/>
      </c>
      <c r="X270" s="379">
        <f t="shared" si="299"/>
      </c>
      <c r="Y270" s="428">
        <f t="shared" si="237"/>
      </c>
      <c r="Z270" s="379">
        <f t="shared" si="175"/>
      </c>
      <c r="AA270" s="381">
        <f t="shared" si="82"/>
      </c>
      <c r="AB270" s="381"/>
      <c r="AC270" s="381"/>
      <c r="AD270" s="373">
        <f>AD259+AD264+AD269</f>
      </c>
      <c r="AE270" s="373">
        <f>AE259+AE264+AE269</f>
      </c>
      <c r="AF270" s="373">
        <f>AF259+AF264+AF269</f>
      </c>
      <c r="AG270" s="373">
        <f>AG259+AG264+AG269</f>
      </c>
      <c r="AH270" s="373">
        <f>AH259+AH264+AH269</f>
      </c>
      <c r="AI270" s="373">
        <f>AI259+AI264+AI269</f>
      </c>
      <c r="AJ270" s="373">
        <f>AJ259+AJ264+AJ269</f>
      </c>
      <c r="AK270" s="373">
        <f>AK259+AK264+AK269</f>
      </c>
      <c r="AL270" s="373">
        <f>AL259+AL264+AL269</f>
      </c>
      <c r="AM270" s="426"/>
    </row>
    <row r="271">
      <c r="A271" s="389" t="s">
        <v>189</v>
      </c>
      <c r="B271" s="389"/>
      <c r="C271" s="389"/>
      <c r="D271" s="390" t="s">
        <v>190</v>
      </c>
      <c r="E271" s="390"/>
      <c r="F271" s="390"/>
      <c r="G271" s="390"/>
      <c r="H271" s="390"/>
      <c r="I271" s="390"/>
      <c r="J271" s="390"/>
      <c r="K271" s="390"/>
      <c r="L271" s="390"/>
      <c r="M271" s="390"/>
      <c r="N271" s="390"/>
      <c r="O271" s="390"/>
      <c r="P271" s="391" t="s">
        <v>191</v>
      </c>
      <c r="Q271" s="391"/>
      <c r="R271" s="391"/>
      <c r="S271" s="391"/>
      <c r="T271" s="391"/>
      <c r="U271" s="391"/>
      <c r="V271" s="391"/>
      <c r="W271" s="391"/>
      <c r="X271" s="391"/>
      <c r="Y271" s="391"/>
      <c r="Z271" s="391"/>
      <c r="AA271" s="391"/>
      <c r="AB271" s="391"/>
      <c r="AC271" s="391"/>
      <c r="AD271" s="392" t="s">
        <v>192</v>
      </c>
      <c r="AE271" s="392"/>
      <c r="AF271" s="392"/>
      <c r="AG271" s="392"/>
      <c r="AH271" s="392"/>
      <c r="AI271" s="392"/>
      <c r="AJ271" s="392"/>
      <c r="AK271" s="392"/>
      <c r="AL271" s="392"/>
      <c r="AM271" s="433"/>
    </row>
    <row r="272">
      <c r="A272" s="287" t="s">
        <v>193</v>
      </c>
      <c r="B272" s="288" t="s">
        <v>194</v>
      </c>
      <c r="C272" s="288" t="s">
        <v>195</v>
      </c>
      <c r="D272" s="289" t="s">
        <v>196</v>
      </c>
      <c r="E272" s="290" t="s">
        <v>197</v>
      </c>
      <c r="F272" s="394" t="s">
        <v>198</v>
      </c>
      <c r="G272" s="394" t="s">
        <v>256</v>
      </c>
      <c r="H272" s="395" t="s">
        <v>260</v>
      </c>
      <c r="I272" s="429" t="s">
        <v>199</v>
      </c>
      <c r="J272" s="430" t="s">
        <v>200</v>
      </c>
      <c r="K272" s="431" t="s">
        <v>201</v>
      </c>
      <c r="L272" s="397" t="s">
        <v>202</v>
      </c>
      <c r="M272" s="397" t="s">
        <v>203</v>
      </c>
      <c r="N272" s="295" t="s">
        <v>204</v>
      </c>
      <c r="O272" s="398" t="s">
        <v>205</v>
      </c>
      <c r="P272" s="296" t="s">
        <v>206</v>
      </c>
      <c r="Q272" s="296" t="s">
        <v>207</v>
      </c>
      <c r="R272" s="296" t="s">
        <v>208</v>
      </c>
      <c r="S272" s="297" t="s">
        <v>209</v>
      </c>
      <c r="T272" s="297" t="s">
        <v>210</v>
      </c>
      <c r="U272" s="296" t="s">
        <v>211</v>
      </c>
      <c r="V272" s="297" t="s">
        <v>212</v>
      </c>
      <c r="W272" s="297" t="s">
        <v>213</v>
      </c>
      <c r="X272" s="296" t="s">
        <v>214</v>
      </c>
      <c r="Y272" s="297" t="s">
        <v>215</v>
      </c>
      <c r="Z272" s="296" t="s">
        <v>216</v>
      </c>
      <c r="AA272" s="298" t="s">
        <v>217</v>
      </c>
      <c r="AB272" s="298" t="s">
        <v>218</v>
      </c>
      <c r="AC272" s="299" t="s">
        <v>219</v>
      </c>
      <c r="AD272" s="300" t="s">
        <v>220</v>
      </c>
      <c r="AE272" s="301" t="s">
        <v>221</v>
      </c>
      <c r="AF272" s="301" t="s">
        <v>222</v>
      </c>
      <c r="AG272" s="301" t="s">
        <v>223</v>
      </c>
      <c r="AH272" s="301" t="s">
        <v>224</v>
      </c>
      <c r="AI272" s="301" t="s">
        <v>225</v>
      </c>
      <c r="AJ272" s="302" t="s">
        <v>226</v>
      </c>
      <c r="AK272" s="302" t="s">
        <v>227</v>
      </c>
      <c r="AL272" s="302" t="s">
        <v>228</v>
      </c>
      <c r="AM272" s="433"/>
    </row>
    <row r="273">
      <c r="A273" s="303" t="s">
        <v>269</v>
      </c>
      <c r="B273" s="304" t="s">
        <v>234</v>
      </c>
      <c r="C273" s="305" t="s">
        <v>240</v>
      </c>
      <c r="D273" s="401">
        <f t="shared" ref="D273:D277" si="411">E273+F273+G273+H273</f>
      </c>
      <c r="E273" s="307">
        <v>2462.73</v>
      </c>
      <c r="F273" s="307">
        <v>577.88</v>
      </c>
      <c r="G273" s="307"/>
      <c r="H273" s="307"/>
      <c r="I273" s="306">
        <v>1</v>
      </c>
      <c r="J273" s="324">
        <v>2268</v>
      </c>
      <c r="K273" s="309">
        <v>0</v>
      </c>
      <c r="L273" s="310">
        <v>0</v>
      </c>
      <c r="M273" s="310">
        <v>1</v>
      </c>
      <c r="N273" s="403">
        <f t="shared" ref="N273:N285" si="343">J273/D273</f>
      </c>
      <c r="O273" s="404">
        <f t="shared" ref="O273:O285" si="269">J273/(D273+300*AL273)</f>
      </c>
      <c r="P273" s="358">
        <f t="shared" ref="P273:P285" si="207">(D273/AE273)*1000</f>
      </c>
      <c r="Q273" s="405">
        <f t="shared" ref="Q273:Q285" si="114">AF273/AE273</f>
      </c>
      <c r="R273" s="406">
        <f t="shared" ref="R273:R285" si="52">D273/AG273</f>
      </c>
      <c r="S273" s="407">
        <f t="shared" ref="S273:S285" si="145">AH273/AG273</f>
      </c>
      <c r="T273" s="405">
        <f t="shared" ref="T273:T285" si="21">AI273/AG273</f>
      </c>
      <c r="U273" s="408">
        <f t="shared" ref="U273:U285" si="506">D273/AI273</f>
      </c>
      <c r="V273" s="405">
        <f t="shared" ref="V273:V285" si="475">AJ273/AI273</f>
      </c>
      <c r="W273" s="409">
        <f t="shared" ref="W273:W285" si="374">I273/AJ273</f>
      </c>
      <c r="X273" s="406">
        <f t="shared" ref="X273:X285" si="300">D273/I273</f>
      </c>
      <c r="Y273" s="410">
        <f t="shared" ref="Y273:Y285" si="238">J273/I273</f>
      </c>
      <c r="Z273" s="406">
        <f t="shared" ref="Z273:Z285" si="176">D273/AD273</f>
      </c>
      <c r="AA273" s="320">
        <f t="shared" ref="AA273:AA285" si="83">AK273*1000/D273</f>
      </c>
      <c r="AB273" s="321" t="s">
        <v>232</v>
      </c>
      <c r="AC273" s="411" t="s">
        <v>233</v>
      </c>
      <c r="AD273" s="334">
        <v>1</v>
      </c>
      <c r="AE273" s="334">
        <v>6089</v>
      </c>
      <c r="AF273" s="304">
        <v>238</v>
      </c>
      <c r="AG273" s="304">
        <v>316</v>
      </c>
      <c r="AH273" s="304">
        <v>59</v>
      </c>
      <c r="AI273" s="334">
        <v>26</v>
      </c>
      <c r="AJ273" s="325">
        <v>4</v>
      </c>
      <c r="AK273" s="326">
        <v>17</v>
      </c>
      <c r="AL273" s="310">
        <v>1</v>
      </c>
      <c r="AM273" s="434"/>
    </row>
    <row r="274">
      <c r="A274" s="303"/>
      <c r="B274" s="304" t="s">
        <v>235</v>
      </c>
      <c r="C274" s="305" t="s">
        <v>240</v>
      </c>
      <c r="D274" s="401">
        <f t="shared" si="411"/>
      </c>
      <c r="E274" s="307">
        <v>2230.42</v>
      </c>
      <c r="F274" s="307">
        <v>582.19</v>
      </c>
      <c r="G274" s="307"/>
      <c r="H274" s="307"/>
      <c r="I274" s="306">
        <v>3</v>
      </c>
      <c r="J274" s="324">
        <v>3684</v>
      </c>
      <c r="K274" s="342">
        <v>1</v>
      </c>
      <c r="L274" s="342">
        <v>1</v>
      </c>
      <c r="M274" s="342">
        <v>1</v>
      </c>
      <c r="N274" s="413">
        <f t="shared" si="343"/>
      </c>
      <c r="O274" s="414">
        <f t="shared" si="269"/>
      </c>
      <c r="P274" s="358">
        <f t="shared" si="207"/>
      </c>
      <c r="Q274" s="405">
        <f t="shared" si="114"/>
      </c>
      <c r="R274" s="415">
        <f t="shared" si="52"/>
      </c>
      <c r="S274" s="407">
        <f t="shared" si="145"/>
      </c>
      <c r="T274" s="405">
        <f t="shared" si="21"/>
      </c>
      <c r="U274" s="408">
        <f t="shared" si="506"/>
      </c>
      <c r="V274" s="405">
        <f t="shared" si="475"/>
      </c>
      <c r="W274" s="409">
        <f t="shared" si="374"/>
      </c>
      <c r="X274" s="406">
        <f t="shared" si="300"/>
      </c>
      <c r="Y274" s="410">
        <f t="shared" si="238"/>
      </c>
      <c r="Z274" s="406">
        <f t="shared" si="176"/>
      </c>
      <c r="AA274" s="331">
        <f t="shared" si="83"/>
      </c>
      <c r="AB274" s="332" t="s">
        <v>232</v>
      </c>
      <c r="AC274" s="411" t="s">
        <v>233</v>
      </c>
      <c r="AD274" s="334">
        <v>3</v>
      </c>
      <c r="AE274" s="334">
        <v>6084</v>
      </c>
      <c r="AF274" s="304">
        <v>255</v>
      </c>
      <c r="AG274" s="333">
        <v>392</v>
      </c>
      <c r="AH274" s="334">
        <v>70</v>
      </c>
      <c r="AI274" s="334">
        <v>26</v>
      </c>
      <c r="AJ274" s="335">
        <v>7</v>
      </c>
      <c r="AK274" s="336">
        <v>12</v>
      </c>
      <c r="AL274" s="310">
        <v>1</v>
      </c>
      <c r="AM274" s="434"/>
    </row>
    <row r="275">
      <c r="A275" s="303"/>
      <c r="B275" s="304" t="s">
        <v>236</v>
      </c>
      <c r="C275" s="305" t="s">
        <v>240</v>
      </c>
      <c r="D275" s="401">
        <f t="shared" si="411"/>
      </c>
      <c r="E275" s="307">
        <v>2268.61</v>
      </c>
      <c r="F275" s="307">
        <v>1422.13</v>
      </c>
      <c r="G275" s="307"/>
      <c r="H275" s="307"/>
      <c r="I275" s="307">
        <v>2</v>
      </c>
      <c r="J275" s="307">
        <v>4536</v>
      </c>
      <c r="K275" s="307">
        <v>0</v>
      </c>
      <c r="L275" s="307">
        <v>0</v>
      </c>
      <c r="M275" s="307">
        <v>2</v>
      </c>
      <c r="N275" s="413">
        <f t="shared" si="343"/>
      </c>
      <c r="O275" s="414">
        <f t="shared" si="269"/>
      </c>
      <c r="P275" s="358">
        <f t="shared" si="207"/>
      </c>
      <c r="Q275" s="407">
        <f t="shared" si="114"/>
      </c>
      <c r="R275" s="406">
        <f t="shared" si="52"/>
      </c>
      <c r="S275" s="409">
        <f t="shared" si="145"/>
      </c>
      <c r="T275" s="418">
        <f t="shared" si="21"/>
      </c>
      <c r="U275" s="419">
        <f t="shared" si="506"/>
      </c>
      <c r="V275" s="418">
        <f t="shared" si="475"/>
      </c>
      <c r="W275" s="405">
        <f t="shared" si="374"/>
      </c>
      <c r="X275" s="406">
        <f t="shared" si="300"/>
      </c>
      <c r="Y275" s="410">
        <f t="shared" si="238"/>
      </c>
      <c r="Z275" s="406">
        <f t="shared" si="176"/>
      </c>
      <c r="AA275" s="331">
        <f t="shared" si="83"/>
      </c>
      <c r="AB275" s="332" t="s">
        <v>232</v>
      </c>
      <c r="AC275" s="411" t="s">
        <v>233</v>
      </c>
      <c r="AD275" s="326">
        <v>2</v>
      </c>
      <c r="AE275" s="334">
        <v>6624</v>
      </c>
      <c r="AF275" s="304">
        <v>324</v>
      </c>
      <c r="AG275" s="334">
        <v>439</v>
      </c>
      <c r="AH275" s="334">
        <v>78</v>
      </c>
      <c r="AI275" s="334">
        <v>24</v>
      </c>
      <c r="AJ275" s="335">
        <v>4</v>
      </c>
      <c r="AK275" s="336">
        <v>17</v>
      </c>
      <c r="AL275" s="310">
        <v>1</v>
      </c>
      <c r="AM275" s="434"/>
    </row>
    <row r="276">
      <c r="A276" s="303"/>
      <c r="B276" s="304" t="s">
        <v>237</v>
      </c>
      <c r="C276" s="305" t="s">
        <v>240</v>
      </c>
      <c r="D276" s="401">
        <f t="shared" si="411"/>
      </c>
      <c r="E276" s="306">
        <v>2059.47</v>
      </c>
      <c r="F276" s="307">
        <v>1295.14</v>
      </c>
      <c r="G276" s="307"/>
      <c r="H276" s="307"/>
      <c r="I276" s="307">
        <v>4</v>
      </c>
      <c r="J276" s="307">
        <v>6432</v>
      </c>
      <c r="K276" s="307">
        <v>0</v>
      </c>
      <c r="L276" s="307">
        <v>2</v>
      </c>
      <c r="M276" s="307">
        <v>2</v>
      </c>
      <c r="N276" s="413">
        <f t="shared" si="343"/>
      </c>
      <c r="O276" s="414">
        <f t="shared" si="269"/>
      </c>
      <c r="P276" s="358">
        <f t="shared" si="207"/>
      </c>
      <c r="Q276" s="405">
        <f t="shared" si="114"/>
      </c>
      <c r="R276" s="420">
        <f t="shared" si="52"/>
      </c>
      <c r="S276" s="405">
        <f t="shared" si="145"/>
      </c>
      <c r="T276" s="405">
        <f t="shared" si="21"/>
      </c>
      <c r="U276" s="406">
        <f t="shared" si="506"/>
      </c>
      <c r="V276" s="405">
        <f t="shared" si="475"/>
      </c>
      <c r="W276" s="405">
        <f t="shared" si="374"/>
      </c>
      <c r="X276" s="406">
        <f t="shared" si="300"/>
      </c>
      <c r="Y276" s="410">
        <f t="shared" si="238"/>
      </c>
      <c r="Z276" s="406">
        <f t="shared" si="176"/>
      </c>
      <c r="AA276" s="331">
        <f t="shared" si="83"/>
      </c>
      <c r="AB276" s="340" t="s">
        <v>232</v>
      </c>
      <c r="AC276" s="411" t="s">
        <v>233</v>
      </c>
      <c r="AD276" s="412">
        <v>4</v>
      </c>
      <c r="AE276" s="333">
        <v>5171</v>
      </c>
      <c r="AF276" s="334">
        <v>250</v>
      </c>
      <c r="AG276" s="334">
        <v>325</v>
      </c>
      <c r="AH276" s="334">
        <v>68</v>
      </c>
      <c r="AI276" s="334">
        <v>28</v>
      </c>
      <c r="AJ276" s="335">
        <v>7</v>
      </c>
      <c r="AK276" s="336">
        <v>22</v>
      </c>
      <c r="AL276" s="310">
        <v>1</v>
      </c>
      <c r="AM276" s="434"/>
    </row>
    <row customHeight="true" ht="18.452380952380953" r="277">
      <c r="A277" s="303"/>
      <c r="B277" s="304" t="s">
        <v>239</v>
      </c>
      <c r="C277" s="305" t="s">
        <v>240</v>
      </c>
      <c r="D277" s="401">
        <f t="shared" si="411"/>
      </c>
      <c r="E277" s="306">
        <v>2723.64</v>
      </c>
      <c r="F277" s="307">
        <v>1058.76</v>
      </c>
      <c r="G277" s="307"/>
      <c r="H277" s="307"/>
      <c r="I277" s="307">
        <v>3</v>
      </c>
      <c r="J277" s="307">
        <v>6616</v>
      </c>
      <c r="K277" s="307">
        <v>0</v>
      </c>
      <c r="L277" s="307">
        <v>0</v>
      </c>
      <c r="M277" s="307">
        <v>3</v>
      </c>
      <c r="N277" s="413">
        <f t="shared" si="343"/>
      </c>
      <c r="O277" s="414">
        <f t="shared" si="269"/>
      </c>
      <c r="P277" s="358">
        <f t="shared" si="207"/>
      </c>
      <c r="Q277" s="405">
        <f t="shared" si="114"/>
      </c>
      <c r="R277" s="420">
        <f t="shared" si="52"/>
      </c>
      <c r="S277" s="405">
        <f t="shared" si="145"/>
      </c>
      <c r="T277" s="405">
        <f t="shared" si="21"/>
      </c>
      <c r="U277" s="406">
        <f t="shared" si="506"/>
      </c>
      <c r="V277" s="405">
        <f t="shared" si="475"/>
      </c>
      <c r="W277" s="405">
        <f t="shared" si="374"/>
      </c>
      <c r="X277" s="406">
        <f t="shared" si="300"/>
      </c>
      <c r="Y277" s="410">
        <f t="shared" si="238"/>
      </c>
      <c r="Z277" s="406">
        <f t="shared" si="176"/>
      </c>
      <c r="AA277" s="331">
        <f t="shared" si="83"/>
      </c>
      <c r="AB277" s="340" t="s">
        <v>232</v>
      </c>
      <c r="AC277" s="411" t="s">
        <v>233</v>
      </c>
      <c r="AD277" s="412">
        <v>3</v>
      </c>
      <c r="AE277" s="333">
        <v>7588</v>
      </c>
      <c r="AF277" s="334">
        <v>342</v>
      </c>
      <c r="AG277" s="334">
        <v>460</v>
      </c>
      <c r="AH277" s="334">
        <v>105</v>
      </c>
      <c r="AI277" s="334">
        <v>34</v>
      </c>
      <c r="AJ277" s="335">
        <v>8</v>
      </c>
      <c r="AK277" s="336">
        <v>24</v>
      </c>
      <c r="AL277" s="310">
        <v>1</v>
      </c>
      <c r="AM277" s="434"/>
    </row>
    <row r="278">
      <c r="A278" s="303"/>
      <c r="B278" s="347" t="s">
        <v>238</v>
      </c>
      <c r="C278" s="347"/>
      <c r="D278" s="348">
        <f>SUM(D273:D277)</f>
      </c>
      <c r="E278" s="348">
        <f>SUM(E273:E277)</f>
      </c>
      <c r="F278" s="348">
        <f>SUM(F273:F277)</f>
      </c>
      <c r="G278" s="348">
        <f>SUM(G273:G277)</f>
      </c>
      <c r="H278" s="348">
        <f>SUM(H273:H277)</f>
      </c>
      <c r="I278" s="348">
        <f>SUM(I273:I277)</f>
      </c>
      <c r="J278" s="348">
        <f>SUM(J273:J277)</f>
      </c>
      <c r="K278" s="348">
        <f>SUM(K273:K277)</f>
      </c>
      <c r="L278" s="348">
        <f>SUM(L273:L277)</f>
      </c>
      <c r="M278" s="348">
        <f>SUM(M273:M277)</f>
      </c>
      <c r="N278" s="421">
        <f t="shared" si="343"/>
      </c>
      <c r="O278" s="422">
        <f t="shared" si="269"/>
      </c>
      <c r="P278" s="351">
        <f t="shared" si="207"/>
      </c>
      <c r="Q278" s="352">
        <f t="shared" si="114"/>
      </c>
      <c r="R278" s="353">
        <f t="shared" si="52"/>
      </c>
      <c r="S278" s="354">
        <f t="shared" si="145"/>
      </c>
      <c r="T278" s="354">
        <f t="shared" si="21"/>
      </c>
      <c r="U278" s="353">
        <f t="shared" si="506"/>
      </c>
      <c r="V278" s="354">
        <f t="shared" si="475"/>
      </c>
      <c r="W278" s="354">
        <f t="shared" si="374"/>
      </c>
      <c r="X278" s="355">
        <f t="shared" si="300"/>
      </c>
      <c r="Y278" s="423">
        <f t="shared" si="238"/>
      </c>
      <c r="Z278" s="355">
        <f t="shared" si="176"/>
      </c>
      <c r="AA278" s="356">
        <f t="shared" si="83"/>
      </c>
      <c r="AB278" s="356"/>
      <c r="AC278" s="424"/>
      <c r="AD278" s="347">
        <f>SUM(AD273:AD277)</f>
      </c>
      <c r="AE278" s="347">
        <f>SUM(AE273:AE277)</f>
      </c>
      <c r="AF278" s="347">
        <f>SUM(AF273:AF277)</f>
      </c>
      <c r="AG278" s="347">
        <f>SUM(AG273:AG277)</f>
      </c>
      <c r="AH278" s="347">
        <f>SUM(AH273:AH277)</f>
      </c>
      <c r="AI278" s="347">
        <f>SUM(AI273:AI277)</f>
      </c>
      <c r="AJ278" s="347">
        <f>SUM(AJ273:AJ277)</f>
      </c>
      <c r="AK278" s="347">
        <f>SUM(AK273:AK277)</f>
      </c>
      <c r="AL278" s="347">
        <f>SUM(AL273:AL277)</f>
      </c>
      <c r="AM278" s="434"/>
    </row>
    <row customHeight="true" ht="18.452380952380953" r="279">
      <c r="A279" s="303"/>
      <c r="B279" s="304" t="s">
        <v>241</v>
      </c>
      <c r="C279" s="326" t="s">
        <v>247</v>
      </c>
      <c r="D279" s="334">
        <f t="shared" ref="D279:D283" si="412">E279+F279+G279+H279</f>
      </c>
      <c r="E279" s="334">
        <v>2416.18</v>
      </c>
      <c r="F279" s="334">
        <v>798.75</v>
      </c>
      <c r="G279" s="326">
        <v>0</v>
      </c>
      <c r="H279" s="326">
        <v>0</v>
      </c>
      <c r="I279" s="310">
        <v>2</v>
      </c>
      <c r="J279" s="345">
        <v>4536</v>
      </c>
      <c r="K279" s="303">
        <v>0</v>
      </c>
      <c r="L279" s="303">
        <v>0</v>
      </c>
      <c r="M279" s="305">
        <v>2</v>
      </c>
      <c r="N279" s="413">
        <f t="shared" si="343"/>
      </c>
      <c r="O279" s="414">
        <f t="shared" si="269"/>
      </c>
      <c r="P279" s="368">
        <f t="shared" si="207"/>
      </c>
      <c r="Q279" s="359">
        <f t="shared" si="114"/>
      </c>
      <c r="R279" s="360">
        <f t="shared" si="52"/>
      </c>
      <c r="S279" s="361">
        <f t="shared" si="145"/>
      </c>
      <c r="T279" s="361">
        <f t="shared" si="21"/>
      </c>
      <c r="U279" s="360">
        <f t="shared" si="506"/>
      </c>
      <c r="V279" s="361">
        <f t="shared" si="475"/>
      </c>
      <c r="W279" s="361">
        <f t="shared" si="374"/>
      </c>
      <c r="X279" s="362">
        <f t="shared" si="300"/>
      </c>
      <c r="Y279" s="425">
        <f t="shared" si="238"/>
      </c>
      <c r="Z279" s="362">
        <f t="shared" si="176"/>
      </c>
      <c r="AA279" s="363">
        <f t="shared" si="83"/>
      </c>
      <c r="AB279" s="364" t="s">
        <v>232</v>
      </c>
      <c r="AC279" s="432" t="s">
        <v>233</v>
      </c>
      <c r="AD279" s="402">
        <v>2</v>
      </c>
      <c r="AE279" s="365">
        <v>5650</v>
      </c>
      <c r="AF279" s="365">
        <v>259</v>
      </c>
      <c r="AG279" s="365">
        <v>372</v>
      </c>
      <c r="AH279" s="365">
        <v>60</v>
      </c>
      <c r="AI279" s="365">
        <v>21</v>
      </c>
      <c r="AJ279" s="310">
        <v>2</v>
      </c>
      <c r="AK279" s="310">
        <v>11</v>
      </c>
      <c r="AL279" s="310">
        <v>1</v>
      </c>
      <c r="AM279" s="434"/>
    </row>
    <row r="280">
      <c r="A280" s="303"/>
      <c r="B280" s="304" t="s">
        <v>242</v>
      </c>
      <c r="C280" s="326" t="s">
        <v>247</v>
      </c>
      <c r="D280" s="334">
        <f t="shared" si="412"/>
      </c>
      <c r="E280" s="334">
        <v>2051.29</v>
      </c>
      <c r="F280" s="334">
        <v>808.41</v>
      </c>
      <c r="G280" s="326">
        <v>0</v>
      </c>
      <c r="H280" s="326">
        <v>0</v>
      </c>
      <c r="I280" s="310">
        <v>3</v>
      </c>
      <c r="J280" s="345">
        <v>4085</v>
      </c>
      <c r="K280" s="303">
        <v>0</v>
      </c>
      <c r="L280" s="303">
        <v>2</v>
      </c>
      <c r="M280" s="305">
        <v>1</v>
      </c>
      <c r="N280" s="413">
        <f t="shared" si="343"/>
      </c>
      <c r="O280" s="414">
        <f t="shared" si="269"/>
      </c>
      <c r="P280" s="368">
        <f t="shared" si="207"/>
      </c>
      <c r="Q280" s="359">
        <f t="shared" si="114"/>
      </c>
      <c r="R280" s="360">
        <f t="shared" si="52"/>
      </c>
      <c r="S280" s="361">
        <f t="shared" si="145"/>
      </c>
      <c r="T280" s="361">
        <f t="shared" si="21"/>
      </c>
      <c r="U280" s="360">
        <f t="shared" si="506"/>
      </c>
      <c r="V280" s="361">
        <f t="shared" si="475"/>
      </c>
      <c r="W280" s="361">
        <f t="shared" si="374"/>
      </c>
      <c r="X280" s="362">
        <f t="shared" si="300"/>
      </c>
      <c r="Y280" s="425">
        <f t="shared" si="238"/>
      </c>
      <c r="Z280" s="362">
        <f t="shared" si="176"/>
      </c>
      <c r="AA280" s="363">
        <f t="shared" si="83"/>
      </c>
      <c r="AB280" s="364" t="s">
        <v>232</v>
      </c>
      <c r="AC280" s="432" t="s">
        <v>233</v>
      </c>
      <c r="AD280" s="402">
        <v>2</v>
      </c>
      <c r="AE280" s="365">
        <v>5331</v>
      </c>
      <c r="AF280" s="365">
        <v>287</v>
      </c>
      <c r="AG280" s="365">
        <v>406</v>
      </c>
      <c r="AH280" s="365">
        <v>58</v>
      </c>
      <c r="AI280" s="365">
        <v>30</v>
      </c>
      <c r="AJ280" s="310">
        <v>3</v>
      </c>
      <c r="AK280" s="310">
        <v>17</v>
      </c>
      <c r="AL280" s="310">
        <v>1</v>
      </c>
      <c r="AM280" s="434"/>
    </row>
    <row r="281">
      <c r="A281" s="303"/>
      <c r="B281" s="304" t="s">
        <v>243</v>
      </c>
      <c r="C281" s="326" t="s">
        <v>247</v>
      </c>
      <c r="D281" s="334">
        <f t="shared" si="412"/>
      </c>
      <c r="E281" s="334">
        <v>2435.5</v>
      </c>
      <c r="F281" s="334">
        <v>930.66</v>
      </c>
      <c r="G281" s="326">
        <v>0</v>
      </c>
      <c r="H281" s="326">
        <v>0</v>
      </c>
      <c r="I281" s="310">
        <v>1</v>
      </c>
      <c r="J281" s="345">
        <v>2080</v>
      </c>
      <c r="K281" s="303">
        <v>0</v>
      </c>
      <c r="L281" s="303">
        <v>0</v>
      </c>
      <c r="M281" s="305">
        <v>1</v>
      </c>
      <c r="N281" s="413">
        <f t="shared" si="343"/>
      </c>
      <c r="O281" s="414">
        <f t="shared" si="269"/>
      </c>
      <c r="P281" s="368">
        <f t="shared" si="207"/>
      </c>
      <c r="Q281" s="359">
        <f t="shared" si="114"/>
      </c>
      <c r="R281" s="360">
        <f t="shared" si="52"/>
      </c>
      <c r="S281" s="361">
        <f t="shared" si="145"/>
      </c>
      <c r="T281" s="361">
        <f t="shared" si="21"/>
      </c>
      <c r="U281" s="360">
        <f t="shared" si="506"/>
      </c>
      <c r="V281" s="361">
        <f t="shared" si="475"/>
      </c>
      <c r="W281" s="361">
        <f t="shared" si="374"/>
      </c>
      <c r="X281" s="362">
        <f t="shared" si="300"/>
      </c>
      <c r="Y281" s="425">
        <f t="shared" si="238"/>
      </c>
      <c r="Z281" s="362">
        <f t="shared" si="176"/>
      </c>
      <c r="AA281" s="363">
        <f t="shared" si="83"/>
      </c>
      <c r="AB281" s="364" t="s">
        <v>232</v>
      </c>
      <c r="AC281" s="411" t="s">
        <v>262</v>
      </c>
      <c r="AD281" s="402">
        <v>2</v>
      </c>
      <c r="AE281" s="365">
        <v>6295</v>
      </c>
      <c r="AF281" s="365">
        <v>274</v>
      </c>
      <c r="AG281" s="365">
        <v>476</v>
      </c>
      <c r="AH281" s="365">
        <v>75</v>
      </c>
      <c r="AI281" s="365">
        <v>19</v>
      </c>
      <c r="AJ281" s="310">
        <v>5</v>
      </c>
      <c r="AK281" s="310">
        <v>16</v>
      </c>
      <c r="AL281" s="310">
        <v>1</v>
      </c>
      <c r="AM281" s="434"/>
    </row>
    <row r="282">
      <c r="A282" s="303"/>
      <c r="B282" s="304" t="s">
        <v>245</v>
      </c>
      <c r="C282" s="326" t="s">
        <v>247</v>
      </c>
      <c r="D282" s="334">
        <f t="shared" si="412"/>
      </c>
      <c r="E282" s="326">
        <v>3319.55</v>
      </c>
      <c r="F282" s="326">
        <v>720</v>
      </c>
      <c r="G282" s="326">
        <v>0</v>
      </c>
      <c r="H282" s="326">
        <v>0</v>
      </c>
      <c r="I282" s="365">
        <v>5</v>
      </c>
      <c r="J282" s="369">
        <v>8354</v>
      </c>
      <c r="K282" s="303">
        <v>0</v>
      </c>
      <c r="L282" s="303">
        <v>2</v>
      </c>
      <c r="M282" s="305">
        <v>3</v>
      </c>
      <c r="N282" s="413">
        <f t="shared" si="343"/>
      </c>
      <c r="O282" s="414">
        <f t="shared" si="269"/>
      </c>
      <c r="P282" s="368">
        <f t="shared" si="207"/>
      </c>
      <c r="Q282" s="359">
        <f t="shared" si="114"/>
      </c>
      <c r="R282" s="360">
        <f t="shared" si="52"/>
      </c>
      <c r="S282" s="361">
        <f t="shared" si="145"/>
      </c>
      <c r="T282" s="361">
        <f t="shared" si="21"/>
      </c>
      <c r="U282" s="360">
        <f t="shared" si="506"/>
      </c>
      <c r="V282" s="361">
        <f t="shared" si="475"/>
      </c>
      <c r="W282" s="361">
        <f t="shared" si="374"/>
      </c>
      <c r="X282" s="362">
        <f t="shared" si="300"/>
      </c>
      <c r="Y282" s="425">
        <f t="shared" si="238"/>
      </c>
      <c r="Z282" s="362">
        <f t="shared" si="176"/>
      </c>
      <c r="AA282" s="363">
        <f t="shared" si="83"/>
      </c>
      <c r="AB282" s="364" t="s">
        <v>232</v>
      </c>
      <c r="AC282" s="411" t="s">
        <v>262</v>
      </c>
      <c r="AD282" s="402">
        <v>4</v>
      </c>
      <c r="AE282" s="365">
        <v>9333</v>
      </c>
      <c r="AF282" s="365">
        <v>347</v>
      </c>
      <c r="AG282" s="365">
        <v>674</v>
      </c>
      <c r="AH282" s="365">
        <v>92</v>
      </c>
      <c r="AI282" s="365">
        <v>12</v>
      </c>
      <c r="AJ282" s="310">
        <v>7</v>
      </c>
      <c r="AK282" s="310">
        <v>19</v>
      </c>
      <c r="AL282" s="310">
        <v>1</v>
      </c>
      <c r="AM282" s="434"/>
    </row>
    <row r="283">
      <c r="A283" s="303"/>
      <c r="B283" s="304" t="s">
        <v>246</v>
      </c>
      <c r="C283" s="326" t="s">
        <v>247</v>
      </c>
      <c r="D283" s="334">
        <f t="shared" si="412"/>
      </c>
      <c r="E283" s="326">
        <v>3372.21</v>
      </c>
      <c r="F283" s="326">
        <v>360.27</v>
      </c>
      <c r="G283" s="326">
        <v>0</v>
      </c>
      <c r="H283" s="326">
        <v>0</v>
      </c>
      <c r="I283" s="310">
        <v>2</v>
      </c>
      <c r="J283" s="345">
        <v>3028</v>
      </c>
      <c r="K283" s="326">
        <v>0</v>
      </c>
      <c r="L283" s="326">
        <v>1</v>
      </c>
      <c r="M283" s="326">
        <v>1</v>
      </c>
      <c r="N283" s="413">
        <f t="shared" si="343"/>
      </c>
      <c r="O283" s="414">
        <f t="shared" si="269"/>
      </c>
      <c r="P283" s="358">
        <f t="shared" si="207"/>
      </c>
      <c r="Q283" s="359">
        <f t="shared" si="114"/>
      </c>
      <c r="R283" s="360">
        <f t="shared" si="52"/>
      </c>
      <c r="S283" s="361">
        <f t="shared" si="145"/>
      </c>
      <c r="T283" s="361">
        <f t="shared" si="21"/>
      </c>
      <c r="U283" s="360">
        <f t="shared" si="506"/>
      </c>
      <c r="V283" s="361">
        <f t="shared" si="475"/>
      </c>
      <c r="W283" s="361">
        <f t="shared" si="374"/>
      </c>
      <c r="X283" s="362">
        <f t="shared" si="300"/>
      </c>
      <c r="Y283" s="425">
        <f t="shared" si="238"/>
      </c>
      <c r="Z283" s="362">
        <f t="shared" si="176"/>
      </c>
      <c r="AA283" s="363">
        <f t="shared" si="83"/>
      </c>
      <c r="AB283" s="364" t="s">
        <v>232</v>
      </c>
      <c r="AC283" s="411" t="s">
        <v>262</v>
      </c>
      <c r="AD283" s="402">
        <v>2</v>
      </c>
      <c r="AE283" s="365">
        <v>10427</v>
      </c>
      <c r="AF283" s="365">
        <v>322</v>
      </c>
      <c r="AG283" s="365">
        <v>638</v>
      </c>
      <c r="AH283" s="365">
        <v>80</v>
      </c>
      <c r="AI283" s="365">
        <v>10</v>
      </c>
      <c r="AJ283" s="310">
        <v>6</v>
      </c>
      <c r="AK283" s="310">
        <v>16</v>
      </c>
      <c r="AL283" s="310">
        <v>1</v>
      </c>
      <c r="AM283" s="434"/>
    </row>
    <row r="284">
      <c r="A284" s="303"/>
      <c r="B284" s="347" t="s">
        <v>238</v>
      </c>
      <c r="C284" s="347"/>
      <c r="D284" s="348">
        <f>SUM(D279:D283)</f>
      </c>
      <c r="E284" s="348">
        <f>SUM(E279:E283)</f>
      </c>
      <c r="F284" s="348">
        <f>SUM(F279:F283)</f>
      </c>
      <c r="G284" s="348">
        <f>SUM(G279:G283)</f>
      </c>
      <c r="H284" s="348">
        <f>SUM(H279:H283)</f>
      </c>
      <c r="I284" s="348">
        <f>SUM(I279:I283)</f>
      </c>
      <c r="J284" s="348">
        <f>SUM(J279:J283)</f>
      </c>
      <c r="K284" s="348">
        <f>SUM(K279:K283)</f>
      </c>
      <c r="L284" s="348">
        <f>SUM(L279:L283)</f>
      </c>
      <c r="M284" s="348">
        <f>SUM(M279:M283)</f>
      </c>
      <c r="N284" s="421">
        <f t="shared" si="343"/>
      </c>
      <c r="O284" s="422">
        <f t="shared" si="269"/>
      </c>
      <c r="P284" s="370">
        <f t="shared" si="207"/>
      </c>
      <c r="Q284" s="352">
        <f t="shared" si="114"/>
      </c>
      <c r="R284" s="353">
        <f t="shared" si="52"/>
      </c>
      <c r="S284" s="354">
        <f t="shared" si="145"/>
      </c>
      <c r="T284" s="354">
        <f t="shared" si="21"/>
      </c>
      <c r="U284" s="353">
        <f t="shared" si="506"/>
      </c>
      <c r="V284" s="354">
        <f t="shared" si="475"/>
      </c>
      <c r="W284" s="354">
        <f t="shared" si="374"/>
      </c>
      <c r="X284" s="355">
        <f t="shared" si="300"/>
      </c>
      <c r="Y284" s="423">
        <f t="shared" si="238"/>
      </c>
      <c r="Z284" s="355">
        <f t="shared" si="176"/>
      </c>
      <c r="AA284" s="356">
        <f t="shared" si="83"/>
      </c>
      <c r="AB284" s="356"/>
      <c r="AC284" s="356"/>
      <c r="AD284" s="348">
        <f>SUM(AD279:AD283)</f>
      </c>
      <c r="AE284" s="348">
        <f>SUM(AE279:AE283)</f>
      </c>
      <c r="AF284" s="348">
        <f>SUM(AF279:AF283)</f>
      </c>
      <c r="AG284" s="348">
        <f>SUM(AG279:AG283)</f>
      </c>
      <c r="AH284" s="348">
        <f>SUM(AH279:AH283)</f>
      </c>
      <c r="AI284" s="348">
        <f>SUM(AI279:AI283)</f>
      </c>
      <c r="AJ284" s="348">
        <f>SUM(AJ279:AJ283)</f>
      </c>
      <c r="AK284" s="348">
        <f>SUM(AK279:AK283)</f>
      </c>
      <c r="AL284" s="348">
        <f>SUM(AL279:AL283)</f>
      </c>
      <c r="AM284" s="426" t="s">
        <v>249</v>
      </c>
    </row>
    <row r="285">
      <c r="A285" s="303"/>
      <c r="B285" s="373" t="s">
        <v>250</v>
      </c>
      <c r="C285" s="373"/>
      <c r="D285" s="373">
        <f>D278+D284</f>
      </c>
      <c r="E285" s="373">
        <f>E278+E284</f>
      </c>
      <c r="F285" s="373">
        <f>F278+F284</f>
      </c>
      <c r="G285" s="373">
        <f>G278+G284</f>
      </c>
      <c r="H285" s="373">
        <f>H278+H284</f>
      </c>
      <c r="I285" s="373">
        <f>I278+I284</f>
      </c>
      <c r="J285" s="373">
        <f>J278+J284</f>
      </c>
      <c r="K285" s="373">
        <f>K278+K284</f>
      </c>
      <c r="L285" s="373">
        <f>L278+L284</f>
      </c>
      <c r="M285" s="373">
        <f>M278+M284</f>
      </c>
      <c r="N285" s="427">
        <f t="shared" si="343"/>
      </c>
      <c r="O285" s="427">
        <f t="shared" si="269"/>
      </c>
      <c r="P285" s="377">
        <f t="shared" si="207"/>
      </c>
      <c r="Q285" s="378">
        <f t="shared" si="114"/>
      </c>
      <c r="R285" s="379">
        <f t="shared" si="52"/>
      </c>
      <c r="S285" s="380">
        <f t="shared" si="145"/>
      </c>
      <c r="T285" s="380">
        <f t="shared" si="21"/>
      </c>
      <c r="U285" s="379">
        <f t="shared" si="506"/>
      </c>
      <c r="V285" s="380">
        <f t="shared" si="475"/>
      </c>
      <c r="W285" s="380">
        <f t="shared" si="374"/>
      </c>
      <c r="X285" s="379">
        <f t="shared" si="300"/>
      </c>
      <c r="Y285" s="428">
        <f t="shared" si="238"/>
      </c>
      <c r="Z285" s="379">
        <f t="shared" si="176"/>
      </c>
      <c r="AA285" s="381">
        <f t="shared" si="83"/>
      </c>
      <c r="AB285" s="381"/>
      <c r="AC285" s="381"/>
      <c r="AD285" s="373">
        <f>AD278+AD284</f>
      </c>
      <c r="AE285" s="373">
        <f>AE278+AE284</f>
      </c>
      <c r="AF285" s="373">
        <f>AF278+AF284</f>
      </c>
      <c r="AG285" s="373">
        <f>AG278+AG284</f>
      </c>
      <c r="AH285" s="373">
        <f>AH278+AH284</f>
      </c>
      <c r="AI285" s="373">
        <f>AI278+AI284</f>
      </c>
      <c r="AJ285" s="373">
        <f>AJ278+AJ284</f>
      </c>
      <c r="AK285" s="373">
        <f>AK278+AK284</f>
      </c>
      <c r="AL285" s="373">
        <f>AL278+AL284</f>
      </c>
      <c r="AM285" s="426"/>
    </row>
    <row r="286">
      <c r="A286" s="389" t="s">
        <v>189</v>
      </c>
      <c r="B286" s="389"/>
      <c r="C286" s="389"/>
      <c r="D286" s="390" t="s">
        <v>190</v>
      </c>
      <c r="E286" s="390"/>
      <c r="F286" s="390"/>
      <c r="G286" s="390"/>
      <c r="H286" s="390"/>
      <c r="I286" s="390"/>
      <c r="J286" s="390"/>
      <c r="K286" s="390"/>
      <c r="L286" s="390"/>
      <c r="M286" s="390"/>
      <c r="N286" s="390"/>
      <c r="O286" s="390"/>
      <c r="P286" s="391" t="s">
        <v>191</v>
      </c>
      <c r="Q286" s="391"/>
      <c r="R286" s="391"/>
      <c r="S286" s="391"/>
      <c r="T286" s="391"/>
      <c r="U286" s="391"/>
      <c r="V286" s="391"/>
      <c r="W286" s="391"/>
      <c r="X286" s="391"/>
      <c r="Y286" s="391"/>
      <c r="Z286" s="391"/>
      <c r="AA286" s="391"/>
      <c r="AB286" s="391"/>
      <c r="AC286" s="391"/>
      <c r="AD286" s="392" t="s">
        <v>192</v>
      </c>
      <c r="AE286" s="392"/>
      <c r="AF286" s="392"/>
      <c r="AG286" s="392"/>
      <c r="AH286" s="392"/>
      <c r="AI286" s="392"/>
      <c r="AJ286" s="392"/>
      <c r="AK286" s="392"/>
      <c r="AL286" s="392"/>
      <c r="AM286" s="433"/>
    </row>
    <row r="287">
      <c r="A287" s="287" t="s">
        <v>193</v>
      </c>
      <c r="B287" s="288" t="s">
        <v>194</v>
      </c>
      <c r="C287" s="288" t="s">
        <v>195</v>
      </c>
      <c r="D287" s="289" t="s">
        <v>196</v>
      </c>
      <c r="E287" s="290" t="s">
        <v>197</v>
      </c>
      <c r="F287" s="394" t="s">
        <v>198</v>
      </c>
      <c r="G287" s="394" t="s">
        <v>256</v>
      </c>
      <c r="H287" s="395" t="s">
        <v>260</v>
      </c>
      <c r="I287" s="429" t="s">
        <v>199</v>
      </c>
      <c r="J287" s="430" t="s">
        <v>200</v>
      </c>
      <c r="K287" s="431" t="s">
        <v>201</v>
      </c>
      <c r="L287" s="397" t="s">
        <v>202</v>
      </c>
      <c r="M287" s="397" t="s">
        <v>203</v>
      </c>
      <c r="N287" s="295" t="s">
        <v>204</v>
      </c>
      <c r="O287" s="398" t="s">
        <v>205</v>
      </c>
      <c r="P287" s="296" t="s">
        <v>206</v>
      </c>
      <c r="Q287" s="296" t="s">
        <v>207</v>
      </c>
      <c r="R287" s="296" t="s">
        <v>208</v>
      </c>
      <c r="S287" s="297" t="s">
        <v>209</v>
      </c>
      <c r="T287" s="297" t="s">
        <v>210</v>
      </c>
      <c r="U287" s="296" t="s">
        <v>211</v>
      </c>
      <c r="V287" s="297" t="s">
        <v>212</v>
      </c>
      <c r="W287" s="297" t="s">
        <v>213</v>
      </c>
      <c r="X287" s="296" t="s">
        <v>214</v>
      </c>
      <c r="Y287" s="297" t="s">
        <v>215</v>
      </c>
      <c r="Z287" s="296" t="s">
        <v>216</v>
      </c>
      <c r="AA287" s="298" t="s">
        <v>217</v>
      </c>
      <c r="AB287" s="298" t="s">
        <v>218</v>
      </c>
      <c r="AC287" s="299" t="s">
        <v>219</v>
      </c>
      <c r="AD287" s="300" t="s">
        <v>220</v>
      </c>
      <c r="AE287" s="301" t="s">
        <v>221</v>
      </c>
      <c r="AF287" s="301" t="s">
        <v>222</v>
      </c>
      <c r="AG287" s="301" t="s">
        <v>223</v>
      </c>
      <c r="AH287" s="301" t="s">
        <v>224</v>
      </c>
      <c r="AI287" s="301" t="s">
        <v>225</v>
      </c>
      <c r="AJ287" s="302" t="s">
        <v>226</v>
      </c>
      <c r="AK287" s="302" t="s">
        <v>227</v>
      </c>
      <c r="AL287" s="302" t="s">
        <v>228</v>
      </c>
      <c r="AM287" s="433"/>
    </row>
    <row r="288">
      <c r="A288" s="303" t="s">
        <v>270</v>
      </c>
      <c r="B288" s="304" t="s">
        <v>230</v>
      </c>
      <c r="C288" s="305" t="s">
        <v>271</v>
      </c>
      <c r="D288" s="401">
        <f t="shared" ref="D288:D291" si="413">E288+F288+G288+H288</f>
      </c>
      <c r="E288" s="307">
        <v>2904.5</v>
      </c>
      <c r="F288" s="307">
        <v>555.97</v>
      </c>
      <c r="G288" s="307">
        <v>0</v>
      </c>
      <c r="H288" s="307">
        <v>0</v>
      </c>
      <c r="I288" s="307">
        <v>0</v>
      </c>
      <c r="J288" s="328">
        <v>0</v>
      </c>
      <c r="K288" s="309">
        <v>0</v>
      </c>
      <c r="L288" s="310">
        <v>0</v>
      </c>
      <c r="M288" s="310">
        <v>0</v>
      </c>
      <c r="N288" s="403">
        <f t="shared" ref="N288:N303" si="344">J288/D288</f>
      </c>
      <c r="O288" s="404">
        <f t="shared" ref="O288:O303" si="270">J288/(D288+300*AL288)</f>
      </c>
      <c r="P288" s="358">
        <f t="shared" ref="P288:P303" si="208">(D288/AE288)*1000</f>
      </c>
      <c r="Q288" s="405">
        <f t="shared" ref="Q288:Q303" si="115">AF288/AE288</f>
      </c>
      <c r="R288" s="406">
        <f t="shared" ref="R288:R303" si="53">D288/AG288</f>
      </c>
      <c r="S288" s="407">
        <f t="shared" ref="S288:S303" si="146">AH288/AG288</f>
      </c>
      <c r="T288" s="405">
        <f t="shared" ref="T288:T303" si="22">AI288/AG288</f>
      </c>
      <c r="U288" s="408">
        <f t="shared" ref="U288:U303" si="507">D288/AI288</f>
      </c>
      <c r="V288" s="405">
        <f t="shared" ref="V288:V303" si="476">AJ288/AI288</f>
      </c>
      <c r="W288" s="409">
        <f t="shared" ref="W288:W303" si="375">I288/AJ288</f>
      </c>
      <c r="X288" s="406">
        <f t="shared" ref="X288:X303" si="301">D288/I288</f>
      </c>
      <c r="Y288" s="410">
        <f t="shared" ref="Y288:Y303" si="239">J288/I288</f>
      </c>
      <c r="Z288" s="406">
        <f t="shared" ref="Z288:Z303" si="177">D288/AD288</f>
      </c>
      <c r="AA288" s="320">
        <f t="shared" ref="AA288:AA303" si="84">AK288*1000/D288</f>
      </c>
      <c r="AB288" s="321" t="s">
        <v>232</v>
      </c>
      <c r="AC288" s="411" t="s">
        <v>233</v>
      </c>
      <c r="AD288" s="334">
        <v>0</v>
      </c>
      <c r="AE288" s="334">
        <v>7437</v>
      </c>
      <c r="AF288" s="304">
        <v>337</v>
      </c>
      <c r="AG288" s="304">
        <v>451</v>
      </c>
      <c r="AH288" s="304">
        <v>63</v>
      </c>
      <c r="AI288" s="334">
        <v>10</v>
      </c>
      <c r="AJ288" s="325">
        <v>1</v>
      </c>
      <c r="AK288" s="326">
        <v>16</v>
      </c>
      <c r="AL288" s="310">
        <v>1</v>
      </c>
      <c r="AM288" s="434"/>
    </row>
    <row r="289">
      <c r="A289" s="303"/>
      <c r="B289" s="304" t="s">
        <v>234</v>
      </c>
      <c r="C289" s="305" t="s">
        <v>271</v>
      </c>
      <c r="D289" s="401">
        <f t="shared" si="413"/>
      </c>
      <c r="E289" s="307">
        <v>2143.89</v>
      </c>
      <c r="F289" s="307">
        <v>843.87</v>
      </c>
      <c r="G289" s="307">
        <v>0</v>
      </c>
      <c r="H289" s="307">
        <v>0</v>
      </c>
      <c r="I289" s="306">
        <v>4</v>
      </c>
      <c r="J289" s="324">
        <v>7752</v>
      </c>
      <c r="K289" s="342">
        <v>0</v>
      </c>
      <c r="L289" s="342">
        <v>1</v>
      </c>
      <c r="M289" s="342">
        <v>3</v>
      </c>
      <c r="N289" s="413">
        <f t="shared" si="344"/>
      </c>
      <c r="O289" s="414">
        <f t="shared" si="270"/>
      </c>
      <c r="P289" s="358">
        <f t="shared" si="208"/>
      </c>
      <c r="Q289" s="405">
        <f t="shared" si="115"/>
      </c>
      <c r="R289" s="415">
        <f t="shared" si="53"/>
      </c>
      <c r="S289" s="407">
        <f t="shared" si="146"/>
      </c>
      <c r="T289" s="405">
        <f t="shared" si="22"/>
      </c>
      <c r="U289" s="408">
        <f t="shared" si="507"/>
      </c>
      <c r="V289" s="405">
        <f t="shared" si="476"/>
      </c>
      <c r="W289" s="409">
        <f t="shared" si="375"/>
      </c>
      <c r="X289" s="406">
        <f t="shared" si="301"/>
      </c>
      <c r="Y289" s="410">
        <f t="shared" si="239"/>
      </c>
      <c r="Z289" s="406">
        <f t="shared" si="177"/>
      </c>
      <c r="AA289" s="331">
        <f t="shared" si="84"/>
      </c>
      <c r="AB289" s="332" t="s">
        <v>232</v>
      </c>
      <c r="AC289" s="411" t="s">
        <v>233</v>
      </c>
      <c r="AD289" s="334">
        <v>3</v>
      </c>
      <c r="AE289" s="334">
        <v>4961</v>
      </c>
      <c r="AF289" s="304">
        <v>264</v>
      </c>
      <c r="AG289" s="333">
        <v>413</v>
      </c>
      <c r="AH289" s="334">
        <v>58</v>
      </c>
      <c r="AI289" s="334">
        <v>19</v>
      </c>
      <c r="AJ289" s="335">
        <v>5</v>
      </c>
      <c r="AK289" s="336">
        <v>18</v>
      </c>
      <c r="AL289" s="310">
        <v>1</v>
      </c>
      <c r="AM289" s="434"/>
    </row>
    <row r="290">
      <c r="A290" s="303"/>
      <c r="B290" s="304" t="s">
        <v>235</v>
      </c>
      <c r="C290" s="305" t="s">
        <v>271</v>
      </c>
      <c r="D290" s="401">
        <f t="shared" si="413"/>
      </c>
      <c r="E290" s="307">
        <v>1980.92</v>
      </c>
      <c r="F290" s="307">
        <v>1705.63</v>
      </c>
      <c r="G290" s="307">
        <v>0</v>
      </c>
      <c r="H290" s="307">
        <v>0</v>
      </c>
      <c r="I290" s="307">
        <v>3</v>
      </c>
      <c r="J290" s="307">
        <v>4164</v>
      </c>
      <c r="K290" s="307">
        <v>0</v>
      </c>
      <c r="L290" s="307">
        <v>2</v>
      </c>
      <c r="M290" s="307">
        <v>1</v>
      </c>
      <c r="N290" s="413">
        <f t="shared" si="344"/>
      </c>
      <c r="O290" s="414">
        <f t="shared" si="270"/>
      </c>
      <c r="P290" s="358">
        <f t="shared" si="208"/>
      </c>
      <c r="Q290" s="407">
        <f t="shared" si="115"/>
      </c>
      <c r="R290" s="406">
        <f t="shared" si="53"/>
      </c>
      <c r="S290" s="409">
        <f t="shared" si="146"/>
      </c>
      <c r="T290" s="418">
        <f t="shared" si="22"/>
      </c>
      <c r="U290" s="419">
        <f t="shared" si="507"/>
      </c>
      <c r="V290" s="418">
        <f t="shared" si="476"/>
      </c>
      <c r="W290" s="405">
        <f t="shared" si="375"/>
      </c>
      <c r="X290" s="406">
        <f t="shared" si="301"/>
      </c>
      <c r="Y290" s="410">
        <f t="shared" si="239"/>
      </c>
      <c r="Z290" s="406">
        <f t="shared" si="177"/>
      </c>
      <c r="AA290" s="331">
        <f t="shared" si="84"/>
      </c>
      <c r="AB290" s="332" t="s">
        <v>232</v>
      </c>
      <c r="AC290" s="411" t="s">
        <v>233</v>
      </c>
      <c r="AD290" s="326">
        <v>4</v>
      </c>
      <c r="AE290" s="334">
        <v>6279</v>
      </c>
      <c r="AF290" s="304">
        <v>321</v>
      </c>
      <c r="AG290" s="334">
        <v>554</v>
      </c>
      <c r="AH290" s="334">
        <v>75</v>
      </c>
      <c r="AI290" s="334">
        <v>36</v>
      </c>
      <c r="AJ290" s="335">
        <v>7</v>
      </c>
      <c r="AK290" s="336">
        <v>16</v>
      </c>
      <c r="AL290" s="310">
        <v>1</v>
      </c>
      <c r="AM290" s="434"/>
    </row>
    <row r="291">
      <c r="A291" s="303"/>
      <c r="B291" s="304" t="s">
        <v>236</v>
      </c>
      <c r="C291" s="305" t="s">
        <v>271</v>
      </c>
      <c r="D291" s="401">
        <f t="shared" si="413"/>
      </c>
      <c r="E291" s="306">
        <v>1658.99</v>
      </c>
      <c r="F291" s="307">
        <v>2208.61</v>
      </c>
      <c r="G291" s="307">
        <v>0</v>
      </c>
      <c r="H291" s="307">
        <v>0</v>
      </c>
      <c r="I291" s="307">
        <v>2</v>
      </c>
      <c r="J291" s="307">
        <v>2736</v>
      </c>
      <c r="K291" s="307">
        <v>1</v>
      </c>
      <c r="L291" s="307">
        <v>0</v>
      </c>
      <c r="M291" s="307">
        <v>1</v>
      </c>
      <c r="N291" s="413">
        <f t="shared" si="344"/>
      </c>
      <c r="O291" s="414">
        <f t="shared" si="270"/>
      </c>
      <c r="P291" s="358">
        <f t="shared" si="208"/>
      </c>
      <c r="Q291" s="405">
        <f t="shared" si="115"/>
      </c>
      <c r="R291" s="420">
        <f t="shared" si="53"/>
      </c>
      <c r="S291" s="405">
        <f t="shared" si="146"/>
      </c>
      <c r="T291" s="405">
        <f t="shared" si="22"/>
      </c>
      <c r="U291" s="406">
        <f t="shared" si="507"/>
      </c>
      <c r="V291" s="405">
        <f t="shared" si="476"/>
      </c>
      <c r="W291" s="405">
        <f t="shared" si="375"/>
      </c>
      <c r="X291" s="406">
        <f t="shared" si="301"/>
      </c>
      <c r="Y291" s="410">
        <f t="shared" si="239"/>
      </c>
      <c r="Z291" s="406">
        <f t="shared" si="177"/>
      </c>
      <c r="AA291" s="331">
        <f t="shared" si="84"/>
      </c>
      <c r="AB291" s="340" t="s">
        <v>232</v>
      </c>
      <c r="AC291" s="411" t="s">
        <v>233</v>
      </c>
      <c r="AD291" s="412">
        <v>2</v>
      </c>
      <c r="AE291" s="333">
        <v>7366</v>
      </c>
      <c r="AF291" s="334">
        <v>398</v>
      </c>
      <c r="AG291" s="334">
        <v>634</v>
      </c>
      <c r="AH291" s="334">
        <v>74</v>
      </c>
      <c r="AI291" s="334">
        <v>41</v>
      </c>
      <c r="AJ291" s="335">
        <v>5</v>
      </c>
      <c r="AK291" s="336">
        <v>18</v>
      </c>
      <c r="AL291" s="310">
        <v>1</v>
      </c>
      <c r="AM291" s="434"/>
    </row>
    <row r="292">
      <c r="A292" s="303"/>
      <c r="B292" s="347" t="s">
        <v>238</v>
      </c>
      <c r="C292" s="347"/>
      <c r="D292" s="348">
        <f>SUM(D288:D291)</f>
      </c>
      <c r="E292" s="348">
        <f>SUM(E288:E291)</f>
      </c>
      <c r="F292" s="348">
        <f>SUM(F288:F291)</f>
      </c>
      <c r="G292" s="348">
        <f>SUM(G288:G291)</f>
      </c>
      <c r="H292" s="348">
        <f>SUM(H288:H291)</f>
      </c>
      <c r="I292" s="348">
        <f>SUM(I288:I291)</f>
      </c>
      <c r="J292" s="348">
        <f>SUM(J288:J291)</f>
      </c>
      <c r="K292" s="348">
        <f>SUM(K288:K291)</f>
      </c>
      <c r="L292" s="348">
        <f>SUM(L288:L291)</f>
      </c>
      <c r="M292" s="348">
        <f>SUM(M288:M291)</f>
      </c>
      <c r="N292" s="421">
        <f t="shared" si="344"/>
      </c>
      <c r="O292" s="422">
        <f t="shared" si="270"/>
      </c>
      <c r="P292" s="351">
        <f t="shared" si="208"/>
      </c>
      <c r="Q292" s="352">
        <f t="shared" si="115"/>
      </c>
      <c r="R292" s="353">
        <f t="shared" si="53"/>
      </c>
      <c r="S292" s="354">
        <f t="shared" si="146"/>
      </c>
      <c r="T292" s="354">
        <f t="shared" si="22"/>
      </c>
      <c r="U292" s="353">
        <f t="shared" si="507"/>
      </c>
      <c r="V292" s="354">
        <f t="shared" si="476"/>
      </c>
      <c r="W292" s="354">
        <f t="shared" si="375"/>
      </c>
      <c r="X292" s="355">
        <f t="shared" si="301"/>
      </c>
      <c r="Y292" s="423">
        <f t="shared" si="239"/>
      </c>
      <c r="Z292" s="355">
        <f t="shared" si="177"/>
      </c>
      <c r="AA292" s="356">
        <f t="shared" si="84"/>
      </c>
      <c r="AB292" s="356"/>
      <c r="AC292" s="424"/>
      <c r="AD292" s="347">
        <f>SUM(AD288:AD291)</f>
      </c>
      <c r="AE292" s="347">
        <f>SUM(AE288:AE291)</f>
      </c>
      <c r="AF292" s="347">
        <f>SUM(AF288:AF291)</f>
      </c>
      <c r="AG292" s="347">
        <f>SUM(AG288:AG291)</f>
      </c>
      <c r="AH292" s="347">
        <f>SUM(AH288:AH291)</f>
      </c>
      <c r="AI292" s="347">
        <f>SUM(AI288:AI291)</f>
      </c>
      <c r="AJ292" s="347">
        <f>SUM(AJ288:AJ291)</f>
      </c>
      <c r="AK292" s="347">
        <f>SUM(AK288:AK291)</f>
      </c>
      <c r="AL292" s="347">
        <f>SUM(AL288:AL291)</f>
      </c>
      <c r="AM292" s="434"/>
    </row>
    <row r="293">
      <c r="A293" s="303"/>
      <c r="B293" s="304" t="s">
        <v>237</v>
      </c>
      <c r="C293" s="326" t="s">
        <v>247</v>
      </c>
      <c r="D293" s="334">
        <f t="shared" ref="D293:D296" si="414">E293+F293+G293+H293</f>
      </c>
      <c r="E293" s="334">
        <v>1836.93</v>
      </c>
      <c r="F293" s="326">
        <v>1787.02</v>
      </c>
      <c r="G293" s="326">
        <v>0</v>
      </c>
      <c r="H293" s="326">
        <v>0</v>
      </c>
      <c r="I293" s="310">
        <v>3</v>
      </c>
      <c r="J293" s="310">
        <v>3496</v>
      </c>
      <c r="K293" s="310">
        <v>1</v>
      </c>
      <c r="L293" s="310">
        <v>1</v>
      </c>
      <c r="M293" s="310">
        <v>1</v>
      </c>
      <c r="N293" s="413">
        <f t="shared" si="344"/>
      </c>
      <c r="O293" s="414">
        <f t="shared" si="270"/>
      </c>
      <c r="P293" s="358">
        <f t="shared" si="208"/>
      </c>
      <c r="Q293" s="359">
        <f t="shared" si="115"/>
      </c>
      <c r="R293" s="360">
        <f t="shared" si="53"/>
      </c>
      <c r="S293" s="361">
        <f t="shared" si="146"/>
      </c>
      <c r="T293" s="361">
        <f t="shared" si="22"/>
      </c>
      <c r="U293" s="360">
        <f t="shared" si="507"/>
      </c>
      <c r="V293" s="361">
        <f t="shared" si="476"/>
      </c>
      <c r="W293" s="361">
        <f t="shared" si="375"/>
      </c>
      <c r="X293" s="362">
        <f t="shared" si="301"/>
      </c>
      <c r="Y293" s="425">
        <f t="shared" si="239"/>
      </c>
      <c r="Z293" s="362">
        <f t="shared" si="177"/>
      </c>
      <c r="AA293" s="363">
        <f t="shared" si="84"/>
      </c>
      <c r="AB293" s="364" t="s">
        <v>232</v>
      </c>
      <c r="AC293" s="411" t="s">
        <v>233</v>
      </c>
      <c r="AD293" s="402">
        <v>3</v>
      </c>
      <c r="AE293" s="365">
        <v>9966</v>
      </c>
      <c r="AF293" s="365">
        <v>488</v>
      </c>
      <c r="AG293" s="310">
        <v>673</v>
      </c>
      <c r="AH293" s="365">
        <v>92</v>
      </c>
      <c r="AI293" s="365">
        <v>34</v>
      </c>
      <c r="AJ293" s="310">
        <v>7</v>
      </c>
      <c r="AK293" s="310">
        <v>19</v>
      </c>
      <c r="AL293" s="310">
        <v>1</v>
      </c>
      <c r="AM293" s="434"/>
    </row>
    <row r="294">
      <c r="A294" s="303"/>
      <c r="B294" s="304" t="s">
        <v>239</v>
      </c>
      <c r="C294" s="326" t="s">
        <v>247</v>
      </c>
      <c r="D294" s="334">
        <f t="shared" si="414"/>
      </c>
      <c r="E294" s="334">
        <v>2412.31</v>
      </c>
      <c r="F294" s="334">
        <v>2011.42</v>
      </c>
      <c r="G294" s="326">
        <v>0</v>
      </c>
      <c r="H294" s="326">
        <v>0</v>
      </c>
      <c r="I294" s="310">
        <v>2</v>
      </c>
      <c r="J294" s="310">
        <v>4536</v>
      </c>
      <c r="K294" s="310">
        <v>0</v>
      </c>
      <c r="L294" s="310">
        <v>0</v>
      </c>
      <c r="M294" s="310">
        <v>2</v>
      </c>
      <c r="N294" s="413">
        <f t="shared" si="344"/>
      </c>
      <c r="O294" s="414">
        <f t="shared" si="270"/>
      </c>
      <c r="P294" s="358">
        <f t="shared" si="208"/>
      </c>
      <c r="Q294" s="359">
        <f t="shared" si="115"/>
      </c>
      <c r="R294" s="360">
        <f t="shared" si="53"/>
      </c>
      <c r="S294" s="361">
        <f t="shared" si="146"/>
      </c>
      <c r="T294" s="361">
        <f t="shared" si="22"/>
      </c>
      <c r="U294" s="360">
        <f t="shared" si="507"/>
      </c>
      <c r="V294" s="361">
        <f t="shared" si="476"/>
      </c>
      <c r="W294" s="361">
        <f t="shared" si="375"/>
      </c>
      <c r="X294" s="362">
        <f t="shared" si="301"/>
      </c>
      <c r="Y294" s="425">
        <f t="shared" si="239"/>
      </c>
      <c r="Z294" s="362">
        <f t="shared" si="177"/>
      </c>
      <c r="AA294" s="363">
        <f t="shared" si="84"/>
      </c>
      <c r="AB294" s="364" t="s">
        <v>232</v>
      </c>
      <c r="AC294" s="411" t="s">
        <v>233</v>
      </c>
      <c r="AD294" s="402">
        <v>2</v>
      </c>
      <c r="AE294" s="365">
        <v>11657</v>
      </c>
      <c r="AF294" s="365">
        <v>520</v>
      </c>
      <c r="AG294" s="365">
        <v>818</v>
      </c>
      <c r="AH294" s="365">
        <v>117</v>
      </c>
      <c r="AI294" s="365">
        <v>32</v>
      </c>
      <c r="AJ294" s="310">
        <v>4</v>
      </c>
      <c r="AK294" s="310">
        <v>27</v>
      </c>
      <c r="AL294" s="310">
        <v>1</v>
      </c>
      <c r="AM294" s="434"/>
    </row>
    <row r="295">
      <c r="A295" s="303"/>
      <c r="B295" s="304" t="s">
        <v>241</v>
      </c>
      <c r="C295" s="326" t="s">
        <v>247</v>
      </c>
      <c r="D295" s="334">
        <f t="shared" si="414"/>
      </c>
      <c r="E295" s="334">
        <v>1898.29</v>
      </c>
      <c r="F295" s="334">
        <v>1886.4</v>
      </c>
      <c r="G295" s="326">
        <v>0</v>
      </c>
      <c r="H295" s="326">
        <v>0</v>
      </c>
      <c r="I295" s="310">
        <v>2</v>
      </c>
      <c r="J295" s="310">
        <v>1416</v>
      </c>
      <c r="K295" s="310">
        <v>1</v>
      </c>
      <c r="L295" s="310">
        <v>1</v>
      </c>
      <c r="M295" s="310">
        <v>0</v>
      </c>
      <c r="N295" s="413">
        <f t="shared" si="344"/>
      </c>
      <c r="O295" s="414">
        <f t="shared" si="270"/>
      </c>
      <c r="P295" s="358">
        <f t="shared" si="208"/>
      </c>
      <c r="Q295" s="359">
        <f t="shared" si="115"/>
      </c>
      <c r="R295" s="360">
        <f t="shared" si="53"/>
      </c>
      <c r="S295" s="361">
        <f t="shared" si="146"/>
      </c>
      <c r="T295" s="361">
        <f t="shared" si="22"/>
      </c>
      <c r="U295" s="360">
        <f t="shared" si="507"/>
      </c>
      <c r="V295" s="361">
        <f t="shared" si="476"/>
      </c>
      <c r="W295" s="361">
        <f t="shared" si="375"/>
      </c>
      <c r="X295" s="362">
        <f t="shared" si="301"/>
      </c>
      <c r="Y295" s="425">
        <f t="shared" si="239"/>
      </c>
      <c r="Z295" s="362">
        <f t="shared" si="177"/>
      </c>
      <c r="AA295" s="363">
        <f t="shared" si="84"/>
      </c>
      <c r="AB295" s="364" t="s">
        <v>232</v>
      </c>
      <c r="AC295" s="411" t="s">
        <v>233</v>
      </c>
      <c r="AD295" s="402">
        <v>2</v>
      </c>
      <c r="AE295" s="365">
        <v>8390</v>
      </c>
      <c r="AF295" s="365">
        <v>353</v>
      </c>
      <c r="AG295" s="365">
        <v>648</v>
      </c>
      <c r="AH295" s="365">
        <v>82</v>
      </c>
      <c r="AI295" s="365">
        <v>25</v>
      </c>
      <c r="AJ295" s="310">
        <v>4</v>
      </c>
      <c r="AK295" s="310">
        <v>19</v>
      </c>
      <c r="AL295" s="310">
        <v>1</v>
      </c>
      <c r="AM295" s="434"/>
    </row>
    <row r="296">
      <c r="A296" s="303"/>
      <c r="B296" s="304" t="s">
        <v>242</v>
      </c>
      <c r="C296" s="326" t="s">
        <v>247</v>
      </c>
      <c r="D296" s="334">
        <f t="shared" si="414"/>
      </c>
      <c r="E296" s="326">
        <v>395.84</v>
      </c>
      <c r="F296" s="326">
        <v>365.03</v>
      </c>
      <c r="G296" s="326">
        <v>0</v>
      </c>
      <c r="H296" s="326">
        <v>0</v>
      </c>
      <c r="I296" s="310">
        <v>0</v>
      </c>
      <c r="J296" s="310">
        <v>0</v>
      </c>
      <c r="K296" s="310">
        <v>0</v>
      </c>
      <c r="L296" s="310">
        <v>0</v>
      </c>
      <c r="M296" s="310">
        <v>0</v>
      </c>
      <c r="N296" s="413">
        <f t="shared" si="344"/>
      </c>
      <c r="O296" s="414">
        <f t="shared" si="270"/>
      </c>
      <c r="P296" s="358">
        <f t="shared" si="208"/>
      </c>
      <c r="Q296" s="359">
        <f t="shared" si="115"/>
      </c>
      <c r="R296" s="360">
        <f t="shared" si="53"/>
      </c>
      <c r="S296" s="361">
        <f t="shared" si="146"/>
      </c>
      <c r="T296" s="361">
        <f t="shared" si="22"/>
      </c>
      <c r="U296" s="360">
        <f t="shared" si="507"/>
      </c>
      <c r="V296" s="361">
        <f t="shared" si="476"/>
      </c>
      <c r="W296" s="361">
        <f t="shared" si="375"/>
      </c>
      <c r="X296" s="362">
        <f t="shared" si="301"/>
      </c>
      <c r="Y296" s="425">
        <f t="shared" si="239"/>
      </c>
      <c r="Z296" s="362">
        <f t="shared" si="177"/>
      </c>
      <c r="AA296" s="363">
        <f t="shared" si="84"/>
      </c>
      <c r="AB296" s="364" t="s">
        <v>232</v>
      </c>
      <c r="AC296" s="432" t="s">
        <v>233</v>
      </c>
      <c r="AD296" s="402">
        <v>0</v>
      </c>
      <c r="AE296" s="365">
        <v>2418</v>
      </c>
      <c r="AF296" s="365">
        <v>102</v>
      </c>
      <c r="AG296" s="365">
        <v>162</v>
      </c>
      <c r="AH296" s="365">
        <v>25</v>
      </c>
      <c r="AI296" s="365">
        <v>6</v>
      </c>
      <c r="AJ296" s="310">
        <v>0</v>
      </c>
      <c r="AK296" s="310">
        <v>4</v>
      </c>
      <c r="AL296" s="310">
        <v>1</v>
      </c>
      <c r="AM296" s="434"/>
    </row>
    <row r="297">
      <c r="A297" s="303"/>
      <c r="B297" s="347" t="s">
        <v>238</v>
      </c>
      <c r="C297" s="347"/>
      <c r="D297" s="348">
        <f>SUM(D293:D296)</f>
      </c>
      <c r="E297" s="348">
        <f>SUM(E293:E296)</f>
      </c>
      <c r="F297" s="348">
        <f>SUM(F293:F296)</f>
      </c>
      <c r="G297" s="348">
        <f>SUM(G293:G296)</f>
      </c>
      <c r="H297" s="348">
        <f>SUM(H293:H296)</f>
      </c>
      <c r="I297" s="348">
        <f>SUM(I293:I296)</f>
      </c>
      <c r="J297" s="348">
        <f>SUM(J293:J296)</f>
      </c>
      <c r="K297" s="348">
        <f>SUM(K293:K296)</f>
      </c>
      <c r="L297" s="348">
        <f>SUM(L293:L296)</f>
      </c>
      <c r="M297" s="348">
        <f>SUM(M293:M296)</f>
      </c>
      <c r="N297" s="421">
        <f t="shared" si="344"/>
      </c>
      <c r="O297" s="422">
        <f t="shared" si="270"/>
      </c>
      <c r="P297" s="370">
        <f t="shared" si="208"/>
      </c>
      <c r="Q297" s="352">
        <f t="shared" si="115"/>
      </c>
      <c r="R297" s="353">
        <f t="shared" si="53"/>
      </c>
      <c r="S297" s="354">
        <f t="shared" si="146"/>
      </c>
      <c r="T297" s="354">
        <f t="shared" si="22"/>
      </c>
      <c r="U297" s="353">
        <f t="shared" si="507"/>
      </c>
      <c r="V297" s="354">
        <f t="shared" si="476"/>
      </c>
      <c r="W297" s="354">
        <f t="shared" si="375"/>
      </c>
      <c r="X297" s="355">
        <f t="shared" si="301"/>
      </c>
      <c r="Y297" s="423">
        <f t="shared" si="239"/>
      </c>
      <c r="Z297" s="355">
        <f t="shared" si="177"/>
      </c>
      <c r="AA297" s="356">
        <f t="shared" si="84"/>
      </c>
      <c r="AB297" s="356"/>
      <c r="AC297" s="424"/>
      <c r="AD297" s="347">
        <f>SUM(AD293:AD296)</f>
      </c>
      <c r="AE297" s="347">
        <f>SUM(AE293:AE296)</f>
      </c>
      <c r="AF297" s="347">
        <f>SUM(AF293:AF296)</f>
      </c>
      <c r="AG297" s="347">
        <f>SUM(AG293:AG296)</f>
      </c>
      <c r="AH297" s="347">
        <f>SUM(AH293:AH296)</f>
      </c>
      <c r="AI297" s="347">
        <f>SUM(AI293:AI296)</f>
      </c>
      <c r="AJ297" s="347">
        <f>SUM(AJ293:AJ296)</f>
      </c>
      <c r="AK297" s="347">
        <f>SUM(AK293:AK296)</f>
      </c>
      <c r="AL297" s="347">
        <f>SUM(AL293:AL296)</f>
      </c>
      <c r="AM297" s="434"/>
    </row>
    <row r="298">
      <c r="A298" s="303"/>
      <c r="B298" s="304" t="s">
        <v>243</v>
      </c>
      <c r="C298" s="326" t="s">
        <v>240</v>
      </c>
      <c r="D298" s="334">
        <f t="shared" ref="D298:D301" si="415">E298+F298+G298+H298</f>
      </c>
      <c r="E298" s="334">
        <v>15.35</v>
      </c>
      <c r="F298" s="334">
        <v>262.6</v>
      </c>
      <c r="G298" s="326">
        <v>0</v>
      </c>
      <c r="H298" s="326">
        <v>0</v>
      </c>
      <c r="I298" s="310">
        <v>0</v>
      </c>
      <c r="J298" s="345">
        <v>0</v>
      </c>
      <c r="K298" s="303">
        <v>0</v>
      </c>
      <c r="L298" s="303">
        <v>0</v>
      </c>
      <c r="M298" s="305">
        <v>0</v>
      </c>
      <c r="N298" s="413">
        <f t="shared" si="344"/>
      </c>
      <c r="O298" s="414">
        <f t="shared" si="270"/>
      </c>
      <c r="P298" s="368">
        <f t="shared" si="208"/>
      </c>
      <c r="Q298" s="359">
        <f t="shared" si="115"/>
      </c>
      <c r="R298" s="360">
        <f t="shared" si="53"/>
      </c>
      <c r="S298" s="361">
        <f t="shared" si="146"/>
      </c>
      <c r="T298" s="361">
        <f t="shared" si="22"/>
      </c>
      <c r="U298" s="360">
        <f t="shared" si="507"/>
      </c>
      <c r="V298" s="361">
        <f t="shared" si="476"/>
      </c>
      <c r="W298" s="361">
        <f t="shared" si="375"/>
      </c>
      <c r="X298" s="362">
        <f t="shared" si="301"/>
      </c>
      <c r="Y298" s="425">
        <f t="shared" si="239"/>
      </c>
      <c r="Z298" s="362">
        <f t="shared" si="177"/>
      </c>
      <c r="AA298" s="363">
        <f t="shared" si="84"/>
      </c>
      <c r="AB298" s="364" t="s">
        <v>232</v>
      </c>
      <c r="AC298" s="411" t="s">
        <v>262</v>
      </c>
      <c r="AD298" s="402">
        <v>0</v>
      </c>
      <c r="AE298" s="365">
        <v>479</v>
      </c>
      <c r="AF298" s="365">
        <v>16</v>
      </c>
      <c r="AG298" s="365">
        <v>26</v>
      </c>
      <c r="AH298" s="365">
        <v>9</v>
      </c>
      <c r="AI298" s="365">
        <v>2</v>
      </c>
      <c r="AJ298" s="310">
        <v>0</v>
      </c>
      <c r="AK298" s="310">
        <v>2</v>
      </c>
      <c r="AL298" s="310">
        <v>1</v>
      </c>
      <c r="AM298" s="434"/>
    </row>
    <row r="299">
      <c r="A299" s="303"/>
      <c r="B299" s="304" t="s">
        <v>245</v>
      </c>
      <c r="C299" s="326" t="s">
        <v>240</v>
      </c>
      <c r="D299" s="334">
        <f t="shared" si="415"/>
      </c>
      <c r="E299" s="334">
        <v>1025.37</v>
      </c>
      <c r="F299" s="334">
        <v>1742.6</v>
      </c>
      <c r="G299" s="326">
        <v>0</v>
      </c>
      <c r="H299" s="326">
        <v>0</v>
      </c>
      <c r="I299" s="310">
        <v>0</v>
      </c>
      <c r="J299" s="345">
        <v>0</v>
      </c>
      <c r="K299" s="303">
        <v>0</v>
      </c>
      <c r="L299" s="303">
        <v>0</v>
      </c>
      <c r="M299" s="305">
        <v>0</v>
      </c>
      <c r="N299" s="413">
        <f t="shared" si="344"/>
      </c>
      <c r="O299" s="414">
        <f t="shared" si="270"/>
      </c>
      <c r="P299" s="368">
        <f t="shared" si="208"/>
      </c>
      <c r="Q299" s="359">
        <f t="shared" si="115"/>
      </c>
      <c r="R299" s="360">
        <f t="shared" si="53"/>
      </c>
      <c r="S299" s="361">
        <f t="shared" si="146"/>
      </c>
      <c r="T299" s="361">
        <f t="shared" si="22"/>
      </c>
      <c r="U299" s="360">
        <f t="shared" si="507"/>
      </c>
      <c r="V299" s="361">
        <f t="shared" si="476"/>
      </c>
      <c r="W299" s="361">
        <f t="shared" si="375"/>
      </c>
      <c r="X299" s="362">
        <f t="shared" si="301"/>
      </c>
      <c r="Y299" s="425">
        <f t="shared" si="239"/>
      </c>
      <c r="Z299" s="362">
        <f t="shared" si="177"/>
      </c>
      <c r="AA299" s="363">
        <f t="shared" si="84"/>
      </c>
      <c r="AB299" s="364" t="s">
        <v>232</v>
      </c>
      <c r="AC299" s="411" t="s">
        <v>262</v>
      </c>
      <c r="AD299" s="402">
        <v>0</v>
      </c>
      <c r="AE299" s="365">
        <v>6961</v>
      </c>
      <c r="AF299" s="365">
        <v>358</v>
      </c>
      <c r="AG299" s="365">
        <v>544</v>
      </c>
      <c r="AH299" s="365">
        <v>61</v>
      </c>
      <c r="AI299" s="365">
        <v>40</v>
      </c>
      <c r="AJ299" s="310">
        <v>2</v>
      </c>
      <c r="AK299" s="310">
        <v>16</v>
      </c>
      <c r="AL299" s="310">
        <v>1</v>
      </c>
      <c r="AM299" s="434"/>
    </row>
    <row r="300">
      <c r="A300" s="303"/>
      <c r="B300" s="304" t="s">
        <v>246</v>
      </c>
      <c r="C300" s="326" t="s">
        <v>240</v>
      </c>
      <c r="D300" s="334">
        <f t="shared" si="415"/>
      </c>
      <c r="E300" s="326">
        <v>1444.04</v>
      </c>
      <c r="F300" s="326">
        <v>1465.64</v>
      </c>
      <c r="G300" s="326">
        <v>0</v>
      </c>
      <c r="H300" s="326">
        <v>0</v>
      </c>
      <c r="I300" s="365">
        <v>4</v>
      </c>
      <c r="J300" s="369">
        <v>5433</v>
      </c>
      <c r="K300" s="303">
        <v>2</v>
      </c>
      <c r="L300" s="303">
        <v>0</v>
      </c>
      <c r="M300" s="305">
        <v>2</v>
      </c>
      <c r="N300" s="413">
        <f t="shared" si="344"/>
      </c>
      <c r="O300" s="414">
        <f t="shared" si="270"/>
      </c>
      <c r="P300" s="368">
        <f t="shared" si="208"/>
      </c>
      <c r="Q300" s="359">
        <f t="shared" si="115"/>
      </c>
      <c r="R300" s="360">
        <f t="shared" si="53"/>
      </c>
      <c r="S300" s="361">
        <f t="shared" si="146"/>
      </c>
      <c r="T300" s="361">
        <f t="shared" si="22"/>
      </c>
      <c r="U300" s="360">
        <f t="shared" si="507"/>
      </c>
      <c r="V300" s="361">
        <f t="shared" si="476"/>
      </c>
      <c r="W300" s="361">
        <f t="shared" si="375"/>
      </c>
      <c r="X300" s="362">
        <f t="shared" si="301"/>
      </c>
      <c r="Y300" s="425">
        <f t="shared" si="239"/>
      </c>
      <c r="Z300" s="362">
        <f t="shared" si="177"/>
      </c>
      <c r="AA300" s="363">
        <f t="shared" si="84"/>
      </c>
      <c r="AB300" s="364" t="s">
        <v>232</v>
      </c>
      <c r="AC300" s="411" t="s">
        <v>262</v>
      </c>
      <c r="AD300" s="402">
        <v>4</v>
      </c>
      <c r="AE300" s="365">
        <v>7496</v>
      </c>
      <c r="AF300" s="365">
        <v>360</v>
      </c>
      <c r="AG300" s="365">
        <v>501</v>
      </c>
      <c r="AH300" s="365">
        <v>74</v>
      </c>
      <c r="AI300" s="365">
        <v>23</v>
      </c>
      <c r="AJ300" s="310">
        <v>5</v>
      </c>
      <c r="AK300" s="310">
        <v>21</v>
      </c>
      <c r="AL300" s="310">
        <v>1</v>
      </c>
      <c r="AM300" s="434"/>
    </row>
    <row r="301">
      <c r="A301" s="303"/>
      <c r="B301" s="304" t="s">
        <v>248</v>
      </c>
      <c r="C301" s="326" t="s">
        <v>240</v>
      </c>
      <c r="D301" s="334">
        <f t="shared" si="415"/>
      </c>
      <c r="E301" s="326">
        <v>968.27</v>
      </c>
      <c r="F301" s="326">
        <v>1179.08</v>
      </c>
      <c r="G301" s="326">
        <v>0</v>
      </c>
      <c r="H301" s="326">
        <v>0</v>
      </c>
      <c r="I301" s="310">
        <v>2</v>
      </c>
      <c r="J301" s="345">
        <v>3216</v>
      </c>
      <c r="K301" s="326">
        <v>0</v>
      </c>
      <c r="L301" s="326">
        <v>1</v>
      </c>
      <c r="M301" s="326">
        <v>1</v>
      </c>
      <c r="N301" s="413">
        <f t="shared" si="344"/>
      </c>
      <c r="O301" s="414">
        <f t="shared" si="270"/>
      </c>
      <c r="P301" s="358">
        <f t="shared" si="208"/>
      </c>
      <c r="Q301" s="359">
        <f t="shared" si="115"/>
      </c>
      <c r="R301" s="360">
        <f t="shared" si="53"/>
      </c>
      <c r="S301" s="361">
        <f t="shared" si="146"/>
      </c>
      <c r="T301" s="361">
        <f t="shared" si="22"/>
      </c>
      <c r="U301" s="360">
        <f t="shared" si="507"/>
      </c>
      <c r="V301" s="361">
        <f t="shared" si="476"/>
      </c>
      <c r="W301" s="361">
        <f t="shared" si="375"/>
      </c>
      <c r="X301" s="362">
        <f t="shared" si="301"/>
      </c>
      <c r="Y301" s="425">
        <f t="shared" si="239"/>
      </c>
      <c r="Z301" s="362">
        <f t="shared" si="177"/>
      </c>
      <c r="AA301" s="363">
        <f t="shared" si="84"/>
      </c>
      <c r="AB301" s="364" t="s">
        <v>232</v>
      </c>
      <c r="AC301" s="411" t="s">
        <v>262</v>
      </c>
      <c r="AD301" s="402">
        <v>2</v>
      </c>
      <c r="AE301" s="365">
        <v>5947</v>
      </c>
      <c r="AF301" s="365">
        <v>278</v>
      </c>
      <c r="AG301" s="365">
        <v>355</v>
      </c>
      <c r="AH301" s="365">
        <v>60</v>
      </c>
      <c r="AI301" s="365">
        <v>20</v>
      </c>
      <c r="AJ301" s="310">
        <v>5</v>
      </c>
      <c r="AK301" s="310">
        <v>12</v>
      </c>
      <c r="AL301" s="310">
        <v>1</v>
      </c>
      <c r="AM301" s="434"/>
    </row>
    <row r="302">
      <c r="A302" s="303"/>
      <c r="B302" s="347" t="s">
        <v>238</v>
      </c>
      <c r="C302" s="347"/>
      <c r="D302" s="348">
        <f>SUM(D298:D301)</f>
      </c>
      <c r="E302" s="348">
        <f>SUM(E298:E301)</f>
      </c>
      <c r="F302" s="348">
        <f>SUM(F298:F301)</f>
      </c>
      <c r="G302" s="348">
        <f>SUM(G298:G301)</f>
      </c>
      <c r="H302" s="348">
        <f>SUM(H298:H301)</f>
      </c>
      <c r="I302" s="348">
        <f>SUM(I298:I301)</f>
      </c>
      <c r="J302" s="348">
        <f>SUM(J298:J301)</f>
      </c>
      <c r="K302" s="348">
        <f>SUM(K298:K301)</f>
      </c>
      <c r="L302" s="348">
        <f>SUM(L298:L301)</f>
      </c>
      <c r="M302" s="348">
        <f>SUM(M298:M301)</f>
      </c>
      <c r="N302" s="421">
        <f t="shared" si="344"/>
      </c>
      <c r="O302" s="422">
        <f t="shared" si="270"/>
      </c>
      <c r="P302" s="370">
        <f t="shared" si="208"/>
      </c>
      <c r="Q302" s="352">
        <f t="shared" si="115"/>
      </c>
      <c r="R302" s="353">
        <f t="shared" si="53"/>
      </c>
      <c r="S302" s="354">
        <f t="shared" si="146"/>
      </c>
      <c r="T302" s="354">
        <f t="shared" si="22"/>
      </c>
      <c r="U302" s="353">
        <f t="shared" si="507"/>
      </c>
      <c r="V302" s="354">
        <f t="shared" si="476"/>
      </c>
      <c r="W302" s="354">
        <f t="shared" si="375"/>
      </c>
      <c r="X302" s="355">
        <f t="shared" si="301"/>
      </c>
      <c r="Y302" s="423">
        <f t="shared" si="239"/>
      </c>
      <c r="Z302" s="355">
        <f t="shared" si="177"/>
      </c>
      <c r="AA302" s="356">
        <f t="shared" si="84"/>
      </c>
      <c r="AB302" s="356"/>
      <c r="AC302" s="356"/>
      <c r="AD302" s="348">
        <f>SUM(AD298:AD301)</f>
      </c>
      <c r="AE302" s="348">
        <f>SUM(AE298:AE301)</f>
      </c>
      <c r="AF302" s="348">
        <f>SUM(AF298:AF301)</f>
      </c>
      <c r="AG302" s="348">
        <f>SUM(AG298:AG301)</f>
      </c>
      <c r="AH302" s="348">
        <f>SUM(AH298:AH301)</f>
      </c>
      <c r="AI302" s="348">
        <f>SUM(AI298:AI301)</f>
      </c>
      <c r="AJ302" s="348">
        <f>SUM(AJ298:AJ301)</f>
      </c>
      <c r="AK302" s="348">
        <f>SUM(AK298:AK301)</f>
      </c>
      <c r="AL302" s="348">
        <f>SUM(AL298:AL301)</f>
      </c>
      <c r="AM302" s="426" t="s">
        <v>249</v>
      </c>
    </row>
    <row r="303">
      <c r="A303" s="435"/>
      <c r="B303" s="436" t="s">
        <v>250</v>
      </c>
      <c r="C303" s="436"/>
      <c r="D303" s="436">
        <f>D292+D297+D302</f>
      </c>
      <c r="E303" s="436">
        <f>E292+E297+E302</f>
      </c>
      <c r="F303" s="436">
        <f>F292+F297+F302</f>
      </c>
      <c r="G303" s="436">
        <f>G292+G297+G302</f>
      </c>
      <c r="H303" s="436">
        <f>H292+H297+H302</f>
      </c>
      <c r="I303" s="436">
        <f>I292+I297+I302</f>
      </c>
      <c r="J303" s="437">
        <f>J292+J297+J302</f>
      </c>
      <c r="K303" s="437">
        <f>K292+K297+K302</f>
      </c>
      <c r="L303" s="437">
        <f>L292+L297+L302</f>
      </c>
      <c r="M303" s="437">
        <f>M292+M297+M302</f>
      </c>
      <c r="N303" s="438">
        <f t="shared" si="344"/>
      </c>
      <c r="O303" s="438">
        <f t="shared" si="270"/>
      </c>
      <c r="P303" s="439">
        <f t="shared" si="208"/>
      </c>
      <c r="Q303" s="440">
        <f t="shared" si="115"/>
      </c>
      <c r="R303" s="441">
        <f t="shared" si="53"/>
      </c>
      <c r="S303" s="442">
        <f t="shared" si="146"/>
      </c>
      <c r="T303" s="442">
        <f t="shared" si="22"/>
      </c>
      <c r="U303" s="441">
        <f t="shared" si="507"/>
      </c>
      <c r="V303" s="442">
        <f t="shared" si="476"/>
      </c>
      <c r="W303" s="442">
        <f t="shared" si="375"/>
      </c>
      <c r="X303" s="441">
        <f t="shared" si="301"/>
      </c>
      <c r="Y303" s="443">
        <f t="shared" si="239"/>
      </c>
      <c r="Z303" s="441">
        <f t="shared" si="177"/>
      </c>
      <c r="AA303" s="444">
        <f t="shared" si="84"/>
      </c>
      <c r="AB303" s="444"/>
      <c r="AC303" s="444"/>
      <c r="AD303" s="373">
        <f>AD292+AD297+AD302</f>
      </c>
      <c r="AE303" s="373">
        <f>AE292+AE297+AE302</f>
      </c>
      <c r="AF303" s="373">
        <f>AF292+AF297+AF302</f>
      </c>
      <c r="AG303" s="373">
        <f>AG292+AG297+AG302</f>
      </c>
      <c r="AH303" s="373">
        <f>AH292+AH297+AH302</f>
      </c>
      <c r="AI303" s="373">
        <f>AI292+AI297+AI302</f>
      </c>
      <c r="AJ303" s="373">
        <f>AJ292+AJ297+AJ302</f>
      </c>
      <c r="AK303" s="373">
        <f>AK292+AK297+AK302</f>
      </c>
      <c r="AL303" s="373">
        <f>AL292+AL297+AL302</f>
      </c>
      <c r="AM303" s="426"/>
    </row>
    <row r="304">
      <c r="A304" s="282" t="s">
        <v>189</v>
      </c>
      <c r="B304" s="282"/>
      <c r="C304" s="282"/>
      <c r="D304" s="445" t="s">
        <v>190</v>
      </c>
      <c r="E304" s="430"/>
      <c r="F304" s="430"/>
      <c r="G304" s="430"/>
      <c r="H304" s="430"/>
      <c r="I304" s="430"/>
      <c r="J304" s="430"/>
      <c r="K304" s="430"/>
      <c r="L304" s="430"/>
      <c r="M304" s="430"/>
      <c r="N304" s="430"/>
      <c r="O304" s="430"/>
      <c r="P304" s="446" t="s">
        <v>191</v>
      </c>
      <c r="Q304" s="446"/>
      <c r="R304" s="446"/>
      <c r="S304" s="446"/>
      <c r="T304" s="446"/>
      <c r="U304" s="446"/>
      <c r="V304" s="446"/>
      <c r="W304" s="446"/>
      <c r="X304" s="446"/>
      <c r="Y304" s="446"/>
      <c r="Z304" s="446"/>
      <c r="AA304" s="446"/>
      <c r="AB304" s="446"/>
      <c r="AC304" s="446"/>
      <c r="AD304" s="447" t="s">
        <v>192</v>
      </c>
      <c r="AE304" s="392"/>
      <c r="AF304" s="392"/>
      <c r="AG304" s="392"/>
      <c r="AH304" s="392"/>
      <c r="AI304" s="392"/>
      <c r="AJ304" s="392"/>
      <c r="AK304" s="392"/>
      <c r="AL304" s="392"/>
      <c r="AM304" s="433"/>
    </row>
    <row r="305">
      <c r="A305" s="448" t="s">
        <v>193</v>
      </c>
      <c r="B305" s="449" t="s">
        <v>194</v>
      </c>
      <c r="C305" s="449" t="s">
        <v>195</v>
      </c>
      <c r="D305" s="450" t="s">
        <v>196</v>
      </c>
      <c r="E305" s="451" t="s">
        <v>197</v>
      </c>
      <c r="F305" s="452" t="s">
        <v>198</v>
      </c>
      <c r="G305" s="452" t="s">
        <v>256</v>
      </c>
      <c r="H305" s="453" t="s">
        <v>260</v>
      </c>
      <c r="I305" s="453" t="s">
        <v>199</v>
      </c>
      <c r="J305" s="430" t="s">
        <v>200</v>
      </c>
      <c r="K305" s="430" t="s">
        <v>201</v>
      </c>
      <c r="L305" s="430" t="s">
        <v>202</v>
      </c>
      <c r="M305" s="430" t="s">
        <v>203</v>
      </c>
      <c r="N305" s="452" t="s">
        <v>204</v>
      </c>
      <c r="O305" s="430" t="s">
        <v>205</v>
      </c>
      <c r="P305" s="446" t="s">
        <v>206</v>
      </c>
      <c r="Q305" s="446" t="s">
        <v>207</v>
      </c>
      <c r="R305" s="446" t="s">
        <v>208</v>
      </c>
      <c r="S305" s="454" t="s">
        <v>209</v>
      </c>
      <c r="T305" s="454" t="s">
        <v>210</v>
      </c>
      <c r="U305" s="446" t="s">
        <v>211</v>
      </c>
      <c r="V305" s="454" t="s">
        <v>212</v>
      </c>
      <c r="W305" s="454" t="s">
        <v>213</v>
      </c>
      <c r="X305" s="446" t="s">
        <v>214</v>
      </c>
      <c r="Y305" s="454" t="s">
        <v>215</v>
      </c>
      <c r="Z305" s="446" t="s">
        <v>216</v>
      </c>
      <c r="AA305" s="455" t="s">
        <v>217</v>
      </c>
      <c r="AB305" s="455" t="s">
        <v>218</v>
      </c>
      <c r="AC305" s="455" t="s">
        <v>219</v>
      </c>
      <c r="AD305" s="456" t="s">
        <v>220</v>
      </c>
      <c r="AE305" s="301" t="s">
        <v>221</v>
      </c>
      <c r="AF305" s="301" t="s">
        <v>222</v>
      </c>
      <c r="AG305" s="301" t="s">
        <v>223</v>
      </c>
      <c r="AH305" s="301" t="s">
        <v>224</v>
      </c>
      <c r="AI305" s="301" t="s">
        <v>225</v>
      </c>
      <c r="AJ305" s="302" t="s">
        <v>226</v>
      </c>
      <c r="AK305" s="302" t="s">
        <v>227</v>
      </c>
      <c r="AL305" s="302" t="s">
        <v>228</v>
      </c>
      <c r="AM305" s="433"/>
    </row>
    <row r="306">
      <c r="A306" s="457" t="s">
        <v>272</v>
      </c>
      <c r="B306" s="306" t="s">
        <v>230</v>
      </c>
      <c r="C306" s="306" t="s">
        <v>240</v>
      </c>
      <c r="D306" s="306">
        <f t="shared" ref="D306:D309" si="416">E306+F306+G306+H306</f>
      </c>
      <c r="E306" s="307">
        <v>2200.55</v>
      </c>
      <c r="F306" s="324">
        <v>1006.01</v>
      </c>
      <c r="G306" s="307">
        <v>0</v>
      </c>
      <c r="H306" s="306">
        <v>615.52</v>
      </c>
      <c r="I306" s="307">
        <v>1</v>
      </c>
      <c r="J306" s="306">
        <v>948</v>
      </c>
      <c r="K306" s="307">
        <v>0</v>
      </c>
      <c r="L306" s="307">
        <v>1</v>
      </c>
      <c r="M306" s="307">
        <v>0</v>
      </c>
      <c r="N306" s="458">
        <f t="shared" ref="N306:N321" si="345">J306/D306</f>
      </c>
      <c r="O306" s="458">
        <f t="shared" ref="O306:O321" si="271">J306/(D306+300*AL306)</f>
      </c>
      <c r="P306" s="459">
        <f t="shared" ref="P306:P321" si="209">(D306/AE306)*1000</f>
      </c>
      <c r="Q306" s="314">
        <f t="shared" ref="Q306:Q321" si="116">AF306/AE306</f>
      </c>
      <c r="R306" s="315">
        <f t="shared" ref="R306:R321" si="54">D306/AG306</f>
      </c>
      <c r="S306" s="314">
        <f t="shared" ref="S306:S321" si="147">AH306/AG306</f>
      </c>
      <c r="T306" s="314">
        <f t="shared" ref="T306:T321" si="23">AI306/AG306</f>
      </c>
      <c r="U306" s="315">
        <f t="shared" ref="U306:U321" si="508">D306/AI306</f>
      </c>
      <c r="V306" s="314">
        <f t="shared" ref="V306:V321" si="477">AJ306/AI306</f>
      </c>
      <c r="W306" s="314">
        <f t="shared" ref="W306:W321" si="376">I306/AJ306</f>
      </c>
      <c r="X306" s="315">
        <f t="shared" ref="X306:X321" si="302">D306/I306</f>
      </c>
      <c r="Y306" s="319">
        <f t="shared" ref="Y306:Y321" si="240">J306/I306</f>
      </c>
      <c r="Z306" s="315">
        <f t="shared" ref="Z306:Z321" si="178">D306/AD306</f>
      </c>
      <c r="AA306" s="460">
        <f t="shared" ref="AA306:AA321" si="85">AK306*1000/D306</f>
      </c>
      <c r="AB306" s="461" t="s">
        <v>232</v>
      </c>
      <c r="AC306" s="462" t="s">
        <v>244</v>
      </c>
      <c r="AD306" s="304">
        <v>0</v>
      </c>
      <c r="AE306" s="334">
        <v>8573</v>
      </c>
      <c r="AF306" s="304">
        <v>462</v>
      </c>
      <c r="AG306" s="304">
        <v>581</v>
      </c>
      <c r="AH306" s="304">
        <v>85</v>
      </c>
      <c r="AI306" s="334">
        <v>34</v>
      </c>
      <c r="AJ306" s="325">
        <v>3</v>
      </c>
      <c r="AK306" s="326">
        <v>24</v>
      </c>
      <c r="AL306" s="365">
        <f t="shared" ref="AL306:AL309" si="326">COUNT(AK306)</f>
      </c>
      <c r="AM306" s="434"/>
    </row>
    <row r="307">
      <c r="A307" s="463"/>
      <c r="B307" s="306" t="s">
        <v>234</v>
      </c>
      <c r="C307" s="306" t="s">
        <v>240</v>
      </c>
      <c r="D307" s="306">
        <f t="shared" si="416"/>
      </c>
      <c r="E307" s="307">
        <v>1704.47</v>
      </c>
      <c r="F307" s="324">
        <v>605.29</v>
      </c>
      <c r="G307" s="307">
        <v>0</v>
      </c>
      <c r="H307" s="306">
        <v>210.39</v>
      </c>
      <c r="I307" s="306">
        <v>1</v>
      </c>
      <c r="J307" s="306">
        <v>2268</v>
      </c>
      <c r="K307" s="307">
        <v>0</v>
      </c>
      <c r="L307" s="307">
        <v>0</v>
      </c>
      <c r="M307" s="307">
        <v>1</v>
      </c>
      <c r="N307" s="458">
        <f t="shared" si="345"/>
      </c>
      <c r="O307" s="458">
        <f t="shared" si="271"/>
      </c>
      <c r="P307" s="459">
        <f t="shared" si="209"/>
      </c>
      <c r="Q307" s="314">
        <f t="shared" si="116"/>
      </c>
      <c r="R307" s="315">
        <f t="shared" si="54"/>
      </c>
      <c r="S307" s="314">
        <f t="shared" si="147"/>
      </c>
      <c r="T307" s="314">
        <f t="shared" si="23"/>
      </c>
      <c r="U307" s="315">
        <f t="shared" si="508"/>
      </c>
      <c r="V307" s="314">
        <f t="shared" si="477"/>
      </c>
      <c r="W307" s="314">
        <f t="shared" si="376"/>
      </c>
      <c r="X307" s="315">
        <f t="shared" si="302"/>
      </c>
      <c r="Y307" s="319">
        <f t="shared" si="240"/>
      </c>
      <c r="Z307" s="315">
        <f t="shared" si="178"/>
      </c>
      <c r="AA307" s="460">
        <f t="shared" si="85"/>
      </c>
      <c r="AB307" s="461" t="s">
        <v>232</v>
      </c>
      <c r="AC307" s="462" t="s">
        <v>244</v>
      </c>
      <c r="AD307" s="304">
        <v>1</v>
      </c>
      <c r="AE307" s="334">
        <v>4841</v>
      </c>
      <c r="AF307" s="304">
        <v>249</v>
      </c>
      <c r="AG307" s="333">
        <v>310</v>
      </c>
      <c r="AH307" s="334">
        <v>55</v>
      </c>
      <c r="AI307" s="334">
        <v>28</v>
      </c>
      <c r="AJ307" s="335">
        <v>5</v>
      </c>
      <c r="AK307" s="417">
        <v>13</v>
      </c>
      <c r="AL307" s="365">
        <f t="shared" si="326"/>
      </c>
      <c r="AM307" s="434"/>
    </row>
    <row r="308">
      <c r="A308" s="463"/>
      <c r="B308" s="306" t="s">
        <v>235</v>
      </c>
      <c r="C308" s="306" t="s">
        <v>240</v>
      </c>
      <c r="D308" s="306">
        <f t="shared" si="416"/>
      </c>
      <c r="E308" s="307">
        <v>1791.95</v>
      </c>
      <c r="F308" s="324">
        <v>1198.04</v>
      </c>
      <c r="G308" s="307">
        <v>0</v>
      </c>
      <c r="H308" s="306">
        <v>488.49</v>
      </c>
      <c r="I308" s="306">
        <v>5</v>
      </c>
      <c r="J308" s="306">
        <v>6821</v>
      </c>
      <c r="K308" s="307">
        <v>1</v>
      </c>
      <c r="L308" s="307">
        <v>2</v>
      </c>
      <c r="M308" s="307">
        <v>2</v>
      </c>
      <c r="N308" s="458">
        <f t="shared" si="345"/>
      </c>
      <c r="O308" s="458">
        <f t="shared" si="271"/>
      </c>
      <c r="P308" s="459">
        <f t="shared" si="209"/>
      </c>
      <c r="Q308" s="314">
        <f t="shared" si="116"/>
      </c>
      <c r="R308" s="315">
        <f t="shared" si="54"/>
      </c>
      <c r="S308" s="314">
        <f t="shared" si="147"/>
      </c>
      <c r="T308" s="314">
        <f t="shared" si="23"/>
      </c>
      <c r="U308" s="315">
        <f t="shared" si="508"/>
      </c>
      <c r="V308" s="314">
        <f t="shared" si="477"/>
      </c>
      <c r="W308" s="314">
        <f t="shared" si="376"/>
      </c>
      <c r="X308" s="315">
        <f t="shared" si="302"/>
      </c>
      <c r="Y308" s="319">
        <f t="shared" si="240"/>
      </c>
      <c r="Z308" s="315">
        <f t="shared" si="178"/>
      </c>
      <c r="AA308" s="460">
        <f t="shared" si="85"/>
      </c>
      <c r="AB308" s="461" t="s">
        <v>232</v>
      </c>
      <c r="AC308" s="462" t="s">
        <v>244</v>
      </c>
      <c r="AD308" s="304">
        <v>5</v>
      </c>
      <c r="AE308" s="334">
        <v>6550</v>
      </c>
      <c r="AF308" s="304">
        <v>266</v>
      </c>
      <c r="AG308" s="334">
        <v>380</v>
      </c>
      <c r="AH308" s="334">
        <v>63</v>
      </c>
      <c r="AI308" s="334">
        <v>19</v>
      </c>
      <c r="AJ308" s="335">
        <v>7</v>
      </c>
      <c r="AK308" s="417">
        <v>19</v>
      </c>
      <c r="AL308" s="365">
        <f t="shared" si="326"/>
      </c>
      <c r="AM308" s="434"/>
    </row>
    <row r="309">
      <c r="A309" s="463"/>
      <c r="B309" s="306" t="s">
        <v>236</v>
      </c>
      <c r="C309" s="306" t="s">
        <v>240</v>
      </c>
      <c r="D309" s="306">
        <f t="shared" si="416"/>
      </c>
      <c r="E309" s="307">
        <v>567.83</v>
      </c>
      <c r="F309" s="324">
        <v>1455.08</v>
      </c>
      <c r="G309" s="307">
        <v>0</v>
      </c>
      <c r="H309" s="306">
        <v>1348.88</v>
      </c>
      <c r="I309" s="306">
        <v>7</v>
      </c>
      <c r="J309" s="306">
        <v>8316</v>
      </c>
      <c r="K309" s="307">
        <v>2</v>
      </c>
      <c r="L309" s="307">
        <v>3</v>
      </c>
      <c r="M309" s="307">
        <v>2</v>
      </c>
      <c r="N309" s="458">
        <f t="shared" si="345"/>
      </c>
      <c r="O309" s="458">
        <f t="shared" si="271"/>
      </c>
      <c r="P309" s="459">
        <f t="shared" si="209"/>
      </c>
      <c r="Q309" s="314">
        <f t="shared" si="116"/>
      </c>
      <c r="R309" s="315">
        <f t="shared" si="54"/>
      </c>
      <c r="S309" s="314">
        <f t="shared" si="147"/>
      </c>
      <c r="T309" s="314">
        <f t="shared" si="23"/>
      </c>
      <c r="U309" s="315">
        <f t="shared" si="508"/>
      </c>
      <c r="V309" s="314">
        <f t="shared" si="477"/>
      </c>
      <c r="W309" s="314">
        <f t="shared" si="376"/>
      </c>
      <c r="X309" s="315">
        <f t="shared" si="302"/>
      </c>
      <c r="Y309" s="319">
        <f t="shared" si="240"/>
      </c>
      <c r="Z309" s="315">
        <f t="shared" si="178"/>
      </c>
      <c r="AA309" s="460">
        <f t="shared" si="85"/>
      </c>
      <c r="AB309" s="461" t="s">
        <v>232</v>
      </c>
      <c r="AC309" s="462" t="s">
        <v>244</v>
      </c>
      <c r="AD309" s="412">
        <v>5</v>
      </c>
      <c r="AE309" s="333">
        <v>7980</v>
      </c>
      <c r="AF309" s="334">
        <v>307</v>
      </c>
      <c r="AG309" s="334">
        <v>428</v>
      </c>
      <c r="AH309" s="334">
        <v>65</v>
      </c>
      <c r="AI309" s="334">
        <v>40</v>
      </c>
      <c r="AJ309" s="416">
        <v>7</v>
      </c>
      <c r="AK309" s="417">
        <v>15</v>
      </c>
      <c r="AL309" s="365">
        <f t="shared" si="326"/>
      </c>
      <c r="AM309" s="434"/>
    </row>
    <row r="310">
      <c r="A310" s="463"/>
      <c r="B310" s="464" t="s">
        <v>238</v>
      </c>
      <c r="C310" s="464"/>
      <c r="D310" s="464">
        <f>SUM(D306:D309)</f>
      </c>
      <c r="E310" s="464">
        <f>SUM(E306:E309)</f>
      </c>
      <c r="F310" s="465">
        <f>SUM(F306:F309)</f>
      </c>
      <c r="G310" s="464">
        <f>SUM(G306:G309)</f>
      </c>
      <c r="H310" s="464">
        <f>SUM(H306:H309)</f>
      </c>
      <c r="I310" s="464">
        <f>SUM(I306:I309)</f>
      </c>
      <c r="J310" s="464">
        <f>SUM(J306:J309)</f>
      </c>
      <c r="K310" s="464">
        <f>SUM(K306:K309)</f>
      </c>
      <c r="L310" s="464">
        <f>SUM(L306:L309)</f>
      </c>
      <c r="M310" s="464">
        <f>SUM(M306:M309)</f>
      </c>
      <c r="N310" s="466">
        <f t="shared" si="345"/>
      </c>
      <c r="O310" s="466">
        <f t="shared" si="271"/>
      </c>
      <c r="P310" s="467">
        <f t="shared" si="209"/>
      </c>
      <c r="Q310" s="468">
        <f t="shared" si="116"/>
      </c>
      <c r="R310" s="469">
        <f t="shared" si="54"/>
      </c>
      <c r="S310" s="468">
        <f t="shared" si="147"/>
      </c>
      <c r="T310" s="468">
        <f t="shared" si="23"/>
      </c>
      <c r="U310" s="469">
        <f t="shared" si="508"/>
      </c>
      <c r="V310" s="468">
        <f t="shared" si="477"/>
      </c>
      <c r="W310" s="468">
        <f t="shared" si="376"/>
      </c>
      <c r="X310" s="469">
        <f t="shared" si="302"/>
      </c>
      <c r="Y310" s="470">
        <f t="shared" si="240"/>
      </c>
      <c r="Z310" s="469">
        <f t="shared" si="178"/>
      </c>
      <c r="AA310" s="471">
        <f t="shared" si="85"/>
      </c>
      <c r="AB310" s="471"/>
      <c r="AC310" s="471"/>
      <c r="AD310" s="347">
        <f>SUM(AD306:AD309)</f>
      </c>
      <c r="AE310" s="347">
        <f>SUM(AE306:AE309)</f>
      </c>
      <c r="AF310" s="347">
        <f>SUM(AF306:AF309)</f>
      </c>
      <c r="AG310" s="347">
        <f>SUM(AG306:AG309)</f>
      </c>
      <c r="AH310" s="347">
        <f>SUM(AH306:AH309)</f>
      </c>
      <c r="AI310" s="347">
        <f>SUM(AI306:AI309)</f>
      </c>
      <c r="AJ310" s="347">
        <f>SUM(AJ306:AJ309)</f>
      </c>
      <c r="AK310" s="347">
        <f>SUM(AK306:AK309)</f>
      </c>
      <c r="AL310" s="347">
        <f>SUM(AL306:AL309)</f>
      </c>
      <c r="AM310" s="434"/>
    </row>
    <row r="311">
      <c r="A311" s="463"/>
      <c r="B311" s="306" t="s">
        <v>237</v>
      </c>
      <c r="C311" s="307" t="s">
        <v>271</v>
      </c>
      <c r="D311" s="306">
        <f t="shared" ref="D311:D314" si="417">E311+F311+G311+H311</f>
      </c>
      <c r="E311" s="307">
        <v>1073.26</v>
      </c>
      <c r="F311" s="324">
        <v>1075.08</v>
      </c>
      <c r="G311" s="307">
        <v>0</v>
      </c>
      <c r="H311" s="306">
        <v>1314.29</v>
      </c>
      <c r="I311" s="306">
        <v>2</v>
      </c>
      <c r="J311" s="306">
        <v>2736</v>
      </c>
      <c r="K311" s="307">
        <v>1</v>
      </c>
      <c r="L311" s="307">
        <v>0</v>
      </c>
      <c r="M311" s="307">
        <v>1</v>
      </c>
      <c r="N311" s="458">
        <f t="shared" si="345"/>
      </c>
      <c r="O311" s="458">
        <f t="shared" si="271"/>
      </c>
      <c r="P311" s="459">
        <f t="shared" si="209"/>
      </c>
      <c r="Q311" s="314">
        <f t="shared" si="116"/>
      </c>
      <c r="R311" s="315">
        <f t="shared" si="54"/>
      </c>
      <c r="S311" s="314">
        <f t="shared" si="147"/>
      </c>
      <c r="T311" s="314">
        <f t="shared" si="23"/>
      </c>
      <c r="U311" s="315">
        <f t="shared" si="508"/>
      </c>
      <c r="V311" s="314">
        <f t="shared" si="477"/>
      </c>
      <c r="W311" s="314">
        <f t="shared" si="376"/>
      </c>
      <c r="X311" s="315">
        <f t="shared" si="302"/>
      </c>
      <c r="Y311" s="319">
        <f t="shared" si="240"/>
      </c>
      <c r="Z311" s="315">
        <f t="shared" si="178"/>
      </c>
      <c r="AA311" s="460">
        <f t="shared" si="85"/>
      </c>
      <c r="AB311" s="461" t="s">
        <v>232</v>
      </c>
      <c r="AC311" s="462" t="s">
        <v>244</v>
      </c>
      <c r="AD311" s="402">
        <v>2</v>
      </c>
      <c r="AE311" s="365">
        <v>4304</v>
      </c>
      <c r="AF311" s="365">
        <v>256</v>
      </c>
      <c r="AG311" s="365">
        <v>327</v>
      </c>
      <c r="AH311" s="365">
        <v>47</v>
      </c>
      <c r="AI311" s="365">
        <v>19</v>
      </c>
      <c r="AJ311" s="365">
        <v>6</v>
      </c>
      <c r="AK311" s="365">
        <v>19</v>
      </c>
      <c r="AL311" s="365">
        <f t="shared" ref="AL311:AL314" si="327">COUNT(AK311)</f>
      </c>
      <c r="AM311" s="434"/>
    </row>
    <row r="312">
      <c r="A312" s="472"/>
      <c r="B312" s="473" t="s">
        <v>239</v>
      </c>
      <c r="C312" s="329" t="s">
        <v>271</v>
      </c>
      <c r="D312" s="473">
        <f t="shared" si="417"/>
      </c>
      <c r="E312" s="329">
        <v>1029.86</v>
      </c>
      <c r="F312" s="306">
        <v>984.84</v>
      </c>
      <c r="G312" s="307">
        <v>0</v>
      </c>
      <c r="H312" s="306">
        <v>2096.33</v>
      </c>
      <c r="I312" s="306">
        <v>3</v>
      </c>
      <c r="J312" s="306">
        <v>4085</v>
      </c>
      <c r="K312" s="307">
        <v>0</v>
      </c>
      <c r="L312" s="307">
        <v>2</v>
      </c>
      <c r="M312" s="307">
        <v>1</v>
      </c>
      <c r="N312" s="458">
        <f t="shared" si="345"/>
      </c>
      <c r="O312" s="458">
        <f t="shared" si="271"/>
      </c>
      <c r="P312" s="459">
        <f t="shared" si="209"/>
      </c>
      <c r="Q312" s="314">
        <f t="shared" si="116"/>
      </c>
      <c r="R312" s="315">
        <f t="shared" si="54"/>
      </c>
      <c r="S312" s="314">
        <f t="shared" si="147"/>
      </c>
      <c r="T312" s="314">
        <f t="shared" si="23"/>
      </c>
      <c r="U312" s="315">
        <f t="shared" si="508"/>
      </c>
      <c r="V312" s="314">
        <f t="shared" si="477"/>
      </c>
      <c r="W312" s="314">
        <f t="shared" si="376"/>
      </c>
      <c r="X312" s="315">
        <f t="shared" si="302"/>
      </c>
      <c r="Y312" s="319">
        <f t="shared" si="240"/>
      </c>
      <c r="Z312" s="315">
        <f t="shared" si="178"/>
      </c>
      <c r="AA312" s="460">
        <f t="shared" si="85"/>
      </c>
      <c r="AB312" s="461" t="s">
        <v>232</v>
      </c>
      <c r="AC312" s="462" t="s">
        <v>244</v>
      </c>
      <c r="AD312" s="402">
        <v>3</v>
      </c>
      <c r="AE312" s="365">
        <v>8957</v>
      </c>
      <c r="AF312" s="365">
        <v>308</v>
      </c>
      <c r="AG312" s="365">
        <v>387</v>
      </c>
      <c r="AH312" s="365">
        <v>72</v>
      </c>
      <c r="AI312" s="365">
        <v>39</v>
      </c>
      <c r="AJ312" s="310">
        <v>11</v>
      </c>
      <c r="AK312" s="365">
        <v>14</v>
      </c>
      <c r="AL312" s="365">
        <f t="shared" si="327"/>
      </c>
      <c r="AM312" s="434"/>
    </row>
    <row r="313">
      <c r="A313" s="472"/>
      <c r="B313" s="306" t="s">
        <v>241</v>
      </c>
      <c r="C313" s="307" t="s">
        <v>271</v>
      </c>
      <c r="D313" s="306">
        <f t="shared" si="417"/>
      </c>
      <c r="E313" s="307">
        <v>1632.15</v>
      </c>
      <c r="F313" s="306">
        <v>313.31</v>
      </c>
      <c r="G313" s="307">
        <v>0</v>
      </c>
      <c r="H313" s="306">
        <v>1429.92</v>
      </c>
      <c r="I313" s="306">
        <v>1</v>
      </c>
      <c r="J313" s="306">
        <v>468</v>
      </c>
      <c r="K313" s="307">
        <v>1</v>
      </c>
      <c r="L313" s="307">
        <v>0</v>
      </c>
      <c r="M313" s="307">
        <v>0</v>
      </c>
      <c r="N313" s="458">
        <f t="shared" si="345"/>
      </c>
      <c r="O313" s="458">
        <f t="shared" si="271"/>
      </c>
      <c r="P313" s="459">
        <f t="shared" si="209"/>
      </c>
      <c r="Q313" s="314">
        <f t="shared" si="116"/>
      </c>
      <c r="R313" s="315">
        <f t="shared" si="54"/>
      </c>
      <c r="S313" s="314">
        <f t="shared" si="147"/>
      </c>
      <c r="T313" s="314">
        <f t="shared" si="23"/>
      </c>
      <c r="U313" s="315">
        <f t="shared" si="508"/>
      </c>
      <c r="V313" s="314">
        <f t="shared" si="477"/>
      </c>
      <c r="W313" s="314">
        <f t="shared" si="376"/>
      </c>
      <c r="X313" s="315">
        <f t="shared" si="302"/>
      </c>
      <c r="Y313" s="319">
        <f t="shared" si="240"/>
      </c>
      <c r="Z313" s="315">
        <f t="shared" si="178"/>
      </c>
      <c r="AA313" s="460">
        <f t="shared" si="85"/>
      </c>
      <c r="AB313" s="461" t="s">
        <v>232</v>
      </c>
      <c r="AC313" s="462" t="s">
        <v>244</v>
      </c>
      <c r="AD313" s="402">
        <v>1</v>
      </c>
      <c r="AE313" s="365">
        <v>9083</v>
      </c>
      <c r="AF313" s="365">
        <v>219</v>
      </c>
      <c r="AG313" s="365">
        <v>342</v>
      </c>
      <c r="AH313" s="365">
        <v>53</v>
      </c>
      <c r="AI313" s="365">
        <v>23</v>
      </c>
      <c r="AJ313" s="310">
        <v>1</v>
      </c>
      <c r="AK313" s="310">
        <v>7</v>
      </c>
      <c r="AL313" s="365">
        <f t="shared" si="327"/>
      </c>
      <c r="AM313" s="434"/>
    </row>
    <row r="314">
      <c r="A314" s="472"/>
      <c r="B314" s="306" t="s">
        <v>242</v>
      </c>
      <c r="C314" s="307" t="s">
        <v>271</v>
      </c>
      <c r="D314" s="306">
        <f t="shared" si="417"/>
      </c>
      <c r="E314" s="307">
        <v>1972.25</v>
      </c>
      <c r="F314" s="306">
        <v>1009.25</v>
      </c>
      <c r="G314" s="307">
        <v>0</v>
      </c>
      <c r="H314" s="306">
        <v>1239.35</v>
      </c>
      <c r="I314" s="306">
        <v>2</v>
      </c>
      <c r="J314" s="306">
        <v>3137</v>
      </c>
      <c r="K314" s="307">
        <v>0</v>
      </c>
      <c r="L314" s="307">
        <v>1</v>
      </c>
      <c r="M314" s="307">
        <v>1</v>
      </c>
      <c r="N314" s="458">
        <f t="shared" si="345"/>
      </c>
      <c r="O314" s="458">
        <f t="shared" si="271"/>
      </c>
      <c r="P314" s="459">
        <f t="shared" si="209"/>
      </c>
      <c r="Q314" s="314">
        <f t="shared" si="116"/>
      </c>
      <c r="R314" s="315">
        <f t="shared" si="54"/>
      </c>
      <c r="S314" s="314">
        <f t="shared" si="147"/>
      </c>
      <c r="T314" s="314">
        <f t="shared" si="23"/>
      </c>
      <c r="U314" s="315">
        <f t="shared" si="508"/>
      </c>
      <c r="V314" s="314">
        <f t="shared" si="477"/>
      </c>
      <c r="W314" s="314">
        <f t="shared" si="376"/>
      </c>
      <c r="X314" s="315">
        <f t="shared" si="302"/>
      </c>
      <c r="Y314" s="319">
        <f t="shared" si="240"/>
      </c>
      <c r="Z314" s="315">
        <f t="shared" si="178"/>
      </c>
      <c r="AA314" s="460">
        <f t="shared" si="85"/>
      </c>
      <c r="AB314" s="461" t="s">
        <v>232</v>
      </c>
      <c r="AC314" s="462" t="s">
        <v>244</v>
      </c>
      <c r="AD314" s="402">
        <v>1</v>
      </c>
      <c r="AE314" s="365">
        <v>11981</v>
      </c>
      <c r="AF314" s="365">
        <v>364</v>
      </c>
      <c r="AG314" s="365">
        <v>521</v>
      </c>
      <c r="AH314" s="365">
        <v>75</v>
      </c>
      <c r="AI314" s="365">
        <v>36</v>
      </c>
      <c r="AJ314" s="365">
        <v>6</v>
      </c>
      <c r="AK314" s="365">
        <v>23</v>
      </c>
      <c r="AL314" s="365">
        <f t="shared" si="327"/>
      </c>
      <c r="AM314" s="434"/>
    </row>
    <row r="315">
      <c r="A315" s="472"/>
      <c r="B315" s="464" t="s">
        <v>238</v>
      </c>
      <c r="C315" s="464"/>
      <c r="D315" s="464">
        <f>SUM(D311:D314)</f>
      </c>
      <c r="E315" s="464">
        <f>SUM(E311:E314)</f>
      </c>
      <c r="F315" s="464">
        <f>SUM(F311:F314)</f>
      </c>
      <c r="G315" s="464">
        <f>SUM(G311:G314)</f>
      </c>
      <c r="H315" s="464">
        <f>SUM(H311:H314)</f>
      </c>
      <c r="I315" s="464">
        <f>SUM(I311:I314)</f>
      </c>
      <c r="J315" s="464">
        <f>SUM(J311:J314)</f>
      </c>
      <c r="K315" s="464">
        <f>SUM(K311:K314)</f>
      </c>
      <c r="L315" s="464">
        <f>SUM(L311:L314)</f>
      </c>
      <c r="M315" s="464">
        <f>SUM(M311:M314)</f>
      </c>
      <c r="N315" s="466">
        <f t="shared" si="345"/>
      </c>
      <c r="O315" s="466">
        <f t="shared" si="271"/>
      </c>
      <c r="P315" s="474">
        <f t="shared" si="209"/>
      </c>
      <c r="Q315" s="468">
        <f t="shared" si="116"/>
      </c>
      <c r="R315" s="469">
        <f t="shared" si="54"/>
      </c>
      <c r="S315" s="468">
        <f t="shared" si="147"/>
      </c>
      <c r="T315" s="468">
        <f t="shared" si="23"/>
      </c>
      <c r="U315" s="469">
        <f t="shared" si="508"/>
      </c>
      <c r="V315" s="468">
        <f t="shared" si="477"/>
      </c>
      <c r="W315" s="468">
        <f t="shared" si="376"/>
      </c>
      <c r="X315" s="469">
        <f t="shared" si="302"/>
      </c>
      <c r="Y315" s="470">
        <f t="shared" si="240"/>
      </c>
      <c r="Z315" s="469">
        <f t="shared" si="178"/>
      </c>
      <c r="AA315" s="471">
        <f t="shared" si="85"/>
      </c>
      <c r="AB315" s="471"/>
      <c r="AC315" s="471"/>
      <c r="AD315" s="347">
        <f>SUM(AD311:AD314)</f>
      </c>
      <c r="AE315" s="347">
        <f>SUM(AE311:AE314)</f>
      </c>
      <c r="AF315" s="347">
        <f>SUM(AF311:AF314)</f>
      </c>
      <c r="AG315" s="347">
        <f>SUM(AG311:AG314)</f>
      </c>
      <c r="AH315" s="347">
        <f>SUM(AH311:AH314)</f>
      </c>
      <c r="AI315" s="347">
        <f>SUM(AI311:AI314)</f>
      </c>
      <c r="AJ315" s="347">
        <f>SUM(AJ311:AJ314)</f>
      </c>
      <c r="AK315" s="347">
        <f>SUM(AK311:AK314)</f>
      </c>
      <c r="AL315" s="347">
        <f>SUM(AL311:AL314)</f>
      </c>
      <c r="AM315" s="434"/>
    </row>
    <row r="316">
      <c r="A316" s="472"/>
      <c r="B316" s="306" t="s">
        <v>243</v>
      </c>
      <c r="C316" s="307" t="s">
        <v>247</v>
      </c>
      <c r="D316" s="306">
        <f t="shared" ref="D316:D319" si="418">E316+F316+G316+H316</f>
      </c>
      <c r="E316" s="306">
        <v>1039.72</v>
      </c>
      <c r="F316" s="306">
        <v>677.38</v>
      </c>
      <c r="G316" s="307">
        <v>0</v>
      </c>
      <c r="H316" s="306">
        <v>1127.33</v>
      </c>
      <c r="I316" s="306">
        <v>1</v>
      </c>
      <c r="J316" s="306">
        <v>429</v>
      </c>
      <c r="K316" s="475">
        <v>1</v>
      </c>
      <c r="L316" s="475">
        <v>0</v>
      </c>
      <c r="M316" s="307">
        <v>0</v>
      </c>
      <c r="N316" s="458">
        <f t="shared" si="345"/>
      </c>
      <c r="O316" s="458">
        <f t="shared" si="271"/>
      </c>
      <c r="P316" s="476">
        <f t="shared" si="209"/>
      </c>
      <c r="Q316" s="314">
        <f t="shared" si="116"/>
      </c>
      <c r="R316" s="315">
        <f t="shared" si="54"/>
      </c>
      <c r="S316" s="314">
        <f t="shared" si="147"/>
      </c>
      <c r="T316" s="314">
        <f t="shared" si="23"/>
      </c>
      <c r="U316" s="315">
        <f t="shared" si="508"/>
      </c>
      <c r="V316" s="314">
        <f t="shared" si="477"/>
      </c>
      <c r="W316" s="314">
        <f t="shared" si="376"/>
      </c>
      <c r="X316" s="315">
        <f t="shared" si="302"/>
      </c>
      <c r="Y316" s="319">
        <f t="shared" si="240"/>
      </c>
      <c r="Z316" s="315">
        <f t="shared" si="178"/>
      </c>
      <c r="AA316" s="460">
        <f t="shared" si="85"/>
      </c>
      <c r="AB316" s="461" t="s">
        <v>232</v>
      </c>
      <c r="AC316" s="477" t="s">
        <v>262</v>
      </c>
      <c r="AD316" s="402">
        <v>1</v>
      </c>
      <c r="AE316" s="365">
        <v>2824</v>
      </c>
      <c r="AF316" s="365">
        <v>3895</v>
      </c>
      <c r="AG316" s="365">
        <v>224</v>
      </c>
      <c r="AH316" s="365">
        <v>242</v>
      </c>
      <c r="AI316" s="365">
        <v>43</v>
      </c>
      <c r="AJ316" s="310">
        <v>2</v>
      </c>
      <c r="AK316" s="310">
        <v>11</v>
      </c>
      <c r="AL316" s="310">
        <v>1</v>
      </c>
      <c r="AM316" s="434"/>
    </row>
    <row r="317">
      <c r="A317" s="472"/>
      <c r="B317" s="306" t="s">
        <v>245</v>
      </c>
      <c r="C317" s="307" t="s">
        <v>247</v>
      </c>
      <c r="D317" s="306">
        <f t="shared" si="418"/>
      </c>
      <c r="E317" s="306">
        <v>1148.2</v>
      </c>
      <c r="F317" s="306">
        <v>334.66</v>
      </c>
      <c r="G317" s="307">
        <v>0</v>
      </c>
      <c r="H317" s="306">
        <v>1899.96</v>
      </c>
      <c r="I317" s="306">
        <v>1</v>
      </c>
      <c r="J317" s="306">
        <v>2268</v>
      </c>
      <c r="K317" s="475">
        <v>0</v>
      </c>
      <c r="L317" s="475">
        <v>0</v>
      </c>
      <c r="M317" s="307">
        <v>1</v>
      </c>
      <c r="N317" s="458">
        <f t="shared" si="345"/>
      </c>
      <c r="O317" s="458">
        <f t="shared" si="271"/>
      </c>
      <c r="P317" s="476">
        <f t="shared" si="209"/>
      </c>
      <c r="Q317" s="314">
        <f t="shared" si="116"/>
      </c>
      <c r="R317" s="315">
        <f t="shared" si="54"/>
      </c>
      <c r="S317" s="314">
        <f t="shared" si="147"/>
      </c>
      <c r="T317" s="314">
        <f t="shared" si="23"/>
      </c>
      <c r="U317" s="315">
        <f t="shared" si="508"/>
      </c>
      <c r="V317" s="314">
        <f t="shared" si="477"/>
      </c>
      <c r="W317" s="314">
        <f t="shared" si="376"/>
      </c>
      <c r="X317" s="315">
        <f t="shared" si="302"/>
      </c>
      <c r="Y317" s="319">
        <f t="shared" si="240"/>
      </c>
      <c r="Z317" s="315">
        <f t="shared" si="178"/>
      </c>
      <c r="AA317" s="460">
        <f t="shared" si="85"/>
      </c>
      <c r="AB317" s="461" t="s">
        <v>232</v>
      </c>
      <c r="AC317" s="477" t="s">
        <v>262</v>
      </c>
      <c r="AD317" s="402">
        <v>1</v>
      </c>
      <c r="AE317" s="365">
        <v>7981</v>
      </c>
      <c r="AF317" s="365">
        <v>222</v>
      </c>
      <c r="AG317" s="365">
        <v>364</v>
      </c>
      <c r="AH317" s="365">
        <v>62</v>
      </c>
      <c r="AI317" s="365">
        <v>25</v>
      </c>
      <c r="AJ317" s="310">
        <v>6</v>
      </c>
      <c r="AK317" s="310">
        <v>20</v>
      </c>
      <c r="AL317" s="310">
        <v>1</v>
      </c>
      <c r="AM317" s="434"/>
    </row>
    <row r="318">
      <c r="A318" s="472"/>
      <c r="B318" s="306" t="s">
        <v>246</v>
      </c>
      <c r="C318" s="307" t="s">
        <v>247</v>
      </c>
      <c r="D318" s="306">
        <f t="shared" si="418"/>
      </c>
      <c r="E318" s="306">
        <v>915.55</v>
      </c>
      <c r="F318" s="306">
        <v>861.37</v>
      </c>
      <c r="G318" s="306"/>
      <c r="H318" s="306">
        <v>1398.13</v>
      </c>
      <c r="I318" s="306">
        <v>4</v>
      </c>
      <c r="J318" s="306">
        <v>7673</v>
      </c>
      <c r="K318" s="475">
        <v>0</v>
      </c>
      <c r="L318" s="475">
        <v>1</v>
      </c>
      <c r="M318" s="307">
        <v>3</v>
      </c>
      <c r="N318" s="458">
        <f t="shared" si="345"/>
      </c>
      <c r="O318" s="458">
        <f t="shared" si="271"/>
      </c>
      <c r="P318" s="476">
        <f t="shared" si="209"/>
      </c>
      <c r="Q318" s="314">
        <f t="shared" si="116"/>
      </c>
      <c r="R318" s="315">
        <f t="shared" si="54"/>
      </c>
      <c r="S318" s="314">
        <f t="shared" si="147"/>
      </c>
      <c r="T318" s="314">
        <f t="shared" si="23"/>
      </c>
      <c r="U318" s="315">
        <f t="shared" si="508"/>
      </c>
      <c r="V318" s="314">
        <f t="shared" si="477"/>
      </c>
      <c r="W318" s="314">
        <f t="shared" si="376"/>
      </c>
      <c r="X318" s="315">
        <f t="shared" si="302"/>
      </c>
      <c r="Y318" s="319">
        <f t="shared" si="240"/>
      </c>
      <c r="Z318" s="315">
        <f t="shared" si="178"/>
      </c>
      <c r="AA318" s="460">
        <f t="shared" si="85"/>
      </c>
      <c r="AB318" s="461" t="s">
        <v>232</v>
      </c>
      <c r="AC318" s="477" t="s">
        <v>262</v>
      </c>
      <c r="AD318" s="402">
        <v>4</v>
      </c>
      <c r="AE318" s="365">
        <v>8007</v>
      </c>
      <c r="AF318" s="365">
        <v>261</v>
      </c>
      <c r="AG318" s="365">
        <v>385</v>
      </c>
      <c r="AH318" s="365">
        <v>65</v>
      </c>
      <c r="AI318" s="365">
        <v>29</v>
      </c>
      <c r="AJ318" s="310">
        <v>8</v>
      </c>
      <c r="AK318" s="310">
        <v>17</v>
      </c>
      <c r="AL318" s="310">
        <v>1</v>
      </c>
      <c r="AM318" s="434"/>
    </row>
    <row r="319">
      <c r="A319" s="472"/>
      <c r="B319" s="306" t="s">
        <v>248</v>
      </c>
      <c r="C319" s="307" t="s">
        <v>247</v>
      </c>
      <c r="D319" s="306">
        <f t="shared" si="418"/>
      </c>
      <c r="E319" s="306">
        <v>664.95</v>
      </c>
      <c r="F319" s="306">
        <v>925.63</v>
      </c>
      <c r="G319" s="306"/>
      <c r="H319" s="306">
        <v>2096.05</v>
      </c>
      <c r="I319" s="306">
        <v>2</v>
      </c>
      <c r="J319" s="306">
        <v>4536</v>
      </c>
      <c r="K319" s="307">
        <v>0</v>
      </c>
      <c r="L319" s="307">
        <v>0</v>
      </c>
      <c r="M319" s="307">
        <v>2</v>
      </c>
      <c r="N319" s="458">
        <f t="shared" si="345"/>
      </c>
      <c r="O319" s="458">
        <f t="shared" si="271"/>
      </c>
      <c r="P319" s="459">
        <f t="shared" si="209"/>
      </c>
      <c r="Q319" s="314">
        <f t="shared" si="116"/>
      </c>
      <c r="R319" s="315">
        <f t="shared" si="54"/>
      </c>
      <c r="S319" s="314">
        <f t="shared" si="147"/>
      </c>
      <c r="T319" s="314">
        <f t="shared" si="23"/>
      </c>
      <c r="U319" s="315">
        <f t="shared" si="508"/>
      </c>
      <c r="V319" s="314">
        <f t="shared" si="477"/>
      </c>
      <c r="W319" s="314">
        <f t="shared" si="376"/>
      </c>
      <c r="X319" s="315">
        <f t="shared" si="302"/>
      </c>
      <c r="Y319" s="319">
        <f t="shared" si="240"/>
      </c>
      <c r="Z319" s="315">
        <f t="shared" si="178"/>
      </c>
      <c r="AA319" s="460">
        <f t="shared" si="85"/>
      </c>
      <c r="AB319" s="461" t="s">
        <v>232</v>
      </c>
      <c r="AC319" s="477" t="s">
        <v>262</v>
      </c>
      <c r="AD319" s="402">
        <v>2</v>
      </c>
      <c r="AE319" s="365">
        <v>7316</v>
      </c>
      <c r="AF319" s="365">
        <v>243</v>
      </c>
      <c r="AG319" s="365">
        <v>392</v>
      </c>
      <c r="AH319" s="365">
        <v>68</v>
      </c>
      <c r="AI319" s="365">
        <v>29</v>
      </c>
      <c r="AJ319" s="310">
        <v>5</v>
      </c>
      <c r="AK319" s="310">
        <v>15</v>
      </c>
      <c r="AL319" s="310">
        <v>1</v>
      </c>
      <c r="AM319" s="434"/>
    </row>
    <row r="320">
      <c r="A320" s="472"/>
      <c r="B320" s="464" t="s">
        <v>238</v>
      </c>
      <c r="C320" s="464"/>
      <c r="D320" s="464">
        <f>SUM(D316:D319)</f>
      </c>
      <c r="E320" s="464">
        <f>SUM(E316:E319)</f>
      </c>
      <c r="F320" s="464">
        <f>SUM(F316:F319)</f>
      </c>
      <c r="G320" s="464">
        <f>SUM(G316:G319)</f>
      </c>
      <c r="H320" s="464">
        <f>SUM(H316:H319)</f>
      </c>
      <c r="I320" s="464">
        <f>SUM(I316:I319)</f>
      </c>
      <c r="J320" s="464">
        <f>SUM(J316:J319)</f>
      </c>
      <c r="K320" s="464">
        <f>SUM(K316:K319)</f>
      </c>
      <c r="L320" s="464">
        <f>SUM(L316:L319)</f>
      </c>
      <c r="M320" s="464">
        <f>SUM(M316:M319)</f>
      </c>
      <c r="N320" s="466">
        <f t="shared" si="345"/>
      </c>
      <c r="O320" s="466">
        <f t="shared" si="271"/>
      </c>
      <c r="P320" s="474">
        <f t="shared" si="209"/>
      </c>
      <c r="Q320" s="468">
        <f t="shared" si="116"/>
      </c>
      <c r="R320" s="469">
        <f t="shared" si="54"/>
      </c>
      <c r="S320" s="468">
        <f t="shared" si="147"/>
      </c>
      <c r="T320" s="468">
        <f t="shared" si="23"/>
      </c>
      <c r="U320" s="469">
        <f t="shared" si="508"/>
      </c>
      <c r="V320" s="468">
        <f t="shared" si="477"/>
      </c>
      <c r="W320" s="468">
        <f t="shared" si="376"/>
      </c>
      <c r="X320" s="469">
        <f t="shared" si="302"/>
      </c>
      <c r="Y320" s="470">
        <f t="shared" si="240"/>
      </c>
      <c r="Z320" s="469">
        <f t="shared" si="178"/>
      </c>
      <c r="AA320" s="471">
        <f t="shared" si="85"/>
      </c>
      <c r="AB320" s="471"/>
      <c r="AC320" s="471"/>
      <c r="AD320" s="347">
        <f>SUM(AD316:AD319)</f>
      </c>
      <c r="AE320" s="348">
        <f>SUM(AE316:AE319)</f>
      </c>
      <c r="AF320" s="348">
        <f>SUM(AF316:AF319)</f>
      </c>
      <c r="AG320" s="348">
        <f>SUM(AG316:AG319)</f>
      </c>
      <c r="AH320" s="348">
        <f>SUM(AH316:AH319)</f>
      </c>
      <c r="AI320" s="348">
        <f>SUM(AI316:AI319)</f>
      </c>
      <c r="AJ320" s="348">
        <f>SUM(AJ316:AJ319)</f>
      </c>
      <c r="AK320" s="348">
        <f>SUM(AK316:AK319)</f>
      </c>
      <c r="AL320" s="348">
        <f>SUM(AL316:AL319)</f>
      </c>
      <c r="AM320" s="478" t="s">
        <v>273</v>
      </c>
    </row>
    <row r="321">
      <c r="A321" s="472"/>
      <c r="B321" s="479" t="s">
        <v>250</v>
      </c>
      <c r="C321" s="479"/>
      <c r="D321" s="479">
        <f>D310+D315+D320</f>
      </c>
      <c r="E321" s="479">
        <f>E310+E315+E320</f>
      </c>
      <c r="F321" s="479">
        <f>F310+F315+F320</f>
      </c>
      <c r="G321" s="479">
        <f>G310+G315+G320</f>
      </c>
      <c r="H321" s="479">
        <f>H310+H315+H320</f>
      </c>
      <c r="I321" s="479">
        <f>I310+I315+I320</f>
      </c>
      <c r="J321" s="479">
        <f>J310+J315+J320</f>
      </c>
      <c r="K321" s="479">
        <f>K310+K315+K320</f>
      </c>
      <c r="L321" s="479">
        <f>L310+L315+L320</f>
      </c>
      <c r="M321" s="479">
        <f>M310+M315+M320</f>
      </c>
      <c r="N321" s="480">
        <f t="shared" si="345"/>
      </c>
      <c r="O321" s="480">
        <f t="shared" si="271"/>
      </c>
      <c r="P321" s="481">
        <f t="shared" si="209"/>
      </c>
      <c r="Q321" s="482">
        <f t="shared" si="116"/>
      </c>
      <c r="R321" s="480">
        <f t="shared" si="54"/>
      </c>
      <c r="S321" s="482">
        <f t="shared" si="147"/>
      </c>
      <c r="T321" s="482">
        <f t="shared" si="23"/>
      </c>
      <c r="U321" s="480">
        <f t="shared" si="508"/>
      </c>
      <c r="V321" s="482">
        <f t="shared" si="477"/>
      </c>
      <c r="W321" s="482">
        <f t="shared" si="376"/>
      </c>
      <c r="X321" s="480">
        <f t="shared" si="302"/>
      </c>
      <c r="Y321" s="483">
        <f t="shared" si="240"/>
      </c>
      <c r="Z321" s="480">
        <f t="shared" si="178"/>
      </c>
      <c r="AA321" s="481">
        <f t="shared" si="85"/>
      </c>
      <c r="AB321" s="481"/>
      <c r="AC321" s="481"/>
      <c r="AD321" s="484">
        <f>AD310+AD315+AD320</f>
      </c>
      <c r="AE321" s="373">
        <f>AE310+AE315+AE320</f>
      </c>
      <c r="AF321" s="373">
        <f>AF310+AF315+AF320</f>
      </c>
      <c r="AG321" s="373">
        <f>AG310+AG315+AG320</f>
      </c>
      <c r="AH321" s="373">
        <f>AH310+AH315+AH320</f>
      </c>
      <c r="AI321" s="373">
        <f>AI310+AI315+AI320</f>
      </c>
      <c r="AJ321" s="373">
        <f>AJ310+AJ315+AJ320</f>
      </c>
      <c r="AK321" s="373">
        <f>AK310+AK315+AK320</f>
      </c>
      <c r="AL321" s="373">
        <f>AL310+AL315+AL320</f>
      </c>
      <c r="AM321" s="426"/>
    </row>
    <row r="322">
      <c r="A322" s="282" t="s">
        <v>189</v>
      </c>
      <c r="B322" s="282"/>
      <c r="C322" s="282"/>
      <c r="D322" s="445" t="s">
        <v>190</v>
      </c>
      <c r="E322" s="445"/>
      <c r="F322" s="445"/>
      <c r="G322" s="445"/>
      <c r="H322" s="445"/>
      <c r="I322" s="445"/>
      <c r="J322" s="445"/>
      <c r="K322" s="445"/>
      <c r="L322" s="445"/>
      <c r="M322" s="445"/>
      <c r="N322" s="445"/>
      <c r="O322" s="445"/>
      <c r="P322" s="446" t="s">
        <v>191</v>
      </c>
      <c r="Q322" s="446"/>
      <c r="R322" s="446"/>
      <c r="S322" s="446"/>
      <c r="T322" s="446"/>
      <c r="U322" s="446"/>
      <c r="V322" s="446"/>
      <c r="W322" s="446"/>
      <c r="X322" s="446"/>
      <c r="Y322" s="446"/>
      <c r="Z322" s="446"/>
      <c r="AA322" s="446"/>
      <c r="AB322" s="446"/>
      <c r="AC322" s="446"/>
      <c r="AD322" s="447" t="s">
        <v>192</v>
      </c>
      <c r="AE322" s="447"/>
      <c r="AF322" s="447"/>
      <c r="AG322" s="447"/>
      <c r="AH322" s="447"/>
      <c r="AI322" s="447"/>
      <c r="AJ322" s="447"/>
      <c r="AK322" s="447"/>
      <c r="AL322" s="447"/>
      <c r="AM322" s="433"/>
    </row>
    <row r="323">
      <c r="A323" s="448" t="s">
        <v>193</v>
      </c>
      <c r="B323" s="449" t="s">
        <v>194</v>
      </c>
      <c r="C323" s="449" t="s">
        <v>195</v>
      </c>
      <c r="D323" s="450" t="s">
        <v>196</v>
      </c>
      <c r="E323" s="451" t="s">
        <v>197</v>
      </c>
      <c r="F323" s="451" t="s">
        <v>198</v>
      </c>
      <c r="G323" s="452" t="s">
        <v>256</v>
      </c>
      <c r="H323" s="453" t="s">
        <v>260</v>
      </c>
      <c r="I323" s="453" t="s">
        <v>199</v>
      </c>
      <c r="J323" s="430" t="s">
        <v>200</v>
      </c>
      <c r="K323" s="430" t="s">
        <v>201</v>
      </c>
      <c r="L323" s="430" t="s">
        <v>202</v>
      </c>
      <c r="M323" s="430" t="s">
        <v>203</v>
      </c>
      <c r="N323" s="452" t="s">
        <v>204</v>
      </c>
      <c r="O323" s="430" t="s">
        <v>205</v>
      </c>
      <c r="P323" s="446" t="s">
        <v>206</v>
      </c>
      <c r="Q323" s="446" t="s">
        <v>207</v>
      </c>
      <c r="R323" s="446" t="s">
        <v>208</v>
      </c>
      <c r="S323" s="454" t="s">
        <v>209</v>
      </c>
      <c r="T323" s="454" t="s">
        <v>210</v>
      </c>
      <c r="U323" s="446" t="s">
        <v>211</v>
      </c>
      <c r="V323" s="454" t="s">
        <v>212</v>
      </c>
      <c r="W323" s="454" t="s">
        <v>213</v>
      </c>
      <c r="X323" s="446" t="s">
        <v>214</v>
      </c>
      <c r="Y323" s="454" t="s">
        <v>215</v>
      </c>
      <c r="Z323" s="446" t="s">
        <v>216</v>
      </c>
      <c r="AA323" s="455" t="s">
        <v>217</v>
      </c>
      <c r="AB323" s="455" t="s">
        <v>218</v>
      </c>
      <c r="AC323" s="455" t="s">
        <v>219</v>
      </c>
      <c r="AD323" s="456" t="s">
        <v>220</v>
      </c>
      <c r="AE323" s="301" t="s">
        <v>221</v>
      </c>
      <c r="AF323" s="301" t="s">
        <v>222</v>
      </c>
      <c r="AG323" s="301" t="s">
        <v>223</v>
      </c>
      <c r="AH323" s="301" t="s">
        <v>224</v>
      </c>
      <c r="AI323" s="301" t="s">
        <v>225</v>
      </c>
      <c r="AJ323" s="302" t="s">
        <v>226</v>
      </c>
      <c r="AK323" s="302" t="s">
        <v>227</v>
      </c>
      <c r="AL323" s="302" t="s">
        <v>228</v>
      </c>
      <c r="AM323" s="433"/>
    </row>
    <row r="324">
      <c r="A324" s="457" t="s">
        <v>274</v>
      </c>
      <c r="B324" s="306" t="s">
        <v>230</v>
      </c>
      <c r="C324" s="307" t="s">
        <v>231</v>
      </c>
      <c r="D324" s="306">
        <f t="shared" ref="D324:D327" si="419">E324+F324+G324+H324</f>
      </c>
      <c r="E324" s="382">
        <v>1033.89</v>
      </c>
      <c r="F324" s="306">
        <v>745.07</v>
      </c>
      <c r="G324" s="328"/>
      <c r="H324" s="306">
        <v>734.04</v>
      </c>
      <c r="I324" s="307">
        <v>0</v>
      </c>
      <c r="J324" s="307">
        <v>0</v>
      </c>
      <c r="K324" s="307">
        <v>0</v>
      </c>
      <c r="L324" s="307">
        <v>0</v>
      </c>
      <c r="M324" s="307">
        <v>0</v>
      </c>
      <c r="N324" s="458">
        <f t="shared" ref="N324:N339" si="346">J324/D324</f>
      </c>
      <c r="O324" s="458">
        <f t="shared" ref="O324:O339" si="272">J324/(D324+300*AL324)</f>
      </c>
      <c r="P324" s="459">
        <f t="shared" ref="P324:P339" si="210">(D324/AE324)*1000</f>
      </c>
      <c r="Q324" s="314">
        <f t="shared" ref="Q324:Q339" si="117">AF324/AE324</f>
      </c>
      <c r="R324" s="315">
        <f t="shared" ref="R324:R339" si="55">D324/AG324</f>
      </c>
      <c r="S324" s="314">
        <f t="shared" ref="S324:S339" si="148">AH324/AG324</f>
      </c>
      <c r="T324" s="314">
        <f t="shared" ref="T324:T339" si="24">AI324/AG324</f>
      </c>
      <c r="U324" s="315">
        <f t="shared" ref="U324:U339" si="509">D324/AI324</f>
      </c>
      <c r="V324" s="314">
        <f t="shared" ref="V324:V339" si="478">AJ324/AI324</f>
      </c>
      <c r="W324" s="314">
        <f t="shared" ref="W324:W339" si="377">I324/AJ324</f>
      </c>
      <c r="X324" s="315">
        <f t="shared" ref="X324:X339" si="303">D324/I324</f>
      </c>
      <c r="Y324" s="319">
        <f t="shared" ref="Y324:Y339" si="241">J324/I324</f>
      </c>
      <c r="Z324" s="315">
        <f t="shared" ref="Z324:Z339" si="179">D324/AD324</f>
      </c>
      <c r="AA324" s="460">
        <f t="shared" ref="AA324:AA339" si="86">AK324*1000/D324</f>
      </c>
      <c r="AB324" s="461" t="s">
        <v>232</v>
      </c>
      <c r="AC324" s="462" t="s">
        <v>233</v>
      </c>
      <c r="AD324" s="485">
        <v>0</v>
      </c>
      <c r="AE324" s="306">
        <v>5921</v>
      </c>
      <c r="AF324" s="304">
        <v>236</v>
      </c>
      <c r="AG324" s="304">
        <v>349</v>
      </c>
      <c r="AH324" s="304">
        <v>52</v>
      </c>
      <c r="AI324" s="334">
        <v>27</v>
      </c>
      <c r="AJ324" s="325">
        <v>5</v>
      </c>
      <c r="AK324" s="326">
        <v>13</v>
      </c>
      <c r="AL324" s="310">
        <v>1</v>
      </c>
      <c r="AM324" s="434"/>
    </row>
    <row r="325">
      <c r="A325" s="457"/>
      <c r="B325" s="306" t="s">
        <v>234</v>
      </c>
      <c r="C325" s="307" t="s">
        <v>231</v>
      </c>
      <c r="D325" s="306">
        <f t="shared" si="419"/>
      </c>
      <c r="E325" s="307">
        <v>1174.74</v>
      </c>
      <c r="F325" s="486">
        <v>654.52</v>
      </c>
      <c r="G325" s="307"/>
      <c r="H325" s="306">
        <v>428.79</v>
      </c>
      <c r="I325" s="307">
        <v>0</v>
      </c>
      <c r="J325" s="307">
        <v>0</v>
      </c>
      <c r="K325" s="307">
        <v>0</v>
      </c>
      <c r="L325" s="307">
        <v>0</v>
      </c>
      <c r="M325" s="307">
        <v>0</v>
      </c>
      <c r="N325" s="458">
        <f t="shared" si="346"/>
      </c>
      <c r="O325" s="458">
        <f t="shared" si="272"/>
      </c>
      <c r="P325" s="459">
        <f t="shared" si="210"/>
      </c>
      <c r="Q325" s="314">
        <f t="shared" si="117"/>
      </c>
      <c r="R325" s="315">
        <f t="shared" si="55"/>
      </c>
      <c r="S325" s="314">
        <f t="shared" si="148"/>
      </c>
      <c r="T325" s="314">
        <f t="shared" si="24"/>
      </c>
      <c r="U325" s="315">
        <f t="shared" si="509"/>
      </c>
      <c r="V325" s="314">
        <f t="shared" si="478"/>
      </c>
      <c r="W325" s="314">
        <f t="shared" si="377"/>
      </c>
      <c r="X325" s="315">
        <f t="shared" si="303"/>
      </c>
      <c r="Y325" s="319">
        <f t="shared" si="241"/>
      </c>
      <c r="Z325" s="315">
        <f t="shared" si="179"/>
      </c>
      <c r="AA325" s="460">
        <f t="shared" si="86"/>
      </c>
      <c r="AB325" s="461" t="s">
        <v>232</v>
      </c>
      <c r="AC325" s="462" t="s">
        <v>233</v>
      </c>
      <c r="AD325" s="304">
        <v>0</v>
      </c>
      <c r="AE325" s="333">
        <v>5218</v>
      </c>
      <c r="AF325" s="304">
        <v>218</v>
      </c>
      <c r="AG325" s="333">
        <v>290</v>
      </c>
      <c r="AH325" s="334">
        <v>45</v>
      </c>
      <c r="AI325" s="334">
        <v>20</v>
      </c>
      <c r="AJ325" s="335">
        <v>2</v>
      </c>
      <c r="AK325" s="336">
        <v>15</v>
      </c>
      <c r="AL325" s="310">
        <v>1</v>
      </c>
      <c r="AM325" s="434"/>
    </row>
    <row r="326">
      <c r="A326" s="457"/>
      <c r="B326" s="306" t="s">
        <v>235</v>
      </c>
      <c r="C326" s="307" t="s">
        <v>231</v>
      </c>
      <c r="D326" s="306">
        <f t="shared" si="419"/>
      </c>
      <c r="E326" s="307">
        <v>1322.87</v>
      </c>
      <c r="F326" s="324">
        <v>941.78</v>
      </c>
      <c r="G326" s="307"/>
      <c r="H326" s="306">
        <v>467.57</v>
      </c>
      <c r="I326" s="306">
        <v>2</v>
      </c>
      <c r="J326" s="306">
        <v>3216</v>
      </c>
      <c r="K326" s="307">
        <v>0</v>
      </c>
      <c r="L326" s="307">
        <v>1</v>
      </c>
      <c r="M326" s="307">
        <v>1</v>
      </c>
      <c r="N326" s="458">
        <f t="shared" si="346"/>
      </c>
      <c r="O326" s="458">
        <f t="shared" si="272"/>
      </c>
      <c r="P326" s="459">
        <f t="shared" si="210"/>
      </c>
      <c r="Q326" s="314">
        <f t="shared" si="117"/>
      </c>
      <c r="R326" s="315">
        <f t="shared" si="55"/>
      </c>
      <c r="S326" s="314">
        <f t="shared" si="148"/>
      </c>
      <c r="T326" s="314">
        <f t="shared" si="24"/>
      </c>
      <c r="U326" s="315">
        <f t="shared" si="509"/>
      </c>
      <c r="V326" s="314">
        <f t="shared" si="478"/>
      </c>
      <c r="W326" s="314">
        <f t="shared" si="377"/>
      </c>
      <c r="X326" s="315">
        <f t="shared" si="303"/>
      </c>
      <c r="Y326" s="319">
        <f t="shared" si="241"/>
      </c>
      <c r="Z326" s="315">
        <f t="shared" si="179"/>
      </c>
      <c r="AA326" s="460">
        <f t="shared" si="86"/>
      </c>
      <c r="AB326" s="461" t="s">
        <v>232</v>
      </c>
      <c r="AC326" s="462" t="s">
        <v>233</v>
      </c>
      <c r="AD326" s="304">
        <v>2</v>
      </c>
      <c r="AE326" s="334">
        <v>6980</v>
      </c>
      <c r="AF326" s="304">
        <v>252</v>
      </c>
      <c r="AG326" s="334">
        <v>376</v>
      </c>
      <c r="AH326" s="334">
        <v>60</v>
      </c>
      <c r="AI326" s="334">
        <v>21</v>
      </c>
      <c r="AJ326" s="335">
        <v>7</v>
      </c>
      <c r="AK326" s="336">
        <v>8</v>
      </c>
      <c r="AL326" s="310">
        <v>1</v>
      </c>
      <c r="AM326" s="434"/>
    </row>
    <row r="327">
      <c r="A327" s="457"/>
      <c r="B327" s="306" t="s">
        <v>236</v>
      </c>
      <c r="C327" s="307" t="s">
        <v>231</v>
      </c>
      <c r="D327" s="306">
        <f t="shared" si="419"/>
      </c>
      <c r="E327" s="307">
        <v>869.99</v>
      </c>
      <c r="F327" s="324">
        <v>921.52</v>
      </c>
      <c r="G327" s="307"/>
      <c r="H327" s="306">
        <v>829.25</v>
      </c>
      <c r="I327" s="306">
        <v>0</v>
      </c>
      <c r="J327" s="306">
        <v>0</v>
      </c>
      <c r="K327" s="307">
        <v>0</v>
      </c>
      <c r="L327" s="307">
        <v>0</v>
      </c>
      <c r="M327" s="307">
        <v>0</v>
      </c>
      <c r="N327" s="458">
        <f t="shared" si="346"/>
      </c>
      <c r="O327" s="458">
        <f t="shared" si="272"/>
      </c>
      <c r="P327" s="459">
        <f t="shared" si="210"/>
      </c>
      <c r="Q327" s="314">
        <f t="shared" si="117"/>
      </c>
      <c r="R327" s="315">
        <f t="shared" si="55"/>
      </c>
      <c r="S327" s="314">
        <f t="shared" si="148"/>
      </c>
      <c r="T327" s="314">
        <f t="shared" si="24"/>
      </c>
      <c r="U327" s="315">
        <f t="shared" si="509"/>
      </c>
      <c r="V327" s="314">
        <f t="shared" si="478"/>
      </c>
      <c r="W327" s="314">
        <f t="shared" si="377"/>
      </c>
      <c r="X327" s="315">
        <f t="shared" si="303"/>
      </c>
      <c r="Y327" s="319">
        <f t="shared" si="241"/>
      </c>
      <c r="Z327" s="315">
        <f t="shared" si="179"/>
      </c>
      <c r="AA327" s="460">
        <f t="shared" si="86"/>
      </c>
      <c r="AB327" s="461" t="s">
        <v>232</v>
      </c>
      <c r="AC327" s="462" t="s">
        <v>233</v>
      </c>
      <c r="AD327" s="412">
        <v>0</v>
      </c>
      <c r="AE327" s="333">
        <v>6124</v>
      </c>
      <c r="AF327" s="334">
        <v>200</v>
      </c>
      <c r="AG327" s="334">
        <v>285</v>
      </c>
      <c r="AH327" s="334">
        <v>46</v>
      </c>
      <c r="AI327" s="334">
        <v>25</v>
      </c>
      <c r="AJ327" s="335">
        <v>2</v>
      </c>
      <c r="AK327" s="336">
        <v>16</v>
      </c>
      <c r="AL327" s="310">
        <v>1</v>
      </c>
      <c r="AM327" s="434"/>
    </row>
    <row r="328">
      <c r="A328" s="457"/>
      <c r="B328" s="464" t="s">
        <v>238</v>
      </c>
      <c r="C328" s="464"/>
      <c r="D328" s="464">
        <f>SUM(D324:D327)</f>
      </c>
      <c r="E328" s="464">
        <f>SUM(E324:E327)</f>
      </c>
      <c r="F328" s="464">
        <f>SUM(F324:F327)</f>
      </c>
      <c r="G328" s="464">
        <f>SUM(G324:G327)</f>
      </c>
      <c r="H328" s="464">
        <f>SUM(H324:H327)</f>
      </c>
      <c r="I328" s="464">
        <f>SUM(I324:I327)</f>
      </c>
      <c r="J328" s="464">
        <f>SUM(J324:J327)</f>
      </c>
      <c r="K328" s="464">
        <f>SUM(K324:K327)</f>
      </c>
      <c r="L328" s="464">
        <f>SUM(L324:L327)</f>
      </c>
      <c r="M328" s="464">
        <f>SUM(M324:M327)</f>
      </c>
      <c r="N328" s="466">
        <f t="shared" si="346"/>
      </c>
      <c r="O328" s="466">
        <f t="shared" si="272"/>
      </c>
      <c r="P328" s="467">
        <f t="shared" si="210"/>
      </c>
      <c r="Q328" s="468">
        <f t="shared" si="117"/>
      </c>
      <c r="R328" s="469">
        <f t="shared" si="55"/>
      </c>
      <c r="S328" s="468">
        <f t="shared" si="148"/>
      </c>
      <c r="T328" s="468">
        <f t="shared" si="24"/>
      </c>
      <c r="U328" s="469">
        <f t="shared" si="509"/>
      </c>
      <c r="V328" s="468">
        <f t="shared" si="478"/>
      </c>
      <c r="W328" s="468">
        <f t="shared" si="377"/>
      </c>
      <c r="X328" s="469">
        <f t="shared" si="303"/>
      </c>
      <c r="Y328" s="470">
        <f t="shared" si="241"/>
      </c>
      <c r="Z328" s="469">
        <f t="shared" si="179"/>
      </c>
      <c r="AA328" s="471">
        <f t="shared" si="86"/>
      </c>
      <c r="AB328" s="471"/>
      <c r="AC328" s="471"/>
      <c r="AD328" s="347">
        <f>SUM(AD324:AD327)</f>
      </c>
      <c r="AE328" s="347">
        <f>SUM(AE324:AE327)</f>
      </c>
      <c r="AF328" s="347">
        <f>SUM(AF324:AF327)</f>
      </c>
      <c r="AG328" s="347">
        <f>SUM(AG324:AG327)</f>
      </c>
      <c r="AH328" s="347">
        <f>SUM(AH324:AH327)</f>
      </c>
      <c r="AI328" s="347">
        <f>SUM(AI324:AI327)</f>
      </c>
      <c r="AJ328" s="347">
        <f>SUM(AJ324:AJ327)</f>
      </c>
      <c r="AK328" s="347">
        <f>SUM(AK324:AK327)</f>
      </c>
      <c r="AL328" s="347">
        <f>SUM(AL324:AL327)</f>
      </c>
      <c r="AM328" s="434"/>
    </row>
    <row customHeight="true" ht="18.452380952380953" r="329">
      <c r="A329" s="457"/>
      <c r="B329" s="329" t="s">
        <v>237</v>
      </c>
      <c r="C329" s="307" t="s">
        <v>240</v>
      </c>
      <c r="D329" s="306">
        <f t="shared" ref="D329:D333" si="420">E329+F329+G329+H329</f>
      </c>
      <c r="E329" s="307">
        <v>2016.54</v>
      </c>
      <c r="F329" s="324">
        <v>460.91</v>
      </c>
      <c r="G329" s="307"/>
      <c r="H329" s="306">
        <v>724.94</v>
      </c>
      <c r="I329" s="307">
        <v>1</v>
      </c>
      <c r="J329" s="307">
        <v>468</v>
      </c>
      <c r="K329" s="307">
        <v>1</v>
      </c>
      <c r="L329" s="307">
        <v>0</v>
      </c>
      <c r="M329" s="307">
        <v>0</v>
      </c>
      <c r="N329" s="458">
        <f t="shared" si="346"/>
      </c>
      <c r="O329" s="458">
        <f t="shared" si="272"/>
      </c>
      <c r="P329" s="459">
        <f t="shared" si="210"/>
      </c>
      <c r="Q329" s="314">
        <f t="shared" si="117"/>
      </c>
      <c r="R329" s="315">
        <f t="shared" si="55"/>
      </c>
      <c r="S329" s="314">
        <f t="shared" si="148"/>
      </c>
      <c r="T329" s="314">
        <f t="shared" si="24"/>
      </c>
      <c r="U329" s="315">
        <f t="shared" si="509"/>
      </c>
      <c r="V329" s="314">
        <f t="shared" si="478"/>
      </c>
      <c r="W329" s="314">
        <f t="shared" si="377"/>
      </c>
      <c r="X329" s="315">
        <f t="shared" si="303"/>
      </c>
      <c r="Y329" s="319">
        <f t="shared" si="241"/>
      </c>
      <c r="Z329" s="315">
        <f t="shared" si="179"/>
      </c>
      <c r="AA329" s="460">
        <f t="shared" si="86"/>
      </c>
      <c r="AB329" s="461" t="s">
        <v>232</v>
      </c>
      <c r="AC329" s="462" t="s">
        <v>233</v>
      </c>
      <c r="AD329" s="309">
        <v>0</v>
      </c>
      <c r="AE329" s="365">
        <v>7582</v>
      </c>
      <c r="AF329" s="365">
        <v>234</v>
      </c>
      <c r="AG329" s="365">
        <v>366</v>
      </c>
      <c r="AH329" s="365">
        <v>74</v>
      </c>
      <c r="AI329" s="365">
        <v>15</v>
      </c>
      <c r="AJ329" s="310">
        <v>3</v>
      </c>
      <c r="AK329" s="310">
        <v>15</v>
      </c>
      <c r="AL329" s="310">
        <v>1</v>
      </c>
      <c r="AM329" s="434"/>
    </row>
    <row r="330">
      <c r="A330" s="457"/>
      <c r="B330" s="473" t="s">
        <v>239</v>
      </c>
      <c r="C330" s="307" t="s">
        <v>240</v>
      </c>
      <c r="D330" s="306">
        <f t="shared" si="420"/>
      </c>
      <c r="E330" s="307">
        <v>1093.53</v>
      </c>
      <c r="F330" s="324">
        <v>836.62</v>
      </c>
      <c r="G330" s="307"/>
      <c r="H330" s="306">
        <v>1188.36</v>
      </c>
      <c r="I330" s="306">
        <v>4</v>
      </c>
      <c r="J330" s="306">
        <v>6432</v>
      </c>
      <c r="K330" s="307">
        <v>0</v>
      </c>
      <c r="L330" s="307">
        <v>2</v>
      </c>
      <c r="M330" s="307">
        <v>2</v>
      </c>
      <c r="N330" s="458">
        <f t="shared" si="346"/>
      </c>
      <c r="O330" s="458">
        <f t="shared" si="272"/>
      </c>
      <c r="P330" s="459">
        <f t="shared" si="210"/>
      </c>
      <c r="Q330" s="314">
        <f t="shared" si="117"/>
      </c>
      <c r="R330" s="315">
        <f t="shared" si="55"/>
      </c>
      <c r="S330" s="314">
        <f t="shared" si="148"/>
      </c>
      <c r="T330" s="314">
        <f t="shared" si="24"/>
      </c>
      <c r="U330" s="315">
        <f t="shared" si="509"/>
      </c>
      <c r="V330" s="314">
        <f t="shared" si="478"/>
      </c>
      <c r="W330" s="314">
        <f t="shared" si="377"/>
      </c>
      <c r="X330" s="315">
        <f t="shared" si="303"/>
      </c>
      <c r="Y330" s="319">
        <f t="shared" si="241"/>
      </c>
      <c r="Z330" s="315">
        <f t="shared" si="179"/>
      </c>
      <c r="AA330" s="460">
        <f t="shared" si="86"/>
      </c>
      <c r="AB330" s="461" t="s">
        <v>232</v>
      </c>
      <c r="AC330" s="462" t="s">
        <v>233</v>
      </c>
      <c r="AD330" s="402">
        <v>5</v>
      </c>
      <c r="AE330" s="365">
        <v>8155</v>
      </c>
      <c r="AF330" s="365">
        <v>278</v>
      </c>
      <c r="AG330" s="365">
        <v>436</v>
      </c>
      <c r="AH330" s="365">
        <v>88</v>
      </c>
      <c r="AI330" s="365">
        <v>18</v>
      </c>
      <c r="AJ330" s="310">
        <v>9</v>
      </c>
      <c r="AK330" s="310">
        <v>25</v>
      </c>
      <c r="AL330" s="310">
        <v>1</v>
      </c>
      <c r="AM330" s="434"/>
    </row>
    <row r="331">
      <c r="A331" s="457"/>
      <c r="B331" s="306" t="s">
        <v>241</v>
      </c>
      <c r="C331" s="307" t="s">
        <v>240</v>
      </c>
      <c r="D331" s="473">
        <f t="shared" si="420"/>
      </c>
      <c r="E331" s="329">
        <v>1426.91</v>
      </c>
      <c r="F331" s="306">
        <v>405.47</v>
      </c>
      <c r="G331" s="307"/>
      <c r="H331" s="306">
        <v>825.01</v>
      </c>
      <c r="I331" s="307">
        <v>0</v>
      </c>
      <c r="J331" s="307">
        <v>0</v>
      </c>
      <c r="K331" s="307">
        <v>0</v>
      </c>
      <c r="L331" s="307">
        <v>0</v>
      </c>
      <c r="M331" s="307">
        <v>0</v>
      </c>
      <c r="N331" s="458">
        <f t="shared" si="346"/>
      </c>
      <c r="O331" s="458">
        <f t="shared" si="272"/>
      </c>
      <c r="P331" s="459">
        <f t="shared" si="210"/>
      </c>
      <c r="Q331" s="314">
        <f t="shared" si="117"/>
      </c>
      <c r="R331" s="315">
        <f t="shared" si="55"/>
      </c>
      <c r="S331" s="314">
        <f t="shared" si="148"/>
      </c>
      <c r="T331" s="314">
        <f t="shared" si="24"/>
      </c>
      <c r="U331" s="315">
        <f t="shared" si="509"/>
      </c>
      <c r="V331" s="314">
        <f t="shared" si="478"/>
      </c>
      <c r="W331" s="314">
        <f t="shared" si="377"/>
      </c>
      <c r="X331" s="315">
        <f t="shared" si="303"/>
      </c>
      <c r="Y331" s="319">
        <f t="shared" si="241"/>
      </c>
      <c r="Z331" s="315">
        <f t="shared" si="179"/>
      </c>
      <c r="AA331" s="460">
        <f t="shared" si="86"/>
      </c>
      <c r="AB331" s="461" t="s">
        <v>232</v>
      </c>
      <c r="AC331" s="462" t="s">
        <v>233</v>
      </c>
      <c r="AD331" s="402">
        <v>0</v>
      </c>
      <c r="AE331" s="365">
        <v>9383</v>
      </c>
      <c r="AF331" s="365">
        <v>219</v>
      </c>
      <c r="AG331" s="365">
        <v>396</v>
      </c>
      <c r="AH331" s="365">
        <v>52</v>
      </c>
      <c r="AI331" s="365">
        <v>21</v>
      </c>
      <c r="AJ331" s="310">
        <v>3</v>
      </c>
      <c r="AK331" s="310">
        <v>9</v>
      </c>
      <c r="AL331" s="310">
        <v>1</v>
      </c>
      <c r="AM331" s="434"/>
    </row>
    <row r="332">
      <c r="A332" s="457"/>
      <c r="B332" s="306" t="s">
        <v>242</v>
      </c>
      <c r="C332" s="307" t="s">
        <v>240</v>
      </c>
      <c r="D332" s="306">
        <f t="shared" si="420"/>
      </c>
      <c r="E332" s="307">
        <v>2622.58</v>
      </c>
      <c r="F332" s="306">
        <v>54.78</v>
      </c>
      <c r="G332" s="307"/>
      <c r="H332" s="306">
        <v>542.51</v>
      </c>
      <c r="I332" s="306">
        <v>1</v>
      </c>
      <c r="J332" s="306">
        <v>2268</v>
      </c>
      <c r="K332" s="307">
        <v>0</v>
      </c>
      <c r="L332" s="307">
        <v>0</v>
      </c>
      <c r="M332" s="307">
        <v>1</v>
      </c>
      <c r="N332" s="458">
        <f t="shared" si="346"/>
      </c>
      <c r="O332" s="458">
        <f t="shared" si="272"/>
      </c>
      <c r="P332" s="459">
        <f t="shared" si="210"/>
      </c>
      <c r="Q332" s="314">
        <f t="shared" si="117"/>
      </c>
      <c r="R332" s="315">
        <f t="shared" si="55"/>
      </c>
      <c r="S332" s="314">
        <f t="shared" si="148"/>
      </c>
      <c r="T332" s="314">
        <f t="shared" si="24"/>
      </c>
      <c r="U332" s="315">
        <f t="shared" si="509"/>
      </c>
      <c r="V332" s="314">
        <f t="shared" si="478"/>
      </c>
      <c r="W332" s="314">
        <f t="shared" si="377"/>
      </c>
      <c r="X332" s="315">
        <f t="shared" si="303"/>
      </c>
      <c r="Y332" s="319">
        <f t="shared" si="241"/>
      </c>
      <c r="Z332" s="315">
        <f t="shared" si="179"/>
      </c>
      <c r="AA332" s="460">
        <f t="shared" si="86"/>
      </c>
      <c r="AB332" s="461" t="s">
        <v>232</v>
      </c>
      <c r="AC332" s="462" t="s">
        <v>233</v>
      </c>
      <c r="AD332" s="402">
        <v>1</v>
      </c>
      <c r="AE332" s="365">
        <v>8602</v>
      </c>
      <c r="AF332" s="365">
        <v>236</v>
      </c>
      <c r="AG332" s="365">
        <v>367</v>
      </c>
      <c r="AH332" s="365">
        <v>76</v>
      </c>
      <c r="AI332" s="365">
        <v>27</v>
      </c>
      <c r="AJ332" s="310">
        <v>5</v>
      </c>
      <c r="AK332" s="310">
        <v>19</v>
      </c>
      <c r="AL332" s="310">
        <v>1</v>
      </c>
      <c r="AM332" s="434"/>
    </row>
    <row r="333">
      <c r="A333" s="457"/>
      <c r="B333" s="306" t="s">
        <v>243</v>
      </c>
      <c r="C333" s="307" t="s">
        <v>240</v>
      </c>
      <c r="D333" s="306">
        <f t="shared" si="420"/>
      </c>
      <c r="E333" s="307">
        <v>2115.61</v>
      </c>
      <c r="F333" s="307">
        <v>0</v>
      </c>
      <c r="G333" s="307"/>
      <c r="H333" s="306">
        <v>733.74</v>
      </c>
      <c r="I333" s="306">
        <v>4</v>
      </c>
      <c r="J333" s="306">
        <v>7673</v>
      </c>
      <c r="K333" s="307">
        <v>0</v>
      </c>
      <c r="L333" s="307">
        <v>1</v>
      </c>
      <c r="M333" s="307">
        <v>3</v>
      </c>
      <c r="N333" s="458">
        <f t="shared" si="346"/>
      </c>
      <c r="O333" s="458">
        <f t="shared" si="272"/>
      </c>
      <c r="P333" s="459">
        <f t="shared" si="210"/>
      </c>
      <c r="Q333" s="314">
        <f t="shared" si="117"/>
      </c>
      <c r="R333" s="315">
        <f t="shared" si="55"/>
      </c>
      <c r="S333" s="314">
        <f t="shared" si="148"/>
      </c>
      <c r="T333" s="314">
        <f t="shared" si="24"/>
      </c>
      <c r="U333" s="315">
        <f t="shared" si="509"/>
      </c>
      <c r="V333" s="314">
        <f t="shared" si="478"/>
      </c>
      <c r="W333" s="314">
        <f t="shared" si="377"/>
      </c>
      <c r="X333" s="315">
        <f t="shared" si="303"/>
      </c>
      <c r="Y333" s="319">
        <f t="shared" si="241"/>
      </c>
      <c r="Z333" s="315">
        <f t="shared" si="179"/>
      </c>
      <c r="AA333" s="460">
        <f t="shared" si="86"/>
      </c>
      <c r="AB333" s="461" t="s">
        <v>232</v>
      </c>
      <c r="AC333" s="477" t="s">
        <v>262</v>
      </c>
      <c r="AD333" s="402">
        <v>3</v>
      </c>
      <c r="AE333" s="365">
        <v>7989</v>
      </c>
      <c r="AF333" s="365">
        <v>184</v>
      </c>
      <c r="AG333" s="365">
        <v>316</v>
      </c>
      <c r="AH333" s="365">
        <v>66</v>
      </c>
      <c r="AI333" s="365">
        <v>20</v>
      </c>
      <c r="AJ333" s="310">
        <v>4</v>
      </c>
      <c r="AK333" s="310">
        <v>14</v>
      </c>
      <c r="AL333" s="310">
        <v>1</v>
      </c>
      <c r="AM333" s="434"/>
    </row>
    <row r="334">
      <c r="A334" s="457"/>
      <c r="B334" s="464" t="s">
        <v>238</v>
      </c>
      <c r="C334" s="464"/>
      <c r="D334" s="464">
        <f>SUM(D329:D333)</f>
      </c>
      <c r="E334" s="464">
        <f>SUM(E329:E333)</f>
      </c>
      <c r="F334" s="464">
        <f>SUM(F329:F333)</f>
      </c>
      <c r="G334" s="464">
        <f>SUM(G329:G333)</f>
      </c>
      <c r="H334" s="464">
        <f>SUM(H329:H333)</f>
      </c>
      <c r="I334" s="464">
        <f>SUM(I329:I333)</f>
      </c>
      <c r="J334" s="464">
        <f>SUM(J329:J333)</f>
      </c>
      <c r="K334" s="464">
        <f>SUM(K329:K333)</f>
      </c>
      <c r="L334" s="464">
        <f>SUM(L329:L333)</f>
      </c>
      <c r="M334" s="464">
        <f>SUM(M329:M333)</f>
      </c>
      <c r="N334" s="466">
        <f t="shared" si="346"/>
      </c>
      <c r="O334" s="466">
        <f t="shared" si="272"/>
      </c>
      <c r="P334" s="474">
        <f t="shared" si="210"/>
      </c>
      <c r="Q334" s="468">
        <f t="shared" si="117"/>
      </c>
      <c r="R334" s="469">
        <f t="shared" si="55"/>
      </c>
      <c r="S334" s="468">
        <f t="shared" si="148"/>
      </c>
      <c r="T334" s="468">
        <f t="shared" si="24"/>
      </c>
      <c r="U334" s="469">
        <f t="shared" si="509"/>
      </c>
      <c r="V334" s="468">
        <f t="shared" si="478"/>
      </c>
      <c r="W334" s="468">
        <f t="shared" si="377"/>
      </c>
      <c r="X334" s="469">
        <f t="shared" si="303"/>
      </c>
      <c r="Y334" s="470">
        <f t="shared" si="241"/>
      </c>
      <c r="Z334" s="469">
        <f t="shared" si="179"/>
      </c>
      <c r="AA334" s="471">
        <f t="shared" si="86"/>
      </c>
      <c r="AB334" s="471"/>
      <c r="AC334" s="471"/>
      <c r="AD334" s="347">
        <f>SUM(AD329:AD333)</f>
      </c>
      <c r="AE334" s="347">
        <f>SUM(AE329:AE333)</f>
      </c>
      <c r="AF334" s="347">
        <f>SUM(AF329:AF333)</f>
      </c>
      <c r="AG334" s="347">
        <f>SUM(AG329:AG333)</f>
      </c>
      <c r="AH334" s="347">
        <f>SUM(AH329:AH333)</f>
      </c>
      <c r="AI334" s="347">
        <f>SUM(AI329:AI333)</f>
      </c>
      <c r="AJ334" s="347">
        <f>SUM(AJ329:AJ333)</f>
      </c>
      <c r="AK334" s="347">
        <f>SUM(AK329:AK333)</f>
      </c>
      <c r="AL334" s="347">
        <f>SUM(AL329:AL333)</f>
      </c>
      <c r="AM334" s="434"/>
    </row>
    <row customHeight="true" ht="18.452380952380953" r="335">
      <c r="A335" s="457"/>
      <c r="B335" s="307" t="s">
        <v>245</v>
      </c>
      <c r="C335" s="307" t="s">
        <v>275</v>
      </c>
      <c r="D335" s="306">
        <f t="shared" ref="D335:D337" si="421">E335+F335+G335+H335</f>
      </c>
      <c r="E335" s="306">
        <v>2714.53</v>
      </c>
      <c r="F335" s="307">
        <v>0</v>
      </c>
      <c r="G335" s="306"/>
      <c r="H335" s="306">
        <v>402.85</v>
      </c>
      <c r="I335" s="306">
        <v>1</v>
      </c>
      <c r="J335" s="306">
        <v>429</v>
      </c>
      <c r="K335" s="475">
        <v>1</v>
      </c>
      <c r="L335" s="475">
        <v>0</v>
      </c>
      <c r="M335" s="307">
        <v>0</v>
      </c>
      <c r="N335" s="458">
        <f t="shared" si="346"/>
      </c>
      <c r="O335" s="458">
        <f t="shared" si="272"/>
      </c>
      <c r="P335" s="476">
        <f t="shared" si="210"/>
      </c>
      <c r="Q335" s="314">
        <f t="shared" si="117"/>
      </c>
      <c r="R335" s="315">
        <f t="shared" si="55"/>
      </c>
      <c r="S335" s="314">
        <f t="shared" si="148"/>
      </c>
      <c r="T335" s="314">
        <f t="shared" si="24"/>
      </c>
      <c r="U335" s="315">
        <f t="shared" si="509"/>
      </c>
      <c r="V335" s="314">
        <f t="shared" si="478"/>
      </c>
      <c r="W335" s="314">
        <f t="shared" si="377"/>
      </c>
      <c r="X335" s="315">
        <f t="shared" si="303"/>
      </c>
      <c r="Y335" s="319">
        <f t="shared" si="241"/>
      </c>
      <c r="Z335" s="315">
        <f t="shared" si="179"/>
      </c>
      <c r="AA335" s="460">
        <f t="shared" si="86"/>
      </c>
      <c r="AB335" s="461" t="s">
        <v>232</v>
      </c>
      <c r="AC335" s="477" t="s">
        <v>262</v>
      </c>
      <c r="AD335" s="402">
        <v>2</v>
      </c>
      <c r="AE335" s="365">
        <v>10211</v>
      </c>
      <c r="AF335" s="365">
        <v>204</v>
      </c>
      <c r="AG335" s="365">
        <v>332</v>
      </c>
      <c r="AH335" s="365">
        <v>67</v>
      </c>
      <c r="AI335" s="365">
        <v>14</v>
      </c>
      <c r="AJ335" s="310">
        <v>2</v>
      </c>
      <c r="AK335" s="310">
        <v>22</v>
      </c>
      <c r="AL335" s="310">
        <v>1</v>
      </c>
      <c r="AM335" s="434"/>
    </row>
    <row r="336">
      <c r="A336" s="457"/>
      <c r="B336" s="306" t="s">
        <v>246</v>
      </c>
      <c r="C336" s="307" t="s">
        <v>275</v>
      </c>
      <c r="D336" s="306">
        <f t="shared" si="421"/>
      </c>
      <c r="E336" s="306">
        <v>2821.36</v>
      </c>
      <c r="F336" s="307">
        <v>0</v>
      </c>
      <c r="G336" s="306"/>
      <c r="H336" s="306">
        <v>261.74</v>
      </c>
      <c r="I336" s="306">
        <v>3</v>
      </c>
      <c r="J336" s="306">
        <v>5405</v>
      </c>
      <c r="K336" s="475">
        <v>0</v>
      </c>
      <c r="L336" s="475">
        <v>1</v>
      </c>
      <c r="M336" s="307">
        <v>2</v>
      </c>
      <c r="N336" s="458">
        <f t="shared" si="346"/>
      </c>
      <c r="O336" s="458">
        <f t="shared" si="272"/>
      </c>
      <c r="P336" s="476">
        <f t="shared" si="210"/>
      </c>
      <c r="Q336" s="314">
        <f t="shared" si="117"/>
      </c>
      <c r="R336" s="315">
        <f t="shared" si="55"/>
      </c>
      <c r="S336" s="314">
        <f t="shared" si="148"/>
      </c>
      <c r="T336" s="314">
        <f t="shared" si="24"/>
      </c>
      <c r="U336" s="315">
        <f t="shared" si="509"/>
      </c>
      <c r="V336" s="314">
        <f t="shared" si="478"/>
      </c>
      <c r="W336" s="314">
        <f t="shared" si="377"/>
      </c>
      <c r="X336" s="315">
        <f t="shared" si="303"/>
      </c>
      <c r="Y336" s="319">
        <f t="shared" si="241"/>
      </c>
      <c r="Z336" s="315">
        <f t="shared" si="179"/>
      </c>
      <c r="AA336" s="460">
        <f t="shared" si="86"/>
      </c>
      <c r="AB336" s="461" t="s">
        <v>232</v>
      </c>
      <c r="AC336" s="477" t="s">
        <v>262</v>
      </c>
      <c r="AD336" s="402">
        <v>4</v>
      </c>
      <c r="AE336" s="365">
        <v>10379</v>
      </c>
      <c r="AF336" s="365">
        <v>241</v>
      </c>
      <c r="AG336" s="365">
        <v>369</v>
      </c>
      <c r="AH336" s="365">
        <v>75</v>
      </c>
      <c r="AI336" s="365">
        <v>11</v>
      </c>
      <c r="AJ336" s="310">
        <v>4</v>
      </c>
      <c r="AK336" s="310">
        <v>6</v>
      </c>
      <c r="AL336" s="310">
        <v>1</v>
      </c>
      <c r="AM336" s="434"/>
    </row>
    <row r="337">
      <c r="A337" s="457"/>
      <c r="B337" s="306" t="s">
        <v>248</v>
      </c>
      <c r="C337" s="307" t="s">
        <v>275</v>
      </c>
      <c r="D337" s="306">
        <f t="shared" si="421"/>
      </c>
      <c r="E337" s="306">
        <v>2141.37</v>
      </c>
      <c r="F337" s="307">
        <v>0</v>
      </c>
      <c r="G337" s="306"/>
      <c r="H337" s="306">
        <v>293.72</v>
      </c>
      <c r="I337" s="306">
        <v>2</v>
      </c>
      <c r="J337" s="306">
        <v>4536</v>
      </c>
      <c r="K337" s="307">
        <v>0</v>
      </c>
      <c r="L337" s="307">
        <v>0</v>
      </c>
      <c r="M337" s="307">
        <v>2</v>
      </c>
      <c r="N337" s="458">
        <f t="shared" si="346"/>
      </c>
      <c r="O337" s="458">
        <f t="shared" si="272"/>
      </c>
      <c r="P337" s="459">
        <f t="shared" si="210"/>
      </c>
      <c r="Q337" s="314">
        <f t="shared" si="117"/>
      </c>
      <c r="R337" s="315">
        <f t="shared" si="55"/>
      </c>
      <c r="S337" s="314">
        <f t="shared" si="148"/>
      </c>
      <c r="T337" s="314">
        <f t="shared" si="24"/>
      </c>
      <c r="U337" s="315">
        <f t="shared" si="509"/>
      </c>
      <c r="V337" s="314">
        <f t="shared" si="478"/>
      </c>
      <c r="W337" s="314">
        <f t="shared" si="377"/>
      </c>
      <c r="X337" s="315">
        <f t="shared" si="303"/>
      </c>
      <c r="Y337" s="319">
        <f t="shared" si="241"/>
      </c>
      <c r="Z337" s="315">
        <f t="shared" si="179"/>
      </c>
      <c r="AA337" s="460">
        <f t="shared" si="86"/>
      </c>
      <c r="AB337" s="461" t="s">
        <v>232</v>
      </c>
      <c r="AC337" s="477" t="s">
        <v>262</v>
      </c>
      <c r="AD337" s="402">
        <v>1</v>
      </c>
      <c r="AE337" s="365">
        <v>8493</v>
      </c>
      <c r="AF337" s="365">
        <v>189</v>
      </c>
      <c r="AG337" s="365">
        <v>358</v>
      </c>
      <c r="AH337" s="365">
        <v>58</v>
      </c>
      <c r="AI337" s="365">
        <v>7</v>
      </c>
      <c r="AJ337" s="310">
        <v>4</v>
      </c>
      <c r="AK337" s="310">
        <v>11</v>
      </c>
      <c r="AL337" s="310">
        <v>1</v>
      </c>
      <c r="AM337" s="434"/>
    </row>
    <row r="338">
      <c r="A338" s="457"/>
      <c r="B338" s="464" t="s">
        <v>238</v>
      </c>
      <c r="C338" s="464"/>
      <c r="D338" s="464">
        <f>SUM(D335:D337)</f>
      </c>
      <c r="E338" s="464">
        <f>SUM(E335:E337)</f>
      </c>
      <c r="F338" s="464">
        <f>SUM(F335:F337)</f>
      </c>
      <c r="G338" s="464">
        <f>SUM(G335:G337)</f>
      </c>
      <c r="H338" s="464">
        <f>SUM(H335:H337)</f>
      </c>
      <c r="I338" s="464">
        <f>SUM(I335:I337)</f>
      </c>
      <c r="J338" s="464">
        <f>SUM(J335:J337)</f>
      </c>
      <c r="K338" s="464">
        <f>SUM(K335:K337)</f>
      </c>
      <c r="L338" s="464">
        <f>SUM(L335:L337)</f>
      </c>
      <c r="M338" s="464">
        <f>SUM(M335:M337)</f>
      </c>
      <c r="N338" s="466">
        <f t="shared" si="346"/>
      </c>
      <c r="O338" s="466">
        <f t="shared" si="272"/>
      </c>
      <c r="P338" s="474">
        <f t="shared" si="210"/>
      </c>
      <c r="Q338" s="468">
        <f t="shared" si="117"/>
      </c>
      <c r="R338" s="469">
        <f t="shared" si="55"/>
      </c>
      <c r="S338" s="468">
        <f t="shared" si="148"/>
      </c>
      <c r="T338" s="468">
        <f t="shared" si="24"/>
      </c>
      <c r="U338" s="469">
        <f t="shared" si="509"/>
      </c>
      <c r="V338" s="468">
        <f t="shared" si="478"/>
      </c>
      <c r="W338" s="468">
        <f t="shared" si="377"/>
      </c>
      <c r="X338" s="469">
        <f t="shared" si="303"/>
      </c>
      <c r="Y338" s="470">
        <f t="shared" si="241"/>
      </c>
      <c r="Z338" s="469">
        <f t="shared" si="179"/>
      </c>
      <c r="AA338" s="471">
        <f t="shared" si="86"/>
      </c>
      <c r="AB338" s="471"/>
      <c r="AC338" s="471"/>
      <c r="AD338" s="347">
        <f>SUM(AD335:AD337)</f>
      </c>
      <c r="AE338" s="347">
        <f>SUM(AE335:AE337)</f>
      </c>
      <c r="AF338" s="347">
        <f>SUM(AF335:AF337)</f>
      </c>
      <c r="AG338" s="347">
        <f>SUM(AG335:AG337)</f>
      </c>
      <c r="AH338" s="347">
        <f>SUM(AH335:AH337)</f>
      </c>
      <c r="AI338" s="347">
        <f>SUM(AI335:AI337)</f>
      </c>
      <c r="AJ338" s="347">
        <f>SUM(AJ335:AJ337)</f>
      </c>
      <c r="AK338" s="347">
        <f>SUM(AK335:AK337)</f>
      </c>
      <c r="AL338" s="347">
        <f>SUM(AL335:AL337)</f>
      </c>
      <c r="AM338" s="478" t="s">
        <v>273</v>
      </c>
    </row>
    <row r="339">
      <c r="A339" s="457"/>
      <c r="B339" s="479" t="s">
        <v>250</v>
      </c>
      <c r="C339" s="479"/>
      <c r="D339" s="479">
        <f>D328+D334+D338</f>
      </c>
      <c r="E339" s="479">
        <f>E328+E334+E338</f>
      </c>
      <c r="F339" s="479">
        <f>F328+F334+F338</f>
      </c>
      <c r="G339" s="479">
        <f>G328+G334+G338</f>
      </c>
      <c r="H339" s="479">
        <f>H328+H334+H338</f>
      </c>
      <c r="I339" s="479">
        <f>I328+I334+I338</f>
      </c>
      <c r="J339" s="479">
        <f>J328+J334+J338</f>
      </c>
      <c r="K339" s="479">
        <f>K328+K334+K338</f>
      </c>
      <c r="L339" s="479">
        <f>L328+L334+L338</f>
      </c>
      <c r="M339" s="479">
        <f>M328+M334+M338</f>
      </c>
      <c r="N339" s="480">
        <f t="shared" si="346"/>
      </c>
      <c r="O339" s="480">
        <f t="shared" si="272"/>
      </c>
      <c r="P339" s="481">
        <f t="shared" si="210"/>
      </c>
      <c r="Q339" s="482">
        <f t="shared" si="117"/>
      </c>
      <c r="R339" s="480">
        <f t="shared" si="55"/>
      </c>
      <c r="S339" s="482">
        <f t="shared" si="148"/>
      </c>
      <c r="T339" s="482">
        <f t="shared" si="24"/>
      </c>
      <c r="U339" s="480">
        <f t="shared" si="509"/>
      </c>
      <c r="V339" s="482">
        <f t="shared" si="478"/>
      </c>
      <c r="W339" s="482">
        <f t="shared" si="377"/>
      </c>
      <c r="X339" s="480">
        <f t="shared" si="303"/>
      </c>
      <c r="Y339" s="483">
        <f t="shared" si="241"/>
      </c>
      <c r="Z339" s="480">
        <f t="shared" si="179"/>
      </c>
      <c r="AA339" s="481">
        <f t="shared" si="86"/>
      </c>
      <c r="AB339" s="481"/>
      <c r="AC339" s="481"/>
      <c r="AD339" s="484">
        <f>AD328+AD334+AD338</f>
      </c>
      <c r="AE339" s="373">
        <f>AE328+AE334+AE338</f>
      </c>
      <c r="AF339" s="373">
        <f>AF328+AF334+AF338</f>
      </c>
      <c r="AG339" s="373">
        <f>AG328+AG334+AG338</f>
      </c>
      <c r="AH339" s="373">
        <f>AH328+AH334+AH338</f>
      </c>
      <c r="AI339" s="373">
        <f>AI328+AI334+AI338</f>
      </c>
      <c r="AJ339" s="373">
        <f>AJ328+AJ334+AJ338</f>
      </c>
      <c r="AK339" s="373">
        <f>AK328+AK334+AK338</f>
      </c>
      <c r="AL339" s="373">
        <f>AL328+AL334+AL338</f>
      </c>
      <c r="AM339" s="478"/>
    </row>
    <row r="340">
      <c r="A340" s="389" t="s">
        <v>189</v>
      </c>
      <c r="B340" s="389"/>
      <c r="C340" s="389"/>
      <c r="D340" s="487" t="s">
        <v>190</v>
      </c>
      <c r="E340" s="487"/>
      <c r="F340" s="487"/>
      <c r="G340" s="487"/>
      <c r="H340" s="487"/>
      <c r="I340" s="487"/>
      <c r="J340" s="487"/>
      <c r="K340" s="487"/>
      <c r="L340" s="487"/>
      <c r="M340" s="487"/>
      <c r="N340" s="487"/>
      <c r="O340" s="487"/>
      <c r="P340" s="391" t="s">
        <v>191</v>
      </c>
      <c r="Q340" s="391"/>
      <c r="R340" s="391"/>
      <c r="S340" s="391"/>
      <c r="T340" s="391"/>
      <c r="U340" s="391"/>
      <c r="V340" s="391"/>
      <c r="W340" s="391"/>
      <c r="X340" s="391"/>
      <c r="Y340" s="391"/>
      <c r="Z340" s="391"/>
      <c r="AA340" s="391"/>
      <c r="AB340" s="391"/>
      <c r="AC340" s="391"/>
      <c r="AD340" s="447" t="s">
        <v>192</v>
      </c>
      <c r="AE340" s="447"/>
      <c r="AF340" s="447"/>
      <c r="AG340" s="447"/>
      <c r="AH340" s="447"/>
      <c r="AI340" s="447"/>
      <c r="AJ340" s="447"/>
      <c r="AK340" s="447"/>
      <c r="AL340" s="447"/>
      <c r="AM340" s="433"/>
    </row>
    <row r="341">
      <c r="A341" s="488" t="s">
        <v>193</v>
      </c>
      <c r="B341" s="489" t="s">
        <v>194</v>
      </c>
      <c r="C341" s="489" t="s">
        <v>195</v>
      </c>
      <c r="D341" s="490" t="s">
        <v>196</v>
      </c>
      <c r="E341" s="491" t="s">
        <v>197</v>
      </c>
      <c r="F341" s="491" t="s">
        <v>198</v>
      </c>
      <c r="G341" s="492" t="s">
        <v>256</v>
      </c>
      <c r="H341" s="493" t="s">
        <v>260</v>
      </c>
      <c r="I341" s="493" t="s">
        <v>199</v>
      </c>
      <c r="J341" s="390" t="s">
        <v>200</v>
      </c>
      <c r="K341" s="390" t="s">
        <v>201</v>
      </c>
      <c r="L341" s="390" t="s">
        <v>202</v>
      </c>
      <c r="M341" s="390" t="s">
        <v>203</v>
      </c>
      <c r="N341" s="492" t="s">
        <v>204</v>
      </c>
      <c r="O341" s="390" t="s">
        <v>205</v>
      </c>
      <c r="P341" s="391" t="s">
        <v>206</v>
      </c>
      <c r="Q341" s="391" t="s">
        <v>207</v>
      </c>
      <c r="R341" s="391" t="s">
        <v>208</v>
      </c>
      <c r="S341" s="494" t="s">
        <v>209</v>
      </c>
      <c r="T341" s="494" t="s">
        <v>210</v>
      </c>
      <c r="U341" s="391" t="s">
        <v>211</v>
      </c>
      <c r="V341" s="494" t="s">
        <v>212</v>
      </c>
      <c r="W341" s="494" t="s">
        <v>213</v>
      </c>
      <c r="X341" s="391" t="s">
        <v>214</v>
      </c>
      <c r="Y341" s="494" t="s">
        <v>215</v>
      </c>
      <c r="Z341" s="391" t="s">
        <v>216</v>
      </c>
      <c r="AA341" s="495" t="s">
        <v>217</v>
      </c>
      <c r="AB341" s="495" t="s">
        <v>218</v>
      </c>
      <c r="AC341" s="495" t="s">
        <v>219</v>
      </c>
      <c r="AD341" s="456" t="s">
        <v>220</v>
      </c>
      <c r="AE341" s="301" t="s">
        <v>221</v>
      </c>
      <c r="AF341" s="301" t="s">
        <v>222</v>
      </c>
      <c r="AG341" s="301" t="s">
        <v>223</v>
      </c>
      <c r="AH341" s="301" t="s">
        <v>224</v>
      </c>
      <c r="AI341" s="301" t="s">
        <v>225</v>
      </c>
      <c r="AJ341" s="302" t="s">
        <v>226</v>
      </c>
      <c r="AK341" s="302" t="s">
        <v>227</v>
      </c>
      <c r="AL341" s="302" t="s">
        <v>228</v>
      </c>
      <c r="AM341" s="433"/>
    </row>
    <row r="342">
      <c r="A342" s="496" t="s">
        <v>276</v>
      </c>
      <c r="B342" s="334" t="s">
        <v>230</v>
      </c>
      <c r="C342" s="334" t="s">
        <v>240</v>
      </c>
      <c r="D342" s="334">
        <f t="shared" ref="D342:D346" si="422">E342+F342+G342+H342</f>
      </c>
      <c r="E342" s="401">
        <v>1690.69</v>
      </c>
      <c r="F342" s="334">
        <v>842.89</v>
      </c>
      <c r="G342" s="304"/>
      <c r="H342" s="334">
        <v>646.4</v>
      </c>
      <c r="I342" s="334">
        <v>1</v>
      </c>
      <c r="J342" s="334">
        <v>2268</v>
      </c>
      <c r="K342" s="334">
        <v>0</v>
      </c>
      <c r="L342" s="334">
        <v>0</v>
      </c>
      <c r="M342" s="334">
        <v>1</v>
      </c>
      <c r="N342" s="497">
        <f t="shared" ref="N342:N353" si="347">J342/D342</f>
      </c>
      <c r="O342" s="497">
        <f t="shared" ref="O342:O353" si="273">J342/(D342+300*AL342)</f>
      </c>
      <c r="P342" s="498">
        <f t="shared" ref="P342:P353" si="211">(D342/AE342)*1000</f>
      </c>
      <c r="Q342" s="405">
        <f t="shared" ref="Q342:Q353" si="118">AF342/AE342</f>
      </c>
      <c r="R342" s="406">
        <f t="shared" ref="R342:R353" si="56">D342/AG342</f>
      </c>
      <c r="S342" s="405">
        <f t="shared" ref="S342:S353" si="149">AH342/AG342</f>
      </c>
      <c r="T342" s="405">
        <f t="shared" ref="T342:T353" si="25">AI342/AG342</f>
      </c>
      <c r="U342" s="406">
        <f t="shared" ref="U342:U353" si="510">D342/AI342</f>
      </c>
      <c r="V342" s="405">
        <f t="shared" ref="V342:V353" si="479">AJ342/AI342</f>
      </c>
      <c r="W342" s="405">
        <f t="shared" ref="W342:W353" si="378">I342/AJ342</f>
      </c>
      <c r="X342" s="406">
        <f t="shared" ref="X342:X353" si="304">D342/I342</f>
      </c>
      <c r="Y342" s="410">
        <f t="shared" ref="Y342:Y353" si="242">J342/I342</f>
      </c>
      <c r="Z342" s="406">
        <f t="shared" ref="Z342:Z353" si="180">D342/AD342</f>
      </c>
      <c r="AA342" s="499">
        <f t="shared" ref="AA342:AA353" si="87">AK342*1000/D342</f>
      </c>
      <c r="AB342" s="500" t="s">
        <v>232</v>
      </c>
      <c r="AC342" s="411" t="s">
        <v>233</v>
      </c>
      <c r="AD342" s="485">
        <v>1</v>
      </c>
      <c r="AE342" s="334">
        <v>7681</v>
      </c>
      <c r="AF342" s="304">
        <v>283</v>
      </c>
      <c r="AG342" s="304">
        <v>439</v>
      </c>
      <c r="AH342" s="304">
        <v>72</v>
      </c>
      <c r="AI342" s="334">
        <v>29</v>
      </c>
      <c r="AJ342" s="304">
        <v>3</v>
      </c>
      <c r="AK342" s="334">
        <v>14</v>
      </c>
      <c r="AL342" s="365">
        <v>1</v>
      </c>
      <c r="AM342" s="434"/>
    </row>
    <row r="343">
      <c r="A343" s="496"/>
      <c r="B343" s="334" t="s">
        <v>234</v>
      </c>
      <c r="C343" s="334" t="s">
        <v>240</v>
      </c>
      <c r="D343" s="334">
        <f t="shared" si="422"/>
      </c>
      <c r="E343" s="334">
        <v>1508.62</v>
      </c>
      <c r="F343" s="412">
        <v>1132.07</v>
      </c>
      <c r="G343" s="334"/>
      <c r="H343" s="334">
        <v>540.19</v>
      </c>
      <c r="I343" s="334">
        <v>1</v>
      </c>
      <c r="J343" s="334">
        <v>2268</v>
      </c>
      <c r="K343" s="334">
        <v>0</v>
      </c>
      <c r="L343" s="334">
        <v>0</v>
      </c>
      <c r="M343" s="334">
        <v>1</v>
      </c>
      <c r="N343" s="497">
        <f t="shared" si="347"/>
      </c>
      <c r="O343" s="497">
        <f t="shared" si="273"/>
      </c>
      <c r="P343" s="498">
        <f t="shared" si="211"/>
      </c>
      <c r="Q343" s="405">
        <f t="shared" si="118"/>
      </c>
      <c r="R343" s="406">
        <f t="shared" si="56"/>
      </c>
      <c r="S343" s="405">
        <f t="shared" si="149"/>
      </c>
      <c r="T343" s="405">
        <f t="shared" si="25"/>
      </c>
      <c r="U343" s="406">
        <f t="shared" si="510"/>
      </c>
      <c r="V343" s="405">
        <f t="shared" si="479"/>
      </c>
      <c r="W343" s="405">
        <f t="shared" si="378"/>
      </c>
      <c r="X343" s="406">
        <f t="shared" si="304"/>
      </c>
      <c r="Y343" s="410">
        <f t="shared" si="242"/>
      </c>
      <c r="Z343" s="406">
        <f t="shared" si="180"/>
      </c>
      <c r="AA343" s="499">
        <f t="shared" si="87"/>
      </c>
      <c r="AB343" s="500" t="s">
        <v>232</v>
      </c>
      <c r="AC343" s="411" t="s">
        <v>233</v>
      </c>
      <c r="AD343" s="304">
        <v>1</v>
      </c>
      <c r="AE343" s="333">
        <v>7344</v>
      </c>
      <c r="AF343" s="304">
        <v>231</v>
      </c>
      <c r="AG343" s="333">
        <v>364</v>
      </c>
      <c r="AH343" s="334">
        <v>66</v>
      </c>
      <c r="AI343" s="334">
        <v>23</v>
      </c>
      <c r="AJ343" s="416">
        <v>2</v>
      </c>
      <c r="AK343" s="417">
        <v>13</v>
      </c>
      <c r="AL343" s="365">
        <v>1</v>
      </c>
      <c r="AM343" s="434"/>
    </row>
    <row r="344">
      <c r="A344" s="496"/>
      <c r="B344" s="334" t="s">
        <v>235</v>
      </c>
      <c r="C344" s="334" t="s">
        <v>240</v>
      </c>
      <c r="D344" s="334">
        <f t="shared" si="422"/>
      </c>
      <c r="E344" s="334">
        <v>1876.5</v>
      </c>
      <c r="F344" s="304">
        <v>1192.59</v>
      </c>
      <c r="G344" s="334"/>
      <c r="H344" s="334">
        <v>264.14</v>
      </c>
      <c r="I344" s="334">
        <v>1</v>
      </c>
      <c r="J344" s="334">
        <v>2268</v>
      </c>
      <c r="K344" s="334">
        <v>0</v>
      </c>
      <c r="L344" s="334">
        <v>0</v>
      </c>
      <c r="M344" s="334">
        <v>1</v>
      </c>
      <c r="N344" s="497">
        <f t="shared" si="347"/>
      </c>
      <c r="O344" s="497">
        <f t="shared" si="273"/>
      </c>
      <c r="P344" s="498">
        <f t="shared" si="211"/>
      </c>
      <c r="Q344" s="405">
        <f t="shared" si="118"/>
      </c>
      <c r="R344" s="406">
        <f t="shared" si="56"/>
      </c>
      <c r="S344" s="405">
        <f t="shared" si="149"/>
      </c>
      <c r="T344" s="405">
        <f t="shared" si="25"/>
      </c>
      <c r="U344" s="406">
        <f t="shared" si="510"/>
      </c>
      <c r="V344" s="405">
        <f t="shared" si="479"/>
      </c>
      <c r="W344" s="405">
        <f t="shared" si="378"/>
      </c>
      <c r="X344" s="406">
        <f t="shared" si="304"/>
      </c>
      <c r="Y344" s="410">
        <f t="shared" si="242"/>
      </c>
      <c r="Z344" s="406">
        <f t="shared" si="180"/>
      </c>
      <c r="AA344" s="499">
        <f t="shared" si="87"/>
      </c>
      <c r="AB344" s="500" t="s">
        <v>232</v>
      </c>
      <c r="AC344" s="411" t="s">
        <v>233</v>
      </c>
      <c r="AD344" s="304">
        <v>0</v>
      </c>
      <c r="AE344" s="334">
        <v>8557</v>
      </c>
      <c r="AF344" s="304">
        <v>275</v>
      </c>
      <c r="AG344" s="334">
        <v>465</v>
      </c>
      <c r="AH344" s="334">
        <v>75</v>
      </c>
      <c r="AI344" s="334">
        <v>16</v>
      </c>
      <c r="AJ344" s="416">
        <v>2</v>
      </c>
      <c r="AK344" s="417">
        <v>16</v>
      </c>
      <c r="AL344" s="365">
        <v>1</v>
      </c>
      <c r="AM344" s="434"/>
    </row>
    <row r="345">
      <c r="A345" s="496"/>
      <c r="B345" s="334" t="s">
        <v>236</v>
      </c>
      <c r="C345" s="334" t="s">
        <v>240</v>
      </c>
      <c r="D345" s="334">
        <f t="shared" si="422"/>
      </c>
      <c r="E345" s="334">
        <v>1561.75</v>
      </c>
      <c r="F345" s="304">
        <v>965.82</v>
      </c>
      <c r="G345" s="334"/>
      <c r="H345" s="334">
        <v>727.02</v>
      </c>
      <c r="I345" s="334">
        <v>4</v>
      </c>
      <c r="J345" s="334">
        <v>4924</v>
      </c>
      <c r="K345" s="334">
        <v>0</v>
      </c>
      <c r="L345" s="334">
        <v>3</v>
      </c>
      <c r="M345" s="334">
        <v>1</v>
      </c>
      <c r="N345" s="497">
        <f t="shared" si="347"/>
      </c>
      <c r="O345" s="497">
        <f t="shared" si="273"/>
      </c>
      <c r="P345" s="498">
        <f t="shared" si="211"/>
      </c>
      <c r="Q345" s="405">
        <f t="shared" si="118"/>
      </c>
      <c r="R345" s="406">
        <f t="shared" si="56"/>
      </c>
      <c r="S345" s="405">
        <f t="shared" si="149"/>
      </c>
      <c r="T345" s="405">
        <f t="shared" si="25"/>
      </c>
      <c r="U345" s="406">
        <f t="shared" si="510"/>
      </c>
      <c r="V345" s="405">
        <f t="shared" si="479"/>
      </c>
      <c r="W345" s="405">
        <f t="shared" si="378"/>
      </c>
      <c r="X345" s="406">
        <f t="shared" si="304"/>
      </c>
      <c r="Y345" s="410">
        <f t="shared" si="242"/>
      </c>
      <c r="Z345" s="406">
        <f t="shared" si="180"/>
      </c>
      <c r="AA345" s="499">
        <f t="shared" si="87"/>
      </c>
      <c r="AB345" s="500" t="s">
        <v>232</v>
      </c>
      <c r="AC345" s="411" t="s">
        <v>233</v>
      </c>
      <c r="AD345" s="412">
        <v>4</v>
      </c>
      <c r="AE345" s="333">
        <v>6753</v>
      </c>
      <c r="AF345" s="334">
        <v>262</v>
      </c>
      <c r="AG345" s="334">
        <v>420</v>
      </c>
      <c r="AH345" s="334">
        <v>81</v>
      </c>
      <c r="AI345" s="334">
        <v>25</v>
      </c>
      <c r="AJ345" s="416">
        <v>9</v>
      </c>
      <c r="AK345" s="417">
        <v>26</v>
      </c>
      <c r="AL345" s="365">
        <v>1</v>
      </c>
      <c r="AM345" s="434"/>
    </row>
    <row r="346">
      <c r="A346" s="496"/>
      <c r="B346" s="334" t="s">
        <v>237</v>
      </c>
      <c r="C346" s="334" t="s">
        <v>240</v>
      </c>
      <c r="D346" s="334">
        <f t="shared" si="422"/>
      </c>
      <c r="E346" s="334">
        <v>3009.05</v>
      </c>
      <c r="F346" s="304">
        <v>1474.46</v>
      </c>
      <c r="G346" s="334"/>
      <c r="H346" s="334">
        <v>1124.45</v>
      </c>
      <c r="I346" s="334">
        <v>8</v>
      </c>
      <c r="J346" s="334">
        <v>16824</v>
      </c>
      <c r="K346" s="334">
        <v>0</v>
      </c>
      <c r="L346" s="334">
        <v>1</v>
      </c>
      <c r="M346" s="334">
        <v>7</v>
      </c>
      <c r="N346" s="497">
        <f t="shared" si="347"/>
      </c>
      <c r="O346" s="497">
        <f t="shared" si="273"/>
      </c>
      <c r="P346" s="498">
        <f t="shared" si="211"/>
      </c>
      <c r="Q346" s="405">
        <f t="shared" si="118"/>
      </c>
      <c r="R346" s="406">
        <f t="shared" si="56"/>
      </c>
      <c r="S346" s="405">
        <f t="shared" si="149"/>
      </c>
      <c r="T346" s="405">
        <f t="shared" si="25"/>
      </c>
      <c r="U346" s="406">
        <f t="shared" si="510"/>
      </c>
      <c r="V346" s="405">
        <f t="shared" si="479"/>
      </c>
      <c r="W346" s="405">
        <f t="shared" si="378"/>
      </c>
      <c r="X346" s="406">
        <f t="shared" si="304"/>
      </c>
      <c r="Y346" s="410">
        <f t="shared" si="242"/>
      </c>
      <c r="Z346" s="406">
        <f t="shared" si="180"/>
      </c>
      <c r="AA346" s="499">
        <f t="shared" si="87"/>
      </c>
      <c r="AB346" s="500" t="s">
        <v>232</v>
      </c>
      <c r="AC346" s="411" t="s">
        <v>233</v>
      </c>
      <c r="AD346" s="412">
        <v>6</v>
      </c>
      <c r="AE346" s="333">
        <v>12044</v>
      </c>
      <c r="AF346" s="334">
        <v>402</v>
      </c>
      <c r="AG346" s="334">
        <v>668</v>
      </c>
      <c r="AH346" s="334">
        <v>112</v>
      </c>
      <c r="AI346" s="334">
        <v>44</v>
      </c>
      <c r="AJ346" s="416">
        <v>11</v>
      </c>
      <c r="AK346" s="417">
        <v>28</v>
      </c>
      <c r="AL346" s="365">
        <v>1</v>
      </c>
      <c r="AM346" s="434"/>
    </row>
    <row r="347">
      <c r="A347" s="496"/>
      <c r="B347" s="501" t="s">
        <v>238</v>
      </c>
      <c r="C347" s="501"/>
      <c r="D347" s="501">
        <f>SUM(D342:D346)</f>
      </c>
      <c r="E347" s="501">
        <f>SUM(E342:E346)</f>
      </c>
      <c r="F347" s="501">
        <f>SUM(F342:F346)</f>
      </c>
      <c r="G347" s="501">
        <f>SUM(G342:G346)</f>
      </c>
      <c r="H347" s="501">
        <f>SUM(H342:H346)</f>
      </c>
      <c r="I347" s="501">
        <f>SUM(I342:I346)</f>
      </c>
      <c r="J347" s="501">
        <f>SUM(J342:J346)</f>
      </c>
      <c r="K347" s="501">
        <f>SUM(K342:K346)</f>
      </c>
      <c r="L347" s="501">
        <f>SUM(L342:L346)</f>
      </c>
      <c r="M347" s="501">
        <f>SUM(M342:M346)</f>
      </c>
      <c r="N347" s="502">
        <f t="shared" si="347"/>
      </c>
      <c r="O347" s="502">
        <f t="shared" si="273"/>
      </c>
      <c r="P347" s="503">
        <f t="shared" si="211"/>
      </c>
      <c r="Q347" s="504">
        <f t="shared" si="118"/>
      </c>
      <c r="R347" s="505">
        <f t="shared" si="56"/>
      </c>
      <c r="S347" s="504">
        <f t="shared" si="149"/>
      </c>
      <c r="T347" s="504">
        <f t="shared" si="25"/>
      </c>
      <c r="U347" s="505">
        <f t="shared" si="510"/>
      </c>
      <c r="V347" s="504">
        <f t="shared" si="479"/>
      </c>
      <c r="W347" s="504">
        <f t="shared" si="378"/>
      </c>
      <c r="X347" s="505">
        <f t="shared" si="304"/>
      </c>
      <c r="Y347" s="506">
        <f t="shared" si="242"/>
      </c>
      <c r="Z347" s="505">
        <f t="shared" si="180"/>
      </c>
      <c r="AA347" s="507">
        <f t="shared" si="87"/>
      </c>
      <c r="AB347" s="507"/>
      <c r="AC347" s="507"/>
      <c r="AD347" s="347">
        <f>SUM(AD342:AD346)</f>
      </c>
      <c r="AE347" s="347">
        <f>SUM(AE342:AE346)</f>
      </c>
      <c r="AF347" s="347">
        <f>SUM(AF342:AF346)</f>
      </c>
      <c r="AG347" s="347">
        <f>SUM(AG342:AG346)</f>
      </c>
      <c r="AH347" s="347">
        <f>SUM(AH342:AH346)</f>
      </c>
      <c r="AI347" s="347">
        <f>SUM(AI342:AI346)</f>
      </c>
      <c r="AJ347" s="347">
        <f>SUM(AJ342:AJ346)</f>
      </c>
      <c r="AK347" s="347">
        <f>SUM(AK342:AK346)</f>
      </c>
      <c r="AL347" s="347">
        <f>SUM(AL342:AL346)</f>
      </c>
      <c r="AM347" s="434"/>
    </row>
    <row r="348">
      <c r="A348" s="496"/>
      <c r="B348" s="333" t="s">
        <v>239</v>
      </c>
      <c r="C348" s="334" t="s">
        <v>231</v>
      </c>
      <c r="D348" s="334">
        <f t="shared" ref="D348:D351" si="423">E348+F348+G348+H348</f>
      </c>
      <c r="E348" s="334">
        <v>4293.74</v>
      </c>
      <c r="F348" s="304">
        <v>1034.03</v>
      </c>
      <c r="G348" s="334"/>
      <c r="H348" s="334">
        <v>836.46</v>
      </c>
      <c r="I348" s="334">
        <v>7</v>
      </c>
      <c r="J348" s="334">
        <v>7397</v>
      </c>
      <c r="K348" s="334">
        <v>1</v>
      </c>
      <c r="L348" s="334">
        <v>5</v>
      </c>
      <c r="M348" s="334">
        <v>1</v>
      </c>
      <c r="N348" s="497">
        <f t="shared" si="347"/>
      </c>
      <c r="O348" s="497">
        <f t="shared" si="273"/>
      </c>
      <c r="P348" s="498">
        <f t="shared" si="211"/>
      </c>
      <c r="Q348" s="405">
        <f t="shared" si="118"/>
      </c>
      <c r="R348" s="406">
        <f t="shared" si="56"/>
      </c>
      <c r="S348" s="405">
        <f t="shared" si="149"/>
      </c>
      <c r="T348" s="405">
        <f t="shared" si="25"/>
      </c>
      <c r="U348" s="406">
        <f t="shared" si="510"/>
      </c>
      <c r="V348" s="405">
        <f t="shared" si="479"/>
      </c>
      <c r="W348" s="405">
        <f t="shared" si="378"/>
      </c>
      <c r="X348" s="406">
        <f t="shared" si="304"/>
      </c>
      <c r="Y348" s="410">
        <f t="shared" si="242"/>
      </c>
      <c r="Z348" s="406">
        <f t="shared" si="180"/>
      </c>
      <c r="AA348" s="499">
        <f t="shared" si="87"/>
      </c>
      <c r="AB348" s="500" t="s">
        <v>232</v>
      </c>
      <c r="AC348" s="411" t="s">
        <v>233</v>
      </c>
      <c r="AD348" s="402">
        <v>6</v>
      </c>
      <c r="AE348" s="365">
        <v>13058</v>
      </c>
      <c r="AF348" s="365">
        <v>475</v>
      </c>
      <c r="AG348" s="365">
        <v>781</v>
      </c>
      <c r="AH348" s="365">
        <v>161</v>
      </c>
      <c r="AI348" s="365">
        <v>40</v>
      </c>
      <c r="AJ348" s="365">
        <v>13</v>
      </c>
      <c r="AK348" s="365">
        <v>28</v>
      </c>
      <c r="AL348" s="365">
        <v>1</v>
      </c>
      <c r="AM348" s="434"/>
    </row>
    <row r="349">
      <c r="A349" s="496"/>
      <c r="B349" s="334" t="s">
        <v>241</v>
      </c>
      <c r="C349" s="334" t="s">
        <v>231</v>
      </c>
      <c r="D349" s="334">
        <f t="shared" si="423"/>
      </c>
      <c r="E349" s="334">
        <v>2551.84</v>
      </c>
      <c r="F349" s="304">
        <v>1025.59</v>
      </c>
      <c r="G349" s="334"/>
      <c r="H349" s="334">
        <v>570.47</v>
      </c>
      <c r="I349" s="334">
        <v>2</v>
      </c>
      <c r="J349" s="334">
        <v>1896</v>
      </c>
      <c r="K349" s="334">
        <v>0</v>
      </c>
      <c r="L349" s="334">
        <v>2</v>
      </c>
      <c r="M349" s="334">
        <v>0</v>
      </c>
      <c r="N349" s="497">
        <f t="shared" si="347"/>
      </c>
      <c r="O349" s="497">
        <f t="shared" si="273"/>
      </c>
      <c r="P349" s="498">
        <f t="shared" si="211"/>
      </c>
      <c r="Q349" s="405">
        <f t="shared" si="118"/>
      </c>
      <c r="R349" s="406">
        <f t="shared" si="56"/>
      </c>
      <c r="S349" s="405">
        <f t="shared" si="149"/>
      </c>
      <c r="T349" s="405">
        <f t="shared" si="25"/>
      </c>
      <c r="U349" s="406">
        <f t="shared" si="510"/>
      </c>
      <c r="V349" s="405">
        <f t="shared" si="479"/>
      </c>
      <c r="W349" s="405">
        <f t="shared" si="378"/>
      </c>
      <c r="X349" s="406">
        <f t="shared" si="304"/>
      </c>
      <c r="Y349" s="410">
        <f t="shared" si="242"/>
      </c>
      <c r="Z349" s="406">
        <f t="shared" si="180"/>
      </c>
      <c r="AA349" s="499">
        <f t="shared" si="87"/>
      </c>
      <c r="AB349" s="500" t="s">
        <v>232</v>
      </c>
      <c r="AC349" s="411" t="s">
        <v>233</v>
      </c>
      <c r="AD349" s="402">
        <v>2</v>
      </c>
      <c r="AE349" s="365">
        <v>9365</v>
      </c>
      <c r="AF349" s="365">
        <v>284</v>
      </c>
      <c r="AG349" s="365">
        <v>481</v>
      </c>
      <c r="AH349" s="365">
        <v>80</v>
      </c>
      <c r="AI349" s="365">
        <v>28</v>
      </c>
      <c r="AJ349" s="365">
        <v>3</v>
      </c>
      <c r="AK349" s="365">
        <v>17</v>
      </c>
      <c r="AL349" s="365">
        <v>1</v>
      </c>
      <c r="AM349" s="434"/>
    </row>
    <row r="350">
      <c r="A350" s="496"/>
      <c r="B350" s="334" t="s">
        <v>242</v>
      </c>
      <c r="C350" s="334" t="s">
        <v>231</v>
      </c>
      <c r="D350" s="333">
        <f t="shared" si="423"/>
      </c>
      <c r="E350" s="333">
        <v>2615.45</v>
      </c>
      <c r="F350" s="334">
        <v>683.47</v>
      </c>
      <c r="G350" s="334"/>
      <c r="H350" s="334">
        <v>738.64</v>
      </c>
      <c r="I350" s="334">
        <v>2</v>
      </c>
      <c r="J350" s="334">
        <v>4536</v>
      </c>
      <c r="K350" s="334">
        <v>0</v>
      </c>
      <c r="L350" s="334">
        <v>0</v>
      </c>
      <c r="M350" s="334">
        <v>2</v>
      </c>
      <c r="N350" s="497">
        <f t="shared" si="347"/>
      </c>
      <c r="O350" s="497">
        <f t="shared" si="273"/>
      </c>
      <c r="P350" s="498">
        <f t="shared" si="211"/>
      </c>
      <c r="Q350" s="405">
        <f t="shared" si="118"/>
      </c>
      <c r="R350" s="406">
        <f t="shared" si="56"/>
      </c>
      <c r="S350" s="405">
        <f t="shared" si="149"/>
      </c>
      <c r="T350" s="405">
        <f t="shared" si="25"/>
      </c>
      <c r="U350" s="406">
        <f t="shared" si="510"/>
      </c>
      <c r="V350" s="405">
        <f t="shared" si="479"/>
      </c>
      <c r="W350" s="405">
        <f t="shared" si="378"/>
      </c>
      <c r="X350" s="406">
        <f t="shared" si="304"/>
      </c>
      <c r="Y350" s="410">
        <f t="shared" si="242"/>
      </c>
      <c r="Z350" s="406">
        <f t="shared" si="180"/>
      </c>
      <c r="AA350" s="499">
        <f t="shared" si="87"/>
      </c>
      <c r="AB350" s="500" t="s">
        <v>232</v>
      </c>
      <c r="AC350" s="411" t="s">
        <v>233</v>
      </c>
      <c r="AD350" s="402">
        <v>1</v>
      </c>
      <c r="AE350" s="365">
        <v>10214</v>
      </c>
      <c r="AF350" s="365">
        <v>323</v>
      </c>
      <c r="AG350" s="365">
        <v>487</v>
      </c>
      <c r="AH350" s="365">
        <v>84</v>
      </c>
      <c r="AI350" s="365">
        <v>16</v>
      </c>
      <c r="AJ350" s="365">
        <v>2</v>
      </c>
      <c r="AK350" s="365">
        <v>29</v>
      </c>
      <c r="AL350" s="365">
        <v>1</v>
      </c>
      <c r="AM350" s="434"/>
    </row>
    <row r="351">
      <c r="A351" s="496"/>
      <c r="B351" s="334" t="s">
        <v>243</v>
      </c>
      <c r="C351" s="334" t="s">
        <v>231</v>
      </c>
      <c r="D351" s="334">
        <f t="shared" si="423"/>
      </c>
      <c r="E351" s="334">
        <v>3064.42</v>
      </c>
      <c r="F351" s="334">
        <v>572.86</v>
      </c>
      <c r="G351" s="334"/>
      <c r="H351" s="334">
        <v>713.13</v>
      </c>
      <c r="I351" s="334">
        <v>2</v>
      </c>
      <c r="J351" s="334">
        <v>2548</v>
      </c>
      <c r="K351" s="334">
        <v>1</v>
      </c>
      <c r="L351" s="334">
        <v>0</v>
      </c>
      <c r="M351" s="334">
        <v>1</v>
      </c>
      <c r="N351" s="497">
        <f t="shared" si="347"/>
      </c>
      <c r="O351" s="497">
        <f t="shared" si="273"/>
      </c>
      <c r="P351" s="498">
        <f t="shared" si="211"/>
      </c>
      <c r="Q351" s="405">
        <f t="shared" si="118"/>
      </c>
      <c r="R351" s="406">
        <f t="shared" si="56"/>
      </c>
      <c r="S351" s="405">
        <f t="shared" si="149"/>
      </c>
      <c r="T351" s="405">
        <f t="shared" si="25"/>
      </c>
      <c r="U351" s="406">
        <f t="shared" si="510"/>
      </c>
      <c r="V351" s="405">
        <f t="shared" si="479"/>
      </c>
      <c r="W351" s="405">
        <f t="shared" si="378"/>
      </c>
      <c r="X351" s="406">
        <f t="shared" si="304"/>
      </c>
      <c r="Y351" s="410">
        <f t="shared" si="242"/>
      </c>
      <c r="Z351" s="406">
        <f t="shared" si="180"/>
      </c>
      <c r="AA351" s="499">
        <f t="shared" si="87"/>
      </c>
      <c r="AB351" s="500" t="s">
        <v>232</v>
      </c>
      <c r="AC351" s="411" t="s">
        <v>262</v>
      </c>
      <c r="AD351" s="402">
        <v>2</v>
      </c>
      <c r="AE351" s="365">
        <v>12417</v>
      </c>
      <c r="AF351" s="365">
        <v>360</v>
      </c>
      <c r="AG351" s="365">
        <v>517</v>
      </c>
      <c r="AH351" s="365">
        <v>110</v>
      </c>
      <c r="AI351" s="365">
        <v>29</v>
      </c>
      <c r="AJ351" s="365">
        <v>5</v>
      </c>
      <c r="AK351" s="365">
        <v>24</v>
      </c>
      <c r="AL351" s="365">
        <v>1</v>
      </c>
      <c r="AM351" s="434"/>
    </row>
    <row r="352">
      <c r="A352" s="496"/>
      <c r="B352" s="501" t="s">
        <v>238</v>
      </c>
      <c r="C352" s="501"/>
      <c r="D352" s="501">
        <f>SUM(D348:D351)</f>
      </c>
      <c r="E352" s="501">
        <f>SUM(E348:E351)</f>
      </c>
      <c r="F352" s="501">
        <f>SUM(F348:F351)</f>
      </c>
      <c r="G352" s="501">
        <f>SUM(G348:G351)</f>
      </c>
      <c r="H352" s="501">
        <f>SUM(H348:H351)</f>
      </c>
      <c r="I352" s="501">
        <f>SUM(I348:I351)</f>
      </c>
      <c r="J352" s="501">
        <f>SUM(J348:J351)</f>
      </c>
      <c r="K352" s="501">
        <f>SUM(K348:K351)</f>
      </c>
      <c r="L352" s="501">
        <f>SUM(L348:L351)</f>
      </c>
      <c r="M352" s="501">
        <f>SUM(M348:M351)</f>
      </c>
      <c r="N352" s="502">
        <f t="shared" si="347"/>
      </c>
      <c r="O352" s="502">
        <f t="shared" si="273"/>
      </c>
      <c r="P352" s="508">
        <f t="shared" si="211"/>
      </c>
      <c r="Q352" s="504">
        <f t="shared" si="118"/>
      </c>
      <c r="R352" s="505">
        <f t="shared" si="56"/>
      </c>
      <c r="S352" s="504">
        <f t="shared" si="149"/>
      </c>
      <c r="T352" s="504">
        <f t="shared" si="25"/>
      </c>
      <c r="U352" s="505">
        <f t="shared" si="510"/>
      </c>
      <c r="V352" s="504">
        <f t="shared" si="479"/>
      </c>
      <c r="W352" s="504">
        <f t="shared" si="378"/>
      </c>
      <c r="X352" s="505">
        <f t="shared" si="304"/>
      </c>
      <c r="Y352" s="506">
        <f t="shared" si="242"/>
      </c>
      <c r="Z352" s="505">
        <f t="shared" si="180"/>
      </c>
      <c r="AA352" s="507">
        <f t="shared" si="87"/>
      </c>
      <c r="AB352" s="507"/>
      <c r="AC352" s="507"/>
      <c r="AD352" s="347">
        <f>SUM(AD348:AD351)</f>
      </c>
      <c r="AE352" s="347">
        <f>SUM(AE348:AE351)</f>
      </c>
      <c r="AF352" s="347">
        <f>SUM(AF348:AF351)</f>
      </c>
      <c r="AG352" s="347">
        <f>SUM(AG348:AG351)</f>
      </c>
      <c r="AH352" s="347">
        <f>SUM(AH348:AH351)</f>
      </c>
      <c r="AI352" s="347">
        <f>SUM(AI348:AI351)</f>
      </c>
      <c r="AJ352" s="347">
        <f>SUM(AJ348:AJ351)</f>
      </c>
      <c r="AK352" s="347">
        <f>SUM(AK348:AK351)</f>
      </c>
      <c r="AL352" s="347">
        <f>SUM(AL348:AL351)</f>
      </c>
      <c r="AM352" s="478" t="s">
        <v>273</v>
      </c>
    </row>
    <row r="353">
      <c r="A353" s="496"/>
      <c r="B353" s="373" t="s">
        <v>250</v>
      </c>
      <c r="C353" s="373"/>
      <c r="D353" s="373">
        <f>D347+D352</f>
      </c>
      <c r="E353" s="373">
        <f>E347+E352</f>
      </c>
      <c r="F353" s="373">
        <f>F347+F352</f>
      </c>
      <c r="G353" s="373">
        <f>G347+G352</f>
      </c>
      <c r="H353" s="373">
        <f>H347+H352</f>
      </c>
      <c r="I353" s="373">
        <f>I347+I352</f>
      </c>
      <c r="J353" s="373">
        <f>J347+J352</f>
      </c>
      <c r="K353" s="373">
        <f>K347+K352</f>
      </c>
      <c r="L353" s="373">
        <f>L347+L352</f>
      </c>
      <c r="M353" s="373">
        <f>M347+M352</f>
      </c>
      <c r="N353" s="427">
        <f t="shared" si="347"/>
      </c>
      <c r="O353" s="427">
        <f t="shared" si="273"/>
      </c>
      <c r="P353" s="509">
        <f t="shared" si="211"/>
      </c>
      <c r="Q353" s="510">
        <f t="shared" si="118"/>
      </c>
      <c r="R353" s="427">
        <f t="shared" si="56"/>
      </c>
      <c r="S353" s="510">
        <f t="shared" si="149"/>
      </c>
      <c r="T353" s="510">
        <f t="shared" si="25"/>
      </c>
      <c r="U353" s="427">
        <f t="shared" si="510"/>
      </c>
      <c r="V353" s="510">
        <f t="shared" si="479"/>
      </c>
      <c r="W353" s="510">
        <f t="shared" si="378"/>
      </c>
      <c r="X353" s="427">
        <f t="shared" si="304"/>
      </c>
      <c r="Y353" s="511">
        <f t="shared" si="242"/>
      </c>
      <c r="Z353" s="427">
        <f t="shared" si="180"/>
      </c>
      <c r="AA353" s="509">
        <f t="shared" si="87"/>
      </c>
      <c r="AB353" s="509"/>
      <c r="AC353" s="509"/>
      <c r="AD353" s="484">
        <f>AD347+AD352</f>
      </c>
      <c r="AE353" s="484">
        <f>AE347+AE352</f>
      </c>
      <c r="AF353" s="484">
        <f>AF347+AF352</f>
      </c>
      <c r="AG353" s="484">
        <f>AG347+AG352</f>
      </c>
      <c r="AH353" s="484">
        <f>AH347+AH352</f>
      </c>
      <c r="AI353" s="484">
        <f>AI347+AI352</f>
      </c>
      <c r="AJ353" s="484">
        <f>AJ347+AJ352</f>
      </c>
      <c r="AK353" s="484">
        <f>AK347+AK352</f>
      </c>
      <c r="AL353" s="484">
        <f>AL347+AL352</f>
      </c>
      <c r="AM353" s="478"/>
    </row>
    <row r="354">
      <c r="A354" s="389" t="s">
        <v>189</v>
      </c>
      <c r="B354" s="389"/>
      <c r="C354" s="389"/>
      <c r="D354" s="487" t="s">
        <v>190</v>
      </c>
      <c r="E354" s="487"/>
      <c r="F354" s="487"/>
      <c r="G354" s="487"/>
      <c r="H354" s="487"/>
      <c r="I354" s="487"/>
      <c r="J354" s="487"/>
      <c r="K354" s="487"/>
      <c r="L354" s="487"/>
      <c r="M354" s="487"/>
      <c r="N354" s="487"/>
      <c r="O354" s="487"/>
      <c r="P354" s="391" t="s">
        <v>191</v>
      </c>
      <c r="Q354" s="391"/>
      <c r="R354" s="391"/>
      <c r="S354" s="391"/>
      <c r="T354" s="391"/>
      <c r="U354" s="391"/>
      <c r="V354" s="391"/>
      <c r="W354" s="391"/>
      <c r="X354" s="391"/>
      <c r="Y354" s="391"/>
      <c r="Z354" s="391"/>
      <c r="AA354" s="391"/>
      <c r="AB354" s="391"/>
      <c r="AC354" s="391"/>
      <c r="AD354" s="447" t="s">
        <v>192</v>
      </c>
      <c r="AE354" s="447"/>
      <c r="AF354" s="447"/>
      <c r="AG354" s="447"/>
      <c r="AH354" s="447"/>
      <c r="AI354" s="447"/>
      <c r="AJ354" s="447"/>
      <c r="AK354" s="447"/>
      <c r="AL354" s="447"/>
      <c r="AM354" s="433"/>
    </row>
    <row r="355">
      <c r="A355" s="488" t="s">
        <v>193</v>
      </c>
      <c r="B355" s="489" t="s">
        <v>194</v>
      </c>
      <c r="C355" s="489" t="s">
        <v>195</v>
      </c>
      <c r="D355" s="490" t="s">
        <v>196</v>
      </c>
      <c r="E355" s="491" t="s">
        <v>197</v>
      </c>
      <c r="F355" s="491" t="s">
        <v>198</v>
      </c>
      <c r="G355" s="492" t="s">
        <v>256</v>
      </c>
      <c r="H355" s="493" t="s">
        <v>260</v>
      </c>
      <c r="I355" s="493" t="s">
        <v>199</v>
      </c>
      <c r="J355" s="390" t="s">
        <v>200</v>
      </c>
      <c r="K355" s="390" t="s">
        <v>201</v>
      </c>
      <c r="L355" s="390" t="s">
        <v>202</v>
      </c>
      <c r="M355" s="390" t="s">
        <v>203</v>
      </c>
      <c r="N355" s="492" t="s">
        <v>204</v>
      </c>
      <c r="O355" s="390" t="s">
        <v>205</v>
      </c>
      <c r="P355" s="391" t="s">
        <v>206</v>
      </c>
      <c r="Q355" s="391" t="s">
        <v>207</v>
      </c>
      <c r="R355" s="391" t="s">
        <v>208</v>
      </c>
      <c r="S355" s="494" t="s">
        <v>209</v>
      </c>
      <c r="T355" s="494" t="s">
        <v>210</v>
      </c>
      <c r="U355" s="391" t="s">
        <v>211</v>
      </c>
      <c r="V355" s="494" t="s">
        <v>212</v>
      </c>
      <c r="W355" s="494" t="s">
        <v>213</v>
      </c>
      <c r="X355" s="391" t="s">
        <v>214</v>
      </c>
      <c r="Y355" s="494" t="s">
        <v>215</v>
      </c>
      <c r="Z355" s="391" t="s">
        <v>216</v>
      </c>
      <c r="AA355" s="495" t="s">
        <v>217</v>
      </c>
      <c r="AB355" s="495" t="s">
        <v>218</v>
      </c>
      <c r="AC355" s="495" t="s">
        <v>219</v>
      </c>
      <c r="AD355" s="456" t="s">
        <v>220</v>
      </c>
      <c r="AE355" s="301" t="s">
        <v>221</v>
      </c>
      <c r="AF355" s="301" t="s">
        <v>222</v>
      </c>
      <c r="AG355" s="301" t="s">
        <v>223</v>
      </c>
      <c r="AH355" s="301" t="s">
        <v>224</v>
      </c>
      <c r="AI355" s="301" t="s">
        <v>225</v>
      </c>
      <c r="AJ355" s="302" t="s">
        <v>226</v>
      </c>
      <c r="AK355" s="302" t="s">
        <v>227</v>
      </c>
      <c r="AL355" s="302" t="s">
        <v>228</v>
      </c>
      <c r="AM355" s="433"/>
    </row>
    <row r="356">
      <c r="A356" s="512" t="s">
        <v>277</v>
      </c>
      <c r="B356" s="334" t="s">
        <v>230</v>
      </c>
      <c r="C356" s="334" t="s">
        <v>240</v>
      </c>
      <c r="D356" s="334">
        <f t="shared" ref="D356:D360" si="424">E356+F356+G356+H356</f>
      </c>
      <c r="E356" s="401">
        <v>4073.96</v>
      </c>
      <c r="F356" s="334">
        <v>519.39</v>
      </c>
      <c r="G356" s="304"/>
      <c r="H356" s="334">
        <v>660.69</v>
      </c>
      <c r="I356" s="334">
        <v>3</v>
      </c>
      <c r="J356" s="334">
        <v>6428</v>
      </c>
      <c r="K356" s="326">
        <v>0</v>
      </c>
      <c r="L356" s="326">
        <v>0</v>
      </c>
      <c r="M356" s="326">
        <v>3</v>
      </c>
      <c r="N356" s="497">
        <f t="shared" ref="N356:N366" si="348">J356/D356</f>
      </c>
      <c r="O356" s="497">
        <f t="shared" ref="O356:O366" si="274">J356/(D356+300*AL356)</f>
      </c>
      <c r="P356" s="498">
        <f t="shared" ref="P356:P366" si="212">(D356/AE356)*1000</f>
      </c>
      <c r="Q356" s="405">
        <f t="shared" ref="Q356:Q366" si="119">AF356/AE356</f>
      </c>
      <c r="R356" s="406">
        <f t="shared" ref="R356:R366" si="57">D356/AG356</f>
      </c>
      <c r="S356" s="405">
        <f t="shared" ref="S356:S366" si="150">AH356/AG356</f>
      </c>
      <c r="T356" s="405">
        <f t="shared" ref="T356:T366" si="26">AI356/AG356</f>
      </c>
      <c r="U356" s="406">
        <f t="shared" ref="U356:U366" si="511">D356/AI356</f>
      </c>
      <c r="V356" s="405">
        <f t="shared" ref="V356:V366" si="480">AJ356/AI356</f>
      </c>
      <c r="W356" s="405">
        <f t="shared" ref="W356:W366" si="379">I356/AJ356</f>
      </c>
      <c r="X356" s="406">
        <f t="shared" ref="X356:X366" si="305">D356/I356</f>
      </c>
      <c r="Y356" s="410">
        <f t="shared" ref="Y356:Y366" si="243">J356/I356</f>
      </c>
      <c r="Z356" s="406">
        <f t="shared" ref="Z356:Z366" si="181">D356/AD356</f>
      </c>
      <c r="AA356" s="499">
        <f t="shared" ref="AA356:AA366" si="88">AK356*1000/D356</f>
      </c>
      <c r="AB356" s="500" t="s">
        <v>232</v>
      </c>
      <c r="AC356" s="411" t="s">
        <v>233</v>
      </c>
      <c r="AD356" s="485">
        <v>2</v>
      </c>
      <c r="AE356" s="334">
        <v>12351</v>
      </c>
      <c r="AF356" s="304">
        <v>420</v>
      </c>
      <c r="AG356" s="304">
        <v>807</v>
      </c>
      <c r="AH356" s="304">
        <v>116</v>
      </c>
      <c r="AI356" s="334">
        <v>22</v>
      </c>
      <c r="AJ356" s="325">
        <v>10</v>
      </c>
      <c r="AK356" s="326">
        <v>22</v>
      </c>
      <c r="AL356" s="310">
        <v>1</v>
      </c>
      <c r="AM356" s="434"/>
    </row>
    <row r="357">
      <c r="A357" s="496"/>
      <c r="B357" s="334" t="s">
        <v>234</v>
      </c>
      <c r="C357" s="513" t="s">
        <v>240</v>
      </c>
      <c r="D357" s="513">
        <f t="shared" si="424"/>
      </c>
      <c r="E357" s="334">
        <v>2726.04</v>
      </c>
      <c r="F357" s="412">
        <v>766.99</v>
      </c>
      <c r="G357" s="334"/>
      <c r="H357" s="334">
        <v>908.33</v>
      </c>
      <c r="I357" s="334">
        <v>4</v>
      </c>
      <c r="J357" s="334">
        <v>6432</v>
      </c>
      <c r="K357" s="326">
        <v>0</v>
      </c>
      <c r="L357" s="326">
        <v>2</v>
      </c>
      <c r="M357" s="326">
        <v>2</v>
      </c>
      <c r="N357" s="497">
        <f t="shared" si="348"/>
      </c>
      <c r="O357" s="497">
        <f t="shared" si="274"/>
      </c>
      <c r="P357" s="498">
        <f t="shared" si="212"/>
      </c>
      <c r="Q357" s="405">
        <f t="shared" si="119"/>
      </c>
      <c r="R357" s="406">
        <f t="shared" si="57"/>
      </c>
      <c r="S357" s="405">
        <f t="shared" si="150"/>
      </c>
      <c r="T357" s="405">
        <f t="shared" si="26"/>
      </c>
      <c r="U357" s="406">
        <f t="shared" si="511"/>
      </c>
      <c r="V357" s="405">
        <f t="shared" si="480"/>
      </c>
      <c r="W357" s="405">
        <f t="shared" si="379"/>
      </c>
      <c r="X357" s="406">
        <f t="shared" si="305"/>
      </c>
      <c r="Y357" s="410">
        <f t="shared" si="243"/>
      </c>
      <c r="Z357" s="406">
        <f t="shared" si="181"/>
      </c>
      <c r="AA357" s="499">
        <f t="shared" si="88"/>
      </c>
      <c r="AB357" s="500" t="s">
        <v>232</v>
      </c>
      <c r="AC357" s="411" t="s">
        <v>233</v>
      </c>
      <c r="AD357" s="304">
        <v>4</v>
      </c>
      <c r="AE357" s="333">
        <v>10666</v>
      </c>
      <c r="AF357" s="304">
        <v>338</v>
      </c>
      <c r="AG357" s="333">
        <v>607</v>
      </c>
      <c r="AH357" s="334">
        <v>103</v>
      </c>
      <c r="AI357" s="334">
        <v>25</v>
      </c>
      <c r="AJ357" s="335">
        <v>4</v>
      </c>
      <c r="AK357" s="336">
        <v>25</v>
      </c>
      <c r="AL357" s="310">
        <v>1</v>
      </c>
      <c r="AM357" s="434"/>
    </row>
    <row r="358">
      <c r="A358" s="496"/>
      <c r="B358" s="401" t="s">
        <v>235</v>
      </c>
      <c r="C358" s="514" t="s">
        <v>240</v>
      </c>
      <c r="D358" s="306">
        <f t="shared" si="424"/>
      </c>
      <c r="E358" s="304">
        <v>2238.38</v>
      </c>
      <c r="F358" s="304">
        <v>1360.35</v>
      </c>
      <c r="G358" s="334"/>
      <c r="H358" s="334">
        <v>905.41</v>
      </c>
      <c r="I358" s="334">
        <v>6</v>
      </c>
      <c r="J358" s="334">
        <v>7406.4000000000015</v>
      </c>
      <c r="K358" s="326">
        <v>0</v>
      </c>
      <c r="L358" s="326">
        <v>1</v>
      </c>
      <c r="M358" s="326">
        <v>2</v>
      </c>
      <c r="N358" s="497">
        <f t="shared" si="348"/>
      </c>
      <c r="O358" s="497">
        <f t="shared" si="274"/>
      </c>
      <c r="P358" s="498">
        <f t="shared" si="212"/>
      </c>
      <c r="Q358" s="405">
        <f t="shared" si="119"/>
      </c>
      <c r="R358" s="406">
        <f t="shared" si="57"/>
      </c>
      <c r="S358" s="405">
        <f t="shared" si="150"/>
      </c>
      <c r="T358" s="405">
        <f t="shared" si="26"/>
      </c>
      <c r="U358" s="406">
        <f t="shared" si="511"/>
      </c>
      <c r="V358" s="405">
        <f t="shared" si="480"/>
      </c>
      <c r="W358" s="405">
        <f t="shared" si="379"/>
      </c>
      <c r="X358" s="406">
        <f t="shared" si="305"/>
      </c>
      <c r="Y358" s="410">
        <f t="shared" si="243"/>
      </c>
      <c r="Z358" s="406">
        <f t="shared" si="181"/>
      </c>
      <c r="AA358" s="499">
        <f t="shared" si="88"/>
      </c>
      <c r="AB358" s="500" t="s">
        <v>232</v>
      </c>
      <c r="AC358" s="411" t="s">
        <v>233</v>
      </c>
      <c r="AD358" s="304">
        <v>3</v>
      </c>
      <c r="AE358" s="334">
        <v>10657</v>
      </c>
      <c r="AF358" s="304">
        <v>327</v>
      </c>
      <c r="AG358" s="334">
        <v>625</v>
      </c>
      <c r="AH358" s="334">
        <v>93</v>
      </c>
      <c r="AI358" s="334">
        <v>25</v>
      </c>
      <c r="AJ358" s="335">
        <v>6</v>
      </c>
      <c r="AK358" s="336">
        <v>21</v>
      </c>
      <c r="AL358" s="310">
        <v>1</v>
      </c>
      <c r="AM358" s="434"/>
    </row>
    <row r="359">
      <c r="A359" s="496"/>
      <c r="B359" s="334" t="s">
        <v>236</v>
      </c>
      <c r="C359" s="333" t="s">
        <v>240</v>
      </c>
      <c r="D359" s="333">
        <f t="shared" si="424"/>
      </c>
      <c r="E359" s="334">
        <v>3011.43</v>
      </c>
      <c r="F359" s="304">
        <v>894.66</v>
      </c>
      <c r="G359" s="334"/>
      <c r="H359" s="334">
        <v>591.7</v>
      </c>
      <c r="I359" s="334">
        <v>3</v>
      </c>
      <c r="J359" s="334">
        <v>6804</v>
      </c>
      <c r="K359" s="326">
        <v>0</v>
      </c>
      <c r="L359" s="326">
        <v>0</v>
      </c>
      <c r="M359" s="326">
        <v>3</v>
      </c>
      <c r="N359" s="497">
        <f t="shared" si="348"/>
      </c>
      <c r="O359" s="497">
        <f t="shared" si="274"/>
      </c>
      <c r="P359" s="498">
        <f t="shared" si="212"/>
      </c>
      <c r="Q359" s="405">
        <f t="shared" si="119"/>
      </c>
      <c r="R359" s="406">
        <f t="shared" si="57"/>
      </c>
      <c r="S359" s="405">
        <f t="shared" si="150"/>
      </c>
      <c r="T359" s="405">
        <f t="shared" si="26"/>
      </c>
      <c r="U359" s="406">
        <f t="shared" si="511"/>
      </c>
      <c r="V359" s="405">
        <f t="shared" si="480"/>
      </c>
      <c r="W359" s="405">
        <f t="shared" si="379"/>
      </c>
      <c r="X359" s="406">
        <f t="shared" si="305"/>
      </c>
      <c r="Y359" s="410">
        <f t="shared" si="243"/>
      </c>
      <c r="Z359" s="406">
        <f t="shared" si="181"/>
      </c>
      <c r="AA359" s="499">
        <f t="shared" si="88"/>
      </c>
      <c r="AB359" s="500" t="s">
        <v>232</v>
      </c>
      <c r="AC359" s="411" t="s">
        <v>233</v>
      </c>
      <c r="AD359" s="412">
        <v>3</v>
      </c>
      <c r="AE359" s="333">
        <v>9297</v>
      </c>
      <c r="AF359" s="334">
        <v>293</v>
      </c>
      <c r="AG359" s="334">
        <v>464</v>
      </c>
      <c r="AH359" s="334">
        <v>88</v>
      </c>
      <c r="AI359" s="334">
        <v>16</v>
      </c>
      <c r="AJ359" s="335">
        <v>4</v>
      </c>
      <c r="AK359" s="336">
        <v>22</v>
      </c>
      <c r="AL359" s="310">
        <v>1</v>
      </c>
      <c r="AM359" s="434"/>
    </row>
    <row r="360">
      <c r="A360" s="496"/>
      <c r="B360" s="334" t="s">
        <v>237</v>
      </c>
      <c r="C360" s="334" t="s">
        <v>240</v>
      </c>
      <c r="D360" s="334">
        <f t="shared" si="424"/>
      </c>
      <c r="E360" s="334">
        <v>3310.82</v>
      </c>
      <c r="F360" s="304">
        <v>558.75</v>
      </c>
      <c r="G360" s="334"/>
      <c r="H360" s="334">
        <v>708.57</v>
      </c>
      <c r="I360" s="334">
        <v>3</v>
      </c>
      <c r="J360" s="334">
        <v>5483.999999999996</v>
      </c>
      <c r="K360" s="326">
        <v>0</v>
      </c>
      <c r="L360" s="326">
        <v>1</v>
      </c>
      <c r="M360" s="326">
        <v>2</v>
      </c>
      <c r="N360" s="497">
        <f t="shared" si="348"/>
      </c>
      <c r="O360" s="497">
        <f t="shared" si="274"/>
      </c>
      <c r="P360" s="498">
        <f t="shared" si="212"/>
      </c>
      <c r="Q360" s="405">
        <f t="shared" si="119"/>
      </c>
      <c r="R360" s="406">
        <f t="shared" si="57"/>
      </c>
      <c r="S360" s="405">
        <f t="shared" si="150"/>
      </c>
      <c r="T360" s="405">
        <f t="shared" si="26"/>
      </c>
      <c r="U360" s="406">
        <f t="shared" si="511"/>
      </c>
      <c r="V360" s="405">
        <f t="shared" si="480"/>
      </c>
      <c r="W360" s="405">
        <f t="shared" si="379"/>
      </c>
      <c r="X360" s="406">
        <f t="shared" si="305"/>
      </c>
      <c r="Y360" s="410">
        <f t="shared" si="243"/>
      </c>
      <c r="Z360" s="406">
        <f t="shared" si="181"/>
      </c>
      <c r="AA360" s="499">
        <f t="shared" si="88"/>
      </c>
      <c r="AB360" s="500" t="s">
        <v>232</v>
      </c>
      <c r="AC360" s="411" t="s">
        <v>233</v>
      </c>
      <c r="AD360" s="412">
        <v>2</v>
      </c>
      <c r="AE360" s="333">
        <v>11591</v>
      </c>
      <c r="AF360" s="334">
        <v>345</v>
      </c>
      <c r="AG360" s="334">
        <v>565</v>
      </c>
      <c r="AH360" s="334">
        <v>98</v>
      </c>
      <c r="AI360" s="334">
        <v>10</v>
      </c>
      <c r="AJ360" s="335">
        <v>8</v>
      </c>
      <c r="AK360" s="336">
        <v>18</v>
      </c>
      <c r="AL360" s="310">
        <v>1</v>
      </c>
      <c r="AM360" s="434"/>
    </row>
    <row r="361">
      <c r="A361" s="496"/>
      <c r="B361" s="501" t="s">
        <v>238</v>
      </c>
      <c r="C361" s="501"/>
      <c r="D361" s="501">
        <f>SUM(D356:D360)</f>
      </c>
      <c r="E361" s="501">
        <f>SUM(E356:E360)</f>
      </c>
      <c r="F361" s="501">
        <f>SUM(F356:F360)</f>
      </c>
      <c r="G361" s="501">
        <f>SUM(G356:G360)</f>
      </c>
      <c r="H361" s="501">
        <f>SUM(H356:H360)</f>
      </c>
      <c r="I361" s="501">
        <f>SUM(I356:I360)</f>
      </c>
      <c r="J361" s="501">
        <f>SUM(J356:J360)</f>
      </c>
      <c r="K361" s="501">
        <f>SUM(K356:K360)</f>
      </c>
      <c r="L361" s="501">
        <f>SUM(L356:L360)</f>
      </c>
      <c r="M361" s="501">
        <f>SUM(M356:M360)</f>
      </c>
      <c r="N361" s="502">
        <f t="shared" si="348"/>
      </c>
      <c r="O361" s="502">
        <f t="shared" si="274"/>
      </c>
      <c r="P361" s="503">
        <f t="shared" si="212"/>
      </c>
      <c r="Q361" s="504">
        <f t="shared" si="119"/>
      </c>
      <c r="R361" s="505">
        <f t="shared" si="57"/>
      </c>
      <c r="S361" s="504">
        <f t="shared" si="150"/>
      </c>
      <c r="T361" s="504">
        <f t="shared" si="26"/>
      </c>
      <c r="U361" s="505">
        <f t="shared" si="511"/>
      </c>
      <c r="V361" s="504">
        <f t="shared" si="480"/>
      </c>
      <c r="W361" s="504">
        <f t="shared" si="379"/>
      </c>
      <c r="X361" s="505">
        <f t="shared" si="305"/>
      </c>
      <c r="Y361" s="506">
        <f t="shared" si="243"/>
      </c>
      <c r="Z361" s="505">
        <f t="shared" si="181"/>
      </c>
      <c r="AA361" s="507">
        <f t="shared" si="88"/>
      </c>
      <c r="AB361" s="507"/>
      <c r="AC361" s="507"/>
      <c r="AD361" s="347">
        <f>SUM(AD356:AD360)</f>
      </c>
      <c r="AE361" s="347">
        <f>SUM(AE356:AE360)</f>
      </c>
      <c r="AF361" s="347">
        <f>SUM(AF356:AF360)</f>
      </c>
      <c r="AG361" s="347">
        <f>SUM(AG356:AG360)</f>
      </c>
      <c r="AH361" s="347">
        <f>SUM(AH356:AH360)</f>
      </c>
      <c r="AI361" s="347">
        <f>SUM(AI356:AI360)</f>
      </c>
      <c r="AJ361" s="347">
        <f>SUM(AJ356:AJ360)</f>
      </c>
      <c r="AK361" s="347">
        <f>SUM(AK356:AK360)</f>
      </c>
      <c r="AL361" s="347">
        <f>SUM(AL356:AL360)</f>
      </c>
      <c r="AM361" s="434"/>
    </row>
    <row r="362">
      <c r="A362" s="496"/>
      <c r="B362" s="333" t="s">
        <v>239</v>
      </c>
      <c r="C362" s="334" t="s">
        <v>231</v>
      </c>
      <c r="D362" s="334">
        <f t="shared" ref="D362:D364" si="425">E362+F362+G362+H362</f>
      </c>
      <c r="E362" s="334">
        <v>3466.16</v>
      </c>
      <c r="F362" s="304">
        <v>476.92</v>
      </c>
      <c r="G362" s="334"/>
      <c r="H362" s="334">
        <v>360.19</v>
      </c>
      <c r="I362" s="334">
        <v>3</v>
      </c>
      <c r="J362" s="334">
        <v>6803.999999999996</v>
      </c>
      <c r="K362" s="326">
        <v>0</v>
      </c>
      <c r="L362" s="326">
        <v>0</v>
      </c>
      <c r="M362" s="326">
        <v>3</v>
      </c>
      <c r="N362" s="497">
        <f t="shared" si="348"/>
      </c>
      <c r="O362" s="497">
        <f t="shared" si="274"/>
      </c>
      <c r="P362" s="498">
        <f t="shared" si="212"/>
      </c>
      <c r="Q362" s="405">
        <f t="shared" si="119"/>
      </c>
      <c r="R362" s="406">
        <f t="shared" si="57"/>
      </c>
      <c r="S362" s="405">
        <f t="shared" si="150"/>
      </c>
      <c r="T362" s="405">
        <f t="shared" si="26"/>
      </c>
      <c r="U362" s="406">
        <f t="shared" si="511"/>
      </c>
      <c r="V362" s="405">
        <f t="shared" si="480"/>
      </c>
      <c r="W362" s="405">
        <f t="shared" si="379"/>
      </c>
      <c r="X362" s="406">
        <f t="shared" si="305"/>
      </c>
      <c r="Y362" s="410">
        <f t="shared" si="243"/>
      </c>
      <c r="Z362" s="406">
        <f t="shared" si="181"/>
      </c>
      <c r="AA362" s="499">
        <f t="shared" si="88"/>
      </c>
      <c r="AB362" s="500" t="s">
        <v>232</v>
      </c>
      <c r="AC362" s="411" t="s">
        <v>233</v>
      </c>
      <c r="AD362" s="402">
        <v>1</v>
      </c>
      <c r="AE362" s="365">
        <v>9814</v>
      </c>
      <c r="AF362" s="365">
        <v>337</v>
      </c>
      <c r="AG362" s="365">
        <v>543</v>
      </c>
      <c r="AH362" s="365">
        <v>116</v>
      </c>
      <c r="AI362" s="365">
        <v>10</v>
      </c>
      <c r="AJ362" s="310">
        <v>5</v>
      </c>
      <c r="AK362" s="310">
        <v>22</v>
      </c>
      <c r="AL362" s="310">
        <v>1</v>
      </c>
      <c r="AM362" s="434"/>
    </row>
    <row r="363">
      <c r="A363" s="496"/>
      <c r="B363" s="334" t="s">
        <v>241</v>
      </c>
      <c r="C363" s="334" t="s">
        <v>231</v>
      </c>
      <c r="D363" s="334">
        <f t="shared" si="425"/>
      </c>
      <c r="E363" s="334">
        <v>2942</v>
      </c>
      <c r="F363" s="304">
        <v>550.6</v>
      </c>
      <c r="G363" s="334"/>
      <c r="H363" s="334">
        <v>197.62</v>
      </c>
      <c r="I363" s="334">
        <v>2</v>
      </c>
      <c r="J363" s="334">
        <v>3216</v>
      </c>
      <c r="K363" s="326">
        <v>0</v>
      </c>
      <c r="L363" s="326">
        <v>1</v>
      </c>
      <c r="M363" s="326">
        <v>1</v>
      </c>
      <c r="N363" s="497">
        <f t="shared" si="348"/>
      </c>
      <c r="O363" s="497">
        <f t="shared" si="274"/>
      </c>
      <c r="P363" s="498">
        <f t="shared" si="212"/>
      </c>
      <c r="Q363" s="405">
        <f t="shared" si="119"/>
      </c>
      <c r="R363" s="406">
        <f t="shared" si="57"/>
      </c>
      <c r="S363" s="405">
        <f t="shared" si="150"/>
      </c>
      <c r="T363" s="405">
        <f t="shared" si="26"/>
      </c>
      <c r="U363" s="406">
        <f t="shared" si="511"/>
      </c>
      <c r="V363" s="405">
        <f t="shared" si="480"/>
      </c>
      <c r="W363" s="405">
        <f t="shared" si="379"/>
      </c>
      <c r="X363" s="406">
        <f t="shared" si="305"/>
      </c>
      <c r="Y363" s="410">
        <f t="shared" si="243"/>
      </c>
      <c r="Z363" s="406">
        <f t="shared" si="181"/>
      </c>
      <c r="AA363" s="499">
        <f t="shared" si="88"/>
      </c>
      <c r="AB363" s="500" t="s">
        <v>232</v>
      </c>
      <c r="AC363" s="411" t="s">
        <v>233</v>
      </c>
      <c r="AD363" s="402">
        <v>2</v>
      </c>
      <c r="AE363" s="365">
        <v>7356</v>
      </c>
      <c r="AF363" s="365">
        <v>274</v>
      </c>
      <c r="AG363" s="365">
        <v>525</v>
      </c>
      <c r="AH363" s="365">
        <v>101</v>
      </c>
      <c r="AI363" s="365">
        <v>22</v>
      </c>
      <c r="AJ363" s="310">
        <v>5</v>
      </c>
      <c r="AK363" s="310">
        <v>15</v>
      </c>
      <c r="AL363" s="310">
        <v>1</v>
      </c>
      <c r="AM363" s="434"/>
    </row>
    <row r="364">
      <c r="A364" s="496"/>
      <c r="B364" s="334" t="s">
        <v>242</v>
      </c>
      <c r="C364" s="334" t="s">
        <v>231</v>
      </c>
      <c r="D364" s="333">
        <f t="shared" si="425"/>
      </c>
      <c r="E364" s="333">
        <v>2587.39</v>
      </c>
      <c r="F364" s="334">
        <v>615.83</v>
      </c>
      <c r="G364" s="334"/>
      <c r="H364" s="334">
        <v>52.98</v>
      </c>
      <c r="I364" s="334">
        <v>1</v>
      </c>
      <c r="J364" s="334">
        <v>2268</v>
      </c>
      <c r="K364" s="326">
        <v>0</v>
      </c>
      <c r="L364" s="326">
        <v>0</v>
      </c>
      <c r="M364" s="326">
        <v>1</v>
      </c>
      <c r="N364" s="497">
        <f t="shared" si="348"/>
      </c>
      <c r="O364" s="497">
        <f t="shared" si="274"/>
      </c>
      <c r="P364" s="498">
        <f t="shared" si="212"/>
      </c>
      <c r="Q364" s="405">
        <f t="shared" si="119"/>
      </c>
      <c r="R364" s="406">
        <f t="shared" si="57"/>
      </c>
      <c r="S364" s="405">
        <f t="shared" si="150"/>
      </c>
      <c r="T364" s="405">
        <f t="shared" si="26"/>
      </c>
      <c r="U364" s="406">
        <f t="shared" si="511"/>
      </c>
      <c r="V364" s="405">
        <f t="shared" si="480"/>
      </c>
      <c r="W364" s="405">
        <f t="shared" si="379"/>
      </c>
      <c r="X364" s="406">
        <f t="shared" si="305"/>
      </c>
      <c r="Y364" s="410">
        <f t="shared" si="243"/>
      </c>
      <c r="Z364" s="406">
        <f t="shared" si="181"/>
      </c>
      <c r="AA364" s="499">
        <f t="shared" si="88"/>
      </c>
      <c r="AB364" s="500" t="s">
        <v>232</v>
      </c>
      <c r="AC364" s="411" t="s">
        <v>233</v>
      </c>
      <c r="AD364" s="402">
        <v>1</v>
      </c>
      <c r="AE364" s="365">
        <v>4786</v>
      </c>
      <c r="AF364" s="365">
        <v>178</v>
      </c>
      <c r="AG364" s="365">
        <v>376</v>
      </c>
      <c r="AH364" s="365">
        <v>81</v>
      </c>
      <c r="AI364" s="365">
        <v>20</v>
      </c>
      <c r="AJ364" s="310">
        <v>4</v>
      </c>
      <c r="AK364" s="310">
        <v>17</v>
      </c>
      <c r="AL364" s="310">
        <v>1</v>
      </c>
      <c r="AM364" s="434"/>
    </row>
    <row r="365">
      <c r="A365" s="496"/>
      <c r="B365" s="501" t="s">
        <v>238</v>
      </c>
      <c r="C365" s="501"/>
      <c r="D365" s="501">
        <f>SUM(D362:D364)</f>
      </c>
      <c r="E365" s="501">
        <f>SUM(E362:E364)</f>
      </c>
      <c r="F365" s="501">
        <f>SUM(F362:F364)</f>
      </c>
      <c r="G365" s="501">
        <f>SUM(G362:G364)</f>
      </c>
      <c r="H365" s="501">
        <f>SUM(H362:H364)</f>
      </c>
      <c r="I365" s="501">
        <f>SUM(I362:I364)</f>
      </c>
      <c r="J365" s="501">
        <f>SUM(J362:J364)</f>
      </c>
      <c r="K365" s="501">
        <f>SUM(K362:K364)</f>
      </c>
      <c r="L365" s="501">
        <f>SUM(L362:L364)</f>
      </c>
      <c r="M365" s="501">
        <f>SUM(M362:M364)</f>
      </c>
      <c r="N365" s="502">
        <f t="shared" si="348"/>
      </c>
      <c r="O365" s="502">
        <f t="shared" si="274"/>
      </c>
      <c r="P365" s="508">
        <f t="shared" si="212"/>
      </c>
      <c r="Q365" s="504">
        <f t="shared" si="119"/>
      </c>
      <c r="R365" s="505">
        <f t="shared" si="57"/>
      </c>
      <c r="S365" s="504">
        <f t="shared" si="150"/>
      </c>
      <c r="T365" s="504">
        <f t="shared" si="26"/>
      </c>
      <c r="U365" s="505">
        <f t="shared" si="511"/>
      </c>
      <c r="V365" s="504">
        <f t="shared" si="480"/>
      </c>
      <c r="W365" s="504">
        <f t="shared" si="379"/>
      </c>
      <c r="X365" s="505">
        <f t="shared" si="305"/>
      </c>
      <c r="Y365" s="506">
        <f t="shared" si="243"/>
      </c>
      <c r="Z365" s="505">
        <f t="shared" si="181"/>
      </c>
      <c r="AA365" s="507">
        <f t="shared" si="88"/>
      </c>
      <c r="AB365" s="507"/>
      <c r="AC365" s="507"/>
      <c r="AD365" s="347">
        <f>SUM(AD362:AD364)</f>
      </c>
      <c r="AE365" s="347">
        <f>SUM(AE362:AE364)</f>
      </c>
      <c r="AF365" s="347">
        <f>SUM(AF362:AF364)</f>
      </c>
      <c r="AG365" s="347">
        <f>SUM(AG362:AG364)</f>
      </c>
      <c r="AH365" s="347">
        <f>SUM(AH362:AH364)</f>
      </c>
      <c r="AI365" s="347">
        <f>SUM(AI362:AI364)</f>
      </c>
      <c r="AJ365" s="347">
        <f>SUM(AJ362:AJ364)</f>
      </c>
      <c r="AK365" s="347">
        <f>SUM(AK362:AK364)</f>
      </c>
      <c r="AL365" s="347">
        <f>SUM(AL362:AL364)</f>
      </c>
      <c r="AM365" s="478" t="s">
        <v>273</v>
      </c>
    </row>
    <row r="366">
      <c r="A366" s="496"/>
      <c r="B366" s="373" t="s">
        <v>250</v>
      </c>
      <c r="C366" s="373"/>
      <c r="D366" s="515">
        <f>D361+D365</f>
      </c>
      <c r="E366" s="515">
        <f>E361+E365</f>
      </c>
      <c r="F366" s="515">
        <f>F361+F365</f>
      </c>
      <c r="G366" s="515">
        <f>G361+G365</f>
      </c>
      <c r="H366" s="515">
        <f>H361+H365</f>
      </c>
      <c r="I366" s="515">
        <f>I361+I365</f>
      </c>
      <c r="J366" s="515">
        <f>J361+J365</f>
      </c>
      <c r="K366" s="515">
        <f>K361+K365</f>
      </c>
      <c r="L366" s="515">
        <f>L361+L365</f>
      </c>
      <c r="M366" s="515">
        <f>M361+M365</f>
      </c>
      <c r="N366" s="427">
        <f t="shared" si="348"/>
      </c>
      <c r="O366" s="427">
        <f t="shared" si="274"/>
      </c>
      <c r="P366" s="509">
        <f t="shared" si="212"/>
      </c>
      <c r="Q366" s="510">
        <f t="shared" si="119"/>
      </c>
      <c r="R366" s="427">
        <f t="shared" si="57"/>
      </c>
      <c r="S366" s="510">
        <f t="shared" si="150"/>
      </c>
      <c r="T366" s="510">
        <f t="shared" si="26"/>
      </c>
      <c r="U366" s="427">
        <f t="shared" si="511"/>
      </c>
      <c r="V366" s="510">
        <f t="shared" si="480"/>
      </c>
      <c r="W366" s="510">
        <f t="shared" si="379"/>
      </c>
      <c r="X366" s="427">
        <f t="shared" si="305"/>
      </c>
      <c r="Y366" s="511">
        <f t="shared" si="243"/>
      </c>
      <c r="Z366" s="427">
        <f t="shared" si="181"/>
      </c>
      <c r="AA366" s="509">
        <f t="shared" si="88"/>
      </c>
      <c r="AB366" s="509"/>
      <c r="AC366" s="509"/>
      <c r="AD366" s="484">
        <f>AD361+AD365</f>
      </c>
      <c r="AE366" s="484">
        <f>AE361+AE365</f>
      </c>
      <c r="AF366" s="484">
        <f>AF361+AF365</f>
      </c>
      <c r="AG366" s="484">
        <f>AG361+AG365</f>
      </c>
      <c r="AH366" s="484">
        <f>AH361+AH365</f>
      </c>
      <c r="AI366" s="484">
        <f>AI361+AI365</f>
      </c>
      <c r="AJ366" s="484">
        <f>AJ361+AJ365</f>
      </c>
      <c r="AK366" s="484">
        <f>AK361+AK365</f>
      </c>
      <c r="AL366" s="484">
        <f>AL361+AL365</f>
      </c>
      <c r="AM366" s="478"/>
    </row>
    <row r="367">
      <c r="A367" s="389" t="s">
        <v>189</v>
      </c>
      <c r="B367" s="389"/>
      <c r="C367" s="389"/>
      <c r="D367" s="487" t="s">
        <v>190</v>
      </c>
      <c r="E367" s="487"/>
      <c r="F367" s="487"/>
      <c r="G367" s="487"/>
      <c r="H367" s="487"/>
      <c r="I367" s="487"/>
      <c r="J367" s="487"/>
      <c r="K367" s="487"/>
      <c r="L367" s="487"/>
      <c r="M367" s="487"/>
      <c r="N367" s="487"/>
      <c r="O367" s="487"/>
      <c r="P367" s="391" t="s">
        <v>191</v>
      </c>
      <c r="Q367" s="391"/>
      <c r="R367" s="391"/>
      <c r="S367" s="391"/>
      <c r="T367" s="391"/>
      <c r="U367" s="391"/>
      <c r="V367" s="391"/>
      <c r="W367" s="391"/>
      <c r="X367" s="391"/>
      <c r="Y367" s="391"/>
      <c r="Z367" s="391"/>
      <c r="AA367" s="391"/>
      <c r="AB367" s="391"/>
      <c r="AC367" s="391"/>
      <c r="AD367" s="447" t="s">
        <v>192</v>
      </c>
      <c r="AE367" s="447"/>
      <c r="AF367" s="447"/>
      <c r="AG367" s="447"/>
      <c r="AH367" s="447"/>
      <c r="AI367" s="447"/>
      <c r="AJ367" s="447"/>
      <c r="AK367" s="447"/>
      <c r="AL367" s="447"/>
      <c r="AM367" s="433"/>
    </row>
    <row r="368">
      <c r="A368" s="488" t="s">
        <v>193</v>
      </c>
      <c r="B368" s="489" t="s">
        <v>194</v>
      </c>
      <c r="C368" s="489" t="s">
        <v>195</v>
      </c>
      <c r="D368" s="490" t="s">
        <v>196</v>
      </c>
      <c r="E368" s="491" t="s">
        <v>197</v>
      </c>
      <c r="F368" s="491" t="s">
        <v>198</v>
      </c>
      <c r="G368" s="492" t="s">
        <v>256</v>
      </c>
      <c r="H368" s="493" t="s">
        <v>260</v>
      </c>
      <c r="I368" s="493" t="s">
        <v>199</v>
      </c>
      <c r="J368" s="490" t="s">
        <v>200</v>
      </c>
      <c r="K368" s="390" t="s">
        <v>201</v>
      </c>
      <c r="L368" s="390" t="s">
        <v>202</v>
      </c>
      <c r="M368" s="390" t="s">
        <v>203</v>
      </c>
      <c r="N368" s="492" t="s">
        <v>204</v>
      </c>
      <c r="O368" s="390" t="s">
        <v>205</v>
      </c>
      <c r="P368" s="391" t="s">
        <v>206</v>
      </c>
      <c r="Q368" s="391" t="s">
        <v>207</v>
      </c>
      <c r="R368" s="391" t="s">
        <v>208</v>
      </c>
      <c r="S368" s="494" t="s">
        <v>209</v>
      </c>
      <c r="T368" s="494" t="s">
        <v>210</v>
      </c>
      <c r="U368" s="391" t="s">
        <v>211</v>
      </c>
      <c r="V368" s="494" t="s">
        <v>212</v>
      </c>
      <c r="W368" s="494" t="s">
        <v>213</v>
      </c>
      <c r="X368" s="391" t="s">
        <v>214</v>
      </c>
      <c r="Y368" s="494" t="s">
        <v>215</v>
      </c>
      <c r="Z368" s="391" t="s">
        <v>216</v>
      </c>
      <c r="AA368" s="495" t="s">
        <v>217</v>
      </c>
      <c r="AB368" s="495" t="s">
        <v>218</v>
      </c>
      <c r="AC368" s="495" t="s">
        <v>219</v>
      </c>
      <c r="AD368" s="456" t="s">
        <v>220</v>
      </c>
      <c r="AE368" s="301" t="s">
        <v>221</v>
      </c>
      <c r="AF368" s="301" t="s">
        <v>222</v>
      </c>
      <c r="AG368" s="301" t="s">
        <v>223</v>
      </c>
      <c r="AH368" s="301" t="s">
        <v>224</v>
      </c>
      <c r="AI368" s="301" t="s">
        <v>225</v>
      </c>
      <c r="AJ368" s="302" t="s">
        <v>226</v>
      </c>
      <c r="AK368" s="302" t="s">
        <v>227</v>
      </c>
      <c r="AL368" s="302" t="s">
        <v>228</v>
      </c>
      <c r="AM368" s="433"/>
    </row>
    <row r="369">
      <c r="A369" s="512" t="s">
        <v>278</v>
      </c>
      <c r="B369" s="334" t="s">
        <v>230</v>
      </c>
      <c r="C369" s="513" t="s">
        <v>240</v>
      </c>
      <c r="D369" s="334">
        <f t="shared" ref="D369:D373" si="426">E369+F369+G369+H369</f>
      </c>
      <c r="E369" s="401">
        <v>3445.49</v>
      </c>
      <c r="F369" s="334">
        <v>1067.23</v>
      </c>
      <c r="G369" s="304"/>
      <c r="H369" s="334">
        <v>466.07</v>
      </c>
      <c r="I369" s="401">
        <v>4</v>
      </c>
      <c r="J369" s="306">
        <v>5284</v>
      </c>
      <c r="K369" s="325">
        <v>2</v>
      </c>
      <c r="L369" s="326">
        <v>0</v>
      </c>
      <c r="M369" s="326">
        <v>2</v>
      </c>
      <c r="N369" s="497">
        <f t="shared" ref="N369:N379" si="349">J369/D369</f>
      </c>
      <c r="O369" s="497">
        <f t="shared" ref="O369:O379" si="275">J369/(D369+300*AL369)</f>
      </c>
      <c r="P369" s="498">
        <f t="shared" ref="P369:P379" si="213">(D369/AE369)*1000</f>
      </c>
      <c r="Q369" s="405">
        <f t="shared" ref="Q369:Q379" si="120">AF369/AE369</f>
      </c>
      <c r="R369" s="406">
        <f t="shared" ref="R369:R379" si="58">D369/AG369</f>
      </c>
      <c r="S369" s="405">
        <f t="shared" ref="S369:S379" si="151">AH369/AG369</f>
      </c>
      <c r="T369" s="405">
        <f t="shared" ref="T369:T379" si="27">AI369/AG369</f>
      </c>
      <c r="U369" s="406">
        <f t="shared" ref="U369:U379" si="512">D369/AI369</f>
      </c>
      <c r="V369" s="405">
        <f t="shared" ref="V369:V379" si="481">AJ369/AI369</f>
      </c>
      <c r="W369" s="405">
        <f t="shared" ref="W369:W379" si="380">I369/AJ369</f>
      </c>
      <c r="X369" s="406">
        <f t="shared" ref="X369:X379" si="306">D369/I369</f>
      </c>
      <c r="Y369" s="410">
        <f t="shared" ref="Y369:Y379" si="244">J369/I369</f>
      </c>
      <c r="Z369" s="406">
        <f t="shared" ref="Z369:Z379" si="182">D369/AD369</f>
      </c>
      <c r="AA369" s="499">
        <f t="shared" ref="AA369:AA379" si="89">AK369*1000/D369</f>
      </c>
      <c r="AB369" s="500" t="s">
        <v>232</v>
      </c>
      <c r="AC369" s="516" t="s">
        <v>233</v>
      </c>
      <c r="AD369" s="306">
        <v>4</v>
      </c>
      <c r="AE369" s="304">
        <v>11070</v>
      </c>
      <c r="AF369" s="304">
        <v>442</v>
      </c>
      <c r="AG369" s="304">
        <v>885</v>
      </c>
      <c r="AH369" s="304">
        <v>137</v>
      </c>
      <c r="AI369" s="334">
        <v>24</v>
      </c>
      <c r="AJ369" s="325">
        <v>7</v>
      </c>
      <c r="AK369" s="326">
        <v>23</v>
      </c>
      <c r="AL369" s="310">
        <v>1</v>
      </c>
      <c r="AM369" s="434"/>
    </row>
    <row r="370">
      <c r="A370" s="512"/>
      <c r="B370" s="401" t="s">
        <v>234</v>
      </c>
      <c r="C370" s="306" t="s">
        <v>240</v>
      </c>
      <c r="D370" s="517">
        <f t="shared" si="426"/>
      </c>
      <c r="E370" s="334">
        <v>2154.51</v>
      </c>
      <c r="F370" s="412">
        <v>1130.24</v>
      </c>
      <c r="G370" s="334"/>
      <c r="H370" s="334">
        <v>510.07</v>
      </c>
      <c r="I370" s="334">
        <v>3</v>
      </c>
      <c r="J370" s="333">
        <v>5484</v>
      </c>
      <c r="K370" s="326">
        <v>0</v>
      </c>
      <c r="L370" s="326">
        <v>1</v>
      </c>
      <c r="M370" s="326">
        <v>2</v>
      </c>
      <c r="N370" s="497">
        <f t="shared" si="349"/>
      </c>
      <c r="O370" s="497">
        <f t="shared" si="275"/>
      </c>
      <c r="P370" s="498">
        <f t="shared" si="213"/>
      </c>
      <c r="Q370" s="405">
        <f t="shared" si="120"/>
      </c>
      <c r="R370" s="406">
        <f t="shared" si="58"/>
      </c>
      <c r="S370" s="405">
        <f t="shared" si="151"/>
      </c>
      <c r="T370" s="405">
        <f t="shared" si="27"/>
      </c>
      <c r="U370" s="406">
        <f t="shared" si="512"/>
      </c>
      <c r="V370" s="405">
        <f t="shared" si="481"/>
      </c>
      <c r="W370" s="405">
        <f t="shared" si="380"/>
      </c>
      <c r="X370" s="406">
        <f t="shared" si="306"/>
      </c>
      <c r="Y370" s="410">
        <f t="shared" si="244"/>
      </c>
      <c r="Z370" s="406">
        <f t="shared" si="182"/>
      </c>
      <c r="AA370" s="499">
        <f t="shared" si="89"/>
      </c>
      <c r="AB370" s="500" t="s">
        <v>232</v>
      </c>
      <c r="AC370" s="516" t="s">
        <v>233</v>
      </c>
      <c r="AD370" s="306">
        <v>2</v>
      </c>
      <c r="AE370" s="412">
        <v>7289</v>
      </c>
      <c r="AF370" s="304">
        <v>340</v>
      </c>
      <c r="AG370" s="333">
        <v>602</v>
      </c>
      <c r="AH370" s="334">
        <v>77</v>
      </c>
      <c r="AI370" s="334">
        <v>27</v>
      </c>
      <c r="AJ370" s="335">
        <v>6</v>
      </c>
      <c r="AK370" s="336">
        <v>17</v>
      </c>
      <c r="AL370" s="310">
        <v>1</v>
      </c>
      <c r="AM370" s="434"/>
    </row>
    <row r="371">
      <c r="A371" s="512"/>
      <c r="B371" s="401" t="s">
        <v>235</v>
      </c>
      <c r="C371" s="518" t="s">
        <v>240</v>
      </c>
      <c r="D371" s="306">
        <f t="shared" si="426"/>
      </c>
      <c r="E371" s="304">
        <v>2042.85</v>
      </c>
      <c r="F371" s="304">
        <v>1304.13</v>
      </c>
      <c r="G371" s="334"/>
      <c r="H371" s="334">
        <v>256.55</v>
      </c>
      <c r="I371" s="334">
        <v>1</v>
      </c>
      <c r="J371" s="334">
        <v>2268</v>
      </c>
      <c r="K371" s="326">
        <v>0</v>
      </c>
      <c r="L371" s="326">
        <v>0</v>
      </c>
      <c r="M371" s="326">
        <v>1</v>
      </c>
      <c r="N371" s="497">
        <f t="shared" si="349"/>
      </c>
      <c r="O371" s="497">
        <f t="shared" si="275"/>
      </c>
      <c r="P371" s="498">
        <f t="shared" si="213"/>
      </c>
      <c r="Q371" s="405">
        <f t="shared" si="120"/>
      </c>
      <c r="R371" s="406">
        <f t="shared" si="58"/>
      </c>
      <c r="S371" s="405">
        <f t="shared" si="151"/>
      </c>
      <c r="T371" s="405">
        <f t="shared" si="27"/>
      </c>
      <c r="U371" s="406">
        <f t="shared" si="512"/>
      </c>
      <c r="V371" s="405">
        <f t="shared" si="481"/>
      </c>
      <c r="W371" s="405">
        <f t="shared" si="380"/>
      </c>
      <c r="X371" s="406">
        <f t="shared" si="306"/>
      </c>
      <c r="Y371" s="410">
        <f t="shared" si="244"/>
      </c>
      <c r="Z371" s="406">
        <f t="shared" si="182"/>
      </c>
      <c r="AA371" s="499">
        <f t="shared" si="89"/>
      </c>
      <c r="AB371" s="500" t="s">
        <v>232</v>
      </c>
      <c r="AC371" s="516" t="s">
        <v>233</v>
      </c>
      <c r="AD371" s="306">
        <v>1</v>
      </c>
      <c r="AE371" s="304">
        <v>7301</v>
      </c>
      <c r="AF371" s="304">
        <v>372</v>
      </c>
      <c r="AG371" s="334">
        <v>635</v>
      </c>
      <c r="AH371" s="334">
        <v>109</v>
      </c>
      <c r="AI371" s="334">
        <v>23</v>
      </c>
      <c r="AJ371" s="335">
        <v>1</v>
      </c>
      <c r="AK371" s="336">
        <v>25</v>
      </c>
      <c r="AL371" s="310">
        <v>1</v>
      </c>
      <c r="AM371" s="434"/>
    </row>
    <row r="372">
      <c r="A372" s="512"/>
      <c r="B372" s="334" t="s">
        <v>236</v>
      </c>
      <c r="C372" s="333" t="s">
        <v>240</v>
      </c>
      <c r="D372" s="333">
        <f t="shared" si="426"/>
      </c>
      <c r="E372" s="334">
        <v>2836.74</v>
      </c>
      <c r="F372" s="304">
        <v>924.05</v>
      </c>
      <c r="G372" s="334"/>
      <c r="H372" s="334">
        <v>314.05</v>
      </c>
      <c r="I372" s="334">
        <v>2</v>
      </c>
      <c r="J372" s="334">
        <v>4348</v>
      </c>
      <c r="K372" s="326">
        <v>0</v>
      </c>
      <c r="L372" s="326">
        <v>0</v>
      </c>
      <c r="M372" s="326">
        <v>2</v>
      </c>
      <c r="N372" s="497">
        <f t="shared" si="349"/>
      </c>
      <c r="O372" s="497">
        <f t="shared" si="275"/>
      </c>
      <c r="P372" s="498">
        <f t="shared" si="213"/>
      </c>
      <c r="Q372" s="405">
        <f t="shared" si="120"/>
      </c>
      <c r="R372" s="406">
        <f t="shared" si="58"/>
      </c>
      <c r="S372" s="405">
        <f t="shared" si="151"/>
      </c>
      <c r="T372" s="405">
        <f t="shared" si="27"/>
      </c>
      <c r="U372" s="406">
        <f t="shared" si="512"/>
      </c>
      <c r="V372" s="405">
        <f t="shared" si="481"/>
      </c>
      <c r="W372" s="405">
        <f t="shared" si="380"/>
      </c>
      <c r="X372" s="406">
        <f t="shared" si="306"/>
      </c>
      <c r="Y372" s="410">
        <f t="shared" si="244"/>
      </c>
      <c r="Z372" s="406">
        <f t="shared" si="182"/>
      </c>
      <c r="AA372" s="499">
        <f t="shared" si="89"/>
      </c>
      <c r="AB372" s="500" t="s">
        <v>232</v>
      </c>
      <c r="AC372" s="411" t="s">
        <v>233</v>
      </c>
      <c r="AD372" s="412">
        <v>2</v>
      </c>
      <c r="AE372" s="333">
        <v>9101</v>
      </c>
      <c r="AF372" s="334">
        <v>405</v>
      </c>
      <c r="AG372" s="334">
        <v>678</v>
      </c>
      <c r="AH372" s="334">
        <v>104</v>
      </c>
      <c r="AI372" s="334">
        <v>28</v>
      </c>
      <c r="AJ372" s="335">
        <v>2</v>
      </c>
      <c r="AK372" s="336">
        <v>23</v>
      </c>
      <c r="AL372" s="310">
        <v>1</v>
      </c>
      <c r="AM372" s="434"/>
    </row>
    <row r="373">
      <c r="A373" s="512"/>
      <c r="B373" s="334" t="s">
        <v>237</v>
      </c>
      <c r="C373" s="334" t="s">
        <v>240</v>
      </c>
      <c r="D373" s="334">
        <f t="shared" si="426"/>
      </c>
      <c r="E373" s="334">
        <v>2020.41</v>
      </c>
      <c r="F373" s="304">
        <v>1734.48</v>
      </c>
      <c r="G373" s="334"/>
      <c r="H373" s="334">
        <v>567.76</v>
      </c>
      <c r="I373" s="334">
        <v>7</v>
      </c>
      <c r="J373" s="334">
        <v>11357</v>
      </c>
      <c r="K373" s="326">
        <v>1</v>
      </c>
      <c r="L373" s="326">
        <v>2</v>
      </c>
      <c r="M373" s="326">
        <v>4</v>
      </c>
      <c r="N373" s="497">
        <f t="shared" si="349"/>
      </c>
      <c r="O373" s="497">
        <f t="shared" si="275"/>
      </c>
      <c r="P373" s="498">
        <f t="shared" si="213"/>
      </c>
      <c r="Q373" s="405">
        <f t="shared" si="120"/>
      </c>
      <c r="R373" s="406">
        <f t="shared" si="58"/>
      </c>
      <c r="S373" s="405">
        <f t="shared" si="151"/>
      </c>
      <c r="T373" s="405">
        <f t="shared" si="27"/>
      </c>
      <c r="U373" s="406">
        <f t="shared" si="512"/>
      </c>
      <c r="V373" s="405">
        <f t="shared" si="481"/>
      </c>
      <c r="W373" s="405">
        <f t="shared" si="380"/>
      </c>
      <c r="X373" s="406">
        <f t="shared" si="306"/>
      </c>
      <c r="Y373" s="410">
        <f t="shared" si="244"/>
      </c>
      <c r="Z373" s="406">
        <f t="shared" si="182"/>
      </c>
      <c r="AA373" s="499">
        <f t="shared" si="89"/>
      </c>
      <c r="AB373" s="500" t="s">
        <v>232</v>
      </c>
      <c r="AC373" s="411" t="s">
        <v>233</v>
      </c>
      <c r="AD373" s="412">
        <v>5</v>
      </c>
      <c r="AE373" s="333">
        <v>11730</v>
      </c>
      <c r="AF373" s="334">
        <v>521</v>
      </c>
      <c r="AG373" s="334">
        <v>809</v>
      </c>
      <c r="AH373" s="334">
        <v>120</v>
      </c>
      <c r="AI373" s="334">
        <v>50</v>
      </c>
      <c r="AJ373" s="335">
        <v>8</v>
      </c>
      <c r="AK373" s="336">
        <v>27</v>
      </c>
      <c r="AL373" s="310">
        <v>1</v>
      </c>
      <c r="AM373" s="434"/>
    </row>
    <row r="374">
      <c r="A374" s="512"/>
      <c r="B374" s="501" t="s">
        <v>238</v>
      </c>
      <c r="C374" s="501"/>
      <c r="D374" s="501">
        <f>SUM(D369:D373)</f>
      </c>
      <c r="E374" s="501">
        <f>SUM(E369:E373)</f>
      </c>
      <c r="F374" s="501">
        <f>SUM(F369:F373)</f>
      </c>
      <c r="G374" s="501">
        <f>SUM(G369:G373)</f>
      </c>
      <c r="H374" s="501">
        <f>SUM(H369:H373)</f>
      </c>
      <c r="I374" s="501">
        <f>SUM(I369:I373)</f>
      </c>
      <c r="J374" s="501">
        <f>SUM(J369:J373)</f>
      </c>
      <c r="K374" s="501">
        <f>SUM(K369:K373)</f>
      </c>
      <c r="L374" s="501">
        <f>SUM(L369:L373)</f>
      </c>
      <c r="M374" s="501">
        <f>SUM(M369:M373)</f>
      </c>
      <c r="N374" s="502">
        <f t="shared" si="349"/>
      </c>
      <c r="O374" s="502">
        <f t="shared" si="275"/>
      </c>
      <c r="P374" s="503">
        <f t="shared" si="213"/>
      </c>
      <c r="Q374" s="504">
        <f t="shared" si="120"/>
      </c>
      <c r="R374" s="505">
        <f t="shared" si="58"/>
      </c>
      <c r="S374" s="504">
        <f t="shared" si="151"/>
      </c>
      <c r="T374" s="504">
        <f t="shared" si="27"/>
      </c>
      <c r="U374" s="505">
        <f t="shared" si="512"/>
      </c>
      <c r="V374" s="504">
        <f t="shared" si="481"/>
      </c>
      <c r="W374" s="504">
        <f t="shared" si="380"/>
      </c>
      <c r="X374" s="505">
        <f t="shared" si="306"/>
      </c>
      <c r="Y374" s="506">
        <f t="shared" si="244"/>
      </c>
      <c r="Z374" s="505">
        <f t="shared" si="182"/>
      </c>
      <c r="AA374" s="507">
        <f t="shared" si="89"/>
      </c>
      <c r="AB374" s="507"/>
      <c r="AC374" s="507"/>
      <c r="AD374" s="347">
        <f>SUM(AD369:AD373)</f>
      </c>
      <c r="AE374" s="347">
        <f>SUM(AE369:AE373)</f>
      </c>
      <c r="AF374" s="347">
        <f>SUM(AF369:AF373)</f>
      </c>
      <c r="AG374" s="347">
        <f>SUM(AG369:AG373)</f>
      </c>
      <c r="AH374" s="347">
        <f>SUM(AH369:AH373)</f>
      </c>
      <c r="AI374" s="347">
        <f>SUM(AI369:AI373)</f>
      </c>
      <c r="AJ374" s="347">
        <f>SUM(AJ369:AJ373)</f>
      </c>
      <c r="AK374" s="347">
        <f>SUM(AK369:AK373)</f>
      </c>
      <c r="AL374" s="347">
        <f>SUM(AL369:AL373)</f>
      </c>
      <c r="AM374" s="434"/>
    </row>
    <row r="375">
      <c r="A375" s="512"/>
      <c r="B375" s="333" t="s">
        <v>239</v>
      </c>
      <c r="C375" s="334" t="s">
        <v>231</v>
      </c>
      <c r="D375" s="334">
        <f t="shared" ref="D375:D377" si="427">E375+F375+G375+H375</f>
      </c>
      <c r="E375" s="334">
        <v>1504.66</v>
      </c>
      <c r="F375" s="304">
        <v>1718.91</v>
      </c>
      <c r="G375" s="334"/>
      <c r="H375" s="334">
        <v>558.17</v>
      </c>
      <c r="I375" s="334">
        <v>2</v>
      </c>
      <c r="J375" s="334">
        <v>3216</v>
      </c>
      <c r="K375" s="326">
        <v>0</v>
      </c>
      <c r="L375" s="326">
        <v>1</v>
      </c>
      <c r="M375" s="326">
        <v>1</v>
      </c>
      <c r="N375" s="497">
        <f t="shared" si="349"/>
      </c>
      <c r="O375" s="497">
        <f t="shared" si="275"/>
      </c>
      <c r="P375" s="498">
        <f t="shared" si="213"/>
      </c>
      <c r="Q375" s="405">
        <f t="shared" si="120"/>
      </c>
      <c r="R375" s="406">
        <f t="shared" si="58"/>
      </c>
      <c r="S375" s="405">
        <f t="shared" si="151"/>
      </c>
      <c r="T375" s="405">
        <f t="shared" si="27"/>
      </c>
      <c r="U375" s="406">
        <f t="shared" si="512"/>
      </c>
      <c r="V375" s="405">
        <f t="shared" si="481"/>
      </c>
      <c r="W375" s="405">
        <f t="shared" si="380"/>
      </c>
      <c r="X375" s="406">
        <f t="shared" si="306"/>
      </c>
      <c r="Y375" s="410">
        <f t="shared" si="244"/>
      </c>
      <c r="Z375" s="406">
        <f t="shared" si="182"/>
      </c>
      <c r="AA375" s="499">
        <f t="shared" si="89"/>
      </c>
      <c r="AB375" s="500" t="s">
        <v>232</v>
      </c>
      <c r="AC375" s="411" t="s">
        <v>233</v>
      </c>
      <c r="AD375" s="402">
        <v>3</v>
      </c>
      <c r="AE375" s="365">
        <v>8469</v>
      </c>
      <c r="AF375" s="365">
        <v>363</v>
      </c>
      <c r="AG375" s="365">
        <v>606</v>
      </c>
      <c r="AH375" s="365">
        <v>76</v>
      </c>
      <c r="AI375" s="365">
        <v>53</v>
      </c>
      <c r="AJ375" s="310">
        <v>4</v>
      </c>
      <c r="AK375" s="310">
        <v>17</v>
      </c>
      <c r="AL375" s="310">
        <v>1</v>
      </c>
      <c r="AM375" s="434"/>
    </row>
    <row r="376">
      <c r="A376" s="512"/>
      <c r="B376" s="334" t="s">
        <v>241</v>
      </c>
      <c r="C376" s="334" t="s">
        <v>231</v>
      </c>
      <c r="D376" s="513">
        <f t="shared" si="427"/>
      </c>
      <c r="E376" s="513">
        <v>1819.47</v>
      </c>
      <c r="F376" s="304">
        <v>1086.11</v>
      </c>
      <c r="G376" s="334"/>
      <c r="H376" s="334">
        <v>841.96</v>
      </c>
      <c r="I376" s="326">
        <v>0</v>
      </c>
      <c r="J376" s="326">
        <v>0</v>
      </c>
      <c r="K376" s="326">
        <v>0</v>
      </c>
      <c r="L376" s="326">
        <v>0</v>
      </c>
      <c r="M376" s="326">
        <v>0</v>
      </c>
      <c r="N376" s="497">
        <f t="shared" si="349"/>
      </c>
      <c r="O376" s="497">
        <f t="shared" si="275"/>
      </c>
      <c r="P376" s="498">
        <f t="shared" si="213"/>
      </c>
      <c r="Q376" s="405">
        <f t="shared" si="120"/>
      </c>
      <c r="R376" s="406">
        <f t="shared" si="58"/>
      </c>
      <c r="S376" s="405">
        <f t="shared" si="151"/>
      </c>
      <c r="T376" s="405">
        <f t="shared" si="27"/>
      </c>
      <c r="U376" s="406">
        <f t="shared" si="512"/>
      </c>
      <c r="V376" s="405">
        <f t="shared" si="481"/>
      </c>
      <c r="W376" s="405">
        <f t="shared" si="380"/>
      </c>
      <c r="X376" s="406">
        <f t="shared" si="306"/>
      </c>
      <c r="Y376" s="410">
        <f t="shared" si="244"/>
      </c>
      <c r="Z376" s="406">
        <f t="shared" si="182"/>
      </c>
      <c r="AA376" s="499">
        <f t="shared" si="89"/>
      </c>
      <c r="AB376" s="500" t="s">
        <v>232</v>
      </c>
      <c r="AC376" s="411" t="s">
        <v>233</v>
      </c>
      <c r="AD376" s="402">
        <v>0</v>
      </c>
      <c r="AE376" s="365">
        <v>8485</v>
      </c>
      <c r="AF376" s="365">
        <v>364</v>
      </c>
      <c r="AG376" s="365">
        <v>681</v>
      </c>
      <c r="AH376" s="365">
        <v>98</v>
      </c>
      <c r="AI376" s="365">
        <v>36</v>
      </c>
      <c r="AJ376" s="310">
        <v>5</v>
      </c>
      <c r="AK376" s="310">
        <v>17</v>
      </c>
      <c r="AL376" s="310">
        <v>1</v>
      </c>
      <c r="AM376" s="434"/>
    </row>
    <row r="377">
      <c r="A377" s="512"/>
      <c r="B377" s="334" t="s">
        <v>242</v>
      </c>
      <c r="C377" s="401" t="s">
        <v>231</v>
      </c>
      <c r="D377" s="306">
        <f t="shared" si="427"/>
      </c>
      <c r="E377" s="306">
        <v>1923.29</v>
      </c>
      <c r="F377" s="304">
        <v>1117.55</v>
      </c>
      <c r="G377" s="334"/>
      <c r="H377" s="334">
        <v>559.36</v>
      </c>
      <c r="I377" s="334">
        <v>1</v>
      </c>
      <c r="J377" s="334">
        <v>2268</v>
      </c>
      <c r="K377" s="326">
        <v>0</v>
      </c>
      <c r="L377" s="326">
        <v>0</v>
      </c>
      <c r="M377" s="326">
        <v>1</v>
      </c>
      <c r="N377" s="497">
        <f t="shared" si="349"/>
      </c>
      <c r="O377" s="497">
        <f t="shared" si="275"/>
      </c>
      <c r="P377" s="498">
        <f t="shared" si="213"/>
      </c>
      <c r="Q377" s="405">
        <f t="shared" si="120"/>
      </c>
      <c r="R377" s="406">
        <f t="shared" si="58"/>
      </c>
      <c r="S377" s="405">
        <f t="shared" si="151"/>
      </c>
      <c r="T377" s="405">
        <f t="shared" si="27"/>
      </c>
      <c r="U377" s="406">
        <f t="shared" si="512"/>
      </c>
      <c r="V377" s="405">
        <f t="shared" si="481"/>
      </c>
      <c r="W377" s="405">
        <f t="shared" si="380"/>
      </c>
      <c r="X377" s="406">
        <f t="shared" si="306"/>
      </c>
      <c r="Y377" s="410">
        <f t="shared" si="244"/>
      </c>
      <c r="Z377" s="406">
        <f t="shared" si="182"/>
      </c>
      <c r="AA377" s="499">
        <f t="shared" si="89"/>
      </c>
      <c r="AB377" s="500" t="s">
        <v>232</v>
      </c>
      <c r="AC377" s="411" t="s">
        <v>233</v>
      </c>
      <c r="AD377" s="402">
        <v>0</v>
      </c>
      <c r="AE377" s="365">
        <v>8481</v>
      </c>
      <c r="AF377" s="365">
        <v>330</v>
      </c>
      <c r="AG377" s="365">
        <v>560</v>
      </c>
      <c r="AH377" s="365">
        <v>80</v>
      </c>
      <c r="AI377" s="365">
        <v>31</v>
      </c>
      <c r="AJ377" s="310">
        <v>4</v>
      </c>
      <c r="AK377" s="310">
        <v>24</v>
      </c>
      <c r="AL377" s="310">
        <v>1</v>
      </c>
      <c r="AM377" s="434"/>
    </row>
    <row r="378">
      <c r="A378" s="512"/>
      <c r="B378" s="501" t="s">
        <v>238</v>
      </c>
      <c r="C378" s="501"/>
      <c r="D378" s="501">
        <f>SUM(D375:D377)</f>
      </c>
      <c r="E378" s="501">
        <f>SUM(E375:E377)</f>
      </c>
      <c r="F378" s="501">
        <f>SUM(F375:F377)</f>
      </c>
      <c r="G378" s="501">
        <f>SUM(G375:G377)</f>
      </c>
      <c r="H378" s="501">
        <f>SUM(H375:H377)</f>
      </c>
      <c r="I378" s="501">
        <f>SUM(I375:I377)</f>
      </c>
      <c r="J378" s="501">
        <f>SUM(J375:J377)</f>
      </c>
      <c r="K378" s="501">
        <f>SUM(K375:K377)</f>
      </c>
      <c r="L378" s="501">
        <f>SUM(L375:L377)</f>
      </c>
      <c r="M378" s="501">
        <f>SUM(M375:M377)</f>
      </c>
      <c r="N378" s="502">
        <f t="shared" si="349"/>
      </c>
      <c r="O378" s="502">
        <f t="shared" si="275"/>
      </c>
      <c r="P378" s="508">
        <f t="shared" si="213"/>
      </c>
      <c r="Q378" s="504">
        <f t="shared" si="120"/>
      </c>
      <c r="R378" s="505">
        <f t="shared" si="58"/>
      </c>
      <c r="S378" s="504">
        <f t="shared" si="151"/>
      </c>
      <c r="T378" s="504">
        <f t="shared" si="27"/>
      </c>
      <c r="U378" s="505">
        <f t="shared" si="512"/>
      </c>
      <c r="V378" s="504">
        <f t="shared" si="481"/>
      </c>
      <c r="W378" s="504">
        <f t="shared" si="380"/>
      </c>
      <c r="X378" s="505">
        <f t="shared" si="306"/>
      </c>
      <c r="Y378" s="506">
        <f t="shared" si="244"/>
      </c>
      <c r="Z378" s="505">
        <f t="shared" si="182"/>
      </c>
      <c r="AA378" s="507">
        <f t="shared" si="89"/>
      </c>
      <c r="AB378" s="507"/>
      <c r="AC378" s="507"/>
      <c r="AD378" s="347">
        <f>SUM(AD375:AD377)</f>
      </c>
      <c r="AE378" s="347">
        <f>SUM(AE375:AE377)</f>
      </c>
      <c r="AF378" s="347">
        <f>SUM(AF375:AF377)</f>
      </c>
      <c r="AG378" s="347">
        <f>SUM(AG375:AG377)</f>
      </c>
      <c r="AH378" s="347">
        <f>SUM(AH375:AH377)</f>
      </c>
      <c r="AI378" s="347">
        <f>SUM(AI375:AI377)</f>
      </c>
      <c r="AJ378" s="347">
        <f>SUM(AJ375:AJ377)</f>
      </c>
      <c r="AK378" s="347">
        <f>SUM(AK375:AK377)</f>
      </c>
      <c r="AL378" s="347">
        <f>SUM(AL375:AL377)</f>
      </c>
      <c r="AM378" s="478" t="s">
        <v>273</v>
      </c>
    </row>
    <row r="379">
      <c r="A379" s="512"/>
      <c r="B379" s="373" t="s">
        <v>250</v>
      </c>
      <c r="C379" s="373"/>
      <c r="D379" s="515">
        <f>D374+D378</f>
      </c>
      <c r="E379" s="515">
        <f>E374+E378</f>
      </c>
      <c r="F379" s="515">
        <f>F374+F378</f>
      </c>
      <c r="G379" s="515">
        <f>G374+G378</f>
      </c>
      <c r="H379" s="515">
        <f>H374+H378</f>
      </c>
      <c r="I379" s="515">
        <f>I374+I378</f>
      </c>
      <c r="J379" s="515">
        <f>J374+J378</f>
      </c>
      <c r="K379" s="515">
        <f>K374+K378</f>
      </c>
      <c r="L379" s="515">
        <f>L374+L378</f>
      </c>
      <c r="M379" s="515">
        <f>M374+M378</f>
      </c>
      <c r="N379" s="427">
        <f t="shared" si="349"/>
      </c>
      <c r="O379" s="427">
        <f t="shared" si="275"/>
      </c>
      <c r="P379" s="509">
        <f t="shared" si="213"/>
      </c>
      <c r="Q379" s="510">
        <f t="shared" si="120"/>
      </c>
      <c r="R379" s="427">
        <f t="shared" si="58"/>
      </c>
      <c r="S379" s="510">
        <f t="shared" si="151"/>
      </c>
      <c r="T379" s="510">
        <f t="shared" si="27"/>
      </c>
      <c r="U379" s="427">
        <f t="shared" si="512"/>
      </c>
      <c r="V379" s="510">
        <f t="shared" si="481"/>
      </c>
      <c r="W379" s="510">
        <f t="shared" si="380"/>
      </c>
      <c r="X379" s="427">
        <f t="shared" si="306"/>
      </c>
      <c r="Y379" s="511">
        <f t="shared" si="244"/>
      </c>
      <c r="Z379" s="427">
        <f t="shared" si="182"/>
      </c>
      <c r="AA379" s="509">
        <f t="shared" si="89"/>
      </c>
      <c r="AB379" s="509"/>
      <c r="AC379" s="509"/>
      <c r="AD379" s="484">
        <f>AD374+AD378</f>
      </c>
      <c r="AE379" s="484">
        <f>AE374+AE378</f>
      </c>
      <c r="AF379" s="484">
        <f>AF374+AF378</f>
      </c>
      <c r="AG379" s="484">
        <f>AG374+AG378</f>
      </c>
      <c r="AH379" s="484">
        <f>AH374+AH378</f>
      </c>
      <c r="AI379" s="484">
        <f>AI374+AI378</f>
      </c>
      <c r="AJ379" s="484">
        <f>AJ374+AJ378</f>
      </c>
      <c r="AK379" s="484">
        <f>AK374+AK378</f>
      </c>
      <c r="AL379" s="484">
        <f>AL374+AL378</f>
      </c>
      <c r="AM379" s="478"/>
    </row>
    <row r="380">
      <c r="A380" s="389" t="s">
        <v>189</v>
      </c>
      <c r="B380" s="389"/>
      <c r="C380" s="389"/>
      <c r="D380" s="487" t="s">
        <v>190</v>
      </c>
      <c r="E380" s="487"/>
      <c r="F380" s="487"/>
      <c r="G380" s="487"/>
      <c r="H380" s="487"/>
      <c r="I380" s="487"/>
      <c r="J380" s="487"/>
      <c r="K380" s="487"/>
      <c r="L380" s="487"/>
      <c r="M380" s="487"/>
      <c r="N380" s="487"/>
      <c r="O380" s="487"/>
      <c r="P380" s="391" t="s">
        <v>191</v>
      </c>
      <c r="Q380" s="391"/>
      <c r="R380" s="391"/>
      <c r="S380" s="391"/>
      <c r="T380" s="391"/>
      <c r="U380" s="391"/>
      <c r="V380" s="391"/>
      <c r="W380" s="391"/>
      <c r="X380" s="391"/>
      <c r="Y380" s="391"/>
      <c r="Z380" s="391"/>
      <c r="AA380" s="391"/>
      <c r="AB380" s="391"/>
      <c r="AC380" s="391"/>
      <c r="AD380" s="447" t="s">
        <v>192</v>
      </c>
      <c r="AE380" s="447"/>
      <c r="AF380" s="447"/>
      <c r="AG380" s="447"/>
      <c r="AH380" s="447"/>
      <c r="AI380" s="447"/>
      <c r="AJ380" s="447"/>
      <c r="AK380" s="447"/>
      <c r="AL380" s="447"/>
      <c r="AM380" s="433"/>
    </row>
    <row r="381">
      <c r="A381" s="488" t="s">
        <v>193</v>
      </c>
      <c r="B381" s="489" t="s">
        <v>194</v>
      </c>
      <c r="C381" s="489" t="s">
        <v>195</v>
      </c>
      <c r="D381" s="490" t="s">
        <v>196</v>
      </c>
      <c r="E381" s="491" t="s">
        <v>197</v>
      </c>
      <c r="F381" s="491" t="s">
        <v>198</v>
      </c>
      <c r="G381" s="492" t="s">
        <v>256</v>
      </c>
      <c r="H381" s="493" t="s">
        <v>260</v>
      </c>
      <c r="I381" s="519" t="s">
        <v>199</v>
      </c>
      <c r="J381" s="490" t="s">
        <v>200</v>
      </c>
      <c r="K381" s="390" t="s">
        <v>201</v>
      </c>
      <c r="L381" s="390" t="s">
        <v>202</v>
      </c>
      <c r="M381" s="390" t="s">
        <v>203</v>
      </c>
      <c r="N381" s="492" t="s">
        <v>204</v>
      </c>
      <c r="O381" s="390" t="s">
        <v>205</v>
      </c>
      <c r="P381" s="391" t="s">
        <v>206</v>
      </c>
      <c r="Q381" s="391" t="s">
        <v>207</v>
      </c>
      <c r="R381" s="391" t="s">
        <v>208</v>
      </c>
      <c r="S381" s="494" t="s">
        <v>209</v>
      </c>
      <c r="T381" s="494" t="s">
        <v>210</v>
      </c>
      <c r="U381" s="391" t="s">
        <v>211</v>
      </c>
      <c r="V381" s="494" t="s">
        <v>212</v>
      </c>
      <c r="W381" s="494" t="s">
        <v>213</v>
      </c>
      <c r="X381" s="391" t="s">
        <v>214</v>
      </c>
      <c r="Y381" s="494" t="s">
        <v>215</v>
      </c>
      <c r="Z381" s="391" t="s">
        <v>216</v>
      </c>
      <c r="AA381" s="495" t="s">
        <v>217</v>
      </c>
      <c r="AB381" s="495" t="s">
        <v>218</v>
      </c>
      <c r="AC381" s="495" t="s">
        <v>219</v>
      </c>
      <c r="AD381" s="456" t="s">
        <v>220</v>
      </c>
      <c r="AE381" s="301" t="s">
        <v>221</v>
      </c>
      <c r="AF381" s="301" t="s">
        <v>222</v>
      </c>
      <c r="AG381" s="301" t="s">
        <v>223</v>
      </c>
      <c r="AH381" s="301" t="s">
        <v>224</v>
      </c>
      <c r="AI381" s="301" t="s">
        <v>225</v>
      </c>
      <c r="AJ381" s="302" t="s">
        <v>226</v>
      </c>
      <c r="AK381" s="302" t="s">
        <v>227</v>
      </c>
      <c r="AL381" s="302" t="s">
        <v>228</v>
      </c>
      <c r="AM381" s="433"/>
    </row>
    <row r="382">
      <c r="A382" s="512" t="s">
        <v>279</v>
      </c>
      <c r="B382" s="334" t="s">
        <v>230</v>
      </c>
      <c r="C382" s="513" t="s">
        <v>240</v>
      </c>
      <c r="D382" s="513">
        <f t="shared" ref="D382:D386" si="428">E382+F382+G382+H382</f>
      </c>
      <c r="E382" s="401">
        <v>2485.41</v>
      </c>
      <c r="F382" s="334">
        <v>450.33</v>
      </c>
      <c r="G382" s="304"/>
      <c r="H382" s="401">
        <v>651.11</v>
      </c>
      <c r="I382" s="306">
        <v>2</v>
      </c>
      <c r="J382" s="324">
        <v>4348</v>
      </c>
      <c r="K382" s="325">
        <v>0</v>
      </c>
      <c r="L382" s="326">
        <v>0</v>
      </c>
      <c r="M382" s="326">
        <v>2</v>
      </c>
      <c r="N382" s="497">
        <f t="shared" ref="N382:N392" si="350">J382/D382</f>
      </c>
      <c r="O382" s="497">
        <f t="shared" ref="O382:O392" si="276">J382/(D382+300*AL382)</f>
      </c>
      <c r="P382" s="498">
        <f t="shared" ref="P382:P392" si="214">(D382/AE382)*1000</f>
      </c>
      <c r="Q382" s="405">
        <f t="shared" ref="Q382:Q392" si="121">AF382/AE382</f>
      </c>
      <c r="R382" s="406">
        <f t="shared" ref="R382:R392" si="59">D382/AG382</f>
      </c>
      <c r="S382" s="405">
        <f t="shared" ref="S382:S392" si="152">AH382/AG382</f>
      </c>
      <c r="T382" s="405">
        <f t="shared" ref="T382:T392" si="28">AI382/AG382</f>
      </c>
      <c r="U382" s="406">
        <f t="shared" ref="U382:U392" si="513">D382/AI382</f>
      </c>
      <c r="V382" s="405">
        <f t="shared" ref="V382:V392" si="482">AJ382/AI382</f>
      </c>
      <c r="W382" s="405">
        <f t="shared" ref="W382:W392" si="381">I382/AJ382</f>
      </c>
      <c r="X382" s="406">
        <f t="shared" ref="X382:X392" si="307">D382/I382</f>
      </c>
      <c r="Y382" s="410">
        <f t="shared" ref="Y382:Y392" si="245">J382/I382</f>
      </c>
      <c r="Z382" s="406">
        <f t="shared" ref="Z382:Z392" si="183">D382/AD382</f>
      </c>
      <c r="AA382" s="499">
        <f t="shared" ref="AA382:AA392" si="90">AK382*1000/D382</f>
      </c>
      <c r="AB382" s="500" t="s">
        <v>232</v>
      </c>
      <c r="AC382" s="516" t="s">
        <v>233</v>
      </c>
      <c r="AD382" s="306">
        <v>2</v>
      </c>
      <c r="AE382" s="304">
        <v>6474</v>
      </c>
      <c r="AF382" s="304">
        <v>285</v>
      </c>
      <c r="AG382" s="304">
        <v>487</v>
      </c>
      <c r="AH382" s="304">
        <v>108</v>
      </c>
      <c r="AI382" s="334">
        <v>18</v>
      </c>
      <c r="AJ382" s="325">
        <v>4</v>
      </c>
      <c r="AK382" s="326">
        <v>24</v>
      </c>
      <c r="AL382" s="310">
        <v>1</v>
      </c>
      <c r="AM382" s="434"/>
    </row>
    <row r="383">
      <c r="A383" s="512"/>
      <c r="B383" s="401" t="s">
        <v>234</v>
      </c>
      <c r="C383" s="306" t="s">
        <v>240</v>
      </c>
      <c r="D383" s="306">
        <f t="shared" si="428"/>
      </c>
      <c r="E383" s="304">
        <v>1957.09</v>
      </c>
      <c r="F383" s="412">
        <v>566.12</v>
      </c>
      <c r="G383" s="334"/>
      <c r="H383" s="334">
        <v>555.45</v>
      </c>
      <c r="I383" s="333">
        <v>2</v>
      </c>
      <c r="J383" s="333">
        <v>4536</v>
      </c>
      <c r="K383" s="326">
        <v>0</v>
      </c>
      <c r="L383" s="326">
        <v>0</v>
      </c>
      <c r="M383" s="326">
        <v>2</v>
      </c>
      <c r="N383" s="497">
        <f t="shared" si="350"/>
      </c>
      <c r="O383" s="497">
        <f t="shared" si="276"/>
      </c>
      <c r="P383" s="498">
        <f t="shared" si="214"/>
      </c>
      <c r="Q383" s="405">
        <f t="shared" si="121"/>
      </c>
      <c r="R383" s="406">
        <f t="shared" si="59"/>
      </c>
      <c r="S383" s="405">
        <f t="shared" si="152"/>
      </c>
      <c r="T383" s="405">
        <f t="shared" si="28"/>
      </c>
      <c r="U383" s="406">
        <f t="shared" si="513"/>
      </c>
      <c r="V383" s="405">
        <f t="shared" si="482"/>
      </c>
      <c r="W383" s="405">
        <f t="shared" si="381"/>
      </c>
      <c r="X383" s="406">
        <f t="shared" si="307"/>
      </c>
      <c r="Y383" s="410">
        <f t="shared" si="245"/>
      </c>
      <c r="Z383" s="406">
        <f t="shared" si="183"/>
      </c>
      <c r="AA383" s="499">
        <f t="shared" si="90"/>
      </c>
      <c r="AB383" s="500" t="s">
        <v>232</v>
      </c>
      <c r="AC383" s="516" t="s">
        <v>233</v>
      </c>
      <c r="AD383" s="306">
        <v>2</v>
      </c>
      <c r="AE383" s="412">
        <v>5027</v>
      </c>
      <c r="AF383" s="304">
        <v>244</v>
      </c>
      <c r="AG383" s="333">
        <v>431</v>
      </c>
      <c r="AH383" s="334">
        <v>80</v>
      </c>
      <c r="AI383" s="334">
        <v>21</v>
      </c>
      <c r="AJ383" s="335">
        <v>3</v>
      </c>
      <c r="AK383" s="336">
        <v>26</v>
      </c>
      <c r="AL383" s="310">
        <v>1</v>
      </c>
      <c r="AM383" s="434"/>
    </row>
    <row r="384">
      <c r="A384" s="512"/>
      <c r="B384" s="401" t="s">
        <v>235</v>
      </c>
      <c r="C384" s="306" t="s">
        <v>240</v>
      </c>
      <c r="D384" s="306">
        <f t="shared" si="428"/>
      </c>
      <c r="E384" s="304">
        <v>2270.59</v>
      </c>
      <c r="F384" s="304">
        <v>1366.74</v>
      </c>
      <c r="G384" s="334"/>
      <c r="H384" s="334">
        <v>455.09</v>
      </c>
      <c r="I384" s="334">
        <v>5</v>
      </c>
      <c r="J384" s="334">
        <v>8700</v>
      </c>
      <c r="K384" s="326">
        <v>0</v>
      </c>
      <c r="L384" s="326">
        <v>2</v>
      </c>
      <c r="M384" s="326">
        <v>3</v>
      </c>
      <c r="N384" s="497">
        <f t="shared" si="350"/>
      </c>
      <c r="O384" s="497">
        <f t="shared" si="276"/>
      </c>
      <c r="P384" s="498">
        <f t="shared" si="214"/>
      </c>
      <c r="Q384" s="405">
        <f t="shared" si="121"/>
      </c>
      <c r="R384" s="406">
        <f t="shared" si="59"/>
      </c>
      <c r="S384" s="405">
        <f t="shared" si="152"/>
      </c>
      <c r="T384" s="405">
        <f t="shared" si="28"/>
      </c>
      <c r="U384" s="406">
        <f t="shared" si="513"/>
      </c>
      <c r="V384" s="405">
        <f t="shared" si="482"/>
      </c>
      <c r="W384" s="405">
        <f t="shared" si="381"/>
      </c>
      <c r="X384" s="406">
        <f t="shared" si="307"/>
      </c>
      <c r="Y384" s="410">
        <f t="shared" si="245"/>
      </c>
      <c r="Z384" s="406">
        <f t="shared" si="183"/>
      </c>
      <c r="AA384" s="499">
        <f t="shared" si="90"/>
      </c>
      <c r="AB384" s="500" t="s">
        <v>232</v>
      </c>
      <c r="AC384" s="516" t="s">
        <v>233</v>
      </c>
      <c r="AD384" s="306">
        <v>4</v>
      </c>
      <c r="AE384" s="304">
        <v>7357</v>
      </c>
      <c r="AF384" s="304">
        <v>364</v>
      </c>
      <c r="AG384" s="334">
        <v>563</v>
      </c>
      <c r="AH384" s="334">
        <v>88</v>
      </c>
      <c r="AI384" s="334">
        <v>30</v>
      </c>
      <c r="AJ384" s="335">
        <v>8</v>
      </c>
      <c r="AK384" s="336">
        <v>19</v>
      </c>
      <c r="AL384" s="310">
        <v>1</v>
      </c>
      <c r="AM384" s="434"/>
    </row>
    <row r="385">
      <c r="A385" s="512"/>
      <c r="B385" s="401" t="s">
        <v>236</v>
      </c>
      <c r="C385" s="306" t="s">
        <v>240</v>
      </c>
      <c r="D385" s="306">
        <f t="shared" si="428"/>
      </c>
      <c r="E385" s="304">
        <v>2277.93</v>
      </c>
      <c r="F385" s="304">
        <v>1405.17</v>
      </c>
      <c r="G385" s="334"/>
      <c r="H385" s="334">
        <v>155.59</v>
      </c>
      <c r="I385" s="334">
        <v>2</v>
      </c>
      <c r="J385" s="334">
        <v>4536</v>
      </c>
      <c r="K385" s="326">
        <v>0</v>
      </c>
      <c r="L385" s="326">
        <v>0</v>
      </c>
      <c r="M385" s="326">
        <v>2</v>
      </c>
      <c r="N385" s="497">
        <f t="shared" si="350"/>
      </c>
      <c r="O385" s="497">
        <f t="shared" si="276"/>
      </c>
      <c r="P385" s="498">
        <f t="shared" si="214"/>
      </c>
      <c r="Q385" s="405">
        <f t="shared" si="121"/>
      </c>
      <c r="R385" s="406">
        <f t="shared" si="59"/>
      </c>
      <c r="S385" s="405">
        <f t="shared" si="152"/>
      </c>
      <c r="T385" s="405">
        <f t="shared" si="28"/>
      </c>
      <c r="U385" s="406">
        <f t="shared" si="513"/>
      </c>
      <c r="V385" s="405">
        <f t="shared" si="482"/>
      </c>
      <c r="W385" s="405">
        <f t="shared" si="381"/>
      </c>
      <c r="X385" s="406">
        <f t="shared" si="307"/>
      </c>
      <c r="Y385" s="410">
        <f t="shared" si="245"/>
      </c>
      <c r="Z385" s="406">
        <f t="shared" si="183"/>
      </c>
      <c r="AA385" s="499">
        <f t="shared" si="90"/>
      </c>
      <c r="AB385" s="500" t="s">
        <v>232</v>
      </c>
      <c r="AC385" s="411" t="s">
        <v>233</v>
      </c>
      <c r="AD385" s="412">
        <v>2</v>
      </c>
      <c r="AE385" s="333">
        <v>8625</v>
      </c>
      <c r="AF385" s="334">
        <v>463</v>
      </c>
      <c r="AG385" s="334">
        <v>628</v>
      </c>
      <c r="AH385" s="334">
        <v>109</v>
      </c>
      <c r="AI385" s="334">
        <v>40</v>
      </c>
      <c r="AJ385" s="335">
        <v>4</v>
      </c>
      <c r="AK385" s="336">
        <v>34</v>
      </c>
      <c r="AL385" s="310">
        <v>1</v>
      </c>
      <c r="AM385" s="434"/>
    </row>
    <row r="386">
      <c r="A386" s="512"/>
      <c r="B386" s="334" t="s">
        <v>237</v>
      </c>
      <c r="C386" s="333" t="s">
        <v>240</v>
      </c>
      <c r="D386" s="333">
        <f t="shared" si="428"/>
      </c>
      <c r="E386" s="334">
        <v>2061.47</v>
      </c>
      <c r="F386" s="304">
        <v>1008.73</v>
      </c>
      <c r="G386" s="334"/>
      <c r="H386" s="334">
        <v>205.54</v>
      </c>
      <c r="I386" s="334">
        <v>3</v>
      </c>
      <c r="J386" s="334">
        <v>5296</v>
      </c>
      <c r="K386" s="326">
        <v>0</v>
      </c>
      <c r="L386" s="326">
        <v>1</v>
      </c>
      <c r="M386" s="326">
        <v>2</v>
      </c>
      <c r="N386" s="497">
        <f t="shared" si="350"/>
      </c>
      <c r="O386" s="497">
        <f t="shared" si="276"/>
      </c>
      <c r="P386" s="498">
        <f t="shared" si="214"/>
      </c>
      <c r="Q386" s="405">
        <f t="shared" si="121"/>
      </c>
      <c r="R386" s="406">
        <f t="shared" si="59"/>
      </c>
      <c r="S386" s="405">
        <f t="shared" si="152"/>
      </c>
      <c r="T386" s="405">
        <f t="shared" si="28"/>
      </c>
      <c r="U386" s="406">
        <f t="shared" si="513"/>
      </c>
      <c r="V386" s="405">
        <f t="shared" si="482"/>
      </c>
      <c r="W386" s="405">
        <f t="shared" si="381"/>
      </c>
      <c r="X386" s="406">
        <f t="shared" si="307"/>
      </c>
      <c r="Y386" s="410">
        <f t="shared" si="245"/>
      </c>
      <c r="Z386" s="406">
        <f t="shared" si="183"/>
      </c>
      <c r="AA386" s="499">
        <f t="shared" si="90"/>
      </c>
      <c r="AB386" s="500" t="s">
        <v>232</v>
      </c>
      <c r="AC386" s="411" t="s">
        <v>233</v>
      </c>
      <c r="AD386" s="412">
        <v>3</v>
      </c>
      <c r="AE386" s="333">
        <v>7710</v>
      </c>
      <c r="AF386" s="334">
        <v>325</v>
      </c>
      <c r="AG386" s="334">
        <v>452</v>
      </c>
      <c r="AH386" s="334">
        <v>71</v>
      </c>
      <c r="AI386" s="334">
        <v>21</v>
      </c>
      <c r="AJ386" s="335">
        <v>3</v>
      </c>
      <c r="AK386" s="336">
        <v>14</v>
      </c>
      <c r="AL386" s="310">
        <v>1</v>
      </c>
      <c r="AM386" s="434"/>
    </row>
    <row r="387">
      <c r="A387" s="512"/>
      <c r="B387" s="501" t="s">
        <v>238</v>
      </c>
      <c r="C387" s="501"/>
      <c r="D387" s="501">
        <f>SUM(D382:D386)</f>
      </c>
      <c r="E387" s="501">
        <f>SUM(E382:E386)</f>
      </c>
      <c r="F387" s="501">
        <f>SUM(F382:F386)</f>
      </c>
      <c r="G387" s="501">
        <f>SUM(G382:G386)</f>
      </c>
      <c r="H387" s="501">
        <f>SUM(H382:H386)</f>
      </c>
      <c r="I387" s="501">
        <f>SUM(I382:I386)</f>
      </c>
      <c r="J387" s="501">
        <f>SUM(J382:J386)</f>
      </c>
      <c r="K387" s="501">
        <f>SUM(K382:K386)</f>
      </c>
      <c r="L387" s="501">
        <f>SUM(L382:L386)</f>
      </c>
      <c r="M387" s="501">
        <f>SUM(M382:M386)</f>
      </c>
      <c r="N387" s="502">
        <f t="shared" si="350"/>
      </c>
      <c r="O387" s="502">
        <f t="shared" si="276"/>
      </c>
      <c r="P387" s="503">
        <f t="shared" si="214"/>
      </c>
      <c r="Q387" s="504">
        <f t="shared" si="121"/>
      </c>
      <c r="R387" s="505">
        <f t="shared" si="59"/>
      </c>
      <c r="S387" s="504">
        <f t="shared" si="152"/>
      </c>
      <c r="T387" s="504">
        <f t="shared" si="28"/>
      </c>
      <c r="U387" s="505">
        <f t="shared" si="513"/>
      </c>
      <c r="V387" s="504">
        <f t="shared" si="482"/>
      </c>
      <c r="W387" s="504">
        <f t="shared" si="381"/>
      </c>
      <c r="X387" s="505">
        <f t="shared" si="307"/>
      </c>
      <c r="Y387" s="506">
        <f t="shared" si="245"/>
      </c>
      <c r="Z387" s="505">
        <f t="shared" si="183"/>
      </c>
      <c r="AA387" s="507">
        <f t="shared" si="90"/>
      </c>
      <c r="AB387" s="507"/>
      <c r="AC387" s="507"/>
      <c r="AD387" s="347">
        <f>SUM(AD382:AD386)</f>
      </c>
      <c r="AE387" s="347">
        <f>SUM(AE382:AE386)</f>
      </c>
      <c r="AF387" s="347">
        <f>SUM(AF382:AF386)</f>
      </c>
      <c r="AG387" s="347">
        <f>SUM(AG382:AG386)</f>
      </c>
      <c r="AH387" s="347">
        <f>SUM(AH382:AH386)</f>
      </c>
      <c r="AI387" s="347">
        <f>SUM(AI382:AI386)</f>
      </c>
      <c r="AJ387" s="347">
        <f>SUM(AJ382:AJ386)</f>
      </c>
      <c r="AK387" s="347">
        <f>SUM(AK382:AK386)</f>
      </c>
      <c r="AL387" s="347">
        <f>SUM(AL382:AL386)</f>
      </c>
      <c r="AM387" s="434"/>
    </row>
    <row r="388">
      <c r="A388" s="512"/>
      <c r="B388" s="333" t="s">
        <v>239</v>
      </c>
      <c r="C388" s="334" t="s">
        <v>231</v>
      </c>
      <c r="D388" s="334">
        <f t="shared" ref="D388:D390" si="429">E388+F388+G388+H388</f>
      </c>
      <c r="E388" s="334">
        <v>2482.11</v>
      </c>
      <c r="F388" s="304">
        <v>438.6</v>
      </c>
      <c r="G388" s="334"/>
      <c r="H388" s="334">
        <v>124.81</v>
      </c>
      <c r="I388" s="334">
        <v>3</v>
      </c>
      <c r="J388" s="334">
        <v>5484</v>
      </c>
      <c r="K388" s="326">
        <v>0</v>
      </c>
      <c r="L388" s="326">
        <v>1</v>
      </c>
      <c r="M388" s="326">
        <v>2</v>
      </c>
      <c r="N388" s="497">
        <f t="shared" si="350"/>
      </c>
      <c r="O388" s="497">
        <f t="shared" si="276"/>
      </c>
      <c r="P388" s="498">
        <f t="shared" si="214"/>
      </c>
      <c r="Q388" s="405">
        <f t="shared" si="121"/>
      </c>
      <c r="R388" s="406">
        <f t="shared" si="59"/>
      </c>
      <c r="S388" s="405">
        <f t="shared" si="152"/>
      </c>
      <c r="T388" s="405">
        <f t="shared" si="28"/>
      </c>
      <c r="U388" s="406">
        <f t="shared" si="513"/>
      </c>
      <c r="V388" s="405">
        <f t="shared" si="482"/>
      </c>
      <c r="W388" s="405">
        <f t="shared" si="381"/>
      </c>
      <c r="X388" s="406">
        <f t="shared" si="307"/>
      </c>
      <c r="Y388" s="410">
        <f t="shared" si="245"/>
      </c>
      <c r="Z388" s="406">
        <f t="shared" si="183"/>
      </c>
      <c r="AA388" s="499">
        <f t="shared" si="90"/>
      </c>
      <c r="AB388" s="500" t="s">
        <v>232</v>
      </c>
      <c r="AC388" s="411" t="s">
        <v>233</v>
      </c>
      <c r="AD388" s="402">
        <v>1</v>
      </c>
      <c r="AE388" s="365">
        <v>5650</v>
      </c>
      <c r="AF388" s="365">
        <v>272</v>
      </c>
      <c r="AG388" s="365">
        <v>406</v>
      </c>
      <c r="AH388" s="365">
        <v>71</v>
      </c>
      <c r="AI388" s="365">
        <v>23</v>
      </c>
      <c r="AJ388" s="310">
        <v>8</v>
      </c>
      <c r="AK388" s="310">
        <v>15</v>
      </c>
      <c r="AL388" s="310">
        <v>1</v>
      </c>
      <c r="AM388" s="434"/>
    </row>
    <row r="389">
      <c r="A389" s="512"/>
      <c r="B389" s="334" t="s">
        <v>241</v>
      </c>
      <c r="C389" s="334" t="s">
        <v>231</v>
      </c>
      <c r="D389" s="513">
        <f t="shared" si="429"/>
      </c>
      <c r="E389" s="513">
        <v>2425.82</v>
      </c>
      <c r="F389" s="304">
        <v>466.04</v>
      </c>
      <c r="G389" s="334"/>
      <c r="H389" s="326">
        <v>0</v>
      </c>
      <c r="I389" s="326">
        <v>3</v>
      </c>
      <c r="J389" s="326">
        <v>3444</v>
      </c>
      <c r="K389" s="326">
        <v>0</v>
      </c>
      <c r="L389" s="326">
        <v>1</v>
      </c>
      <c r="M389" s="326">
        <v>1</v>
      </c>
      <c r="N389" s="497">
        <f t="shared" si="350"/>
      </c>
      <c r="O389" s="497">
        <f t="shared" si="276"/>
      </c>
      <c r="P389" s="498">
        <f t="shared" si="214"/>
      </c>
      <c r="Q389" s="405">
        <f t="shared" si="121"/>
      </c>
      <c r="R389" s="406">
        <f t="shared" si="59"/>
      </c>
      <c r="S389" s="405">
        <f t="shared" si="152"/>
      </c>
      <c r="T389" s="405">
        <f t="shared" si="28"/>
      </c>
      <c r="U389" s="406">
        <f t="shared" si="513"/>
      </c>
      <c r="V389" s="405">
        <f t="shared" si="482"/>
      </c>
      <c r="W389" s="405">
        <f t="shared" si="381"/>
      </c>
      <c r="X389" s="406">
        <f t="shared" si="307"/>
      </c>
      <c r="Y389" s="410">
        <f t="shared" si="245"/>
      </c>
      <c r="Z389" s="406">
        <f t="shared" si="183"/>
      </c>
      <c r="AA389" s="499">
        <f t="shared" si="90"/>
      </c>
      <c r="AB389" s="500" t="s">
        <v>232</v>
      </c>
      <c r="AC389" s="411" t="s">
        <v>233</v>
      </c>
      <c r="AD389" s="402">
        <v>2</v>
      </c>
      <c r="AE389" s="365">
        <v>6685</v>
      </c>
      <c r="AF389" s="365">
        <v>302</v>
      </c>
      <c r="AG389" s="365">
        <v>455</v>
      </c>
      <c r="AH389" s="365">
        <v>81</v>
      </c>
      <c r="AI389" s="365">
        <v>15</v>
      </c>
      <c r="AJ389" s="310">
        <v>5</v>
      </c>
      <c r="AK389" s="310">
        <v>20</v>
      </c>
      <c r="AL389" s="310">
        <v>1</v>
      </c>
      <c r="AM389" s="434"/>
    </row>
    <row r="390">
      <c r="A390" s="512"/>
      <c r="B390" s="334" t="s">
        <v>242</v>
      </c>
      <c r="C390" s="401" t="s">
        <v>231</v>
      </c>
      <c r="D390" s="306">
        <f t="shared" si="429"/>
      </c>
      <c r="E390" s="306">
        <v>2420.13</v>
      </c>
      <c r="F390" s="304">
        <v>413.82</v>
      </c>
      <c r="G390" s="334"/>
      <c r="H390" s="334">
        <v>118.05000000000001</v>
      </c>
      <c r="I390" s="334">
        <v>1</v>
      </c>
      <c r="J390" s="334">
        <v>2268</v>
      </c>
      <c r="K390" s="326">
        <v>0</v>
      </c>
      <c r="L390" s="326">
        <v>0</v>
      </c>
      <c r="M390" s="326">
        <v>1</v>
      </c>
      <c r="N390" s="497">
        <f t="shared" si="350"/>
      </c>
      <c r="O390" s="497">
        <f t="shared" si="276"/>
      </c>
      <c r="P390" s="498">
        <f t="shared" si="214"/>
      </c>
      <c r="Q390" s="405">
        <f t="shared" si="121"/>
      </c>
      <c r="R390" s="406">
        <f t="shared" si="59"/>
      </c>
      <c r="S390" s="405">
        <f t="shared" si="152"/>
      </c>
      <c r="T390" s="405">
        <f t="shared" si="28"/>
      </c>
      <c r="U390" s="406">
        <f t="shared" si="513"/>
      </c>
      <c r="V390" s="405">
        <f t="shared" si="482"/>
      </c>
      <c r="W390" s="405">
        <f t="shared" si="381"/>
      </c>
      <c r="X390" s="406">
        <f t="shared" si="307"/>
      </c>
      <c r="Y390" s="410">
        <f t="shared" si="245"/>
      </c>
      <c r="Z390" s="406">
        <f t="shared" si="183"/>
      </c>
      <c r="AA390" s="499">
        <f t="shared" si="90"/>
      </c>
      <c r="AB390" s="500" t="s">
        <v>232</v>
      </c>
      <c r="AC390" s="411" t="s">
        <v>233</v>
      </c>
      <c r="AD390" s="520">
        <v>1</v>
      </c>
      <c r="AE390" s="521">
        <v>5556</v>
      </c>
      <c r="AF390" s="521">
        <v>214</v>
      </c>
      <c r="AG390" s="521">
        <v>340</v>
      </c>
      <c r="AH390" s="521">
        <v>73</v>
      </c>
      <c r="AI390" s="521">
        <v>6</v>
      </c>
      <c r="AJ390" s="522">
        <v>1</v>
      </c>
      <c r="AK390" s="522">
        <v>21</v>
      </c>
      <c r="AL390" s="522">
        <v>1</v>
      </c>
      <c r="AM390" s="434"/>
    </row>
    <row r="391">
      <c r="A391" s="512"/>
      <c r="B391" s="501" t="s">
        <v>238</v>
      </c>
      <c r="C391" s="501"/>
      <c r="D391" s="501">
        <f>SUM(D388:D390)</f>
      </c>
      <c r="E391" s="501">
        <f>SUM(E388:E390)</f>
      </c>
      <c r="F391" s="501">
        <f>SUM(F388:F390)</f>
      </c>
      <c r="G391" s="501">
        <f>SUM(G388:G390)</f>
      </c>
      <c r="H391" s="501">
        <f>SUM(H388:H390)</f>
      </c>
      <c r="I391" s="501">
        <f>SUM(I388:I390)</f>
      </c>
      <c r="J391" s="501">
        <f>SUM(J388:J390)</f>
      </c>
      <c r="K391" s="501">
        <f>SUM(K388:K390)</f>
      </c>
      <c r="L391" s="501">
        <f>SUM(L388:L390)</f>
      </c>
      <c r="M391" s="501">
        <f>SUM(M388:M390)</f>
      </c>
      <c r="N391" s="502">
        <f t="shared" si="350"/>
      </c>
      <c r="O391" s="502">
        <f t="shared" si="276"/>
      </c>
      <c r="P391" s="508">
        <f t="shared" si="214"/>
      </c>
      <c r="Q391" s="504">
        <f t="shared" si="121"/>
      </c>
      <c r="R391" s="505">
        <f t="shared" si="59"/>
      </c>
      <c r="S391" s="504">
        <f t="shared" si="152"/>
      </c>
      <c r="T391" s="504">
        <f t="shared" si="28"/>
      </c>
      <c r="U391" s="505">
        <f t="shared" si="513"/>
      </c>
      <c r="V391" s="504">
        <f t="shared" si="482"/>
      </c>
      <c r="W391" s="504">
        <f t="shared" si="381"/>
      </c>
      <c r="X391" s="505">
        <f t="shared" si="307"/>
      </c>
      <c r="Y391" s="506">
        <f t="shared" si="245"/>
      </c>
      <c r="Z391" s="505">
        <f t="shared" si="183"/>
      </c>
      <c r="AA391" s="507">
        <f t="shared" si="90"/>
      </c>
      <c r="AB391" s="507"/>
      <c r="AC391" s="523"/>
      <c r="AD391" s="464">
        <f>SUM(AD388:AD390)</f>
      </c>
      <c r="AE391" s="464">
        <f>SUM(AE388:AE390)</f>
      </c>
      <c r="AF391" s="464">
        <f>SUM(AF388:AF390)</f>
      </c>
      <c r="AG391" s="464">
        <f>SUM(AG388:AG390)</f>
      </c>
      <c r="AH391" s="464">
        <f>SUM(AH388:AH390)</f>
      </c>
      <c r="AI391" s="464">
        <f>SUM(AI388:AI390)</f>
      </c>
      <c r="AJ391" s="464">
        <f>SUM(AJ388:AJ390)</f>
      </c>
      <c r="AK391" s="464">
        <f>SUM(AK388:AK390)</f>
      </c>
      <c r="AL391" s="464">
        <f>SUM(AL388:AL390)</f>
      </c>
      <c r="AM391" s="478" t="s">
        <v>273</v>
      </c>
    </row>
    <row r="392">
      <c r="A392" s="512"/>
      <c r="B392" s="373" t="s">
        <v>250</v>
      </c>
      <c r="C392" s="373"/>
      <c r="D392" s="515">
        <f>D387+D391</f>
      </c>
      <c r="E392" s="515">
        <f>E387+E391</f>
      </c>
      <c r="F392" s="515">
        <f>F387+F391</f>
      </c>
      <c r="G392" s="515">
        <f>G387+G391</f>
      </c>
      <c r="H392" s="515">
        <f>H387+H391</f>
      </c>
      <c r="I392" s="515">
        <f>I387+I391</f>
      </c>
      <c r="J392" s="515">
        <f>J387+J391</f>
      </c>
      <c r="K392" s="515">
        <f>K387+K391</f>
      </c>
      <c r="L392" s="515">
        <f>L387+L391</f>
      </c>
      <c r="M392" s="515">
        <f>M387+M391</f>
      </c>
      <c r="N392" s="427">
        <f t="shared" si="350"/>
      </c>
      <c r="O392" s="427">
        <f t="shared" si="276"/>
      </c>
      <c r="P392" s="509">
        <f t="shared" si="214"/>
      </c>
      <c r="Q392" s="510">
        <f t="shared" si="121"/>
      </c>
      <c r="R392" s="427">
        <f t="shared" si="59"/>
      </c>
      <c r="S392" s="510">
        <f t="shared" si="152"/>
      </c>
      <c r="T392" s="510">
        <f t="shared" si="28"/>
      </c>
      <c r="U392" s="427">
        <f t="shared" si="513"/>
      </c>
      <c r="V392" s="510">
        <f t="shared" si="482"/>
      </c>
      <c r="W392" s="510">
        <f t="shared" si="381"/>
      </c>
      <c r="X392" s="427">
        <f t="shared" si="307"/>
      </c>
      <c r="Y392" s="511">
        <f t="shared" si="245"/>
      </c>
      <c r="Z392" s="427">
        <f t="shared" si="183"/>
      </c>
      <c r="AA392" s="509">
        <f t="shared" si="90"/>
      </c>
      <c r="AB392" s="509"/>
      <c r="AC392" s="509"/>
      <c r="AD392" s="484">
        <f>AD387+AD391</f>
      </c>
      <c r="AE392" s="484">
        <f>AE387+AE391</f>
      </c>
      <c r="AF392" s="484">
        <f>AF387+AF391</f>
      </c>
      <c r="AG392" s="484">
        <f>AG387+AG391</f>
      </c>
      <c r="AH392" s="484">
        <f>AH387+AH391</f>
      </c>
      <c r="AI392" s="484">
        <f>AI387+AI391</f>
      </c>
      <c r="AJ392" s="484">
        <f>AJ387+AJ391</f>
      </c>
      <c r="AK392" s="484">
        <f>AK387+AK391</f>
      </c>
      <c r="AL392" s="484">
        <f>AL387+AL391</f>
      </c>
      <c r="AM392" s="478"/>
    </row>
    <row r="393">
      <c r="A393" s="389" t="s">
        <v>189</v>
      </c>
      <c r="B393" s="389"/>
      <c r="C393" s="389"/>
      <c r="D393" s="487" t="s">
        <v>190</v>
      </c>
      <c r="E393" s="487"/>
      <c r="F393" s="487"/>
      <c r="G393" s="487"/>
      <c r="H393" s="487"/>
      <c r="I393" s="487"/>
      <c r="J393" s="487"/>
      <c r="K393" s="487"/>
      <c r="L393" s="487"/>
      <c r="M393" s="487"/>
      <c r="N393" s="487"/>
      <c r="O393" s="487"/>
      <c r="P393" s="391" t="s">
        <v>191</v>
      </c>
      <c r="Q393" s="391"/>
      <c r="R393" s="391"/>
      <c r="S393" s="391"/>
      <c r="T393" s="391"/>
      <c r="U393" s="391"/>
      <c r="V393" s="391"/>
      <c r="W393" s="391"/>
      <c r="X393" s="391"/>
      <c r="Y393" s="391"/>
      <c r="Z393" s="391"/>
      <c r="AA393" s="391"/>
      <c r="AB393" s="391"/>
      <c r="AC393" s="391"/>
      <c r="AD393" s="447" t="s">
        <v>192</v>
      </c>
      <c r="AE393" s="447"/>
      <c r="AF393" s="447"/>
      <c r="AG393" s="447"/>
      <c r="AH393" s="447"/>
      <c r="AI393" s="447"/>
      <c r="AJ393" s="447"/>
      <c r="AK393" s="447"/>
      <c r="AL393" s="447"/>
      <c r="AM393" s="433"/>
    </row>
    <row r="394">
      <c r="A394" s="488" t="s">
        <v>193</v>
      </c>
      <c r="B394" s="489" t="s">
        <v>194</v>
      </c>
      <c r="C394" s="489" t="s">
        <v>195</v>
      </c>
      <c r="D394" s="490" t="s">
        <v>196</v>
      </c>
      <c r="E394" s="491" t="s">
        <v>197</v>
      </c>
      <c r="F394" s="491" t="s">
        <v>198</v>
      </c>
      <c r="G394" s="492" t="s">
        <v>256</v>
      </c>
      <c r="H394" s="493" t="s">
        <v>260</v>
      </c>
      <c r="I394" s="519" t="s">
        <v>199</v>
      </c>
      <c r="J394" s="490" t="s">
        <v>200</v>
      </c>
      <c r="K394" s="390" t="s">
        <v>201</v>
      </c>
      <c r="L394" s="390" t="s">
        <v>202</v>
      </c>
      <c r="M394" s="390" t="s">
        <v>203</v>
      </c>
      <c r="N394" s="492" t="s">
        <v>204</v>
      </c>
      <c r="O394" s="390" t="s">
        <v>205</v>
      </c>
      <c r="P394" s="391" t="s">
        <v>206</v>
      </c>
      <c r="Q394" s="391" t="s">
        <v>207</v>
      </c>
      <c r="R394" s="391" t="s">
        <v>208</v>
      </c>
      <c r="S394" s="494" t="s">
        <v>209</v>
      </c>
      <c r="T394" s="494" t="s">
        <v>210</v>
      </c>
      <c r="U394" s="391" t="s">
        <v>211</v>
      </c>
      <c r="V394" s="494" t="s">
        <v>212</v>
      </c>
      <c r="W394" s="494" t="s">
        <v>213</v>
      </c>
      <c r="X394" s="391" t="s">
        <v>214</v>
      </c>
      <c r="Y394" s="494" t="s">
        <v>215</v>
      </c>
      <c r="Z394" s="391" t="s">
        <v>216</v>
      </c>
      <c r="AA394" s="495" t="s">
        <v>217</v>
      </c>
      <c r="AB394" s="495" t="s">
        <v>218</v>
      </c>
      <c r="AC394" s="495" t="s">
        <v>219</v>
      </c>
      <c r="AD394" s="456" t="s">
        <v>220</v>
      </c>
      <c r="AE394" s="301" t="s">
        <v>221</v>
      </c>
      <c r="AF394" s="301" t="s">
        <v>222</v>
      </c>
      <c r="AG394" s="301" t="s">
        <v>223</v>
      </c>
      <c r="AH394" s="301" t="s">
        <v>224</v>
      </c>
      <c r="AI394" s="301" t="s">
        <v>225</v>
      </c>
      <c r="AJ394" s="302" t="s">
        <v>226</v>
      </c>
      <c r="AK394" s="302" t="s">
        <v>227</v>
      </c>
      <c r="AL394" s="302" t="s">
        <v>228</v>
      </c>
      <c r="AM394" s="433"/>
    </row>
    <row r="395">
      <c r="A395" s="512" t="s">
        <v>280</v>
      </c>
      <c r="B395" s="334" t="s">
        <v>230</v>
      </c>
      <c r="C395" s="513" t="s">
        <v>240</v>
      </c>
      <c r="D395" s="513">
        <f t="shared" ref="D395:D399" si="430">E395+F395+G395+H395</f>
      </c>
      <c r="E395" s="401">
        <v>2375.4</v>
      </c>
      <c r="F395" s="306">
        <v>505.8</v>
      </c>
      <c r="G395" s="304"/>
      <c r="H395" s="401">
        <v>202</v>
      </c>
      <c r="I395" s="306">
        <v>3</v>
      </c>
      <c r="J395" s="324">
        <v>3645</v>
      </c>
      <c r="K395" s="325">
        <v>1</v>
      </c>
      <c r="L395" s="326">
        <v>1</v>
      </c>
      <c r="M395" s="326">
        <v>1</v>
      </c>
      <c r="N395" s="497">
        <f t="shared" ref="N395:N404" si="351">J395/D395</f>
      </c>
      <c r="O395" s="497">
        <f t="shared" ref="O395:O404" si="277">J395/(D395+300*AL395)</f>
      </c>
      <c r="P395" s="498">
        <f t="shared" ref="P395:P404" si="215">(D395/AE395)*1000</f>
      </c>
      <c r="Q395" s="405">
        <f t="shared" ref="Q395:Q404" si="122">AF395/AE395</f>
      </c>
      <c r="R395" s="406">
        <f t="shared" ref="R395:R404" si="60">D395/AG395</f>
      </c>
      <c r="S395" s="405">
        <f t="shared" ref="S395:S404" si="153">AH395/AG395</f>
      </c>
      <c r="T395" s="405">
        <f t="shared" ref="T395:T404" si="29">AI395/AG395</f>
      </c>
      <c r="U395" s="406">
        <f t="shared" ref="U395:U404" si="514">D395/AI395</f>
      </c>
      <c r="V395" s="405">
        <f t="shared" ref="V395:V404" si="483">AJ395/AI395</f>
      </c>
      <c r="W395" s="405">
        <f t="shared" ref="W395:W404" si="382">I395/AJ395</f>
      </c>
      <c r="X395" s="406">
        <f t="shared" ref="X395:X404" si="308">D395/I395</f>
      </c>
      <c r="Y395" s="410">
        <f t="shared" ref="Y395:Y404" si="246">J395/I395</f>
      </c>
      <c r="Z395" s="406">
        <f t="shared" ref="Z395:Z404" si="184">D395/AD395</f>
      </c>
      <c r="AA395" s="499">
        <f t="shared" ref="AA395:AA404" si="91">AK395*1000/D395</f>
      </c>
      <c r="AB395" s="500" t="s">
        <v>232</v>
      </c>
      <c r="AC395" s="516" t="s">
        <v>233</v>
      </c>
      <c r="AD395" s="306">
        <v>3</v>
      </c>
      <c r="AE395" s="304">
        <v>6268</v>
      </c>
      <c r="AF395" s="304">
        <v>281</v>
      </c>
      <c r="AG395" s="304">
        <v>477</v>
      </c>
      <c r="AH395" s="304">
        <v>80</v>
      </c>
      <c r="AI395" s="334">
        <v>15</v>
      </c>
      <c r="AJ395" s="325">
        <v>7</v>
      </c>
      <c r="AK395" s="326">
        <v>17</v>
      </c>
      <c r="AL395" s="310">
        <v>1</v>
      </c>
      <c r="AM395" s="434"/>
    </row>
    <row r="396">
      <c r="A396" s="512"/>
      <c r="B396" s="401" t="s">
        <v>234</v>
      </c>
      <c r="C396" s="524" t="s">
        <v>240</v>
      </c>
      <c r="D396" s="306">
        <f t="shared" si="430"/>
      </c>
      <c r="E396" s="304">
        <v>2544.68</v>
      </c>
      <c r="F396" s="412">
        <v>324.28</v>
      </c>
      <c r="G396" s="334"/>
      <c r="H396" s="334">
        <v>115.9</v>
      </c>
      <c r="I396" s="333">
        <v>7</v>
      </c>
      <c r="J396" s="333">
        <v>15688</v>
      </c>
      <c r="K396" s="326">
        <v>0</v>
      </c>
      <c r="L396" s="326">
        <v>0</v>
      </c>
      <c r="M396" s="326">
        <v>7</v>
      </c>
      <c r="N396" s="497">
        <f t="shared" si="351"/>
      </c>
      <c r="O396" s="497">
        <f t="shared" si="277"/>
      </c>
      <c r="P396" s="498">
        <f t="shared" si="215"/>
      </c>
      <c r="Q396" s="405">
        <f t="shared" si="122"/>
      </c>
      <c r="R396" s="406">
        <f t="shared" si="60"/>
      </c>
      <c r="S396" s="405">
        <f t="shared" si="153"/>
      </c>
      <c r="T396" s="405">
        <f t="shared" si="29"/>
      </c>
      <c r="U396" s="406">
        <f t="shared" si="514"/>
      </c>
      <c r="V396" s="405">
        <f t="shared" si="483"/>
      </c>
      <c r="W396" s="405">
        <f t="shared" si="382"/>
      </c>
      <c r="X396" s="406">
        <f t="shared" si="308"/>
      </c>
      <c r="Y396" s="410">
        <f t="shared" si="246"/>
      </c>
      <c r="Z396" s="406">
        <f t="shared" si="184"/>
      </c>
      <c r="AA396" s="499">
        <f t="shared" si="91"/>
      </c>
      <c r="AB396" s="500" t="s">
        <v>232</v>
      </c>
      <c r="AC396" s="516" t="s">
        <v>233</v>
      </c>
      <c r="AD396" s="306">
        <v>6</v>
      </c>
      <c r="AE396" s="412">
        <v>6074</v>
      </c>
      <c r="AF396" s="304">
        <v>244</v>
      </c>
      <c r="AG396" s="333">
        <v>455</v>
      </c>
      <c r="AH396" s="334">
        <v>75</v>
      </c>
      <c r="AI396" s="334">
        <v>14</v>
      </c>
      <c r="AJ396" s="335">
        <v>9</v>
      </c>
      <c r="AK396" s="336">
        <v>16</v>
      </c>
      <c r="AL396" s="310">
        <v>1</v>
      </c>
      <c r="AM396" s="434"/>
    </row>
    <row r="397">
      <c r="A397" s="512"/>
      <c r="B397" s="401" t="s">
        <v>235</v>
      </c>
      <c r="C397" s="306" t="s">
        <v>240</v>
      </c>
      <c r="D397" s="324">
        <f t="shared" si="430"/>
      </c>
      <c r="E397" s="304">
        <v>2203.26</v>
      </c>
      <c r="F397" s="304">
        <v>950.9</v>
      </c>
      <c r="G397" s="334"/>
      <c r="H397" s="334">
        <v>267.31</v>
      </c>
      <c r="I397" s="334">
        <v>2</v>
      </c>
      <c r="J397" s="334">
        <v>4348</v>
      </c>
      <c r="K397" s="326">
        <v>0</v>
      </c>
      <c r="L397" s="326">
        <v>0</v>
      </c>
      <c r="M397" s="326">
        <v>2</v>
      </c>
      <c r="N397" s="497">
        <f t="shared" si="351"/>
      </c>
      <c r="O397" s="497">
        <f t="shared" si="277"/>
      </c>
      <c r="P397" s="498">
        <f t="shared" si="215"/>
      </c>
      <c r="Q397" s="405">
        <f t="shared" si="122"/>
      </c>
      <c r="R397" s="406">
        <f t="shared" si="60"/>
      </c>
      <c r="S397" s="405">
        <f t="shared" si="153"/>
      </c>
      <c r="T397" s="405">
        <f t="shared" si="29"/>
      </c>
      <c r="U397" s="406">
        <f t="shared" si="514"/>
      </c>
      <c r="V397" s="405">
        <f t="shared" si="483"/>
      </c>
      <c r="W397" s="405">
        <f t="shared" si="382"/>
      </c>
      <c r="X397" s="406">
        <f t="shared" si="308"/>
      </c>
      <c r="Y397" s="410">
        <f t="shared" si="246"/>
      </c>
      <c r="Z397" s="406">
        <f t="shared" si="184"/>
      </c>
      <c r="AA397" s="499">
        <f t="shared" si="91"/>
      </c>
      <c r="AB397" s="500" t="s">
        <v>232</v>
      </c>
      <c r="AC397" s="516" t="s">
        <v>233</v>
      </c>
      <c r="AD397" s="306">
        <v>2</v>
      </c>
      <c r="AE397" s="304">
        <v>6848</v>
      </c>
      <c r="AF397" s="304">
        <v>313</v>
      </c>
      <c r="AG397" s="334">
        <v>514</v>
      </c>
      <c r="AH397" s="334">
        <v>84</v>
      </c>
      <c r="AI397" s="334">
        <v>21</v>
      </c>
      <c r="AJ397" s="335">
        <v>5</v>
      </c>
      <c r="AK397" s="336">
        <v>17</v>
      </c>
      <c r="AL397" s="310">
        <v>1</v>
      </c>
      <c r="AM397" s="434"/>
    </row>
    <row r="398">
      <c r="A398" s="512"/>
      <c r="B398" s="401" t="s">
        <v>236</v>
      </c>
      <c r="C398" s="473" t="s">
        <v>240</v>
      </c>
      <c r="D398" s="324">
        <f t="shared" si="430"/>
      </c>
      <c r="E398" s="325">
        <v>2065.12</v>
      </c>
      <c r="F398" s="325">
        <v>989.79</v>
      </c>
      <c r="G398" s="334"/>
      <c r="H398" s="326">
        <v>218.36</v>
      </c>
      <c r="I398" s="334">
        <v>1</v>
      </c>
      <c r="J398" s="334">
        <v>2268</v>
      </c>
      <c r="K398" s="326">
        <v>0</v>
      </c>
      <c r="L398" s="326">
        <v>0</v>
      </c>
      <c r="M398" s="326">
        <v>1</v>
      </c>
      <c r="N398" s="497">
        <f t="shared" si="351"/>
      </c>
      <c r="O398" s="497">
        <f t="shared" si="277"/>
      </c>
      <c r="P398" s="498">
        <f t="shared" si="215"/>
      </c>
      <c r="Q398" s="405">
        <f t="shared" si="122"/>
      </c>
      <c r="R398" s="406">
        <f t="shared" si="60"/>
      </c>
      <c r="S398" s="405">
        <f t="shared" si="153"/>
      </c>
      <c r="T398" s="405">
        <f t="shared" si="29"/>
      </c>
      <c r="U398" s="406">
        <f t="shared" si="514"/>
      </c>
      <c r="V398" s="405">
        <f t="shared" si="483"/>
      </c>
      <c r="W398" s="405">
        <f t="shared" si="382"/>
      </c>
      <c r="X398" s="406">
        <f t="shared" si="308"/>
      </c>
      <c r="Y398" s="410">
        <f t="shared" si="246"/>
      </c>
      <c r="Z398" s="406">
        <f t="shared" si="184"/>
      </c>
      <c r="AA398" s="499">
        <f t="shared" si="91"/>
      </c>
      <c r="AB398" s="500" t="s">
        <v>232</v>
      </c>
      <c r="AC398" s="411" t="s">
        <v>233</v>
      </c>
      <c r="AD398" s="412">
        <v>1</v>
      </c>
      <c r="AE398" s="333">
        <v>6318</v>
      </c>
      <c r="AF398" s="334">
        <v>306</v>
      </c>
      <c r="AG398" s="334">
        <v>451</v>
      </c>
      <c r="AH398" s="334">
        <v>66</v>
      </c>
      <c r="AI398" s="334">
        <v>26</v>
      </c>
      <c r="AJ398" s="335">
        <v>2</v>
      </c>
      <c r="AK398" s="336">
        <v>11</v>
      </c>
      <c r="AL398" s="310">
        <v>1</v>
      </c>
      <c r="AM398" s="434"/>
    </row>
    <row r="399">
      <c r="A399" s="512"/>
      <c r="B399" s="334" t="s">
        <v>237</v>
      </c>
      <c r="C399" s="333" t="s">
        <v>240</v>
      </c>
      <c r="D399" s="324">
        <f t="shared" si="430"/>
      </c>
      <c r="E399" s="326">
        <v>2059.56</v>
      </c>
      <c r="F399" s="325">
        <v>528.53</v>
      </c>
      <c r="G399" s="334"/>
      <c r="H399" s="326">
        <v>412.59</v>
      </c>
      <c r="I399" s="334">
        <v>2</v>
      </c>
      <c r="J399" s="326">
        <v>3216</v>
      </c>
      <c r="K399" s="326">
        <v>0</v>
      </c>
      <c r="L399" s="326">
        <v>1</v>
      </c>
      <c r="M399" s="326">
        <v>1</v>
      </c>
      <c r="N399" s="497">
        <f t="shared" si="351"/>
      </c>
      <c r="O399" s="497">
        <f t="shared" si="277"/>
      </c>
      <c r="P399" s="498">
        <f t="shared" si="215"/>
      </c>
      <c r="Q399" s="405">
        <f t="shared" si="122"/>
      </c>
      <c r="R399" s="406">
        <f t="shared" si="60"/>
      </c>
      <c r="S399" s="405">
        <f t="shared" si="153"/>
      </c>
      <c r="T399" s="405">
        <f t="shared" si="29"/>
      </c>
      <c r="U399" s="406">
        <f t="shared" si="514"/>
      </c>
      <c r="V399" s="405">
        <f t="shared" si="483"/>
      </c>
      <c r="W399" s="405">
        <f t="shared" si="382"/>
      </c>
      <c r="X399" s="406">
        <f t="shared" si="308"/>
      </c>
      <c r="Y399" s="410">
        <f t="shared" si="246"/>
      </c>
      <c r="Z399" s="406">
        <f t="shared" si="184"/>
      </c>
      <c r="AA399" s="499">
        <f t="shared" si="91"/>
      </c>
      <c r="AB399" s="500" t="s">
        <v>232</v>
      </c>
      <c r="AC399" s="411" t="s">
        <v>233</v>
      </c>
      <c r="AD399" s="412">
        <v>2</v>
      </c>
      <c r="AE399" s="333">
        <v>6617</v>
      </c>
      <c r="AF399" s="334">
        <v>274</v>
      </c>
      <c r="AG399" s="334">
        <v>448</v>
      </c>
      <c r="AH399" s="334">
        <v>84</v>
      </c>
      <c r="AI399" s="334">
        <v>20</v>
      </c>
      <c r="AJ399" s="335">
        <v>5</v>
      </c>
      <c r="AK399" s="336">
        <v>19</v>
      </c>
      <c r="AL399" s="310">
        <v>1</v>
      </c>
      <c r="AM399" s="434"/>
    </row>
    <row r="400">
      <c r="A400" s="512"/>
      <c r="B400" s="501" t="s">
        <v>238</v>
      </c>
      <c r="C400" s="501"/>
      <c r="D400" s="501">
        <f>SUM(D395:D399)</f>
      </c>
      <c r="E400" s="501">
        <f>SUM(E395:E399)</f>
      </c>
      <c r="F400" s="501">
        <f>SUM(F395:F399)</f>
      </c>
      <c r="G400" s="501">
        <f>SUM(G395:G399)</f>
      </c>
      <c r="H400" s="501">
        <f>SUM(H395:H399)</f>
      </c>
      <c r="I400" s="501">
        <f>SUM(I395:I399)</f>
      </c>
      <c r="J400" s="501">
        <f>SUM(J395:J399)</f>
      </c>
      <c r="K400" s="501">
        <f>SUM(K395:K399)</f>
      </c>
      <c r="L400" s="501">
        <f>SUM(L395:L399)</f>
      </c>
      <c r="M400" s="501">
        <f>SUM(M395:M399)</f>
      </c>
      <c r="N400" s="502">
        <f t="shared" si="351"/>
      </c>
      <c r="O400" s="502">
        <f t="shared" si="277"/>
      </c>
      <c r="P400" s="503">
        <f t="shared" si="215"/>
      </c>
      <c r="Q400" s="504">
        <f t="shared" si="122"/>
      </c>
      <c r="R400" s="505">
        <f t="shared" si="60"/>
      </c>
      <c r="S400" s="504">
        <f t="shared" si="153"/>
      </c>
      <c r="T400" s="504">
        <f t="shared" si="29"/>
      </c>
      <c r="U400" s="505">
        <f t="shared" si="514"/>
      </c>
      <c r="V400" s="504">
        <f t="shared" si="483"/>
      </c>
      <c r="W400" s="504">
        <f t="shared" si="382"/>
      </c>
      <c r="X400" s="505">
        <f t="shared" si="308"/>
      </c>
      <c r="Y400" s="506">
        <f t="shared" si="246"/>
      </c>
      <c r="Z400" s="505">
        <f t="shared" si="184"/>
      </c>
      <c r="AA400" s="507">
        <f t="shared" si="91"/>
      </c>
      <c r="AB400" s="507"/>
      <c r="AC400" s="507"/>
      <c r="AD400" s="347">
        <f>SUM(AD395:AD399)</f>
      </c>
      <c r="AE400" s="347">
        <f>SUM(AE395:AE399)</f>
      </c>
      <c r="AF400" s="347">
        <f>SUM(AF395:AF399)</f>
      </c>
      <c r="AG400" s="347">
        <f>SUM(AG395:AG399)</f>
      </c>
      <c r="AH400" s="347">
        <f>SUM(AH395:AH399)</f>
      </c>
      <c r="AI400" s="347">
        <f>SUM(AI395:AI399)</f>
      </c>
      <c r="AJ400" s="347">
        <f>SUM(AJ395:AJ399)</f>
      </c>
      <c r="AK400" s="347">
        <f>SUM(AK395:AK399)</f>
      </c>
      <c r="AL400" s="347">
        <f>SUM(AL395:AL399)</f>
      </c>
      <c r="AM400" s="434"/>
    </row>
    <row r="401">
      <c r="A401" s="512"/>
      <c r="B401" s="333" t="s">
        <v>239</v>
      </c>
      <c r="C401" s="334" t="s">
        <v>231</v>
      </c>
      <c r="D401" s="334">
        <f t="shared" ref="D401:D402" si="431">E401+F401+G401+H401</f>
      </c>
      <c r="E401" s="334">
        <v>1978.94</v>
      </c>
      <c r="F401" s="304">
        <v>552.17</v>
      </c>
      <c r="G401" s="334"/>
      <c r="H401" s="334">
        <v>635.88</v>
      </c>
      <c r="I401" s="334">
        <v>2</v>
      </c>
      <c r="J401" s="334">
        <v>3216</v>
      </c>
      <c r="K401" s="326">
        <v>0</v>
      </c>
      <c r="L401" s="326">
        <v>1</v>
      </c>
      <c r="M401" s="326">
        <v>1</v>
      </c>
      <c r="N401" s="497">
        <f t="shared" si="351"/>
      </c>
      <c r="O401" s="497">
        <f t="shared" si="277"/>
      </c>
      <c r="P401" s="498">
        <f t="shared" si="215"/>
      </c>
      <c r="Q401" s="405">
        <f t="shared" si="122"/>
      </c>
      <c r="R401" s="406">
        <f t="shared" si="60"/>
      </c>
      <c r="S401" s="405">
        <f t="shared" si="153"/>
      </c>
      <c r="T401" s="405">
        <f t="shared" si="29"/>
      </c>
      <c r="U401" s="406">
        <f t="shared" si="514"/>
      </c>
      <c r="V401" s="405">
        <f t="shared" si="483"/>
      </c>
      <c r="W401" s="405">
        <f t="shared" si="382"/>
      </c>
      <c r="X401" s="406">
        <f t="shared" si="308"/>
      </c>
      <c r="Y401" s="410">
        <f t="shared" si="246"/>
      </c>
      <c r="Z401" s="406">
        <f t="shared" si="184"/>
      </c>
      <c r="AA401" s="499">
        <f t="shared" si="91"/>
      </c>
      <c r="AB401" s="500" t="s">
        <v>232</v>
      </c>
      <c r="AC401" s="411" t="s">
        <v>233</v>
      </c>
      <c r="AD401" s="402">
        <v>2</v>
      </c>
      <c r="AE401" s="365">
        <v>6824</v>
      </c>
      <c r="AF401" s="365">
        <v>267</v>
      </c>
      <c r="AG401" s="365">
        <v>420</v>
      </c>
      <c r="AH401" s="365">
        <v>73</v>
      </c>
      <c r="AI401" s="365">
        <v>23</v>
      </c>
      <c r="AJ401" s="310">
        <v>4</v>
      </c>
      <c r="AK401" s="310">
        <v>18</v>
      </c>
      <c r="AL401" s="310">
        <v>1</v>
      </c>
      <c r="AM401" s="434"/>
    </row>
    <row r="402">
      <c r="A402" s="512"/>
      <c r="B402" s="334" t="s">
        <v>241</v>
      </c>
      <c r="C402" s="334" t="s">
        <v>231</v>
      </c>
      <c r="D402" s="513">
        <f t="shared" si="431"/>
      </c>
      <c r="E402" s="513">
        <v>1021.52</v>
      </c>
      <c r="F402" s="304">
        <v>545.77</v>
      </c>
      <c r="G402" s="334"/>
      <c r="H402" s="326">
        <v>1354.73</v>
      </c>
      <c r="I402" s="326">
        <v>1</v>
      </c>
      <c r="J402" s="326">
        <v>2268</v>
      </c>
      <c r="K402" s="326">
        <v>0</v>
      </c>
      <c r="L402" s="326">
        <v>0</v>
      </c>
      <c r="M402" s="326">
        <v>1</v>
      </c>
      <c r="N402" s="497">
        <f t="shared" si="351"/>
      </c>
      <c r="O402" s="497">
        <f t="shared" si="277"/>
      </c>
      <c r="P402" s="498">
        <f t="shared" si="215"/>
      </c>
      <c r="Q402" s="405">
        <f t="shared" si="122"/>
      </c>
      <c r="R402" s="406">
        <f t="shared" si="60"/>
      </c>
      <c r="S402" s="405">
        <f t="shared" si="153"/>
      </c>
      <c r="T402" s="405">
        <f t="shared" si="29"/>
      </c>
      <c r="U402" s="406">
        <f t="shared" si="514"/>
      </c>
      <c r="V402" s="405">
        <f t="shared" si="483"/>
      </c>
      <c r="W402" s="405">
        <f t="shared" si="382"/>
      </c>
      <c r="X402" s="406">
        <f t="shared" si="308"/>
      </c>
      <c r="Y402" s="410">
        <f t="shared" si="246"/>
      </c>
      <c r="Z402" s="406">
        <f t="shared" si="184"/>
      </c>
      <c r="AA402" s="499">
        <f t="shared" si="91"/>
      </c>
      <c r="AB402" s="500" t="s">
        <v>232</v>
      </c>
      <c r="AC402" s="411" t="s">
        <v>233</v>
      </c>
      <c r="AD402" s="402">
        <v>1</v>
      </c>
      <c r="AE402" s="365">
        <v>5483</v>
      </c>
      <c r="AF402" s="365">
        <v>233</v>
      </c>
      <c r="AG402" s="310">
        <v>362</v>
      </c>
      <c r="AH402" s="365">
        <v>65</v>
      </c>
      <c r="AI402" s="365">
        <v>19</v>
      </c>
      <c r="AJ402" s="310">
        <v>4</v>
      </c>
      <c r="AK402" s="310">
        <v>10</v>
      </c>
      <c r="AL402" s="310">
        <v>1</v>
      </c>
      <c r="AM402" s="434"/>
    </row>
    <row r="403">
      <c r="A403" s="512"/>
      <c r="B403" s="501" t="s">
        <v>238</v>
      </c>
      <c r="C403" s="501"/>
      <c r="D403" s="501">
        <f>SUM(D401:D402)</f>
      </c>
      <c r="E403" s="501">
        <f>SUM(E401:E402)</f>
      </c>
      <c r="F403" s="501">
        <f>SUM(F401:F402)</f>
      </c>
      <c r="G403" s="501">
        <f>SUM(G401:G402)</f>
      </c>
      <c r="H403" s="501">
        <f>SUM(H401:H402)</f>
      </c>
      <c r="I403" s="501">
        <f>SUM(I401:I402)</f>
      </c>
      <c r="J403" s="501">
        <f>SUM(J401:J402)</f>
      </c>
      <c r="K403" s="501">
        <f>SUM(K401:K402)</f>
      </c>
      <c r="L403" s="501">
        <f>SUM(L401:L402)</f>
      </c>
      <c r="M403" s="501">
        <f>SUM(M401:M402)</f>
      </c>
      <c r="N403" s="502">
        <f t="shared" si="351"/>
      </c>
      <c r="O403" s="502">
        <f t="shared" si="277"/>
      </c>
      <c r="P403" s="508">
        <f t="shared" si="215"/>
      </c>
      <c r="Q403" s="504">
        <f t="shared" si="122"/>
      </c>
      <c r="R403" s="505">
        <f t="shared" si="60"/>
      </c>
      <c r="S403" s="504">
        <f t="shared" si="153"/>
      </c>
      <c r="T403" s="504">
        <f t="shared" si="29"/>
      </c>
      <c r="U403" s="505">
        <f t="shared" si="514"/>
      </c>
      <c r="V403" s="504">
        <f t="shared" si="483"/>
      </c>
      <c r="W403" s="504">
        <f t="shared" si="382"/>
      </c>
      <c r="X403" s="505">
        <f t="shared" si="308"/>
      </c>
      <c r="Y403" s="506">
        <f t="shared" si="246"/>
      </c>
      <c r="Z403" s="505">
        <f t="shared" si="184"/>
      </c>
      <c r="AA403" s="507">
        <f t="shared" si="91"/>
      </c>
      <c r="AB403" s="507"/>
      <c r="AC403" s="523"/>
      <c r="AD403" s="525">
        <f>SUM(AD401:AD402)</f>
      </c>
      <c r="AE403" s="525">
        <f>SUM(AE401:AE402)</f>
      </c>
      <c r="AF403" s="525">
        <f>SUM(AF401:AF402)</f>
      </c>
      <c r="AG403" s="525">
        <f>SUM(AG401:AG402)</f>
      </c>
      <c r="AH403" s="525">
        <f>SUM(AH401:AH402)</f>
      </c>
      <c r="AI403" s="525">
        <f>SUM(AI401:AI402)</f>
      </c>
      <c r="AJ403" s="525">
        <f>SUM(AJ401:AJ402)</f>
      </c>
      <c r="AK403" s="525">
        <f>SUM(AK401:AK402)</f>
      </c>
      <c r="AL403" s="525">
        <f>SUM(AL401:AL402)</f>
      </c>
      <c r="AM403" s="478" t="s">
        <v>273</v>
      </c>
    </row>
    <row r="404">
      <c r="A404" s="512"/>
      <c r="B404" s="373" t="s">
        <v>250</v>
      </c>
      <c r="C404" s="373"/>
      <c r="D404" s="515">
        <f>D400+D403</f>
      </c>
      <c r="E404" s="515">
        <f>E400+E403</f>
      </c>
      <c r="F404" s="515">
        <f>F400+F403</f>
      </c>
      <c r="G404" s="515">
        <f>G400+G403</f>
      </c>
      <c r="H404" s="515">
        <f>H400+H403</f>
      </c>
      <c r="I404" s="515">
        <f>I400+I403</f>
      </c>
      <c r="J404" s="515">
        <f>J400+J403</f>
      </c>
      <c r="K404" s="515">
        <f>K400+K403</f>
      </c>
      <c r="L404" s="515">
        <f>L400+L403</f>
      </c>
      <c r="M404" s="515">
        <f>M400+M403</f>
      </c>
      <c r="N404" s="427">
        <f t="shared" si="351"/>
      </c>
      <c r="O404" s="427">
        <f t="shared" si="277"/>
      </c>
      <c r="P404" s="509">
        <f t="shared" si="215"/>
      </c>
      <c r="Q404" s="510">
        <f t="shared" si="122"/>
      </c>
      <c r="R404" s="427">
        <f t="shared" si="60"/>
      </c>
      <c r="S404" s="510">
        <f t="shared" si="153"/>
      </c>
      <c r="T404" s="510">
        <f t="shared" si="29"/>
      </c>
      <c r="U404" s="427">
        <f t="shared" si="514"/>
      </c>
      <c r="V404" s="510">
        <f t="shared" si="483"/>
      </c>
      <c r="W404" s="510">
        <f t="shared" si="382"/>
      </c>
      <c r="X404" s="427">
        <f t="shared" si="308"/>
      </c>
      <c r="Y404" s="511">
        <f t="shared" si="246"/>
      </c>
      <c r="Z404" s="427">
        <f t="shared" si="184"/>
      </c>
      <c r="AA404" s="509">
        <f t="shared" si="91"/>
      </c>
      <c r="AB404" s="509"/>
      <c r="AC404" s="509"/>
      <c r="AD404" s="484">
        <f>AD400+AD403</f>
      </c>
      <c r="AE404" s="484">
        <f>AE400+AE403</f>
      </c>
      <c r="AF404" s="484">
        <f>AF400+AF403</f>
      </c>
      <c r="AG404" s="484">
        <f>AG400+AG403</f>
      </c>
      <c r="AH404" s="484">
        <f>AH400+AH403</f>
      </c>
      <c r="AI404" s="484">
        <f>AI400+AI403</f>
      </c>
      <c r="AJ404" s="484">
        <f>AJ400+AJ403</f>
      </c>
      <c r="AK404" s="484">
        <f>AK400+AK403</f>
      </c>
      <c r="AL404" s="484">
        <f>AL400+AL403</f>
      </c>
      <c r="AM404" s="478"/>
    </row>
    <row r="405">
      <c r="A405" s="389" t="s">
        <v>189</v>
      </c>
      <c r="B405" s="389"/>
      <c r="C405" s="389"/>
      <c r="D405" s="487" t="s">
        <v>190</v>
      </c>
      <c r="E405" s="487"/>
      <c r="F405" s="487"/>
      <c r="G405" s="487"/>
      <c r="H405" s="487"/>
      <c r="I405" s="487"/>
      <c r="J405" s="487"/>
      <c r="K405" s="487"/>
      <c r="L405" s="487"/>
      <c r="M405" s="487"/>
      <c r="N405" s="487"/>
      <c r="O405" s="487"/>
      <c r="P405" s="391" t="s">
        <v>191</v>
      </c>
      <c r="Q405" s="391"/>
      <c r="R405" s="391"/>
      <c r="S405" s="391"/>
      <c r="T405" s="391"/>
      <c r="U405" s="391"/>
      <c r="V405" s="391"/>
      <c r="W405" s="391"/>
      <c r="X405" s="391"/>
      <c r="Y405" s="391"/>
      <c r="Z405" s="391"/>
      <c r="AA405" s="391"/>
      <c r="AB405" s="391"/>
      <c r="AC405" s="391"/>
      <c r="AD405" s="447" t="s">
        <v>192</v>
      </c>
      <c r="AE405" s="447"/>
      <c r="AF405" s="447"/>
      <c r="AG405" s="447"/>
      <c r="AH405" s="447"/>
      <c r="AI405" s="447"/>
      <c r="AJ405" s="447"/>
      <c r="AK405" s="447"/>
      <c r="AL405" s="447"/>
      <c r="AM405" s="433"/>
    </row>
    <row r="406">
      <c r="A406" s="488" t="s">
        <v>193</v>
      </c>
      <c r="B406" s="489" t="s">
        <v>194</v>
      </c>
      <c r="C406" s="489" t="s">
        <v>195</v>
      </c>
      <c r="D406" s="490" t="s">
        <v>196</v>
      </c>
      <c r="E406" s="491" t="s">
        <v>197</v>
      </c>
      <c r="F406" s="491" t="s">
        <v>198</v>
      </c>
      <c r="G406" s="492" t="s">
        <v>256</v>
      </c>
      <c r="H406" s="493" t="s">
        <v>260</v>
      </c>
      <c r="I406" s="519" t="s">
        <v>199</v>
      </c>
      <c r="J406" s="490" t="s">
        <v>200</v>
      </c>
      <c r="K406" s="390" t="s">
        <v>201</v>
      </c>
      <c r="L406" s="390" t="s">
        <v>202</v>
      </c>
      <c r="M406" s="390" t="s">
        <v>203</v>
      </c>
      <c r="N406" s="492" t="s">
        <v>204</v>
      </c>
      <c r="O406" s="390" t="s">
        <v>205</v>
      </c>
      <c r="P406" s="391" t="s">
        <v>206</v>
      </c>
      <c r="Q406" s="391" t="s">
        <v>207</v>
      </c>
      <c r="R406" s="391" t="s">
        <v>208</v>
      </c>
      <c r="S406" s="494" t="s">
        <v>209</v>
      </c>
      <c r="T406" s="494" t="s">
        <v>210</v>
      </c>
      <c r="U406" s="391" t="s">
        <v>211</v>
      </c>
      <c r="V406" s="494" t="s">
        <v>212</v>
      </c>
      <c r="W406" s="494" t="s">
        <v>213</v>
      </c>
      <c r="X406" s="391" t="s">
        <v>214</v>
      </c>
      <c r="Y406" s="494" t="s">
        <v>215</v>
      </c>
      <c r="Z406" s="391" t="s">
        <v>216</v>
      </c>
      <c r="AA406" s="495" t="s">
        <v>217</v>
      </c>
      <c r="AB406" s="495" t="s">
        <v>218</v>
      </c>
      <c r="AC406" s="495" t="s">
        <v>219</v>
      </c>
      <c r="AD406" s="456" t="s">
        <v>220</v>
      </c>
      <c r="AE406" s="301" t="s">
        <v>221</v>
      </c>
      <c r="AF406" s="301" t="s">
        <v>222</v>
      </c>
      <c r="AG406" s="301" t="s">
        <v>223</v>
      </c>
      <c r="AH406" s="301" t="s">
        <v>224</v>
      </c>
      <c r="AI406" s="301" t="s">
        <v>225</v>
      </c>
      <c r="AJ406" s="302" t="s">
        <v>226</v>
      </c>
      <c r="AK406" s="302" t="s">
        <v>227</v>
      </c>
      <c r="AL406" s="302" t="s">
        <v>228</v>
      </c>
      <c r="AM406" s="433"/>
    </row>
    <row r="407">
      <c r="A407" s="512" t="s">
        <v>281</v>
      </c>
      <c r="B407" s="334" t="s">
        <v>230</v>
      </c>
      <c r="C407" s="513" t="s">
        <v>240</v>
      </c>
      <c r="D407" s="513">
        <f t="shared" ref="D407:D411" si="432">E407+F407+G407+H407</f>
      </c>
      <c r="E407" s="401">
        <v>1725.52</v>
      </c>
      <c r="F407" s="306">
        <v>565.54</v>
      </c>
      <c r="G407" s="304"/>
      <c r="H407" s="401">
        <v>527.72</v>
      </c>
      <c r="I407" s="306">
        <v>1</v>
      </c>
      <c r="J407" s="324">
        <v>948</v>
      </c>
      <c r="K407" s="325">
        <v>0</v>
      </c>
      <c r="L407" s="326">
        <v>1</v>
      </c>
      <c r="M407" s="326">
        <v>0</v>
      </c>
      <c r="N407" s="497">
        <f t="shared" ref="N407:N418" si="352">J407/D407</f>
      </c>
      <c r="O407" s="497">
        <f t="shared" ref="O407:O418" si="278">J407/(D407+300*AL407)</f>
      </c>
      <c r="P407" s="498">
        <f t="shared" ref="P407:P418" si="216">(D407/AE407)*1000</f>
      </c>
      <c r="Q407" s="405">
        <f t="shared" ref="Q407:Q418" si="123">AF407/AE407</f>
      </c>
      <c r="R407" s="406">
        <f t="shared" ref="R407:R418" si="61">D407/AG407</f>
      </c>
      <c r="S407" s="405">
        <f t="shared" ref="S407:S418" si="154">AH407/AG407</f>
      </c>
      <c r="T407" s="405">
        <f t="shared" ref="T407:T418" si="30">AI407/AG407</f>
      </c>
      <c r="U407" s="406">
        <f t="shared" ref="U407:U418" si="515">D407/AI407</f>
      </c>
      <c r="V407" s="405">
        <f t="shared" ref="V407:V418" si="484">AJ407/AI407</f>
      </c>
      <c r="W407" s="405">
        <f t="shared" ref="W407:W418" si="383">I407/AJ407</f>
      </c>
      <c r="X407" s="406">
        <f t="shared" ref="X407:X418" si="309">D407/I407</f>
      </c>
      <c r="Y407" s="410">
        <f t="shared" ref="Y407:Y418" si="247">J407/I407</f>
      </c>
      <c r="Z407" s="406">
        <f t="shared" ref="Z407:Z418" si="185">D407/AD407</f>
      </c>
      <c r="AA407" s="499">
        <f t="shared" ref="AA407:AA418" si="92">AK407*1000/D407</f>
      </c>
      <c r="AB407" s="500" t="s">
        <v>232</v>
      </c>
      <c r="AC407" s="516" t="s">
        <v>233</v>
      </c>
      <c r="AD407" s="306">
        <v>1</v>
      </c>
      <c r="AE407" s="304">
        <v>5344</v>
      </c>
      <c r="AF407" s="304">
        <v>243</v>
      </c>
      <c r="AG407" s="304">
        <v>365</v>
      </c>
      <c r="AH407" s="304">
        <v>70</v>
      </c>
      <c r="AI407" s="334">
        <v>20</v>
      </c>
      <c r="AJ407" s="325">
        <v>2</v>
      </c>
      <c r="AK407" s="326">
        <v>11</v>
      </c>
      <c r="AL407" s="310">
        <v>1</v>
      </c>
      <c r="AM407" s="434"/>
    </row>
    <row r="408">
      <c r="A408" s="512"/>
      <c r="B408" s="401" t="s">
        <v>234</v>
      </c>
      <c r="C408" s="524" t="s">
        <v>240</v>
      </c>
      <c r="D408" s="306">
        <f t="shared" si="432"/>
      </c>
      <c r="E408" s="304">
        <v>2099.23</v>
      </c>
      <c r="F408" s="412">
        <v>549.69</v>
      </c>
      <c r="G408" s="334"/>
      <c r="H408" s="334">
        <v>552.44</v>
      </c>
      <c r="I408" s="333">
        <v>3</v>
      </c>
      <c r="J408" s="333">
        <v>5296</v>
      </c>
      <c r="K408" s="326">
        <v>0</v>
      </c>
      <c r="L408" s="326">
        <v>1</v>
      </c>
      <c r="M408" s="326">
        <v>2</v>
      </c>
      <c r="N408" s="497">
        <f t="shared" si="352"/>
      </c>
      <c r="O408" s="497">
        <f t="shared" si="278"/>
      </c>
      <c r="P408" s="498">
        <f t="shared" si="216"/>
      </c>
      <c r="Q408" s="405">
        <f t="shared" si="123"/>
      </c>
      <c r="R408" s="406">
        <f t="shared" si="61"/>
      </c>
      <c r="S408" s="405">
        <f t="shared" si="154"/>
      </c>
      <c r="T408" s="405">
        <f t="shared" si="30"/>
      </c>
      <c r="U408" s="406">
        <f t="shared" si="515"/>
      </c>
      <c r="V408" s="405">
        <f t="shared" si="484"/>
      </c>
      <c r="W408" s="405">
        <f t="shared" si="383"/>
      </c>
      <c r="X408" s="406">
        <f t="shared" si="309"/>
      </c>
      <c r="Y408" s="410">
        <f t="shared" si="247"/>
      </c>
      <c r="Z408" s="406">
        <f t="shared" si="185"/>
      </c>
      <c r="AA408" s="499">
        <f t="shared" si="92"/>
      </c>
      <c r="AB408" s="500" t="s">
        <v>232</v>
      </c>
      <c r="AC408" s="516" t="s">
        <v>233</v>
      </c>
      <c r="AD408" s="306">
        <v>3</v>
      </c>
      <c r="AE408" s="412">
        <v>5495</v>
      </c>
      <c r="AF408" s="304">
        <v>228</v>
      </c>
      <c r="AG408" s="333">
        <v>353</v>
      </c>
      <c r="AH408" s="334">
        <v>66</v>
      </c>
      <c r="AI408" s="334">
        <v>13</v>
      </c>
      <c r="AJ408" s="335">
        <v>4</v>
      </c>
      <c r="AK408" s="336">
        <v>13</v>
      </c>
      <c r="AL408" s="310">
        <v>1</v>
      </c>
      <c r="AM408" s="434"/>
    </row>
    <row r="409">
      <c r="A409" s="512"/>
      <c r="B409" s="401" t="s">
        <v>235</v>
      </c>
      <c r="C409" s="306" t="s">
        <v>240</v>
      </c>
      <c r="D409" s="324">
        <f t="shared" si="432"/>
      </c>
      <c r="E409" s="304">
        <v>2507.61</v>
      </c>
      <c r="F409" s="304">
        <v>1446.02</v>
      </c>
      <c r="G409" s="334"/>
      <c r="H409" s="334">
        <v>522.45</v>
      </c>
      <c r="I409" s="334">
        <v>4</v>
      </c>
      <c r="J409" s="334">
        <v>4924</v>
      </c>
      <c r="K409" s="326">
        <v>0</v>
      </c>
      <c r="L409" s="326">
        <v>3</v>
      </c>
      <c r="M409" s="326">
        <v>1</v>
      </c>
      <c r="N409" s="497">
        <f t="shared" si="352"/>
      </c>
      <c r="O409" s="497">
        <f t="shared" si="278"/>
      </c>
      <c r="P409" s="498">
        <f t="shared" si="216"/>
      </c>
      <c r="Q409" s="405">
        <f t="shared" si="123"/>
      </c>
      <c r="R409" s="406">
        <f t="shared" si="61"/>
      </c>
      <c r="S409" s="405">
        <f t="shared" si="154"/>
      </c>
      <c r="T409" s="405">
        <f t="shared" si="30"/>
      </c>
      <c r="U409" s="406">
        <f t="shared" si="515"/>
      </c>
      <c r="V409" s="405">
        <f t="shared" si="484"/>
      </c>
      <c r="W409" s="405">
        <f t="shared" si="383"/>
      </c>
      <c r="X409" s="406">
        <f t="shared" si="309"/>
      </c>
      <c r="Y409" s="410">
        <f t="shared" si="247"/>
      </c>
      <c r="Z409" s="406">
        <f t="shared" si="185"/>
      </c>
      <c r="AA409" s="499">
        <f t="shared" si="92"/>
      </c>
      <c r="AB409" s="500" t="s">
        <v>232</v>
      </c>
      <c r="AC409" s="516" t="s">
        <v>233</v>
      </c>
      <c r="AD409" s="306">
        <v>2</v>
      </c>
      <c r="AE409" s="304">
        <v>8267</v>
      </c>
      <c r="AF409" s="304">
        <v>358</v>
      </c>
      <c r="AG409" s="334">
        <v>542</v>
      </c>
      <c r="AH409" s="334">
        <v>98</v>
      </c>
      <c r="AI409" s="334">
        <v>33</v>
      </c>
      <c r="AJ409" s="335">
        <v>10</v>
      </c>
      <c r="AK409" s="336">
        <v>20</v>
      </c>
      <c r="AL409" s="310">
        <v>1</v>
      </c>
      <c r="AM409" s="434"/>
    </row>
    <row r="410">
      <c r="A410" s="512"/>
      <c r="B410" s="401" t="s">
        <v>236</v>
      </c>
      <c r="C410" s="473" t="s">
        <v>240</v>
      </c>
      <c r="D410" s="324">
        <f t="shared" si="432"/>
      </c>
      <c r="E410" s="325">
        <v>1188.4</v>
      </c>
      <c r="F410" s="325">
        <v>1120.1</v>
      </c>
      <c r="G410" s="334"/>
      <c r="H410" s="326">
        <v>805.21</v>
      </c>
      <c r="I410" s="334">
        <v>2</v>
      </c>
      <c r="J410" s="334">
        <v>2736</v>
      </c>
      <c r="K410" s="326">
        <v>1</v>
      </c>
      <c r="L410" s="326">
        <v>0</v>
      </c>
      <c r="M410" s="326">
        <v>1</v>
      </c>
      <c r="N410" s="497">
        <f t="shared" si="352"/>
      </c>
      <c r="O410" s="497">
        <f t="shared" si="278"/>
      </c>
      <c r="P410" s="498">
        <f t="shared" si="216"/>
      </c>
      <c r="Q410" s="405">
        <f t="shared" si="123"/>
      </c>
      <c r="R410" s="406">
        <f t="shared" si="61"/>
      </c>
      <c r="S410" s="405">
        <f t="shared" si="154"/>
      </c>
      <c r="T410" s="405">
        <f t="shared" si="30"/>
      </c>
      <c r="U410" s="406">
        <f t="shared" si="515"/>
      </c>
      <c r="V410" s="405">
        <f t="shared" si="484"/>
      </c>
      <c r="W410" s="405">
        <f t="shared" si="383"/>
      </c>
      <c r="X410" s="406">
        <f t="shared" si="309"/>
      </c>
      <c r="Y410" s="410">
        <f t="shared" si="247"/>
      </c>
      <c r="Z410" s="406">
        <f t="shared" si="185"/>
      </c>
      <c r="AA410" s="499">
        <f t="shared" si="92"/>
      </c>
      <c r="AB410" s="500" t="s">
        <v>232</v>
      </c>
      <c r="AC410" s="411" t="s">
        <v>233</v>
      </c>
      <c r="AD410" s="412">
        <v>1</v>
      </c>
      <c r="AE410" s="333">
        <v>6563</v>
      </c>
      <c r="AF410" s="334">
        <v>286</v>
      </c>
      <c r="AG410" s="334">
        <v>458</v>
      </c>
      <c r="AH410" s="334">
        <v>62</v>
      </c>
      <c r="AI410" s="334">
        <v>36</v>
      </c>
      <c r="AJ410" s="335">
        <v>6</v>
      </c>
      <c r="AK410" s="336">
        <v>20</v>
      </c>
      <c r="AL410" s="310">
        <v>1</v>
      </c>
      <c r="AM410" s="434"/>
    </row>
    <row r="411">
      <c r="A411" s="512"/>
      <c r="B411" s="334" t="s">
        <v>237</v>
      </c>
      <c r="C411" s="333" t="s">
        <v>240</v>
      </c>
      <c r="D411" s="324">
        <f t="shared" si="432"/>
      </c>
      <c r="E411" s="326">
        <v>1380.35</v>
      </c>
      <c r="F411" s="325">
        <v>1243.62</v>
      </c>
      <c r="G411" s="334"/>
      <c r="H411" s="326">
        <v>829.89</v>
      </c>
      <c r="I411" s="334">
        <v>4</v>
      </c>
      <c r="J411" s="326">
        <v>5952</v>
      </c>
      <c r="K411" s="326">
        <v>1</v>
      </c>
      <c r="L411" s="326">
        <v>1</v>
      </c>
      <c r="M411" s="326">
        <v>2</v>
      </c>
      <c r="N411" s="497">
        <f t="shared" si="352"/>
      </c>
      <c r="O411" s="497">
        <f t="shared" si="278"/>
      </c>
      <c r="P411" s="498">
        <f t="shared" si="216"/>
      </c>
      <c r="Q411" s="405">
        <f t="shared" si="123"/>
      </c>
      <c r="R411" s="406">
        <f t="shared" si="61"/>
      </c>
      <c r="S411" s="405">
        <f t="shared" si="154"/>
      </c>
      <c r="T411" s="405">
        <f t="shared" si="30"/>
      </c>
      <c r="U411" s="406">
        <f t="shared" si="515"/>
      </c>
      <c r="V411" s="405">
        <f t="shared" si="484"/>
      </c>
      <c r="W411" s="405">
        <f t="shared" si="383"/>
      </c>
      <c r="X411" s="406">
        <f t="shared" si="309"/>
      </c>
      <c r="Y411" s="410">
        <f t="shared" si="247"/>
      </c>
      <c r="Z411" s="406">
        <f t="shared" si="185"/>
      </c>
      <c r="AA411" s="499">
        <f t="shared" si="92"/>
      </c>
      <c r="AB411" s="500" t="s">
        <v>232</v>
      </c>
      <c r="AC411" s="411" t="s">
        <v>233</v>
      </c>
      <c r="AD411" s="342">
        <v>4</v>
      </c>
      <c r="AE411" s="333">
        <v>7861</v>
      </c>
      <c r="AF411" s="334">
        <v>340</v>
      </c>
      <c r="AG411" s="334">
        <v>505</v>
      </c>
      <c r="AH411" s="334">
        <v>96</v>
      </c>
      <c r="AI411" s="334">
        <v>38</v>
      </c>
      <c r="AJ411" s="335">
        <v>6</v>
      </c>
      <c r="AK411" s="336">
        <v>22</v>
      </c>
      <c r="AL411" s="310">
        <v>1</v>
      </c>
      <c r="AM411" s="434"/>
    </row>
    <row r="412">
      <c r="A412" s="512"/>
      <c r="B412" s="501" t="s">
        <v>238</v>
      </c>
      <c r="C412" s="501"/>
      <c r="D412" s="501">
        <f>SUM(D407:D411)</f>
      </c>
      <c r="E412" s="501">
        <f>SUM(E407:E411)</f>
      </c>
      <c r="F412" s="501">
        <f>SUM(F407:F411)</f>
      </c>
      <c r="G412" s="501">
        <f>SUM(G407:G411)</f>
      </c>
      <c r="H412" s="501">
        <f>SUM(H407:H411)</f>
      </c>
      <c r="I412" s="501">
        <f>SUM(I407:I411)</f>
      </c>
      <c r="J412" s="501">
        <f>SUM(J407:J411)</f>
      </c>
      <c r="K412" s="501">
        <f>SUM(K407:K411)</f>
      </c>
      <c r="L412" s="501">
        <f>SUM(L407:L411)</f>
      </c>
      <c r="M412" s="501">
        <f>SUM(M407:M411)</f>
      </c>
      <c r="N412" s="502">
        <f t="shared" si="352"/>
      </c>
      <c r="O412" s="502">
        <f t="shared" si="278"/>
      </c>
      <c r="P412" s="503">
        <f t="shared" si="216"/>
      </c>
      <c r="Q412" s="504">
        <f t="shared" si="123"/>
      </c>
      <c r="R412" s="505">
        <f t="shared" si="61"/>
      </c>
      <c r="S412" s="504">
        <f t="shared" si="154"/>
      </c>
      <c r="T412" s="504">
        <f t="shared" si="30"/>
      </c>
      <c r="U412" s="505">
        <f t="shared" si="515"/>
      </c>
      <c r="V412" s="504">
        <f t="shared" si="484"/>
      </c>
      <c r="W412" s="504">
        <f t="shared" si="383"/>
      </c>
      <c r="X412" s="505">
        <f t="shared" si="309"/>
      </c>
      <c r="Y412" s="506">
        <f t="shared" si="247"/>
      </c>
      <c r="Z412" s="505">
        <f t="shared" si="185"/>
      </c>
      <c r="AA412" s="507">
        <f t="shared" si="92"/>
      </c>
      <c r="AB412" s="507"/>
      <c r="AC412" s="507"/>
      <c r="AD412" s="347">
        <f>SUM(AD407:AD411)</f>
      </c>
      <c r="AE412" s="347">
        <f>SUM(AE407:AE411)</f>
      </c>
      <c r="AF412" s="347">
        <f>SUM(AF407:AF411)</f>
      </c>
      <c r="AG412" s="347">
        <f>SUM(AG407:AG411)</f>
      </c>
      <c r="AH412" s="347">
        <f>SUM(AH407:AH411)</f>
      </c>
      <c r="AI412" s="347">
        <f>SUM(AI407:AI411)</f>
      </c>
      <c r="AJ412" s="347">
        <f>SUM(AJ407:AJ411)</f>
      </c>
      <c r="AK412" s="347">
        <f>SUM(AK407:AK411)</f>
      </c>
      <c r="AL412" s="347">
        <f>SUM(AL407:AL411)</f>
      </c>
      <c r="AM412" s="434"/>
    </row>
    <row r="413">
      <c r="A413" s="512"/>
      <c r="B413" s="333" t="s">
        <v>239</v>
      </c>
      <c r="C413" s="326" t="s">
        <v>282</v>
      </c>
      <c r="D413" s="334">
        <f t="shared" ref="D413:D416" si="433">E413+F413+G413+H413</f>
      </c>
      <c r="E413" s="334">
        <v>1283.81</v>
      </c>
      <c r="F413" s="304">
        <v>1404.57</v>
      </c>
      <c r="G413" s="334"/>
      <c r="H413" s="334">
        <v>542.74</v>
      </c>
      <c r="I413" s="334">
        <v>2</v>
      </c>
      <c r="J413" s="334">
        <v>4536</v>
      </c>
      <c r="K413" s="326">
        <v>0</v>
      </c>
      <c r="L413" s="326">
        <v>0</v>
      </c>
      <c r="M413" s="326">
        <v>2</v>
      </c>
      <c r="N413" s="497">
        <f t="shared" si="352"/>
      </c>
      <c r="O413" s="497">
        <f t="shared" si="278"/>
      </c>
      <c r="P413" s="498">
        <f t="shared" si="216"/>
      </c>
      <c r="Q413" s="405">
        <f t="shared" si="123"/>
      </c>
      <c r="R413" s="406">
        <f t="shared" si="61"/>
      </c>
      <c r="S413" s="405">
        <f t="shared" si="154"/>
      </c>
      <c r="T413" s="405">
        <f t="shared" si="30"/>
      </c>
      <c r="U413" s="406">
        <f t="shared" si="515"/>
      </c>
      <c r="V413" s="405">
        <f t="shared" si="484"/>
      </c>
      <c r="W413" s="405">
        <f t="shared" si="383"/>
      </c>
      <c r="X413" s="406">
        <f t="shared" si="309"/>
      </c>
      <c r="Y413" s="410">
        <f t="shared" si="247"/>
      </c>
      <c r="Z413" s="406">
        <f t="shared" si="185"/>
      </c>
      <c r="AA413" s="499">
        <f t="shared" si="92"/>
      </c>
      <c r="AB413" s="500" t="s">
        <v>232</v>
      </c>
      <c r="AC413" s="411" t="s">
        <v>233</v>
      </c>
      <c r="AD413" s="309">
        <v>1</v>
      </c>
      <c r="AE413" s="365">
        <v>5547</v>
      </c>
      <c r="AF413" s="365">
        <v>338</v>
      </c>
      <c r="AG413" s="365">
        <v>453</v>
      </c>
      <c r="AH413" s="365">
        <v>66</v>
      </c>
      <c r="AI413" s="365">
        <v>53</v>
      </c>
      <c r="AJ413" s="310">
        <v>7</v>
      </c>
      <c r="AK413" s="310">
        <v>15</v>
      </c>
      <c r="AL413" s="310">
        <v>1</v>
      </c>
      <c r="AM413" s="434"/>
    </row>
    <row r="414">
      <c r="A414" s="512"/>
      <c r="B414" s="334" t="s">
        <v>241</v>
      </c>
      <c r="C414" s="326" t="s">
        <v>282</v>
      </c>
      <c r="D414" s="513">
        <f t="shared" si="433"/>
      </c>
      <c r="E414" s="513">
        <v>1371.9</v>
      </c>
      <c r="F414" s="304">
        <v>776.51</v>
      </c>
      <c r="G414" s="334"/>
      <c r="H414" s="326">
        <v>330.77</v>
      </c>
      <c r="I414" s="326">
        <v>2</v>
      </c>
      <c r="J414" s="326">
        <v>4536</v>
      </c>
      <c r="K414" s="326">
        <v>0</v>
      </c>
      <c r="L414" s="326">
        <v>0</v>
      </c>
      <c r="M414" s="326">
        <v>2</v>
      </c>
      <c r="N414" s="497">
        <f t="shared" si="352"/>
      </c>
      <c r="O414" s="497">
        <f t="shared" si="278"/>
      </c>
      <c r="P414" s="498">
        <f t="shared" si="216"/>
      </c>
      <c r="Q414" s="405">
        <f t="shared" si="123"/>
      </c>
      <c r="R414" s="406">
        <f t="shared" si="61"/>
      </c>
      <c r="S414" s="405">
        <f t="shared" si="154"/>
      </c>
      <c r="T414" s="405">
        <f t="shared" si="30"/>
      </c>
      <c r="U414" s="406">
        <f t="shared" si="515"/>
      </c>
      <c r="V414" s="405">
        <f t="shared" si="484"/>
      </c>
      <c r="W414" s="405">
        <f t="shared" si="383"/>
      </c>
      <c r="X414" s="406">
        <f t="shared" si="309"/>
      </c>
      <c r="Y414" s="410">
        <f t="shared" si="247"/>
      </c>
      <c r="Z414" s="406">
        <f t="shared" si="185"/>
      </c>
      <c r="AA414" s="499">
        <f t="shared" si="92"/>
      </c>
      <c r="AB414" s="500" t="s">
        <v>232</v>
      </c>
      <c r="AC414" s="411" t="s">
        <v>233</v>
      </c>
      <c r="AD414" s="402">
        <v>0</v>
      </c>
      <c r="AE414" s="365">
        <v>4118</v>
      </c>
      <c r="AF414" s="365">
        <v>211</v>
      </c>
      <c r="AG414" s="310">
        <v>330</v>
      </c>
      <c r="AH414" s="365">
        <v>53</v>
      </c>
      <c r="AI414" s="365">
        <v>19</v>
      </c>
      <c r="AJ414" s="310">
        <v>5</v>
      </c>
      <c r="AK414" s="310">
        <v>12</v>
      </c>
      <c r="AL414" s="310">
        <v>1</v>
      </c>
      <c r="AM414" s="434"/>
    </row>
    <row customHeight="true" ht="18.452380952380953" r="415">
      <c r="A415" s="512"/>
      <c r="B415" s="326" t="s">
        <v>242</v>
      </c>
      <c r="C415" s="326" t="s">
        <v>282</v>
      </c>
      <c r="D415" s="513">
        <f t="shared" si="433"/>
      </c>
      <c r="E415" s="513">
        <v>875.18</v>
      </c>
      <c r="F415" s="304">
        <v>861.95</v>
      </c>
      <c r="G415" s="334"/>
      <c r="H415" s="326">
        <v>670.45</v>
      </c>
      <c r="I415" s="326">
        <v>2</v>
      </c>
      <c r="J415" s="326">
        <v>4348</v>
      </c>
      <c r="K415" s="326">
        <v>0</v>
      </c>
      <c r="L415" s="326">
        <v>0</v>
      </c>
      <c r="M415" s="326">
        <v>2</v>
      </c>
      <c r="N415" s="497">
        <f t="shared" si="352"/>
      </c>
      <c r="O415" s="497">
        <f t="shared" si="278"/>
      </c>
      <c r="P415" s="498">
        <f t="shared" si="216"/>
      </c>
      <c r="Q415" s="405">
        <f t="shared" si="123"/>
      </c>
      <c r="R415" s="406">
        <f t="shared" si="61"/>
      </c>
      <c r="S415" s="405">
        <f t="shared" si="154"/>
      </c>
      <c r="T415" s="405">
        <f t="shared" si="30"/>
      </c>
      <c r="U415" s="406">
        <f t="shared" si="515"/>
      </c>
      <c r="V415" s="405">
        <f t="shared" si="484"/>
      </c>
      <c r="W415" s="405">
        <f t="shared" si="383"/>
      </c>
      <c r="X415" s="406">
        <f t="shared" si="309"/>
      </c>
      <c r="Y415" s="410">
        <f t="shared" si="247"/>
      </c>
      <c r="Z415" s="406">
        <f t="shared" si="185"/>
      </c>
      <c r="AA415" s="499">
        <f t="shared" si="92"/>
      </c>
      <c r="AB415" s="500" t="s">
        <v>232</v>
      </c>
      <c r="AC415" s="411" t="s">
        <v>233</v>
      </c>
      <c r="AD415" s="402">
        <v>2</v>
      </c>
      <c r="AE415" s="365">
        <v>4121</v>
      </c>
      <c r="AF415" s="365">
        <v>218</v>
      </c>
      <c r="AG415" s="310">
        <v>307</v>
      </c>
      <c r="AH415" s="365">
        <v>55</v>
      </c>
      <c r="AI415" s="365">
        <v>25</v>
      </c>
      <c r="AJ415" s="310">
        <v>3</v>
      </c>
      <c r="AK415" s="310">
        <v>12</v>
      </c>
      <c r="AL415" s="310">
        <v>1</v>
      </c>
      <c r="AM415" s="434"/>
    </row>
    <row customHeight="true" ht="18.452380952380953" r="416">
      <c r="A416" s="512"/>
      <c r="B416" s="326" t="s">
        <v>243</v>
      </c>
      <c r="C416" s="326" t="s">
        <v>282</v>
      </c>
      <c r="D416" s="513">
        <f t="shared" si="433"/>
      </c>
      <c r="E416" s="513">
        <v>896.46</v>
      </c>
      <c r="F416" s="304">
        <v>964.27</v>
      </c>
      <c r="G416" s="334"/>
      <c r="H416" s="326">
        <v>1104.67</v>
      </c>
      <c r="I416" s="326">
        <v>4</v>
      </c>
      <c r="J416" s="326">
        <v>7752</v>
      </c>
      <c r="K416" s="326">
        <v>0</v>
      </c>
      <c r="L416" s="326">
        <v>1</v>
      </c>
      <c r="M416" s="326">
        <v>3</v>
      </c>
      <c r="N416" s="497">
        <f t="shared" si="352"/>
      </c>
      <c r="O416" s="497">
        <f t="shared" si="278"/>
      </c>
      <c r="P416" s="498">
        <f t="shared" si="216"/>
      </c>
      <c r="Q416" s="405">
        <f t="shared" si="123"/>
      </c>
      <c r="R416" s="406">
        <f t="shared" si="61"/>
      </c>
      <c r="S416" s="405">
        <f t="shared" si="154"/>
      </c>
      <c r="T416" s="405">
        <f t="shared" si="30"/>
      </c>
      <c r="U416" s="406">
        <f t="shared" si="515"/>
      </c>
      <c r="V416" s="405">
        <f t="shared" si="484"/>
      </c>
      <c r="W416" s="405">
        <f t="shared" si="383"/>
      </c>
      <c r="X416" s="406">
        <f t="shared" si="309"/>
      </c>
      <c r="Y416" s="410">
        <f t="shared" si="247"/>
      </c>
      <c r="Z416" s="406">
        <f t="shared" si="185"/>
      </c>
      <c r="AA416" s="499">
        <f t="shared" si="92"/>
      </c>
      <c r="AB416" s="500" t="s">
        <v>232</v>
      </c>
      <c r="AC416" s="411" t="s">
        <v>233</v>
      </c>
      <c r="AD416" s="402">
        <v>4</v>
      </c>
      <c r="AE416" s="365">
        <v>4944</v>
      </c>
      <c r="AF416" s="365">
        <v>235</v>
      </c>
      <c r="AG416" s="310">
        <v>315</v>
      </c>
      <c r="AH416" s="365">
        <v>63</v>
      </c>
      <c r="AI416" s="365">
        <v>34</v>
      </c>
      <c r="AJ416" s="310">
        <v>9</v>
      </c>
      <c r="AK416" s="310">
        <v>15</v>
      </c>
      <c r="AL416" s="310">
        <v>1</v>
      </c>
      <c r="AM416" s="434"/>
    </row>
    <row r="417">
      <c r="A417" s="512"/>
      <c r="B417" s="501" t="s">
        <v>238</v>
      </c>
      <c r="C417" s="501"/>
      <c r="D417" s="501">
        <f>SUM(D413:D416)</f>
      </c>
      <c r="E417" s="501">
        <f>SUM(E413:E416)</f>
      </c>
      <c r="F417" s="501">
        <f>SUM(F413:F416)</f>
      </c>
      <c r="G417" s="501">
        <f>SUM(G413:G416)</f>
      </c>
      <c r="H417" s="501">
        <f>SUM(H413:H416)</f>
      </c>
      <c r="I417" s="501">
        <f>SUM(I413:I416)</f>
      </c>
      <c r="J417" s="501">
        <f>SUM(J413:J416)</f>
      </c>
      <c r="K417" s="501">
        <f>SUM(K413:K416)</f>
      </c>
      <c r="L417" s="501">
        <f>SUM(L413:L416)</f>
      </c>
      <c r="M417" s="501">
        <f>SUM(M413:M416)</f>
      </c>
      <c r="N417" s="502">
        <f t="shared" si="352"/>
      </c>
      <c r="O417" s="502">
        <f t="shared" si="278"/>
      </c>
      <c r="P417" s="508">
        <f t="shared" si="216"/>
      </c>
      <c r="Q417" s="504">
        <f t="shared" si="123"/>
      </c>
      <c r="R417" s="505">
        <f t="shared" si="61"/>
      </c>
      <c r="S417" s="504">
        <f t="shared" si="154"/>
      </c>
      <c r="T417" s="504">
        <f t="shared" si="30"/>
      </c>
      <c r="U417" s="505">
        <f t="shared" si="515"/>
      </c>
      <c r="V417" s="504">
        <f t="shared" si="484"/>
      </c>
      <c r="W417" s="504">
        <f t="shared" si="383"/>
      </c>
      <c r="X417" s="505">
        <f t="shared" si="309"/>
      </c>
      <c r="Y417" s="506">
        <f t="shared" si="247"/>
      </c>
      <c r="Z417" s="505">
        <f t="shared" si="185"/>
      </c>
      <c r="AA417" s="507">
        <f t="shared" si="92"/>
      </c>
      <c r="AB417" s="507"/>
      <c r="AC417" s="523"/>
      <c r="AD417" s="525">
        <f>SUM(AD413:AD416)</f>
      </c>
      <c r="AE417" s="525">
        <f>SUM(AE413:AE416)</f>
      </c>
      <c r="AF417" s="525">
        <f>SUM(AF413:AF416)</f>
      </c>
      <c r="AG417" s="525">
        <f>SUM(AG413:AG416)</f>
      </c>
      <c r="AH417" s="525">
        <f>SUM(AH413:AH416)</f>
      </c>
      <c r="AI417" s="525">
        <f>SUM(AI413:AI416)</f>
      </c>
      <c r="AJ417" s="525">
        <f>SUM(AJ413:AJ416)</f>
      </c>
      <c r="AK417" s="525">
        <f>SUM(AK413:AK416)</f>
      </c>
      <c r="AL417" s="525">
        <f>SUM(AL413:AL416)</f>
      </c>
      <c r="AM417" s="478" t="s">
        <v>273</v>
      </c>
    </row>
    <row r="418">
      <c r="A418" s="512"/>
      <c r="B418" s="373" t="s">
        <v>250</v>
      </c>
      <c r="C418" s="373"/>
      <c r="D418" s="515">
        <f>D412+D417</f>
      </c>
      <c r="E418" s="515">
        <f>E412+E417</f>
      </c>
      <c r="F418" s="515">
        <f>F412+F417</f>
      </c>
      <c r="G418" s="515">
        <f>G412+G417</f>
      </c>
      <c r="H418" s="515">
        <f>H412+H417</f>
      </c>
      <c r="I418" s="515">
        <f>I412+I417</f>
      </c>
      <c r="J418" s="515">
        <f>J412+J417</f>
      </c>
      <c r="K418" s="515">
        <f>K412+K417</f>
      </c>
      <c r="L418" s="515">
        <f>L412+L417</f>
      </c>
      <c r="M418" s="515">
        <f>M412+M417</f>
      </c>
      <c r="N418" s="427">
        <f t="shared" si="352"/>
      </c>
      <c r="O418" s="427">
        <f t="shared" si="278"/>
      </c>
      <c r="P418" s="509">
        <f t="shared" si="216"/>
      </c>
      <c r="Q418" s="510">
        <f t="shared" si="123"/>
      </c>
      <c r="R418" s="427">
        <f t="shared" si="61"/>
      </c>
      <c r="S418" s="510">
        <f t="shared" si="154"/>
      </c>
      <c r="T418" s="510">
        <f t="shared" si="30"/>
      </c>
      <c r="U418" s="427">
        <f t="shared" si="515"/>
      </c>
      <c r="V418" s="510">
        <f t="shared" si="484"/>
      </c>
      <c r="W418" s="510">
        <f t="shared" si="383"/>
      </c>
      <c r="X418" s="427">
        <f t="shared" si="309"/>
      </c>
      <c r="Y418" s="511">
        <f t="shared" si="247"/>
      </c>
      <c r="Z418" s="427">
        <f t="shared" si="185"/>
      </c>
      <c r="AA418" s="509">
        <f t="shared" si="92"/>
      </c>
      <c r="AB418" s="509"/>
      <c r="AC418" s="509"/>
      <c r="AD418" s="484">
        <f>AD412+AD417</f>
      </c>
      <c r="AE418" s="484">
        <f>AE412+AE417</f>
      </c>
      <c r="AF418" s="484">
        <f>AF412+AF417</f>
      </c>
      <c r="AG418" s="484">
        <f>AG412+AG417</f>
      </c>
      <c r="AH418" s="484">
        <f>AH412+AH417</f>
      </c>
      <c r="AI418" s="484">
        <f>AI412+AI417</f>
      </c>
      <c r="AJ418" s="484">
        <f>AJ412+AJ417</f>
      </c>
      <c r="AK418" s="484">
        <f>AK412+AK417</f>
      </c>
      <c r="AL418" s="484">
        <f>AL412+AL417</f>
      </c>
      <c r="AM418" s="478"/>
    </row>
    <row r="419">
      <c r="A419" s="389" t="s">
        <v>189</v>
      </c>
      <c r="B419" s="389"/>
      <c r="C419" s="389"/>
      <c r="D419" s="487" t="s">
        <v>190</v>
      </c>
      <c r="E419" s="487"/>
      <c r="F419" s="487"/>
      <c r="G419" s="487"/>
      <c r="H419" s="487"/>
      <c r="I419" s="487"/>
      <c r="J419" s="487"/>
      <c r="K419" s="487"/>
      <c r="L419" s="487"/>
      <c r="M419" s="487"/>
      <c r="N419" s="487"/>
      <c r="O419" s="487"/>
      <c r="P419" s="391" t="s">
        <v>191</v>
      </c>
      <c r="Q419" s="391"/>
      <c r="R419" s="391"/>
      <c r="S419" s="391"/>
      <c r="T419" s="391"/>
      <c r="U419" s="391"/>
      <c r="V419" s="391"/>
      <c r="W419" s="391"/>
      <c r="X419" s="391"/>
      <c r="Y419" s="391"/>
      <c r="Z419" s="391"/>
      <c r="AA419" s="391"/>
      <c r="AB419" s="391"/>
      <c r="AC419" s="391"/>
      <c r="AD419" s="447" t="s">
        <v>192</v>
      </c>
      <c r="AE419" s="447"/>
      <c r="AF419" s="447"/>
      <c r="AG419" s="447"/>
      <c r="AH419" s="447"/>
      <c r="AI419" s="447"/>
      <c r="AJ419" s="447"/>
      <c r="AK419" s="447"/>
      <c r="AL419" s="447"/>
      <c r="AM419" s="433"/>
    </row>
    <row r="420">
      <c r="A420" s="488" t="s">
        <v>193</v>
      </c>
      <c r="B420" s="489" t="s">
        <v>194</v>
      </c>
      <c r="C420" s="489" t="s">
        <v>195</v>
      </c>
      <c r="D420" s="490" t="s">
        <v>196</v>
      </c>
      <c r="E420" s="491" t="s">
        <v>197</v>
      </c>
      <c r="F420" s="491" t="s">
        <v>198</v>
      </c>
      <c r="G420" s="492" t="s">
        <v>256</v>
      </c>
      <c r="H420" s="493" t="s">
        <v>260</v>
      </c>
      <c r="I420" s="519" t="s">
        <v>199</v>
      </c>
      <c r="J420" s="490" t="s">
        <v>200</v>
      </c>
      <c r="K420" s="390" t="s">
        <v>201</v>
      </c>
      <c r="L420" s="390" t="s">
        <v>202</v>
      </c>
      <c r="M420" s="390" t="s">
        <v>203</v>
      </c>
      <c r="N420" s="492" t="s">
        <v>204</v>
      </c>
      <c r="O420" s="390" t="s">
        <v>205</v>
      </c>
      <c r="P420" s="391" t="s">
        <v>206</v>
      </c>
      <c r="Q420" s="391" t="s">
        <v>207</v>
      </c>
      <c r="R420" s="391" t="s">
        <v>208</v>
      </c>
      <c r="S420" s="494" t="s">
        <v>209</v>
      </c>
      <c r="T420" s="494" t="s">
        <v>210</v>
      </c>
      <c r="U420" s="391" t="s">
        <v>211</v>
      </c>
      <c r="V420" s="494" t="s">
        <v>212</v>
      </c>
      <c r="W420" s="494" t="s">
        <v>213</v>
      </c>
      <c r="X420" s="391" t="s">
        <v>214</v>
      </c>
      <c r="Y420" s="494" t="s">
        <v>215</v>
      </c>
      <c r="Z420" s="391" t="s">
        <v>216</v>
      </c>
      <c r="AA420" s="495" t="s">
        <v>217</v>
      </c>
      <c r="AB420" s="495" t="s">
        <v>218</v>
      </c>
      <c r="AC420" s="495" t="s">
        <v>219</v>
      </c>
      <c r="AD420" s="456" t="s">
        <v>220</v>
      </c>
      <c r="AE420" s="301" t="s">
        <v>221</v>
      </c>
      <c r="AF420" s="301" t="s">
        <v>222</v>
      </c>
      <c r="AG420" s="301" t="s">
        <v>223</v>
      </c>
      <c r="AH420" s="301" t="s">
        <v>224</v>
      </c>
      <c r="AI420" s="301" t="s">
        <v>225</v>
      </c>
      <c r="AJ420" s="302" t="s">
        <v>226</v>
      </c>
      <c r="AK420" s="302" t="s">
        <v>227</v>
      </c>
      <c r="AL420" s="302" t="s">
        <v>228</v>
      </c>
      <c r="AM420" s="433"/>
    </row>
    <row r="421">
      <c r="A421" s="512" t="s">
        <v>283</v>
      </c>
      <c r="B421" s="334" t="s">
        <v>230</v>
      </c>
      <c r="C421" s="513" t="s">
        <v>240</v>
      </c>
      <c r="D421" s="513">
        <f t="shared" ref="D421:D425" si="434">E421+F421+G421+H421</f>
      </c>
      <c r="E421" s="304">
        <v>2002.28</v>
      </c>
      <c r="F421" s="304">
        <v>751.03</v>
      </c>
      <c r="G421" s="304"/>
      <c r="H421" s="401">
        <v>985.5</v>
      </c>
      <c r="I421" s="306">
        <v>2</v>
      </c>
      <c r="J421" s="324">
        <v>3216</v>
      </c>
      <c r="K421" s="325">
        <v>0</v>
      </c>
      <c r="L421" s="326">
        <v>1</v>
      </c>
      <c r="M421" s="326">
        <v>1</v>
      </c>
      <c r="N421" s="497">
        <f t="shared" ref="N421:N429" si="353">J421/D421</f>
      </c>
      <c r="O421" s="497">
        <f t="shared" ref="O421:O429" si="279">J421/(D421+300*AL421)</f>
      </c>
      <c r="P421" s="498">
        <f t="shared" ref="P421:P429" si="217">(D421/AE421)*1000</f>
      </c>
      <c r="Q421" s="405">
        <f t="shared" ref="Q421:Q429" si="124">AF421/AE421</f>
      </c>
      <c r="R421" s="406">
        <f t="shared" ref="R421:R429" si="62">D421/AG421</f>
      </c>
      <c r="S421" s="405">
        <f t="shared" ref="S421:S429" si="155">AH421/AG421</f>
      </c>
      <c r="T421" s="405">
        <f t="shared" ref="T421:T429" si="31">AI421/AG421</f>
      </c>
      <c r="U421" s="406">
        <f t="shared" ref="U421:U429" si="516">D421/AI421</f>
      </c>
      <c r="V421" s="405">
        <f t="shared" ref="V421:V429" si="485">AJ421/AI421</f>
      </c>
      <c r="W421" s="405">
        <f t="shared" ref="W421:W429" si="384">I421/AJ421</f>
      </c>
      <c r="X421" s="406">
        <f t="shared" ref="X421:X429" si="310">D421/I421</f>
      </c>
      <c r="Y421" s="410">
        <f t="shared" ref="Y421:Y429" si="248">J421/I421</f>
      </c>
      <c r="Z421" s="406">
        <f t="shared" ref="Z421:Z429" si="186">D421/AD421</f>
      </c>
      <c r="AA421" s="499">
        <f t="shared" ref="AA421:AA429" si="93">AK421*1000/D421</f>
      </c>
      <c r="AB421" s="500" t="s">
        <v>232</v>
      </c>
      <c r="AC421" s="516" t="s">
        <v>233</v>
      </c>
      <c r="AD421" s="306">
        <v>1</v>
      </c>
      <c r="AE421" s="304">
        <v>6840</v>
      </c>
      <c r="AF421" s="304">
        <v>375</v>
      </c>
      <c r="AG421" s="304">
        <v>483</v>
      </c>
      <c r="AH421" s="304">
        <v>101</v>
      </c>
      <c r="AI421" s="334">
        <v>39</v>
      </c>
      <c r="AJ421" s="325">
        <v>6</v>
      </c>
      <c r="AK421" s="326">
        <v>23</v>
      </c>
      <c r="AL421" s="310">
        <v>1</v>
      </c>
      <c r="AM421" s="434"/>
    </row>
    <row r="422">
      <c r="A422" s="512"/>
      <c r="B422" s="401" t="s">
        <v>234</v>
      </c>
      <c r="C422" s="524" t="s">
        <v>240</v>
      </c>
      <c r="D422" s="306">
        <f t="shared" si="434"/>
      </c>
      <c r="E422" s="304">
        <v>1356.35</v>
      </c>
      <c r="F422" s="412">
        <v>696.32</v>
      </c>
      <c r="G422" s="334"/>
      <c r="H422" s="334">
        <v>497.28</v>
      </c>
      <c r="I422" s="333">
        <v>1</v>
      </c>
      <c r="J422" s="333">
        <v>948</v>
      </c>
      <c r="K422" s="326">
        <v>0</v>
      </c>
      <c r="L422" s="326">
        <v>1</v>
      </c>
      <c r="M422" s="326">
        <v>0</v>
      </c>
      <c r="N422" s="497">
        <f t="shared" si="353"/>
      </c>
      <c r="O422" s="497">
        <f t="shared" si="279"/>
      </c>
      <c r="P422" s="498">
        <f t="shared" si="217"/>
      </c>
      <c r="Q422" s="405">
        <f t="shared" si="124"/>
      </c>
      <c r="R422" s="406">
        <f t="shared" si="62"/>
      </c>
      <c r="S422" s="405">
        <f t="shared" si="155"/>
      </c>
      <c r="T422" s="405">
        <f t="shared" si="31"/>
      </c>
      <c r="U422" s="406">
        <f t="shared" si="516"/>
      </c>
      <c r="V422" s="405">
        <f t="shared" si="485"/>
      </c>
      <c r="W422" s="405">
        <f t="shared" si="384"/>
      </c>
      <c r="X422" s="406">
        <f t="shared" si="310"/>
      </c>
      <c r="Y422" s="410">
        <f t="shared" si="248"/>
      </c>
      <c r="Z422" s="406">
        <f t="shared" si="186"/>
      </c>
      <c r="AA422" s="499">
        <f t="shared" si="93"/>
      </c>
      <c r="AB422" s="500" t="s">
        <v>232</v>
      </c>
      <c r="AC422" s="516" t="s">
        <v>233</v>
      </c>
      <c r="AD422" s="306">
        <v>1</v>
      </c>
      <c r="AE422" s="412">
        <v>3988</v>
      </c>
      <c r="AF422" s="304">
        <v>192</v>
      </c>
      <c r="AG422" s="333">
        <v>291</v>
      </c>
      <c r="AH422" s="334">
        <v>46</v>
      </c>
      <c r="AI422" s="334">
        <v>25</v>
      </c>
      <c r="AJ422" s="335">
        <v>1</v>
      </c>
      <c r="AK422" s="336">
        <v>10</v>
      </c>
      <c r="AL422" s="310">
        <v>1</v>
      </c>
      <c r="AM422" s="434"/>
    </row>
    <row r="423">
      <c r="A423" s="512"/>
      <c r="B423" s="401" t="s">
        <v>235</v>
      </c>
      <c r="C423" s="306" t="s">
        <v>240</v>
      </c>
      <c r="D423" s="324">
        <f t="shared" si="434"/>
      </c>
      <c r="E423" s="304">
        <v>1736.58</v>
      </c>
      <c r="F423" s="304">
        <v>1111.25</v>
      </c>
      <c r="G423" s="334"/>
      <c r="H423" s="334">
        <v>219.39</v>
      </c>
      <c r="I423" s="326">
        <v>0</v>
      </c>
      <c r="J423" s="326">
        <v>0</v>
      </c>
      <c r="K423" s="326">
        <v>0</v>
      </c>
      <c r="L423" s="326">
        <v>0</v>
      </c>
      <c r="M423" s="326">
        <v>0</v>
      </c>
      <c r="N423" s="497">
        <f t="shared" si="353"/>
      </c>
      <c r="O423" s="497">
        <f t="shared" si="279"/>
      </c>
      <c r="P423" s="498">
        <f t="shared" si="217"/>
      </c>
      <c r="Q423" s="405">
        <f t="shared" si="124"/>
      </c>
      <c r="R423" s="406">
        <f t="shared" si="62"/>
      </c>
      <c r="S423" s="405">
        <f t="shared" si="155"/>
      </c>
      <c r="T423" s="405">
        <f t="shared" si="31"/>
      </c>
      <c r="U423" s="406">
        <f t="shared" si="516"/>
      </c>
      <c r="V423" s="405">
        <f t="shared" si="485"/>
      </c>
      <c r="W423" s="405">
        <f t="shared" si="384"/>
      </c>
      <c r="X423" s="406">
        <f t="shared" si="310"/>
      </c>
      <c r="Y423" s="410">
        <f t="shared" si="248"/>
      </c>
      <c r="Z423" s="406">
        <f t="shared" si="186"/>
      </c>
      <c r="AA423" s="499">
        <f t="shared" si="93"/>
      </c>
      <c r="AB423" s="500" t="s">
        <v>232</v>
      </c>
      <c r="AC423" s="516" t="s">
        <v>233</v>
      </c>
      <c r="AD423" s="306">
        <v>0</v>
      </c>
      <c r="AE423" s="304">
        <v>4705</v>
      </c>
      <c r="AF423" s="304">
        <v>217</v>
      </c>
      <c r="AG423" s="334">
        <v>312</v>
      </c>
      <c r="AH423" s="334">
        <v>72</v>
      </c>
      <c r="AI423" s="334">
        <v>22</v>
      </c>
      <c r="AJ423" s="335">
        <v>1</v>
      </c>
      <c r="AK423" s="336">
        <v>11</v>
      </c>
      <c r="AL423" s="310">
        <v>1</v>
      </c>
      <c r="AM423" s="434"/>
    </row>
    <row r="424">
      <c r="A424" s="512"/>
      <c r="B424" s="401" t="s">
        <v>236</v>
      </c>
      <c r="C424" s="473" t="s">
        <v>240</v>
      </c>
      <c r="D424" s="324">
        <f t="shared" si="434"/>
      </c>
      <c r="E424" s="325">
        <v>1350.04</v>
      </c>
      <c r="F424" s="325">
        <v>757.78</v>
      </c>
      <c r="G424" s="334"/>
      <c r="H424" s="326">
        <v>113.48</v>
      </c>
      <c r="I424" s="334">
        <v>4</v>
      </c>
      <c r="J424" s="334">
        <v>8884</v>
      </c>
      <c r="K424" s="326">
        <v>0</v>
      </c>
      <c r="L424" s="326">
        <v>0</v>
      </c>
      <c r="M424" s="326">
        <v>4</v>
      </c>
      <c r="N424" s="497">
        <f t="shared" si="353"/>
      </c>
      <c r="O424" s="497">
        <f t="shared" si="279"/>
      </c>
      <c r="P424" s="498">
        <f t="shared" si="217"/>
      </c>
      <c r="Q424" s="405">
        <f t="shared" si="124"/>
      </c>
      <c r="R424" s="406">
        <f t="shared" si="62"/>
      </c>
      <c r="S424" s="405">
        <f t="shared" si="155"/>
      </c>
      <c r="T424" s="405">
        <f t="shared" si="31"/>
      </c>
      <c r="U424" s="406">
        <f t="shared" si="516"/>
      </c>
      <c r="V424" s="405">
        <f t="shared" si="485"/>
      </c>
      <c r="W424" s="405">
        <f t="shared" si="384"/>
      </c>
      <c r="X424" s="406">
        <f t="shared" si="310"/>
      </c>
      <c r="Y424" s="410">
        <f t="shared" si="248"/>
      </c>
      <c r="Z424" s="406">
        <f t="shared" si="186"/>
      </c>
      <c r="AA424" s="499">
        <f t="shared" si="93"/>
      </c>
      <c r="AB424" s="500" t="s">
        <v>232</v>
      </c>
      <c r="AC424" s="411" t="s">
        <v>233</v>
      </c>
      <c r="AD424" s="412">
        <v>2</v>
      </c>
      <c r="AE424" s="333">
        <v>4002</v>
      </c>
      <c r="AF424" s="334">
        <v>186</v>
      </c>
      <c r="AG424" s="334">
        <v>260</v>
      </c>
      <c r="AH424" s="334">
        <v>60</v>
      </c>
      <c r="AI424" s="334">
        <v>18</v>
      </c>
      <c r="AJ424" s="335">
        <v>4</v>
      </c>
      <c r="AK424" s="336">
        <v>12</v>
      </c>
      <c r="AL424" s="310">
        <v>1</v>
      </c>
      <c r="AM424" s="434"/>
    </row>
    <row r="425">
      <c r="A425" s="512"/>
      <c r="B425" s="334" t="s">
        <v>237</v>
      </c>
      <c r="C425" s="333" t="s">
        <v>240</v>
      </c>
      <c r="D425" s="324">
        <f t="shared" si="434"/>
      </c>
      <c r="E425" s="326">
        <v>967.03</v>
      </c>
      <c r="F425" s="325">
        <v>478.76</v>
      </c>
      <c r="G425" s="334"/>
      <c r="H425" s="326">
        <v>175.73</v>
      </c>
      <c r="I425" s="334">
        <v>2</v>
      </c>
      <c r="J425" s="326">
        <v>1729.199999999999</v>
      </c>
      <c r="K425" s="326">
        <v>0</v>
      </c>
      <c r="L425" s="326">
        <v>1</v>
      </c>
      <c r="M425" s="326">
        <v>0</v>
      </c>
      <c r="N425" s="497">
        <f t="shared" si="353"/>
      </c>
      <c r="O425" s="497">
        <f t="shared" si="279"/>
      </c>
      <c r="P425" s="498">
        <f t="shared" si="217"/>
      </c>
      <c r="Q425" s="405">
        <f t="shared" si="124"/>
      </c>
      <c r="R425" s="406">
        <f t="shared" si="62"/>
      </c>
      <c r="S425" s="405">
        <f t="shared" si="155"/>
      </c>
      <c r="T425" s="405">
        <f t="shared" si="31"/>
      </c>
      <c r="U425" s="406">
        <f t="shared" si="516"/>
      </c>
      <c r="V425" s="405">
        <f t="shared" si="485"/>
      </c>
      <c r="W425" s="405">
        <f t="shared" si="384"/>
      </c>
      <c r="X425" s="406">
        <f t="shared" si="310"/>
      </c>
      <c r="Y425" s="410">
        <f t="shared" si="248"/>
      </c>
      <c r="Z425" s="406">
        <f t="shared" si="186"/>
      </c>
      <c r="AA425" s="499">
        <f t="shared" si="93"/>
      </c>
      <c r="AB425" s="500" t="s">
        <v>232</v>
      </c>
      <c r="AC425" s="411" t="s">
        <v>233</v>
      </c>
      <c r="AD425" s="342">
        <v>1</v>
      </c>
      <c r="AE425" s="333">
        <v>2113</v>
      </c>
      <c r="AF425" s="334">
        <v>84</v>
      </c>
      <c r="AG425" s="334">
        <v>158</v>
      </c>
      <c r="AH425" s="334">
        <v>15</v>
      </c>
      <c r="AI425" s="334">
        <v>6</v>
      </c>
      <c r="AJ425" s="335">
        <v>2</v>
      </c>
      <c r="AK425" s="336">
        <v>4</v>
      </c>
      <c r="AL425" s="310">
        <v>1</v>
      </c>
      <c r="AM425" s="434"/>
    </row>
    <row r="426">
      <c r="A426" s="512"/>
      <c r="B426" s="501" t="s">
        <v>238</v>
      </c>
      <c r="C426" s="501"/>
      <c r="D426" s="501">
        <f>SUM(D421:D425)</f>
      </c>
      <c r="E426" s="501">
        <f>SUM(E421:E425)</f>
      </c>
      <c r="F426" s="501">
        <f>SUM(F421:F425)</f>
      </c>
      <c r="G426" s="501">
        <f>SUM(G421:G425)</f>
      </c>
      <c r="H426" s="501">
        <f>SUM(H421:H425)</f>
      </c>
      <c r="I426" s="501">
        <f>SUM(I421:I425)</f>
      </c>
      <c r="J426" s="501">
        <f>SUM(J421:J425)</f>
      </c>
      <c r="K426" s="501">
        <f>SUM(K421:K425)</f>
      </c>
      <c r="L426" s="501">
        <f>SUM(L421:L425)</f>
      </c>
      <c r="M426" s="501">
        <f>SUM(M421:M425)</f>
      </c>
      <c r="N426" s="502">
        <f t="shared" si="353"/>
      </c>
      <c r="O426" s="502">
        <f t="shared" si="279"/>
      </c>
      <c r="P426" s="503">
        <f t="shared" si="217"/>
      </c>
      <c r="Q426" s="504">
        <f t="shared" si="124"/>
      </c>
      <c r="R426" s="505">
        <f t="shared" si="62"/>
      </c>
      <c r="S426" s="504">
        <f t="shared" si="155"/>
      </c>
      <c r="T426" s="504">
        <f t="shared" si="31"/>
      </c>
      <c r="U426" s="505">
        <f t="shared" si="516"/>
      </c>
      <c r="V426" s="504">
        <f t="shared" si="485"/>
      </c>
      <c r="W426" s="504">
        <f t="shared" si="384"/>
      </c>
      <c r="X426" s="505">
        <f t="shared" si="310"/>
      </c>
      <c r="Y426" s="506">
        <f t="shared" si="248"/>
      </c>
      <c r="Z426" s="505">
        <f t="shared" si="186"/>
      </c>
      <c r="AA426" s="507">
        <f t="shared" si="93"/>
      </c>
      <c r="AB426" s="507"/>
      <c r="AC426" s="507"/>
      <c r="AD426" s="347">
        <f>SUM(AD421:AD425)</f>
      </c>
      <c r="AE426" s="347">
        <f>SUM(AE421:AE425)</f>
      </c>
      <c r="AF426" s="347">
        <f>SUM(AF421:AF425)</f>
      </c>
      <c r="AG426" s="347">
        <f>SUM(AG421:AG425)</f>
      </c>
      <c r="AH426" s="347">
        <f>SUM(AH421:AH425)</f>
      </c>
      <c r="AI426" s="347">
        <f>SUM(AI421:AI425)</f>
      </c>
      <c r="AJ426" s="347">
        <f>SUM(AJ421:AJ425)</f>
      </c>
      <c r="AK426" s="347">
        <f>SUM(AK421:AK425)</f>
      </c>
      <c r="AL426" s="347">
        <f>SUM(AL421:AL425)</f>
      </c>
      <c r="AM426" s="434"/>
    </row>
    <row r="427">
      <c r="A427" s="512"/>
      <c r="B427" s="333" t="s">
        <v>239</v>
      </c>
      <c r="C427" s="326" t="s">
        <v>282</v>
      </c>
      <c r="D427" s="334">
        <f>E427+F427+G427+H427</f>
      </c>
      <c r="E427" s="334">
        <v>876.93</v>
      </c>
      <c r="F427" s="304">
        <v>247.79999999999998</v>
      </c>
      <c r="G427" s="334"/>
      <c r="H427" s="334">
        <v>158.48</v>
      </c>
      <c r="I427" s="326">
        <v>0</v>
      </c>
      <c r="J427" s="326">
        <v>0</v>
      </c>
      <c r="K427" s="326">
        <v>0</v>
      </c>
      <c r="L427" s="326">
        <v>0</v>
      </c>
      <c r="M427" s="326">
        <v>0</v>
      </c>
      <c r="N427" s="497">
        <f t="shared" si="353"/>
      </c>
      <c r="O427" s="497">
        <f t="shared" si="279"/>
      </c>
      <c r="P427" s="498">
        <f t="shared" si="217"/>
      </c>
      <c r="Q427" s="405">
        <f t="shared" si="124"/>
      </c>
      <c r="R427" s="406">
        <f t="shared" si="62"/>
      </c>
      <c r="S427" s="405">
        <f t="shared" si="155"/>
      </c>
      <c r="T427" s="405">
        <f t="shared" si="31"/>
      </c>
      <c r="U427" s="406">
        <f t="shared" si="516"/>
      </c>
      <c r="V427" s="405">
        <f t="shared" si="485"/>
      </c>
      <c r="W427" s="405">
        <f t="shared" si="384"/>
      </c>
      <c r="X427" s="406">
        <f t="shared" si="310"/>
      </c>
      <c r="Y427" s="410">
        <f t="shared" si="248"/>
      </c>
      <c r="Z427" s="406">
        <f t="shared" si="186"/>
      </c>
      <c r="AA427" s="499">
        <f t="shared" si="93"/>
      </c>
      <c r="AB427" s="500" t="s">
        <v>232</v>
      </c>
      <c r="AC427" s="411" t="s">
        <v>233</v>
      </c>
      <c r="AD427" s="309">
        <v>0</v>
      </c>
      <c r="AE427" s="365">
        <v>2157</v>
      </c>
      <c r="AF427" s="365">
        <v>102</v>
      </c>
      <c r="AG427" s="365">
        <v>177</v>
      </c>
      <c r="AH427" s="365">
        <v>20</v>
      </c>
      <c r="AI427" s="365">
        <v>4</v>
      </c>
      <c r="AJ427" s="310">
        <v>0</v>
      </c>
      <c r="AK427" s="310">
        <v>6</v>
      </c>
      <c r="AL427" s="310">
        <v>1</v>
      </c>
      <c r="AM427" s="434"/>
    </row>
    <row r="428">
      <c r="A428" s="512"/>
      <c r="B428" s="501" t="s">
        <v>238</v>
      </c>
      <c r="C428" s="501"/>
      <c r="D428" s="501">
        <f>SUM(D427)</f>
      </c>
      <c r="E428" s="501">
        <f>SUM(E427)</f>
      </c>
      <c r="F428" s="501">
        <f>SUM(F427)</f>
      </c>
      <c r="G428" s="501">
        <f>SUM(G427)</f>
      </c>
      <c r="H428" s="501">
        <f>SUM(H427)</f>
      </c>
      <c r="I428" s="501">
        <f>SUM(I427)</f>
      </c>
      <c r="J428" s="501">
        <f>SUM(J427)</f>
      </c>
      <c r="K428" s="501">
        <f>SUM(K427)</f>
      </c>
      <c r="L428" s="501">
        <f>SUM(L427)</f>
      </c>
      <c r="M428" s="501">
        <f>SUM(M427)</f>
      </c>
      <c r="N428" s="502">
        <f t="shared" si="353"/>
      </c>
      <c r="O428" s="502">
        <f t="shared" si="279"/>
      </c>
      <c r="P428" s="508">
        <f t="shared" si="217"/>
      </c>
      <c r="Q428" s="504">
        <f t="shared" si="124"/>
      </c>
      <c r="R428" s="505">
        <f t="shared" si="62"/>
      </c>
      <c r="S428" s="504">
        <f t="shared" si="155"/>
      </c>
      <c r="T428" s="504">
        <f t="shared" si="31"/>
      </c>
      <c r="U428" s="505">
        <f t="shared" si="516"/>
      </c>
      <c r="V428" s="504">
        <f t="shared" si="485"/>
      </c>
      <c r="W428" s="504">
        <f t="shared" si="384"/>
      </c>
      <c r="X428" s="505">
        <f t="shared" si="310"/>
      </c>
      <c r="Y428" s="506">
        <f t="shared" si="248"/>
      </c>
      <c r="Z428" s="505">
        <f t="shared" si="186"/>
      </c>
      <c r="AA428" s="507">
        <f t="shared" si="93"/>
      </c>
      <c r="AB428" s="507"/>
      <c r="AC428" s="523"/>
      <c r="AD428" s="525">
        <f>SUM(AD427)</f>
      </c>
      <c r="AE428" s="525">
        <f>SUM(AE427)</f>
      </c>
      <c r="AF428" s="525">
        <f>SUM(AF427)</f>
      </c>
      <c r="AG428" s="525">
        <f>SUM(AG427)</f>
      </c>
      <c r="AH428" s="525">
        <f>SUM(AH427)</f>
      </c>
      <c r="AI428" s="525">
        <f>SUM(AI427)</f>
      </c>
      <c r="AJ428" s="525">
        <f>SUM(AJ427)</f>
      </c>
      <c r="AK428" s="525">
        <f>SUM(AK427)</f>
      </c>
      <c r="AL428" s="525">
        <f>SUM(AL427)</f>
      </c>
      <c r="AM428" s="478" t="s">
        <v>273</v>
      </c>
    </row>
    <row r="429">
      <c r="A429" s="512"/>
      <c r="B429" s="373" t="s">
        <v>250</v>
      </c>
      <c r="C429" s="373"/>
      <c r="D429" s="515">
        <f>D426+D428</f>
      </c>
      <c r="E429" s="515">
        <f>E426+E428</f>
      </c>
      <c r="F429" s="515">
        <f>F426+F428</f>
      </c>
      <c r="G429" s="515">
        <f>G426+G428</f>
      </c>
      <c r="H429" s="515">
        <f>H426+H428</f>
      </c>
      <c r="I429" s="515">
        <f>I426+I428</f>
      </c>
      <c r="J429" s="515">
        <f>J426+J428</f>
      </c>
      <c r="K429" s="515">
        <f>K426+K428</f>
      </c>
      <c r="L429" s="515">
        <f>L426+L428</f>
      </c>
      <c r="M429" s="515">
        <f>M426+M428</f>
      </c>
      <c r="N429" s="427">
        <f t="shared" si="353"/>
      </c>
      <c r="O429" s="427">
        <f t="shared" si="279"/>
      </c>
      <c r="P429" s="509">
        <f t="shared" si="217"/>
      </c>
      <c r="Q429" s="510">
        <f t="shared" si="124"/>
      </c>
      <c r="R429" s="427">
        <f t="shared" si="62"/>
      </c>
      <c r="S429" s="510">
        <f t="shared" si="155"/>
      </c>
      <c r="T429" s="510">
        <f t="shared" si="31"/>
      </c>
      <c r="U429" s="427">
        <f t="shared" si="516"/>
      </c>
      <c r="V429" s="510">
        <f t="shared" si="485"/>
      </c>
      <c r="W429" s="510">
        <f t="shared" si="384"/>
      </c>
      <c r="X429" s="427">
        <f t="shared" si="310"/>
      </c>
      <c r="Y429" s="511">
        <f t="shared" si="248"/>
      </c>
      <c r="Z429" s="427">
        <f t="shared" si="186"/>
      </c>
      <c r="AA429" s="509">
        <f t="shared" si="93"/>
      </c>
      <c r="AB429" s="509"/>
      <c r="AC429" s="509"/>
      <c r="AD429" s="484">
        <f>AD426+AD428</f>
      </c>
      <c r="AE429" s="484">
        <f>AE426+AE428</f>
      </c>
      <c r="AF429" s="484">
        <f>AF426+AF428</f>
      </c>
      <c r="AG429" s="484">
        <f>AG426+AG428</f>
      </c>
      <c r="AH429" s="484">
        <f>AH426+AH428</f>
      </c>
      <c r="AI429" s="484">
        <f>AI426+AI428</f>
      </c>
      <c r="AJ429" s="484">
        <f>AJ426+AJ428</f>
      </c>
      <c r="AK429" s="484">
        <f>AK426+AK428</f>
      </c>
      <c r="AL429" s="484">
        <f>AL426+AL428</f>
      </c>
      <c r="AM429" s="478"/>
    </row>
    <row r="430">
      <c r="A430" s="389" t="s">
        <v>189</v>
      </c>
      <c r="B430" s="389"/>
      <c r="C430" s="389"/>
      <c r="D430" s="487" t="s">
        <v>190</v>
      </c>
      <c r="E430" s="487"/>
      <c r="F430" s="487"/>
      <c r="G430" s="487"/>
      <c r="H430" s="487"/>
      <c r="I430" s="487"/>
      <c r="J430" s="487"/>
      <c r="K430" s="487"/>
      <c r="L430" s="487"/>
      <c r="M430" s="487"/>
      <c r="N430" s="487"/>
      <c r="O430" s="487"/>
      <c r="P430" s="391" t="s">
        <v>191</v>
      </c>
      <c r="Q430" s="391"/>
      <c r="R430" s="391"/>
      <c r="S430" s="391"/>
      <c r="T430" s="391"/>
      <c r="U430" s="391"/>
      <c r="V430" s="391"/>
      <c r="W430" s="391"/>
      <c r="X430" s="391"/>
      <c r="Y430" s="391"/>
      <c r="Z430" s="391"/>
      <c r="AA430" s="391"/>
      <c r="AB430" s="391"/>
      <c r="AC430" s="391"/>
      <c r="AD430" s="447" t="s">
        <v>192</v>
      </c>
      <c r="AE430" s="447"/>
      <c r="AF430" s="447"/>
      <c r="AG430" s="447"/>
      <c r="AH430" s="447"/>
      <c r="AI430" s="447"/>
      <c r="AJ430" s="447"/>
      <c r="AK430" s="447"/>
      <c r="AL430" s="447"/>
      <c r="AM430" s="433"/>
    </row>
    <row r="431">
      <c r="A431" s="488" t="s">
        <v>193</v>
      </c>
      <c r="B431" s="489" t="s">
        <v>194</v>
      </c>
      <c r="C431" s="489" t="s">
        <v>195</v>
      </c>
      <c r="D431" s="490" t="s">
        <v>196</v>
      </c>
      <c r="E431" s="491" t="s">
        <v>197</v>
      </c>
      <c r="F431" s="491" t="s">
        <v>198</v>
      </c>
      <c r="G431" s="492" t="s">
        <v>256</v>
      </c>
      <c r="H431" s="493" t="s">
        <v>260</v>
      </c>
      <c r="I431" s="519" t="s">
        <v>199</v>
      </c>
      <c r="J431" s="490" t="s">
        <v>200</v>
      </c>
      <c r="K431" s="390" t="s">
        <v>201</v>
      </c>
      <c r="L431" s="390" t="s">
        <v>202</v>
      </c>
      <c r="M431" s="390" t="s">
        <v>203</v>
      </c>
      <c r="N431" s="492" t="s">
        <v>204</v>
      </c>
      <c r="O431" s="390" t="s">
        <v>205</v>
      </c>
      <c r="P431" s="391" t="s">
        <v>206</v>
      </c>
      <c r="Q431" s="391" t="s">
        <v>207</v>
      </c>
      <c r="R431" s="391" t="s">
        <v>208</v>
      </c>
      <c r="S431" s="494" t="s">
        <v>209</v>
      </c>
      <c r="T431" s="494" t="s">
        <v>210</v>
      </c>
      <c r="U431" s="391" t="s">
        <v>211</v>
      </c>
      <c r="V431" s="494" t="s">
        <v>212</v>
      </c>
      <c r="W431" s="494" t="s">
        <v>213</v>
      </c>
      <c r="X431" s="391" t="s">
        <v>214</v>
      </c>
      <c r="Y431" s="494" t="s">
        <v>215</v>
      </c>
      <c r="Z431" s="391" t="s">
        <v>216</v>
      </c>
      <c r="AA431" s="495" t="s">
        <v>217</v>
      </c>
      <c r="AB431" s="495" t="s">
        <v>218</v>
      </c>
      <c r="AC431" s="495" t="s">
        <v>219</v>
      </c>
      <c r="AD431" s="456" t="s">
        <v>220</v>
      </c>
      <c r="AE431" s="301" t="s">
        <v>221</v>
      </c>
      <c r="AF431" s="301" t="s">
        <v>222</v>
      </c>
      <c r="AG431" s="301" t="s">
        <v>223</v>
      </c>
      <c r="AH431" s="301" t="s">
        <v>224</v>
      </c>
      <c r="AI431" s="301" t="s">
        <v>225</v>
      </c>
      <c r="AJ431" s="302" t="s">
        <v>226</v>
      </c>
      <c r="AK431" s="302" t="s">
        <v>227</v>
      </c>
      <c r="AL431" s="302" t="s">
        <v>228</v>
      </c>
      <c r="AM431" s="433"/>
    </row>
    <row r="432">
      <c r="A432" s="512" t="s">
        <v>284</v>
      </c>
      <c r="B432" s="334" t="s">
        <v>230</v>
      </c>
      <c r="C432" s="513" t="s">
        <v>240</v>
      </c>
      <c r="D432" s="513">
        <f t="shared" ref="D432:D436" si="435">E432+F432+G432+H432</f>
      </c>
      <c r="E432" s="304">
        <v>1591.62</v>
      </c>
      <c r="F432" s="304">
        <v>1077.17</v>
      </c>
      <c r="G432" s="304"/>
      <c r="H432" s="401">
        <v>247.34</v>
      </c>
      <c r="I432" s="514">
        <v>2</v>
      </c>
      <c r="J432" s="306">
        <v>4536</v>
      </c>
      <c r="K432" s="325">
        <v>0</v>
      </c>
      <c r="L432" s="326">
        <v>0</v>
      </c>
      <c r="M432" s="326">
        <v>2</v>
      </c>
      <c r="N432" s="497">
        <f t="shared" ref="N432:N442" si="354">J432/D432</f>
      </c>
      <c r="O432" s="497">
        <f t="shared" ref="O432:O442" si="280">J432/(D432+300*AL432)</f>
      </c>
      <c r="P432" s="498">
        <f t="shared" ref="P432:P442" si="218">(D432/AE432)*1000</f>
      </c>
      <c r="Q432" s="405">
        <f t="shared" ref="Q432:Q442" si="125">AF432/AE432</f>
      </c>
      <c r="R432" s="406">
        <f t="shared" ref="R432:R442" si="63">D432/AG432</f>
      </c>
      <c r="S432" s="405">
        <f t="shared" ref="S432:S442" si="156">AH432/AG432</f>
      </c>
      <c r="T432" s="405">
        <f t="shared" ref="T432:T442" si="32">AI432/AG432</f>
      </c>
      <c r="U432" s="406">
        <f t="shared" ref="U432:U442" si="517">D432/AI432</f>
      </c>
      <c r="V432" s="405">
        <f t="shared" ref="V432:V442" si="486">AJ432/AI432</f>
      </c>
      <c r="W432" s="405">
        <f t="shared" ref="W432:W442" si="385">I432/AJ432</f>
      </c>
      <c r="X432" s="406">
        <f t="shared" ref="X432:X442" si="311">D432/I432</f>
      </c>
      <c r="Y432" s="410">
        <f t="shared" ref="Y432:Y442" si="249">J432/I432</f>
      </c>
      <c r="Z432" s="406">
        <f t="shared" ref="Z432:Z442" si="187">D432/AD432</f>
      </c>
      <c r="AA432" s="499">
        <f t="shared" ref="AA432:AA442" si="94">AK432*1000/D432</f>
      </c>
      <c r="AB432" s="500" t="s">
        <v>232</v>
      </c>
      <c r="AC432" s="516" t="s">
        <v>233</v>
      </c>
      <c r="AD432" s="306">
        <v>2</v>
      </c>
      <c r="AE432" s="304">
        <v>4207</v>
      </c>
      <c r="AF432" s="304">
        <v>288</v>
      </c>
      <c r="AG432" s="304">
        <v>384</v>
      </c>
      <c r="AH432" s="304">
        <v>76</v>
      </c>
      <c r="AI432" s="334">
        <v>43</v>
      </c>
      <c r="AJ432" s="325">
        <v>7</v>
      </c>
      <c r="AK432" s="326">
        <v>20</v>
      </c>
      <c r="AL432" s="310">
        <v>1</v>
      </c>
      <c r="AM432" s="434"/>
    </row>
    <row r="433">
      <c r="A433" s="512"/>
      <c r="B433" s="401" t="s">
        <v>234</v>
      </c>
      <c r="C433" s="524" t="s">
        <v>240</v>
      </c>
      <c r="D433" s="306">
        <f t="shared" si="435"/>
      </c>
      <c r="E433" s="304">
        <v>2007.41</v>
      </c>
      <c r="F433" s="412">
        <v>624.52</v>
      </c>
      <c r="G433" s="334"/>
      <c r="H433" s="334">
        <v>191.11</v>
      </c>
      <c r="I433" s="333">
        <v>3</v>
      </c>
      <c r="J433" s="333">
        <v>5484</v>
      </c>
      <c r="K433" s="326">
        <v>0</v>
      </c>
      <c r="L433" s="326">
        <v>1</v>
      </c>
      <c r="M433" s="326">
        <v>2</v>
      </c>
      <c r="N433" s="497">
        <f t="shared" si="354"/>
      </c>
      <c r="O433" s="497">
        <f t="shared" si="280"/>
      </c>
      <c r="P433" s="498">
        <f t="shared" si="218"/>
      </c>
      <c r="Q433" s="405">
        <f t="shared" si="125"/>
      </c>
      <c r="R433" s="406">
        <f t="shared" si="63"/>
      </c>
      <c r="S433" s="405">
        <f t="shared" si="156"/>
      </c>
      <c r="T433" s="405">
        <f t="shared" si="32"/>
      </c>
      <c r="U433" s="406">
        <f t="shared" si="517"/>
      </c>
      <c r="V433" s="405">
        <f t="shared" si="486"/>
      </c>
      <c r="W433" s="405">
        <f t="shared" si="385"/>
      </c>
      <c r="X433" s="406">
        <f t="shared" si="311"/>
      </c>
      <c r="Y433" s="410">
        <f t="shared" si="249"/>
      </c>
      <c r="Z433" s="406">
        <f t="shared" si="187"/>
      </c>
      <c r="AA433" s="499">
        <f t="shared" si="94"/>
      </c>
      <c r="AB433" s="500" t="s">
        <v>232</v>
      </c>
      <c r="AC433" s="516" t="s">
        <v>233</v>
      </c>
      <c r="AD433" s="306">
        <v>3</v>
      </c>
      <c r="AE433" s="412">
        <v>4106</v>
      </c>
      <c r="AF433" s="304">
        <v>215</v>
      </c>
      <c r="AG433" s="333">
        <v>282</v>
      </c>
      <c r="AH433" s="334">
        <v>67</v>
      </c>
      <c r="AI433" s="334">
        <v>46</v>
      </c>
      <c r="AJ433" s="335">
        <v>8</v>
      </c>
      <c r="AK433" s="336">
        <v>19</v>
      </c>
      <c r="AL433" s="310">
        <v>1</v>
      </c>
      <c r="AM433" s="434"/>
    </row>
    <row r="434">
      <c r="A434" s="512"/>
      <c r="B434" s="401" t="s">
        <v>235</v>
      </c>
      <c r="C434" s="306" t="s">
        <v>240</v>
      </c>
      <c r="D434" s="324">
        <f t="shared" si="435"/>
      </c>
      <c r="E434" s="304">
        <v>2148.43</v>
      </c>
      <c r="F434" s="304">
        <v>1049.97</v>
      </c>
      <c r="G434" s="334"/>
      <c r="H434" s="334">
        <v>160.44</v>
      </c>
      <c r="I434" s="326">
        <v>4</v>
      </c>
      <c r="J434" s="326">
        <v>7752</v>
      </c>
      <c r="K434" s="326">
        <v>0</v>
      </c>
      <c r="L434" s="326">
        <v>1</v>
      </c>
      <c r="M434" s="326">
        <v>3</v>
      </c>
      <c r="N434" s="497">
        <f t="shared" si="354"/>
      </c>
      <c r="O434" s="497">
        <f t="shared" si="280"/>
      </c>
      <c r="P434" s="498">
        <f t="shared" si="218"/>
      </c>
      <c r="Q434" s="405">
        <f t="shared" si="125"/>
      </c>
      <c r="R434" s="406">
        <f t="shared" si="63"/>
      </c>
      <c r="S434" s="405">
        <f t="shared" si="156"/>
      </c>
      <c r="T434" s="405">
        <f t="shared" si="32"/>
      </c>
      <c r="U434" s="406">
        <f t="shared" si="517"/>
      </c>
      <c r="V434" s="405">
        <f t="shared" si="486"/>
      </c>
      <c r="W434" s="405">
        <f t="shared" si="385"/>
      </c>
      <c r="X434" s="406">
        <f t="shared" si="311"/>
      </c>
      <c r="Y434" s="410">
        <f t="shared" si="249"/>
      </c>
      <c r="Z434" s="406">
        <f t="shared" si="187"/>
      </c>
      <c r="AA434" s="499">
        <f t="shared" si="94"/>
      </c>
      <c r="AB434" s="500" t="s">
        <v>232</v>
      </c>
      <c r="AC434" s="516" t="s">
        <v>233</v>
      </c>
      <c r="AD434" s="306">
        <v>4</v>
      </c>
      <c r="AE434" s="304">
        <v>5151</v>
      </c>
      <c r="AF434" s="304">
        <v>235</v>
      </c>
      <c r="AG434" s="334">
        <v>363</v>
      </c>
      <c r="AH434" s="334">
        <v>66</v>
      </c>
      <c r="AI434" s="334">
        <v>35</v>
      </c>
      <c r="AJ434" s="335">
        <v>6</v>
      </c>
      <c r="AK434" s="336">
        <v>20</v>
      </c>
      <c r="AL434" s="310">
        <v>1</v>
      </c>
      <c r="AM434" s="434"/>
    </row>
    <row r="435">
      <c r="A435" s="512"/>
      <c r="B435" s="401" t="s">
        <v>236</v>
      </c>
      <c r="C435" s="473" t="s">
        <v>240</v>
      </c>
      <c r="D435" s="324">
        <f t="shared" si="435"/>
      </c>
      <c r="E435" s="325">
        <v>1770.33</v>
      </c>
      <c r="F435" s="325">
        <v>1140.85</v>
      </c>
      <c r="G435" s="334"/>
      <c r="H435" s="326">
        <v>399.2</v>
      </c>
      <c r="I435" s="334">
        <v>2</v>
      </c>
      <c r="J435" s="334">
        <v>4536</v>
      </c>
      <c r="K435" s="326">
        <v>0</v>
      </c>
      <c r="L435" s="326">
        <v>0</v>
      </c>
      <c r="M435" s="326">
        <v>2</v>
      </c>
      <c r="N435" s="497">
        <f t="shared" si="354"/>
      </c>
      <c r="O435" s="497">
        <f t="shared" si="280"/>
      </c>
      <c r="P435" s="498">
        <f t="shared" si="218"/>
      </c>
      <c r="Q435" s="405">
        <f t="shared" si="125"/>
      </c>
      <c r="R435" s="406">
        <f t="shared" si="63"/>
      </c>
      <c r="S435" s="405">
        <f t="shared" si="156"/>
      </c>
      <c r="T435" s="405">
        <f t="shared" si="32"/>
      </c>
      <c r="U435" s="406">
        <f t="shared" si="517"/>
      </c>
      <c r="V435" s="405">
        <f t="shared" si="486"/>
      </c>
      <c r="W435" s="405">
        <f t="shared" si="385"/>
      </c>
      <c r="X435" s="406">
        <f t="shared" si="311"/>
      </c>
      <c r="Y435" s="410">
        <f t="shared" si="249"/>
      </c>
      <c r="Z435" s="406">
        <f t="shared" si="187"/>
      </c>
      <c r="AA435" s="499">
        <f t="shared" si="94"/>
      </c>
      <c r="AB435" s="500" t="s">
        <v>232</v>
      </c>
      <c r="AC435" s="411" t="s">
        <v>233</v>
      </c>
      <c r="AD435" s="412">
        <v>2</v>
      </c>
      <c r="AE435" s="333">
        <v>5411</v>
      </c>
      <c r="AF435" s="334">
        <v>248</v>
      </c>
      <c r="AG435" s="334">
        <v>371</v>
      </c>
      <c r="AH435" s="334">
        <v>62</v>
      </c>
      <c r="AI435" s="334">
        <v>35</v>
      </c>
      <c r="AJ435" s="335">
        <v>5</v>
      </c>
      <c r="AK435" s="336">
        <v>14</v>
      </c>
      <c r="AL435" s="310">
        <v>1</v>
      </c>
      <c r="AM435" s="434"/>
    </row>
    <row r="436">
      <c r="A436" s="512"/>
      <c r="B436" s="334" t="s">
        <v>237</v>
      </c>
      <c r="C436" s="333" t="s">
        <v>240</v>
      </c>
      <c r="D436" s="324">
        <f t="shared" si="435"/>
      </c>
      <c r="E436" s="326">
        <v>1098.65</v>
      </c>
      <c r="F436" s="325">
        <v>1329.27</v>
      </c>
      <c r="G436" s="334"/>
      <c r="H436" s="326">
        <v>468.64</v>
      </c>
      <c r="I436" s="334">
        <v>2</v>
      </c>
      <c r="J436" s="326">
        <v>4536</v>
      </c>
      <c r="K436" s="326">
        <v>0</v>
      </c>
      <c r="L436" s="326">
        <v>0</v>
      </c>
      <c r="M436" s="326">
        <v>2</v>
      </c>
      <c r="N436" s="497">
        <f t="shared" si="354"/>
      </c>
      <c r="O436" s="497">
        <f t="shared" si="280"/>
      </c>
      <c r="P436" s="498">
        <f t="shared" si="218"/>
      </c>
      <c r="Q436" s="405">
        <f t="shared" si="125"/>
      </c>
      <c r="R436" s="406">
        <f t="shared" si="63"/>
      </c>
      <c r="S436" s="405">
        <f t="shared" si="156"/>
      </c>
      <c r="T436" s="405">
        <f t="shared" si="32"/>
      </c>
      <c r="U436" s="406">
        <f t="shared" si="517"/>
      </c>
      <c r="V436" s="405">
        <f t="shared" si="486"/>
      </c>
      <c r="W436" s="405">
        <f t="shared" si="385"/>
      </c>
      <c r="X436" s="406">
        <f t="shared" si="311"/>
      </c>
      <c r="Y436" s="410">
        <f t="shared" si="249"/>
      </c>
      <c r="Z436" s="406">
        <f t="shared" si="187"/>
      </c>
      <c r="AA436" s="499">
        <f t="shared" si="94"/>
      </c>
      <c r="AB436" s="500" t="s">
        <v>232</v>
      </c>
      <c r="AC436" s="411" t="s">
        <v>233</v>
      </c>
      <c r="AD436" s="342">
        <v>1</v>
      </c>
      <c r="AE436" s="333">
        <v>4755</v>
      </c>
      <c r="AF436" s="334">
        <v>242</v>
      </c>
      <c r="AG436" s="334">
        <v>262</v>
      </c>
      <c r="AH436" s="334">
        <v>41</v>
      </c>
      <c r="AI436" s="334">
        <v>35</v>
      </c>
      <c r="AJ436" s="335">
        <v>3</v>
      </c>
      <c r="AK436" s="336">
        <v>12</v>
      </c>
      <c r="AL436" s="310">
        <v>1</v>
      </c>
      <c r="AM436" s="434"/>
    </row>
    <row r="437">
      <c r="A437" s="512"/>
      <c r="B437" s="501" t="s">
        <v>238</v>
      </c>
      <c r="C437" s="501"/>
      <c r="D437" s="501">
        <f>SUM(D432:D436)</f>
      </c>
      <c r="E437" s="501">
        <f>SUM(E432:E436)</f>
      </c>
      <c r="F437" s="501">
        <f>SUM(F432:F436)</f>
      </c>
      <c r="G437" s="501">
        <f>SUM(G432:G436)</f>
      </c>
      <c r="H437" s="501">
        <f>SUM(H432:H436)</f>
      </c>
      <c r="I437" s="501">
        <f>SUM(I432:I436)</f>
      </c>
      <c r="J437" s="501">
        <f>SUM(J432:J436)</f>
      </c>
      <c r="K437" s="501">
        <f>SUM(K432:K436)</f>
      </c>
      <c r="L437" s="501">
        <f>SUM(L432:L436)</f>
      </c>
      <c r="M437" s="501">
        <f>SUM(M432:M436)</f>
      </c>
      <c r="N437" s="502">
        <f t="shared" si="354"/>
      </c>
      <c r="O437" s="502">
        <f t="shared" si="280"/>
      </c>
      <c r="P437" s="503">
        <f t="shared" si="218"/>
      </c>
      <c r="Q437" s="504">
        <f t="shared" si="125"/>
      </c>
      <c r="R437" s="505">
        <f t="shared" si="63"/>
      </c>
      <c r="S437" s="504">
        <f t="shared" si="156"/>
      </c>
      <c r="T437" s="504">
        <f t="shared" si="32"/>
      </c>
      <c r="U437" s="505">
        <f t="shared" si="517"/>
      </c>
      <c r="V437" s="504">
        <f t="shared" si="486"/>
      </c>
      <c r="W437" s="504">
        <f t="shared" si="385"/>
      </c>
      <c r="X437" s="505">
        <f t="shared" si="311"/>
      </c>
      <c r="Y437" s="506">
        <f t="shared" si="249"/>
      </c>
      <c r="Z437" s="505">
        <f t="shared" si="187"/>
      </c>
      <c r="AA437" s="507">
        <f t="shared" si="94"/>
      </c>
      <c r="AB437" s="507"/>
      <c r="AC437" s="507"/>
      <c r="AD437" s="347">
        <f>SUM(AD432:AD436)</f>
      </c>
      <c r="AE437" s="347">
        <f>SUM(AE432:AE436)</f>
      </c>
      <c r="AF437" s="347">
        <f>SUM(AF432:AF436)</f>
      </c>
      <c r="AG437" s="347">
        <f>SUM(AG432:AG436)</f>
      </c>
      <c r="AH437" s="347">
        <f>SUM(AH432:AH436)</f>
      </c>
      <c r="AI437" s="347">
        <f>SUM(AI432:AI436)</f>
      </c>
      <c r="AJ437" s="347">
        <f>SUM(AJ432:AJ436)</f>
      </c>
      <c r="AK437" s="347">
        <f>SUM(AK432:AK436)</f>
      </c>
      <c r="AL437" s="347">
        <f>SUM(AL432:AL436)</f>
      </c>
      <c r="AM437" s="434"/>
    </row>
    <row r="438">
      <c r="A438" s="512"/>
      <c r="B438" s="333" t="s">
        <v>239</v>
      </c>
      <c r="C438" s="326" t="s">
        <v>282</v>
      </c>
      <c r="D438" s="334">
        <f t="shared" ref="D438:D440" si="436">E438+F438+G438+H438</f>
      </c>
      <c r="E438" s="334">
        <v>2620.82</v>
      </c>
      <c r="F438" s="304">
        <v>1209.78</v>
      </c>
      <c r="G438" s="334"/>
      <c r="H438" s="334">
        <v>178.42</v>
      </c>
      <c r="I438" s="326">
        <v>5</v>
      </c>
      <c r="J438" s="326">
        <v>8992</v>
      </c>
      <c r="K438" s="326">
        <v>0</v>
      </c>
      <c r="L438" s="326">
        <v>0</v>
      </c>
      <c r="M438" s="326">
        <v>4</v>
      </c>
      <c r="N438" s="497">
        <f t="shared" si="354"/>
      </c>
      <c r="O438" s="497">
        <f t="shared" si="280"/>
      </c>
      <c r="P438" s="498">
        <f t="shared" si="218"/>
      </c>
      <c r="Q438" s="405">
        <f t="shared" si="125"/>
      </c>
      <c r="R438" s="406">
        <f t="shared" si="63"/>
      </c>
      <c r="S438" s="405">
        <f t="shared" si="156"/>
      </c>
      <c r="T438" s="405">
        <f t="shared" si="32"/>
      </c>
      <c r="U438" s="406">
        <f t="shared" si="517"/>
      </c>
      <c r="V438" s="405">
        <f t="shared" si="486"/>
      </c>
      <c r="W438" s="405">
        <f t="shared" si="385"/>
      </c>
      <c r="X438" s="406">
        <f t="shared" si="311"/>
      </c>
      <c r="Y438" s="410">
        <f t="shared" si="249"/>
      </c>
      <c r="Z438" s="406">
        <f t="shared" si="187"/>
      </c>
      <c r="AA438" s="499">
        <f t="shared" si="94"/>
      </c>
      <c r="AB438" s="500" t="s">
        <v>232</v>
      </c>
      <c r="AC438" s="411" t="s">
        <v>233</v>
      </c>
      <c r="AD438" s="309">
        <v>5</v>
      </c>
      <c r="AE438" s="365">
        <v>7812</v>
      </c>
      <c r="AF438" s="365">
        <v>333</v>
      </c>
      <c r="AG438" s="365">
        <v>479</v>
      </c>
      <c r="AH438" s="365">
        <v>68</v>
      </c>
      <c r="AI438" s="365">
        <v>40</v>
      </c>
      <c r="AJ438" s="310">
        <v>9</v>
      </c>
      <c r="AK438" s="310">
        <v>15</v>
      </c>
      <c r="AL438" s="310">
        <v>1</v>
      </c>
      <c r="AM438" s="434"/>
    </row>
    <row r="439">
      <c r="A439" s="512"/>
      <c r="B439" s="334" t="s">
        <v>241</v>
      </c>
      <c r="C439" s="326" t="s">
        <v>282</v>
      </c>
      <c r="D439" s="513">
        <f t="shared" si="436"/>
      </c>
      <c r="E439" s="513">
        <v>3040.29</v>
      </c>
      <c r="F439" s="304">
        <v>650.71</v>
      </c>
      <c r="G439" s="334"/>
      <c r="H439" s="326">
        <v>112.46</v>
      </c>
      <c r="I439" s="326">
        <v>2</v>
      </c>
      <c r="J439" s="326">
        <v>4348</v>
      </c>
      <c r="K439" s="326">
        <v>0</v>
      </c>
      <c r="L439" s="326">
        <v>0</v>
      </c>
      <c r="M439" s="326">
        <v>2</v>
      </c>
      <c r="N439" s="497">
        <f t="shared" si="354"/>
      </c>
      <c r="O439" s="497">
        <f t="shared" si="280"/>
      </c>
      <c r="P439" s="498">
        <f t="shared" si="218"/>
      </c>
      <c r="Q439" s="405">
        <f t="shared" si="125"/>
      </c>
      <c r="R439" s="406">
        <f t="shared" si="63"/>
      </c>
      <c r="S439" s="405">
        <f t="shared" si="156"/>
      </c>
      <c r="T439" s="405">
        <f t="shared" si="32"/>
      </c>
      <c r="U439" s="406">
        <f t="shared" si="517"/>
      </c>
      <c r="V439" s="405">
        <f t="shared" si="486"/>
      </c>
      <c r="W439" s="405">
        <f t="shared" si="385"/>
      </c>
      <c r="X439" s="406">
        <f t="shared" si="311"/>
      </c>
      <c r="Y439" s="410">
        <f t="shared" si="249"/>
      </c>
      <c r="Z439" s="406">
        <f t="shared" si="187"/>
      </c>
      <c r="AA439" s="499">
        <f t="shared" si="94"/>
      </c>
      <c r="AB439" s="500" t="s">
        <v>232</v>
      </c>
      <c r="AC439" s="411" t="s">
        <v>233</v>
      </c>
      <c r="AD439" s="402">
        <v>2</v>
      </c>
      <c r="AE439" s="365">
        <v>7917</v>
      </c>
      <c r="AF439" s="365">
        <v>291</v>
      </c>
      <c r="AG439" s="310">
        <v>492</v>
      </c>
      <c r="AH439" s="365">
        <v>90</v>
      </c>
      <c r="AI439" s="365">
        <v>32</v>
      </c>
      <c r="AJ439" s="310">
        <v>7</v>
      </c>
      <c r="AK439" s="310">
        <v>20</v>
      </c>
      <c r="AL439" s="310">
        <v>1</v>
      </c>
      <c r="AM439" s="434"/>
    </row>
    <row r="440">
      <c r="A440" s="512"/>
      <c r="B440" s="326" t="s">
        <v>242</v>
      </c>
      <c r="C440" s="326" t="s">
        <v>282</v>
      </c>
      <c r="D440" s="513">
        <f t="shared" si="436"/>
      </c>
      <c r="E440" s="513">
        <v>2821.3</v>
      </c>
      <c r="F440" s="304">
        <v>469.66</v>
      </c>
      <c r="G440" s="334"/>
      <c r="H440" s="326">
        <v>56.86</v>
      </c>
      <c r="I440" s="326">
        <v>1</v>
      </c>
      <c r="J440" s="326">
        <v>2080</v>
      </c>
      <c r="K440" s="326">
        <v>0</v>
      </c>
      <c r="L440" s="326">
        <v>0</v>
      </c>
      <c r="M440" s="326">
        <v>1</v>
      </c>
      <c r="N440" s="497">
        <f t="shared" si="354"/>
      </c>
      <c r="O440" s="497">
        <f t="shared" si="280"/>
      </c>
      <c r="P440" s="498">
        <f t="shared" si="218"/>
      </c>
      <c r="Q440" s="405">
        <f t="shared" si="125"/>
      </c>
      <c r="R440" s="406">
        <f t="shared" si="63"/>
      </c>
      <c r="S440" s="405">
        <f t="shared" si="156"/>
      </c>
      <c r="T440" s="405">
        <f t="shared" si="32"/>
      </c>
      <c r="U440" s="406">
        <f t="shared" si="517"/>
      </c>
      <c r="V440" s="405">
        <f t="shared" si="486"/>
      </c>
      <c r="W440" s="405">
        <f t="shared" si="385"/>
      </c>
      <c r="X440" s="406">
        <f t="shared" si="311"/>
      </c>
      <c r="Y440" s="410">
        <f t="shared" si="249"/>
      </c>
      <c r="Z440" s="406">
        <f t="shared" si="187"/>
      </c>
      <c r="AA440" s="499">
        <f t="shared" si="94"/>
      </c>
      <c r="AB440" s="500" t="s">
        <v>232</v>
      </c>
      <c r="AC440" s="411" t="s">
        <v>233</v>
      </c>
      <c r="AD440" s="402">
        <v>1</v>
      </c>
      <c r="AE440" s="365">
        <v>6372</v>
      </c>
      <c r="AF440" s="365">
        <v>226</v>
      </c>
      <c r="AG440" s="310">
        <v>341</v>
      </c>
      <c r="AH440" s="365">
        <v>51</v>
      </c>
      <c r="AI440" s="365">
        <v>24</v>
      </c>
      <c r="AJ440" s="310">
        <v>4</v>
      </c>
      <c r="AK440" s="310">
        <v>14</v>
      </c>
      <c r="AL440" s="310">
        <v>1</v>
      </c>
      <c r="AM440" s="434"/>
    </row>
    <row r="441">
      <c r="A441" s="512"/>
      <c r="B441" s="501" t="s">
        <v>238</v>
      </c>
      <c r="C441" s="501"/>
      <c r="D441" s="501">
        <f>SUM(D438:D440)</f>
      </c>
      <c r="E441" s="501">
        <f>SUM(E438:E440)</f>
      </c>
      <c r="F441" s="501">
        <f>SUM(F438:F440)</f>
      </c>
      <c r="G441" s="501">
        <f>SUM(G438:G440)</f>
      </c>
      <c r="H441" s="501">
        <f>SUM(H438:H440)</f>
      </c>
      <c r="I441" s="501">
        <f>SUM(I438:I440)</f>
      </c>
      <c r="J441" s="501">
        <f>SUM(J438:J440)</f>
      </c>
      <c r="K441" s="501">
        <f>SUM(K438:K440)</f>
      </c>
      <c r="L441" s="501">
        <f>SUM(L438:L440)</f>
      </c>
      <c r="M441" s="501">
        <f>SUM(M438:M440)</f>
      </c>
      <c r="N441" s="502">
        <f t="shared" si="354"/>
      </c>
      <c r="O441" s="502">
        <f t="shared" si="280"/>
      </c>
      <c r="P441" s="508">
        <f t="shared" si="218"/>
      </c>
      <c r="Q441" s="504">
        <f t="shared" si="125"/>
      </c>
      <c r="R441" s="505">
        <f t="shared" si="63"/>
      </c>
      <c r="S441" s="504">
        <f t="shared" si="156"/>
      </c>
      <c r="T441" s="504">
        <f t="shared" si="32"/>
      </c>
      <c r="U441" s="505">
        <f t="shared" si="517"/>
      </c>
      <c r="V441" s="504">
        <f t="shared" si="486"/>
      </c>
      <c r="W441" s="504">
        <f t="shared" si="385"/>
      </c>
      <c r="X441" s="505">
        <f t="shared" si="311"/>
      </c>
      <c r="Y441" s="506">
        <f t="shared" si="249"/>
      </c>
      <c r="Z441" s="505">
        <f t="shared" si="187"/>
      </c>
      <c r="AA441" s="507">
        <f t="shared" si="94"/>
      </c>
      <c r="AB441" s="507"/>
      <c r="AC441" s="523"/>
      <c r="AD441" s="525">
        <f>SUM(AD438:AD440)</f>
      </c>
      <c r="AE441" s="525">
        <f>SUM(AE438:AE440)</f>
      </c>
      <c r="AF441" s="525">
        <f>SUM(AF438:AF440)</f>
      </c>
      <c r="AG441" s="525">
        <f>SUM(AG438:AG440)</f>
      </c>
      <c r="AH441" s="525">
        <f>SUM(AH438:AH440)</f>
      </c>
      <c r="AI441" s="525">
        <f>SUM(AI438:AI440)</f>
      </c>
      <c r="AJ441" s="525">
        <f>SUM(AJ438:AJ440)</f>
      </c>
      <c r="AK441" s="525">
        <f>SUM(AK438:AK440)</f>
      </c>
      <c r="AL441" s="525">
        <f>SUM(AL438:AL440)</f>
      </c>
      <c r="AM441" s="478" t="s">
        <v>273</v>
      </c>
    </row>
    <row r="442">
      <c r="A442" s="512"/>
      <c r="B442" s="373" t="s">
        <v>250</v>
      </c>
      <c r="C442" s="373"/>
      <c r="D442" s="515">
        <f>D437+D441</f>
      </c>
      <c r="E442" s="515">
        <f>E437+E441</f>
      </c>
      <c r="F442" s="515">
        <f>F437+F441</f>
      </c>
      <c r="G442" s="515">
        <f>G437+G441</f>
      </c>
      <c r="H442" s="515">
        <f>H437+H441</f>
      </c>
      <c r="I442" s="515">
        <f>I437+I441</f>
      </c>
      <c r="J442" s="515">
        <f>J437+J441</f>
      </c>
      <c r="K442" s="515">
        <f>K437+K441</f>
      </c>
      <c r="L442" s="515">
        <f>L437+L441</f>
      </c>
      <c r="M442" s="515">
        <f>M437+M441</f>
      </c>
      <c r="N442" s="427">
        <f t="shared" si="354"/>
      </c>
      <c r="O442" s="427">
        <f t="shared" si="280"/>
      </c>
      <c r="P442" s="509">
        <f t="shared" si="218"/>
      </c>
      <c r="Q442" s="510">
        <f t="shared" si="125"/>
      </c>
      <c r="R442" s="427">
        <f t="shared" si="63"/>
      </c>
      <c r="S442" s="510">
        <f t="shared" si="156"/>
      </c>
      <c r="T442" s="510">
        <f t="shared" si="32"/>
      </c>
      <c r="U442" s="427">
        <f t="shared" si="517"/>
      </c>
      <c r="V442" s="510">
        <f t="shared" si="486"/>
      </c>
      <c r="W442" s="510">
        <f t="shared" si="385"/>
      </c>
      <c r="X442" s="427">
        <f t="shared" si="311"/>
      </c>
      <c r="Y442" s="511">
        <f t="shared" si="249"/>
      </c>
      <c r="Z442" s="427">
        <f t="shared" si="187"/>
      </c>
      <c r="AA442" s="509">
        <f t="shared" si="94"/>
      </c>
      <c r="AB442" s="509"/>
      <c r="AC442" s="509"/>
      <c r="AD442" s="484">
        <f>AD437+AD441</f>
      </c>
      <c r="AE442" s="484">
        <f>AE437+AE441</f>
      </c>
      <c r="AF442" s="484">
        <f>AF437+AF441</f>
      </c>
      <c r="AG442" s="484">
        <f>AG437+AG441</f>
      </c>
      <c r="AH442" s="484">
        <f>AH437+AH441</f>
      </c>
      <c r="AI442" s="484">
        <f>AI437+AI441</f>
      </c>
      <c r="AJ442" s="484">
        <f>AJ437+AJ441</f>
      </c>
      <c r="AK442" s="484">
        <f>AK437+AK441</f>
      </c>
      <c r="AL442" s="484">
        <f>AL437+AL441</f>
      </c>
      <c r="AM442" s="478"/>
    </row>
    <row r="443">
      <c r="A443" s="389" t="s">
        <v>189</v>
      </c>
      <c r="B443" s="389"/>
      <c r="C443" s="389"/>
      <c r="D443" s="487" t="s">
        <v>190</v>
      </c>
      <c r="E443" s="487"/>
      <c r="F443" s="487"/>
      <c r="G443" s="487"/>
      <c r="H443" s="487"/>
      <c r="I443" s="487"/>
      <c r="J443" s="487"/>
      <c r="K443" s="487"/>
      <c r="L443" s="487"/>
      <c r="M443" s="487"/>
      <c r="N443" s="487"/>
      <c r="O443" s="487"/>
      <c r="P443" s="391" t="s">
        <v>191</v>
      </c>
      <c r="Q443" s="391"/>
      <c r="R443" s="391"/>
      <c r="S443" s="391"/>
      <c r="T443" s="391"/>
      <c r="U443" s="391"/>
      <c r="V443" s="391"/>
      <c r="W443" s="391"/>
      <c r="X443" s="391"/>
      <c r="Y443" s="391"/>
      <c r="Z443" s="391"/>
      <c r="AA443" s="391"/>
      <c r="AB443" s="391"/>
      <c r="AC443" s="391"/>
      <c r="AD443" s="447" t="s">
        <v>192</v>
      </c>
      <c r="AE443" s="447"/>
      <c r="AF443" s="447"/>
      <c r="AG443" s="447"/>
      <c r="AH443" s="447"/>
      <c r="AI443" s="447"/>
      <c r="AJ443" s="447"/>
      <c r="AK443" s="447"/>
      <c r="AL443" s="447"/>
      <c r="AM443" s="433"/>
    </row>
    <row r="444">
      <c r="A444" s="488" t="s">
        <v>193</v>
      </c>
      <c r="B444" s="489" t="s">
        <v>194</v>
      </c>
      <c r="C444" s="489" t="s">
        <v>195</v>
      </c>
      <c r="D444" s="490" t="s">
        <v>196</v>
      </c>
      <c r="E444" s="491" t="s">
        <v>197</v>
      </c>
      <c r="F444" s="491" t="s">
        <v>198</v>
      </c>
      <c r="G444" s="492" t="s">
        <v>256</v>
      </c>
      <c r="H444" s="493" t="s">
        <v>260</v>
      </c>
      <c r="I444" s="519" t="s">
        <v>199</v>
      </c>
      <c r="J444" s="490" t="s">
        <v>200</v>
      </c>
      <c r="K444" s="390" t="s">
        <v>201</v>
      </c>
      <c r="L444" s="390" t="s">
        <v>202</v>
      </c>
      <c r="M444" s="390" t="s">
        <v>203</v>
      </c>
      <c r="N444" s="492" t="s">
        <v>204</v>
      </c>
      <c r="O444" s="390" t="s">
        <v>205</v>
      </c>
      <c r="P444" s="391" t="s">
        <v>206</v>
      </c>
      <c r="Q444" s="391" t="s">
        <v>207</v>
      </c>
      <c r="R444" s="391" t="s">
        <v>208</v>
      </c>
      <c r="S444" s="494" t="s">
        <v>209</v>
      </c>
      <c r="T444" s="494" t="s">
        <v>210</v>
      </c>
      <c r="U444" s="391" t="s">
        <v>211</v>
      </c>
      <c r="V444" s="494" t="s">
        <v>212</v>
      </c>
      <c r="W444" s="494" t="s">
        <v>213</v>
      </c>
      <c r="X444" s="391" t="s">
        <v>214</v>
      </c>
      <c r="Y444" s="494" t="s">
        <v>215</v>
      </c>
      <c r="Z444" s="391" t="s">
        <v>216</v>
      </c>
      <c r="AA444" s="495" t="s">
        <v>217</v>
      </c>
      <c r="AB444" s="495" t="s">
        <v>218</v>
      </c>
      <c r="AC444" s="495" t="s">
        <v>219</v>
      </c>
      <c r="AD444" s="456" t="s">
        <v>220</v>
      </c>
      <c r="AE444" s="301" t="s">
        <v>221</v>
      </c>
      <c r="AF444" s="301" t="s">
        <v>222</v>
      </c>
      <c r="AG444" s="301" t="s">
        <v>223</v>
      </c>
      <c r="AH444" s="301" t="s">
        <v>224</v>
      </c>
      <c r="AI444" s="301" t="s">
        <v>225</v>
      </c>
      <c r="AJ444" s="302" t="s">
        <v>226</v>
      </c>
      <c r="AK444" s="302" t="s">
        <v>227</v>
      </c>
      <c r="AL444" s="302" t="s">
        <v>228</v>
      </c>
      <c r="AM444" s="433"/>
    </row>
    <row r="445">
      <c r="A445" s="512" t="s">
        <v>285</v>
      </c>
      <c r="B445" s="334" t="s">
        <v>230</v>
      </c>
      <c r="C445" s="513" t="s">
        <v>240</v>
      </c>
      <c r="D445" s="513">
        <f t="shared" ref="D445:D449" si="437">E445+F445+G445+H445</f>
      </c>
      <c r="E445" s="401">
        <v>2633.01</v>
      </c>
      <c r="F445" s="306">
        <v>539.21</v>
      </c>
      <c r="G445" s="304"/>
      <c r="H445" s="401">
        <v>229.39</v>
      </c>
      <c r="I445" s="306">
        <v>1</v>
      </c>
      <c r="J445" s="324">
        <v>2268</v>
      </c>
      <c r="K445" s="325">
        <v>0</v>
      </c>
      <c r="L445" s="326">
        <v>0</v>
      </c>
      <c r="M445" s="326">
        <v>1</v>
      </c>
      <c r="N445" s="497">
        <f t="shared" ref="N445:N451" si="355">J445/D445</f>
      </c>
      <c r="O445" s="497">
        <f t="shared" ref="O445:O451" si="281">J445/(D445+300*AL445)</f>
      </c>
      <c r="P445" s="498">
        <f t="shared" ref="P445:P451" si="219">(D445/AE445)*1000</f>
      </c>
      <c r="Q445" s="405">
        <f t="shared" ref="Q445:Q451" si="126">AF445/AE445</f>
      </c>
      <c r="R445" s="406">
        <f t="shared" ref="R445:R451" si="64">D445/AG445</f>
      </c>
      <c r="S445" s="405">
        <f t="shared" ref="S445:S451" si="157">AH445/AG445</f>
      </c>
      <c r="T445" s="405">
        <f t="shared" ref="T445:T451" si="33">AI445/AG445</f>
      </c>
      <c r="U445" s="406">
        <f t="shared" ref="U445:U451" si="518">D445/AI445</f>
      </c>
      <c r="V445" s="405">
        <f t="shared" ref="V445:V451" si="487">AJ445/AI445</f>
      </c>
      <c r="W445" s="405">
        <f t="shared" ref="W445:W451" si="386">I445/AJ445</f>
      </c>
      <c r="X445" s="406">
        <f t="shared" ref="X445:X451" si="312">D445/I445</f>
      </c>
      <c r="Y445" s="410">
        <f t="shared" ref="Y445:Y451" si="250">J445/I445</f>
      </c>
      <c r="Z445" s="406">
        <f t="shared" ref="Z445:Z451" si="188">D445/AD445</f>
      </c>
      <c r="AA445" s="499">
        <f t="shared" ref="AA445:AA451" si="95">AK445*1000/D445</f>
      </c>
      <c r="AB445" s="500" t="s">
        <v>232</v>
      </c>
      <c r="AC445" s="526" t="s">
        <v>286</v>
      </c>
      <c r="AD445" s="306">
        <v>0</v>
      </c>
      <c r="AE445" s="304">
        <v>5795</v>
      </c>
      <c r="AF445" s="304">
        <v>250</v>
      </c>
      <c r="AG445" s="304">
        <v>366</v>
      </c>
      <c r="AH445" s="304">
        <v>61</v>
      </c>
      <c r="AI445" s="334">
        <v>28</v>
      </c>
      <c r="AJ445" s="325">
        <v>6</v>
      </c>
      <c r="AK445" s="326">
        <v>12</v>
      </c>
      <c r="AL445" s="310">
        <v>1</v>
      </c>
      <c r="AM445" s="434"/>
    </row>
    <row r="446">
      <c r="A446" s="512"/>
      <c r="B446" s="401" t="s">
        <v>234</v>
      </c>
      <c r="C446" s="524" t="s">
        <v>240</v>
      </c>
      <c r="D446" s="513">
        <f t="shared" si="437"/>
      </c>
      <c r="E446" s="304">
        <v>1654.12</v>
      </c>
      <c r="F446" s="412">
        <v>534.51</v>
      </c>
      <c r="G446" s="334"/>
      <c r="H446" s="334">
        <v>154.01</v>
      </c>
      <c r="I446" s="333">
        <v>4</v>
      </c>
      <c r="J446" s="333">
        <v>7272</v>
      </c>
      <c r="K446" s="326">
        <v>1</v>
      </c>
      <c r="L446" s="326">
        <v>0</v>
      </c>
      <c r="M446" s="326">
        <v>3</v>
      </c>
      <c r="N446" s="497">
        <f t="shared" si="355"/>
      </c>
      <c r="O446" s="497">
        <f t="shared" si="281"/>
      </c>
      <c r="P446" s="498">
        <f t="shared" si="219"/>
      </c>
      <c r="Q446" s="405">
        <f t="shared" si="126"/>
      </c>
      <c r="R446" s="406">
        <f t="shared" si="64"/>
      </c>
      <c r="S446" s="405">
        <f t="shared" si="157"/>
      </c>
      <c r="T446" s="405">
        <f t="shared" si="33"/>
      </c>
      <c r="U446" s="406">
        <f t="shared" si="518"/>
      </c>
      <c r="V446" s="405">
        <f t="shared" si="487"/>
      </c>
      <c r="W446" s="405">
        <f t="shared" si="386"/>
      </c>
      <c r="X446" s="406">
        <f t="shared" si="312"/>
      </c>
      <c r="Y446" s="410">
        <f t="shared" si="250"/>
      </c>
      <c r="Z446" s="406">
        <f t="shared" si="188"/>
      </c>
      <c r="AA446" s="499">
        <f t="shared" si="95"/>
      </c>
      <c r="AB446" s="500" t="s">
        <v>232</v>
      </c>
      <c r="AC446" s="526" t="s">
        <v>286</v>
      </c>
      <c r="AD446" s="306">
        <v>4</v>
      </c>
      <c r="AE446" s="412">
        <v>4417</v>
      </c>
      <c r="AF446" s="304">
        <v>173</v>
      </c>
      <c r="AG446" s="333">
        <v>267</v>
      </c>
      <c r="AH446" s="334">
        <v>38</v>
      </c>
      <c r="AI446" s="334">
        <v>16</v>
      </c>
      <c r="AJ446" s="335">
        <v>4</v>
      </c>
      <c r="AK446" s="336">
        <v>9</v>
      </c>
      <c r="AL446" s="310">
        <v>1</v>
      </c>
      <c r="AM446" s="434"/>
    </row>
    <row r="447">
      <c r="A447" s="512"/>
      <c r="B447" s="401" t="s">
        <v>235</v>
      </c>
      <c r="C447" s="306" t="s">
        <v>240</v>
      </c>
      <c r="D447" s="513">
        <f t="shared" si="437"/>
      </c>
      <c r="E447" s="304">
        <v>2571.03</v>
      </c>
      <c r="F447" s="304">
        <v>566.42</v>
      </c>
      <c r="G447" s="334"/>
      <c r="H447" s="334">
        <v>293.97</v>
      </c>
      <c r="I447" s="334">
        <v>3</v>
      </c>
      <c r="J447" s="334">
        <v>5484</v>
      </c>
      <c r="K447" s="326">
        <v>0</v>
      </c>
      <c r="L447" s="326">
        <v>1</v>
      </c>
      <c r="M447" s="326">
        <v>2</v>
      </c>
      <c r="N447" s="497">
        <f t="shared" si="355"/>
      </c>
      <c r="O447" s="497">
        <f t="shared" si="281"/>
      </c>
      <c r="P447" s="498">
        <f t="shared" si="219"/>
      </c>
      <c r="Q447" s="405">
        <f t="shared" si="126"/>
      </c>
      <c r="R447" s="406">
        <f t="shared" si="64"/>
      </c>
      <c r="S447" s="405">
        <f t="shared" si="157"/>
      </c>
      <c r="T447" s="405">
        <f t="shared" si="33"/>
      </c>
      <c r="U447" s="406">
        <f t="shared" si="518"/>
      </c>
      <c r="V447" s="405">
        <f t="shared" si="487"/>
      </c>
      <c r="W447" s="405">
        <f t="shared" si="386"/>
      </c>
      <c r="X447" s="406">
        <f t="shared" si="312"/>
      </c>
      <c r="Y447" s="410">
        <f t="shared" si="250"/>
      </c>
      <c r="Z447" s="406">
        <f t="shared" si="188"/>
      </c>
      <c r="AA447" s="499">
        <f t="shared" si="95"/>
      </c>
      <c r="AB447" s="500" t="s">
        <v>232</v>
      </c>
      <c r="AC447" s="526" t="s">
        <v>286</v>
      </c>
      <c r="AD447" s="306">
        <v>3</v>
      </c>
      <c r="AE447" s="304">
        <v>7671</v>
      </c>
      <c r="AF447" s="304">
        <v>259</v>
      </c>
      <c r="AG447" s="334">
        <v>403</v>
      </c>
      <c r="AH447" s="334">
        <v>82</v>
      </c>
      <c r="AI447" s="334">
        <v>20</v>
      </c>
      <c r="AJ447" s="335">
        <v>4</v>
      </c>
      <c r="AK447" s="336">
        <v>12</v>
      </c>
      <c r="AL447" s="310">
        <v>1</v>
      </c>
      <c r="AM447" s="434"/>
    </row>
    <row r="448">
      <c r="A448" s="512"/>
      <c r="B448" s="401" t="s">
        <v>236</v>
      </c>
      <c r="C448" s="473" t="s">
        <v>240</v>
      </c>
      <c r="D448" s="513">
        <f t="shared" si="437"/>
      </c>
      <c r="E448" s="325">
        <v>1932.18</v>
      </c>
      <c r="F448" s="325">
        <v>454.19</v>
      </c>
      <c r="G448" s="334"/>
      <c r="H448" s="326">
        <v>639.93</v>
      </c>
      <c r="I448" s="334">
        <v>1</v>
      </c>
      <c r="J448" s="334">
        <v>2268</v>
      </c>
      <c r="K448" s="326">
        <v>0</v>
      </c>
      <c r="L448" s="326">
        <v>0</v>
      </c>
      <c r="M448" s="326">
        <v>1</v>
      </c>
      <c r="N448" s="497">
        <f t="shared" si="355"/>
      </c>
      <c r="O448" s="497">
        <f t="shared" si="281"/>
      </c>
      <c r="P448" s="498">
        <f t="shared" si="219"/>
      </c>
      <c r="Q448" s="405">
        <f t="shared" si="126"/>
      </c>
      <c r="R448" s="406">
        <f t="shared" si="64"/>
      </c>
      <c r="S448" s="405">
        <f t="shared" si="157"/>
      </c>
      <c r="T448" s="405">
        <f t="shared" si="33"/>
      </c>
      <c r="U448" s="406">
        <f t="shared" si="518"/>
      </c>
      <c r="V448" s="405">
        <f t="shared" si="487"/>
      </c>
      <c r="W448" s="405">
        <f t="shared" si="386"/>
      </c>
      <c r="X448" s="406">
        <f t="shared" si="312"/>
      </c>
      <c r="Y448" s="410">
        <f t="shared" si="250"/>
      </c>
      <c r="Z448" s="406">
        <f t="shared" si="188"/>
      </c>
      <c r="AA448" s="499">
        <f t="shared" si="95"/>
      </c>
      <c r="AB448" s="500" t="s">
        <v>232</v>
      </c>
      <c r="AC448" s="526" t="s">
        <v>286</v>
      </c>
      <c r="AD448" s="412">
        <v>1</v>
      </c>
      <c r="AE448" s="333">
        <v>7153</v>
      </c>
      <c r="AF448" s="334">
        <v>287</v>
      </c>
      <c r="AG448" s="334">
        <v>394</v>
      </c>
      <c r="AH448" s="334">
        <v>70</v>
      </c>
      <c r="AI448" s="334">
        <v>23</v>
      </c>
      <c r="AJ448" s="335">
        <v>4</v>
      </c>
      <c r="AK448" s="336">
        <v>13</v>
      </c>
      <c r="AL448" s="310">
        <v>1</v>
      </c>
      <c r="AM448" s="434"/>
    </row>
    <row r="449">
      <c r="A449" s="512"/>
      <c r="B449" s="334" t="s">
        <v>237</v>
      </c>
      <c r="C449" s="333" t="s">
        <v>240</v>
      </c>
      <c r="D449" s="513">
        <f t="shared" si="437"/>
      </c>
      <c r="E449" s="326">
        <v>1452.18</v>
      </c>
      <c r="F449" s="325">
        <v>321.99</v>
      </c>
      <c r="G449" s="334"/>
      <c r="H449" s="326">
        <v>1058.2</v>
      </c>
      <c r="I449" s="334">
        <v>2</v>
      </c>
      <c r="J449" s="326">
        <v>1416</v>
      </c>
      <c r="K449" s="326">
        <v>1</v>
      </c>
      <c r="L449" s="326">
        <v>1</v>
      </c>
      <c r="M449" s="326">
        <v>0</v>
      </c>
      <c r="N449" s="497">
        <f t="shared" si="355"/>
      </c>
      <c r="O449" s="497">
        <f t="shared" si="281"/>
      </c>
      <c r="P449" s="498">
        <f t="shared" si="219"/>
      </c>
      <c r="Q449" s="405">
        <f t="shared" si="126"/>
      </c>
      <c r="R449" s="406">
        <f t="shared" si="64"/>
      </c>
      <c r="S449" s="405">
        <f t="shared" si="157"/>
      </c>
      <c r="T449" s="405">
        <f t="shared" si="33"/>
      </c>
      <c r="U449" s="406">
        <f t="shared" si="518"/>
      </c>
      <c r="V449" s="405">
        <f t="shared" si="487"/>
      </c>
      <c r="W449" s="405">
        <f t="shared" si="386"/>
      </c>
      <c r="X449" s="406">
        <f t="shared" si="312"/>
      </c>
      <c r="Y449" s="410">
        <f t="shared" si="250"/>
      </c>
      <c r="Z449" s="406">
        <f t="shared" si="188"/>
      </c>
      <c r="AA449" s="499">
        <f t="shared" si="95"/>
      </c>
      <c r="AB449" s="500" t="s">
        <v>232</v>
      </c>
      <c r="AC449" s="526" t="s">
        <v>286</v>
      </c>
      <c r="AD449" s="412">
        <v>2</v>
      </c>
      <c r="AE449" s="333">
        <v>5879</v>
      </c>
      <c r="AF449" s="334">
        <v>271</v>
      </c>
      <c r="AG449" s="334">
        <v>415</v>
      </c>
      <c r="AH449" s="334">
        <v>71</v>
      </c>
      <c r="AI449" s="334">
        <v>42</v>
      </c>
      <c r="AJ449" s="335">
        <v>5</v>
      </c>
      <c r="AK449" s="336">
        <v>15</v>
      </c>
      <c r="AL449" s="310">
        <v>1</v>
      </c>
      <c r="AM449" s="434"/>
    </row>
    <row r="450">
      <c r="A450" s="512"/>
      <c r="B450" s="501" t="s">
        <v>238</v>
      </c>
      <c r="C450" s="501"/>
      <c r="D450" s="501">
        <f>SUM(D445:D449)</f>
      </c>
      <c r="E450" s="501">
        <f>SUM(E445:E449)</f>
      </c>
      <c r="F450" s="501">
        <f>SUM(F445:F449)</f>
      </c>
      <c r="G450" s="501">
        <f>SUM(G445:G449)</f>
      </c>
      <c r="H450" s="501">
        <f>SUM(H445:H449)</f>
      </c>
      <c r="I450" s="501">
        <f>SUM(I445:I449)</f>
      </c>
      <c r="J450" s="501">
        <f>SUM(J445:J449)</f>
      </c>
      <c r="K450" s="501">
        <f>SUM(K445:K449)</f>
      </c>
      <c r="L450" s="501">
        <f>SUM(L445:L449)</f>
      </c>
      <c r="M450" s="501">
        <f>SUM(M445:M449)</f>
      </c>
      <c r="N450" s="502">
        <f t="shared" si="355"/>
      </c>
      <c r="O450" s="502">
        <f t="shared" si="281"/>
      </c>
      <c r="P450" s="503">
        <f t="shared" si="219"/>
      </c>
      <c r="Q450" s="504">
        <f t="shared" si="126"/>
      </c>
      <c r="R450" s="505">
        <f t="shared" si="64"/>
      </c>
      <c r="S450" s="504">
        <f t="shared" si="157"/>
      </c>
      <c r="T450" s="504">
        <f t="shared" si="33"/>
      </c>
      <c r="U450" s="505">
        <f t="shared" si="518"/>
      </c>
      <c r="V450" s="504">
        <f t="shared" si="487"/>
      </c>
      <c r="W450" s="504">
        <f t="shared" si="386"/>
      </c>
      <c r="X450" s="505">
        <f t="shared" si="312"/>
      </c>
      <c r="Y450" s="506">
        <f t="shared" si="250"/>
      </c>
      <c r="Z450" s="505">
        <f t="shared" si="188"/>
      </c>
      <c r="AA450" s="507">
        <f t="shared" si="95"/>
      </c>
      <c r="AB450" s="507"/>
      <c r="AC450" s="507"/>
      <c r="AD450" s="347">
        <f>SUM(AD445:AD449)</f>
      </c>
      <c r="AE450" s="347">
        <f>SUM(AE445:AE449)</f>
      </c>
      <c r="AF450" s="347">
        <f>SUM(AF445:AF449)</f>
      </c>
      <c r="AG450" s="347">
        <f>SUM(AG445:AG449)</f>
      </c>
      <c r="AH450" s="347">
        <f>SUM(AH445:AH449)</f>
      </c>
      <c r="AI450" s="347">
        <f>SUM(AI445:AI449)</f>
      </c>
      <c r="AJ450" s="347">
        <f>SUM(AJ445:AJ449)</f>
      </c>
      <c r="AK450" s="347">
        <f>SUM(AK445:AK449)</f>
      </c>
      <c r="AL450" s="347">
        <f>SUM(AL445:AL449)</f>
      </c>
      <c r="AM450" s="478" t="s">
        <v>273</v>
      </c>
    </row>
    <row r="451">
      <c r="A451" s="512"/>
      <c r="B451" s="373" t="s">
        <v>250</v>
      </c>
      <c r="C451" s="373"/>
      <c r="D451" s="515">
        <f>D450</f>
      </c>
      <c r="E451" s="515">
        <f>E450</f>
      </c>
      <c r="F451" s="515">
        <f>F450</f>
      </c>
      <c r="G451" s="515">
        <f>G450</f>
      </c>
      <c r="H451" s="515">
        <f>H450</f>
      </c>
      <c r="I451" s="515">
        <f>I450</f>
      </c>
      <c r="J451" s="515">
        <f>J450</f>
      </c>
      <c r="K451" s="515">
        <f>K450</f>
      </c>
      <c r="L451" s="515">
        <f>L450</f>
      </c>
      <c r="M451" s="515">
        <f>M450</f>
      </c>
      <c r="N451" s="427">
        <f t="shared" si="355"/>
      </c>
      <c r="O451" s="427">
        <f t="shared" si="281"/>
      </c>
      <c r="P451" s="509">
        <f t="shared" si="219"/>
      </c>
      <c r="Q451" s="510">
        <f t="shared" si="126"/>
      </c>
      <c r="R451" s="427">
        <f t="shared" si="64"/>
      </c>
      <c r="S451" s="510">
        <f t="shared" si="157"/>
      </c>
      <c r="T451" s="510">
        <f t="shared" si="33"/>
      </c>
      <c r="U451" s="427">
        <f t="shared" si="518"/>
      </c>
      <c r="V451" s="510">
        <f t="shared" si="487"/>
      </c>
      <c r="W451" s="510">
        <f t="shared" si="386"/>
      </c>
      <c r="X451" s="427">
        <f t="shared" si="312"/>
      </c>
      <c r="Y451" s="511">
        <f t="shared" si="250"/>
      </c>
      <c r="Z451" s="427">
        <f t="shared" si="188"/>
      </c>
      <c r="AA451" s="509">
        <f t="shared" si="95"/>
      </c>
      <c r="AB451" s="509"/>
      <c r="AC451" s="509"/>
      <c r="AD451" s="484">
        <f>AD450</f>
      </c>
      <c r="AE451" s="484">
        <f>AE450</f>
      </c>
      <c r="AF451" s="484">
        <f>AF450</f>
      </c>
      <c r="AG451" s="484">
        <f>AG450</f>
      </c>
      <c r="AH451" s="484">
        <f>AH450</f>
      </c>
      <c r="AI451" s="484">
        <f>AI450</f>
      </c>
      <c r="AJ451" s="484">
        <f>AJ450</f>
      </c>
      <c r="AK451" s="484">
        <f>AK450</f>
      </c>
      <c r="AL451" s="484">
        <f>AL450</f>
      </c>
      <c r="AM451" s="478"/>
    </row>
    <row r="452">
      <c r="A452" s="389" t="s">
        <v>189</v>
      </c>
      <c r="B452" s="389"/>
      <c r="C452" s="389"/>
      <c r="D452" s="487" t="s">
        <v>190</v>
      </c>
      <c r="E452" s="487"/>
      <c r="F452" s="487"/>
      <c r="G452" s="487"/>
      <c r="H452" s="487"/>
      <c r="I452" s="487"/>
      <c r="J452" s="487"/>
      <c r="K452" s="487"/>
      <c r="L452" s="487"/>
      <c r="M452" s="487"/>
      <c r="N452" s="487"/>
      <c r="O452" s="487"/>
      <c r="P452" s="391" t="s">
        <v>191</v>
      </c>
      <c r="Q452" s="391"/>
      <c r="R452" s="391"/>
      <c r="S452" s="391"/>
      <c r="T452" s="391"/>
      <c r="U452" s="391"/>
      <c r="V452" s="391"/>
      <c r="W452" s="391"/>
      <c r="X452" s="391"/>
      <c r="Y452" s="391"/>
      <c r="Z452" s="391"/>
      <c r="AA452" s="391"/>
      <c r="AB452" s="391"/>
      <c r="AC452" s="391"/>
      <c r="AD452" s="447" t="s">
        <v>192</v>
      </c>
      <c r="AE452" s="447"/>
      <c r="AF452" s="447"/>
      <c r="AG452" s="447"/>
      <c r="AH452" s="447"/>
      <c r="AI452" s="447"/>
      <c r="AJ452" s="447"/>
      <c r="AK452" s="447"/>
      <c r="AL452" s="447"/>
      <c r="AM452" s="433"/>
    </row>
    <row r="453">
      <c r="A453" s="488" t="s">
        <v>193</v>
      </c>
      <c r="B453" s="489" t="s">
        <v>194</v>
      </c>
      <c r="C453" s="489" t="s">
        <v>195</v>
      </c>
      <c r="D453" s="490" t="s">
        <v>196</v>
      </c>
      <c r="E453" s="491" t="s">
        <v>197</v>
      </c>
      <c r="F453" s="491" t="s">
        <v>198</v>
      </c>
      <c r="G453" s="492" t="s">
        <v>256</v>
      </c>
      <c r="H453" s="493" t="s">
        <v>260</v>
      </c>
      <c r="I453" s="519" t="s">
        <v>199</v>
      </c>
      <c r="J453" s="490" t="s">
        <v>200</v>
      </c>
      <c r="K453" s="390" t="s">
        <v>201</v>
      </c>
      <c r="L453" s="390" t="s">
        <v>202</v>
      </c>
      <c r="M453" s="390" t="s">
        <v>203</v>
      </c>
      <c r="N453" s="492" t="s">
        <v>204</v>
      </c>
      <c r="O453" s="390" t="s">
        <v>205</v>
      </c>
      <c r="P453" s="391" t="s">
        <v>206</v>
      </c>
      <c r="Q453" s="391" t="s">
        <v>207</v>
      </c>
      <c r="R453" s="391" t="s">
        <v>208</v>
      </c>
      <c r="S453" s="494" t="s">
        <v>209</v>
      </c>
      <c r="T453" s="494" t="s">
        <v>210</v>
      </c>
      <c r="U453" s="391" t="s">
        <v>211</v>
      </c>
      <c r="V453" s="494" t="s">
        <v>212</v>
      </c>
      <c r="W453" s="494" t="s">
        <v>213</v>
      </c>
      <c r="X453" s="391" t="s">
        <v>214</v>
      </c>
      <c r="Y453" s="494" t="s">
        <v>215</v>
      </c>
      <c r="Z453" s="391" t="s">
        <v>216</v>
      </c>
      <c r="AA453" s="495" t="s">
        <v>217</v>
      </c>
      <c r="AB453" s="495" t="s">
        <v>218</v>
      </c>
      <c r="AC453" s="495" t="s">
        <v>219</v>
      </c>
      <c r="AD453" s="456" t="s">
        <v>220</v>
      </c>
      <c r="AE453" s="301" t="s">
        <v>221</v>
      </c>
      <c r="AF453" s="301" t="s">
        <v>222</v>
      </c>
      <c r="AG453" s="301" t="s">
        <v>223</v>
      </c>
      <c r="AH453" s="301" t="s">
        <v>224</v>
      </c>
      <c r="AI453" s="301" t="s">
        <v>225</v>
      </c>
      <c r="AJ453" s="302" t="s">
        <v>226</v>
      </c>
      <c r="AK453" s="302" t="s">
        <v>227</v>
      </c>
      <c r="AL453" s="302" t="s">
        <v>228</v>
      </c>
      <c r="AM453" s="433"/>
    </row>
    <row r="454">
      <c r="A454" s="512" t="s">
        <v>287</v>
      </c>
      <c r="B454" s="334" t="s">
        <v>230</v>
      </c>
      <c r="C454" s="513" t="s">
        <v>240</v>
      </c>
      <c r="D454" s="513">
        <f t="shared" ref="D454:D458" si="438">E454+F454+G454+H454</f>
      </c>
      <c r="E454" s="401">
        <v>1654.82</v>
      </c>
      <c r="F454" s="401">
        <v>544.98</v>
      </c>
      <c r="G454" s="304"/>
      <c r="H454" s="401">
        <v>1413.83</v>
      </c>
      <c r="I454" s="306">
        <v>3</v>
      </c>
      <c r="J454" s="324">
        <v>4044</v>
      </c>
      <c r="K454" s="325">
        <v>0</v>
      </c>
      <c r="L454" s="326">
        <v>1</v>
      </c>
      <c r="M454" s="326">
        <v>1</v>
      </c>
      <c r="N454" s="497">
        <f t="shared" ref="N454:N462" si="356">J454/D454</f>
      </c>
      <c r="O454" s="497">
        <f t="shared" ref="O454:O462" si="282">J454/(D454+300*AL454)</f>
      </c>
      <c r="P454" s="498">
        <f t="shared" ref="P454:P462" si="220">(D454/AE454)*1000</f>
      </c>
      <c r="Q454" s="405">
        <f t="shared" ref="Q454:Q462" si="127">AF454/AE454</f>
      </c>
      <c r="R454" s="406">
        <f t="shared" ref="R454:R462" si="65">D454/AG454</f>
      </c>
      <c r="S454" s="405">
        <f t="shared" ref="S454:S462" si="158">AH454/AG454</f>
      </c>
      <c r="T454" s="405">
        <f t="shared" ref="T454:T462" si="34">AI454/AG454</f>
      </c>
      <c r="U454" s="406">
        <f t="shared" ref="U454:U462" si="519">D454/AI454</f>
      </c>
      <c r="V454" s="405">
        <f t="shared" ref="V454:V462" si="488">AJ454/AI454</f>
      </c>
      <c r="W454" s="405">
        <f t="shared" ref="W454:W462" si="387">I454/AJ454</f>
      </c>
      <c r="X454" s="406">
        <f t="shared" ref="X454:X462" si="313">D454/I454</f>
      </c>
      <c r="Y454" s="410">
        <f t="shared" ref="Y454:Y462" si="251">J454/I454</f>
      </c>
      <c r="Z454" s="406">
        <f t="shared" ref="Z454:Z462" si="189">D454/AD454</f>
      </c>
      <c r="AA454" s="499">
        <f t="shared" ref="AA454:AA462" si="96">AK454*1000/D454</f>
      </c>
      <c r="AB454" s="500" t="s">
        <v>232</v>
      </c>
      <c r="AC454" s="516" t="s">
        <v>286</v>
      </c>
      <c r="AD454" s="306">
        <v>3</v>
      </c>
      <c r="AE454" s="304">
        <v>7313</v>
      </c>
      <c r="AF454" s="304">
        <v>337</v>
      </c>
      <c r="AG454" s="304">
        <v>434</v>
      </c>
      <c r="AH454" s="304">
        <v>77</v>
      </c>
      <c r="AI454" s="334">
        <v>36</v>
      </c>
      <c r="AJ454" s="325">
        <v>6</v>
      </c>
      <c r="AK454" s="326">
        <v>18</v>
      </c>
      <c r="AL454" s="310">
        <v>1</v>
      </c>
      <c r="AM454" s="434"/>
    </row>
    <row r="455">
      <c r="A455" s="512"/>
      <c r="B455" s="401" t="s">
        <v>234</v>
      </c>
      <c r="C455" s="524" t="s">
        <v>240</v>
      </c>
      <c r="D455" s="306">
        <f t="shared" si="438"/>
      </c>
      <c r="E455" s="304">
        <v>2749.45</v>
      </c>
      <c r="F455" s="412">
        <v>1027.91</v>
      </c>
      <c r="G455" s="334"/>
      <c r="H455" s="334">
        <v>1722.8</v>
      </c>
      <c r="I455" s="333">
        <v>4</v>
      </c>
      <c r="J455" s="333">
        <v>7272</v>
      </c>
      <c r="K455" s="326">
        <v>1</v>
      </c>
      <c r="L455" s="326">
        <v>0</v>
      </c>
      <c r="M455" s="326">
        <v>3</v>
      </c>
      <c r="N455" s="497">
        <f t="shared" si="356"/>
      </c>
      <c r="O455" s="497">
        <f t="shared" si="282"/>
      </c>
      <c r="P455" s="498">
        <f t="shared" si="220"/>
      </c>
      <c r="Q455" s="405">
        <f t="shared" si="127"/>
      </c>
      <c r="R455" s="406">
        <f t="shared" si="65"/>
      </c>
      <c r="S455" s="405">
        <f t="shared" si="158"/>
      </c>
      <c r="T455" s="405">
        <f t="shared" si="34"/>
      </c>
      <c r="U455" s="406">
        <f t="shared" si="519"/>
      </c>
      <c r="V455" s="405">
        <f t="shared" si="488"/>
      </c>
      <c r="W455" s="405">
        <f t="shared" si="387"/>
      </c>
      <c r="X455" s="406">
        <f t="shared" si="313"/>
      </c>
      <c r="Y455" s="410">
        <f t="shared" si="251"/>
      </c>
      <c r="Z455" s="406">
        <f t="shared" si="189"/>
      </c>
      <c r="AA455" s="499">
        <f t="shared" si="96"/>
      </c>
      <c r="AB455" s="500" t="s">
        <v>232</v>
      </c>
      <c r="AC455" s="516" t="s">
        <v>286</v>
      </c>
      <c r="AD455" s="306">
        <v>3</v>
      </c>
      <c r="AE455" s="412">
        <v>11734</v>
      </c>
      <c r="AF455" s="304">
        <v>529</v>
      </c>
      <c r="AG455" s="333">
        <v>695</v>
      </c>
      <c r="AH455" s="334">
        <v>106</v>
      </c>
      <c r="AI455" s="334">
        <v>47</v>
      </c>
      <c r="AJ455" s="335">
        <v>7</v>
      </c>
      <c r="AK455" s="336">
        <v>27</v>
      </c>
      <c r="AL455" s="310">
        <v>1</v>
      </c>
      <c r="AM455" s="434"/>
    </row>
    <row r="456">
      <c r="A456" s="512"/>
      <c r="B456" s="401" t="s">
        <v>235</v>
      </c>
      <c r="C456" s="306" t="s">
        <v>240</v>
      </c>
      <c r="D456" s="324">
        <f t="shared" si="438"/>
      </c>
      <c r="E456" s="304">
        <v>1388.94</v>
      </c>
      <c r="F456" s="304">
        <v>1165.7</v>
      </c>
      <c r="G456" s="334"/>
      <c r="H456" s="334">
        <v>861.92</v>
      </c>
      <c r="I456" s="334">
        <v>1</v>
      </c>
      <c r="J456" s="334">
        <v>2268</v>
      </c>
      <c r="K456" s="326">
        <v>0</v>
      </c>
      <c r="L456" s="326">
        <v>0</v>
      </c>
      <c r="M456" s="326">
        <v>1</v>
      </c>
      <c r="N456" s="497">
        <f t="shared" si="356"/>
      </c>
      <c r="O456" s="497">
        <f t="shared" si="282"/>
      </c>
      <c r="P456" s="498">
        <f t="shared" si="220"/>
      </c>
      <c r="Q456" s="405">
        <f t="shared" si="127"/>
      </c>
      <c r="R456" s="406">
        <f t="shared" si="65"/>
      </c>
      <c r="S456" s="405">
        <f t="shared" si="158"/>
      </c>
      <c r="T456" s="405">
        <f t="shared" si="34"/>
      </c>
      <c r="U456" s="406">
        <f t="shared" si="519"/>
      </c>
      <c r="V456" s="405">
        <f t="shared" si="488"/>
      </c>
      <c r="W456" s="405">
        <f t="shared" si="387"/>
      </c>
      <c r="X456" s="406">
        <f t="shared" si="313"/>
      </c>
      <c r="Y456" s="410">
        <f t="shared" si="251"/>
      </c>
      <c r="Z456" s="406">
        <f t="shared" si="189"/>
      </c>
      <c r="AA456" s="499">
        <f t="shared" si="96"/>
      </c>
      <c r="AB456" s="500" t="s">
        <v>232</v>
      </c>
      <c r="AC456" s="516" t="s">
        <v>286</v>
      </c>
      <c r="AD456" s="306">
        <v>1</v>
      </c>
      <c r="AE456" s="304">
        <v>6649</v>
      </c>
      <c r="AF456" s="304">
        <v>312</v>
      </c>
      <c r="AG456" s="334">
        <v>442</v>
      </c>
      <c r="AH456" s="334">
        <v>69</v>
      </c>
      <c r="AI456" s="334">
        <v>51</v>
      </c>
      <c r="AJ456" s="335">
        <v>2</v>
      </c>
      <c r="AK456" s="336">
        <v>15</v>
      </c>
      <c r="AL456" s="310">
        <v>1</v>
      </c>
      <c r="AM456" s="434"/>
    </row>
    <row r="457">
      <c r="A457" s="512"/>
      <c r="B457" s="401" t="s">
        <v>236</v>
      </c>
      <c r="C457" s="473" t="s">
        <v>240</v>
      </c>
      <c r="D457" s="324">
        <f t="shared" si="438"/>
      </c>
      <c r="E457" s="325">
        <v>998.81</v>
      </c>
      <c r="F457" s="325">
        <v>966.71</v>
      </c>
      <c r="G457" s="334"/>
      <c r="H457" s="326">
        <v>871.81</v>
      </c>
      <c r="I457" s="334">
        <v>1</v>
      </c>
      <c r="J457" s="334">
        <v>2268</v>
      </c>
      <c r="K457" s="326">
        <v>0</v>
      </c>
      <c r="L457" s="326">
        <v>0</v>
      </c>
      <c r="M457" s="326">
        <v>1</v>
      </c>
      <c r="N457" s="497">
        <f t="shared" si="356"/>
      </c>
      <c r="O457" s="497">
        <f t="shared" si="282"/>
      </c>
      <c r="P457" s="498">
        <f t="shared" si="220"/>
      </c>
      <c r="Q457" s="405">
        <f t="shared" si="127"/>
      </c>
      <c r="R457" s="406">
        <f t="shared" si="65"/>
      </c>
      <c r="S457" s="405">
        <f t="shared" si="158"/>
      </c>
      <c r="T457" s="405">
        <f t="shared" si="34"/>
      </c>
      <c r="U457" s="406">
        <f t="shared" si="519"/>
      </c>
      <c r="V457" s="405">
        <f t="shared" si="488"/>
      </c>
      <c r="W457" s="405">
        <f t="shared" si="387"/>
      </c>
      <c r="X457" s="406">
        <f t="shared" si="313"/>
      </c>
      <c r="Y457" s="410">
        <f t="shared" si="251"/>
      </c>
      <c r="Z457" s="406">
        <f t="shared" si="189"/>
      </c>
      <c r="AA457" s="499">
        <f t="shared" si="96"/>
      </c>
      <c r="AB457" s="500" t="s">
        <v>232</v>
      </c>
      <c r="AC457" s="411" t="s">
        <v>286</v>
      </c>
      <c r="AD457" s="412">
        <v>1</v>
      </c>
      <c r="AE457" s="333">
        <v>7000</v>
      </c>
      <c r="AF457" s="334">
        <v>309</v>
      </c>
      <c r="AG457" s="334">
        <v>387</v>
      </c>
      <c r="AH457" s="334">
        <v>60</v>
      </c>
      <c r="AI457" s="334">
        <v>28</v>
      </c>
      <c r="AJ457" s="335">
        <v>2</v>
      </c>
      <c r="AK457" s="336">
        <v>19</v>
      </c>
      <c r="AL457" s="310">
        <v>1</v>
      </c>
      <c r="AM457" s="434"/>
    </row>
    <row r="458">
      <c r="A458" s="512"/>
      <c r="B458" s="334" t="s">
        <v>237</v>
      </c>
      <c r="C458" s="333" t="s">
        <v>240</v>
      </c>
      <c r="D458" s="324">
        <f t="shared" si="438"/>
      </c>
      <c r="E458" s="326">
        <v>1210.58</v>
      </c>
      <c r="F458" s="325">
        <v>1018.83</v>
      </c>
      <c r="G458" s="334"/>
      <c r="H458" s="326">
        <v>684.02</v>
      </c>
      <c r="I458" s="334">
        <v>3</v>
      </c>
      <c r="J458" s="326">
        <v>6616</v>
      </c>
      <c r="K458" s="326">
        <v>0</v>
      </c>
      <c r="L458" s="326">
        <v>0</v>
      </c>
      <c r="M458" s="326">
        <v>3</v>
      </c>
      <c r="N458" s="497">
        <f t="shared" si="356"/>
      </c>
      <c r="O458" s="497">
        <f t="shared" si="282"/>
      </c>
      <c r="P458" s="498">
        <f t="shared" si="220"/>
      </c>
      <c r="Q458" s="405">
        <f t="shared" si="127"/>
      </c>
      <c r="R458" s="406">
        <f t="shared" si="65"/>
      </c>
      <c r="S458" s="405">
        <f t="shared" si="158"/>
      </c>
      <c r="T458" s="405">
        <f t="shared" si="34"/>
      </c>
      <c r="U458" s="406">
        <f t="shared" si="519"/>
      </c>
      <c r="V458" s="405">
        <f t="shared" si="488"/>
      </c>
      <c r="W458" s="405">
        <f t="shared" si="387"/>
      </c>
      <c r="X458" s="406">
        <f t="shared" si="313"/>
      </c>
      <c r="Y458" s="410">
        <f t="shared" si="251"/>
      </c>
      <c r="Z458" s="406">
        <f t="shared" si="189"/>
      </c>
      <c r="AA458" s="499">
        <f t="shared" si="96"/>
      </c>
      <c r="AB458" s="500" t="s">
        <v>232</v>
      </c>
      <c r="AC458" s="411" t="s">
        <v>286</v>
      </c>
      <c r="AD458" s="412">
        <v>2</v>
      </c>
      <c r="AE458" s="333">
        <v>7434</v>
      </c>
      <c r="AF458" s="334">
        <v>370</v>
      </c>
      <c r="AG458" s="334">
        <v>444</v>
      </c>
      <c r="AH458" s="334">
        <v>69</v>
      </c>
      <c r="AI458" s="334">
        <v>46</v>
      </c>
      <c r="AJ458" s="335">
        <v>4</v>
      </c>
      <c r="AK458" s="336">
        <v>17</v>
      </c>
      <c r="AL458" s="310">
        <v>1</v>
      </c>
      <c r="AM458" s="434"/>
    </row>
    <row r="459">
      <c r="A459" s="512"/>
      <c r="B459" s="501" t="s">
        <v>238</v>
      </c>
      <c r="C459" s="501"/>
      <c r="D459" s="501">
        <f>SUM(D454:D458)</f>
      </c>
      <c r="E459" s="501">
        <f>SUM(E454:E458)</f>
      </c>
      <c r="F459" s="501">
        <f>SUM(F454:F458)</f>
      </c>
      <c r="G459" s="501">
        <f>SUM(G454:G458)</f>
      </c>
      <c r="H459" s="501">
        <f>SUM(H454:H458)</f>
      </c>
      <c r="I459" s="501">
        <f>SUM(I454:I458)</f>
      </c>
      <c r="J459" s="501">
        <f>SUM(J454:J458)</f>
      </c>
      <c r="K459" s="501">
        <f>SUM(K454:K458)</f>
      </c>
      <c r="L459" s="501">
        <f>SUM(L454:L458)</f>
      </c>
      <c r="M459" s="501">
        <f>SUM(M454:M458)</f>
      </c>
      <c r="N459" s="502">
        <f t="shared" si="356"/>
      </c>
      <c r="O459" s="502">
        <f t="shared" si="282"/>
      </c>
      <c r="P459" s="503">
        <f t="shared" si="220"/>
      </c>
      <c r="Q459" s="504">
        <f t="shared" si="127"/>
      </c>
      <c r="R459" s="505">
        <f t="shared" si="65"/>
      </c>
      <c r="S459" s="504">
        <f t="shared" si="158"/>
      </c>
      <c r="T459" s="504">
        <f t="shared" si="34"/>
      </c>
      <c r="U459" s="505">
        <f t="shared" si="519"/>
      </c>
      <c r="V459" s="504">
        <f t="shared" si="488"/>
      </c>
      <c r="W459" s="504">
        <f t="shared" si="387"/>
      </c>
      <c r="X459" s="505">
        <f t="shared" si="313"/>
      </c>
      <c r="Y459" s="506">
        <f t="shared" si="251"/>
      </c>
      <c r="Z459" s="505">
        <f t="shared" si="189"/>
      </c>
      <c r="AA459" s="507">
        <f t="shared" si="96"/>
      </c>
      <c r="AB459" s="507"/>
      <c r="AC459" s="507"/>
      <c r="AD459" s="347">
        <f>SUM(AD454:AD458)</f>
      </c>
      <c r="AE459" s="347">
        <f>SUM(AE454:AE458)</f>
      </c>
      <c r="AF459" s="347">
        <f>SUM(AF454:AF458)</f>
      </c>
      <c r="AG459" s="347">
        <f>SUM(AG454:AG458)</f>
      </c>
      <c r="AH459" s="347">
        <f>SUM(AH454:AH458)</f>
      </c>
      <c r="AI459" s="347">
        <f>SUM(AI454:AI458)</f>
      </c>
      <c r="AJ459" s="347">
        <f>SUM(AJ454:AJ458)</f>
      </c>
      <c r="AK459" s="347">
        <f>SUM(AK454:AK458)</f>
      </c>
      <c r="AL459" s="347">
        <f>SUM(AL454:AL458)</f>
      </c>
      <c r="AM459" s="434"/>
    </row>
    <row r="460">
      <c r="A460" s="512"/>
      <c r="B460" s="333" t="s">
        <v>239</v>
      </c>
      <c r="C460" s="334" t="s">
        <v>231</v>
      </c>
      <c r="D460" s="334">
        <f>E460+F460+G460+H460</f>
      </c>
      <c r="E460" s="334">
        <v>1186.62</v>
      </c>
      <c r="F460" s="304">
        <v>685.94</v>
      </c>
      <c r="G460" s="334"/>
      <c r="H460" s="334">
        <v>619.21</v>
      </c>
      <c r="I460" s="334">
        <v>0</v>
      </c>
      <c r="J460" s="334">
        <v>0</v>
      </c>
      <c r="K460" s="326">
        <v>0</v>
      </c>
      <c r="L460" s="326">
        <v>0</v>
      </c>
      <c r="M460" s="326">
        <v>0</v>
      </c>
      <c r="N460" s="497">
        <f t="shared" si="356"/>
      </c>
      <c r="O460" s="497">
        <f t="shared" si="282"/>
      </c>
      <c r="P460" s="498">
        <f t="shared" si="220"/>
      </c>
      <c r="Q460" s="405">
        <f t="shared" si="127"/>
      </c>
      <c r="R460" s="406">
        <f t="shared" si="65"/>
      </c>
      <c r="S460" s="405">
        <f t="shared" si="158"/>
      </c>
      <c r="T460" s="405">
        <f t="shared" si="34"/>
      </c>
      <c r="U460" s="406">
        <f t="shared" si="519"/>
      </c>
      <c r="V460" s="405">
        <f t="shared" si="488"/>
      </c>
      <c r="W460" s="405">
        <f t="shared" si="387"/>
      </c>
      <c r="X460" s="406">
        <f t="shared" si="313"/>
      </c>
      <c r="Y460" s="410">
        <f t="shared" si="251"/>
      </c>
      <c r="Z460" s="406">
        <f t="shared" si="189"/>
      </c>
      <c r="AA460" s="499">
        <f t="shared" si="96"/>
      </c>
      <c r="AB460" s="500" t="s">
        <v>232</v>
      </c>
      <c r="AC460" s="411" t="s">
        <v>286</v>
      </c>
      <c r="AD460" s="402">
        <v>0</v>
      </c>
      <c r="AE460" s="365">
        <v>5292</v>
      </c>
      <c r="AF460" s="365">
        <v>276</v>
      </c>
      <c r="AG460" s="365">
        <v>338</v>
      </c>
      <c r="AH460" s="365">
        <v>60</v>
      </c>
      <c r="AI460" s="365">
        <v>25</v>
      </c>
      <c r="AJ460" s="310">
        <v>5</v>
      </c>
      <c r="AK460" s="310">
        <v>15</v>
      </c>
      <c r="AL460" s="310">
        <v>1</v>
      </c>
      <c r="AM460" s="434"/>
    </row>
    <row r="461">
      <c r="A461" s="512"/>
      <c r="B461" s="501" t="s">
        <v>238</v>
      </c>
      <c r="C461" s="501"/>
      <c r="D461" s="501">
        <f>SUM(D460)</f>
      </c>
      <c r="E461" s="501">
        <f>SUM(E460)</f>
      </c>
      <c r="F461" s="501">
        <f>SUM(F460)</f>
      </c>
      <c r="G461" s="501">
        <f>SUM(G460)</f>
      </c>
      <c r="H461" s="501">
        <f>SUM(H460)</f>
      </c>
      <c r="I461" s="501">
        <f>SUM(I460)</f>
      </c>
      <c r="J461" s="501">
        <f>SUM(J460)</f>
      </c>
      <c r="K461" s="501">
        <f>SUM(K460)</f>
      </c>
      <c r="L461" s="501">
        <f>SUM(L460)</f>
      </c>
      <c r="M461" s="501">
        <f>SUM(M460)</f>
      </c>
      <c r="N461" s="502">
        <f t="shared" si="356"/>
      </c>
      <c r="O461" s="502">
        <f t="shared" si="282"/>
      </c>
      <c r="P461" s="508">
        <f t="shared" si="220"/>
      </c>
      <c r="Q461" s="504">
        <f t="shared" si="127"/>
      </c>
      <c r="R461" s="505">
        <f t="shared" si="65"/>
      </c>
      <c r="S461" s="504">
        <f t="shared" si="158"/>
      </c>
      <c r="T461" s="504">
        <f t="shared" si="34"/>
      </c>
      <c r="U461" s="505">
        <f t="shared" si="519"/>
      </c>
      <c r="V461" s="504">
        <f t="shared" si="488"/>
      </c>
      <c r="W461" s="504">
        <f t="shared" si="387"/>
      </c>
      <c r="X461" s="505">
        <f t="shared" si="313"/>
      </c>
      <c r="Y461" s="506">
        <f t="shared" si="251"/>
      </c>
      <c r="Z461" s="505">
        <f t="shared" si="189"/>
      </c>
      <c r="AA461" s="507">
        <f t="shared" si="96"/>
      </c>
      <c r="AB461" s="507"/>
      <c r="AC461" s="523"/>
      <c r="AD461" s="525">
        <f>SUM(AD460)</f>
      </c>
      <c r="AE461" s="525">
        <f>SUM(AE460)</f>
      </c>
      <c r="AF461" s="525">
        <f>SUM(AF460)</f>
      </c>
      <c r="AG461" s="525">
        <f>SUM(AG460)</f>
      </c>
      <c r="AH461" s="525">
        <f>SUM(AH460)</f>
      </c>
      <c r="AI461" s="525">
        <f>SUM(AI460)</f>
      </c>
      <c r="AJ461" s="525">
        <f>SUM(AJ460)</f>
      </c>
      <c r="AK461" s="525">
        <f>SUM(AK460)</f>
      </c>
      <c r="AL461" s="525">
        <f>SUM(AL460)</f>
      </c>
      <c r="AM461" s="478" t="s">
        <v>288</v>
      </c>
    </row>
    <row r="462">
      <c r="A462" s="512"/>
      <c r="B462" s="373" t="s">
        <v>250</v>
      </c>
      <c r="C462" s="373"/>
      <c r="D462" s="515">
        <f>D459+D461</f>
      </c>
      <c r="E462" s="515">
        <f>E459+E461</f>
      </c>
      <c r="F462" s="515">
        <f>F459+F461</f>
      </c>
      <c r="G462" s="515">
        <f>G459+G461</f>
      </c>
      <c r="H462" s="515">
        <f>H459+H461</f>
      </c>
      <c r="I462" s="515">
        <f>I459+I461</f>
      </c>
      <c r="J462" s="515">
        <f>J459+J461</f>
      </c>
      <c r="K462" s="515">
        <f>K459+K461</f>
      </c>
      <c r="L462" s="515">
        <f>L459+L461</f>
      </c>
      <c r="M462" s="515">
        <f>M459+M461</f>
      </c>
      <c r="N462" s="427">
        <f t="shared" si="356"/>
      </c>
      <c r="O462" s="427">
        <f t="shared" si="282"/>
      </c>
      <c r="P462" s="509">
        <f t="shared" si="220"/>
      </c>
      <c r="Q462" s="510">
        <f t="shared" si="127"/>
      </c>
      <c r="R462" s="427">
        <f t="shared" si="65"/>
      </c>
      <c r="S462" s="510">
        <f t="shared" si="158"/>
      </c>
      <c r="T462" s="510">
        <f t="shared" si="34"/>
      </c>
      <c r="U462" s="427">
        <f t="shared" si="519"/>
      </c>
      <c r="V462" s="510">
        <f t="shared" si="488"/>
      </c>
      <c r="W462" s="510">
        <f t="shared" si="387"/>
      </c>
      <c r="X462" s="427">
        <f t="shared" si="313"/>
      </c>
      <c r="Y462" s="511">
        <f t="shared" si="251"/>
      </c>
      <c r="Z462" s="427">
        <f t="shared" si="189"/>
      </c>
      <c r="AA462" s="509">
        <f t="shared" si="96"/>
      </c>
      <c r="AB462" s="509"/>
      <c r="AC462" s="509"/>
      <c r="AD462" s="484">
        <f>AD459+AD461</f>
      </c>
      <c r="AE462" s="484">
        <f>AE459+AE461</f>
      </c>
      <c r="AF462" s="484">
        <f>AF459+AF461</f>
      </c>
      <c r="AG462" s="484">
        <f>AG459+AG461</f>
      </c>
      <c r="AH462" s="484">
        <f>AH459+AH461</f>
      </c>
      <c r="AI462" s="484">
        <f>AI459+AI461</f>
      </c>
      <c r="AJ462" s="484">
        <f>AJ459+AJ461</f>
      </c>
      <c r="AK462" s="484">
        <f>AK459+AK461</f>
      </c>
      <c r="AL462" s="484">
        <f>AL459+AL461</f>
      </c>
      <c r="AM462" s="478"/>
    </row>
    <row r="463">
      <c r="A463" s="389" t="s">
        <v>189</v>
      </c>
      <c r="B463" s="389"/>
      <c r="C463" s="389"/>
      <c r="D463" s="487" t="s">
        <v>190</v>
      </c>
      <c r="E463" s="487"/>
      <c r="F463" s="487"/>
      <c r="G463" s="487"/>
      <c r="H463" s="487"/>
      <c r="I463" s="487"/>
      <c r="J463" s="487"/>
      <c r="K463" s="487"/>
      <c r="L463" s="487"/>
      <c r="M463" s="487"/>
      <c r="N463" s="487"/>
      <c r="O463" s="487"/>
      <c r="P463" s="391" t="s">
        <v>191</v>
      </c>
      <c r="Q463" s="391"/>
      <c r="R463" s="391"/>
      <c r="S463" s="391"/>
      <c r="T463" s="391"/>
      <c r="U463" s="391"/>
      <c r="V463" s="391"/>
      <c r="W463" s="391"/>
      <c r="X463" s="391"/>
      <c r="Y463" s="391"/>
      <c r="Z463" s="391"/>
      <c r="AA463" s="391"/>
      <c r="AB463" s="391"/>
      <c r="AC463" s="391"/>
      <c r="AD463" s="447" t="s">
        <v>192</v>
      </c>
      <c r="AE463" s="447"/>
      <c r="AF463" s="447"/>
      <c r="AG463" s="447"/>
      <c r="AH463" s="447"/>
      <c r="AI463" s="447"/>
      <c r="AJ463" s="447"/>
      <c r="AK463" s="447"/>
      <c r="AL463" s="447"/>
      <c r="AM463" s="433"/>
    </row>
    <row r="464">
      <c r="A464" s="488" t="s">
        <v>193</v>
      </c>
      <c r="B464" s="489" t="s">
        <v>194</v>
      </c>
      <c r="C464" s="489" t="s">
        <v>195</v>
      </c>
      <c r="D464" s="490" t="s">
        <v>196</v>
      </c>
      <c r="E464" s="491" t="s">
        <v>197</v>
      </c>
      <c r="F464" s="491" t="s">
        <v>198</v>
      </c>
      <c r="G464" s="492" t="s">
        <v>256</v>
      </c>
      <c r="H464" s="493" t="s">
        <v>260</v>
      </c>
      <c r="I464" s="519" t="s">
        <v>199</v>
      </c>
      <c r="J464" s="490" t="s">
        <v>200</v>
      </c>
      <c r="K464" s="390" t="s">
        <v>201</v>
      </c>
      <c r="L464" s="390" t="s">
        <v>202</v>
      </c>
      <c r="M464" s="390" t="s">
        <v>203</v>
      </c>
      <c r="N464" s="492" t="s">
        <v>204</v>
      </c>
      <c r="O464" s="390" t="s">
        <v>205</v>
      </c>
      <c r="P464" s="391" t="s">
        <v>206</v>
      </c>
      <c r="Q464" s="391" t="s">
        <v>207</v>
      </c>
      <c r="R464" s="391" t="s">
        <v>208</v>
      </c>
      <c r="S464" s="494" t="s">
        <v>209</v>
      </c>
      <c r="T464" s="494" t="s">
        <v>210</v>
      </c>
      <c r="U464" s="391" t="s">
        <v>211</v>
      </c>
      <c r="V464" s="494" t="s">
        <v>212</v>
      </c>
      <c r="W464" s="494" t="s">
        <v>213</v>
      </c>
      <c r="X464" s="391" t="s">
        <v>214</v>
      </c>
      <c r="Y464" s="494" t="s">
        <v>215</v>
      </c>
      <c r="Z464" s="391" t="s">
        <v>216</v>
      </c>
      <c r="AA464" s="495" t="s">
        <v>217</v>
      </c>
      <c r="AB464" s="495" t="s">
        <v>218</v>
      </c>
      <c r="AC464" s="495" t="s">
        <v>219</v>
      </c>
      <c r="AD464" s="456" t="s">
        <v>220</v>
      </c>
      <c r="AE464" s="301" t="s">
        <v>221</v>
      </c>
      <c r="AF464" s="301" t="s">
        <v>222</v>
      </c>
      <c r="AG464" s="301" t="s">
        <v>223</v>
      </c>
      <c r="AH464" s="301" t="s">
        <v>224</v>
      </c>
      <c r="AI464" s="301" t="s">
        <v>225</v>
      </c>
      <c r="AJ464" s="302" t="s">
        <v>226</v>
      </c>
      <c r="AK464" s="302" t="s">
        <v>227</v>
      </c>
      <c r="AL464" s="302" t="s">
        <v>228</v>
      </c>
      <c r="AM464" s="433"/>
    </row>
    <row r="465">
      <c r="A465" s="512" t="s">
        <v>289</v>
      </c>
      <c r="B465" s="334" t="s">
        <v>230</v>
      </c>
      <c r="C465" s="513" t="s">
        <v>240</v>
      </c>
      <c r="D465" s="513">
        <f t="shared" ref="D465:D469" si="439">E465+F465+G465+H465</f>
      </c>
      <c r="E465" s="305">
        <v>984.45</v>
      </c>
      <c r="F465" s="326">
        <v>747.08</v>
      </c>
      <c r="G465" s="304"/>
      <c r="H465" s="305">
        <v>1154.4</v>
      </c>
      <c r="I465" s="334">
        <v>1</v>
      </c>
      <c r="J465" s="304">
        <v>2268</v>
      </c>
      <c r="K465" s="325">
        <v>0</v>
      </c>
      <c r="L465" s="326">
        <v>0</v>
      </c>
      <c r="M465" s="326">
        <v>1</v>
      </c>
      <c r="N465" s="497">
        <f t="shared" ref="N465:N475" si="357">J465/D465</f>
      </c>
      <c r="O465" s="497">
        <f t="shared" ref="O465:O475" si="283">J465/(D465+300*AL465)</f>
      </c>
      <c r="P465" s="498">
        <f t="shared" ref="P465:P475" si="221">(D465/AE465)*1000</f>
      </c>
      <c r="Q465" s="405">
        <f t="shared" ref="Q465:Q475" si="128">AF465/AE465</f>
      </c>
      <c r="R465" s="406">
        <f t="shared" ref="R465:R475" si="66">D465/AG465</f>
      </c>
      <c r="S465" s="405">
        <f t="shared" ref="S465:S475" si="159">AH465/AG465</f>
      </c>
      <c r="T465" s="405">
        <f t="shared" ref="T465:T475" si="35">AI465/AG465</f>
      </c>
      <c r="U465" s="406">
        <f t="shared" ref="U465:U475" si="520">D465/AI465</f>
      </c>
      <c r="V465" s="405">
        <f t="shared" ref="V465:V475" si="489">AJ465/AI465</f>
      </c>
      <c r="W465" s="405">
        <f t="shared" ref="W465:W475" si="388">I465/AJ465</f>
      </c>
      <c r="X465" s="406">
        <f t="shared" ref="X465:X475" si="314">D465/I465</f>
      </c>
      <c r="Y465" s="410">
        <f t="shared" ref="Y465:Y475" si="252">J465/I465</f>
      </c>
      <c r="Z465" s="406">
        <f t="shared" ref="Z465:Z475" si="190">D465/AD465</f>
      </c>
      <c r="AA465" s="499">
        <f t="shared" ref="AA465:AA475" si="97">AK465*1000/D465</f>
      </c>
      <c r="AB465" s="500" t="s">
        <v>232</v>
      </c>
      <c r="AC465" s="526" t="s">
        <v>290</v>
      </c>
      <c r="AD465" s="334">
        <v>1</v>
      </c>
      <c r="AE465" s="304">
        <v>5527</v>
      </c>
      <c r="AF465" s="304">
        <v>339</v>
      </c>
      <c r="AG465" s="304">
        <v>428</v>
      </c>
      <c r="AH465" s="304">
        <v>63</v>
      </c>
      <c r="AI465" s="334">
        <v>34</v>
      </c>
      <c r="AJ465" s="325">
        <v>5</v>
      </c>
      <c r="AK465" s="326">
        <v>14</v>
      </c>
      <c r="AL465" s="365">
        <v>1</v>
      </c>
      <c r="AM465" s="434"/>
    </row>
    <row r="466">
      <c r="A466" s="496"/>
      <c r="B466" s="401" t="s">
        <v>234</v>
      </c>
      <c r="C466" s="513" t="s">
        <v>240</v>
      </c>
      <c r="D466" s="334">
        <f t="shared" si="439"/>
      </c>
      <c r="E466" s="325">
        <v>1219.6</v>
      </c>
      <c r="F466" s="342">
        <v>281.79</v>
      </c>
      <c r="G466" s="334"/>
      <c r="H466" s="326">
        <v>1050.38</v>
      </c>
      <c r="I466" s="333">
        <v>3</v>
      </c>
      <c r="J466" s="333">
        <v>5484</v>
      </c>
      <c r="K466" s="326">
        <v>0</v>
      </c>
      <c r="L466" s="326">
        <v>1</v>
      </c>
      <c r="M466" s="326">
        <v>2</v>
      </c>
      <c r="N466" s="497">
        <f t="shared" si="357"/>
      </c>
      <c r="O466" s="497">
        <f t="shared" si="283"/>
      </c>
      <c r="P466" s="498">
        <f t="shared" si="221"/>
      </c>
      <c r="Q466" s="405">
        <f t="shared" si="128"/>
      </c>
      <c r="R466" s="406">
        <f t="shared" si="66"/>
      </c>
      <c r="S466" s="405">
        <f t="shared" si="159"/>
      </c>
      <c r="T466" s="405">
        <f t="shared" si="35"/>
      </c>
      <c r="U466" s="406">
        <f t="shared" si="520"/>
      </c>
      <c r="V466" s="405">
        <f t="shared" si="489"/>
      </c>
      <c r="W466" s="405">
        <f t="shared" si="388"/>
      </c>
      <c r="X466" s="406">
        <f t="shared" si="314"/>
      </c>
      <c r="Y466" s="410">
        <f t="shared" si="252"/>
      </c>
      <c r="Z466" s="406">
        <f t="shared" si="190"/>
      </c>
      <c r="AA466" s="499">
        <f t="shared" si="97"/>
      </c>
      <c r="AB466" s="500" t="s">
        <v>232</v>
      </c>
      <c r="AC466" s="526" t="s">
        <v>290</v>
      </c>
      <c r="AD466" s="334">
        <v>3</v>
      </c>
      <c r="AE466" s="412">
        <v>4580</v>
      </c>
      <c r="AF466" s="304">
        <v>236</v>
      </c>
      <c r="AG466" s="333">
        <v>302</v>
      </c>
      <c r="AH466" s="334">
        <v>69</v>
      </c>
      <c r="AI466" s="334">
        <v>32</v>
      </c>
      <c r="AJ466" s="416">
        <v>7</v>
      </c>
      <c r="AK466" s="417">
        <v>14</v>
      </c>
      <c r="AL466" s="310">
        <v>1</v>
      </c>
      <c r="AM466" s="434"/>
    </row>
    <row r="467">
      <c r="A467" s="496"/>
      <c r="B467" s="401" t="s">
        <v>235</v>
      </c>
      <c r="C467" s="334" t="s">
        <v>240</v>
      </c>
      <c r="D467" s="304">
        <f t="shared" si="439"/>
      </c>
      <c r="E467" s="325">
        <v>1600.22</v>
      </c>
      <c r="F467" s="325">
        <v>349.21</v>
      </c>
      <c r="G467" s="334"/>
      <c r="H467" s="326">
        <v>1115.4</v>
      </c>
      <c r="I467" s="334">
        <v>2</v>
      </c>
      <c r="J467" s="334">
        <v>897</v>
      </c>
      <c r="K467" s="326">
        <v>2</v>
      </c>
      <c r="L467" s="326">
        <v>0</v>
      </c>
      <c r="M467" s="326">
        <v>0</v>
      </c>
      <c r="N467" s="497">
        <f t="shared" si="357"/>
      </c>
      <c r="O467" s="497">
        <f t="shared" si="283"/>
      </c>
      <c r="P467" s="498">
        <f t="shared" si="221"/>
      </c>
      <c r="Q467" s="405">
        <f t="shared" si="128"/>
      </c>
      <c r="R467" s="406">
        <f t="shared" si="66"/>
      </c>
      <c r="S467" s="405">
        <f t="shared" si="159"/>
      </c>
      <c r="T467" s="405">
        <f t="shared" si="35"/>
      </c>
      <c r="U467" s="406">
        <f t="shared" si="520"/>
      </c>
      <c r="V467" s="405">
        <f t="shared" si="489"/>
      </c>
      <c r="W467" s="405">
        <f t="shared" si="388"/>
      </c>
      <c r="X467" s="406">
        <f t="shared" si="314"/>
      </c>
      <c r="Y467" s="410">
        <f t="shared" si="252"/>
      </c>
      <c r="Z467" s="406">
        <f t="shared" si="190"/>
      </c>
      <c r="AA467" s="499">
        <f t="shared" si="97"/>
      </c>
      <c r="AB467" s="500" t="s">
        <v>232</v>
      </c>
      <c r="AC467" s="526" t="s">
        <v>290</v>
      </c>
      <c r="AD467" s="334">
        <v>2</v>
      </c>
      <c r="AE467" s="304">
        <v>4451</v>
      </c>
      <c r="AF467" s="304">
        <v>220</v>
      </c>
      <c r="AG467" s="334">
        <v>290</v>
      </c>
      <c r="AH467" s="334">
        <v>60</v>
      </c>
      <c r="AI467" s="334">
        <v>37</v>
      </c>
      <c r="AJ467" s="416">
        <v>4</v>
      </c>
      <c r="AK467" s="417">
        <v>17</v>
      </c>
      <c r="AL467" s="310">
        <v>1</v>
      </c>
      <c r="AM467" s="434"/>
    </row>
    <row r="468">
      <c r="A468" s="496"/>
      <c r="B468" s="401" t="s">
        <v>236</v>
      </c>
      <c r="C468" s="333" t="s">
        <v>240</v>
      </c>
      <c r="D468" s="304">
        <f t="shared" si="439"/>
      </c>
      <c r="E468" s="325">
        <v>1960.68</v>
      </c>
      <c r="F468" s="325">
        <v>403.22</v>
      </c>
      <c r="G468" s="334"/>
      <c r="H468" s="326">
        <v>1518.14</v>
      </c>
      <c r="I468" s="334">
        <v>2</v>
      </c>
      <c r="J468" s="334">
        <v>4536</v>
      </c>
      <c r="K468" s="326">
        <v>0</v>
      </c>
      <c r="L468" s="326">
        <v>0</v>
      </c>
      <c r="M468" s="326">
        <v>2</v>
      </c>
      <c r="N468" s="497">
        <f t="shared" si="357"/>
      </c>
      <c r="O468" s="497">
        <f t="shared" si="283"/>
      </c>
      <c r="P468" s="498">
        <f t="shared" si="221"/>
      </c>
      <c r="Q468" s="405">
        <f t="shared" si="128"/>
      </c>
      <c r="R468" s="406">
        <f t="shared" si="66"/>
      </c>
      <c r="S468" s="405">
        <f t="shared" si="159"/>
      </c>
      <c r="T468" s="405">
        <f t="shared" si="35"/>
      </c>
      <c r="U468" s="406">
        <f t="shared" si="520"/>
      </c>
      <c r="V468" s="405">
        <f t="shared" si="489"/>
      </c>
      <c r="W468" s="405">
        <f t="shared" si="388"/>
      </c>
      <c r="X468" s="406">
        <f t="shared" si="314"/>
      </c>
      <c r="Y468" s="410">
        <f t="shared" si="252"/>
      </c>
      <c r="Z468" s="406">
        <f t="shared" si="190"/>
      </c>
      <c r="AA468" s="499">
        <f t="shared" si="97"/>
      </c>
      <c r="AB468" s="500" t="s">
        <v>232</v>
      </c>
      <c r="AC468" s="526" t="s">
        <v>290</v>
      </c>
      <c r="AD468" s="412">
        <v>2</v>
      </c>
      <c r="AE468" s="333">
        <v>7020</v>
      </c>
      <c r="AF468" s="334">
        <v>284</v>
      </c>
      <c r="AG468" s="334">
        <v>345</v>
      </c>
      <c r="AH468" s="334">
        <v>73</v>
      </c>
      <c r="AI468" s="334">
        <v>34</v>
      </c>
      <c r="AJ468" s="416">
        <v>4</v>
      </c>
      <c r="AK468" s="417">
        <v>16</v>
      </c>
      <c r="AL468" s="310">
        <v>1</v>
      </c>
      <c r="AM468" s="434"/>
    </row>
    <row r="469">
      <c r="A469" s="496"/>
      <c r="B469" s="334" t="s">
        <v>237</v>
      </c>
      <c r="C469" s="333" t="s">
        <v>240</v>
      </c>
      <c r="D469" s="304">
        <f t="shared" si="439"/>
      </c>
      <c r="E469" s="326">
        <v>1151.58</v>
      </c>
      <c r="F469" s="325">
        <v>603.97</v>
      </c>
      <c r="G469" s="334"/>
      <c r="H469" s="326">
        <v>796.19</v>
      </c>
      <c r="I469" s="334">
        <v>2</v>
      </c>
      <c r="J469" s="334">
        <v>4536</v>
      </c>
      <c r="K469" s="326">
        <v>0</v>
      </c>
      <c r="L469" s="326">
        <v>0</v>
      </c>
      <c r="M469" s="326">
        <v>2</v>
      </c>
      <c r="N469" s="497">
        <f t="shared" si="357"/>
      </c>
      <c r="O469" s="497">
        <f t="shared" si="283"/>
      </c>
      <c r="P469" s="498">
        <f t="shared" si="221"/>
      </c>
      <c r="Q469" s="405">
        <f t="shared" si="128"/>
      </c>
      <c r="R469" s="406">
        <f t="shared" si="66"/>
      </c>
      <c r="S469" s="405">
        <f t="shared" si="159"/>
      </c>
      <c r="T469" s="405">
        <f t="shared" si="35"/>
      </c>
      <c r="U469" s="406">
        <f t="shared" si="520"/>
      </c>
      <c r="V469" s="405">
        <f t="shared" si="489"/>
      </c>
      <c r="W469" s="405">
        <f t="shared" si="388"/>
      </c>
      <c r="X469" s="406">
        <f t="shared" si="314"/>
      </c>
      <c r="Y469" s="410">
        <f t="shared" si="252"/>
      </c>
      <c r="Z469" s="406">
        <f t="shared" si="190"/>
      </c>
      <c r="AA469" s="499">
        <f t="shared" si="97"/>
      </c>
      <c r="AB469" s="500" t="s">
        <v>232</v>
      </c>
      <c r="AC469" s="526" t="s">
        <v>290</v>
      </c>
      <c r="AD469" s="412">
        <v>2</v>
      </c>
      <c r="AE469" s="333">
        <v>6334</v>
      </c>
      <c r="AF469" s="334">
        <v>290</v>
      </c>
      <c r="AG469" s="334">
        <v>395</v>
      </c>
      <c r="AH469" s="334">
        <v>73</v>
      </c>
      <c r="AI469" s="334">
        <v>39</v>
      </c>
      <c r="AJ469" s="335">
        <v>4</v>
      </c>
      <c r="AK469" s="417">
        <v>18</v>
      </c>
      <c r="AL469" s="310">
        <v>1</v>
      </c>
      <c r="AM469" s="434"/>
    </row>
    <row r="470">
      <c r="A470" s="496"/>
      <c r="B470" s="501" t="s">
        <v>238</v>
      </c>
      <c r="C470" s="501"/>
      <c r="D470" s="501">
        <f>SUM(D465:D469)</f>
      </c>
      <c r="E470" s="501">
        <f>SUM(E465:E469)</f>
      </c>
      <c r="F470" s="501">
        <f>SUM(F465:F469)</f>
      </c>
      <c r="G470" s="501">
        <f>SUM(G465:G469)</f>
      </c>
      <c r="H470" s="501">
        <f>SUM(H465:H469)</f>
      </c>
      <c r="I470" s="501">
        <f>SUM(I465:I469)</f>
      </c>
      <c r="J470" s="501">
        <f>SUM(J465:J469)</f>
      </c>
      <c r="K470" s="501">
        <f>SUM(K465:K469)</f>
      </c>
      <c r="L470" s="501">
        <f>SUM(L465:L469)</f>
      </c>
      <c r="M470" s="501">
        <f>SUM(M465:M469)</f>
      </c>
      <c r="N470" s="502">
        <f t="shared" si="357"/>
      </c>
      <c r="O470" s="502">
        <f t="shared" si="283"/>
      </c>
      <c r="P470" s="503">
        <f t="shared" si="221"/>
      </c>
      <c r="Q470" s="504">
        <f t="shared" si="128"/>
      </c>
      <c r="R470" s="505">
        <f t="shared" si="66"/>
      </c>
      <c r="S470" s="504">
        <f t="shared" si="159"/>
      </c>
      <c r="T470" s="504">
        <f t="shared" si="35"/>
      </c>
      <c r="U470" s="505">
        <f t="shared" si="520"/>
      </c>
      <c r="V470" s="504">
        <f t="shared" si="489"/>
      </c>
      <c r="W470" s="504">
        <f t="shared" si="388"/>
      </c>
      <c r="X470" s="505">
        <f t="shared" si="314"/>
      </c>
      <c r="Y470" s="506">
        <f t="shared" si="252"/>
      </c>
      <c r="Z470" s="505">
        <f t="shared" si="190"/>
      </c>
      <c r="AA470" s="507">
        <f t="shared" si="97"/>
      </c>
      <c r="AB470" s="507"/>
      <c r="AC470" s="507"/>
      <c r="AD470" s="347">
        <f>SUM(AD465:AD469)</f>
      </c>
      <c r="AE470" s="347">
        <f>SUM(AE465:AE469)</f>
      </c>
      <c r="AF470" s="347">
        <f>SUM(AF465:AF469)</f>
      </c>
      <c r="AG470" s="347">
        <f>SUM(AG465:AG469)</f>
      </c>
      <c r="AH470" s="347">
        <f>SUM(AH465:AH469)</f>
      </c>
      <c r="AI470" s="347">
        <f>SUM(AI465:AI469)</f>
      </c>
      <c r="AJ470" s="347">
        <f>SUM(AJ465:AJ469)</f>
      </c>
      <c r="AK470" s="347">
        <f>SUM(AK465:AK469)</f>
      </c>
      <c r="AL470" s="347">
        <f>SUM(AL465:AL469)</f>
      </c>
      <c r="AM470" s="434"/>
    </row>
    <row r="471">
      <c r="A471" s="496"/>
      <c r="B471" s="333" t="s">
        <v>239</v>
      </c>
      <c r="C471" s="334" t="s">
        <v>291</v>
      </c>
      <c r="D471" s="334">
        <f t="shared" ref="D471:D473" si="440">E471+F471+G471+H471</f>
      </c>
      <c r="E471" s="326">
        <v>2921.06</v>
      </c>
      <c r="F471" s="325">
        <v>665.28</v>
      </c>
      <c r="G471" s="334"/>
      <c r="H471" s="326">
        <v>1044.56</v>
      </c>
      <c r="I471" s="334">
        <v>4</v>
      </c>
      <c r="J471" s="334">
        <v>7272</v>
      </c>
      <c r="K471" s="326">
        <v>1</v>
      </c>
      <c r="L471" s="326">
        <v>0</v>
      </c>
      <c r="M471" s="326">
        <v>3</v>
      </c>
      <c r="N471" s="497">
        <f t="shared" si="357"/>
      </c>
      <c r="O471" s="497">
        <f t="shared" si="283"/>
      </c>
      <c r="P471" s="498">
        <f t="shared" si="221"/>
      </c>
      <c r="Q471" s="405">
        <f t="shared" si="128"/>
      </c>
      <c r="R471" s="406">
        <f t="shared" si="66"/>
      </c>
      <c r="S471" s="405">
        <f t="shared" si="159"/>
      </c>
      <c r="T471" s="405">
        <f t="shared" si="35"/>
      </c>
      <c r="U471" s="406">
        <f t="shared" si="520"/>
      </c>
      <c r="V471" s="405">
        <f t="shared" si="489"/>
      </c>
      <c r="W471" s="405">
        <f t="shared" si="388"/>
      </c>
      <c r="X471" s="406">
        <f t="shared" si="314"/>
      </c>
      <c r="Y471" s="410">
        <f t="shared" si="252"/>
      </c>
      <c r="Z471" s="406">
        <f t="shared" si="190"/>
      </c>
      <c r="AA471" s="499">
        <f t="shared" si="97"/>
      </c>
      <c r="AB471" s="500" t="s">
        <v>232</v>
      </c>
      <c r="AC471" s="526" t="s">
        <v>290</v>
      </c>
      <c r="AD471" s="402">
        <v>4</v>
      </c>
      <c r="AE471" s="365">
        <v>9152</v>
      </c>
      <c r="AF471" s="365">
        <v>389</v>
      </c>
      <c r="AG471" s="365">
        <v>516</v>
      </c>
      <c r="AH471" s="365">
        <v>121</v>
      </c>
      <c r="AI471" s="365">
        <v>48</v>
      </c>
      <c r="AJ471" s="310">
        <v>7</v>
      </c>
      <c r="AK471" s="310">
        <v>27</v>
      </c>
      <c r="AL471" s="310">
        <v>1</v>
      </c>
      <c r="AM471" s="434"/>
    </row>
    <row r="472">
      <c r="A472" s="496"/>
      <c r="B472" s="334" t="s">
        <v>241</v>
      </c>
      <c r="C472" s="334" t="s">
        <v>291</v>
      </c>
      <c r="D472" s="513">
        <f t="shared" si="440"/>
      </c>
      <c r="E472" s="527">
        <v>3973.53</v>
      </c>
      <c r="F472" s="325">
        <v>268.77</v>
      </c>
      <c r="G472" s="334"/>
      <c r="H472" s="326">
        <v>413.01</v>
      </c>
      <c r="I472" s="334">
        <v>3</v>
      </c>
      <c r="J472" s="334">
        <v>6804</v>
      </c>
      <c r="K472" s="326">
        <v>0</v>
      </c>
      <c r="L472" s="326">
        <v>0</v>
      </c>
      <c r="M472" s="326">
        <v>3</v>
      </c>
      <c r="N472" s="497">
        <f t="shared" si="357"/>
      </c>
      <c r="O472" s="497">
        <f t="shared" si="283"/>
      </c>
      <c r="P472" s="498">
        <f t="shared" si="221"/>
      </c>
      <c r="Q472" s="405">
        <f t="shared" si="128"/>
      </c>
      <c r="R472" s="406">
        <f t="shared" si="66"/>
      </c>
      <c r="S472" s="405">
        <f t="shared" si="159"/>
      </c>
      <c r="T472" s="405">
        <f t="shared" si="35"/>
      </c>
      <c r="U472" s="406">
        <f t="shared" si="520"/>
      </c>
      <c r="V472" s="405">
        <f t="shared" si="489"/>
      </c>
      <c r="W472" s="405">
        <f t="shared" si="388"/>
      </c>
      <c r="X472" s="406">
        <f t="shared" si="314"/>
      </c>
      <c r="Y472" s="410">
        <f t="shared" si="252"/>
      </c>
      <c r="Z472" s="406">
        <f t="shared" si="190"/>
      </c>
      <c r="AA472" s="499">
        <f t="shared" si="97"/>
      </c>
      <c r="AB472" s="500" t="s">
        <v>232</v>
      </c>
      <c r="AC472" s="526" t="s">
        <v>290</v>
      </c>
      <c r="AD472" s="402">
        <v>3</v>
      </c>
      <c r="AE472" s="365">
        <v>8690</v>
      </c>
      <c r="AF472" s="365">
        <v>321</v>
      </c>
      <c r="AG472" s="365">
        <v>466</v>
      </c>
      <c r="AH472" s="365">
        <v>89</v>
      </c>
      <c r="AI472" s="365">
        <v>30</v>
      </c>
      <c r="AJ472" s="365">
        <v>5</v>
      </c>
      <c r="AK472" s="365">
        <v>19</v>
      </c>
      <c r="AL472" s="310">
        <v>1</v>
      </c>
      <c r="AM472" s="434"/>
    </row>
    <row customHeight="true" ht="18.452380952380953" r="473">
      <c r="A473" s="496"/>
      <c r="B473" s="326" t="s">
        <v>242</v>
      </c>
      <c r="C473" s="334" t="s">
        <v>291</v>
      </c>
      <c r="D473" s="513">
        <f t="shared" si="440"/>
      </c>
      <c r="E473" s="527">
        <v>3939.86</v>
      </c>
      <c r="F473" s="325">
        <v>155.77</v>
      </c>
      <c r="G473" s="334"/>
      <c r="H473" s="326">
        <v>281.62</v>
      </c>
      <c r="I473" s="334">
        <v>5</v>
      </c>
      <c r="J473" s="334">
        <v>8700</v>
      </c>
      <c r="K473" s="528">
        <v>0</v>
      </c>
      <c r="L473" s="326">
        <v>2</v>
      </c>
      <c r="M473" s="326">
        <v>3</v>
      </c>
      <c r="N473" s="497">
        <f t="shared" si="357"/>
      </c>
      <c r="O473" s="497">
        <f t="shared" si="283"/>
      </c>
      <c r="P473" s="498">
        <f t="shared" si="221"/>
      </c>
      <c r="Q473" s="405">
        <f t="shared" si="128"/>
      </c>
      <c r="R473" s="406">
        <f t="shared" si="66"/>
      </c>
      <c r="S473" s="405">
        <f t="shared" si="159"/>
      </c>
      <c r="T473" s="405">
        <f t="shared" si="35"/>
      </c>
      <c r="U473" s="406">
        <f t="shared" si="520"/>
      </c>
      <c r="V473" s="405">
        <f t="shared" si="489"/>
      </c>
      <c r="W473" s="405">
        <f t="shared" si="388"/>
      </c>
      <c r="X473" s="406">
        <f t="shared" si="314"/>
      </c>
      <c r="Y473" s="410">
        <f t="shared" si="252"/>
      </c>
      <c r="Z473" s="406">
        <f t="shared" si="190"/>
      </c>
      <c r="AA473" s="499">
        <f t="shared" si="97"/>
      </c>
      <c r="AB473" s="500" t="s">
        <v>232</v>
      </c>
      <c r="AC473" s="526" t="s">
        <v>290</v>
      </c>
      <c r="AD473" s="402">
        <v>4</v>
      </c>
      <c r="AE473" s="365">
        <v>9997</v>
      </c>
      <c r="AF473" s="365">
        <v>338</v>
      </c>
      <c r="AG473" s="365">
        <v>474</v>
      </c>
      <c r="AH473" s="365">
        <v>110</v>
      </c>
      <c r="AI473" s="365">
        <v>35</v>
      </c>
      <c r="AJ473" s="365">
        <v>11</v>
      </c>
      <c r="AK473" s="365">
        <v>18</v>
      </c>
      <c r="AL473" s="310">
        <v>1</v>
      </c>
      <c r="AM473" s="434"/>
    </row>
    <row r="474">
      <c r="A474" s="496"/>
      <c r="B474" s="501" t="s">
        <v>238</v>
      </c>
      <c r="C474" s="501"/>
      <c r="D474" s="501">
        <f>SUM(D471:D473)</f>
      </c>
      <c r="E474" s="501">
        <f>SUM(E471:E473)</f>
      </c>
      <c r="F474" s="501">
        <f>SUM(F471:F473)</f>
      </c>
      <c r="G474" s="501">
        <f>SUM(G471:G473)</f>
      </c>
      <c r="H474" s="501">
        <f>SUM(H471:H473)</f>
      </c>
      <c r="I474" s="501">
        <f>SUM(I471:I473)</f>
      </c>
      <c r="J474" s="501">
        <f>SUM(J471:J473)</f>
      </c>
      <c r="K474" s="501">
        <f>SUM(K471:K473)</f>
      </c>
      <c r="L474" s="501">
        <f>SUM(L471:L473)</f>
      </c>
      <c r="M474" s="501">
        <f>SUM(M471:M473)</f>
      </c>
      <c r="N474" s="502">
        <f t="shared" si="357"/>
      </c>
      <c r="O474" s="502">
        <f t="shared" si="283"/>
      </c>
      <c r="P474" s="508">
        <f t="shared" si="221"/>
      </c>
      <c r="Q474" s="504">
        <f t="shared" si="128"/>
      </c>
      <c r="R474" s="505">
        <f t="shared" si="66"/>
      </c>
      <c r="S474" s="504">
        <f t="shared" si="159"/>
      </c>
      <c r="T474" s="504">
        <f t="shared" si="35"/>
      </c>
      <c r="U474" s="505">
        <f t="shared" si="520"/>
      </c>
      <c r="V474" s="504">
        <f t="shared" si="489"/>
      </c>
      <c r="W474" s="504">
        <f t="shared" si="388"/>
      </c>
      <c r="X474" s="505">
        <f t="shared" si="314"/>
      </c>
      <c r="Y474" s="506">
        <f t="shared" si="252"/>
      </c>
      <c r="Z474" s="505">
        <f t="shared" si="190"/>
      </c>
      <c r="AA474" s="507">
        <f t="shared" si="97"/>
      </c>
      <c r="AB474" s="507"/>
      <c r="AC474" s="523"/>
      <c r="AD474" s="529">
        <f>SUM(AD471:AD473)</f>
      </c>
      <c r="AE474" s="529">
        <f>SUM(AE471:AE473)</f>
      </c>
      <c r="AF474" s="529">
        <f>SUM(AF471:AF473)</f>
      </c>
      <c r="AG474" s="529">
        <f>SUM(AG471:AG473)</f>
      </c>
      <c r="AH474" s="529">
        <f>SUM(AH471:AH473)</f>
      </c>
      <c r="AI474" s="529">
        <f>SUM(AI471:AI473)</f>
      </c>
      <c r="AJ474" s="529">
        <f>SUM(AJ471:AJ473)</f>
      </c>
      <c r="AK474" s="529">
        <f>SUM(AK471:AK473)</f>
      </c>
      <c r="AL474" s="529">
        <f>SUM(AL471:AL473)</f>
      </c>
      <c r="AM474" s="478" t="s">
        <v>288</v>
      </c>
    </row>
    <row r="475">
      <c r="A475" s="496"/>
      <c r="B475" s="373" t="s">
        <v>250</v>
      </c>
      <c r="C475" s="373"/>
      <c r="D475" s="373">
        <f>D470+D474</f>
      </c>
      <c r="E475" s="373">
        <f>E470+E474</f>
      </c>
      <c r="F475" s="373">
        <f>F470+F474</f>
      </c>
      <c r="G475" s="373">
        <f>G470+G474</f>
      </c>
      <c r="H475" s="373">
        <f>H470+H474</f>
      </c>
      <c r="I475" s="373">
        <f>I470+I474</f>
      </c>
      <c r="J475" s="373">
        <f>J470+J474</f>
      </c>
      <c r="K475" s="373">
        <f>K470+K474</f>
      </c>
      <c r="L475" s="373">
        <f>L470+L474</f>
      </c>
      <c r="M475" s="373">
        <f>M470+M474</f>
      </c>
      <c r="N475" s="427">
        <f t="shared" si="357"/>
      </c>
      <c r="O475" s="427">
        <f t="shared" si="283"/>
      </c>
      <c r="P475" s="509">
        <f t="shared" si="221"/>
      </c>
      <c r="Q475" s="510">
        <f t="shared" si="128"/>
      </c>
      <c r="R475" s="427">
        <f t="shared" si="66"/>
      </c>
      <c r="S475" s="510">
        <f t="shared" si="159"/>
      </c>
      <c r="T475" s="510">
        <f t="shared" si="35"/>
      </c>
      <c r="U475" s="427">
        <f t="shared" si="520"/>
      </c>
      <c r="V475" s="510">
        <f t="shared" si="489"/>
      </c>
      <c r="W475" s="510">
        <f t="shared" si="388"/>
      </c>
      <c r="X475" s="427">
        <f t="shared" si="314"/>
      </c>
      <c r="Y475" s="511">
        <f t="shared" si="252"/>
      </c>
      <c r="Z475" s="427">
        <f t="shared" si="190"/>
      </c>
      <c r="AA475" s="509">
        <f t="shared" si="97"/>
      </c>
      <c r="AB475" s="509"/>
      <c r="AC475" s="509"/>
      <c r="AD475" s="484">
        <f>AD470+AD474</f>
      </c>
      <c r="AE475" s="484">
        <f>AE470+AE474</f>
      </c>
      <c r="AF475" s="484">
        <f>AF470+AF474</f>
      </c>
      <c r="AG475" s="484">
        <f>AG470+AG474</f>
      </c>
      <c r="AH475" s="484">
        <f>AH470+AH474</f>
      </c>
      <c r="AI475" s="484">
        <f>AI470+AI474</f>
      </c>
      <c r="AJ475" s="484">
        <f>AJ470+AJ474</f>
      </c>
      <c r="AK475" s="484">
        <f>AK470+AK474</f>
      </c>
      <c r="AL475" s="484">
        <f>AL470+AL474</f>
      </c>
      <c r="AM475" s="478"/>
    </row>
    <row r="476">
      <c r="A476" s="389" t="s">
        <v>189</v>
      </c>
      <c r="B476" s="389"/>
      <c r="C476" s="389"/>
      <c r="D476" s="487" t="s">
        <v>190</v>
      </c>
      <c r="E476" s="487"/>
      <c r="F476" s="487"/>
      <c r="G476" s="487"/>
      <c r="H476" s="487"/>
      <c r="I476" s="487"/>
      <c r="J476" s="487"/>
      <c r="K476" s="487"/>
      <c r="L476" s="487"/>
      <c r="M476" s="487"/>
      <c r="N476" s="487"/>
      <c r="O476" s="487"/>
      <c r="P476" s="391" t="s">
        <v>191</v>
      </c>
      <c r="Q476" s="391"/>
      <c r="R476" s="391"/>
      <c r="S476" s="391"/>
      <c r="T476" s="391"/>
      <c r="U476" s="391"/>
      <c r="V476" s="391"/>
      <c r="W476" s="391"/>
      <c r="X476" s="391"/>
      <c r="Y476" s="391"/>
      <c r="Z476" s="391"/>
      <c r="AA476" s="391"/>
      <c r="AB476" s="391"/>
      <c r="AC476" s="391"/>
      <c r="AD476" s="447" t="s">
        <v>192</v>
      </c>
      <c r="AE476" s="447"/>
      <c r="AF476" s="447"/>
      <c r="AG476" s="447"/>
      <c r="AH476" s="447"/>
      <c r="AI476" s="447"/>
      <c r="AJ476" s="447"/>
      <c r="AK476" s="447"/>
      <c r="AL476" s="447"/>
      <c r="AM476" s="433"/>
    </row>
    <row r="477">
      <c r="A477" s="488" t="s">
        <v>193</v>
      </c>
      <c r="B477" s="489" t="s">
        <v>194</v>
      </c>
      <c r="C477" s="489" t="s">
        <v>195</v>
      </c>
      <c r="D477" s="490" t="s">
        <v>196</v>
      </c>
      <c r="E477" s="491" t="s">
        <v>197</v>
      </c>
      <c r="F477" s="491" t="s">
        <v>198</v>
      </c>
      <c r="G477" s="492" t="s">
        <v>256</v>
      </c>
      <c r="H477" s="493" t="s">
        <v>260</v>
      </c>
      <c r="I477" s="519" t="s">
        <v>199</v>
      </c>
      <c r="J477" s="490" t="s">
        <v>200</v>
      </c>
      <c r="K477" s="390" t="s">
        <v>201</v>
      </c>
      <c r="L477" s="390" t="s">
        <v>202</v>
      </c>
      <c r="M477" s="390" t="s">
        <v>203</v>
      </c>
      <c r="N477" s="492" t="s">
        <v>204</v>
      </c>
      <c r="O477" s="390" t="s">
        <v>205</v>
      </c>
      <c r="P477" s="391" t="s">
        <v>206</v>
      </c>
      <c r="Q477" s="391" t="s">
        <v>207</v>
      </c>
      <c r="R477" s="391" t="s">
        <v>208</v>
      </c>
      <c r="S477" s="494" t="s">
        <v>209</v>
      </c>
      <c r="T477" s="494" t="s">
        <v>210</v>
      </c>
      <c r="U477" s="391" t="s">
        <v>211</v>
      </c>
      <c r="V477" s="494" t="s">
        <v>212</v>
      </c>
      <c r="W477" s="494" t="s">
        <v>213</v>
      </c>
      <c r="X477" s="391" t="s">
        <v>214</v>
      </c>
      <c r="Y477" s="494" t="s">
        <v>215</v>
      </c>
      <c r="Z477" s="391" t="s">
        <v>216</v>
      </c>
      <c r="AA477" s="495" t="s">
        <v>217</v>
      </c>
      <c r="AB477" s="495" t="s">
        <v>218</v>
      </c>
      <c r="AC477" s="495" t="s">
        <v>219</v>
      </c>
      <c r="AD477" s="456" t="s">
        <v>220</v>
      </c>
      <c r="AE477" s="301" t="s">
        <v>221</v>
      </c>
      <c r="AF477" s="301" t="s">
        <v>222</v>
      </c>
      <c r="AG477" s="301" t="s">
        <v>223</v>
      </c>
      <c r="AH477" s="301" t="s">
        <v>224</v>
      </c>
      <c r="AI477" s="301" t="s">
        <v>225</v>
      </c>
      <c r="AJ477" s="302" t="s">
        <v>226</v>
      </c>
      <c r="AK477" s="302" t="s">
        <v>227</v>
      </c>
      <c r="AL477" s="302" t="s">
        <v>228</v>
      </c>
      <c r="AM477" s="433"/>
    </row>
    <row r="478">
      <c r="A478" s="512" t="s">
        <v>292</v>
      </c>
      <c r="B478" s="334" t="s">
        <v>230</v>
      </c>
      <c r="C478" s="513" t="s">
        <v>240</v>
      </c>
      <c r="D478" s="513">
        <f t="shared" ref="D478:D481" si="441">E478+F478+G478+H478</f>
      </c>
      <c r="E478" s="305">
        <v>2116.09</v>
      </c>
      <c r="F478" s="326">
        <v>730.42</v>
      </c>
      <c r="G478" s="304"/>
      <c r="H478" s="305">
        <v>748.07</v>
      </c>
      <c r="I478" s="326">
        <v>2</v>
      </c>
      <c r="J478" s="304">
        <v>4536</v>
      </c>
      <c r="K478" s="325">
        <v>0</v>
      </c>
      <c r="L478" s="326">
        <v>0</v>
      </c>
      <c r="M478" s="326">
        <v>2</v>
      </c>
      <c r="N478" s="497">
        <f t="shared" ref="N478:N485" si="358">J478/D478</f>
      </c>
      <c r="O478" s="497">
        <f t="shared" ref="O478:O485" si="284">J478/(D478+300*AL478)</f>
      </c>
      <c r="P478" s="498">
        <f t="shared" ref="P478:P485" si="222">(D478/AE478)*1000</f>
      </c>
      <c r="Q478" s="405">
        <f t="shared" ref="Q478:Q485" si="129">AF478/AE478</f>
      </c>
      <c r="R478" s="406">
        <f t="shared" ref="R478:R485" si="67">D478/AG478</f>
      </c>
      <c r="S478" s="405">
        <f t="shared" ref="S478:S485" si="160">AH478/AG478</f>
      </c>
      <c r="T478" s="405">
        <f t="shared" ref="T478:T485" si="36">AI478/AG478</f>
      </c>
      <c r="U478" s="406">
        <f t="shared" ref="U478:U485" si="521">D478/AI478</f>
      </c>
      <c r="V478" s="405">
        <f t="shared" ref="V478:V485" si="490">AJ478/AI478</f>
      </c>
      <c r="W478" s="405">
        <f t="shared" ref="W478:W485" si="389">I478/AJ478</f>
      </c>
      <c r="X478" s="406">
        <f t="shared" ref="X478:X485" si="315">D478/I478</f>
      </c>
      <c r="Y478" s="410">
        <f t="shared" ref="Y478:Y485" si="253">J478/I478</f>
      </c>
      <c r="Z478" s="406">
        <f t="shared" ref="Z478:Z485" si="191">D478/AD478</f>
      </c>
      <c r="AA478" s="499">
        <f t="shared" ref="AA478:AA485" si="98">AK478*1000/D478</f>
      </c>
      <c r="AB478" s="500" t="s">
        <v>232</v>
      </c>
      <c r="AC478" s="526" t="s">
        <v>286</v>
      </c>
      <c r="AD478" s="334">
        <v>2</v>
      </c>
      <c r="AE478" s="304">
        <v>10186</v>
      </c>
      <c r="AF478" s="304">
        <v>400</v>
      </c>
      <c r="AG478" s="304">
        <v>530</v>
      </c>
      <c r="AH478" s="304">
        <v>87</v>
      </c>
      <c r="AI478" s="334">
        <v>29</v>
      </c>
      <c r="AJ478" s="325">
        <v>6</v>
      </c>
      <c r="AK478" s="326">
        <v>17</v>
      </c>
      <c r="AL478" s="310">
        <v>1</v>
      </c>
      <c r="AM478" s="434"/>
    </row>
    <row r="479">
      <c r="A479" s="512"/>
      <c r="B479" s="401" t="s">
        <v>234</v>
      </c>
      <c r="C479" s="513" t="s">
        <v>240</v>
      </c>
      <c r="D479" s="334">
        <f t="shared" si="441"/>
      </c>
      <c r="E479" s="325">
        <v>2120.99</v>
      </c>
      <c r="F479" s="342">
        <v>496.86</v>
      </c>
      <c r="G479" s="334"/>
      <c r="H479" s="326">
        <v>647.56</v>
      </c>
      <c r="I479" s="333">
        <v>4</v>
      </c>
      <c r="J479" s="333">
        <v>9072</v>
      </c>
      <c r="K479" s="326">
        <v>0</v>
      </c>
      <c r="L479" s="326">
        <v>0</v>
      </c>
      <c r="M479" s="326">
        <v>4</v>
      </c>
      <c r="N479" s="497">
        <f t="shared" si="358"/>
      </c>
      <c r="O479" s="497">
        <f t="shared" si="284"/>
      </c>
      <c r="P479" s="498">
        <f t="shared" si="222"/>
      </c>
      <c r="Q479" s="405">
        <f t="shared" si="129"/>
      </c>
      <c r="R479" s="406">
        <f t="shared" si="67"/>
      </c>
      <c r="S479" s="405">
        <f t="shared" si="160"/>
      </c>
      <c r="T479" s="405">
        <f t="shared" si="36"/>
      </c>
      <c r="U479" s="406">
        <f t="shared" si="521"/>
      </c>
      <c r="V479" s="405">
        <f t="shared" si="490"/>
      </c>
      <c r="W479" s="405">
        <f t="shared" si="389"/>
      </c>
      <c r="X479" s="406">
        <f t="shared" si="315"/>
      </c>
      <c r="Y479" s="410">
        <f t="shared" si="253"/>
      </c>
      <c r="Z479" s="406">
        <f t="shared" si="191"/>
      </c>
      <c r="AA479" s="499">
        <f t="shared" si="98"/>
      </c>
      <c r="AB479" s="500" t="s">
        <v>232</v>
      </c>
      <c r="AC479" s="526" t="s">
        <v>286</v>
      </c>
      <c r="AD479" s="334">
        <v>4</v>
      </c>
      <c r="AE479" s="412">
        <v>7316</v>
      </c>
      <c r="AF479" s="304">
        <v>306</v>
      </c>
      <c r="AG479" s="333">
        <v>458</v>
      </c>
      <c r="AH479" s="334">
        <v>86</v>
      </c>
      <c r="AI479" s="334">
        <v>28</v>
      </c>
      <c r="AJ479" s="416">
        <v>7</v>
      </c>
      <c r="AK479" s="417">
        <v>20</v>
      </c>
      <c r="AL479" s="310">
        <v>1</v>
      </c>
      <c r="AM479" s="434"/>
    </row>
    <row r="480">
      <c r="A480" s="512"/>
      <c r="B480" s="401" t="s">
        <v>235</v>
      </c>
      <c r="C480" s="334" t="s">
        <v>240</v>
      </c>
      <c r="D480" s="304">
        <f t="shared" si="441"/>
      </c>
      <c r="E480" s="325">
        <v>2293.51</v>
      </c>
      <c r="F480" s="325">
        <v>569.11</v>
      </c>
      <c r="G480" s="334"/>
      <c r="H480" s="326">
        <v>882.79</v>
      </c>
      <c r="I480" s="334">
        <v>3</v>
      </c>
      <c r="J480" s="334">
        <v>6804</v>
      </c>
      <c r="K480" s="326">
        <v>0</v>
      </c>
      <c r="L480" s="326">
        <v>0</v>
      </c>
      <c r="M480" s="326">
        <v>3</v>
      </c>
      <c r="N480" s="497">
        <f t="shared" si="358"/>
      </c>
      <c r="O480" s="497">
        <f t="shared" si="284"/>
      </c>
      <c r="P480" s="498">
        <f t="shared" si="222"/>
      </c>
      <c r="Q480" s="405">
        <f t="shared" si="129"/>
      </c>
      <c r="R480" s="406">
        <f t="shared" si="67"/>
      </c>
      <c r="S480" s="405">
        <f t="shared" si="160"/>
      </c>
      <c r="T480" s="405">
        <f t="shared" si="36"/>
      </c>
      <c r="U480" s="406">
        <f t="shared" si="521"/>
      </c>
      <c r="V480" s="405">
        <f t="shared" si="490"/>
      </c>
      <c r="W480" s="405">
        <f t="shared" si="389"/>
      </c>
      <c r="X480" s="406">
        <f t="shared" si="315"/>
      </c>
      <c r="Y480" s="410">
        <f t="shared" si="253"/>
      </c>
      <c r="Z480" s="406">
        <f t="shared" si="191"/>
      </c>
      <c r="AA480" s="499">
        <f t="shared" si="98"/>
      </c>
      <c r="AB480" s="500" t="s">
        <v>232</v>
      </c>
      <c r="AC480" s="526" t="s">
        <v>286</v>
      </c>
      <c r="AD480" s="334">
        <v>1</v>
      </c>
      <c r="AE480" s="304">
        <v>8000</v>
      </c>
      <c r="AF480" s="304">
        <v>297</v>
      </c>
      <c r="AG480" s="334">
        <v>447</v>
      </c>
      <c r="AH480" s="334">
        <v>84</v>
      </c>
      <c r="AI480" s="334">
        <v>42</v>
      </c>
      <c r="AJ480" s="416">
        <v>5</v>
      </c>
      <c r="AK480" s="417">
        <v>17</v>
      </c>
      <c r="AL480" s="310">
        <v>1</v>
      </c>
      <c r="AM480" s="434"/>
    </row>
    <row r="481">
      <c r="A481" s="512"/>
      <c r="B481" s="401" t="s">
        <v>236</v>
      </c>
      <c r="C481" s="333" t="s">
        <v>240</v>
      </c>
      <c r="D481" s="304">
        <f t="shared" si="441"/>
      </c>
      <c r="E481" s="325">
        <v>1582.99</v>
      </c>
      <c r="F481" s="325">
        <v>850.73</v>
      </c>
      <c r="G481" s="334"/>
      <c r="H481" s="326">
        <v>431.32</v>
      </c>
      <c r="I481" s="326">
        <v>0</v>
      </c>
      <c r="J481" s="326">
        <v>0</v>
      </c>
      <c r="K481" s="326">
        <v>0</v>
      </c>
      <c r="L481" s="326">
        <v>0</v>
      </c>
      <c r="M481" s="326">
        <v>0</v>
      </c>
      <c r="N481" s="497">
        <f t="shared" si="358"/>
      </c>
      <c r="O481" s="497">
        <f t="shared" si="284"/>
      </c>
      <c r="P481" s="498">
        <f t="shared" si="222"/>
      </c>
      <c r="Q481" s="405">
        <f t="shared" si="129"/>
      </c>
      <c r="R481" s="406">
        <f t="shared" si="67"/>
      </c>
      <c r="S481" s="405">
        <f t="shared" si="160"/>
      </c>
      <c r="T481" s="405">
        <f t="shared" si="36"/>
      </c>
      <c r="U481" s="406">
        <f t="shared" si="521"/>
      </c>
      <c r="V481" s="405">
        <f t="shared" si="490"/>
      </c>
      <c r="W481" s="405">
        <f t="shared" si="389"/>
      </c>
      <c r="X481" s="406">
        <f t="shared" si="315"/>
      </c>
      <c r="Y481" s="410">
        <f t="shared" si="253"/>
      </c>
      <c r="Z481" s="406">
        <f t="shared" si="191"/>
      </c>
      <c r="AA481" s="499">
        <f t="shared" si="98"/>
      </c>
      <c r="AB481" s="500" t="s">
        <v>232</v>
      </c>
      <c r="AC481" s="526" t="s">
        <v>286</v>
      </c>
      <c r="AD481" s="412">
        <v>0</v>
      </c>
      <c r="AE481" s="333">
        <v>5238</v>
      </c>
      <c r="AF481" s="334">
        <v>211</v>
      </c>
      <c r="AG481" s="334">
        <v>325</v>
      </c>
      <c r="AH481" s="334">
        <v>50</v>
      </c>
      <c r="AI481" s="334">
        <v>23</v>
      </c>
      <c r="AJ481" s="416">
        <v>2</v>
      </c>
      <c r="AK481" s="417">
        <v>10</v>
      </c>
      <c r="AL481" s="310">
        <v>1</v>
      </c>
      <c r="AM481" s="434"/>
    </row>
    <row r="482">
      <c r="A482" s="512"/>
      <c r="B482" s="501" t="s">
        <v>238</v>
      </c>
      <c r="C482" s="501"/>
      <c r="D482" s="501">
        <f>SUM(D478:D481)</f>
      </c>
      <c r="E482" s="501">
        <f>SUM(E478:E481)</f>
      </c>
      <c r="F482" s="501">
        <f>SUM(F478:F481)</f>
      </c>
      <c r="G482" s="501">
        <f>SUM(G478:G481)</f>
      </c>
      <c r="H482" s="501">
        <f>SUM(H478:H481)</f>
      </c>
      <c r="I482" s="501">
        <f>SUM(I478:I481)</f>
      </c>
      <c r="J482" s="501">
        <f>SUM(J478:J481)</f>
      </c>
      <c r="K482" s="501">
        <f>SUM(K478:K481)</f>
      </c>
      <c r="L482" s="501">
        <f>SUM(L478:L481)</f>
      </c>
      <c r="M482" s="501">
        <f>SUM(M478:M481)</f>
      </c>
      <c r="N482" s="502">
        <f t="shared" si="358"/>
      </c>
      <c r="O482" s="502">
        <f t="shared" si="284"/>
      </c>
      <c r="P482" s="503">
        <f t="shared" si="222"/>
      </c>
      <c r="Q482" s="504">
        <f t="shared" si="129"/>
      </c>
      <c r="R482" s="505">
        <f t="shared" si="67"/>
      </c>
      <c r="S482" s="504">
        <f t="shared" si="160"/>
      </c>
      <c r="T482" s="504">
        <f t="shared" si="36"/>
      </c>
      <c r="U482" s="505">
        <f t="shared" si="521"/>
      </c>
      <c r="V482" s="504">
        <f t="shared" si="490"/>
      </c>
      <c r="W482" s="504">
        <f t="shared" si="389"/>
      </c>
      <c r="X482" s="505">
        <f t="shared" si="315"/>
      </c>
      <c r="Y482" s="506">
        <f t="shared" si="253"/>
      </c>
      <c r="Z482" s="505">
        <f t="shared" si="191"/>
      </c>
      <c r="AA482" s="507">
        <f t="shared" si="98"/>
      </c>
      <c r="AB482" s="507"/>
      <c r="AC482" s="507"/>
      <c r="AD482" s="347">
        <f>SUM(AD478:AD481)</f>
      </c>
      <c r="AE482" s="347">
        <f>SUM(AE478:AE481)</f>
      </c>
      <c r="AF482" s="347">
        <f>SUM(AF478:AF481)</f>
      </c>
      <c r="AG482" s="347">
        <f>SUM(AG478:AG481)</f>
      </c>
      <c r="AH482" s="347">
        <f>SUM(AH478:AH481)</f>
      </c>
      <c r="AI482" s="347">
        <f>SUM(AI478:AI481)</f>
      </c>
      <c r="AJ482" s="347">
        <f>SUM(AJ478:AJ481)</f>
      </c>
      <c r="AK482" s="347">
        <f>SUM(AK478:AK481)</f>
      </c>
      <c r="AL482" s="347">
        <f>SUM(AL478:AL481)</f>
      </c>
      <c r="AM482" s="434"/>
    </row>
    <row r="483">
      <c r="A483" s="512"/>
      <c r="B483" s="334" t="s">
        <v>237</v>
      </c>
      <c r="C483" s="334" t="s">
        <v>291</v>
      </c>
      <c r="D483" s="334">
        <f>E483+F483+G483+H483</f>
      </c>
      <c r="E483" s="326">
        <v>1596.98</v>
      </c>
      <c r="F483" s="325">
        <v>598.26</v>
      </c>
      <c r="G483" s="334"/>
      <c r="H483" s="326">
        <v>428.41</v>
      </c>
      <c r="I483" s="326">
        <v>0</v>
      </c>
      <c r="J483" s="326">
        <v>0</v>
      </c>
      <c r="K483" s="326">
        <v>0</v>
      </c>
      <c r="L483" s="326">
        <v>0</v>
      </c>
      <c r="M483" s="326">
        <v>0</v>
      </c>
      <c r="N483" s="497">
        <f t="shared" si="358"/>
      </c>
      <c r="O483" s="497">
        <f t="shared" si="284"/>
      </c>
      <c r="P483" s="498">
        <f t="shared" si="222"/>
      </c>
      <c r="Q483" s="405">
        <f t="shared" si="129"/>
      </c>
      <c r="R483" s="406">
        <f t="shared" si="67"/>
      </c>
      <c r="S483" s="405">
        <f t="shared" si="160"/>
      </c>
      <c r="T483" s="405">
        <f t="shared" si="36"/>
      </c>
      <c r="U483" s="406">
        <f t="shared" si="521"/>
      </c>
      <c r="V483" s="405">
        <f t="shared" si="490"/>
      </c>
      <c r="W483" s="405">
        <f t="shared" si="389"/>
      </c>
      <c r="X483" s="406">
        <f t="shared" si="315"/>
      </c>
      <c r="Y483" s="410">
        <f t="shared" si="253"/>
      </c>
      <c r="Z483" s="406">
        <f t="shared" si="191"/>
      </c>
      <c r="AA483" s="499">
        <f t="shared" si="98"/>
      </c>
      <c r="AB483" s="500" t="s">
        <v>232</v>
      </c>
      <c r="AC483" s="526" t="s">
        <v>286</v>
      </c>
      <c r="AD483" s="402">
        <v>0</v>
      </c>
      <c r="AE483" s="365">
        <v>7131</v>
      </c>
      <c r="AF483" s="365">
        <v>260</v>
      </c>
      <c r="AG483" s="365">
        <v>348</v>
      </c>
      <c r="AH483" s="365">
        <v>68</v>
      </c>
      <c r="AI483" s="365">
        <v>23</v>
      </c>
      <c r="AJ483" s="310">
        <v>1</v>
      </c>
      <c r="AK483" s="310">
        <v>22</v>
      </c>
      <c r="AL483" s="310">
        <v>1</v>
      </c>
      <c r="AM483" s="434"/>
    </row>
    <row r="484">
      <c r="A484" s="512"/>
      <c r="B484" s="501" t="s">
        <v>238</v>
      </c>
      <c r="C484" s="501"/>
      <c r="D484" s="501">
        <f>SUM(D483)</f>
      </c>
      <c r="E484" s="501">
        <f>SUM(E483)</f>
      </c>
      <c r="F484" s="501">
        <f>SUM(F483)</f>
      </c>
      <c r="G484" s="501">
        <f>SUM(G483)</f>
      </c>
      <c r="H484" s="501">
        <f>SUM(H483)</f>
      </c>
      <c r="I484" s="501">
        <f>SUM(I483)</f>
      </c>
      <c r="J484" s="501">
        <f>SUM(J483)</f>
      </c>
      <c r="K484" s="501">
        <f>SUM(K483)</f>
      </c>
      <c r="L484" s="501">
        <f>SUM(L483)</f>
      </c>
      <c r="M484" s="501">
        <f>SUM(M483)</f>
      </c>
      <c r="N484" s="502">
        <f t="shared" si="358"/>
      </c>
      <c r="O484" s="502">
        <f t="shared" si="284"/>
      </c>
      <c r="P484" s="508">
        <f t="shared" si="222"/>
      </c>
      <c r="Q484" s="504">
        <f t="shared" si="129"/>
      </c>
      <c r="R484" s="505">
        <f t="shared" si="67"/>
      </c>
      <c r="S484" s="504">
        <f t="shared" si="160"/>
      </c>
      <c r="T484" s="504">
        <f t="shared" si="36"/>
      </c>
      <c r="U484" s="505">
        <f t="shared" si="521"/>
      </c>
      <c r="V484" s="504">
        <f t="shared" si="490"/>
      </c>
      <c r="W484" s="504">
        <f t="shared" si="389"/>
      </c>
      <c r="X484" s="505">
        <f t="shared" si="315"/>
      </c>
      <c r="Y484" s="506">
        <f t="shared" si="253"/>
      </c>
      <c r="Z484" s="505">
        <f t="shared" si="191"/>
      </c>
      <c r="AA484" s="507">
        <f t="shared" si="98"/>
      </c>
      <c r="AB484" s="507"/>
      <c r="AC484" s="523"/>
      <c r="AD484" s="529">
        <f>SUM(AD483)</f>
      </c>
      <c r="AE484" s="529">
        <f>SUM(AE483)</f>
      </c>
      <c r="AF484" s="529">
        <f>SUM(AF483)</f>
      </c>
      <c r="AG484" s="529">
        <f>SUM(AG483)</f>
      </c>
      <c r="AH484" s="529">
        <f>SUM(AH483)</f>
      </c>
      <c r="AI484" s="529">
        <f>SUM(AI483)</f>
      </c>
      <c r="AJ484" s="529">
        <f>SUM(AJ483)</f>
      </c>
      <c r="AK484" s="529">
        <f>SUM(AK483)</f>
      </c>
      <c r="AL484" s="529">
        <f>SUM(AL483)</f>
      </c>
      <c r="AM484" s="478" t="s">
        <v>288</v>
      </c>
    </row>
    <row r="485">
      <c r="A485" s="512"/>
      <c r="B485" s="373" t="s">
        <v>250</v>
      </c>
      <c r="C485" s="373"/>
      <c r="D485" s="373">
        <f>D482+D484</f>
      </c>
      <c r="E485" s="373">
        <f>E482+E484</f>
      </c>
      <c r="F485" s="373">
        <f>F482+F484</f>
      </c>
      <c r="G485" s="373">
        <f>G482+G484</f>
      </c>
      <c r="H485" s="373">
        <f>H482+H484</f>
      </c>
      <c r="I485" s="373">
        <f>I482+I484</f>
      </c>
      <c r="J485" s="373">
        <f>J482+J484</f>
      </c>
      <c r="K485" s="373">
        <f>K482+K484</f>
      </c>
      <c r="L485" s="373">
        <f>L482+L484</f>
      </c>
      <c r="M485" s="373">
        <f>M482+M484</f>
      </c>
      <c r="N485" s="427">
        <f t="shared" si="358"/>
      </c>
      <c r="O485" s="427">
        <f t="shared" si="284"/>
      </c>
      <c r="P485" s="509">
        <f t="shared" si="222"/>
      </c>
      <c r="Q485" s="510">
        <f t="shared" si="129"/>
      </c>
      <c r="R485" s="427">
        <f t="shared" si="67"/>
      </c>
      <c r="S485" s="510">
        <f t="shared" si="160"/>
      </c>
      <c r="T485" s="510">
        <f t="shared" si="36"/>
      </c>
      <c r="U485" s="427">
        <f t="shared" si="521"/>
      </c>
      <c r="V485" s="510">
        <f t="shared" si="490"/>
      </c>
      <c r="W485" s="510">
        <f t="shared" si="389"/>
      </c>
      <c r="X485" s="427">
        <f t="shared" si="315"/>
      </c>
      <c r="Y485" s="511">
        <f t="shared" si="253"/>
      </c>
      <c r="Z485" s="427">
        <f t="shared" si="191"/>
      </c>
      <c r="AA485" s="509">
        <f t="shared" si="98"/>
      </c>
      <c r="AB485" s="509"/>
      <c r="AC485" s="509"/>
      <c r="AD485" s="484">
        <f>AD482+AD484</f>
      </c>
      <c r="AE485" s="484">
        <f>AE482+AE484</f>
      </c>
      <c r="AF485" s="484">
        <f>AF482+AF484</f>
      </c>
      <c r="AG485" s="484">
        <f>AG482+AG484</f>
      </c>
      <c r="AH485" s="484">
        <f>AH482+AH484</f>
      </c>
      <c r="AI485" s="484">
        <f>AI482+AI484</f>
      </c>
      <c r="AJ485" s="484">
        <f>AJ482+AJ484</f>
      </c>
      <c r="AK485" s="484">
        <f>AK482+AK484</f>
      </c>
      <c r="AL485" s="484">
        <f>AL482+AL484</f>
      </c>
      <c r="AM485" s="478"/>
    </row>
    <row r="486">
      <c r="A486" s="434"/>
      <c r="B486" s="434"/>
      <c r="C486" s="434"/>
      <c r="D486" s="434"/>
      <c r="E486" s="530"/>
      <c r="F486" s="530"/>
      <c r="G486" s="531" t="s">
        <v>293</v>
      </c>
      <c r="H486" s="531" t="s">
        <v>294</v>
      </c>
      <c r="I486" s="434">
        <f>I487-I485</f>
      </c>
      <c r="J486" s="434">
        <f>J487-J485</f>
      </c>
      <c r="K486" s="434"/>
      <c r="L486" s="434"/>
      <c r="M486" s="434"/>
      <c r="N486" s="434"/>
      <c r="O486" s="434"/>
      <c r="P486" s="434"/>
      <c r="Q486" s="434"/>
      <c r="R486" s="434"/>
      <c r="S486" s="434"/>
      <c r="T486" s="434"/>
      <c r="U486" s="434"/>
      <c r="V486" s="434"/>
      <c r="W486" s="434"/>
      <c r="X486" s="434"/>
      <c r="Y486" s="434"/>
      <c r="Z486" s="434"/>
      <c r="AA486" s="434"/>
      <c r="AB486" s="434"/>
      <c r="AC486" s="434"/>
      <c r="AD486" s="532">
        <f>AD487+AD488+AD489</f>
      </c>
      <c r="AE486" s="532">
        <f>AE487+AE488+AE489</f>
      </c>
      <c r="AF486" s="532">
        <f>AF487+AF488+AF489</f>
      </c>
      <c r="AG486" s="532">
        <f>AG487+AG488+AG489</f>
      </c>
      <c r="AH486" s="532">
        <f>AH487+AH488+AH489</f>
      </c>
      <c r="AI486" s="532">
        <f>AI487+AI488+AI489</f>
      </c>
      <c r="AJ486" s="434">
        <f>AJ487-AJ485</f>
      </c>
      <c r="AK486" s="434">
        <f>AK487-AK485</f>
      </c>
      <c r="AL486" s="434">
        <v>1</v>
      </c>
      <c r="AM486" s="434"/>
    </row>
    <row r="487">
      <c r="A487" s="434"/>
      <c r="B487" s="434"/>
      <c r="C487" s="434"/>
      <c r="D487" s="434"/>
      <c r="E487" s="434"/>
      <c r="F487" s="434"/>
      <c r="G487" s="434"/>
      <c r="H487" s="530"/>
      <c r="I487" s="434" cm="1">
        <f t="array" ref="I487:I487">IMPORTRANGE("https://meimeiwangluo.feishu.cn/sheets/BdrtsODdph4hLdtnTbAcZQ6Znig","'Sheet1'!C1")</f>
      </c>
      <c r="J487" s="434" cm="1">
        <f t="array" ref="J487:J487">IMPORTRANGE("https://meimeiwangluo.feishu.cn/sheets/BdrtsODdph4hLdtnTbAcZQ6Znig","'Sheet1'!D1")</f>
      </c>
      <c r="K487" s="434"/>
      <c r="L487" s="434"/>
      <c r="M487" s="434"/>
      <c r="N487" s="434"/>
      <c r="O487" s="434"/>
      <c r="P487" s="434"/>
      <c r="Q487" s="434"/>
      <c r="R487" s="434"/>
      <c r="S487" s="434"/>
      <c r="T487" s="434"/>
      <c r="U487" s="434"/>
      <c r="V487" s="434"/>
      <c r="W487" s="434"/>
      <c r="X487" s="434"/>
      <c r="Y487" s="434"/>
      <c r="Z487" s="434"/>
      <c r="AA487" s="434"/>
      <c r="AB487" s="434"/>
      <c r="AC487" s="434"/>
      <c r="AD487" s="533">
        <v>0</v>
      </c>
      <c r="AE487" s="533">
        <v>6397</v>
      </c>
      <c r="AF487" s="533">
        <v>219</v>
      </c>
      <c r="AG487" s="533">
        <v>303</v>
      </c>
      <c r="AH487" s="533">
        <v>54</v>
      </c>
      <c r="AI487" s="533">
        <v>11</v>
      </c>
      <c r="AJ487" s="530">
        <v>20</v>
      </c>
      <c r="AK487" s="530">
        <v>64</v>
      </c>
      <c r="AL487" s="434"/>
      <c r="AM487" s="434"/>
    </row>
    <row r="488">
      <c r="A488" s="534"/>
      <c r="B488" s="434"/>
      <c r="C488" s="434"/>
      <c r="D488" s="434"/>
      <c r="E488" s="434"/>
      <c r="F488" s="434"/>
      <c r="G488" s="434"/>
      <c r="H488" s="434"/>
      <c r="I488" s="434"/>
      <c r="J488" s="434"/>
      <c r="K488" s="434"/>
      <c r="L488" s="434"/>
      <c r="M488" s="434"/>
      <c r="N488" s="434"/>
      <c r="O488" s="434"/>
      <c r="P488" s="434"/>
      <c r="Q488" s="434"/>
      <c r="R488" s="434"/>
      <c r="S488" s="434"/>
      <c r="T488" s="434"/>
      <c r="U488" s="434"/>
      <c r="V488" s="434"/>
      <c r="W488" s="434"/>
      <c r="X488" s="434"/>
      <c r="Y488" s="434"/>
      <c r="Z488" s="434"/>
      <c r="AA488" s="434"/>
      <c r="AB488" s="434"/>
      <c r="AC488" s="434"/>
      <c r="AD488" s="535">
        <v>0</v>
      </c>
      <c r="AE488" s="535">
        <v>734</v>
      </c>
      <c r="AF488" s="535">
        <v>41</v>
      </c>
      <c r="AG488" s="535">
        <v>45</v>
      </c>
      <c r="AH488" s="535">
        <v>14</v>
      </c>
      <c r="AI488" s="535">
        <v>12</v>
      </c>
      <c r="AJ488" s="434"/>
      <c r="AK488" s="434"/>
      <c r="AL488" s="434"/>
      <c r="AM488" s="434"/>
    </row>
    <row r="489">
      <c r="A489" s="434"/>
      <c r="B489" s="434"/>
      <c r="C489" s="434"/>
      <c r="D489" s="434"/>
      <c r="E489" s="434"/>
      <c r="F489" s="434"/>
      <c r="G489" s="434"/>
      <c r="H489" s="434"/>
      <c r="I489" s="434"/>
      <c r="J489" s="434"/>
      <c r="K489" s="434"/>
      <c r="L489" s="434"/>
      <c r="M489" s="434"/>
      <c r="N489" s="434"/>
      <c r="O489" s="434"/>
      <c r="P489" s="434"/>
      <c r="Q489" s="434"/>
      <c r="R489" s="434"/>
      <c r="S489" s="434"/>
      <c r="T489" s="434"/>
      <c r="U489" s="434"/>
      <c r="V489" s="434"/>
      <c r="W489" s="434"/>
      <c r="X489" s="434"/>
      <c r="Y489" s="434"/>
      <c r="Z489" s="434"/>
      <c r="AA489" s="434"/>
      <c r="AB489" s="434"/>
      <c r="AC489" s="434"/>
      <c r="AD489" s="433"/>
      <c r="AE489" s="433"/>
      <c r="AF489" s="433"/>
      <c r="AG489" s="433"/>
      <c r="AH489" s="433"/>
      <c r="AI489" s="433"/>
      <c r="AJ489" s="434"/>
      <c r="AK489" s="434"/>
      <c r="AL489" s="434"/>
      <c r="AM489" s="434"/>
    </row>
    <row r="490">
      <c r="A490" s="434"/>
      <c r="B490" s="434"/>
      <c r="C490" s="434"/>
      <c r="D490" s="434"/>
      <c r="E490" s="434"/>
      <c r="F490" s="434"/>
      <c r="G490" s="434"/>
      <c r="H490" s="434"/>
      <c r="I490" s="434"/>
      <c r="J490" s="434"/>
      <c r="K490" s="434"/>
      <c r="L490" s="434"/>
      <c r="M490" s="434"/>
      <c r="N490" s="434"/>
      <c r="O490" s="434"/>
      <c r="P490" s="434"/>
      <c r="Q490" s="434"/>
      <c r="R490" s="434"/>
      <c r="S490" s="434"/>
      <c r="T490" s="434"/>
      <c r="U490" s="434"/>
      <c r="V490" s="434"/>
      <c r="W490" s="434"/>
      <c r="X490" s="434"/>
      <c r="Y490" s="434"/>
      <c r="Z490" s="434"/>
      <c r="AA490" s="434"/>
      <c r="AB490" s="434"/>
      <c r="AC490" s="434"/>
      <c r="AD490" s="433"/>
      <c r="AE490" s="433"/>
      <c r="AF490" s="433"/>
      <c r="AG490" s="433"/>
      <c r="AH490" s="433"/>
      <c r="AI490" s="433"/>
      <c r="AJ490" s="434"/>
      <c r="AK490" s="434"/>
      <c r="AL490" s="434"/>
      <c r="AM490" s="434"/>
    </row>
    <row r="491">
      <c r="A491" s="434"/>
      <c r="B491" s="434"/>
      <c r="C491" s="434"/>
      <c r="D491" s="434"/>
      <c r="E491" s="434"/>
      <c r="F491" s="434"/>
      <c r="G491" s="434"/>
      <c r="H491" s="434"/>
      <c r="I491" s="434"/>
      <c r="J491" s="434"/>
      <c r="K491" s="434"/>
      <c r="L491" s="434"/>
      <c r="M491" s="434"/>
      <c r="N491" s="434"/>
      <c r="O491" s="434"/>
      <c r="P491" s="434"/>
      <c r="Q491" s="434"/>
      <c r="R491" s="434"/>
      <c r="S491" s="434"/>
      <c r="T491" s="434"/>
      <c r="U491" s="434"/>
      <c r="V491" s="434"/>
      <c r="W491" s="434"/>
      <c r="X491" s="434"/>
      <c r="Y491" s="434"/>
      <c r="Z491" s="434"/>
      <c r="AA491" s="434"/>
      <c r="AB491" s="434"/>
      <c r="AC491" s="434"/>
      <c r="AD491" s="433"/>
      <c r="AE491" s="433"/>
      <c r="AF491" s="433"/>
      <c r="AG491" s="433"/>
      <c r="AH491" s="433"/>
      <c r="AI491" s="433"/>
      <c r="AJ491" s="434"/>
      <c r="AK491" s="434"/>
      <c r="AL491" s="434"/>
      <c r="AM491" s="434"/>
    </row>
    <row r="492">
      <c r="A492" s="434"/>
      <c r="B492" s="434"/>
      <c r="C492" s="536"/>
      <c r="D492" s="434"/>
      <c r="E492" s="434"/>
      <c r="F492" s="434"/>
      <c r="G492" s="434"/>
      <c r="H492" s="434"/>
      <c r="I492" s="434"/>
      <c r="J492" s="434"/>
      <c r="K492" s="434"/>
      <c r="L492" s="434"/>
      <c r="M492" s="434"/>
      <c r="N492" s="434"/>
      <c r="O492" s="434"/>
      <c r="P492" s="434"/>
      <c r="Q492" s="434"/>
      <c r="R492" s="434"/>
      <c r="S492" s="434"/>
      <c r="T492" s="434"/>
      <c r="U492" s="434"/>
      <c r="V492" s="434"/>
      <c r="W492" s="434"/>
      <c r="X492" s="434"/>
      <c r="Y492" s="434"/>
      <c r="Z492" s="434"/>
      <c r="AA492" s="434"/>
      <c r="AB492" s="434"/>
      <c r="AC492" s="434"/>
      <c r="AD492" s="537"/>
      <c r="AE492" s="537"/>
      <c r="AF492" s="537"/>
      <c r="AG492" s="537"/>
      <c r="AH492" s="537"/>
      <c r="AI492" s="537"/>
      <c r="AJ492" s="434"/>
      <c r="AK492" s="434"/>
      <c r="AL492" s="434"/>
      <c r="AM492" s="434"/>
    </row>
    <row r="493">
      <c r="A493" s="434"/>
      <c r="B493" s="434"/>
      <c r="C493" s="434"/>
      <c r="D493" s="434"/>
      <c r="E493" s="434"/>
      <c r="F493" s="434"/>
      <c r="G493" s="434"/>
      <c r="H493" s="434"/>
      <c r="I493" s="434"/>
      <c r="J493" s="434"/>
      <c r="K493" s="434"/>
      <c r="L493" s="434"/>
      <c r="M493" s="434"/>
      <c r="N493" s="434"/>
      <c r="O493" s="434"/>
      <c r="P493" s="434"/>
      <c r="Q493" s="434"/>
      <c r="R493" s="434"/>
      <c r="S493" s="434"/>
      <c r="T493" s="434"/>
      <c r="U493" s="434"/>
      <c r="V493" s="434"/>
      <c r="W493" s="434"/>
      <c r="X493" s="434"/>
      <c r="Y493" s="434"/>
      <c r="Z493" s="434"/>
      <c r="AA493" s="434"/>
      <c r="AB493" s="434"/>
      <c r="AC493" s="434"/>
      <c r="AD493" s="537"/>
      <c r="AE493" s="537"/>
      <c r="AF493" s="537"/>
      <c r="AG493" s="537"/>
      <c r="AH493" s="537"/>
      <c r="AI493" s="537"/>
      <c r="AJ493" s="434"/>
      <c r="AK493" s="434"/>
      <c r="AL493" s="434"/>
      <c r="AM493" s="434"/>
    </row>
    <row r="494">
      <c r="A494" s="434"/>
      <c r="B494" s="434"/>
      <c r="C494" s="434"/>
      <c r="D494" s="434"/>
      <c r="E494" s="434"/>
      <c r="F494" s="434"/>
      <c r="G494" s="434"/>
      <c r="H494" s="434"/>
      <c r="I494" s="434"/>
      <c r="J494" s="434"/>
      <c r="K494" s="434"/>
      <c r="L494" s="434"/>
      <c r="M494" s="434"/>
      <c r="N494" s="434"/>
      <c r="O494" s="434"/>
      <c r="P494" s="434"/>
      <c r="Q494" s="434"/>
      <c r="R494" s="434"/>
      <c r="S494" s="434"/>
      <c r="T494" s="434"/>
      <c r="U494" s="434"/>
      <c r="V494" s="434"/>
      <c r="W494" s="434"/>
      <c r="X494" s="434"/>
      <c r="Y494" s="434"/>
      <c r="Z494" s="434"/>
      <c r="AA494" s="434"/>
      <c r="AB494" s="434"/>
      <c r="AC494" s="434"/>
      <c r="AD494" s="537"/>
      <c r="AE494" s="537"/>
      <c r="AF494" s="537"/>
      <c r="AG494" s="537"/>
      <c r="AH494" s="537"/>
      <c r="AI494" s="537"/>
      <c r="AJ494" s="434"/>
      <c r="AK494" s="434"/>
      <c r="AL494" s="434"/>
      <c r="AM494" s="434"/>
    </row>
    <row r="495">
      <c r="A495" s="434"/>
      <c r="B495" s="434"/>
      <c r="C495" s="434"/>
      <c r="D495" s="434"/>
      <c r="E495" s="434"/>
      <c r="F495" s="434"/>
      <c r="G495" s="434"/>
      <c r="H495" s="434"/>
      <c r="I495" s="434"/>
      <c r="J495" s="434"/>
      <c r="K495" s="434"/>
      <c r="L495" s="434"/>
      <c r="M495" s="434"/>
      <c r="N495" s="434"/>
      <c r="O495" s="434"/>
      <c r="P495" s="434"/>
      <c r="Q495" s="434"/>
      <c r="R495" s="434"/>
      <c r="S495" s="434"/>
      <c r="T495" s="434"/>
      <c r="U495" s="434"/>
      <c r="V495" s="434"/>
      <c r="W495" s="434"/>
      <c r="X495" s="434"/>
      <c r="Y495" s="434"/>
      <c r="Z495" s="434"/>
      <c r="AA495" s="434"/>
      <c r="AB495" s="434"/>
      <c r="AC495" s="434"/>
      <c r="AD495" s="537"/>
      <c r="AE495" s="537"/>
      <c r="AF495" s="537"/>
      <c r="AG495" s="537"/>
      <c r="AH495" s="537"/>
      <c r="AI495" s="537"/>
      <c r="AJ495" s="434"/>
      <c r="AK495" s="434"/>
      <c r="AL495" s="434"/>
      <c r="AM495" s="434"/>
    </row>
    <row r="496">
      <c r="A496" s="434"/>
      <c r="B496" s="434"/>
      <c r="C496" s="434"/>
      <c r="D496" s="434"/>
      <c r="E496" s="434"/>
      <c r="F496" s="434"/>
      <c r="G496" s="434"/>
      <c r="H496" s="434"/>
      <c r="I496" s="434"/>
      <c r="J496" s="434"/>
      <c r="K496" s="434"/>
      <c r="L496" s="434"/>
      <c r="M496" s="434"/>
      <c r="N496" s="434"/>
      <c r="O496" s="434"/>
      <c r="P496" s="434"/>
      <c r="Q496" s="434"/>
      <c r="R496" s="434"/>
      <c r="S496" s="434"/>
      <c r="T496" s="434"/>
      <c r="U496" s="434"/>
      <c r="V496" s="434"/>
      <c r="W496" s="434"/>
      <c r="X496" s="434"/>
      <c r="Y496" s="434"/>
      <c r="Z496" s="434"/>
      <c r="AA496" s="434"/>
      <c r="AB496" s="434"/>
      <c r="AC496" s="434"/>
      <c r="AD496" s="537"/>
      <c r="AE496" s="537"/>
      <c r="AF496" s="537"/>
      <c r="AG496" s="537"/>
      <c r="AH496" s="537"/>
      <c r="AI496" s="537"/>
      <c r="AJ496" s="434"/>
      <c r="AK496" s="434"/>
      <c r="AL496" s="434"/>
      <c r="AM496" s="434"/>
    </row>
    <row r="497">
      <c r="A497" s="434"/>
      <c r="B497" s="434"/>
      <c r="C497" s="434"/>
      <c r="D497" s="434"/>
      <c r="E497" s="434"/>
      <c r="F497" s="434"/>
      <c r="G497" s="434"/>
      <c r="H497" s="434"/>
      <c r="I497" s="434"/>
      <c r="J497" s="434"/>
      <c r="K497" s="434"/>
      <c r="L497" s="434"/>
      <c r="M497" s="434"/>
      <c r="N497" s="434"/>
      <c r="O497" s="434"/>
      <c r="P497" s="434"/>
      <c r="Q497" s="434"/>
      <c r="R497" s="434"/>
      <c r="S497" s="434"/>
      <c r="T497" s="434"/>
      <c r="U497" s="434"/>
      <c r="V497" s="434"/>
      <c r="W497" s="434"/>
      <c r="X497" s="434"/>
      <c r="Y497" s="434"/>
      <c r="Z497" s="434"/>
      <c r="AA497" s="434"/>
      <c r="AB497" s="434"/>
      <c r="AC497" s="434"/>
      <c r="AD497" s="537"/>
      <c r="AE497" s="537"/>
      <c r="AF497" s="537"/>
      <c r="AG497" s="537"/>
      <c r="AH497" s="537"/>
      <c r="AI497" s="537"/>
      <c r="AJ497" s="434"/>
      <c r="AK497" s="434"/>
      <c r="AL497" s="434"/>
      <c r="AM497" s="434"/>
    </row>
    <row r="498">
      <c r="A498" s="434"/>
      <c r="B498" s="434"/>
      <c r="C498" s="434"/>
      <c r="D498" s="434"/>
      <c r="E498" s="434"/>
      <c r="F498" s="434"/>
      <c r="G498" s="434"/>
      <c r="H498" s="434"/>
      <c r="I498" s="434"/>
      <c r="J498" s="434"/>
      <c r="K498" s="434"/>
      <c r="L498" s="434"/>
      <c r="M498" s="434"/>
      <c r="N498" s="434"/>
      <c r="O498" s="434"/>
      <c r="P498" s="434"/>
      <c r="Q498" s="434"/>
      <c r="R498" s="434"/>
      <c r="S498" s="434"/>
      <c r="T498" s="434"/>
      <c r="U498" s="434"/>
      <c r="V498" s="434"/>
      <c r="W498" s="434"/>
      <c r="X498" s="434"/>
      <c r="Y498" s="434"/>
      <c r="Z498" s="434"/>
      <c r="AA498" s="434"/>
      <c r="AB498" s="434"/>
      <c r="AC498" s="434"/>
      <c r="AD498" s="537"/>
      <c r="AE498" s="537"/>
      <c r="AF498" s="537"/>
      <c r="AG498" s="537"/>
      <c r="AH498" s="537"/>
      <c r="AI498" s="537"/>
      <c r="AJ498" s="434"/>
      <c r="AK498" s="434"/>
      <c r="AL498" s="434"/>
      <c r="AM498" s="434"/>
    </row>
    <row r="499">
      <c r="A499" s="434"/>
      <c r="B499" s="434"/>
      <c r="C499" s="434"/>
      <c r="D499" s="434"/>
      <c r="E499" s="434"/>
      <c r="F499" s="434"/>
      <c r="G499" s="434"/>
      <c r="H499" s="434"/>
      <c r="I499" s="434"/>
      <c r="J499" s="434"/>
      <c r="K499" s="434"/>
      <c r="L499" s="434"/>
      <c r="M499" s="434"/>
      <c r="N499" s="434"/>
      <c r="O499" s="434"/>
      <c r="P499" s="434"/>
      <c r="Q499" s="434"/>
      <c r="R499" s="434"/>
      <c r="S499" s="434"/>
      <c r="T499" s="434"/>
      <c r="U499" s="434"/>
      <c r="V499" s="434"/>
      <c r="W499" s="434"/>
      <c r="X499" s="434"/>
      <c r="Y499" s="434"/>
      <c r="Z499" s="434"/>
      <c r="AA499" s="434"/>
      <c r="AB499" s="434"/>
      <c r="AC499" s="434"/>
      <c r="AD499" s="537"/>
      <c r="AE499" s="537"/>
      <c r="AF499" s="537"/>
      <c r="AG499" s="537"/>
      <c r="AH499" s="537"/>
      <c r="AI499" s="537"/>
      <c r="AJ499" s="434"/>
      <c r="AK499" s="434"/>
      <c r="AL499" s="434"/>
      <c r="AM499" s="434"/>
    </row>
    <row r="500">
      <c r="A500" s="434"/>
      <c r="B500" s="434"/>
      <c r="C500" s="434"/>
      <c r="D500" s="434"/>
      <c r="E500" s="434"/>
      <c r="F500" s="434"/>
      <c r="G500" s="434"/>
      <c r="H500" s="434"/>
      <c r="I500" s="434"/>
      <c r="J500" s="434"/>
      <c r="K500" s="434"/>
      <c r="L500" s="434"/>
      <c r="M500" s="434"/>
      <c r="N500" s="434"/>
      <c r="O500" s="434"/>
      <c r="P500" s="434"/>
      <c r="Q500" s="434"/>
      <c r="R500" s="434"/>
      <c r="S500" s="434"/>
      <c r="T500" s="434"/>
      <c r="U500" s="434"/>
      <c r="V500" s="434"/>
      <c r="W500" s="434"/>
      <c r="X500" s="434"/>
      <c r="Y500" s="434"/>
      <c r="Z500" s="434"/>
      <c r="AA500" s="434"/>
      <c r="AB500" s="434"/>
      <c r="AC500" s="434"/>
      <c r="AD500" s="537"/>
      <c r="AE500" s="537"/>
      <c r="AF500" s="537"/>
      <c r="AG500" s="537"/>
      <c r="AH500" s="537"/>
      <c r="AI500" s="537"/>
      <c r="AJ500" s="434"/>
      <c r="AK500" s="434"/>
      <c r="AL500" s="434"/>
      <c r="AM500" s="434"/>
    </row>
    <row r="501">
      <c r="A501" s="434"/>
      <c r="B501" s="434"/>
      <c r="C501" s="434"/>
      <c r="D501" s="434"/>
      <c r="E501" s="434"/>
      <c r="F501" s="434"/>
      <c r="G501" s="434"/>
      <c r="H501" s="434"/>
      <c r="I501" s="434"/>
      <c r="J501" s="434"/>
      <c r="K501" s="434"/>
      <c r="L501" s="434"/>
      <c r="M501" s="434"/>
      <c r="N501" s="434"/>
      <c r="O501" s="434"/>
      <c r="P501" s="434"/>
      <c r="Q501" s="434"/>
      <c r="R501" s="434"/>
      <c r="S501" s="434"/>
      <c r="T501" s="434"/>
      <c r="U501" s="434"/>
      <c r="V501" s="434"/>
      <c r="W501" s="434"/>
      <c r="X501" s="434"/>
      <c r="Y501" s="434"/>
      <c r="Z501" s="434"/>
      <c r="AA501" s="434"/>
      <c r="AB501" s="434"/>
      <c r="AC501" s="434"/>
      <c r="AD501" s="537"/>
      <c r="AE501" s="537"/>
      <c r="AF501" s="537"/>
      <c r="AG501" s="537"/>
      <c r="AH501" s="537"/>
      <c r="AI501" s="537"/>
      <c r="AJ501" s="434"/>
      <c r="AK501" s="434"/>
      <c r="AL501" s="434"/>
      <c r="AM501" s="434"/>
    </row>
    <row r="502">
      <c r="A502" s="434"/>
      <c r="B502" s="434"/>
      <c r="C502" s="434"/>
      <c r="D502" s="434"/>
      <c r="E502" s="434"/>
      <c r="F502" s="434"/>
      <c r="G502" s="434"/>
      <c r="H502" s="434"/>
      <c r="I502" s="434"/>
      <c r="J502" s="434"/>
      <c r="K502" s="434"/>
      <c r="L502" s="434"/>
      <c r="M502" s="434"/>
      <c r="N502" s="434"/>
      <c r="O502" s="434"/>
      <c r="P502" s="434"/>
      <c r="Q502" s="434"/>
      <c r="R502" s="434"/>
      <c r="S502" s="434"/>
      <c r="T502" s="434"/>
      <c r="U502" s="434"/>
      <c r="V502" s="434"/>
      <c r="W502" s="434"/>
      <c r="X502" s="434"/>
      <c r="Y502" s="434"/>
      <c r="Z502" s="434"/>
      <c r="AA502" s="434"/>
      <c r="AB502" s="434"/>
      <c r="AC502" s="434"/>
      <c r="AD502" s="537"/>
      <c r="AE502" s="537"/>
      <c r="AF502" s="537"/>
      <c r="AG502" s="537"/>
      <c r="AH502" s="537"/>
      <c r="AI502" s="537"/>
      <c r="AJ502" s="434"/>
      <c r="AK502" s="434"/>
      <c r="AL502" s="434"/>
      <c r="AM502" s="434"/>
    </row>
    <row r="503">
      <c r="A503" s="434"/>
      <c r="B503" s="434"/>
      <c r="C503" s="434"/>
      <c r="D503" s="434"/>
      <c r="E503" s="434"/>
      <c r="F503" s="434"/>
      <c r="G503" s="434"/>
      <c r="H503" s="434"/>
      <c r="I503" s="434"/>
      <c r="J503" s="434"/>
      <c r="K503" s="434"/>
      <c r="L503" s="434"/>
      <c r="M503" s="434"/>
      <c r="N503" s="434"/>
      <c r="O503" s="434"/>
      <c r="P503" s="434"/>
      <c r="Q503" s="434"/>
      <c r="R503" s="434"/>
      <c r="S503" s="434"/>
      <c r="T503" s="434"/>
      <c r="U503" s="434"/>
      <c r="V503" s="434"/>
      <c r="W503" s="434"/>
      <c r="X503" s="434"/>
      <c r="Y503" s="434"/>
      <c r="Z503" s="434"/>
      <c r="AA503" s="434"/>
      <c r="AB503" s="434"/>
      <c r="AC503" s="434"/>
      <c r="AD503" s="537"/>
      <c r="AE503" s="537"/>
      <c r="AF503" s="537"/>
      <c r="AG503" s="537"/>
      <c r="AH503" s="537"/>
      <c r="AI503" s="537"/>
      <c r="AJ503" s="434"/>
      <c r="AK503" s="434"/>
      <c r="AL503" s="434"/>
      <c r="AM503" s="434"/>
    </row>
    <row r="504">
      <c r="A504" s="434"/>
      <c r="B504" s="434"/>
      <c r="C504" s="434"/>
      <c r="D504" s="434"/>
      <c r="E504" s="434"/>
      <c r="F504" s="434"/>
      <c r="G504" s="434"/>
      <c r="H504" s="434"/>
      <c r="I504" s="434"/>
      <c r="J504" s="434"/>
      <c r="K504" s="434"/>
      <c r="L504" s="434"/>
      <c r="M504" s="434"/>
      <c r="N504" s="434"/>
      <c r="O504" s="434"/>
      <c r="P504" s="434"/>
      <c r="Q504" s="434"/>
      <c r="R504" s="434"/>
      <c r="S504" s="434"/>
      <c r="T504" s="434"/>
      <c r="U504" s="434"/>
      <c r="V504" s="434"/>
      <c r="W504" s="434"/>
      <c r="X504" s="434"/>
      <c r="Y504" s="434"/>
      <c r="Z504" s="434"/>
      <c r="AA504" s="434"/>
      <c r="AB504" s="434"/>
      <c r="AC504" s="434"/>
      <c r="AD504" s="537"/>
      <c r="AE504" s="537"/>
      <c r="AF504" s="537"/>
      <c r="AG504" s="537"/>
      <c r="AH504" s="537"/>
      <c r="AI504" s="537"/>
      <c r="AJ504" s="434"/>
      <c r="AK504" s="434"/>
      <c r="AL504" s="434"/>
      <c r="AM504" s="434"/>
    </row>
    <row r="505">
      <c r="A505" s="434"/>
      <c r="B505" s="434"/>
      <c r="C505" s="434"/>
      <c r="D505" s="434"/>
      <c r="E505" s="434"/>
      <c r="F505" s="434"/>
      <c r="G505" s="434"/>
      <c r="H505" s="434"/>
      <c r="I505" s="434"/>
      <c r="J505" s="434"/>
      <c r="K505" s="434"/>
      <c r="L505" s="434"/>
      <c r="M505" s="434"/>
      <c r="N505" s="434"/>
      <c r="O505" s="434"/>
      <c r="P505" s="434"/>
      <c r="Q505" s="434"/>
      <c r="R505" s="434"/>
      <c r="S505" s="434"/>
      <c r="T505" s="434"/>
      <c r="U505" s="434"/>
      <c r="V505" s="434"/>
      <c r="W505" s="434"/>
      <c r="X505" s="434"/>
      <c r="Y505" s="434"/>
      <c r="Z505" s="434"/>
      <c r="AA505" s="434"/>
      <c r="AB505" s="434"/>
      <c r="AC505" s="434"/>
      <c r="AD505" s="537"/>
      <c r="AE505" s="537"/>
      <c r="AF505" s="537"/>
      <c r="AG505" s="537"/>
      <c r="AH505" s="537"/>
      <c r="AI505" s="537"/>
      <c r="AJ505" s="434"/>
      <c r="AK505" s="434"/>
      <c r="AL505" s="434"/>
      <c r="AM505" s="434"/>
    </row>
    <row r="506">
      <c r="A506" s="434"/>
      <c r="B506" s="434"/>
      <c r="C506" s="434"/>
      <c r="D506" s="434"/>
      <c r="E506" s="434"/>
      <c r="F506" s="434"/>
      <c r="G506" s="434"/>
      <c r="H506" s="434"/>
      <c r="I506" s="434"/>
      <c r="J506" s="434"/>
      <c r="K506" s="434"/>
      <c r="L506" s="434"/>
      <c r="M506" s="434"/>
      <c r="N506" s="434"/>
      <c r="O506" s="434"/>
      <c r="P506" s="434"/>
      <c r="Q506" s="434"/>
      <c r="R506" s="434"/>
      <c r="S506" s="434"/>
      <c r="T506" s="434"/>
      <c r="U506" s="434"/>
      <c r="V506" s="434"/>
      <c r="W506" s="434"/>
      <c r="X506" s="434"/>
      <c r="Y506" s="434"/>
      <c r="Z506" s="434"/>
      <c r="AA506" s="434"/>
      <c r="AB506" s="434"/>
      <c r="AC506" s="434"/>
      <c r="AD506" s="537"/>
      <c r="AE506" s="537"/>
      <c r="AF506" s="537"/>
      <c r="AG506" s="537"/>
      <c r="AH506" s="537"/>
      <c r="AI506" s="537"/>
      <c r="AJ506" s="434"/>
      <c r="AK506" s="434"/>
      <c r="AL506" s="434"/>
      <c r="AM506" s="434"/>
    </row>
    <row r="507">
      <c r="A507" s="434"/>
      <c r="B507" s="434"/>
      <c r="C507" s="434"/>
      <c r="D507" s="434"/>
      <c r="E507" s="434"/>
      <c r="F507" s="434"/>
      <c r="G507" s="434"/>
      <c r="H507" s="434"/>
      <c r="I507" s="434"/>
      <c r="J507" s="434"/>
      <c r="K507" s="434"/>
      <c r="L507" s="434"/>
      <c r="M507" s="434"/>
      <c r="N507" s="434"/>
      <c r="O507" s="434"/>
      <c r="P507" s="434"/>
      <c r="Q507" s="434"/>
      <c r="R507" s="434"/>
      <c r="S507" s="434"/>
      <c r="T507" s="434"/>
      <c r="U507" s="434"/>
      <c r="V507" s="434"/>
      <c r="W507" s="434"/>
      <c r="X507" s="434"/>
      <c r="Y507" s="434"/>
      <c r="Z507" s="434"/>
      <c r="AA507" s="434"/>
      <c r="AB507" s="434"/>
      <c r="AC507" s="434"/>
      <c r="AD507" s="537"/>
      <c r="AE507" s="537"/>
      <c r="AF507" s="537"/>
      <c r="AG507" s="537"/>
      <c r="AH507" s="537"/>
      <c r="AI507" s="537"/>
      <c r="AJ507" s="434"/>
      <c r="AK507" s="434"/>
      <c r="AL507" s="434"/>
      <c r="AM507" s="434"/>
    </row>
    <row r="508">
      <c r="A508" s="434"/>
      <c r="B508" s="434"/>
      <c r="C508" s="434"/>
      <c r="D508" s="434"/>
      <c r="E508" s="434"/>
      <c r="F508" s="434"/>
      <c r="G508" s="434"/>
      <c r="H508" s="434"/>
      <c r="I508" s="434"/>
      <c r="J508" s="434"/>
      <c r="K508" s="434"/>
      <c r="L508" s="434"/>
      <c r="M508" s="434"/>
      <c r="N508" s="434"/>
      <c r="O508" s="434"/>
      <c r="P508" s="434"/>
      <c r="Q508" s="434"/>
      <c r="R508" s="434"/>
      <c r="S508" s="434"/>
      <c r="T508" s="434"/>
      <c r="U508" s="434"/>
      <c r="V508" s="434"/>
      <c r="W508" s="434"/>
      <c r="X508" s="434"/>
      <c r="Y508" s="434"/>
      <c r="Z508" s="434"/>
      <c r="AA508" s="434"/>
      <c r="AB508" s="434"/>
      <c r="AC508" s="434"/>
      <c r="AD508" s="537"/>
      <c r="AE508" s="537"/>
      <c r="AF508" s="537"/>
      <c r="AG508" s="537"/>
      <c r="AH508" s="537"/>
      <c r="AI508" s="537"/>
      <c r="AJ508" s="434"/>
      <c r="AK508" s="434"/>
      <c r="AL508" s="434"/>
      <c r="AM508" s="434"/>
    </row>
    <row r="509">
      <c r="A509" s="434"/>
      <c r="B509" s="434"/>
      <c r="C509" s="434"/>
      <c r="D509" s="434"/>
      <c r="E509" s="434"/>
      <c r="F509" s="434"/>
      <c r="G509" s="434"/>
      <c r="H509" s="434"/>
      <c r="I509" s="434"/>
      <c r="J509" s="434"/>
      <c r="K509" s="434"/>
      <c r="L509" s="434"/>
      <c r="M509" s="434"/>
      <c r="N509" s="434"/>
      <c r="O509" s="434"/>
      <c r="P509" s="434"/>
      <c r="Q509" s="434"/>
      <c r="R509" s="434"/>
      <c r="S509" s="434"/>
      <c r="T509" s="434"/>
      <c r="U509" s="434"/>
      <c r="V509" s="434"/>
      <c r="W509" s="434"/>
      <c r="X509" s="434"/>
      <c r="Y509" s="434"/>
      <c r="Z509" s="434"/>
      <c r="AA509" s="434"/>
      <c r="AB509" s="434"/>
      <c r="AC509" s="434"/>
      <c r="AD509" s="537"/>
      <c r="AE509" s="537"/>
      <c r="AF509" s="537"/>
      <c r="AG509" s="537"/>
      <c r="AH509" s="537"/>
      <c r="AI509" s="537"/>
      <c r="AJ509" s="434"/>
      <c r="AK509" s="434"/>
      <c r="AL509" s="434"/>
      <c r="AM509" s="434"/>
    </row>
    <row r="510">
      <c r="A510" s="434"/>
      <c r="B510" s="434"/>
      <c r="C510" s="434"/>
      <c r="D510" s="434"/>
      <c r="E510" s="434"/>
      <c r="F510" s="434"/>
      <c r="G510" s="434"/>
      <c r="H510" s="434"/>
      <c r="I510" s="434"/>
      <c r="J510" s="434"/>
      <c r="K510" s="434"/>
      <c r="L510" s="434"/>
      <c r="M510" s="434"/>
      <c r="N510" s="434"/>
      <c r="O510" s="434"/>
      <c r="P510" s="434"/>
      <c r="Q510" s="434"/>
      <c r="R510" s="434"/>
      <c r="S510" s="434"/>
      <c r="T510" s="434"/>
      <c r="U510" s="434"/>
      <c r="V510" s="434"/>
      <c r="W510" s="434"/>
      <c r="X510" s="434"/>
      <c r="Y510" s="434"/>
      <c r="Z510" s="434"/>
      <c r="AA510" s="434"/>
      <c r="AB510" s="434"/>
      <c r="AC510" s="434"/>
      <c r="AD510" s="537"/>
      <c r="AE510" s="537"/>
      <c r="AF510" s="537"/>
      <c r="AG510" s="537"/>
      <c r="AH510" s="537"/>
      <c r="AI510" s="537"/>
      <c r="AJ510" s="434"/>
      <c r="AK510" s="434"/>
      <c r="AL510" s="434"/>
      <c r="AM510" s="434"/>
    </row>
    <row r="511">
      <c r="A511" s="434"/>
      <c r="B511" s="434"/>
      <c r="C511" s="434"/>
      <c r="D511" s="434"/>
      <c r="E511" s="434"/>
      <c r="F511" s="434"/>
      <c r="G511" s="434"/>
      <c r="H511" s="434"/>
      <c r="I511" s="434"/>
      <c r="J511" s="434"/>
      <c r="K511" s="434"/>
      <c r="L511" s="434"/>
      <c r="M511" s="434"/>
      <c r="N511" s="434"/>
      <c r="O511" s="434"/>
      <c r="P511" s="434"/>
      <c r="Q511" s="434"/>
      <c r="R511" s="434"/>
      <c r="S511" s="434"/>
      <c r="T511" s="434"/>
      <c r="U511" s="434"/>
      <c r="V511" s="434"/>
      <c r="W511" s="434"/>
      <c r="X511" s="434"/>
      <c r="Y511" s="434"/>
      <c r="Z511" s="434"/>
      <c r="AA511" s="434"/>
      <c r="AB511" s="434"/>
      <c r="AC511" s="434"/>
      <c r="AD511" s="537"/>
      <c r="AE511" s="537"/>
      <c r="AF511" s="537"/>
      <c r="AG511" s="537"/>
      <c r="AH511" s="537"/>
      <c r="AI511" s="537"/>
      <c r="AJ511" s="434"/>
      <c r="AK511" s="434"/>
      <c r="AL511" s="434"/>
      <c r="AM511" s="434"/>
    </row>
    <row r="512">
      <c r="A512" s="434"/>
      <c r="B512" s="434"/>
      <c r="C512" s="434"/>
      <c r="D512" s="434"/>
      <c r="E512" s="434"/>
      <c r="F512" s="434"/>
      <c r="G512" s="434"/>
      <c r="H512" s="434"/>
      <c r="I512" s="434"/>
      <c r="J512" s="434"/>
      <c r="K512" s="434"/>
      <c r="L512" s="434"/>
      <c r="M512" s="434"/>
      <c r="N512" s="434"/>
      <c r="O512" s="434"/>
      <c r="P512" s="434"/>
      <c r="Q512" s="434"/>
      <c r="R512" s="434"/>
      <c r="S512" s="434"/>
      <c r="T512" s="434"/>
      <c r="U512" s="434"/>
      <c r="V512" s="434"/>
      <c r="W512" s="434"/>
      <c r="X512" s="434"/>
      <c r="Y512" s="434"/>
      <c r="Z512" s="434"/>
      <c r="AA512" s="434"/>
      <c r="AB512" s="434"/>
      <c r="AC512" s="434"/>
      <c r="AD512" s="537"/>
      <c r="AE512" s="537"/>
      <c r="AF512" s="537"/>
      <c r="AG512" s="537"/>
      <c r="AH512" s="537"/>
      <c r="AI512" s="537"/>
      <c r="AJ512" s="434"/>
      <c r="AK512" s="434"/>
      <c r="AL512" s="434"/>
      <c r="AM512" s="434"/>
    </row>
    <row r="513">
      <c r="A513" s="434"/>
      <c r="B513" s="434"/>
      <c r="C513" s="434"/>
      <c r="D513" s="434"/>
      <c r="E513" s="434"/>
      <c r="F513" s="434"/>
      <c r="G513" s="434"/>
      <c r="H513" s="434"/>
      <c r="I513" s="434"/>
      <c r="J513" s="434"/>
      <c r="K513" s="434"/>
      <c r="L513" s="434"/>
      <c r="M513" s="434"/>
      <c r="N513" s="434"/>
      <c r="O513" s="434"/>
      <c r="P513" s="434"/>
      <c r="Q513" s="434"/>
      <c r="R513" s="434"/>
      <c r="S513" s="434"/>
      <c r="T513" s="434"/>
      <c r="U513" s="434"/>
      <c r="V513" s="434"/>
      <c r="W513" s="434"/>
      <c r="X513" s="434"/>
      <c r="Y513" s="434"/>
      <c r="Z513" s="434"/>
      <c r="AA513" s="434"/>
      <c r="AB513" s="434"/>
      <c r="AC513" s="434"/>
      <c r="AD513" s="537"/>
      <c r="AE513" s="537"/>
      <c r="AF513" s="537"/>
      <c r="AG513" s="537"/>
      <c r="AH513" s="537"/>
      <c r="AI513" s="537"/>
      <c r="AJ513" s="434"/>
      <c r="AK513" s="434"/>
      <c r="AL513" s="434"/>
      <c r="AM513" s="434"/>
    </row>
    <row r="514">
      <c r="A514" s="434"/>
      <c r="B514" s="434"/>
      <c r="C514" s="434"/>
      <c r="D514" s="434"/>
      <c r="E514" s="434"/>
      <c r="F514" s="434"/>
      <c r="G514" s="434"/>
      <c r="H514" s="434"/>
      <c r="I514" s="434"/>
      <c r="J514" s="434"/>
      <c r="K514" s="434"/>
      <c r="L514" s="434"/>
      <c r="M514" s="434"/>
      <c r="N514" s="434"/>
      <c r="O514" s="434"/>
      <c r="P514" s="434"/>
      <c r="Q514" s="434"/>
      <c r="R514" s="434"/>
      <c r="S514" s="434"/>
      <c r="T514" s="434"/>
      <c r="U514" s="434"/>
      <c r="V514" s="434"/>
      <c r="W514" s="434"/>
      <c r="X514" s="434"/>
      <c r="Y514" s="434"/>
      <c r="Z514" s="434"/>
      <c r="AA514" s="434"/>
      <c r="AB514" s="434"/>
      <c r="AC514" s="434"/>
      <c r="AD514" s="537"/>
      <c r="AE514" s="537"/>
      <c r="AF514" s="537"/>
      <c r="AG514" s="537"/>
      <c r="AH514" s="537"/>
      <c r="AI514" s="537"/>
      <c r="AJ514" s="434"/>
      <c r="AK514" s="434"/>
      <c r="AL514" s="434"/>
      <c r="AM514" s="434"/>
    </row>
    <row r="515">
      <c r="A515" s="434"/>
      <c r="B515" s="434"/>
      <c r="C515" s="434"/>
      <c r="D515" s="434"/>
      <c r="E515" s="434"/>
      <c r="F515" s="434"/>
      <c r="G515" s="434"/>
      <c r="H515" s="434"/>
      <c r="I515" s="434"/>
      <c r="J515" s="434"/>
      <c r="K515" s="434"/>
      <c r="L515" s="434"/>
      <c r="M515" s="434"/>
      <c r="N515" s="434"/>
      <c r="O515" s="434"/>
      <c r="P515" s="434"/>
      <c r="Q515" s="434"/>
      <c r="R515" s="434"/>
      <c r="S515" s="434"/>
      <c r="T515" s="434"/>
      <c r="U515" s="434"/>
      <c r="V515" s="434"/>
      <c r="W515" s="434"/>
      <c r="X515" s="434"/>
      <c r="Y515" s="434"/>
      <c r="Z515" s="434"/>
      <c r="AA515" s="434"/>
      <c r="AB515" s="434"/>
      <c r="AC515" s="434"/>
      <c r="AD515" s="537"/>
      <c r="AE515" s="537"/>
      <c r="AF515" s="537"/>
      <c r="AG515" s="537"/>
      <c r="AH515" s="537"/>
      <c r="AI515" s="537"/>
      <c r="AJ515" s="434"/>
      <c r="AK515" s="434"/>
      <c r="AL515" s="434"/>
      <c r="AM515" s="434"/>
    </row>
    <row r="516">
      <c r="A516" s="434"/>
      <c r="B516" s="434"/>
      <c r="C516" s="434"/>
      <c r="D516" s="434"/>
      <c r="E516" s="434"/>
      <c r="F516" s="434"/>
      <c r="G516" s="434"/>
      <c r="H516" s="434"/>
      <c r="I516" s="434"/>
      <c r="J516" s="434"/>
      <c r="K516" s="434"/>
      <c r="L516" s="434"/>
      <c r="M516" s="434"/>
      <c r="N516" s="434"/>
      <c r="O516" s="434"/>
      <c r="P516" s="434"/>
      <c r="Q516" s="434"/>
      <c r="R516" s="434"/>
      <c r="S516" s="434"/>
      <c r="T516" s="434"/>
      <c r="U516" s="434"/>
      <c r="V516" s="434"/>
      <c r="W516" s="434"/>
      <c r="X516" s="434"/>
      <c r="Y516" s="434"/>
      <c r="Z516" s="434"/>
      <c r="AA516" s="434"/>
      <c r="AB516" s="434"/>
      <c r="AC516" s="434"/>
      <c r="AD516" s="537"/>
      <c r="AE516" s="537"/>
      <c r="AF516" s="537"/>
      <c r="AG516" s="537"/>
      <c r="AH516" s="537"/>
      <c r="AI516" s="537"/>
      <c r="AJ516" s="434"/>
      <c r="AK516" s="434"/>
      <c r="AL516" s="434"/>
      <c r="AM516" s="434"/>
    </row>
    <row r="517">
      <c r="A517" s="434"/>
      <c r="B517" s="434"/>
      <c r="C517" s="434"/>
      <c r="D517" s="434"/>
      <c r="E517" s="434"/>
      <c r="F517" s="434"/>
      <c r="G517" s="434"/>
      <c r="H517" s="434"/>
      <c r="I517" s="434"/>
      <c r="J517" s="434"/>
      <c r="K517" s="434"/>
      <c r="L517" s="434"/>
      <c r="M517" s="434"/>
      <c r="N517" s="434"/>
      <c r="O517" s="434"/>
      <c r="P517" s="434"/>
      <c r="Q517" s="434"/>
      <c r="R517" s="434"/>
      <c r="S517" s="434"/>
      <c r="T517" s="434"/>
      <c r="U517" s="434"/>
      <c r="V517" s="434"/>
      <c r="W517" s="434"/>
      <c r="X517" s="434"/>
      <c r="Y517" s="434"/>
      <c r="Z517" s="434"/>
      <c r="AA517" s="434"/>
      <c r="AB517" s="434"/>
      <c r="AC517" s="434"/>
      <c r="AD517" s="537"/>
      <c r="AE517" s="537"/>
      <c r="AF517" s="537"/>
      <c r="AG517" s="537"/>
      <c r="AH517" s="537"/>
      <c r="AI517" s="537"/>
      <c r="AJ517" s="434"/>
      <c r="AK517" s="434"/>
      <c r="AL517" s="434"/>
      <c r="AM517" s="434"/>
    </row>
    <row r="518">
      <c r="A518" s="434"/>
      <c r="B518" s="434"/>
      <c r="C518" s="434"/>
      <c r="D518" s="434"/>
      <c r="E518" s="434"/>
      <c r="F518" s="434"/>
      <c r="G518" s="434"/>
      <c r="H518" s="434"/>
      <c r="I518" s="434"/>
      <c r="J518" s="434"/>
      <c r="K518" s="434"/>
      <c r="L518" s="434"/>
      <c r="M518" s="434"/>
      <c r="N518" s="434"/>
      <c r="O518" s="434"/>
      <c r="P518" s="434"/>
      <c r="Q518" s="434"/>
      <c r="R518" s="434"/>
      <c r="S518" s="434"/>
      <c r="T518" s="434"/>
      <c r="U518" s="434"/>
      <c r="V518" s="434"/>
      <c r="W518" s="434"/>
      <c r="X518" s="434"/>
      <c r="Y518" s="434"/>
      <c r="Z518" s="434"/>
      <c r="AA518" s="434"/>
      <c r="AB518" s="434"/>
      <c r="AC518" s="434"/>
      <c r="AD518" s="537"/>
      <c r="AE518" s="537"/>
      <c r="AF518" s="537"/>
      <c r="AG518" s="537"/>
      <c r="AH518" s="537"/>
      <c r="AI518" s="537"/>
      <c r="AJ518" s="434"/>
      <c r="AK518" s="434"/>
      <c r="AL518" s="434"/>
      <c r="AM518" s="434"/>
    </row>
    <row r="519">
      <c r="A519" s="434"/>
      <c r="B519" s="434"/>
      <c r="C519" s="434"/>
      <c r="D519" s="434"/>
      <c r="E519" s="434"/>
      <c r="F519" s="434"/>
      <c r="G519" s="434"/>
      <c r="H519" s="434"/>
      <c r="I519" s="434"/>
      <c r="J519" s="434"/>
      <c r="K519" s="434"/>
      <c r="L519" s="434"/>
      <c r="M519" s="434"/>
      <c r="N519" s="434"/>
      <c r="O519" s="434"/>
      <c r="P519" s="434"/>
      <c r="Q519" s="434"/>
      <c r="R519" s="434"/>
      <c r="S519" s="434"/>
      <c r="T519" s="434"/>
      <c r="U519" s="434"/>
      <c r="V519" s="434"/>
      <c r="W519" s="434"/>
      <c r="X519" s="434"/>
      <c r="Y519" s="434"/>
      <c r="Z519" s="434"/>
      <c r="AA519" s="434"/>
      <c r="AB519" s="434"/>
      <c r="AC519" s="434"/>
      <c r="AD519" s="537"/>
      <c r="AE519" s="537"/>
      <c r="AF519" s="537"/>
      <c r="AG519" s="537"/>
      <c r="AH519" s="537"/>
      <c r="AI519" s="537"/>
      <c r="AJ519" s="434"/>
      <c r="AK519" s="434"/>
      <c r="AL519" s="434"/>
      <c r="AM519" s="434"/>
    </row>
    <row r="520">
      <c r="A520" s="434"/>
      <c r="B520" s="434"/>
      <c r="C520" s="434"/>
      <c r="D520" s="434"/>
      <c r="E520" s="434"/>
      <c r="F520" s="434"/>
      <c r="G520" s="434"/>
      <c r="H520" s="434"/>
      <c r="I520" s="434"/>
      <c r="J520" s="434"/>
      <c r="K520" s="434"/>
      <c r="L520" s="434"/>
      <c r="M520" s="434"/>
      <c r="N520" s="434"/>
      <c r="O520" s="434"/>
      <c r="P520" s="434"/>
      <c r="Q520" s="434"/>
      <c r="R520" s="434"/>
      <c r="S520" s="434"/>
      <c r="T520" s="434"/>
      <c r="U520" s="434"/>
      <c r="V520" s="434"/>
      <c r="W520" s="434"/>
      <c r="X520" s="434"/>
      <c r="Y520" s="434"/>
      <c r="Z520" s="434"/>
      <c r="AA520" s="434"/>
      <c r="AB520" s="434"/>
      <c r="AC520" s="434"/>
      <c r="AD520" s="537"/>
      <c r="AE520" s="537"/>
      <c r="AF520" s="537"/>
      <c r="AG520" s="537"/>
      <c r="AH520" s="537"/>
      <c r="AI520" s="537"/>
      <c r="AJ520" s="434"/>
      <c r="AK520" s="434"/>
      <c r="AL520" s="434"/>
      <c r="AM520" s="434"/>
    </row>
    <row r="521">
      <c r="A521" s="434"/>
      <c r="B521" s="434"/>
      <c r="C521" s="434"/>
      <c r="D521" s="434"/>
      <c r="E521" s="434"/>
      <c r="F521" s="434"/>
      <c r="G521" s="434"/>
      <c r="H521" s="434"/>
      <c r="I521" s="434"/>
      <c r="J521" s="434"/>
      <c r="K521" s="434"/>
      <c r="L521" s="434"/>
      <c r="M521" s="434"/>
      <c r="N521" s="434"/>
      <c r="O521" s="434"/>
      <c r="P521" s="434"/>
      <c r="Q521" s="434"/>
      <c r="R521" s="434"/>
      <c r="S521" s="434"/>
      <c r="T521" s="434"/>
      <c r="U521" s="434"/>
      <c r="V521" s="434"/>
      <c r="W521" s="434"/>
      <c r="X521" s="434"/>
      <c r="Y521" s="434"/>
      <c r="Z521" s="434"/>
      <c r="AA521" s="434"/>
      <c r="AB521" s="434"/>
      <c r="AC521" s="434"/>
      <c r="AD521" s="537"/>
      <c r="AE521" s="537"/>
      <c r="AF521" s="537"/>
      <c r="AG521" s="537"/>
      <c r="AH521" s="537"/>
      <c r="AI521" s="537"/>
      <c r="AJ521" s="434"/>
      <c r="AK521" s="434"/>
      <c r="AL521" s="434"/>
      <c r="AM521" s="434"/>
    </row>
    <row r="522">
      <c r="A522" s="434"/>
      <c r="B522" s="434"/>
      <c r="C522" s="434"/>
      <c r="D522" s="434"/>
      <c r="E522" s="434"/>
      <c r="F522" s="434"/>
      <c r="G522" s="434"/>
      <c r="H522" s="434"/>
      <c r="I522" s="434"/>
      <c r="J522" s="434"/>
      <c r="K522" s="434"/>
      <c r="L522" s="434"/>
      <c r="M522" s="434"/>
      <c r="N522" s="434"/>
      <c r="O522" s="434"/>
      <c r="P522" s="434"/>
      <c r="Q522" s="434"/>
      <c r="R522" s="434"/>
      <c r="S522" s="434"/>
      <c r="T522" s="434"/>
      <c r="U522" s="434"/>
      <c r="V522" s="434"/>
      <c r="W522" s="434"/>
      <c r="X522" s="434"/>
      <c r="Y522" s="434"/>
      <c r="Z522" s="434"/>
      <c r="AA522" s="434"/>
      <c r="AB522" s="434"/>
      <c r="AC522" s="434"/>
      <c r="AD522" s="537"/>
      <c r="AE522" s="537"/>
      <c r="AF522" s="537"/>
      <c r="AG522" s="537"/>
      <c r="AH522" s="537"/>
      <c r="AI522" s="537"/>
      <c r="AJ522" s="434"/>
      <c r="AK522" s="434"/>
      <c r="AL522" s="434"/>
      <c r="AM522" s="434"/>
    </row>
    <row r="523">
      <c r="A523" s="434"/>
      <c r="B523" s="434"/>
      <c r="C523" s="434"/>
      <c r="D523" s="434"/>
      <c r="E523" s="434"/>
      <c r="F523" s="434"/>
      <c r="G523" s="434"/>
      <c r="H523" s="434"/>
      <c r="I523" s="434"/>
      <c r="J523" s="434"/>
      <c r="K523" s="434"/>
      <c r="L523" s="434"/>
      <c r="M523" s="434"/>
      <c r="N523" s="434"/>
      <c r="O523" s="434"/>
      <c r="P523" s="434"/>
      <c r="Q523" s="434"/>
      <c r="R523" s="434"/>
      <c r="S523" s="434"/>
      <c r="T523" s="434"/>
      <c r="U523" s="434"/>
      <c r="V523" s="434"/>
      <c r="W523" s="434"/>
      <c r="X523" s="434"/>
      <c r="Y523" s="434"/>
      <c r="Z523" s="434"/>
      <c r="AA523" s="434"/>
      <c r="AB523" s="434"/>
      <c r="AC523" s="434"/>
      <c r="AD523" s="537"/>
      <c r="AE523" s="537"/>
      <c r="AF523" s="537"/>
      <c r="AG523" s="537"/>
      <c r="AH523" s="537"/>
      <c r="AI523" s="537"/>
      <c r="AJ523" s="434"/>
      <c r="AK523" s="434"/>
      <c r="AL523" s="434"/>
      <c r="AM523" s="434"/>
    </row>
    <row r="524">
      <c r="A524" s="434"/>
      <c r="B524" s="434"/>
      <c r="C524" s="434"/>
      <c r="D524" s="434"/>
      <c r="E524" s="434"/>
      <c r="F524" s="434"/>
      <c r="G524" s="434"/>
      <c r="H524" s="434"/>
      <c r="I524" s="434"/>
      <c r="J524" s="434"/>
      <c r="K524" s="434"/>
      <c r="L524" s="434"/>
      <c r="M524" s="434"/>
      <c r="N524" s="434"/>
      <c r="O524" s="434"/>
      <c r="P524" s="434"/>
      <c r="Q524" s="434"/>
      <c r="R524" s="434"/>
      <c r="S524" s="434"/>
      <c r="T524" s="434"/>
      <c r="U524" s="434"/>
      <c r="V524" s="434"/>
      <c r="W524" s="434"/>
      <c r="X524" s="434"/>
      <c r="Y524" s="434"/>
      <c r="Z524" s="434"/>
      <c r="AA524" s="434"/>
      <c r="AB524" s="434"/>
      <c r="AC524" s="434"/>
      <c r="AD524" s="537"/>
      <c r="AE524" s="537"/>
      <c r="AF524" s="537"/>
      <c r="AG524" s="537"/>
      <c r="AH524" s="537"/>
      <c r="AI524" s="537"/>
      <c r="AJ524" s="434"/>
      <c r="AK524" s="434"/>
      <c r="AL524" s="434"/>
      <c r="AM524" s="434"/>
    </row>
    <row r="525">
      <c r="A525" s="434"/>
      <c r="B525" s="434"/>
      <c r="C525" s="434"/>
      <c r="D525" s="434"/>
      <c r="E525" s="434"/>
      <c r="F525" s="434"/>
      <c r="G525" s="434"/>
      <c r="H525" s="434"/>
      <c r="I525" s="434"/>
      <c r="J525" s="434"/>
      <c r="K525" s="434"/>
      <c r="L525" s="434"/>
      <c r="M525" s="434"/>
      <c r="N525" s="434"/>
      <c r="O525" s="434"/>
      <c r="P525" s="434"/>
      <c r="Q525" s="434"/>
      <c r="R525" s="434"/>
      <c r="S525" s="434"/>
      <c r="T525" s="434"/>
      <c r="U525" s="434"/>
      <c r="V525" s="434"/>
      <c r="W525" s="434"/>
      <c r="X525" s="434"/>
      <c r="Y525" s="434"/>
      <c r="Z525" s="434"/>
      <c r="AA525" s="434"/>
      <c r="AB525" s="434"/>
      <c r="AC525" s="434"/>
      <c r="AD525" s="537"/>
      <c r="AE525" s="537"/>
      <c r="AF525" s="537"/>
      <c r="AG525" s="537"/>
      <c r="AH525" s="537"/>
      <c r="AI525" s="537"/>
      <c r="AJ525" s="434"/>
      <c r="AK525" s="434"/>
      <c r="AL525" s="434"/>
      <c r="AM525" s="434"/>
    </row>
    <row r="526">
      <c r="A526" s="434"/>
      <c r="B526" s="434"/>
      <c r="C526" s="434"/>
      <c r="D526" s="434"/>
      <c r="E526" s="434"/>
      <c r="F526" s="434"/>
      <c r="G526" s="434"/>
      <c r="H526" s="434"/>
      <c r="I526" s="434"/>
      <c r="J526" s="434"/>
      <c r="K526" s="434"/>
      <c r="L526" s="434"/>
      <c r="M526" s="434"/>
      <c r="N526" s="434"/>
      <c r="O526" s="434"/>
      <c r="P526" s="434"/>
      <c r="Q526" s="434"/>
      <c r="R526" s="434"/>
      <c r="S526" s="434"/>
      <c r="T526" s="434"/>
      <c r="U526" s="434"/>
      <c r="V526" s="434"/>
      <c r="W526" s="434"/>
      <c r="X526" s="434"/>
      <c r="Y526" s="434"/>
      <c r="Z526" s="434"/>
      <c r="AA526" s="434"/>
      <c r="AB526" s="434"/>
      <c r="AC526" s="434"/>
      <c r="AD526" s="537"/>
      <c r="AE526" s="537"/>
      <c r="AF526" s="537"/>
      <c r="AG526" s="537"/>
      <c r="AH526" s="537"/>
      <c r="AI526" s="537"/>
      <c r="AJ526" s="434"/>
      <c r="AK526" s="434"/>
      <c r="AL526" s="434"/>
      <c r="AM526" s="434"/>
    </row>
    <row r="527">
      <c r="A527" s="434"/>
      <c r="B527" s="434"/>
      <c r="C527" s="434"/>
      <c r="D527" s="434"/>
      <c r="E527" s="434"/>
      <c r="F527" s="434"/>
      <c r="G527" s="434"/>
      <c r="H527" s="434"/>
      <c r="I527" s="434"/>
      <c r="J527" s="434"/>
      <c r="K527" s="434"/>
      <c r="L527" s="434"/>
      <c r="M527" s="434"/>
      <c r="N527" s="434"/>
      <c r="O527" s="434"/>
      <c r="P527" s="434"/>
      <c r="Q527" s="434"/>
      <c r="R527" s="434"/>
      <c r="S527" s="434"/>
      <c r="T527" s="434"/>
      <c r="U527" s="434"/>
      <c r="V527" s="434"/>
      <c r="W527" s="434"/>
      <c r="X527" s="434"/>
      <c r="Y527" s="434"/>
      <c r="Z527" s="434"/>
      <c r="AA527" s="434"/>
      <c r="AB527" s="434"/>
      <c r="AC527" s="434"/>
      <c r="AD527" s="537"/>
      <c r="AE527" s="537"/>
      <c r="AF527" s="537"/>
      <c r="AG527" s="537"/>
      <c r="AH527" s="537"/>
      <c r="AI527" s="537"/>
      <c r="AJ527" s="434"/>
      <c r="AK527" s="434"/>
      <c r="AL527" s="434"/>
      <c r="AM527" s="434"/>
    </row>
    <row r="528">
      <c r="A528" s="434"/>
      <c r="B528" s="434"/>
      <c r="C528" s="434"/>
      <c r="D528" s="434"/>
      <c r="E528" s="434"/>
      <c r="F528" s="434"/>
      <c r="G528" s="434"/>
      <c r="H528" s="434"/>
      <c r="I528" s="434"/>
      <c r="J528" s="434"/>
      <c r="K528" s="434"/>
      <c r="L528" s="434"/>
      <c r="M528" s="434"/>
      <c r="N528" s="434"/>
      <c r="O528" s="434"/>
      <c r="P528" s="434"/>
      <c r="Q528" s="434"/>
      <c r="R528" s="434"/>
      <c r="S528" s="434"/>
      <c r="T528" s="434"/>
      <c r="U528" s="434"/>
      <c r="V528" s="434"/>
      <c r="W528" s="434"/>
      <c r="X528" s="434"/>
      <c r="Y528" s="434"/>
      <c r="Z528" s="434"/>
      <c r="AA528" s="434"/>
      <c r="AB528" s="434"/>
      <c r="AC528" s="434"/>
      <c r="AD528" s="537"/>
      <c r="AE528" s="537"/>
      <c r="AF528" s="537"/>
      <c r="AG528" s="537"/>
      <c r="AH528" s="537"/>
      <c r="AI528" s="537"/>
      <c r="AJ528" s="434"/>
      <c r="AK528" s="434"/>
      <c r="AL528" s="434"/>
      <c r="AM528" s="434"/>
    </row>
    <row r="529">
      <c r="A529" s="434"/>
      <c r="B529" s="434"/>
      <c r="C529" s="434"/>
      <c r="D529" s="434"/>
      <c r="E529" s="434"/>
      <c r="F529" s="434"/>
      <c r="G529" s="434"/>
      <c r="H529" s="434"/>
      <c r="I529" s="434"/>
      <c r="J529" s="434"/>
      <c r="K529" s="434"/>
      <c r="L529" s="434"/>
      <c r="M529" s="434"/>
      <c r="N529" s="434"/>
      <c r="O529" s="434"/>
      <c r="P529" s="434"/>
      <c r="Q529" s="434"/>
      <c r="R529" s="434"/>
      <c r="S529" s="434"/>
      <c r="T529" s="434"/>
      <c r="U529" s="434"/>
      <c r="V529" s="434"/>
      <c r="W529" s="434"/>
      <c r="X529" s="434"/>
      <c r="Y529" s="434"/>
      <c r="Z529" s="434"/>
      <c r="AA529" s="434"/>
      <c r="AB529" s="434"/>
      <c r="AC529" s="434"/>
      <c r="AD529" s="537"/>
      <c r="AE529" s="537"/>
      <c r="AF529" s="537"/>
      <c r="AG529" s="537"/>
      <c r="AH529" s="537"/>
      <c r="AI529" s="537"/>
      <c r="AJ529" s="434"/>
      <c r="AK529" s="434"/>
      <c r="AL529" s="434"/>
      <c r="AM529" s="434"/>
    </row>
    <row r="530">
      <c r="A530" s="434"/>
      <c r="B530" s="434"/>
      <c r="C530" s="434"/>
      <c r="D530" s="434"/>
      <c r="E530" s="434"/>
      <c r="F530" s="434"/>
      <c r="G530" s="434"/>
      <c r="H530" s="434"/>
      <c r="I530" s="434"/>
      <c r="J530" s="434"/>
      <c r="K530" s="434"/>
      <c r="L530" s="434"/>
      <c r="M530" s="434"/>
      <c r="N530" s="434"/>
      <c r="O530" s="434"/>
      <c r="P530" s="434"/>
      <c r="Q530" s="434"/>
      <c r="R530" s="434"/>
      <c r="S530" s="434"/>
      <c r="T530" s="434"/>
      <c r="U530" s="434"/>
      <c r="V530" s="434"/>
      <c r="W530" s="434"/>
      <c r="X530" s="434"/>
      <c r="Y530" s="434"/>
      <c r="Z530" s="434"/>
      <c r="AA530" s="434"/>
      <c r="AB530" s="434"/>
      <c r="AC530" s="434"/>
      <c r="AD530" s="537"/>
      <c r="AE530" s="537"/>
      <c r="AF530" s="537"/>
      <c r="AG530" s="537"/>
      <c r="AH530" s="537"/>
      <c r="AI530" s="537"/>
      <c r="AJ530" s="434"/>
      <c r="AK530" s="434"/>
      <c r="AL530" s="434"/>
      <c r="AM530" s="434"/>
    </row>
    <row r="531">
      <c r="A531" s="434"/>
      <c r="B531" s="434"/>
      <c r="C531" s="434"/>
      <c r="D531" s="434"/>
      <c r="E531" s="434"/>
      <c r="F531" s="434"/>
      <c r="G531" s="434"/>
      <c r="H531" s="434"/>
      <c r="I531" s="434"/>
      <c r="J531" s="434"/>
      <c r="K531" s="434"/>
      <c r="L531" s="434"/>
      <c r="M531" s="434"/>
      <c r="N531" s="434"/>
      <c r="O531" s="434"/>
      <c r="P531" s="434"/>
      <c r="Q531" s="434"/>
      <c r="R531" s="434"/>
      <c r="S531" s="434"/>
      <c r="T531" s="434"/>
      <c r="U531" s="434"/>
      <c r="V531" s="434"/>
      <c r="W531" s="434"/>
      <c r="X531" s="434"/>
      <c r="Y531" s="434"/>
      <c r="Z531" s="434"/>
      <c r="AA531" s="434"/>
      <c r="AB531" s="434"/>
      <c r="AC531" s="434"/>
      <c r="AD531" s="537"/>
      <c r="AE531" s="537"/>
      <c r="AF531" s="537"/>
      <c r="AG531" s="537"/>
      <c r="AH531" s="537"/>
      <c r="AI531" s="537"/>
      <c r="AJ531" s="434"/>
      <c r="AK531" s="434"/>
      <c r="AL531" s="434"/>
      <c r="AM531" s="434"/>
    </row>
    <row r="532">
      <c r="A532" s="434"/>
      <c r="B532" s="434"/>
      <c r="C532" s="434"/>
      <c r="D532" s="434"/>
      <c r="E532" s="434"/>
      <c r="F532" s="434"/>
      <c r="G532" s="434"/>
      <c r="H532" s="434"/>
      <c r="I532" s="434"/>
      <c r="J532" s="434"/>
      <c r="K532" s="434"/>
      <c r="L532" s="434"/>
      <c r="M532" s="434"/>
      <c r="N532" s="434"/>
      <c r="O532" s="434"/>
      <c r="P532" s="434"/>
      <c r="Q532" s="434"/>
      <c r="R532" s="434"/>
      <c r="S532" s="434"/>
      <c r="T532" s="434"/>
      <c r="U532" s="434"/>
      <c r="V532" s="434"/>
      <c r="W532" s="434"/>
      <c r="X532" s="434"/>
      <c r="Y532" s="434"/>
      <c r="Z532" s="434"/>
      <c r="AA532" s="434"/>
      <c r="AB532" s="434"/>
      <c r="AC532" s="434"/>
      <c r="AD532" s="537"/>
      <c r="AE532" s="537"/>
      <c r="AF532" s="537"/>
      <c r="AG532" s="537"/>
      <c r="AH532" s="537"/>
      <c r="AI532" s="537"/>
      <c r="AJ532" s="434"/>
      <c r="AK532" s="434"/>
      <c r="AL532" s="434"/>
      <c r="AM532" s="434"/>
    </row>
    <row r="533">
      <c r="A533" s="434"/>
      <c r="B533" s="434"/>
      <c r="C533" s="434"/>
      <c r="D533" s="434"/>
      <c r="E533" s="434"/>
      <c r="F533" s="434"/>
      <c r="G533" s="434"/>
      <c r="H533" s="434"/>
      <c r="I533" s="434"/>
      <c r="J533" s="434"/>
      <c r="K533" s="434"/>
      <c r="L533" s="434"/>
      <c r="M533" s="434"/>
      <c r="N533" s="434"/>
      <c r="O533" s="434"/>
      <c r="P533" s="434"/>
      <c r="Q533" s="434"/>
      <c r="R533" s="434"/>
      <c r="S533" s="434"/>
      <c r="T533" s="434"/>
      <c r="U533" s="434"/>
      <c r="V533" s="434"/>
      <c r="W533" s="434"/>
      <c r="X533" s="434"/>
      <c r="Y533" s="434"/>
      <c r="Z533" s="434"/>
      <c r="AA533" s="434"/>
      <c r="AB533" s="434"/>
      <c r="AC533" s="434"/>
      <c r="AD533" s="537"/>
      <c r="AE533" s="537"/>
      <c r="AF533" s="537"/>
      <c r="AG533" s="537"/>
      <c r="AH533" s="537"/>
      <c r="AI533" s="537"/>
      <c r="AJ533" s="434"/>
      <c r="AK533" s="434"/>
      <c r="AL533" s="434"/>
      <c r="AM533" s="434"/>
    </row>
    <row r="534">
      <c r="A534" s="434"/>
      <c r="B534" s="434"/>
      <c r="C534" s="434"/>
      <c r="D534" s="434"/>
      <c r="E534" s="434"/>
      <c r="F534" s="434"/>
      <c r="G534" s="434"/>
      <c r="H534" s="434"/>
      <c r="I534" s="434"/>
      <c r="J534" s="434"/>
      <c r="K534" s="434"/>
      <c r="L534" s="434"/>
      <c r="M534" s="434"/>
      <c r="N534" s="434"/>
      <c r="O534" s="434"/>
      <c r="P534" s="434"/>
      <c r="Q534" s="434"/>
      <c r="R534" s="434"/>
      <c r="S534" s="434"/>
      <c r="T534" s="434"/>
      <c r="U534" s="434"/>
      <c r="V534" s="434"/>
      <c r="W534" s="434"/>
      <c r="X534" s="434"/>
      <c r="Y534" s="434"/>
      <c r="Z534" s="434"/>
      <c r="AA534" s="434"/>
      <c r="AB534" s="434"/>
      <c r="AC534" s="434"/>
      <c r="AD534" s="537"/>
      <c r="AE534" s="537"/>
      <c r="AF534" s="537"/>
      <c r="AG534" s="537"/>
      <c r="AH534" s="537"/>
      <c r="AI534" s="537"/>
      <c r="AJ534" s="434"/>
      <c r="AK534" s="434"/>
      <c r="AL534" s="434"/>
      <c r="AM534" s="434"/>
    </row>
    <row r="535">
      <c r="A535" s="434"/>
      <c r="B535" s="434"/>
      <c r="C535" s="434"/>
      <c r="D535" s="434"/>
      <c r="E535" s="434"/>
      <c r="F535" s="434"/>
      <c r="G535" s="434"/>
      <c r="H535" s="434"/>
      <c r="I535" s="434"/>
      <c r="J535" s="434"/>
      <c r="K535" s="434"/>
      <c r="L535" s="434"/>
      <c r="M535" s="434"/>
      <c r="N535" s="434"/>
      <c r="O535" s="434"/>
      <c r="P535" s="434"/>
      <c r="Q535" s="434"/>
      <c r="R535" s="434"/>
      <c r="S535" s="434"/>
      <c r="T535" s="434"/>
      <c r="U535" s="434"/>
      <c r="V535" s="434"/>
      <c r="W535" s="434"/>
      <c r="X535" s="434"/>
      <c r="Y535" s="434"/>
      <c r="Z535" s="434"/>
      <c r="AA535" s="434"/>
      <c r="AB535" s="434"/>
      <c r="AC535" s="434"/>
      <c r="AD535" s="537"/>
      <c r="AE535" s="537"/>
      <c r="AF535" s="537"/>
      <c r="AG535" s="537"/>
      <c r="AH535" s="537"/>
      <c r="AI535" s="537"/>
      <c r="AJ535" s="434"/>
      <c r="AK535" s="434"/>
      <c r="AL535" s="434"/>
      <c r="AM535" s="434"/>
    </row>
    <row r="536">
      <c r="A536" s="434"/>
      <c r="B536" s="434"/>
      <c r="C536" s="434"/>
      <c r="D536" s="434"/>
      <c r="E536" s="434"/>
      <c r="F536" s="434"/>
      <c r="G536" s="434"/>
      <c r="H536" s="434"/>
      <c r="I536" s="434"/>
      <c r="J536" s="434"/>
      <c r="K536" s="434"/>
      <c r="L536" s="434"/>
      <c r="M536" s="434"/>
      <c r="N536" s="434"/>
      <c r="O536" s="434"/>
      <c r="P536" s="434"/>
      <c r="Q536" s="434"/>
      <c r="R536" s="434"/>
      <c r="S536" s="434"/>
      <c r="T536" s="434"/>
      <c r="U536" s="434"/>
      <c r="V536" s="434"/>
      <c r="W536" s="434"/>
      <c r="X536" s="434"/>
      <c r="Y536" s="434"/>
      <c r="Z536" s="434"/>
      <c r="AA536" s="434"/>
      <c r="AB536" s="434"/>
      <c r="AC536" s="434"/>
      <c r="AD536" s="537"/>
      <c r="AE536" s="537"/>
      <c r="AF536" s="537"/>
      <c r="AG536" s="537"/>
      <c r="AH536" s="537"/>
      <c r="AI536" s="537"/>
      <c r="AJ536" s="434"/>
      <c r="AK536" s="434"/>
      <c r="AL536" s="434"/>
      <c r="AM536" s="434"/>
    </row>
    <row r="537">
      <c r="A537" s="434"/>
      <c r="B537" s="434"/>
      <c r="C537" s="434"/>
      <c r="D537" s="434"/>
      <c r="E537" s="434"/>
      <c r="F537" s="434"/>
      <c r="G537" s="434"/>
      <c r="H537" s="434"/>
      <c r="I537" s="434"/>
      <c r="J537" s="434"/>
      <c r="K537" s="434"/>
      <c r="L537" s="434"/>
      <c r="M537" s="434"/>
      <c r="N537" s="434"/>
      <c r="O537" s="434"/>
      <c r="P537" s="434"/>
      <c r="Q537" s="434"/>
      <c r="R537" s="434"/>
      <c r="S537" s="434"/>
      <c r="T537" s="434"/>
      <c r="U537" s="434"/>
      <c r="V537" s="434"/>
      <c r="W537" s="434"/>
      <c r="X537" s="434"/>
      <c r="Y537" s="434"/>
      <c r="Z537" s="434"/>
      <c r="AA537" s="434"/>
      <c r="AB537" s="434"/>
      <c r="AC537" s="434"/>
      <c r="AD537" s="537"/>
      <c r="AE537" s="537"/>
      <c r="AF537" s="537"/>
      <c r="AG537" s="537"/>
      <c r="AH537" s="537"/>
      <c r="AI537" s="537"/>
      <c r="AJ537" s="434"/>
      <c r="AK537" s="434"/>
      <c r="AL537" s="434"/>
      <c r="AM537" s="434"/>
    </row>
    <row r="538">
      <c r="A538" s="434"/>
      <c r="B538" s="434"/>
      <c r="C538" s="434"/>
      <c r="D538" s="434"/>
      <c r="E538" s="434"/>
      <c r="F538" s="434"/>
      <c r="G538" s="434"/>
      <c r="H538" s="434"/>
      <c r="I538" s="434"/>
      <c r="J538" s="434"/>
      <c r="K538" s="434"/>
      <c r="L538" s="434"/>
      <c r="M538" s="434"/>
      <c r="N538" s="434"/>
      <c r="O538" s="434"/>
      <c r="P538" s="434"/>
      <c r="Q538" s="434"/>
      <c r="R538" s="434"/>
      <c r="S538" s="434"/>
      <c r="T538" s="434"/>
      <c r="U538" s="434"/>
      <c r="V538" s="434"/>
      <c r="W538" s="434"/>
      <c r="X538" s="434"/>
      <c r="Y538" s="434"/>
      <c r="Z538" s="434"/>
      <c r="AA538" s="434"/>
      <c r="AB538" s="434"/>
      <c r="AC538" s="434"/>
      <c r="AD538" s="537"/>
      <c r="AE538" s="537"/>
      <c r="AF538" s="537"/>
      <c r="AG538" s="537"/>
      <c r="AH538" s="537"/>
      <c r="AI538" s="537"/>
      <c r="AJ538" s="434"/>
      <c r="AK538" s="434"/>
      <c r="AL538" s="434"/>
      <c r="AM538" s="434"/>
    </row>
    <row r="539">
      <c r="A539" s="434"/>
      <c r="B539" s="434"/>
      <c r="C539" s="434"/>
      <c r="D539" s="434"/>
      <c r="E539" s="434"/>
      <c r="F539" s="434"/>
      <c r="G539" s="434"/>
      <c r="H539" s="434"/>
      <c r="I539" s="434"/>
      <c r="J539" s="434"/>
      <c r="K539" s="434"/>
      <c r="L539" s="434"/>
      <c r="M539" s="434"/>
      <c r="N539" s="434"/>
      <c r="O539" s="434"/>
      <c r="P539" s="434"/>
      <c r="Q539" s="434"/>
      <c r="R539" s="434"/>
      <c r="S539" s="434"/>
      <c r="T539" s="434"/>
      <c r="U539" s="434"/>
      <c r="V539" s="434"/>
      <c r="W539" s="434"/>
      <c r="X539" s="434"/>
      <c r="Y539" s="434"/>
      <c r="Z539" s="434"/>
      <c r="AA539" s="434"/>
      <c r="AB539" s="434"/>
      <c r="AC539" s="434"/>
      <c r="AD539" s="537"/>
      <c r="AE539" s="537"/>
      <c r="AF539" s="537"/>
      <c r="AG539" s="537"/>
      <c r="AH539" s="537"/>
      <c r="AI539" s="537"/>
      <c r="AJ539" s="434"/>
      <c r="AK539" s="434"/>
      <c r="AL539" s="434"/>
      <c r="AM539" s="434"/>
    </row>
    <row r="540">
      <c r="A540" s="434"/>
      <c r="B540" s="434"/>
      <c r="C540" s="434"/>
      <c r="D540" s="434"/>
      <c r="E540" s="434"/>
      <c r="F540" s="434"/>
      <c r="G540" s="434"/>
      <c r="H540" s="434"/>
      <c r="I540" s="434"/>
      <c r="J540" s="434"/>
      <c r="K540" s="434"/>
      <c r="L540" s="434"/>
      <c r="M540" s="434"/>
      <c r="N540" s="434"/>
      <c r="O540" s="434"/>
      <c r="P540" s="434"/>
      <c r="Q540" s="434"/>
      <c r="R540" s="434"/>
      <c r="S540" s="434"/>
      <c r="T540" s="434"/>
      <c r="U540" s="434"/>
      <c r="V540" s="434"/>
      <c r="W540" s="434"/>
      <c r="X540" s="434"/>
      <c r="Y540" s="434"/>
      <c r="Z540" s="434"/>
      <c r="AA540" s="434"/>
      <c r="AB540" s="434"/>
      <c r="AC540" s="434"/>
      <c r="AD540" s="537"/>
      <c r="AE540" s="537"/>
      <c r="AF540" s="537"/>
      <c r="AG540" s="537"/>
      <c r="AH540" s="537"/>
      <c r="AI540" s="537"/>
      <c r="AJ540" s="434"/>
      <c r="AK540" s="434"/>
      <c r="AL540" s="434"/>
      <c r="AM540" s="434"/>
    </row>
    <row r="541">
      <c r="A541" s="434"/>
      <c r="B541" s="434"/>
      <c r="C541" s="434"/>
      <c r="D541" s="434"/>
      <c r="E541" s="434"/>
      <c r="F541" s="434"/>
      <c r="G541" s="434"/>
      <c r="H541" s="434"/>
      <c r="I541" s="434"/>
      <c r="J541" s="434"/>
      <c r="K541" s="434"/>
      <c r="L541" s="434"/>
      <c r="M541" s="434"/>
      <c r="N541" s="434"/>
      <c r="O541" s="434"/>
      <c r="P541" s="434"/>
      <c r="Q541" s="434"/>
      <c r="R541" s="434"/>
      <c r="S541" s="434"/>
      <c r="T541" s="434"/>
      <c r="U541" s="434"/>
      <c r="V541" s="434"/>
      <c r="W541" s="434"/>
      <c r="X541" s="434"/>
      <c r="Y541" s="434"/>
      <c r="Z541" s="434"/>
      <c r="AA541" s="434"/>
      <c r="AB541" s="434"/>
      <c r="AC541" s="434"/>
      <c r="AD541" s="537"/>
      <c r="AE541" s="537"/>
      <c r="AF541" s="537"/>
      <c r="AG541" s="537"/>
      <c r="AH541" s="537"/>
      <c r="AI541" s="537"/>
      <c r="AJ541" s="434"/>
      <c r="AK541" s="434"/>
      <c r="AL541" s="434"/>
      <c r="AM541" s="434"/>
    </row>
    <row r="542">
      <c r="A542" s="434"/>
      <c r="B542" s="434"/>
      <c r="C542" s="434"/>
      <c r="D542" s="434"/>
      <c r="E542" s="434"/>
      <c r="F542" s="434"/>
      <c r="G542" s="434"/>
      <c r="H542" s="434"/>
      <c r="I542" s="434"/>
      <c r="J542" s="434"/>
      <c r="K542" s="434"/>
      <c r="L542" s="434"/>
      <c r="M542" s="434"/>
      <c r="N542" s="434"/>
      <c r="O542" s="434"/>
      <c r="P542" s="434"/>
      <c r="Q542" s="434"/>
      <c r="R542" s="434"/>
      <c r="S542" s="434"/>
      <c r="T542" s="434"/>
      <c r="U542" s="434"/>
      <c r="V542" s="434"/>
      <c r="W542" s="434"/>
      <c r="X542" s="434"/>
      <c r="Y542" s="434"/>
      <c r="Z542" s="434"/>
      <c r="AA542" s="434"/>
      <c r="AB542" s="434"/>
      <c r="AC542" s="434"/>
      <c r="AD542" s="537"/>
      <c r="AE542" s="537"/>
      <c r="AF542" s="537"/>
      <c r="AG542" s="537"/>
      <c r="AH542" s="537"/>
      <c r="AI542" s="537"/>
      <c r="AJ542" s="434"/>
      <c r="AK542" s="434"/>
      <c r="AL542" s="434"/>
      <c r="AM542" s="434"/>
    </row>
    <row r="543">
      <c r="A543" s="434"/>
      <c r="B543" s="434"/>
      <c r="C543" s="434"/>
      <c r="D543" s="434"/>
      <c r="E543" s="434"/>
      <c r="F543" s="434"/>
      <c r="G543" s="434"/>
      <c r="H543" s="434"/>
      <c r="I543" s="434"/>
      <c r="J543" s="434"/>
      <c r="K543" s="434"/>
      <c r="L543" s="434"/>
      <c r="M543" s="434"/>
      <c r="N543" s="434"/>
      <c r="O543" s="434"/>
      <c r="P543" s="434"/>
      <c r="Q543" s="434"/>
      <c r="R543" s="434"/>
      <c r="S543" s="434"/>
      <c r="T543" s="434"/>
      <c r="U543" s="434"/>
      <c r="V543" s="434"/>
      <c r="W543" s="434"/>
      <c r="X543" s="434"/>
      <c r="Y543" s="434"/>
      <c r="Z543" s="434"/>
      <c r="AA543" s="434"/>
      <c r="AB543" s="434"/>
      <c r="AC543" s="434"/>
      <c r="AD543" s="537"/>
      <c r="AE543" s="537"/>
      <c r="AF543" s="537"/>
      <c r="AG543" s="537"/>
      <c r="AH543" s="537"/>
      <c r="AI543" s="537"/>
      <c r="AJ543" s="434"/>
      <c r="AK543" s="434"/>
      <c r="AL543" s="434"/>
      <c r="AM543" s="434"/>
    </row>
    <row r="544">
      <c r="A544" s="434"/>
      <c r="B544" s="434"/>
      <c r="C544" s="434"/>
      <c r="D544" s="434"/>
      <c r="E544" s="434"/>
      <c r="F544" s="434"/>
      <c r="G544" s="434"/>
      <c r="H544" s="434"/>
      <c r="I544" s="434"/>
      <c r="J544" s="434"/>
      <c r="K544" s="434"/>
      <c r="L544" s="434"/>
      <c r="M544" s="434"/>
      <c r="N544" s="434"/>
      <c r="O544" s="434"/>
      <c r="P544" s="434"/>
      <c r="Q544" s="434"/>
      <c r="R544" s="434"/>
      <c r="S544" s="434"/>
      <c r="T544" s="434"/>
      <c r="U544" s="434"/>
      <c r="V544" s="434"/>
      <c r="W544" s="434"/>
      <c r="X544" s="434"/>
      <c r="Y544" s="434"/>
      <c r="Z544" s="434"/>
      <c r="AA544" s="434"/>
      <c r="AB544" s="434"/>
      <c r="AC544" s="434"/>
      <c r="AD544" s="537"/>
      <c r="AE544" s="537"/>
      <c r="AF544" s="537"/>
      <c r="AG544" s="537"/>
      <c r="AH544" s="537"/>
      <c r="AI544" s="537"/>
      <c r="AJ544" s="434"/>
      <c r="AK544" s="434"/>
      <c r="AL544" s="434"/>
      <c r="AM544" s="434"/>
    </row>
    <row r="545">
      <c r="A545" s="434"/>
      <c r="B545" s="434"/>
      <c r="C545" s="434"/>
      <c r="D545" s="434"/>
      <c r="E545" s="434"/>
      <c r="F545" s="434"/>
      <c r="G545" s="434"/>
      <c r="H545" s="434"/>
      <c r="I545" s="434"/>
      <c r="J545" s="434"/>
      <c r="K545" s="434"/>
      <c r="L545" s="434"/>
      <c r="M545" s="434"/>
      <c r="N545" s="434"/>
      <c r="O545" s="434"/>
      <c r="P545" s="434"/>
      <c r="Q545" s="434"/>
      <c r="R545" s="434"/>
      <c r="S545" s="434"/>
      <c r="T545" s="434"/>
      <c r="U545" s="434"/>
      <c r="V545" s="434"/>
      <c r="W545" s="434"/>
      <c r="X545" s="434"/>
      <c r="Y545" s="434"/>
      <c r="Z545" s="434"/>
      <c r="AA545" s="434"/>
      <c r="AB545" s="434"/>
      <c r="AC545" s="434"/>
      <c r="AD545" s="537"/>
      <c r="AE545" s="537"/>
      <c r="AF545" s="537"/>
      <c r="AG545" s="537"/>
      <c r="AH545" s="537"/>
      <c r="AI545" s="537"/>
      <c r="AJ545" s="434"/>
      <c r="AK545" s="434"/>
      <c r="AL545" s="434"/>
      <c r="AM545" s="434"/>
    </row>
    <row r="546">
      <c r="A546" s="434"/>
      <c r="B546" s="434"/>
      <c r="C546" s="434"/>
      <c r="D546" s="434"/>
      <c r="E546" s="434"/>
      <c r="F546" s="434"/>
      <c r="G546" s="434"/>
      <c r="H546" s="434"/>
      <c r="I546" s="434"/>
      <c r="J546" s="434"/>
      <c r="K546" s="434"/>
      <c r="L546" s="434"/>
      <c r="M546" s="434"/>
      <c r="N546" s="434"/>
      <c r="O546" s="434"/>
      <c r="P546" s="434"/>
      <c r="Q546" s="434"/>
      <c r="R546" s="434"/>
      <c r="S546" s="434"/>
      <c r="T546" s="434"/>
      <c r="U546" s="434"/>
      <c r="V546" s="434"/>
      <c r="W546" s="434"/>
      <c r="X546" s="434"/>
      <c r="Y546" s="434"/>
      <c r="Z546" s="434"/>
      <c r="AA546" s="434"/>
      <c r="AB546" s="434"/>
      <c r="AC546" s="434"/>
      <c r="AD546" s="537"/>
      <c r="AE546" s="537"/>
      <c r="AF546" s="537"/>
      <c r="AG546" s="537"/>
      <c r="AH546" s="537"/>
      <c r="AI546" s="537"/>
      <c r="AJ546" s="434"/>
      <c r="AK546" s="434"/>
      <c r="AL546" s="434"/>
      <c r="AM546" s="434"/>
    </row>
    <row r="547">
      <c r="A547" s="434"/>
      <c r="B547" s="434"/>
      <c r="C547" s="434"/>
      <c r="D547" s="434"/>
      <c r="E547" s="434"/>
      <c r="F547" s="434"/>
      <c r="G547" s="434"/>
      <c r="H547" s="434"/>
      <c r="I547" s="434"/>
      <c r="J547" s="434"/>
      <c r="K547" s="434"/>
      <c r="L547" s="434"/>
      <c r="M547" s="434"/>
      <c r="N547" s="434"/>
      <c r="O547" s="434"/>
      <c r="P547" s="434"/>
      <c r="Q547" s="434"/>
      <c r="R547" s="434"/>
      <c r="S547" s="434"/>
      <c r="T547" s="434"/>
      <c r="U547" s="434"/>
      <c r="V547" s="434"/>
      <c r="W547" s="434"/>
      <c r="X547" s="434"/>
      <c r="Y547" s="434"/>
      <c r="Z547" s="434"/>
      <c r="AA547" s="434"/>
      <c r="AB547" s="434"/>
      <c r="AC547" s="434"/>
      <c r="AD547" s="537"/>
      <c r="AE547" s="537"/>
      <c r="AF547" s="537"/>
      <c r="AG547" s="537"/>
      <c r="AH547" s="537"/>
      <c r="AI547" s="537"/>
      <c r="AJ547" s="434"/>
      <c r="AK547" s="434"/>
      <c r="AL547" s="434"/>
      <c r="AM547" s="434"/>
    </row>
    <row r="548">
      <c r="A548" s="434"/>
      <c r="B548" s="434"/>
      <c r="C548" s="434"/>
      <c r="D548" s="434"/>
      <c r="E548" s="434"/>
      <c r="F548" s="434"/>
      <c r="G548" s="434"/>
      <c r="H548" s="434"/>
      <c r="I548" s="434"/>
      <c r="J548" s="434"/>
      <c r="K548" s="434"/>
      <c r="L548" s="434"/>
      <c r="M548" s="434"/>
      <c r="N548" s="434"/>
      <c r="O548" s="434"/>
      <c r="P548" s="434"/>
      <c r="Q548" s="434"/>
      <c r="R548" s="434"/>
      <c r="S548" s="434"/>
      <c r="T548" s="434"/>
      <c r="U548" s="434"/>
      <c r="V548" s="434"/>
      <c r="W548" s="434"/>
      <c r="X548" s="434"/>
      <c r="Y548" s="434"/>
      <c r="Z548" s="434"/>
      <c r="AA548" s="434"/>
      <c r="AB548" s="434"/>
      <c r="AC548" s="434"/>
      <c r="AD548" s="537"/>
      <c r="AE548" s="537"/>
      <c r="AF548" s="537"/>
      <c r="AG548" s="537"/>
      <c r="AH548" s="537"/>
      <c r="AI548" s="537"/>
      <c r="AJ548" s="434"/>
      <c r="AK548" s="434"/>
      <c r="AL548" s="434"/>
      <c r="AM548" s="434"/>
    </row>
    <row r="549">
      <c r="A549" s="434"/>
      <c r="B549" s="434"/>
      <c r="C549" s="434"/>
      <c r="D549" s="434"/>
      <c r="E549" s="434"/>
      <c r="F549" s="434"/>
      <c r="G549" s="434"/>
      <c r="H549" s="434"/>
      <c r="I549" s="434"/>
      <c r="J549" s="434"/>
      <c r="K549" s="434"/>
      <c r="L549" s="434"/>
      <c r="M549" s="434"/>
      <c r="N549" s="434"/>
      <c r="O549" s="434"/>
      <c r="P549" s="434"/>
      <c r="Q549" s="434"/>
      <c r="R549" s="434"/>
      <c r="S549" s="434"/>
      <c r="T549" s="434"/>
      <c r="U549" s="434"/>
      <c r="V549" s="434"/>
      <c r="W549" s="434"/>
      <c r="X549" s="434"/>
      <c r="Y549" s="434"/>
      <c r="Z549" s="434"/>
      <c r="AA549" s="434"/>
      <c r="AB549" s="434"/>
      <c r="AC549" s="434"/>
      <c r="AD549" s="537"/>
      <c r="AE549" s="537"/>
      <c r="AF549" s="537"/>
      <c r="AG549" s="537"/>
      <c r="AH549" s="537"/>
      <c r="AI549" s="537"/>
      <c r="AJ549" s="434"/>
      <c r="AK549" s="434"/>
      <c r="AL549" s="434"/>
      <c r="AM549" s="434"/>
    </row>
    <row r="550">
      <c r="A550" s="434"/>
      <c r="B550" s="434"/>
      <c r="C550" s="434"/>
      <c r="D550" s="434"/>
      <c r="E550" s="434"/>
      <c r="F550" s="434"/>
      <c r="G550" s="434"/>
      <c r="H550" s="434"/>
      <c r="I550" s="434"/>
      <c r="J550" s="434"/>
      <c r="K550" s="434"/>
      <c r="L550" s="434"/>
      <c r="M550" s="434"/>
      <c r="N550" s="434"/>
      <c r="O550" s="434"/>
      <c r="P550" s="434"/>
      <c r="Q550" s="434"/>
      <c r="R550" s="434"/>
      <c r="S550" s="434"/>
      <c r="T550" s="434"/>
      <c r="U550" s="434"/>
      <c r="V550" s="434"/>
      <c r="W550" s="434"/>
      <c r="X550" s="434"/>
      <c r="Y550" s="434"/>
      <c r="Z550" s="434"/>
      <c r="AA550" s="434"/>
      <c r="AB550" s="434"/>
      <c r="AC550" s="434"/>
      <c r="AD550" s="537"/>
      <c r="AE550" s="537"/>
      <c r="AF550" s="537"/>
      <c r="AG550" s="537"/>
      <c r="AH550" s="537"/>
      <c r="AI550" s="537"/>
      <c r="AJ550" s="434"/>
      <c r="AK550" s="434"/>
      <c r="AL550" s="434"/>
      <c r="AM550" s="434"/>
    </row>
    <row r="551">
      <c r="A551" s="434"/>
      <c r="B551" s="434"/>
      <c r="C551" s="434"/>
      <c r="D551" s="434"/>
      <c r="E551" s="434"/>
      <c r="F551" s="434"/>
      <c r="G551" s="434"/>
      <c r="H551" s="434"/>
      <c r="I551" s="434"/>
      <c r="J551" s="434"/>
      <c r="K551" s="434"/>
      <c r="L551" s="434"/>
      <c r="M551" s="434"/>
      <c r="N551" s="434"/>
      <c r="O551" s="434"/>
      <c r="P551" s="434"/>
      <c r="Q551" s="434"/>
      <c r="R551" s="434"/>
      <c r="S551" s="434"/>
      <c r="T551" s="434"/>
      <c r="U551" s="434"/>
      <c r="V551" s="434"/>
      <c r="W551" s="434"/>
      <c r="X551" s="434"/>
      <c r="Y551" s="434"/>
      <c r="Z551" s="434"/>
      <c r="AA551" s="434"/>
      <c r="AB551" s="434"/>
      <c r="AC551" s="434"/>
      <c r="AD551" s="537"/>
      <c r="AE551" s="537"/>
      <c r="AF551" s="537"/>
      <c r="AG551" s="537"/>
      <c r="AH551" s="537"/>
      <c r="AI551" s="537"/>
      <c r="AJ551" s="434"/>
      <c r="AK551" s="434"/>
      <c r="AL551" s="434"/>
      <c r="AM551" s="434"/>
    </row>
    <row r="552">
      <c r="A552" s="434"/>
      <c r="B552" s="434"/>
      <c r="C552" s="434"/>
      <c r="D552" s="434"/>
      <c r="E552" s="434"/>
      <c r="F552" s="434"/>
      <c r="G552" s="434"/>
      <c r="H552" s="434"/>
      <c r="I552" s="434"/>
      <c r="J552" s="434"/>
      <c r="K552" s="434"/>
      <c r="L552" s="434"/>
      <c r="M552" s="434"/>
      <c r="N552" s="434"/>
      <c r="O552" s="434"/>
      <c r="P552" s="434"/>
      <c r="Q552" s="434"/>
      <c r="R552" s="434"/>
      <c r="S552" s="434"/>
      <c r="T552" s="434"/>
      <c r="U552" s="434"/>
      <c r="V552" s="434"/>
      <c r="W552" s="434"/>
      <c r="X552" s="434"/>
      <c r="Y552" s="434"/>
      <c r="Z552" s="434"/>
      <c r="AA552" s="434"/>
      <c r="AB552" s="434"/>
      <c r="AC552" s="434"/>
      <c r="AD552" s="537"/>
      <c r="AE552" s="537"/>
      <c r="AF552" s="537"/>
      <c r="AG552" s="537"/>
      <c r="AH552" s="537"/>
      <c r="AI552" s="537"/>
      <c r="AJ552" s="434"/>
      <c r="AK552" s="434"/>
      <c r="AL552" s="434"/>
      <c r="AM552" s="434"/>
    </row>
    <row r="553">
      <c r="A553" s="434"/>
      <c r="B553" s="434"/>
      <c r="C553" s="434"/>
      <c r="D553" s="434"/>
      <c r="E553" s="434"/>
      <c r="F553" s="434"/>
      <c r="G553" s="434"/>
      <c r="H553" s="434"/>
      <c r="I553" s="434"/>
      <c r="J553" s="434"/>
      <c r="K553" s="434"/>
      <c r="L553" s="434"/>
      <c r="M553" s="434"/>
      <c r="N553" s="434"/>
      <c r="O553" s="434"/>
      <c r="P553" s="434"/>
      <c r="Q553" s="434"/>
      <c r="R553" s="434"/>
      <c r="S553" s="434"/>
      <c r="T553" s="434"/>
      <c r="U553" s="434"/>
      <c r="V553" s="434"/>
      <c r="W553" s="434"/>
      <c r="X553" s="434"/>
      <c r="Y553" s="434"/>
      <c r="Z553" s="434"/>
      <c r="AA553" s="434"/>
      <c r="AB553" s="434"/>
      <c r="AC553" s="434"/>
      <c r="AD553" s="537"/>
      <c r="AE553" s="537"/>
      <c r="AF553" s="537"/>
      <c r="AG553" s="537"/>
      <c r="AH553" s="537"/>
      <c r="AI553" s="537"/>
      <c r="AJ553" s="434"/>
      <c r="AK553" s="434"/>
      <c r="AL553" s="434"/>
      <c r="AM553" s="434"/>
    </row>
    <row r="554">
      <c r="A554" s="434"/>
      <c r="B554" s="434"/>
      <c r="C554" s="434"/>
      <c r="D554" s="434"/>
      <c r="E554" s="434"/>
      <c r="F554" s="434"/>
      <c r="G554" s="434"/>
      <c r="H554" s="434"/>
      <c r="I554" s="434"/>
      <c r="J554" s="434"/>
      <c r="K554" s="434"/>
      <c r="L554" s="434"/>
      <c r="M554" s="434"/>
      <c r="N554" s="434"/>
      <c r="O554" s="434"/>
      <c r="P554" s="434"/>
      <c r="Q554" s="434"/>
      <c r="R554" s="434"/>
      <c r="S554" s="434"/>
      <c r="T554" s="434"/>
      <c r="U554" s="434"/>
      <c r="V554" s="434"/>
      <c r="W554" s="434"/>
      <c r="X554" s="434"/>
      <c r="Y554" s="434"/>
      <c r="Z554" s="434"/>
      <c r="AA554" s="434"/>
      <c r="AB554" s="434"/>
      <c r="AC554" s="434"/>
      <c r="AD554" s="537"/>
      <c r="AE554" s="537"/>
      <c r="AF554" s="537"/>
      <c r="AG554" s="537"/>
      <c r="AH554" s="537"/>
      <c r="AI554" s="537"/>
      <c r="AJ554" s="434"/>
      <c r="AK554" s="434"/>
      <c r="AL554" s="434"/>
      <c r="AM554" s="434"/>
    </row>
    <row r="555">
      <c r="A555" s="434"/>
      <c r="B555" s="434"/>
      <c r="C555" s="434"/>
      <c r="D555" s="434"/>
      <c r="E555" s="434"/>
      <c r="F555" s="434"/>
      <c r="G555" s="434"/>
      <c r="H555" s="434"/>
      <c r="I555" s="434"/>
      <c r="J555" s="434"/>
      <c r="K555" s="434"/>
      <c r="L555" s="434"/>
      <c r="M555" s="434"/>
      <c r="N555" s="434"/>
      <c r="O555" s="434"/>
      <c r="P555" s="434"/>
      <c r="Q555" s="434"/>
      <c r="R555" s="434"/>
      <c r="S555" s="434"/>
      <c r="T555" s="434"/>
      <c r="U555" s="434"/>
      <c r="V555" s="434"/>
      <c r="W555" s="434"/>
      <c r="X555" s="434"/>
      <c r="Y555" s="434"/>
      <c r="Z555" s="434"/>
      <c r="AA555" s="434"/>
      <c r="AB555" s="434"/>
      <c r="AC555" s="434"/>
      <c r="AD555" s="537"/>
      <c r="AE555" s="537"/>
      <c r="AF555" s="537"/>
      <c r="AG555" s="537"/>
      <c r="AH555" s="537"/>
      <c r="AI555" s="537"/>
      <c r="AJ555" s="434"/>
      <c r="AK555" s="434"/>
      <c r="AL555" s="434"/>
      <c r="AM555" s="434"/>
    </row>
    <row r="556">
      <c r="A556" s="434"/>
      <c r="B556" s="434"/>
      <c r="C556" s="434"/>
      <c r="D556" s="434"/>
      <c r="E556" s="434"/>
      <c r="F556" s="434"/>
      <c r="G556" s="434"/>
      <c r="H556" s="434"/>
      <c r="I556" s="434"/>
      <c r="J556" s="434"/>
      <c r="K556" s="434"/>
      <c r="L556" s="434"/>
      <c r="M556" s="434"/>
      <c r="N556" s="434"/>
      <c r="O556" s="434"/>
      <c r="P556" s="434"/>
      <c r="Q556" s="434"/>
      <c r="R556" s="434"/>
      <c r="S556" s="434"/>
      <c r="T556" s="434"/>
      <c r="U556" s="434"/>
      <c r="V556" s="434"/>
      <c r="W556" s="434"/>
      <c r="X556" s="434"/>
      <c r="Y556" s="434"/>
      <c r="Z556" s="434"/>
      <c r="AA556" s="434"/>
      <c r="AB556" s="434"/>
      <c r="AC556" s="434"/>
      <c r="AD556" s="537"/>
      <c r="AE556" s="537"/>
      <c r="AF556" s="537"/>
      <c r="AG556" s="537"/>
      <c r="AH556" s="537"/>
      <c r="AI556" s="537"/>
      <c r="AJ556" s="434"/>
      <c r="AK556" s="434"/>
      <c r="AL556" s="434"/>
      <c r="AM556" s="434"/>
    </row>
    <row r="557">
      <c r="A557" s="434"/>
      <c r="B557" s="434"/>
      <c r="C557" s="434"/>
      <c r="D557" s="434"/>
      <c r="E557" s="434"/>
      <c r="F557" s="434"/>
      <c r="G557" s="434"/>
      <c r="H557" s="434"/>
      <c r="I557" s="434"/>
      <c r="J557" s="434"/>
      <c r="K557" s="434"/>
      <c r="L557" s="434"/>
      <c r="M557" s="434"/>
      <c r="N557" s="434"/>
      <c r="O557" s="434"/>
      <c r="P557" s="434"/>
      <c r="Q557" s="434"/>
      <c r="R557" s="434"/>
      <c r="S557" s="434"/>
      <c r="T557" s="434"/>
      <c r="U557" s="434"/>
      <c r="V557" s="434"/>
      <c r="W557" s="434"/>
      <c r="X557" s="434"/>
      <c r="Y557" s="434"/>
      <c r="Z557" s="434"/>
      <c r="AA557" s="434"/>
      <c r="AB557" s="434"/>
      <c r="AC557" s="434"/>
      <c r="AD557" s="537"/>
      <c r="AE557" s="537"/>
      <c r="AF557" s="537"/>
      <c r="AG557" s="537"/>
      <c r="AH557" s="537"/>
      <c r="AI557" s="537"/>
      <c r="AJ557" s="434"/>
      <c r="AK557" s="434"/>
      <c r="AL557" s="434"/>
      <c r="AM557" s="434"/>
    </row>
    <row r="558">
      <c r="A558" s="434"/>
      <c r="B558" s="434"/>
      <c r="C558" s="434"/>
      <c r="D558" s="434"/>
      <c r="E558" s="434"/>
      <c r="F558" s="434"/>
      <c r="G558" s="434"/>
      <c r="H558" s="434"/>
      <c r="I558" s="434"/>
      <c r="J558" s="434"/>
      <c r="K558" s="434"/>
      <c r="L558" s="434"/>
      <c r="M558" s="434"/>
      <c r="N558" s="434"/>
      <c r="O558" s="434"/>
      <c r="P558" s="434"/>
      <c r="Q558" s="434"/>
      <c r="R558" s="434"/>
      <c r="S558" s="434"/>
      <c r="T558" s="434"/>
      <c r="U558" s="434"/>
      <c r="V558" s="434"/>
      <c r="W558" s="434"/>
      <c r="X558" s="434"/>
      <c r="Y558" s="434"/>
      <c r="Z558" s="434"/>
      <c r="AA558" s="434"/>
      <c r="AB558" s="434"/>
      <c r="AC558" s="434"/>
      <c r="AD558" s="537"/>
      <c r="AE558" s="537"/>
      <c r="AF558" s="537"/>
      <c r="AG558" s="537"/>
      <c r="AH558" s="537"/>
      <c r="AI558" s="537"/>
      <c r="AJ558" s="434"/>
      <c r="AK558" s="434"/>
      <c r="AL558" s="434"/>
      <c r="AM558" s="434"/>
    </row>
    <row r="559">
      <c r="A559" s="434"/>
      <c r="B559" s="434"/>
      <c r="C559" s="434"/>
      <c r="D559" s="434"/>
      <c r="E559" s="434"/>
      <c r="F559" s="434"/>
      <c r="G559" s="434"/>
      <c r="H559" s="434"/>
      <c r="I559" s="434"/>
      <c r="J559" s="434"/>
      <c r="K559" s="434"/>
      <c r="L559" s="434"/>
      <c r="M559" s="434"/>
      <c r="N559" s="434"/>
      <c r="O559" s="434"/>
      <c r="P559" s="434"/>
      <c r="Q559" s="434"/>
      <c r="R559" s="434"/>
      <c r="S559" s="434"/>
      <c r="T559" s="434"/>
      <c r="U559" s="434"/>
      <c r="V559" s="434"/>
      <c r="W559" s="434"/>
      <c r="X559" s="434"/>
      <c r="Y559" s="434"/>
      <c r="Z559" s="434"/>
      <c r="AA559" s="434"/>
      <c r="AB559" s="434"/>
      <c r="AC559" s="434"/>
      <c r="AD559" s="537"/>
      <c r="AE559" s="537"/>
      <c r="AF559" s="537"/>
      <c r="AG559" s="537"/>
      <c r="AH559" s="537"/>
      <c r="AI559" s="537"/>
      <c r="AJ559" s="434"/>
      <c r="AK559" s="434"/>
      <c r="AL559" s="434"/>
      <c r="AM559" s="434"/>
    </row>
    <row r="560">
      <c r="A560" s="434"/>
      <c r="B560" s="434"/>
      <c r="C560" s="434"/>
      <c r="D560" s="434"/>
      <c r="E560" s="434"/>
      <c r="F560" s="434"/>
      <c r="G560" s="434"/>
      <c r="H560" s="434"/>
      <c r="I560" s="434"/>
      <c r="J560" s="434"/>
      <c r="K560" s="434"/>
      <c r="L560" s="434"/>
      <c r="M560" s="434"/>
      <c r="N560" s="434"/>
      <c r="O560" s="434"/>
      <c r="P560" s="434"/>
      <c r="Q560" s="434"/>
      <c r="R560" s="434"/>
      <c r="S560" s="434"/>
      <c r="T560" s="434"/>
      <c r="U560" s="434"/>
      <c r="V560" s="434"/>
      <c r="W560" s="434"/>
      <c r="X560" s="434"/>
      <c r="Y560" s="434"/>
      <c r="Z560" s="434"/>
      <c r="AA560" s="434"/>
      <c r="AB560" s="434"/>
      <c r="AC560" s="434"/>
      <c r="AD560" s="537"/>
      <c r="AE560" s="537"/>
      <c r="AF560" s="537"/>
      <c r="AG560" s="537"/>
      <c r="AH560" s="537"/>
      <c r="AI560" s="537"/>
      <c r="AJ560" s="434"/>
      <c r="AK560" s="434"/>
      <c r="AL560" s="434"/>
      <c r="AM560" s="434"/>
    </row>
    <row r="561">
      <c r="A561" s="434"/>
      <c r="B561" s="434"/>
      <c r="C561" s="434"/>
      <c r="D561" s="434"/>
      <c r="E561" s="434"/>
      <c r="F561" s="434"/>
      <c r="G561" s="434"/>
      <c r="H561" s="434"/>
      <c r="I561" s="434"/>
      <c r="J561" s="434"/>
      <c r="K561" s="434"/>
      <c r="L561" s="434"/>
      <c r="M561" s="434"/>
      <c r="N561" s="434"/>
      <c r="O561" s="434"/>
      <c r="P561" s="434"/>
      <c r="Q561" s="434"/>
      <c r="R561" s="434"/>
      <c r="S561" s="434"/>
      <c r="T561" s="434"/>
      <c r="U561" s="434"/>
      <c r="V561" s="434"/>
      <c r="W561" s="434"/>
      <c r="X561" s="434"/>
      <c r="Y561" s="434"/>
      <c r="Z561" s="434"/>
      <c r="AA561" s="434"/>
      <c r="AB561" s="434"/>
      <c r="AC561" s="434"/>
      <c r="AD561" s="537"/>
      <c r="AE561" s="537"/>
      <c r="AF561" s="537"/>
      <c r="AG561" s="537"/>
      <c r="AH561" s="537"/>
      <c r="AI561" s="537"/>
      <c r="AJ561" s="434"/>
      <c r="AK561" s="434"/>
      <c r="AL561" s="434"/>
      <c r="AM561" s="434"/>
    </row>
    <row r="562">
      <c r="A562" s="434"/>
      <c r="B562" s="434"/>
      <c r="C562" s="434"/>
      <c r="D562" s="434"/>
      <c r="E562" s="434"/>
      <c r="F562" s="434"/>
      <c r="G562" s="434"/>
      <c r="H562" s="434"/>
      <c r="I562" s="434"/>
      <c r="J562" s="434"/>
      <c r="K562" s="434"/>
      <c r="L562" s="434"/>
      <c r="M562" s="434"/>
      <c r="N562" s="434"/>
      <c r="O562" s="434"/>
      <c r="P562" s="434"/>
      <c r="Q562" s="434"/>
      <c r="R562" s="434"/>
      <c r="S562" s="434"/>
      <c r="T562" s="434"/>
      <c r="U562" s="434"/>
      <c r="V562" s="434"/>
      <c r="W562" s="434"/>
      <c r="X562" s="434"/>
      <c r="Y562" s="434"/>
      <c r="Z562" s="434"/>
      <c r="AA562" s="434"/>
      <c r="AB562" s="434"/>
      <c r="AC562" s="434"/>
      <c r="AD562" s="537"/>
      <c r="AE562" s="537"/>
      <c r="AF562" s="537"/>
      <c r="AG562" s="537"/>
      <c r="AH562" s="537"/>
      <c r="AI562" s="537"/>
      <c r="AJ562" s="434"/>
      <c r="AK562" s="434"/>
      <c r="AL562" s="434"/>
      <c r="AM562" s="434"/>
    </row>
    <row r="563">
      <c r="A563" s="434"/>
      <c r="B563" s="434"/>
      <c r="C563" s="434"/>
      <c r="D563" s="434"/>
      <c r="E563" s="434"/>
      <c r="F563" s="434"/>
      <c r="G563" s="434"/>
      <c r="H563" s="434"/>
      <c r="I563" s="434"/>
      <c r="J563" s="434"/>
      <c r="K563" s="434"/>
      <c r="L563" s="434"/>
      <c r="M563" s="434"/>
      <c r="N563" s="434"/>
      <c r="O563" s="434"/>
      <c r="P563" s="434"/>
      <c r="Q563" s="434"/>
      <c r="R563" s="434"/>
      <c r="S563" s="434"/>
      <c r="T563" s="434"/>
      <c r="U563" s="434"/>
      <c r="V563" s="434"/>
      <c r="W563" s="434"/>
      <c r="X563" s="434"/>
      <c r="Y563" s="434"/>
      <c r="Z563" s="434"/>
      <c r="AA563" s="434"/>
      <c r="AB563" s="434"/>
      <c r="AC563" s="434"/>
      <c r="AD563" s="537"/>
      <c r="AE563" s="537"/>
      <c r="AF563" s="537"/>
      <c r="AG563" s="537"/>
      <c r="AH563" s="537"/>
      <c r="AI563" s="537"/>
      <c r="AJ563" s="434"/>
      <c r="AK563" s="434"/>
      <c r="AL563" s="434"/>
      <c r="AM563" s="434"/>
    </row>
    <row r="564">
      <c r="A564" s="434"/>
      <c r="B564" s="434"/>
      <c r="C564" s="434"/>
      <c r="D564" s="434"/>
      <c r="E564" s="434"/>
      <c r="F564" s="434"/>
      <c r="G564" s="434"/>
      <c r="H564" s="434"/>
      <c r="I564" s="434"/>
      <c r="J564" s="434"/>
      <c r="K564" s="434"/>
      <c r="L564" s="434"/>
      <c r="M564" s="434"/>
      <c r="N564" s="434"/>
      <c r="O564" s="434"/>
      <c r="P564" s="434"/>
      <c r="Q564" s="434"/>
      <c r="R564" s="434"/>
      <c r="S564" s="434"/>
      <c r="T564" s="434"/>
      <c r="U564" s="434"/>
      <c r="V564" s="434"/>
      <c r="W564" s="434"/>
      <c r="X564" s="434"/>
      <c r="Y564" s="434"/>
      <c r="Z564" s="434"/>
      <c r="AA564" s="434"/>
      <c r="AB564" s="434"/>
      <c r="AC564" s="434"/>
      <c r="AD564" s="537"/>
      <c r="AE564" s="537"/>
      <c r="AF564" s="537"/>
      <c r="AG564" s="537"/>
      <c r="AH564" s="537"/>
      <c r="AI564" s="537"/>
      <c r="AJ564" s="434"/>
      <c r="AK564" s="434"/>
      <c r="AL564" s="434"/>
      <c r="AM564" s="434"/>
    </row>
    <row r="565">
      <c r="A565" s="434"/>
      <c r="B565" s="434"/>
      <c r="C565" s="434"/>
      <c r="D565" s="434"/>
      <c r="E565" s="434"/>
      <c r="F565" s="434"/>
      <c r="G565" s="434"/>
      <c r="H565" s="434"/>
      <c r="I565" s="434"/>
      <c r="J565" s="434"/>
      <c r="K565" s="434"/>
      <c r="L565" s="434"/>
      <c r="M565" s="434"/>
      <c r="N565" s="434"/>
      <c r="O565" s="434"/>
      <c r="P565" s="434"/>
      <c r="Q565" s="434"/>
      <c r="R565" s="434"/>
      <c r="S565" s="434"/>
      <c r="T565" s="434"/>
      <c r="U565" s="434"/>
      <c r="V565" s="434"/>
      <c r="W565" s="434"/>
      <c r="X565" s="434"/>
      <c r="Y565" s="434"/>
      <c r="Z565" s="434"/>
      <c r="AA565" s="434"/>
      <c r="AB565" s="434"/>
      <c r="AC565" s="434"/>
      <c r="AD565" s="537"/>
      <c r="AE565" s="537"/>
      <c r="AF565" s="537"/>
      <c r="AG565" s="537"/>
      <c r="AH565" s="537"/>
      <c r="AI565" s="537"/>
      <c r="AJ565" s="434"/>
      <c r="AK565" s="434"/>
      <c r="AL565" s="434"/>
      <c r="AM565" s="434"/>
    </row>
    <row r="566">
      <c r="A566" s="434"/>
      <c r="B566" s="434"/>
      <c r="C566" s="434"/>
      <c r="D566" s="434"/>
      <c r="E566" s="434"/>
      <c r="F566" s="434"/>
      <c r="G566" s="434"/>
      <c r="H566" s="434"/>
      <c r="I566" s="434"/>
      <c r="J566" s="434"/>
      <c r="K566" s="434"/>
      <c r="L566" s="434"/>
      <c r="M566" s="434"/>
      <c r="N566" s="434"/>
      <c r="O566" s="434"/>
      <c r="P566" s="434"/>
      <c r="Q566" s="434"/>
      <c r="R566" s="434"/>
      <c r="S566" s="434"/>
      <c r="T566" s="434"/>
      <c r="U566" s="434"/>
      <c r="V566" s="434"/>
      <c r="W566" s="434"/>
      <c r="X566" s="434"/>
      <c r="Y566" s="434"/>
      <c r="Z566" s="434"/>
      <c r="AA566" s="434"/>
      <c r="AB566" s="434"/>
      <c r="AC566" s="434"/>
      <c r="AD566" s="537"/>
      <c r="AE566" s="537"/>
      <c r="AF566" s="537"/>
      <c r="AG566" s="537"/>
      <c r="AH566" s="537"/>
      <c r="AI566" s="537"/>
      <c r="AJ566" s="434"/>
      <c r="AK566" s="434"/>
      <c r="AL566" s="434"/>
      <c r="AM566" s="434"/>
    </row>
    <row r="567">
      <c r="A567" s="434"/>
      <c r="B567" s="434"/>
      <c r="C567" s="434"/>
      <c r="D567" s="434"/>
      <c r="E567" s="434"/>
      <c r="F567" s="434"/>
      <c r="G567" s="434"/>
      <c r="H567" s="434"/>
      <c r="I567" s="434"/>
      <c r="J567" s="434"/>
      <c r="K567" s="434"/>
      <c r="L567" s="434"/>
      <c r="M567" s="434"/>
      <c r="N567" s="434"/>
      <c r="O567" s="434"/>
      <c r="P567" s="434"/>
      <c r="Q567" s="434"/>
      <c r="R567" s="434"/>
      <c r="S567" s="434"/>
      <c r="T567" s="434"/>
      <c r="U567" s="434"/>
      <c r="V567" s="434"/>
      <c r="W567" s="434"/>
      <c r="X567" s="434"/>
      <c r="Y567" s="434"/>
      <c r="Z567" s="434"/>
      <c r="AA567" s="434"/>
      <c r="AB567" s="434"/>
      <c r="AC567" s="434"/>
      <c r="AD567" s="537"/>
      <c r="AE567" s="537"/>
      <c r="AF567" s="537"/>
      <c r="AG567" s="537"/>
      <c r="AH567" s="537"/>
      <c r="AI567" s="537"/>
      <c r="AJ567" s="434"/>
      <c r="AK567" s="434"/>
      <c r="AL567" s="434"/>
      <c r="AM567" s="434"/>
    </row>
    <row r="568">
      <c r="A568" s="434"/>
      <c r="B568" s="434"/>
      <c r="C568" s="434"/>
      <c r="D568" s="434"/>
      <c r="E568" s="434"/>
      <c r="F568" s="434"/>
      <c r="G568" s="434"/>
      <c r="H568" s="434"/>
      <c r="I568" s="434"/>
      <c r="J568" s="434"/>
      <c r="K568" s="434"/>
      <c r="L568" s="434"/>
      <c r="M568" s="434"/>
      <c r="N568" s="434"/>
      <c r="O568" s="434"/>
      <c r="P568" s="434"/>
      <c r="Q568" s="434"/>
      <c r="R568" s="434"/>
      <c r="S568" s="434"/>
      <c r="T568" s="434"/>
      <c r="U568" s="434"/>
      <c r="V568" s="434"/>
      <c r="W568" s="434"/>
      <c r="X568" s="434"/>
      <c r="Y568" s="434"/>
      <c r="Z568" s="434"/>
      <c r="AA568" s="434"/>
      <c r="AB568" s="434"/>
      <c r="AC568" s="434"/>
      <c r="AD568" s="537"/>
      <c r="AE568" s="537"/>
      <c r="AF568" s="537"/>
      <c r="AG568" s="537"/>
      <c r="AH568" s="537"/>
      <c r="AI568" s="537"/>
      <c r="AJ568" s="434"/>
      <c r="AK568" s="434"/>
      <c r="AL568" s="434"/>
      <c r="AM568" s="434"/>
    </row>
    <row r="569">
      <c r="A569" s="434"/>
      <c r="B569" s="434"/>
      <c r="C569" s="434"/>
      <c r="D569" s="434"/>
      <c r="E569" s="434"/>
      <c r="F569" s="434"/>
      <c r="G569" s="434"/>
      <c r="H569" s="434"/>
      <c r="I569" s="434"/>
      <c r="J569" s="434"/>
      <c r="K569" s="434"/>
      <c r="L569" s="434"/>
      <c r="M569" s="434"/>
      <c r="N569" s="434"/>
      <c r="O569" s="434"/>
      <c r="P569" s="434"/>
      <c r="Q569" s="434"/>
      <c r="R569" s="434"/>
      <c r="S569" s="434"/>
      <c r="T569" s="434"/>
      <c r="U569" s="434"/>
      <c r="V569" s="434"/>
      <c r="W569" s="434"/>
      <c r="X569" s="434"/>
      <c r="Y569" s="434"/>
      <c r="Z569" s="434"/>
      <c r="AA569" s="434"/>
      <c r="AB569" s="434"/>
      <c r="AC569" s="434"/>
      <c r="AD569" s="537"/>
      <c r="AE569" s="537"/>
      <c r="AF569" s="537"/>
      <c r="AG569" s="537"/>
      <c r="AH569" s="537"/>
      <c r="AI569" s="537"/>
      <c r="AJ569" s="434"/>
      <c r="AK569" s="434"/>
      <c r="AL569" s="434"/>
      <c r="AM569" s="434"/>
    </row>
    <row r="570">
      <c r="A570" s="434"/>
      <c r="B570" s="434"/>
      <c r="C570" s="434"/>
      <c r="D570" s="434"/>
      <c r="E570" s="434"/>
      <c r="F570" s="434"/>
      <c r="G570" s="434"/>
      <c r="H570" s="434"/>
      <c r="I570" s="434"/>
      <c r="J570" s="434"/>
      <c r="K570" s="434"/>
      <c r="L570" s="434"/>
      <c r="M570" s="434"/>
      <c r="N570" s="434"/>
      <c r="O570" s="434"/>
      <c r="P570" s="434"/>
      <c r="Q570" s="434"/>
      <c r="R570" s="434"/>
      <c r="S570" s="434"/>
      <c r="T570" s="434"/>
      <c r="U570" s="434"/>
      <c r="V570" s="434"/>
      <c r="W570" s="434"/>
      <c r="X570" s="434"/>
      <c r="Y570" s="434"/>
      <c r="Z570" s="434"/>
      <c r="AA570" s="434"/>
      <c r="AB570" s="434"/>
      <c r="AC570" s="434"/>
      <c r="AD570" s="537"/>
      <c r="AE570" s="537"/>
      <c r="AF570" s="537"/>
      <c r="AG570" s="537"/>
      <c r="AH570" s="537"/>
      <c r="AI570" s="537"/>
      <c r="AJ570" s="434"/>
      <c r="AK570" s="434"/>
      <c r="AL570" s="434"/>
      <c r="AM570" s="434"/>
    </row>
    <row r="571">
      <c r="A571" s="434"/>
      <c r="B571" s="434"/>
      <c r="C571" s="434"/>
      <c r="D571" s="434"/>
      <c r="E571" s="434"/>
      <c r="F571" s="434"/>
      <c r="G571" s="434"/>
      <c r="H571" s="434"/>
      <c r="I571" s="434"/>
      <c r="J571" s="434"/>
      <c r="K571" s="434"/>
      <c r="L571" s="434"/>
      <c r="M571" s="434"/>
      <c r="N571" s="434"/>
      <c r="O571" s="434"/>
      <c r="P571" s="434"/>
      <c r="Q571" s="434"/>
      <c r="R571" s="434"/>
      <c r="S571" s="434"/>
      <c r="T571" s="434"/>
      <c r="U571" s="434"/>
      <c r="V571" s="434"/>
      <c r="W571" s="434"/>
      <c r="X571" s="434"/>
      <c r="Y571" s="434"/>
      <c r="Z571" s="434"/>
      <c r="AA571" s="434"/>
      <c r="AB571" s="434"/>
      <c r="AC571" s="434"/>
      <c r="AD571" s="537"/>
      <c r="AE571" s="537"/>
      <c r="AF571" s="537"/>
      <c r="AG571" s="537"/>
      <c r="AH571" s="537"/>
      <c r="AI571" s="537"/>
      <c r="AJ571" s="434"/>
      <c r="AK571" s="434"/>
      <c r="AL571" s="434"/>
      <c r="AM571" s="434"/>
    </row>
    <row r="572">
      <c r="A572" s="434"/>
      <c r="B572" s="434"/>
      <c r="C572" s="434"/>
      <c r="D572" s="434"/>
      <c r="E572" s="434"/>
      <c r="F572" s="434"/>
      <c r="G572" s="434"/>
      <c r="H572" s="434"/>
      <c r="I572" s="434"/>
      <c r="J572" s="434"/>
      <c r="K572" s="434"/>
      <c r="L572" s="434"/>
      <c r="M572" s="434"/>
      <c r="N572" s="434"/>
      <c r="O572" s="434"/>
      <c r="P572" s="434"/>
      <c r="Q572" s="434"/>
      <c r="R572" s="434"/>
      <c r="S572" s="434"/>
      <c r="T572" s="434"/>
      <c r="U572" s="434"/>
      <c r="V572" s="434"/>
      <c r="W572" s="434"/>
      <c r="X572" s="434"/>
      <c r="Y572" s="434"/>
      <c r="Z572" s="434"/>
      <c r="AA572" s="434"/>
      <c r="AB572" s="434"/>
      <c r="AC572" s="434"/>
      <c r="AD572" s="537"/>
      <c r="AE572" s="537"/>
      <c r="AF572" s="537"/>
      <c r="AG572" s="537"/>
      <c r="AH572" s="537"/>
      <c r="AI572" s="537"/>
      <c r="AJ572" s="434"/>
      <c r="AK572" s="434"/>
      <c r="AL572" s="434"/>
      <c r="AM572" s="434"/>
    </row>
    <row r="573">
      <c r="A573" s="434"/>
      <c r="B573" s="434"/>
      <c r="C573" s="434"/>
      <c r="D573" s="434"/>
      <c r="E573" s="434"/>
      <c r="F573" s="434"/>
      <c r="G573" s="434"/>
      <c r="H573" s="434"/>
      <c r="I573" s="434"/>
      <c r="J573" s="434"/>
      <c r="K573" s="434"/>
      <c r="L573" s="434"/>
      <c r="M573" s="434"/>
      <c r="N573" s="434"/>
      <c r="O573" s="434"/>
      <c r="P573" s="434"/>
      <c r="Q573" s="434"/>
      <c r="R573" s="434"/>
      <c r="S573" s="434"/>
      <c r="T573" s="434"/>
      <c r="U573" s="434"/>
      <c r="V573" s="434"/>
      <c r="W573" s="434"/>
      <c r="X573" s="434"/>
      <c r="Y573" s="434"/>
      <c r="Z573" s="434"/>
      <c r="AA573" s="434"/>
      <c r="AB573" s="434"/>
      <c r="AC573" s="434"/>
      <c r="AD573" s="537"/>
      <c r="AE573" s="537"/>
      <c r="AF573" s="537"/>
      <c r="AG573" s="537"/>
      <c r="AH573" s="537"/>
      <c r="AI573" s="537"/>
      <c r="AJ573" s="434"/>
      <c r="AK573" s="434"/>
      <c r="AL573" s="434"/>
      <c r="AM573" s="434"/>
    </row>
    <row r="574">
      <c r="A574" s="434"/>
      <c r="B574" s="434"/>
      <c r="C574" s="434"/>
      <c r="D574" s="434"/>
      <c r="E574" s="434"/>
      <c r="F574" s="434"/>
      <c r="G574" s="434"/>
      <c r="H574" s="434"/>
      <c r="I574" s="434"/>
      <c r="J574" s="434"/>
      <c r="K574" s="434"/>
      <c r="L574" s="434"/>
      <c r="M574" s="434"/>
      <c r="N574" s="434"/>
      <c r="O574" s="434"/>
      <c r="P574" s="434"/>
      <c r="Q574" s="434"/>
      <c r="R574" s="434"/>
      <c r="S574" s="434"/>
      <c r="T574" s="434"/>
      <c r="U574" s="434"/>
      <c r="V574" s="434"/>
      <c r="W574" s="434"/>
      <c r="X574" s="434"/>
      <c r="Y574" s="434"/>
      <c r="Z574" s="434"/>
      <c r="AA574" s="434"/>
      <c r="AB574" s="434"/>
      <c r="AC574" s="434"/>
      <c r="AD574" s="537"/>
      <c r="AE574" s="537"/>
      <c r="AF574" s="537"/>
      <c r="AG574" s="537"/>
      <c r="AH574" s="537"/>
      <c r="AI574" s="537"/>
      <c r="AJ574" s="434"/>
      <c r="AK574" s="434"/>
      <c r="AL574" s="434"/>
      <c r="AM574" s="434"/>
    </row>
    <row r="575">
      <c r="A575" s="434"/>
      <c r="B575" s="434"/>
      <c r="C575" s="434"/>
      <c r="D575" s="434"/>
      <c r="E575" s="434"/>
      <c r="F575" s="434"/>
      <c r="G575" s="434"/>
      <c r="H575" s="434"/>
      <c r="I575" s="434"/>
      <c r="J575" s="434"/>
      <c r="K575" s="434"/>
      <c r="L575" s="434"/>
      <c r="M575" s="434"/>
      <c r="N575" s="434"/>
      <c r="O575" s="434"/>
      <c r="P575" s="434"/>
      <c r="Q575" s="434"/>
      <c r="R575" s="434"/>
      <c r="S575" s="434"/>
      <c r="T575" s="434"/>
      <c r="U575" s="434"/>
      <c r="V575" s="434"/>
      <c r="W575" s="434"/>
      <c r="X575" s="434"/>
      <c r="Y575" s="434"/>
      <c r="Z575" s="434"/>
      <c r="AA575" s="434"/>
      <c r="AB575" s="434"/>
      <c r="AC575" s="434"/>
      <c r="AD575" s="537"/>
      <c r="AE575" s="537"/>
      <c r="AF575" s="537"/>
      <c r="AG575" s="537"/>
      <c r="AH575" s="537"/>
      <c r="AI575" s="537"/>
      <c r="AJ575" s="434"/>
      <c r="AK575" s="434"/>
      <c r="AL575" s="434"/>
      <c r="AM575" s="434"/>
    </row>
    <row r="576">
      <c r="A576" s="434"/>
      <c r="B576" s="434"/>
      <c r="C576" s="434"/>
      <c r="D576" s="434"/>
      <c r="E576" s="434"/>
      <c r="F576" s="434"/>
      <c r="G576" s="434"/>
      <c r="H576" s="434"/>
      <c r="I576" s="434"/>
      <c r="J576" s="434"/>
      <c r="K576" s="434"/>
      <c r="L576" s="434"/>
      <c r="M576" s="434"/>
      <c r="N576" s="434"/>
      <c r="O576" s="434"/>
      <c r="P576" s="434"/>
      <c r="Q576" s="434"/>
      <c r="R576" s="434"/>
      <c r="S576" s="434"/>
      <c r="T576" s="434"/>
      <c r="U576" s="434"/>
      <c r="V576" s="434"/>
      <c r="W576" s="434"/>
      <c r="X576" s="434"/>
      <c r="Y576" s="434"/>
      <c r="Z576" s="434"/>
      <c r="AA576" s="434"/>
      <c r="AB576" s="434"/>
      <c r="AC576" s="434"/>
      <c r="AD576" s="537"/>
      <c r="AE576" s="537"/>
      <c r="AF576" s="537"/>
      <c r="AG576" s="537"/>
      <c r="AH576" s="537"/>
      <c r="AI576" s="537"/>
      <c r="AJ576" s="434"/>
      <c r="AK576" s="434"/>
      <c r="AL576" s="434"/>
      <c r="AM576" s="434"/>
    </row>
    <row r="577">
      <c r="A577" s="434"/>
      <c r="B577" s="434"/>
      <c r="C577" s="434"/>
      <c r="D577" s="434"/>
      <c r="E577" s="434"/>
      <c r="F577" s="434"/>
      <c r="G577" s="434"/>
      <c r="H577" s="434"/>
      <c r="I577" s="434"/>
      <c r="J577" s="434"/>
      <c r="K577" s="434"/>
      <c r="L577" s="434"/>
      <c r="M577" s="434"/>
      <c r="N577" s="434"/>
      <c r="O577" s="434"/>
      <c r="P577" s="434"/>
      <c r="Q577" s="434"/>
      <c r="R577" s="434"/>
      <c r="S577" s="434"/>
      <c r="T577" s="434"/>
      <c r="U577" s="434"/>
      <c r="V577" s="434"/>
      <c r="W577" s="434"/>
      <c r="X577" s="434"/>
      <c r="Y577" s="434"/>
      <c r="Z577" s="434"/>
      <c r="AA577" s="434"/>
      <c r="AB577" s="434"/>
      <c r="AC577" s="434"/>
      <c r="AD577" s="537"/>
      <c r="AE577" s="537"/>
      <c r="AF577" s="537"/>
      <c r="AG577" s="537"/>
      <c r="AH577" s="537"/>
      <c r="AI577" s="537"/>
      <c r="AJ577" s="434"/>
      <c r="AK577" s="434"/>
      <c r="AL577" s="434"/>
      <c r="AM577" s="434"/>
    </row>
    <row r="578">
      <c r="A578" s="434"/>
      <c r="B578" s="434"/>
      <c r="C578" s="434"/>
      <c r="D578" s="434"/>
      <c r="E578" s="434"/>
      <c r="F578" s="434"/>
      <c r="G578" s="434"/>
      <c r="H578" s="434"/>
      <c r="I578" s="434"/>
      <c r="J578" s="434"/>
      <c r="K578" s="434"/>
      <c r="L578" s="434"/>
      <c r="M578" s="434"/>
      <c r="N578" s="434"/>
      <c r="O578" s="434"/>
      <c r="P578" s="434"/>
      <c r="Q578" s="434"/>
      <c r="R578" s="434"/>
      <c r="S578" s="434"/>
      <c r="T578" s="434"/>
      <c r="U578" s="434"/>
      <c r="V578" s="434"/>
      <c r="W578" s="434"/>
      <c r="X578" s="434"/>
      <c r="Y578" s="434"/>
      <c r="Z578" s="434"/>
      <c r="AA578" s="434"/>
      <c r="AB578" s="434"/>
      <c r="AC578" s="434"/>
      <c r="AD578" s="537"/>
      <c r="AE578" s="537"/>
      <c r="AF578" s="537"/>
      <c r="AG578" s="537"/>
      <c r="AH578" s="537"/>
      <c r="AI578" s="537"/>
      <c r="AJ578" s="434"/>
      <c r="AK578" s="434"/>
      <c r="AL578" s="434"/>
      <c r="AM578" s="434"/>
    </row>
    <row r="579">
      <c r="A579" s="434"/>
      <c r="B579" s="434"/>
      <c r="C579" s="434"/>
      <c r="D579" s="434"/>
      <c r="E579" s="434"/>
      <c r="F579" s="434"/>
      <c r="G579" s="434"/>
      <c r="H579" s="434"/>
      <c r="I579" s="434"/>
      <c r="J579" s="434"/>
      <c r="K579" s="434"/>
      <c r="L579" s="434"/>
      <c r="M579" s="434"/>
      <c r="N579" s="434"/>
      <c r="O579" s="434"/>
      <c r="P579" s="434"/>
      <c r="Q579" s="434"/>
      <c r="R579" s="434"/>
      <c r="S579" s="434"/>
      <c r="T579" s="434"/>
      <c r="U579" s="434"/>
      <c r="V579" s="434"/>
      <c r="W579" s="434"/>
      <c r="X579" s="434"/>
      <c r="Y579" s="434"/>
      <c r="Z579" s="434"/>
      <c r="AA579" s="434"/>
      <c r="AB579" s="434"/>
      <c r="AC579" s="434"/>
      <c r="AD579" s="537"/>
      <c r="AE579" s="537"/>
      <c r="AF579" s="537"/>
      <c r="AG579" s="537"/>
      <c r="AH579" s="537"/>
      <c r="AI579" s="537"/>
      <c r="AJ579" s="434"/>
      <c r="AK579" s="434"/>
      <c r="AL579" s="434"/>
      <c r="AM579" s="434"/>
    </row>
    <row r="580">
      <c r="A580" s="434"/>
      <c r="B580" s="434"/>
      <c r="C580" s="434"/>
      <c r="D580" s="434"/>
      <c r="E580" s="434"/>
      <c r="F580" s="434"/>
      <c r="G580" s="434"/>
      <c r="H580" s="434"/>
      <c r="I580" s="434"/>
      <c r="J580" s="434"/>
      <c r="K580" s="434"/>
      <c r="L580" s="434"/>
      <c r="M580" s="434"/>
      <c r="N580" s="434"/>
      <c r="O580" s="434"/>
      <c r="P580" s="434"/>
      <c r="Q580" s="434"/>
      <c r="R580" s="434"/>
      <c r="S580" s="434"/>
      <c r="T580" s="434"/>
      <c r="U580" s="434"/>
      <c r="V580" s="434"/>
      <c r="W580" s="434"/>
      <c r="X580" s="434"/>
      <c r="Y580" s="434"/>
      <c r="Z580" s="434"/>
      <c r="AA580" s="434"/>
      <c r="AB580" s="434"/>
      <c r="AC580" s="434"/>
      <c r="AD580" s="537"/>
      <c r="AE580" s="537"/>
      <c r="AF580" s="537"/>
      <c r="AG580" s="537"/>
      <c r="AH580" s="537"/>
      <c r="AI580" s="537"/>
      <c r="AJ580" s="434"/>
      <c r="AK580" s="434"/>
      <c r="AL580" s="434"/>
      <c r="AM580" s="434"/>
    </row>
    <row r="581">
      <c r="A581" s="434"/>
      <c r="B581" s="434"/>
      <c r="C581" s="434"/>
      <c r="D581" s="434"/>
      <c r="E581" s="434"/>
      <c r="F581" s="434"/>
      <c r="G581" s="434"/>
      <c r="H581" s="434"/>
      <c r="I581" s="434"/>
      <c r="J581" s="434"/>
      <c r="K581" s="434"/>
      <c r="L581" s="434"/>
      <c r="M581" s="434"/>
      <c r="N581" s="434"/>
      <c r="O581" s="434"/>
      <c r="P581" s="434"/>
      <c r="Q581" s="434"/>
      <c r="R581" s="434"/>
      <c r="S581" s="434"/>
      <c r="T581" s="434"/>
      <c r="U581" s="434"/>
      <c r="V581" s="434"/>
      <c r="W581" s="434"/>
      <c r="X581" s="434"/>
      <c r="Y581" s="434"/>
      <c r="Z581" s="434"/>
      <c r="AA581" s="434"/>
      <c r="AB581" s="434"/>
      <c r="AC581" s="434"/>
      <c r="AD581" s="537"/>
      <c r="AE581" s="537"/>
      <c r="AF581" s="537"/>
      <c r="AG581" s="537"/>
      <c r="AH581" s="537"/>
      <c r="AI581" s="537"/>
      <c r="AJ581" s="434"/>
      <c r="AK581" s="434"/>
      <c r="AL581" s="434"/>
      <c r="AM581" s="434"/>
    </row>
    <row r="582">
      <c r="A582" s="434"/>
      <c r="B582" s="434"/>
      <c r="C582" s="434"/>
      <c r="D582" s="434"/>
      <c r="E582" s="434"/>
      <c r="F582" s="434"/>
      <c r="G582" s="434"/>
      <c r="H582" s="434"/>
      <c r="I582" s="434"/>
      <c r="J582" s="434"/>
      <c r="K582" s="434"/>
      <c r="L582" s="434"/>
      <c r="M582" s="434"/>
      <c r="N582" s="434"/>
      <c r="O582" s="434"/>
      <c r="P582" s="434"/>
      <c r="Q582" s="434"/>
      <c r="R582" s="434"/>
      <c r="S582" s="434"/>
      <c r="T582" s="434"/>
      <c r="U582" s="434"/>
      <c r="V582" s="434"/>
      <c r="W582" s="434"/>
      <c r="X582" s="434"/>
      <c r="Y582" s="434"/>
      <c r="Z582" s="434"/>
      <c r="AA582" s="434"/>
      <c r="AB582" s="434"/>
      <c r="AC582" s="434"/>
      <c r="AD582" s="537"/>
      <c r="AE582" s="537"/>
      <c r="AF582" s="537"/>
      <c r="AG582" s="537"/>
      <c r="AH582" s="537"/>
      <c r="AI582" s="537"/>
      <c r="AJ582" s="434"/>
      <c r="AK582" s="434"/>
      <c r="AL582" s="434"/>
      <c r="AM582" s="434"/>
    </row>
    <row r="583">
      <c r="A583" s="434"/>
      <c r="B583" s="434"/>
      <c r="C583" s="434"/>
      <c r="D583" s="434"/>
      <c r="E583" s="434"/>
      <c r="F583" s="434"/>
      <c r="G583" s="434"/>
      <c r="H583" s="434"/>
      <c r="I583" s="434"/>
      <c r="J583" s="434"/>
      <c r="K583" s="434"/>
      <c r="L583" s="434"/>
      <c r="M583" s="434"/>
      <c r="N583" s="434"/>
      <c r="O583" s="434"/>
      <c r="P583" s="434"/>
      <c r="Q583" s="434"/>
      <c r="R583" s="434"/>
      <c r="S583" s="434"/>
      <c r="T583" s="434"/>
      <c r="U583" s="434"/>
      <c r="V583" s="434"/>
      <c r="W583" s="434"/>
      <c r="X583" s="434"/>
      <c r="Y583" s="434"/>
      <c r="Z583" s="434"/>
      <c r="AA583" s="434"/>
      <c r="AB583" s="434"/>
      <c r="AC583" s="434"/>
      <c r="AD583" s="537"/>
      <c r="AE583" s="537"/>
      <c r="AF583" s="537"/>
      <c r="AG583" s="537"/>
      <c r="AH583" s="537"/>
      <c r="AI583" s="537"/>
      <c r="AJ583" s="434"/>
      <c r="AK583" s="434"/>
      <c r="AL583" s="434"/>
      <c r="AM583" s="434"/>
    </row>
    <row r="584">
      <c r="A584" s="434"/>
      <c r="B584" s="434"/>
      <c r="C584" s="434"/>
      <c r="D584" s="434"/>
      <c r="E584" s="434"/>
      <c r="F584" s="434"/>
      <c r="G584" s="434"/>
      <c r="H584" s="434"/>
      <c r="I584" s="434"/>
      <c r="J584" s="434"/>
      <c r="K584" s="434"/>
      <c r="L584" s="434"/>
      <c r="M584" s="434"/>
      <c r="N584" s="434"/>
      <c r="O584" s="434"/>
      <c r="P584" s="434"/>
      <c r="Q584" s="434"/>
      <c r="R584" s="434"/>
      <c r="S584" s="434"/>
      <c r="T584" s="434"/>
      <c r="U584" s="434"/>
      <c r="V584" s="434"/>
      <c r="W584" s="434"/>
      <c r="X584" s="434"/>
      <c r="Y584" s="434"/>
      <c r="Z584" s="434"/>
      <c r="AA584" s="434"/>
      <c r="AB584" s="434"/>
      <c r="AC584" s="434"/>
      <c r="AD584" s="537"/>
      <c r="AE584" s="537"/>
      <c r="AF584" s="537"/>
      <c r="AG584" s="537"/>
      <c r="AH584" s="537"/>
      <c r="AI584" s="537"/>
      <c r="AJ584" s="434"/>
      <c r="AK584" s="434"/>
      <c r="AL584" s="434"/>
      <c r="AM584" s="434"/>
    </row>
    <row r="585">
      <c r="A585" s="434"/>
      <c r="B585" s="434"/>
      <c r="C585" s="434"/>
      <c r="D585" s="434"/>
      <c r="E585" s="434"/>
      <c r="F585" s="434"/>
      <c r="G585" s="434"/>
      <c r="H585" s="434"/>
      <c r="I585" s="434"/>
      <c r="J585" s="434"/>
      <c r="K585" s="434"/>
      <c r="L585" s="434"/>
      <c r="M585" s="434"/>
      <c r="N585" s="434"/>
      <c r="O585" s="434"/>
      <c r="P585" s="434"/>
      <c r="Q585" s="434"/>
      <c r="R585" s="434"/>
      <c r="S585" s="434"/>
      <c r="T585" s="434"/>
      <c r="U585" s="434"/>
      <c r="V585" s="434"/>
      <c r="W585" s="434"/>
      <c r="X585" s="434"/>
      <c r="Y585" s="434"/>
      <c r="Z585" s="434"/>
      <c r="AA585" s="434"/>
      <c r="AB585" s="434"/>
      <c r="AC585" s="434"/>
      <c r="AD585" s="537"/>
      <c r="AE585" s="537"/>
      <c r="AF585" s="537"/>
      <c r="AG585" s="537"/>
      <c r="AH585" s="537"/>
      <c r="AI585" s="537"/>
      <c r="AJ585" s="434"/>
      <c r="AK585" s="434"/>
      <c r="AL585" s="434"/>
      <c r="AM585" s="434"/>
    </row>
    <row r="586">
      <c r="A586" s="434"/>
      <c r="B586" s="434"/>
      <c r="C586" s="434"/>
      <c r="D586" s="434"/>
      <c r="E586" s="434"/>
      <c r="F586" s="434"/>
      <c r="G586" s="434"/>
      <c r="H586" s="434"/>
      <c r="I586" s="434"/>
      <c r="J586" s="434"/>
      <c r="K586" s="434"/>
      <c r="L586" s="434"/>
      <c r="M586" s="434"/>
      <c r="N586" s="434"/>
      <c r="O586" s="434"/>
      <c r="P586" s="434"/>
      <c r="Q586" s="434"/>
      <c r="R586" s="434"/>
      <c r="S586" s="434"/>
      <c r="T586" s="434"/>
      <c r="U586" s="434"/>
      <c r="V586" s="434"/>
      <c r="W586" s="434"/>
      <c r="X586" s="434"/>
      <c r="Y586" s="434"/>
      <c r="Z586" s="434"/>
      <c r="AA586" s="434"/>
      <c r="AB586" s="434"/>
      <c r="AC586" s="434"/>
      <c r="AD586" s="537"/>
      <c r="AE586" s="537"/>
      <c r="AF586" s="537"/>
      <c r="AG586" s="537"/>
      <c r="AH586" s="537"/>
      <c r="AI586" s="537"/>
      <c r="AJ586" s="434"/>
      <c r="AK586" s="434"/>
      <c r="AL586" s="434"/>
      <c r="AM586" s="434"/>
    </row>
    <row r="587">
      <c r="A587" s="434"/>
      <c r="B587" s="434"/>
      <c r="C587" s="434"/>
      <c r="D587" s="434"/>
      <c r="E587" s="434"/>
      <c r="F587" s="434"/>
      <c r="G587" s="434"/>
      <c r="H587" s="434"/>
      <c r="I587" s="434"/>
      <c r="J587" s="434"/>
      <c r="K587" s="434"/>
      <c r="L587" s="434"/>
      <c r="M587" s="434"/>
      <c r="N587" s="434"/>
      <c r="O587" s="434"/>
      <c r="P587" s="434"/>
      <c r="Q587" s="434"/>
      <c r="R587" s="434"/>
      <c r="S587" s="434"/>
      <c r="T587" s="434"/>
      <c r="U587" s="434"/>
      <c r="V587" s="434"/>
      <c r="W587" s="434"/>
      <c r="X587" s="434"/>
      <c r="Y587" s="434"/>
      <c r="Z587" s="434"/>
      <c r="AA587" s="434"/>
      <c r="AB587" s="434"/>
      <c r="AC587" s="434"/>
      <c r="AD587" s="537"/>
      <c r="AE587" s="537"/>
      <c r="AF587" s="537"/>
      <c r="AG587" s="537"/>
      <c r="AH587" s="537"/>
      <c r="AI587" s="537"/>
      <c r="AJ587" s="434"/>
      <c r="AK587" s="434"/>
      <c r="AL587" s="434"/>
      <c r="AM587" s="434"/>
    </row>
    <row r="588">
      <c r="A588" s="434"/>
      <c r="B588" s="434"/>
      <c r="C588" s="434"/>
      <c r="D588" s="434"/>
      <c r="E588" s="434"/>
      <c r="F588" s="434"/>
      <c r="G588" s="434"/>
      <c r="H588" s="434"/>
      <c r="I588" s="434"/>
      <c r="J588" s="434"/>
      <c r="K588" s="434"/>
      <c r="L588" s="434"/>
      <c r="M588" s="434"/>
      <c r="N588" s="434"/>
      <c r="O588" s="434"/>
      <c r="P588" s="434"/>
      <c r="Q588" s="434"/>
      <c r="R588" s="434"/>
      <c r="S588" s="434"/>
      <c r="T588" s="434"/>
      <c r="U588" s="434"/>
      <c r="V588" s="434"/>
      <c r="W588" s="434"/>
      <c r="X588" s="434"/>
      <c r="Y588" s="434"/>
      <c r="Z588" s="434"/>
      <c r="AA588" s="434"/>
      <c r="AB588" s="434"/>
      <c r="AC588" s="434"/>
      <c r="AD588" s="537"/>
      <c r="AE588" s="537"/>
      <c r="AF588" s="537"/>
      <c r="AG588" s="537"/>
      <c r="AH588" s="537"/>
      <c r="AI588" s="537"/>
      <c r="AJ588" s="434"/>
      <c r="AK588" s="434"/>
      <c r="AL588" s="434"/>
      <c r="AM588" s="434"/>
    </row>
    <row r="589">
      <c r="A589" s="434"/>
      <c r="B589" s="434"/>
      <c r="C589" s="434"/>
      <c r="D589" s="434"/>
      <c r="E589" s="434"/>
      <c r="F589" s="434"/>
      <c r="G589" s="434"/>
      <c r="H589" s="434"/>
      <c r="I589" s="434"/>
      <c r="J589" s="434"/>
      <c r="K589" s="434"/>
      <c r="L589" s="434"/>
      <c r="M589" s="434"/>
      <c r="N589" s="434"/>
      <c r="O589" s="434"/>
      <c r="P589" s="434"/>
      <c r="Q589" s="434"/>
      <c r="R589" s="434"/>
      <c r="S589" s="434"/>
      <c r="T589" s="434"/>
      <c r="U589" s="434"/>
      <c r="V589" s="434"/>
      <c r="W589" s="434"/>
      <c r="X589" s="434"/>
      <c r="Y589" s="434"/>
      <c r="Z589" s="434"/>
      <c r="AA589" s="434"/>
      <c r="AB589" s="434"/>
      <c r="AC589" s="434"/>
      <c r="AD589" s="537"/>
      <c r="AE589" s="537"/>
      <c r="AF589" s="537"/>
      <c r="AG589" s="537"/>
      <c r="AH589" s="537"/>
      <c r="AI589" s="537"/>
      <c r="AJ589" s="434"/>
      <c r="AK589" s="434"/>
      <c r="AL589" s="434"/>
      <c r="AM589" s="434"/>
    </row>
    <row r="590">
      <c r="A590" s="434"/>
      <c r="B590" s="434"/>
      <c r="C590" s="434"/>
      <c r="D590" s="434"/>
      <c r="E590" s="434"/>
      <c r="F590" s="434"/>
      <c r="G590" s="434"/>
      <c r="H590" s="434"/>
      <c r="I590" s="434"/>
      <c r="J590" s="434"/>
      <c r="K590" s="434"/>
      <c r="L590" s="434"/>
      <c r="M590" s="434"/>
      <c r="N590" s="434"/>
      <c r="O590" s="434"/>
      <c r="P590" s="434"/>
      <c r="Q590" s="434"/>
      <c r="R590" s="434"/>
      <c r="S590" s="434"/>
      <c r="T590" s="434"/>
      <c r="U590" s="434"/>
      <c r="V590" s="434"/>
      <c r="W590" s="434"/>
      <c r="X590" s="434"/>
      <c r="Y590" s="434"/>
      <c r="Z590" s="434"/>
      <c r="AA590" s="434"/>
      <c r="AB590" s="434"/>
      <c r="AC590" s="434"/>
      <c r="AD590" s="537"/>
      <c r="AE590" s="537"/>
      <c r="AF590" s="537"/>
      <c r="AG590" s="537"/>
      <c r="AH590" s="537"/>
      <c r="AI590" s="537"/>
      <c r="AJ590" s="434"/>
      <c r="AK590" s="434"/>
      <c r="AL590" s="434"/>
      <c r="AM590" s="434"/>
    </row>
    <row r="591">
      <c r="A591" s="434"/>
      <c r="B591" s="434"/>
      <c r="C591" s="434"/>
      <c r="D591" s="434"/>
      <c r="E591" s="434"/>
      <c r="F591" s="434"/>
      <c r="G591" s="434"/>
      <c r="H591" s="434"/>
      <c r="I591" s="434"/>
      <c r="J591" s="434"/>
      <c r="K591" s="434"/>
      <c r="L591" s="434"/>
      <c r="M591" s="434"/>
      <c r="N591" s="434"/>
      <c r="O591" s="434"/>
      <c r="P591" s="434"/>
      <c r="Q591" s="434"/>
      <c r="R591" s="434"/>
      <c r="S591" s="434"/>
      <c r="T591" s="434"/>
      <c r="U591" s="434"/>
      <c r="V591" s="434"/>
      <c r="W591" s="434"/>
      <c r="X591" s="434"/>
      <c r="Y591" s="434"/>
      <c r="Z591" s="434"/>
      <c r="AA591" s="434"/>
      <c r="AB591" s="434"/>
      <c r="AC591" s="434"/>
      <c r="AD591" s="537"/>
      <c r="AE591" s="537"/>
      <c r="AF591" s="537"/>
      <c r="AG591" s="537"/>
      <c r="AH591" s="537"/>
      <c r="AI591" s="537"/>
      <c r="AJ591" s="434"/>
      <c r="AK591" s="434"/>
      <c r="AL591" s="434"/>
      <c r="AM591" s="434"/>
    </row>
  </sheetData>
  <autoFilter ref="A2:AM591"/>
  <mergeCells>
    <mergeCell ref="AM484:AM485"/>
    <mergeCell ref="AM474:AM475"/>
    <mergeCell ref="B475:C475"/>
    <mergeCell ref="B474:C474"/>
    <mergeCell ref="A465:A475"/>
    <mergeCell ref="B470:C470"/>
    <mergeCell ref="AD463:AL463"/>
    <mergeCell ref="P463:AC463"/>
    <mergeCell ref="D463:O463"/>
    <mergeCell ref="A463:C463"/>
    <mergeCell ref="B462:C462"/>
    <mergeCell ref="AM461:AM462"/>
    <mergeCell ref="B461:C461"/>
    <mergeCell ref="B459:C459"/>
    <mergeCell ref="A454:A462"/>
    <mergeCell ref="A452:C452"/>
    <mergeCell ref="D452:O452"/>
    <mergeCell ref="P452:AC452"/>
    <mergeCell ref="AD452:AL452"/>
    <mergeCell ref="AM450:AM451"/>
    <mergeCell ref="B451:C451"/>
    <mergeCell ref="B450:C450"/>
    <mergeCell ref="A445:A451"/>
    <mergeCell ref="A443:C443"/>
    <mergeCell ref="D443:O443"/>
    <mergeCell ref="P443:AC443"/>
    <mergeCell ref="AD443:AL443"/>
    <mergeCell ref="B442:C442"/>
    <mergeCell ref="AM441:AM442"/>
    <mergeCell ref="B441:C441"/>
    <mergeCell ref="B437:C437"/>
    <mergeCell ref="A432:A442"/>
    <mergeCell ref="A430:C430"/>
    <mergeCell ref="D430:O430"/>
    <mergeCell ref="P430:AC430"/>
    <mergeCell ref="AD430:AL430"/>
    <mergeCell ref="B429:C429"/>
    <mergeCell ref="AM428:AM429"/>
    <mergeCell ref="B428:C428"/>
    <mergeCell ref="B426:C426"/>
    <mergeCell ref="A421:A429"/>
    <mergeCell ref="A419:C419"/>
    <mergeCell ref="D419:O419"/>
    <mergeCell ref="P419:AC419"/>
    <mergeCell ref="AD419:AL419"/>
    <mergeCell ref="B418:C418"/>
    <mergeCell ref="AM417:AM418"/>
    <mergeCell ref="B417:C417"/>
    <mergeCell ref="A407:A418"/>
    <mergeCell ref="B412:C412"/>
    <mergeCell ref="A405:C405"/>
    <mergeCell ref="D405:O405"/>
    <mergeCell ref="P405:AC405"/>
    <mergeCell ref="AD405:AL405"/>
    <mergeCell ref="AM403:AM404"/>
    <mergeCell ref="B404:C404"/>
    <mergeCell ref="B403:C403"/>
    <mergeCell ref="A395:A404"/>
    <mergeCell ref="AM391:AM392"/>
    <mergeCell ref="B387:C387"/>
    <mergeCell ref="A380:C380"/>
    <mergeCell ref="D380:O380"/>
    <mergeCell ref="P380:AC380"/>
    <mergeCell ref="AD380:AL380"/>
    <mergeCell ref="B378:C378"/>
    <mergeCell ref="A369:A379"/>
    <mergeCell ref="B379:C379"/>
    <mergeCell ref="B374:C374"/>
    <mergeCell ref="A367:C367"/>
    <mergeCell ref="D367:O367"/>
    <mergeCell ref="P367:AC367"/>
    <mergeCell ref="AD367:AL367"/>
    <mergeCell ref="AM365:AM366"/>
    <mergeCell ref="AM352:AM353"/>
    <mergeCell ref="B339:C339"/>
    <mergeCell ref="AM338:AM339"/>
    <mergeCell ref="B338:C338"/>
    <mergeCell ref="A324:A339"/>
    <mergeCell ref="B328:C328"/>
    <mergeCell ref="AD322:AL322"/>
    <mergeCell ref="P322:AC322"/>
    <mergeCell ref="D322:O322"/>
    <mergeCell ref="A322:C322"/>
    <mergeCell ref="B321:C321"/>
    <mergeCell ref="AM320:AM321"/>
    <mergeCell ref="B320:C320"/>
    <mergeCell ref="B315:C315"/>
    <mergeCell ref="B310:C310"/>
    <mergeCell ref="A306:A321"/>
    <mergeCell ref="AD304:AL304"/>
    <mergeCell ref="P304:AC304"/>
    <mergeCell ref="D304:O304"/>
    <mergeCell ref="A304:C304"/>
    <mergeCell ref="B303:C303"/>
    <mergeCell ref="AM302:AM303"/>
    <mergeCell ref="B302:C302"/>
    <mergeCell ref="B297:C297"/>
    <mergeCell ref="B292:C292"/>
    <mergeCell ref="A288:A303"/>
    <mergeCell ref="A286:C286"/>
    <mergeCell ref="P286:AC286"/>
    <mergeCell ref="AD286:AL286"/>
    <mergeCell ref="D286:O286"/>
    <mergeCell ref="B270:C270"/>
    <mergeCell ref="AM269:AM270"/>
    <mergeCell ref="B269:C269"/>
    <mergeCell ref="B264:C264"/>
    <mergeCell ref="B259:C259"/>
    <mergeCell ref="A255:A270"/>
    <mergeCell ref="A253:C253"/>
    <mergeCell ref="P253:AC253"/>
    <mergeCell ref="AD253:AL253"/>
    <mergeCell ref="D253:O253"/>
    <mergeCell ref="AM251:AM252"/>
    <mergeCell ref="B252:C252"/>
    <mergeCell ref="B251:C251"/>
    <mergeCell ref="B246:C246"/>
    <mergeCell ref="B241:C241"/>
    <mergeCell ref="A237:A252"/>
    <mergeCell ref="A235:C235"/>
    <mergeCell ref="P235:AC235"/>
    <mergeCell ref="AD235:AL235"/>
    <mergeCell ref="D235:O235"/>
    <mergeCell ref="B234:C234"/>
    <mergeCell ref="B233:C233"/>
    <mergeCell ref="B228:C228"/>
    <mergeCell ref="B223:C223"/>
    <mergeCell ref="A219:A234"/>
    <mergeCell ref="A217:C217"/>
    <mergeCell ref="A201:A216"/>
    <mergeCell ref="B215:C215"/>
    <mergeCell ref="B216:C216"/>
    <mergeCell ref="B210:C210"/>
    <mergeCell ref="B205:C205"/>
    <mergeCell ref="A199:C199"/>
    <mergeCell ref="A165:A180"/>
    <mergeCell ref="B179:C179"/>
    <mergeCell ref="B180:C180"/>
    <mergeCell ref="B174:C174"/>
    <mergeCell ref="A129:A144"/>
    <mergeCell ref="B144:C144"/>
    <mergeCell ref="B143:C143"/>
    <mergeCell ref="B108:C108"/>
    <mergeCell ref="B107:C107"/>
    <mergeCell ref="B103:C103"/>
    <mergeCell ref="B98:C98"/>
    <mergeCell ref="A93:A108"/>
    <mergeCell ref="A91:C91"/>
    <mergeCell ref="B90:C90"/>
    <mergeCell ref="B89:C89"/>
    <mergeCell ref="B85:C85"/>
    <mergeCell ref="B80:C80"/>
    <mergeCell ref="A75:A90"/>
    <mergeCell ref="A73:C73"/>
    <mergeCell ref="B62:C62"/>
    <mergeCell ref="A55:C55"/>
    <mergeCell ref="A37:C37"/>
    <mergeCell ref="B44:C44"/>
    <mergeCell ref="B47:C47"/>
    <mergeCell ref="A1:C1"/>
    <mergeCell ref="A3:A18"/>
    <mergeCell ref="B8:C8"/>
    <mergeCell ref="B14:C14"/>
    <mergeCell ref="B17:C17"/>
    <mergeCell ref="B18:C18"/>
    <mergeCell ref="A19:C19"/>
    <mergeCell ref="A21:A36"/>
    <mergeCell ref="B26:C26"/>
    <mergeCell ref="B32:C32"/>
    <mergeCell ref="B35:C35"/>
    <mergeCell ref="B36:C36"/>
    <mergeCell ref="A39:A54"/>
    <mergeCell ref="B53:C53"/>
    <mergeCell ref="B54:C54"/>
    <mergeCell ref="A57:A72"/>
    <mergeCell ref="B71:C71"/>
    <mergeCell ref="B72:C72"/>
    <mergeCell ref="B67:C67"/>
    <mergeCell ref="A109:C109"/>
    <mergeCell ref="A111:A126"/>
    <mergeCell ref="B116:C116"/>
    <mergeCell ref="B121:C121"/>
    <mergeCell ref="B125:C125"/>
    <mergeCell ref="B126:C126"/>
    <mergeCell ref="A127:C127"/>
    <mergeCell ref="B134:C134"/>
    <mergeCell ref="B138:C138"/>
    <mergeCell ref="A145:C145"/>
    <mergeCell ref="A147:A162"/>
    <mergeCell ref="B151:C151"/>
    <mergeCell ref="B157:C157"/>
    <mergeCell ref="B161:C161"/>
    <mergeCell ref="B162:C162"/>
    <mergeCell ref="A163:C163"/>
    <mergeCell ref="B170:C170"/>
    <mergeCell ref="A181:C181"/>
    <mergeCell ref="B188:C188"/>
    <mergeCell ref="B198:C198"/>
    <mergeCell ref="B197:C197"/>
    <mergeCell ref="B193:C193"/>
    <mergeCell ref="A183:A198"/>
    <mergeCell ref="P145:AC145"/>
    <mergeCell ref="AD145:AL145"/>
    <mergeCell ref="AM161:AM162"/>
    <mergeCell ref="D145:O145"/>
    <mergeCell ref="P163:AC163"/>
    <mergeCell ref="AD163:AL163"/>
    <mergeCell ref="AM179:AM180"/>
    <mergeCell ref="D163:O163"/>
    <mergeCell ref="P181:AC181"/>
    <mergeCell ref="AD181:AL181"/>
    <mergeCell ref="AM197:AM198"/>
    <mergeCell ref="D181:O181"/>
    <mergeCell ref="P199:AC199"/>
    <mergeCell ref="AD199:AL199"/>
    <mergeCell ref="AM215:AM216"/>
    <mergeCell ref="D199:O199"/>
    <mergeCell ref="P217:AC217"/>
    <mergeCell ref="AD217:AL217"/>
    <mergeCell ref="AM233:AM234"/>
    <mergeCell ref="D217:O217"/>
    <mergeCell ref="A271:C271"/>
    <mergeCell ref="P271:AC271"/>
    <mergeCell ref="AD271:AL271"/>
    <mergeCell ref="D271:O271"/>
    <mergeCell ref="B278:C278"/>
    <mergeCell ref="A273:A285"/>
    <mergeCell ref="AM284:AM285"/>
    <mergeCell ref="B284:C284"/>
    <mergeCell ref="B285:C285"/>
    <mergeCell ref="B334:C334"/>
    <mergeCell ref="A340:C340"/>
    <mergeCell ref="D340:O340"/>
    <mergeCell ref="P340:AC340"/>
    <mergeCell ref="AD340:AL340"/>
    <mergeCell ref="A342:A353"/>
    <mergeCell ref="B347:C347"/>
    <mergeCell ref="B352:C352"/>
    <mergeCell ref="B353:C353"/>
    <mergeCell ref="A354:C354"/>
    <mergeCell ref="D354:O354"/>
    <mergeCell ref="P354:AC354"/>
    <mergeCell ref="AD354:AL354"/>
    <mergeCell ref="B361:C361"/>
    <mergeCell ref="B365:C365"/>
    <mergeCell ref="A356:A366"/>
    <mergeCell ref="B366:C366"/>
    <mergeCell ref="A382:A392"/>
    <mergeCell ref="B392:C392"/>
    <mergeCell ref="B391:C391"/>
    <mergeCell ref="AM378:AM379"/>
    <mergeCell ref="A393:C393"/>
    <mergeCell ref="D393:O393"/>
    <mergeCell ref="P393:AC393"/>
    <mergeCell ref="AD393:AL393"/>
    <mergeCell ref="B400:C400"/>
    <mergeCell ref="AD476:AL476"/>
    <mergeCell ref="P476:AC476"/>
    <mergeCell ref="D476:O476"/>
    <mergeCell ref="A476:C476"/>
    <mergeCell ref="B482:C482"/>
    <mergeCell ref="B485:C485"/>
    <mergeCell ref="B484:C484"/>
    <mergeCell ref="A478:A485"/>
    <mergeCell ref="AM143:AM144"/>
    <mergeCell ref="AM125:AM126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6" min="16" style="0" width="11.211267605633802"/>
    <col collapsed="false" customWidth="true" hidden="false" max="23" min="23" style="0" width="11.211267605633802"/>
    <col collapsed="false" customWidth="true" hidden="false" max="31" min="31" style="0" width="11.211267605633802"/>
    <col collapsed="false" customWidth="true" hidden="false" max="8" min="8" style="0" width="11.211267605633802"/>
    <col collapsed="false" customWidth="true" hidden="false" max="24" min="24" style="0" width="11.211267605633802"/>
    <col collapsed="false" customWidth="true" hidden="false" max="32" min="32" style="0" width="11.211267605633802"/>
    <col collapsed="false" customWidth="true" hidden="false" max="9" min="9" style="0" width="11.211267605633802"/>
    <col collapsed="false" customWidth="true" hidden="false" max="17" min="17" style="0" width="11.211267605633802"/>
    <col collapsed="false" customWidth="true" hidden="false" max="18" min="18" style="0" width="11.211267605633802"/>
    <col collapsed="false" customWidth="true" hidden="false" max="33" min="33" style="0" width="11.211267605633802"/>
    <col collapsed="false" customWidth="true" hidden="false" max="10" min="10" style="0" width="11.211267605633802"/>
    <col collapsed="false" customWidth="true" hidden="false" max="11" min="11" style="0" width="11.211267605633802"/>
    <col collapsed="false" customWidth="true" hidden="false" max="19" min="19" style="0" width="11.211267605633802"/>
    <col collapsed="false" customWidth="true" hidden="false" max="26" min="26" style="0" width="11.211267605633802"/>
    <col collapsed="false" customWidth="true" hidden="false" max="3" min="3" style="0" width="11.211267605633802"/>
    <col collapsed="false" customWidth="true" hidden="false" max="12" min="12" style="0" width="11.211267605633802"/>
    <col collapsed="false" customWidth="true" hidden="false" max="20" min="20" style="0" width="11.211267605633802"/>
    <col collapsed="false" customWidth="true" hidden="false" max="27" min="27" style="0" width="11.211267605633802"/>
    <col collapsed="false" customWidth="true" hidden="false" max="35" min="35" style="0" width="11.211267605633802"/>
    <col collapsed="false" customWidth="true" hidden="false" max="4" min="4" style="0" width="11.211267605633802"/>
    <col collapsed="false" customWidth="true" hidden="false" max="13" min="13" style="0" width="11.211267605633802"/>
    <col collapsed="false" customWidth="true" hidden="false" max="28" min="28" style="0" width="11.211267605633802"/>
    <col collapsed="false" customWidth="true" hidden="false" max="36" min="36" style="0" width="11.211267605633802"/>
    <col collapsed="false" customWidth="true" hidden="false" max="5" min="5" style="0" width="11.211267605633802"/>
    <col collapsed="false" customWidth="true" hidden="false" max="14" min="14" style="0" width="11.211267605633802"/>
    <col collapsed="false" customWidth="true" hidden="false" max="21" min="21" style="0" width="11.211267605633802"/>
    <col collapsed="false" customWidth="true" hidden="false" max="29" min="29" style="0" width="11.211267605633802"/>
    <col collapsed="false" customWidth="true" hidden="false" max="37" min="37" style="0" width="11.211267605633802"/>
    <col collapsed="false" customWidth="true" hidden="false" max="6" min="6" style="0" width="11.211267605633802"/>
    <col collapsed="false" customWidth="true" hidden="false" max="15" min="15" style="0" width="11.211267605633802"/>
    <col collapsed="false" customWidth="true" hidden="false" max="22" min="22" style="0" width="11.211267605633802"/>
    <col collapsed="false" customWidth="true" hidden="false" max="30" min="30" style="0" width="11.211267605633802"/>
    <col collapsed="false" customWidth="true" hidden="false" max="7" min="7" style="0" width="11.211267605633802"/>
  </cols>
  <sheetData>
    <row r="1">
      <c r="A1" s="538" t="s">
        <v>295</v>
      </c>
      <c r="B1" s="538"/>
      <c r="C1" s="538"/>
      <c r="D1" s="539" t="s">
        <v>296</v>
      </c>
      <c r="E1" s="539"/>
      <c r="F1" s="539"/>
      <c r="G1" s="539"/>
      <c r="H1" s="539"/>
      <c r="I1" s="539"/>
      <c r="J1" s="539"/>
      <c r="K1" s="540" t="s">
        <v>297</v>
      </c>
      <c r="L1" s="540"/>
      <c r="M1" s="540"/>
      <c r="N1" s="540"/>
      <c r="O1" s="540"/>
      <c r="P1" s="540"/>
      <c r="Q1" s="540"/>
      <c r="R1" s="540"/>
      <c r="S1" s="540"/>
      <c r="T1" s="540"/>
      <c r="U1" s="540"/>
      <c r="V1" s="540"/>
      <c r="W1" s="540"/>
      <c r="X1" s="540"/>
      <c r="Y1" s="541" t="s">
        <v>298</v>
      </c>
      <c r="Z1" s="541"/>
      <c r="AA1" s="541"/>
      <c r="AB1" s="541"/>
      <c r="AC1" s="541"/>
      <c r="AD1" s="541"/>
      <c r="AE1" s="541"/>
      <c r="AF1" s="541"/>
      <c r="AG1" s="541"/>
      <c r="AI1" s="542"/>
      <c r="AJ1" s="542"/>
      <c r="AK1" s="542"/>
    </row>
    <row r="2">
      <c r="A2" s="543" t="s">
        <v>299</v>
      </c>
      <c r="B2" s="544" t="s">
        <v>300</v>
      </c>
      <c r="C2" s="544" t="s">
        <v>301</v>
      </c>
      <c r="D2" s="545" t="s">
        <v>302</v>
      </c>
      <c r="E2" s="546" t="s">
        <v>303</v>
      </c>
      <c r="F2" s="546" t="s">
        <v>304</v>
      </c>
      <c r="G2" s="547" t="s">
        <v>305</v>
      </c>
      <c r="H2" s="548" t="s">
        <v>306</v>
      </c>
      <c r="I2" s="549" t="s">
        <v>307</v>
      </c>
      <c r="J2" s="550" t="s">
        <v>308</v>
      </c>
      <c r="K2" s="551" t="s">
        <v>309</v>
      </c>
      <c r="L2" s="540" t="s">
        <v>310</v>
      </c>
      <c r="M2" s="540" t="s">
        <v>311</v>
      </c>
      <c r="N2" s="552" t="s">
        <v>312</v>
      </c>
      <c r="O2" s="552" t="s">
        <v>313</v>
      </c>
      <c r="P2" s="540" t="s">
        <v>314</v>
      </c>
      <c r="Q2" s="552" t="s">
        <v>315</v>
      </c>
      <c r="R2" s="552" t="s">
        <v>316</v>
      </c>
      <c r="S2" s="540" t="s">
        <v>317</v>
      </c>
      <c r="T2" s="552" t="s">
        <v>318</v>
      </c>
      <c r="U2" s="540" t="s">
        <v>319</v>
      </c>
      <c r="V2" s="553" t="s">
        <v>320</v>
      </c>
      <c r="W2" s="553" t="s">
        <v>321</v>
      </c>
      <c r="X2" s="553" t="s">
        <v>322</v>
      </c>
      <c r="Y2" s="554" t="s">
        <v>323</v>
      </c>
      <c r="Z2" s="555" t="s">
        <v>324</v>
      </c>
      <c r="AA2" s="555" t="s">
        <v>325</v>
      </c>
      <c r="AB2" s="555" t="s">
        <v>326</v>
      </c>
      <c r="AC2" s="555" t="s">
        <v>327</v>
      </c>
      <c r="AD2" s="555" t="s">
        <v>328</v>
      </c>
      <c r="AE2" s="555" t="s">
        <v>329</v>
      </c>
      <c r="AF2" s="555" t="s">
        <v>330</v>
      </c>
      <c r="AG2" s="556" t="s">
        <v>331</v>
      </c>
      <c r="AI2" s="542"/>
      <c r="AJ2" s="542"/>
      <c r="AK2" s="542"/>
    </row>
    <row r="3">
      <c r="A3" s="557" t="s">
        <v>332</v>
      </c>
      <c r="B3" s="558" t="s">
        <v>333</v>
      </c>
      <c r="C3" s="559" t="s">
        <v>334</v>
      </c>
      <c r="D3" s="559">
        <f t="shared" ref="D3:D6" si="270">E3+F3</f>
      </c>
      <c r="E3" s="560">
        <v>2602.77</v>
      </c>
      <c r="F3" s="560">
        <v>1403.31</v>
      </c>
      <c r="G3" s="561">
        <v>5</v>
      </c>
      <c r="H3" s="561">
        <v>6060</v>
      </c>
      <c r="I3" s="562">
        <f t="shared" ref="I3:I18" si="396">H3/D3</f>
      </c>
      <c r="J3" s="562">
        <f t="shared" ref="J3:J18" si="152">H3/(D3+300*AG3)</f>
      </c>
      <c r="K3" s="563">
        <f t="shared" ref="K3:K18" si="211">(D3/Z3)*1000</f>
      </c>
      <c r="L3" s="564">
        <f t="shared" ref="L3:L18" si="0">AA3/Z3</f>
      </c>
      <c r="M3" s="565">
        <f t="shared" ref="M3:M18" si="93">D3/AB3</f>
      </c>
      <c r="N3" s="566">
        <f t="shared" ref="N3:N18" si="28">AC3/AB3</f>
      </c>
      <c r="O3" s="566">
        <f t="shared" ref="O3:O18" si="458">AD3/AB3</f>
      </c>
      <c r="P3" s="565">
        <f t="shared" ref="P3:P18" si="492">D3/AD3</f>
      </c>
      <c r="Q3" s="566">
        <f t="shared" ref="Q3:Q18" si="359">AE3/AD3</f>
      </c>
      <c r="R3" s="566">
        <f t="shared" ref="R3:R18" si="424">G3/AE3</f>
      </c>
      <c r="S3" s="565">
        <f t="shared" ref="S3:S18" si="180">D3/G3</f>
      </c>
      <c r="T3" s="567">
        <f t="shared" ref="T3:T18" si="239">H3/G3</f>
      </c>
      <c r="U3" s="565">
        <f t="shared" ref="U3:U18" si="62">D3/Y3</f>
      </c>
      <c r="V3" s="568">
        <f t="shared" ref="V3:V18" si="121">AF3*1000/D3</f>
      </c>
      <c r="W3" s="569" t="s">
        <v>335</v>
      </c>
      <c r="X3" s="570" t="s">
        <v>336</v>
      </c>
      <c r="Y3" s="571">
        <v>3</v>
      </c>
      <c r="Z3" s="572">
        <v>16340</v>
      </c>
      <c r="AA3" s="572">
        <v>598</v>
      </c>
      <c r="AB3" s="572">
        <v>784</v>
      </c>
      <c r="AC3" s="572">
        <v>105</v>
      </c>
      <c r="AD3" s="571">
        <v>52</v>
      </c>
      <c r="AE3" s="571">
        <v>6</v>
      </c>
      <c r="AF3" s="571">
        <v>24</v>
      </c>
      <c r="AG3" s="571">
        <v>1</v>
      </c>
      <c r="AI3" s="542"/>
      <c r="AJ3" s="542"/>
      <c r="AK3" s="542"/>
    </row>
    <row r="4">
      <c r="A4" s="557"/>
      <c r="B4" s="558" t="s">
        <v>337</v>
      </c>
      <c r="C4" s="559" t="s">
        <v>334</v>
      </c>
      <c r="D4" s="559">
        <f t="shared" si="270"/>
      </c>
      <c r="E4" s="560">
        <v>4905.68</v>
      </c>
      <c r="F4" s="560">
        <v>1069.65</v>
      </c>
      <c r="G4" s="573">
        <v>7</v>
      </c>
      <c r="H4" s="573">
        <v>11837</v>
      </c>
      <c r="I4" s="562">
        <f t="shared" si="396"/>
      </c>
      <c r="J4" s="562">
        <f t="shared" si="152"/>
      </c>
      <c r="K4" s="563">
        <f t="shared" si="211"/>
      </c>
      <c r="L4" s="574">
        <f t="shared" si="0"/>
      </c>
      <c r="M4" s="575">
        <f t="shared" si="93"/>
      </c>
      <c r="N4" s="576">
        <f t="shared" si="28"/>
      </c>
      <c r="O4" s="576">
        <f t="shared" si="458"/>
      </c>
      <c r="P4" s="575">
        <f t="shared" si="492"/>
      </c>
      <c r="Q4" s="576">
        <f t="shared" si="359"/>
      </c>
      <c r="R4" s="576">
        <f t="shared" si="424"/>
      </c>
      <c r="S4" s="577">
        <f t="shared" si="180"/>
      </c>
      <c r="T4" s="578">
        <f t="shared" si="239"/>
      </c>
      <c r="U4" s="579">
        <f t="shared" si="62"/>
      </c>
      <c r="V4" s="580">
        <f t="shared" si="121"/>
      </c>
      <c r="W4" s="581" t="s">
        <v>335</v>
      </c>
      <c r="X4" s="570" t="s">
        <v>336</v>
      </c>
      <c r="Y4" s="582">
        <v>5</v>
      </c>
      <c r="Z4" s="582">
        <v>23592</v>
      </c>
      <c r="AA4" s="582">
        <v>670</v>
      </c>
      <c r="AB4" s="582">
        <v>842</v>
      </c>
      <c r="AC4" s="582">
        <v>142</v>
      </c>
      <c r="AD4" s="582">
        <v>52</v>
      </c>
      <c r="AE4" s="583">
        <v>14</v>
      </c>
      <c r="AF4" s="583">
        <v>33</v>
      </c>
      <c r="AG4" s="583">
        <v>1</v>
      </c>
      <c r="AI4" s="542"/>
      <c r="AJ4" s="542"/>
      <c r="AK4" s="542"/>
    </row>
    <row r="5">
      <c r="A5" s="557"/>
      <c r="B5" s="584" t="s">
        <v>338</v>
      </c>
      <c r="C5" s="559" t="s">
        <v>334</v>
      </c>
      <c r="D5" s="559">
        <f t="shared" si="270"/>
      </c>
      <c r="E5" s="560">
        <v>2612.89</v>
      </c>
      <c r="F5" s="560">
        <v>1113.53</v>
      </c>
      <c r="G5" s="573">
        <v>3</v>
      </c>
      <c r="H5" s="573">
        <v>4164</v>
      </c>
      <c r="I5" s="562">
        <f t="shared" si="396"/>
      </c>
      <c r="J5" s="562">
        <f t="shared" si="152"/>
      </c>
      <c r="K5" s="563">
        <f t="shared" si="211"/>
      </c>
      <c r="L5" s="574">
        <f t="shared" si="0"/>
      </c>
      <c r="M5" s="575">
        <f t="shared" si="93"/>
      </c>
      <c r="N5" s="576">
        <f t="shared" si="28"/>
      </c>
      <c r="O5" s="576">
        <f t="shared" si="458"/>
      </c>
      <c r="P5" s="575">
        <f t="shared" si="492"/>
      </c>
      <c r="Q5" s="576">
        <f t="shared" si="359"/>
      </c>
      <c r="R5" s="576">
        <f t="shared" si="424"/>
      </c>
      <c r="S5" s="577">
        <f t="shared" si="180"/>
      </c>
      <c r="T5" s="578">
        <f t="shared" si="239"/>
      </c>
      <c r="U5" s="579">
        <f t="shared" si="62"/>
      </c>
      <c r="V5" s="580">
        <f t="shared" si="121"/>
      </c>
      <c r="W5" s="581" t="s">
        <v>335</v>
      </c>
      <c r="X5" s="570" t="s">
        <v>336</v>
      </c>
      <c r="Y5" s="583">
        <v>2</v>
      </c>
      <c r="Z5" s="582">
        <v>16173</v>
      </c>
      <c r="AA5" s="582">
        <v>486</v>
      </c>
      <c r="AB5" s="582">
        <v>623</v>
      </c>
      <c r="AC5" s="582">
        <v>80</v>
      </c>
      <c r="AD5" s="582">
        <v>31</v>
      </c>
      <c r="AE5" s="583">
        <v>6</v>
      </c>
      <c r="AF5" s="583">
        <v>23</v>
      </c>
      <c r="AG5" s="583">
        <v>1</v>
      </c>
      <c r="AI5" s="542"/>
      <c r="AJ5" s="542"/>
      <c r="AK5" s="542"/>
    </row>
    <row r="6">
      <c r="A6" s="557"/>
      <c r="B6" s="584" t="s">
        <v>339</v>
      </c>
      <c r="C6" s="559" t="s">
        <v>334</v>
      </c>
      <c r="D6" s="559">
        <f t="shared" si="270"/>
      </c>
      <c r="E6" s="560">
        <v>2706.09</v>
      </c>
      <c r="F6" s="560">
        <v>2103.94</v>
      </c>
      <c r="G6" s="573">
        <v>8</v>
      </c>
      <c r="H6" s="573">
        <v>14648</v>
      </c>
      <c r="I6" s="562">
        <f t="shared" si="396"/>
      </c>
      <c r="J6" s="562">
        <f t="shared" si="152"/>
      </c>
      <c r="K6" s="563">
        <f t="shared" si="211"/>
      </c>
      <c r="L6" s="574">
        <f t="shared" si="0"/>
      </c>
      <c r="M6" s="575">
        <f t="shared" si="93"/>
      </c>
      <c r="N6" s="576">
        <f t="shared" si="28"/>
      </c>
      <c r="O6" s="576">
        <f t="shared" si="458"/>
      </c>
      <c r="P6" s="575">
        <f t="shared" si="492"/>
      </c>
      <c r="Q6" s="576">
        <f t="shared" si="359"/>
      </c>
      <c r="R6" s="576">
        <f t="shared" si="424"/>
      </c>
      <c r="S6" s="577">
        <f t="shared" si="180"/>
      </c>
      <c r="T6" s="585">
        <f t="shared" si="239"/>
      </c>
      <c r="U6" s="577">
        <f t="shared" si="62"/>
      </c>
      <c r="V6" s="580">
        <f t="shared" si="121"/>
      </c>
      <c r="W6" s="581" t="s">
        <v>335</v>
      </c>
      <c r="X6" s="570" t="s">
        <v>336</v>
      </c>
      <c r="Y6" s="583">
        <v>6</v>
      </c>
      <c r="Z6" s="583">
        <v>18480</v>
      </c>
      <c r="AA6" s="583">
        <v>699</v>
      </c>
      <c r="AB6" s="583">
        <v>832</v>
      </c>
      <c r="AC6" s="583">
        <v>125</v>
      </c>
      <c r="AD6" s="583">
        <v>52</v>
      </c>
      <c r="AE6" s="583">
        <v>12</v>
      </c>
      <c r="AF6" s="583">
        <v>30</v>
      </c>
      <c r="AG6" s="583">
        <v>1</v>
      </c>
      <c r="AI6" s="542"/>
      <c r="AJ6" s="542"/>
      <c r="AK6" s="542"/>
    </row>
    <row r="7">
      <c r="A7" s="557"/>
      <c r="B7" s="586" t="s">
        <v>340</v>
      </c>
      <c r="C7" s="586"/>
      <c r="D7" s="587">
        <f>SUM(D3:D6)</f>
      </c>
      <c r="E7" s="587">
        <f>SUM(E3:E6)</f>
      </c>
      <c r="F7" s="587">
        <f>SUM(F3:F6)</f>
      </c>
      <c r="G7" s="587">
        <f>SUM(G3:G6)</f>
      </c>
      <c r="H7" s="587">
        <f>SUM(H3:H6)</f>
      </c>
      <c r="I7" s="588">
        <f t="shared" si="396"/>
      </c>
      <c r="J7" s="588">
        <f t="shared" si="152"/>
      </c>
      <c r="K7" s="589">
        <f t="shared" si="211"/>
      </c>
      <c r="L7" s="590">
        <f t="shared" si="0"/>
      </c>
      <c r="M7" s="591">
        <f t="shared" si="93"/>
      </c>
      <c r="N7" s="592">
        <f t="shared" si="28"/>
      </c>
      <c r="O7" s="592">
        <f t="shared" si="458"/>
      </c>
      <c r="P7" s="591">
        <f t="shared" si="492"/>
      </c>
      <c r="Q7" s="592">
        <f t="shared" si="359"/>
      </c>
      <c r="R7" s="592">
        <f t="shared" si="424"/>
      </c>
      <c r="S7" s="593">
        <f t="shared" si="180"/>
      </c>
      <c r="T7" s="594">
        <f t="shared" si="239"/>
      </c>
      <c r="U7" s="593">
        <f t="shared" si="62"/>
      </c>
      <c r="V7" s="595">
        <f t="shared" si="121"/>
      </c>
      <c r="W7" s="595"/>
      <c r="X7" s="595"/>
      <c r="Y7" s="587">
        <f>SUM(Y3:Y6)</f>
      </c>
      <c r="Z7" s="587">
        <f>SUM(Z3:Z6)</f>
      </c>
      <c r="AA7" s="587">
        <f>SUM(AA3:AA6)</f>
      </c>
      <c r="AB7" s="587">
        <f>SUM(AB3:AB6)</f>
      </c>
      <c r="AC7" s="587">
        <f>SUM(AC3:AC6)</f>
      </c>
      <c r="AD7" s="587">
        <f>SUM(AD3:AD6)</f>
      </c>
      <c r="AE7" s="587">
        <f>SUM(AE3:AE6)</f>
      </c>
      <c r="AF7" s="587">
        <f>SUM(AF3:AF6)</f>
      </c>
      <c r="AG7" s="587">
        <f>SUM(AG3:AG6)</f>
      </c>
      <c r="AI7" s="542"/>
      <c r="AJ7" s="542"/>
      <c r="AK7" s="542"/>
    </row>
    <row r="8">
      <c r="A8" s="557"/>
      <c r="B8" s="584" t="s">
        <v>341</v>
      </c>
      <c r="C8" s="559" t="s">
        <v>342</v>
      </c>
      <c r="D8" s="559">
        <f t="shared" ref="D8:D11" si="271">E8+F8</f>
      </c>
      <c r="E8" s="560">
        <v>2147.12</v>
      </c>
      <c r="F8" s="560">
        <v>1616.84</v>
      </c>
      <c r="G8" s="573">
        <v>2</v>
      </c>
      <c r="H8" s="573">
        <v>4536</v>
      </c>
      <c r="I8" s="562">
        <f t="shared" si="396"/>
      </c>
      <c r="J8" s="562">
        <f t="shared" si="152"/>
      </c>
      <c r="K8" s="563">
        <f t="shared" si="211"/>
      </c>
      <c r="L8" s="596">
        <f t="shared" si="0"/>
      </c>
      <c r="M8" s="597">
        <f t="shared" si="93"/>
      </c>
      <c r="N8" s="598">
        <f t="shared" si="28"/>
      </c>
      <c r="O8" s="598">
        <f t="shared" si="458"/>
      </c>
      <c r="P8" s="597">
        <f t="shared" si="492"/>
      </c>
      <c r="Q8" s="598">
        <f t="shared" si="359"/>
      </c>
      <c r="R8" s="598">
        <f t="shared" si="424"/>
      </c>
      <c r="S8" s="599">
        <f t="shared" si="180"/>
      </c>
      <c r="T8" s="600">
        <f t="shared" si="239"/>
      </c>
      <c r="U8" s="599">
        <f t="shared" si="62"/>
      </c>
      <c r="V8" s="601">
        <f t="shared" si="121"/>
      </c>
      <c r="W8" s="602" t="s">
        <v>335</v>
      </c>
      <c r="X8" s="570" t="s">
        <v>336</v>
      </c>
      <c r="Y8" s="603">
        <v>2</v>
      </c>
      <c r="Z8" s="603">
        <v>15816</v>
      </c>
      <c r="AA8" s="603">
        <v>624</v>
      </c>
      <c r="AB8" s="603">
        <v>789</v>
      </c>
      <c r="AC8" s="603">
        <v>88</v>
      </c>
      <c r="AD8" s="603">
        <v>50</v>
      </c>
      <c r="AE8" s="603">
        <v>9</v>
      </c>
      <c r="AF8" s="604">
        <v>16</v>
      </c>
      <c r="AG8" s="604">
        <v>1</v>
      </c>
      <c r="AI8" s="542"/>
      <c r="AJ8" s="542"/>
      <c r="AK8" s="542"/>
    </row>
    <row r="9">
      <c r="A9" s="557"/>
      <c r="B9" s="584" t="s">
        <v>343</v>
      </c>
      <c r="C9" s="559" t="s">
        <v>342</v>
      </c>
      <c r="D9" s="559">
        <f t="shared" si="271"/>
      </c>
      <c r="E9" s="560">
        <v>2260.16</v>
      </c>
      <c r="F9" s="560">
        <v>1264.44</v>
      </c>
      <c r="G9" s="573">
        <v>5</v>
      </c>
      <c r="H9" s="573">
        <v>9832</v>
      </c>
      <c r="I9" s="562">
        <f t="shared" si="396"/>
      </c>
      <c r="J9" s="562">
        <f t="shared" si="152"/>
      </c>
      <c r="K9" s="563">
        <f t="shared" si="211"/>
      </c>
      <c r="L9" s="596">
        <f t="shared" si="0"/>
      </c>
      <c r="M9" s="597">
        <f t="shared" si="93"/>
      </c>
      <c r="N9" s="598">
        <f t="shared" si="28"/>
      </c>
      <c r="O9" s="598">
        <f t="shared" si="458"/>
      </c>
      <c r="P9" s="597">
        <f t="shared" si="492"/>
      </c>
      <c r="Q9" s="598">
        <f t="shared" si="359"/>
      </c>
      <c r="R9" s="598">
        <f t="shared" si="424"/>
      </c>
      <c r="S9" s="599">
        <f t="shared" si="180"/>
      </c>
      <c r="T9" s="600">
        <f t="shared" si="239"/>
      </c>
      <c r="U9" s="599">
        <f t="shared" si="62"/>
      </c>
      <c r="V9" s="601">
        <f t="shared" si="121"/>
      </c>
      <c r="W9" s="602" t="s">
        <v>335</v>
      </c>
      <c r="X9" s="570" t="s">
        <v>336</v>
      </c>
      <c r="Y9" s="603">
        <v>5</v>
      </c>
      <c r="Z9" s="603">
        <v>16714</v>
      </c>
      <c r="AA9" s="603">
        <v>642</v>
      </c>
      <c r="AB9" s="603">
        <v>839</v>
      </c>
      <c r="AC9" s="603">
        <v>101</v>
      </c>
      <c r="AD9" s="603">
        <v>47</v>
      </c>
      <c r="AE9" s="604">
        <v>7</v>
      </c>
      <c r="AF9" s="604">
        <v>20</v>
      </c>
      <c r="AG9" s="604">
        <v>1</v>
      </c>
      <c r="AI9" s="542"/>
      <c r="AJ9" s="542"/>
      <c r="AK9" s="542"/>
    </row>
    <row r="10">
      <c r="A10" s="557"/>
      <c r="B10" s="584" t="s">
        <v>344</v>
      </c>
      <c r="C10" s="559" t="s">
        <v>342</v>
      </c>
      <c r="D10" s="559">
        <f t="shared" si="271"/>
      </c>
      <c r="E10" s="560">
        <v>2967.05</v>
      </c>
      <c r="F10" s="560">
        <v>1219.21</v>
      </c>
      <c r="G10" s="561">
        <v>3</v>
      </c>
      <c r="H10" s="561">
        <v>4164</v>
      </c>
      <c r="I10" s="562">
        <f t="shared" si="396"/>
      </c>
      <c r="J10" s="562">
        <f t="shared" si="152"/>
      </c>
      <c r="K10" s="563">
        <f t="shared" si="211"/>
      </c>
      <c r="L10" s="596">
        <f t="shared" si="0"/>
      </c>
      <c r="M10" s="597">
        <f t="shared" si="93"/>
      </c>
      <c r="N10" s="598">
        <f t="shared" si="28"/>
      </c>
      <c r="O10" s="598">
        <f t="shared" si="458"/>
      </c>
      <c r="P10" s="597">
        <f t="shared" si="492"/>
      </c>
      <c r="Q10" s="598">
        <f t="shared" si="359"/>
      </c>
      <c r="R10" s="598">
        <f t="shared" si="424"/>
      </c>
      <c r="S10" s="599">
        <f t="shared" si="180"/>
      </c>
      <c r="T10" s="600">
        <f t="shared" si="239"/>
      </c>
      <c r="U10" s="599">
        <f t="shared" si="62"/>
      </c>
      <c r="V10" s="601">
        <f t="shared" si="121"/>
      </c>
      <c r="W10" s="602" t="s">
        <v>335</v>
      </c>
      <c r="X10" s="570" t="s">
        <v>336</v>
      </c>
      <c r="Y10" s="603">
        <v>3</v>
      </c>
      <c r="Z10" s="603">
        <v>20761</v>
      </c>
      <c r="AA10" s="603">
        <v>703</v>
      </c>
      <c r="AB10" s="603">
        <v>895</v>
      </c>
      <c r="AC10" s="603">
        <v>108</v>
      </c>
      <c r="AD10" s="603">
        <v>26</v>
      </c>
      <c r="AE10" s="604">
        <v>5</v>
      </c>
      <c r="AF10" s="604">
        <v>18</v>
      </c>
      <c r="AG10" s="604">
        <v>1</v>
      </c>
      <c r="AI10" s="542"/>
      <c r="AJ10" s="542"/>
      <c r="AK10" s="542"/>
    </row>
    <row r="11">
      <c r="A11" s="557"/>
      <c r="B11" s="584" t="s">
        <v>345</v>
      </c>
      <c r="C11" s="559" t="s">
        <v>342</v>
      </c>
      <c r="D11" s="559">
        <f t="shared" si="271"/>
      </c>
      <c r="E11" s="560">
        <v>3552.41</v>
      </c>
      <c r="F11" s="560">
        <v>1612</v>
      </c>
      <c r="G11" s="561">
        <v>6</v>
      </c>
      <c r="H11" s="561">
        <v>7660</v>
      </c>
      <c r="I11" s="562">
        <f t="shared" si="396"/>
      </c>
      <c r="J11" s="562">
        <f t="shared" si="152"/>
      </c>
      <c r="K11" s="563">
        <f t="shared" si="211"/>
      </c>
      <c r="L11" s="596">
        <f t="shared" si="0"/>
      </c>
      <c r="M11" s="597">
        <f t="shared" si="93"/>
      </c>
      <c r="N11" s="598">
        <f t="shared" si="28"/>
      </c>
      <c r="O11" s="598">
        <f t="shared" si="458"/>
      </c>
      <c r="P11" s="597">
        <f t="shared" si="492"/>
      </c>
      <c r="Q11" s="598">
        <f t="shared" si="359"/>
      </c>
      <c r="R11" s="598">
        <f t="shared" si="424"/>
      </c>
      <c r="S11" s="599">
        <f t="shared" si="180"/>
      </c>
      <c r="T11" s="600">
        <f t="shared" si="239"/>
      </c>
      <c r="U11" s="599">
        <f t="shared" si="62"/>
      </c>
      <c r="V11" s="601">
        <f t="shared" si="121"/>
      </c>
      <c r="W11" s="602" t="s">
        <v>335</v>
      </c>
      <c r="X11" s="570" t="s">
        <v>336</v>
      </c>
      <c r="Y11" s="603">
        <v>5</v>
      </c>
      <c r="Z11" s="603">
        <v>24994</v>
      </c>
      <c r="AA11" s="603">
        <v>799</v>
      </c>
      <c r="AB11" s="603">
        <v>940</v>
      </c>
      <c r="AC11" s="603">
        <v>147</v>
      </c>
      <c r="AD11" s="603">
        <v>37</v>
      </c>
      <c r="AE11" s="604">
        <v>8</v>
      </c>
      <c r="AF11" s="604">
        <v>29</v>
      </c>
      <c r="AG11" s="604">
        <v>1</v>
      </c>
      <c r="AI11" s="542"/>
      <c r="AJ11" s="542"/>
      <c r="AK11" s="542"/>
    </row>
    <row r="12">
      <c r="A12" s="557"/>
      <c r="B12" s="586" t="s">
        <v>340</v>
      </c>
      <c r="C12" s="586"/>
      <c r="D12" s="587">
        <f>SUM(D8:D11)</f>
      </c>
      <c r="E12" s="587">
        <f>SUM(E8:E11)</f>
      </c>
      <c r="F12" s="587">
        <f>SUM(F8:F11)</f>
      </c>
      <c r="G12" s="587">
        <f>SUM(G8:G11)</f>
      </c>
      <c r="H12" s="587">
        <f>SUM(H8:H11)</f>
      </c>
      <c r="I12" s="588">
        <f t="shared" si="396"/>
      </c>
      <c r="J12" s="588">
        <f t="shared" si="152"/>
      </c>
      <c r="K12" s="589">
        <f t="shared" si="211"/>
      </c>
      <c r="L12" s="590">
        <f t="shared" si="0"/>
      </c>
      <c r="M12" s="591">
        <f t="shared" si="93"/>
      </c>
      <c r="N12" s="592">
        <f t="shared" si="28"/>
      </c>
      <c r="O12" s="592">
        <f t="shared" si="458"/>
      </c>
      <c r="P12" s="591">
        <f t="shared" si="492"/>
      </c>
      <c r="Q12" s="592">
        <f t="shared" si="359"/>
      </c>
      <c r="R12" s="592">
        <f t="shared" si="424"/>
      </c>
      <c r="S12" s="593">
        <f t="shared" si="180"/>
      </c>
      <c r="T12" s="594">
        <f t="shared" si="239"/>
      </c>
      <c r="U12" s="593">
        <f t="shared" si="62"/>
      </c>
      <c r="V12" s="595">
        <f t="shared" si="121"/>
      </c>
      <c r="W12" s="595"/>
      <c r="X12" s="595"/>
      <c r="Y12" s="587">
        <f>SUM(Y8:Y11)</f>
      </c>
      <c r="Z12" s="587">
        <f>SUM(Z8:Z11)</f>
      </c>
      <c r="AA12" s="587">
        <f>SUM(AA8:AA11)</f>
      </c>
      <c r="AB12" s="587">
        <f>SUM(AB8:AB11)</f>
      </c>
      <c r="AC12" s="587">
        <f>SUM(AC8:AC11)</f>
      </c>
      <c r="AD12" s="587">
        <f>SUM(AD8:AD11)</f>
      </c>
      <c r="AE12" s="587">
        <f>SUM(AE8:AE11)</f>
      </c>
      <c r="AF12" s="587">
        <f>SUM(AF8:AF11)</f>
      </c>
      <c r="AG12" s="587">
        <f>SUM(AG8:AG11)</f>
      </c>
      <c r="AI12" s="542"/>
      <c r="AJ12" s="542"/>
      <c r="AK12" s="542"/>
    </row>
    <row r="13">
      <c r="A13" s="557"/>
      <c r="B13" s="584" t="s">
        <v>346</v>
      </c>
      <c r="C13" s="559" t="s">
        <v>347</v>
      </c>
      <c r="D13" s="559">
        <f t="shared" ref="D13:D16" si="272">E13+F13</f>
      </c>
      <c r="E13" s="560">
        <v>4330.48</v>
      </c>
      <c r="F13" s="560">
        <v>1019.92</v>
      </c>
      <c r="G13" s="561">
        <v>7</v>
      </c>
      <c r="H13" s="561">
        <v>10517</v>
      </c>
      <c r="I13" s="562">
        <f t="shared" si="396"/>
      </c>
      <c r="J13" s="562">
        <f t="shared" si="152"/>
      </c>
      <c r="K13" s="605">
        <f t="shared" si="211"/>
      </c>
      <c r="L13" s="596">
        <f t="shared" si="0"/>
      </c>
      <c r="M13" s="597">
        <f t="shared" si="93"/>
      </c>
      <c r="N13" s="598">
        <f t="shared" si="28"/>
      </c>
      <c r="O13" s="598">
        <f t="shared" si="458"/>
      </c>
      <c r="P13" s="597">
        <f t="shared" si="492"/>
      </c>
      <c r="Q13" s="598">
        <f t="shared" si="359"/>
      </c>
      <c r="R13" s="598">
        <f t="shared" si="424"/>
      </c>
      <c r="S13" s="599">
        <f t="shared" si="180"/>
      </c>
      <c r="T13" s="600">
        <f t="shared" si="239"/>
      </c>
      <c r="U13" s="599">
        <f t="shared" si="62"/>
      </c>
      <c r="V13" s="601">
        <f t="shared" si="121"/>
      </c>
      <c r="W13" s="602" t="s">
        <v>335</v>
      </c>
      <c r="X13" s="570" t="s">
        <v>348</v>
      </c>
      <c r="Y13" s="603">
        <v>6</v>
      </c>
      <c r="Z13" s="603">
        <v>29895</v>
      </c>
      <c r="AA13" s="603">
        <v>570</v>
      </c>
      <c r="AB13" s="603">
        <v>724</v>
      </c>
      <c r="AC13" s="603">
        <v>118</v>
      </c>
      <c r="AD13" s="603">
        <v>41</v>
      </c>
      <c r="AE13" s="604">
        <v>13</v>
      </c>
      <c r="AF13" s="604">
        <v>17</v>
      </c>
      <c r="AG13" s="604">
        <v>1</v>
      </c>
      <c r="AI13" s="542"/>
      <c r="AJ13" s="542"/>
      <c r="AK13" s="542"/>
    </row>
    <row r="14">
      <c r="A14" s="557"/>
      <c r="B14" s="584" t="s">
        <v>349</v>
      </c>
      <c r="C14" s="559" t="s">
        <v>347</v>
      </c>
      <c r="D14" s="559">
        <f t="shared" si="272"/>
      </c>
      <c r="E14" s="560">
        <v>3859.49</v>
      </c>
      <c r="F14" s="560">
        <v>654.5</v>
      </c>
      <c r="G14" s="561">
        <v>3</v>
      </c>
      <c r="H14" s="561">
        <v>4164</v>
      </c>
      <c r="I14" s="562">
        <f t="shared" si="396"/>
      </c>
      <c r="J14" s="562">
        <f t="shared" si="152"/>
      </c>
      <c r="K14" s="605">
        <f t="shared" si="211"/>
      </c>
      <c r="L14" s="596">
        <f t="shared" si="0"/>
      </c>
      <c r="M14" s="597">
        <f t="shared" si="93"/>
      </c>
      <c r="N14" s="598">
        <f t="shared" si="28"/>
      </c>
      <c r="O14" s="598">
        <f t="shared" si="458"/>
      </c>
      <c r="P14" s="597">
        <f t="shared" si="492"/>
      </c>
      <c r="Q14" s="598">
        <f t="shared" si="359"/>
      </c>
      <c r="R14" s="598">
        <f t="shared" si="424"/>
      </c>
      <c r="S14" s="599">
        <f t="shared" si="180"/>
      </c>
      <c r="T14" s="600">
        <f t="shared" si="239"/>
      </c>
      <c r="U14" s="599">
        <f t="shared" si="62"/>
      </c>
      <c r="V14" s="601">
        <f t="shared" si="121"/>
      </c>
      <c r="W14" s="602" t="s">
        <v>335</v>
      </c>
      <c r="X14" s="570" t="s">
        <v>348</v>
      </c>
      <c r="Y14" s="603">
        <v>3</v>
      </c>
      <c r="Z14" s="603">
        <v>29011</v>
      </c>
      <c r="AA14" s="603">
        <v>501</v>
      </c>
      <c r="AB14" s="603">
        <v>616</v>
      </c>
      <c r="AC14" s="603">
        <v>106</v>
      </c>
      <c r="AD14" s="604">
        <v>16</v>
      </c>
      <c r="AE14" s="604">
        <v>7</v>
      </c>
      <c r="AF14" s="604">
        <v>11</v>
      </c>
      <c r="AG14" s="604">
        <v>1</v>
      </c>
      <c r="AI14" s="542"/>
      <c r="AJ14" s="542"/>
      <c r="AK14" s="542"/>
    </row>
    <row r="15">
      <c r="A15" s="557"/>
      <c r="B15" s="558" t="s">
        <v>350</v>
      </c>
      <c r="C15" s="559" t="s">
        <v>347</v>
      </c>
      <c r="D15" s="559">
        <f t="shared" si="272"/>
      </c>
      <c r="E15" s="560">
        <v>4277.53</v>
      </c>
      <c r="F15" s="560">
        <v>856.19</v>
      </c>
      <c r="G15" s="561">
        <v>5</v>
      </c>
      <c r="H15" s="561">
        <v>6060</v>
      </c>
      <c r="I15" s="562">
        <f t="shared" si="396"/>
      </c>
      <c r="J15" s="562">
        <f t="shared" si="152"/>
      </c>
      <c r="K15" s="605">
        <f t="shared" si="211"/>
      </c>
      <c r="L15" s="596">
        <f t="shared" si="0"/>
      </c>
      <c r="M15" s="597">
        <f t="shared" si="93"/>
      </c>
      <c r="N15" s="598">
        <f t="shared" si="28"/>
      </c>
      <c r="O15" s="598">
        <f t="shared" si="458"/>
      </c>
      <c r="P15" s="597">
        <f t="shared" si="492"/>
      </c>
      <c r="Q15" s="598">
        <f t="shared" si="359"/>
      </c>
      <c r="R15" s="598">
        <f t="shared" si="424"/>
      </c>
      <c r="S15" s="599">
        <f t="shared" si="180"/>
      </c>
      <c r="T15" s="600">
        <f t="shared" si="239"/>
      </c>
      <c r="U15" s="599">
        <f t="shared" si="62"/>
      </c>
      <c r="V15" s="601">
        <f t="shared" si="121"/>
      </c>
      <c r="W15" s="602" t="s">
        <v>335</v>
      </c>
      <c r="X15" s="570" t="s">
        <v>348</v>
      </c>
      <c r="Y15" s="603">
        <v>3</v>
      </c>
      <c r="Z15" s="603">
        <v>29011</v>
      </c>
      <c r="AA15" s="603">
        <v>501</v>
      </c>
      <c r="AB15" s="603">
        <v>616</v>
      </c>
      <c r="AC15" s="603">
        <v>106</v>
      </c>
      <c r="AD15" s="604">
        <v>16</v>
      </c>
      <c r="AE15" s="604">
        <v>9</v>
      </c>
      <c r="AF15" s="604">
        <v>26</v>
      </c>
      <c r="AG15" s="604">
        <v>1</v>
      </c>
      <c r="AI15" s="542"/>
      <c r="AJ15" s="542"/>
      <c r="AK15" s="542"/>
    </row>
    <row r="16">
      <c r="A16" s="557"/>
      <c r="B16" s="558" t="s">
        <v>351</v>
      </c>
      <c r="C16" s="559" t="s">
        <v>347</v>
      </c>
      <c r="D16" s="559">
        <f t="shared" si="272"/>
      </c>
      <c r="E16" s="560">
        <v>5629.08</v>
      </c>
      <c r="F16" s="560">
        <v>780.42</v>
      </c>
      <c r="G16" s="561">
        <v>5</v>
      </c>
      <c r="H16" s="561">
        <v>8700</v>
      </c>
      <c r="I16" s="562">
        <f t="shared" si="396"/>
      </c>
      <c r="J16" s="562">
        <f t="shared" si="152"/>
      </c>
      <c r="K16" s="605">
        <f t="shared" si="211"/>
      </c>
      <c r="L16" s="596">
        <f t="shared" si="0"/>
      </c>
      <c r="M16" s="597">
        <f t="shared" si="93"/>
      </c>
      <c r="N16" s="598">
        <f t="shared" si="28"/>
      </c>
      <c r="O16" s="598">
        <f t="shared" si="458"/>
      </c>
      <c r="P16" s="597">
        <f t="shared" si="492"/>
      </c>
      <c r="Q16" s="598">
        <f t="shared" si="359"/>
      </c>
      <c r="R16" s="598">
        <f t="shared" si="424"/>
      </c>
      <c r="S16" s="599">
        <f t="shared" si="180"/>
      </c>
      <c r="T16" s="600">
        <f t="shared" si="239"/>
      </c>
      <c r="U16" s="599">
        <f t="shared" si="62"/>
      </c>
      <c r="V16" s="601">
        <f t="shared" si="121"/>
      </c>
      <c r="W16" s="602" t="s">
        <v>335</v>
      </c>
      <c r="X16" s="570" t="s">
        <v>348</v>
      </c>
      <c r="Y16" s="603">
        <v>4</v>
      </c>
      <c r="Z16" s="603">
        <v>58654</v>
      </c>
      <c r="AA16" s="603">
        <v>872</v>
      </c>
      <c r="AB16" s="603">
        <v>1079</v>
      </c>
      <c r="AC16" s="603">
        <v>183</v>
      </c>
      <c r="AD16" s="603">
        <v>21</v>
      </c>
      <c r="AE16" s="604">
        <v>12</v>
      </c>
      <c r="AF16" s="604">
        <v>26</v>
      </c>
      <c r="AG16" s="604">
        <v>1</v>
      </c>
      <c r="AI16" s="542"/>
      <c r="AJ16" s="542"/>
      <c r="AK16" s="542"/>
    </row>
    <row r="17">
      <c r="A17" s="557"/>
      <c r="B17" s="586" t="s">
        <v>340</v>
      </c>
      <c r="C17" s="586"/>
      <c r="D17" s="587">
        <f>SUM(D13:D16)</f>
      </c>
      <c r="E17" s="587">
        <f>SUM(E13:E16)</f>
      </c>
      <c r="F17" s="587">
        <f>SUM(F13:F16)</f>
      </c>
      <c r="G17" s="587">
        <f>SUM(G13:G16)</f>
      </c>
      <c r="H17" s="587">
        <f>SUM(H13:H16)</f>
      </c>
      <c r="I17" s="588">
        <f t="shared" si="396"/>
      </c>
      <c r="J17" s="588">
        <f t="shared" si="152"/>
      </c>
      <c r="K17" s="606">
        <f t="shared" si="211"/>
      </c>
      <c r="L17" s="590">
        <f t="shared" si="0"/>
      </c>
      <c r="M17" s="591">
        <f t="shared" si="93"/>
      </c>
      <c r="N17" s="592">
        <f t="shared" si="28"/>
      </c>
      <c r="O17" s="592">
        <f t="shared" si="458"/>
      </c>
      <c r="P17" s="591">
        <f t="shared" si="492"/>
      </c>
      <c r="Q17" s="592">
        <f t="shared" si="359"/>
      </c>
      <c r="R17" s="592">
        <f t="shared" si="424"/>
      </c>
      <c r="S17" s="593">
        <f t="shared" si="180"/>
      </c>
      <c r="T17" s="594">
        <f t="shared" si="239"/>
      </c>
      <c r="U17" s="593">
        <f t="shared" si="62"/>
      </c>
      <c r="V17" s="595">
        <f t="shared" si="121"/>
      </c>
      <c r="W17" s="595"/>
      <c r="X17" s="595"/>
      <c r="Y17" s="587">
        <f>SUM(Y13:Y16)</f>
      </c>
      <c r="Z17" s="587">
        <f>SUM(Z13:Z16)</f>
      </c>
      <c r="AA17" s="587">
        <f>SUM(AA13:AA16)</f>
      </c>
      <c r="AB17" s="587">
        <f>SUM(AB13:AB16)</f>
      </c>
      <c r="AC17" s="587">
        <f>SUM(AC13:AC16)</f>
      </c>
      <c r="AD17" s="587">
        <f>SUM(AD13:AD16)</f>
      </c>
      <c r="AE17" s="587">
        <f>SUM(AE13:AE16)</f>
      </c>
      <c r="AF17" s="587">
        <f>SUM(AF13:AF16)</f>
      </c>
      <c r="AG17" s="587">
        <f>SUM(AG13:AG16)</f>
      </c>
      <c r="AI17" s="542"/>
      <c r="AJ17" s="542"/>
      <c r="AK17" s="542"/>
    </row>
    <row r="18">
      <c r="A18" s="557"/>
      <c r="B18" s="607" t="s">
        <v>352</v>
      </c>
      <c r="C18" s="607"/>
      <c r="D18" s="607">
        <f>D7+D17+D12</f>
      </c>
      <c r="E18" s="607">
        <f>E7+E17+E12</f>
      </c>
      <c r="F18" s="607">
        <f>F7+F17+F12</f>
      </c>
      <c r="G18" s="607">
        <f>G7+G17+G12</f>
      </c>
      <c r="H18" s="607">
        <f>H7+H17+H12</f>
      </c>
      <c r="I18" s="608">
        <f t="shared" si="396"/>
      </c>
      <c r="J18" s="608">
        <f t="shared" si="152"/>
      </c>
      <c r="K18" s="609">
        <f t="shared" si="211"/>
      </c>
      <c r="L18" s="610">
        <f t="shared" si="0"/>
      </c>
      <c r="M18" s="611">
        <f t="shared" si="93"/>
      </c>
      <c r="N18" s="612">
        <f t="shared" si="28"/>
      </c>
      <c r="O18" s="612">
        <f t="shared" si="458"/>
      </c>
      <c r="P18" s="611">
        <f t="shared" si="492"/>
      </c>
      <c r="Q18" s="612">
        <f t="shared" si="359"/>
      </c>
      <c r="R18" s="612">
        <f t="shared" si="424"/>
      </c>
      <c r="S18" s="611">
        <f t="shared" si="180"/>
      </c>
      <c r="T18" s="613">
        <f t="shared" si="239"/>
      </c>
      <c r="U18" s="611">
        <f t="shared" si="62"/>
      </c>
      <c r="V18" s="609">
        <f t="shared" si="121"/>
      </c>
      <c r="W18" s="609"/>
      <c r="X18" s="609"/>
      <c r="Y18" s="607">
        <f>Y7+Y17+Y12</f>
      </c>
      <c r="Z18" s="607">
        <f>Z7+Z17+Z12</f>
      </c>
      <c r="AA18" s="607">
        <f>AA7+AA17+AA12</f>
      </c>
      <c r="AB18" s="607">
        <f>AB7+AB17+AB12</f>
      </c>
      <c r="AC18" s="607">
        <f>AC7+AC17+AC12</f>
      </c>
      <c r="AD18" s="607">
        <f>AD7+AD17+AD12</f>
      </c>
      <c r="AE18" s="607">
        <f>AE7+AE17+AE12</f>
      </c>
      <c r="AF18" s="607">
        <f>AF7+AF17+AF12</f>
      </c>
      <c r="AG18" s="607">
        <f>AG7+AG17+AG12</f>
      </c>
      <c r="AI18" s="542"/>
      <c r="AJ18" s="542"/>
      <c r="AK18" s="542"/>
    </row>
    <row r="19">
      <c r="A19" s="538" t="s">
        <v>295</v>
      </c>
      <c r="B19" s="538"/>
      <c r="C19" s="538"/>
      <c r="D19" s="539" t="s">
        <v>296</v>
      </c>
      <c r="E19" s="539"/>
      <c r="F19" s="539"/>
      <c r="G19" s="539"/>
      <c r="H19" s="539"/>
      <c r="I19" s="539"/>
      <c r="J19" s="539"/>
      <c r="K19" s="540" t="s">
        <v>297</v>
      </c>
      <c r="L19" s="540"/>
      <c r="M19" s="540"/>
      <c r="N19" s="540"/>
      <c r="O19" s="540"/>
      <c r="P19" s="540"/>
      <c r="Q19" s="540"/>
      <c r="R19" s="540"/>
      <c r="S19" s="540"/>
      <c r="T19" s="540"/>
      <c r="U19" s="540"/>
      <c r="V19" s="540"/>
      <c r="W19" s="540"/>
      <c r="X19" s="540"/>
      <c r="Y19" s="541" t="s">
        <v>298</v>
      </c>
      <c r="Z19" s="541"/>
      <c r="AA19" s="541"/>
      <c r="AB19" s="541"/>
      <c r="AC19" s="541"/>
      <c r="AD19" s="541"/>
      <c r="AE19" s="541"/>
      <c r="AF19" s="541"/>
      <c r="AG19" s="541"/>
      <c r="AI19" s="542"/>
      <c r="AJ19" s="542"/>
      <c r="AK19" s="542"/>
    </row>
    <row r="20">
      <c r="A20" s="543" t="s">
        <v>299</v>
      </c>
      <c r="B20" s="544" t="s">
        <v>300</v>
      </c>
      <c r="C20" s="544" t="s">
        <v>301</v>
      </c>
      <c r="D20" s="545" t="s">
        <v>302</v>
      </c>
      <c r="E20" s="546" t="s">
        <v>303</v>
      </c>
      <c r="F20" s="546" t="s">
        <v>304</v>
      </c>
      <c r="G20" s="547" t="s">
        <v>305</v>
      </c>
      <c r="H20" s="548" t="s">
        <v>306</v>
      </c>
      <c r="I20" s="549" t="s">
        <v>307</v>
      </c>
      <c r="J20" s="550" t="s">
        <v>308</v>
      </c>
      <c r="K20" s="551" t="s">
        <v>309</v>
      </c>
      <c r="L20" s="540" t="s">
        <v>310</v>
      </c>
      <c r="M20" s="540" t="s">
        <v>311</v>
      </c>
      <c r="N20" s="552" t="s">
        <v>312</v>
      </c>
      <c r="O20" s="552" t="s">
        <v>313</v>
      </c>
      <c r="P20" s="540" t="s">
        <v>314</v>
      </c>
      <c r="Q20" s="552" t="s">
        <v>315</v>
      </c>
      <c r="R20" s="552" t="s">
        <v>316</v>
      </c>
      <c r="S20" s="540" t="s">
        <v>317</v>
      </c>
      <c r="T20" s="552" t="s">
        <v>318</v>
      </c>
      <c r="U20" s="540" t="s">
        <v>319</v>
      </c>
      <c r="V20" s="553" t="s">
        <v>320</v>
      </c>
      <c r="W20" s="553" t="s">
        <v>321</v>
      </c>
      <c r="X20" s="553" t="s">
        <v>322</v>
      </c>
      <c r="Y20" s="554" t="s">
        <v>323</v>
      </c>
      <c r="Z20" s="555" t="s">
        <v>324</v>
      </c>
      <c r="AA20" s="555" t="s">
        <v>325</v>
      </c>
      <c r="AB20" s="555" t="s">
        <v>326</v>
      </c>
      <c r="AC20" s="555" t="s">
        <v>327</v>
      </c>
      <c r="AD20" s="555" t="s">
        <v>328</v>
      </c>
      <c r="AE20" s="555" t="s">
        <v>329</v>
      </c>
      <c r="AF20" s="555" t="s">
        <v>330</v>
      </c>
      <c r="AG20" s="556" t="s">
        <v>331</v>
      </c>
      <c r="AI20" s="542"/>
      <c r="AJ20" s="542"/>
      <c r="AK20" s="542"/>
    </row>
    <row r="21">
      <c r="A21" s="557" t="s">
        <v>353</v>
      </c>
      <c r="B21" s="558" t="s">
        <v>333</v>
      </c>
      <c r="C21" s="559" t="s">
        <v>334</v>
      </c>
      <c r="D21" s="559">
        <f t="shared" ref="D21:D24" si="273">E21+F21</f>
      </c>
      <c r="E21" s="560">
        <v>4448.46</v>
      </c>
      <c r="F21" s="560">
        <v>1530.37</v>
      </c>
      <c r="G21" s="561">
        <v>9</v>
      </c>
      <c r="H21" s="561">
        <v>18904</v>
      </c>
      <c r="I21" s="562">
        <f t="shared" ref="I21:I36" si="397">H21/D21</f>
      </c>
      <c r="J21" s="562">
        <f t="shared" ref="J21:J36" si="153">H21/(D21+300*AG21)</f>
      </c>
      <c r="K21" s="563">
        <f t="shared" ref="K21:K36" si="212">(D21/Z21)*1000</f>
      </c>
      <c r="L21" s="564">
        <f t="shared" ref="L21:L36" si="1">AA21/Z21</f>
      </c>
      <c r="M21" s="565">
        <f t="shared" ref="M21:M36" si="94">D21/AB21</f>
      </c>
      <c r="N21" s="566">
        <f t="shared" ref="N21:N36" si="29">AC21/AB21</f>
      </c>
      <c r="O21" s="566">
        <f t="shared" ref="O21:O36" si="459">AD21/AB21</f>
      </c>
      <c r="P21" s="565">
        <f t="shared" ref="P21:P36" si="493">D21/AD21</f>
      </c>
      <c r="Q21" s="566">
        <f t="shared" ref="Q21:Q36" si="360">AE21/AD21</f>
      </c>
      <c r="R21" s="566">
        <f t="shared" ref="R21:R36" si="425">G21/AE21</f>
      </c>
      <c r="S21" s="565">
        <f t="shared" ref="S21:S36" si="181">D21/G21</f>
      </c>
      <c r="T21" s="567">
        <f t="shared" ref="T21:T36" si="240">H21/G21</f>
      </c>
      <c r="U21" s="565">
        <f t="shared" ref="U21:U36" si="63">D21/Y21</f>
      </c>
      <c r="V21" s="568">
        <f t="shared" ref="V21:V36" si="122">AF21*1000/D21</f>
      </c>
      <c r="W21" s="569" t="s">
        <v>335</v>
      </c>
      <c r="X21" s="570" t="s">
        <v>336</v>
      </c>
      <c r="Y21" s="571">
        <v>7</v>
      </c>
      <c r="Z21" s="572">
        <v>26276</v>
      </c>
      <c r="AA21" s="572">
        <v>434</v>
      </c>
      <c r="AB21" s="572">
        <v>532</v>
      </c>
      <c r="AC21" s="572">
        <v>124</v>
      </c>
      <c r="AD21" s="571">
        <v>30</v>
      </c>
      <c r="AE21" s="571">
        <v>15</v>
      </c>
      <c r="AF21" s="571">
        <v>22</v>
      </c>
      <c r="AG21" s="571">
        <v>1</v>
      </c>
      <c r="AI21" s="542"/>
      <c r="AJ21" s="542"/>
      <c r="AK21" s="542"/>
    </row>
    <row r="22">
      <c r="A22" s="557"/>
      <c r="B22" s="558" t="s">
        <v>337</v>
      </c>
      <c r="C22" s="559" t="s">
        <v>334</v>
      </c>
      <c r="D22" s="559">
        <f t="shared" si="273"/>
      </c>
      <c r="E22" s="560">
        <v>4536.06</v>
      </c>
      <c r="F22" s="560">
        <v>1360.7</v>
      </c>
      <c r="G22" s="573">
        <v>2</v>
      </c>
      <c r="H22" s="573">
        <v>3216</v>
      </c>
      <c r="I22" s="562">
        <f t="shared" si="397"/>
      </c>
      <c r="J22" s="562">
        <f t="shared" si="153"/>
      </c>
      <c r="K22" s="563">
        <f t="shared" si="212"/>
      </c>
      <c r="L22" s="574">
        <f t="shared" si="1"/>
      </c>
      <c r="M22" s="575">
        <f t="shared" si="94"/>
      </c>
      <c r="N22" s="576">
        <f t="shared" si="29"/>
      </c>
      <c r="O22" s="576">
        <f t="shared" si="459"/>
      </c>
      <c r="P22" s="575">
        <f t="shared" si="493"/>
      </c>
      <c r="Q22" s="576">
        <f t="shared" si="360"/>
      </c>
      <c r="R22" s="576">
        <f t="shared" si="425"/>
      </c>
      <c r="S22" s="577">
        <f t="shared" si="181"/>
      </c>
      <c r="T22" s="578">
        <f t="shared" si="240"/>
      </c>
      <c r="U22" s="579">
        <f t="shared" si="63"/>
      </c>
      <c r="V22" s="580">
        <f t="shared" si="122"/>
      </c>
      <c r="W22" s="581" t="s">
        <v>335</v>
      </c>
      <c r="X22" s="570" t="s">
        <v>336</v>
      </c>
      <c r="Y22" s="583">
        <v>2</v>
      </c>
      <c r="Z22" s="582">
        <v>36034</v>
      </c>
      <c r="AA22" s="582">
        <v>843</v>
      </c>
      <c r="AB22" s="582">
        <v>1061</v>
      </c>
      <c r="AC22" s="582">
        <v>152</v>
      </c>
      <c r="AD22" s="582">
        <v>55</v>
      </c>
      <c r="AE22" s="583">
        <v>8</v>
      </c>
      <c r="AF22" s="583">
        <v>21</v>
      </c>
      <c r="AG22" s="583">
        <v>1</v>
      </c>
      <c r="AI22" s="542"/>
      <c r="AJ22" s="542"/>
      <c r="AK22" s="542"/>
    </row>
    <row r="23">
      <c r="A23" s="557"/>
      <c r="B23" s="584" t="s">
        <v>338</v>
      </c>
      <c r="C23" s="559" t="s">
        <v>334</v>
      </c>
      <c r="D23" s="559">
        <f t="shared" si="273"/>
      </c>
      <c r="E23" s="560">
        <v>3672.75</v>
      </c>
      <c r="F23" s="560">
        <v>960.58</v>
      </c>
      <c r="G23" s="573">
        <v>3</v>
      </c>
      <c r="H23" s="573">
        <v>4164</v>
      </c>
      <c r="I23" s="562">
        <f t="shared" si="397"/>
      </c>
      <c r="J23" s="562">
        <f t="shared" si="153"/>
      </c>
      <c r="K23" s="563">
        <f t="shared" si="212"/>
      </c>
      <c r="L23" s="574">
        <f t="shared" si="1"/>
      </c>
      <c r="M23" s="575">
        <f t="shared" si="94"/>
      </c>
      <c r="N23" s="576">
        <f t="shared" si="29"/>
      </c>
      <c r="O23" s="576">
        <f t="shared" si="459"/>
      </c>
      <c r="P23" s="575">
        <f t="shared" si="493"/>
      </c>
      <c r="Q23" s="576">
        <f t="shared" si="360"/>
      </c>
      <c r="R23" s="576">
        <f t="shared" si="425"/>
      </c>
      <c r="S23" s="577">
        <f t="shared" si="181"/>
      </c>
      <c r="T23" s="578">
        <f t="shared" si="240"/>
      </c>
      <c r="U23" s="579">
        <f t="shared" si="63"/>
      </c>
      <c r="V23" s="580">
        <f t="shared" si="122"/>
      </c>
      <c r="W23" s="581" t="s">
        <v>335</v>
      </c>
      <c r="X23" s="570" t="s">
        <v>336</v>
      </c>
      <c r="Y23" s="583">
        <v>3</v>
      </c>
      <c r="Z23" s="582">
        <v>31078</v>
      </c>
      <c r="AA23" s="582">
        <v>649</v>
      </c>
      <c r="AB23" s="582">
        <v>803</v>
      </c>
      <c r="AC23" s="582">
        <v>127</v>
      </c>
      <c r="AD23" s="582">
        <v>24</v>
      </c>
      <c r="AE23" s="583">
        <v>4</v>
      </c>
      <c r="AF23" s="583">
        <v>10</v>
      </c>
      <c r="AG23" s="583">
        <v>1</v>
      </c>
      <c r="AI23" s="542"/>
      <c r="AJ23" s="542"/>
      <c r="AK23" s="542"/>
    </row>
    <row r="24">
      <c r="A24" s="557"/>
      <c r="B24" s="584" t="s">
        <v>339</v>
      </c>
      <c r="C24" s="559" t="s">
        <v>334</v>
      </c>
      <c r="D24" s="559">
        <f t="shared" si="273"/>
      </c>
      <c r="E24" s="560">
        <v>4054.17</v>
      </c>
      <c r="F24" s="560">
        <v>2665.4</v>
      </c>
      <c r="G24" s="573">
        <v>10</v>
      </c>
      <c r="H24" s="573">
        <v>14493</v>
      </c>
      <c r="I24" s="562">
        <f t="shared" si="397"/>
      </c>
      <c r="J24" s="562">
        <f t="shared" si="153"/>
      </c>
      <c r="K24" s="563">
        <f t="shared" si="212"/>
      </c>
      <c r="L24" s="574">
        <f t="shared" si="1"/>
      </c>
      <c r="M24" s="575">
        <f t="shared" si="94"/>
      </c>
      <c r="N24" s="576">
        <f t="shared" si="29"/>
      </c>
      <c r="O24" s="576">
        <f t="shared" si="459"/>
      </c>
      <c r="P24" s="575">
        <f t="shared" si="493"/>
      </c>
      <c r="Q24" s="576">
        <f t="shared" si="360"/>
      </c>
      <c r="R24" s="576">
        <f t="shared" si="425"/>
      </c>
      <c r="S24" s="577">
        <f t="shared" si="181"/>
      </c>
      <c r="T24" s="585">
        <f t="shared" si="240"/>
      </c>
      <c r="U24" s="577">
        <f t="shared" si="63"/>
      </c>
      <c r="V24" s="580">
        <f t="shared" si="122"/>
      </c>
      <c r="W24" s="581" t="s">
        <v>335</v>
      </c>
      <c r="X24" s="570" t="s">
        <v>336</v>
      </c>
      <c r="Y24" s="583">
        <v>10</v>
      </c>
      <c r="Z24" s="583">
        <v>44891</v>
      </c>
      <c r="AA24" s="583">
        <v>1110</v>
      </c>
      <c r="AB24" s="583">
        <v>1374</v>
      </c>
      <c r="AC24" s="583">
        <v>181</v>
      </c>
      <c r="AD24" s="583">
        <v>47</v>
      </c>
      <c r="AE24" s="583">
        <v>12</v>
      </c>
      <c r="AF24" s="583">
        <v>30</v>
      </c>
      <c r="AG24" s="583">
        <v>1</v>
      </c>
      <c r="AI24" s="542"/>
      <c r="AJ24" s="542"/>
      <c r="AK24" s="542"/>
    </row>
    <row r="25">
      <c r="A25" s="557"/>
      <c r="B25" s="586" t="s">
        <v>340</v>
      </c>
      <c r="C25" s="586"/>
      <c r="D25" s="587">
        <f>SUM(D21:D24)</f>
      </c>
      <c r="E25" s="587">
        <f>SUM(E21:E24)</f>
      </c>
      <c r="F25" s="587">
        <f>SUM(F21:F24)</f>
      </c>
      <c r="G25" s="587">
        <f>SUM(G21:G24)</f>
      </c>
      <c r="H25" s="587">
        <f>SUM(H21:H24)</f>
      </c>
      <c r="I25" s="588">
        <f t="shared" si="397"/>
      </c>
      <c r="J25" s="588">
        <f t="shared" si="153"/>
      </c>
      <c r="K25" s="589">
        <f t="shared" si="212"/>
      </c>
      <c r="L25" s="590">
        <f t="shared" si="1"/>
      </c>
      <c r="M25" s="591">
        <f t="shared" si="94"/>
      </c>
      <c r="N25" s="592">
        <f t="shared" si="29"/>
      </c>
      <c r="O25" s="592">
        <f t="shared" si="459"/>
      </c>
      <c r="P25" s="591">
        <f t="shared" si="493"/>
      </c>
      <c r="Q25" s="592">
        <f t="shared" si="360"/>
      </c>
      <c r="R25" s="592">
        <f t="shared" si="425"/>
      </c>
      <c r="S25" s="593">
        <f t="shared" si="181"/>
      </c>
      <c r="T25" s="594">
        <f t="shared" si="240"/>
      </c>
      <c r="U25" s="593">
        <f t="shared" si="63"/>
      </c>
      <c r="V25" s="595">
        <f t="shared" si="122"/>
      </c>
      <c r="W25" s="595"/>
      <c r="X25" s="595"/>
      <c r="Y25" s="587">
        <f>SUM(Y21:Y24)</f>
      </c>
      <c r="Z25" s="587">
        <f>SUM(Z21:Z24)</f>
      </c>
      <c r="AA25" s="587">
        <f>SUM(AA21:AA24)</f>
      </c>
      <c r="AB25" s="587">
        <f>SUM(AB21:AB24)</f>
      </c>
      <c r="AC25" s="587">
        <f>SUM(AC21:AC24)</f>
      </c>
      <c r="AD25" s="587">
        <f>SUM(AD21:AD24)</f>
      </c>
      <c r="AE25" s="587">
        <f>SUM(AE21:AE24)</f>
      </c>
      <c r="AF25" s="587">
        <f>SUM(AF21:AF24)</f>
      </c>
      <c r="AG25" s="587">
        <f>SUM(AG21:AG24)</f>
      </c>
      <c r="AI25" s="542"/>
      <c r="AJ25" s="542"/>
      <c r="AK25" s="542"/>
    </row>
    <row r="26">
      <c r="A26" s="557"/>
      <c r="B26" s="584" t="s">
        <v>341</v>
      </c>
      <c r="C26" s="559" t="s">
        <v>347</v>
      </c>
      <c r="D26" s="559">
        <f t="shared" ref="D26:D29" si="274">E26+F26</f>
      </c>
      <c r="E26" s="560">
        <v>4263.64</v>
      </c>
      <c r="F26" s="560">
        <v>2366.38</v>
      </c>
      <c r="G26" s="573">
        <v>3</v>
      </c>
      <c r="H26" s="573">
        <v>6804</v>
      </c>
      <c r="I26" s="562">
        <f t="shared" si="397"/>
      </c>
      <c r="J26" s="562">
        <f t="shared" si="153"/>
      </c>
      <c r="K26" s="563">
        <f t="shared" si="212"/>
      </c>
      <c r="L26" s="596">
        <f t="shared" si="1"/>
      </c>
      <c r="M26" s="597">
        <f t="shared" si="94"/>
      </c>
      <c r="N26" s="598">
        <f t="shared" si="29"/>
      </c>
      <c r="O26" s="598">
        <f t="shared" si="459"/>
      </c>
      <c r="P26" s="597">
        <f t="shared" si="493"/>
      </c>
      <c r="Q26" s="598">
        <f t="shared" si="360"/>
      </c>
      <c r="R26" s="598">
        <f t="shared" si="425"/>
      </c>
      <c r="S26" s="599">
        <f t="shared" si="181"/>
      </c>
      <c r="T26" s="600">
        <f t="shared" si="240"/>
      </c>
      <c r="U26" s="599">
        <f t="shared" si="63"/>
      </c>
      <c r="V26" s="601">
        <f t="shared" si="122"/>
      </c>
      <c r="W26" s="602" t="s">
        <v>335</v>
      </c>
      <c r="X26" s="570" t="s">
        <v>336</v>
      </c>
      <c r="Y26" s="604">
        <v>2</v>
      </c>
      <c r="Z26" s="603">
        <v>40219</v>
      </c>
      <c r="AA26" s="603">
        <v>1119</v>
      </c>
      <c r="AB26" s="603">
        <v>1379</v>
      </c>
      <c r="AC26" s="603">
        <v>192</v>
      </c>
      <c r="AD26" s="603">
        <v>59</v>
      </c>
      <c r="AE26" s="603">
        <v>8</v>
      </c>
      <c r="AF26" s="604">
        <v>25</v>
      </c>
      <c r="AG26" s="604">
        <v>1</v>
      </c>
      <c r="AI26" s="542"/>
      <c r="AJ26" s="542"/>
      <c r="AK26" s="542"/>
    </row>
    <row r="27">
      <c r="A27" s="557"/>
      <c r="B27" s="584" t="s">
        <v>343</v>
      </c>
      <c r="C27" s="559" t="s">
        <v>347</v>
      </c>
      <c r="D27" s="559">
        <f t="shared" si="274"/>
      </c>
      <c r="E27" s="560">
        <v>3558.96</v>
      </c>
      <c r="F27" s="560">
        <v>3749.49</v>
      </c>
      <c r="G27" s="573">
        <v>6</v>
      </c>
      <c r="H27" s="573">
        <v>9168</v>
      </c>
      <c r="I27" s="562">
        <f t="shared" si="397"/>
      </c>
      <c r="J27" s="562">
        <f t="shared" si="153"/>
      </c>
      <c r="K27" s="563">
        <f t="shared" si="212"/>
      </c>
      <c r="L27" s="596">
        <f t="shared" si="1"/>
      </c>
      <c r="M27" s="597">
        <f t="shared" si="94"/>
      </c>
      <c r="N27" s="598">
        <f t="shared" si="29"/>
      </c>
      <c r="O27" s="598">
        <f t="shared" si="459"/>
      </c>
      <c r="P27" s="597">
        <f t="shared" si="493"/>
      </c>
      <c r="Q27" s="598">
        <f t="shared" si="360"/>
      </c>
      <c r="R27" s="598">
        <f t="shared" si="425"/>
      </c>
      <c r="S27" s="599">
        <f t="shared" si="181"/>
      </c>
      <c r="T27" s="600">
        <f t="shared" si="240"/>
      </c>
      <c r="U27" s="599">
        <f t="shared" si="63"/>
      </c>
      <c r="V27" s="601">
        <f t="shared" si="122"/>
      </c>
      <c r="W27" s="602" t="s">
        <v>335</v>
      </c>
      <c r="X27" s="570" t="s">
        <v>336</v>
      </c>
      <c r="Y27" s="604">
        <v>6</v>
      </c>
      <c r="Z27" s="603">
        <v>41247</v>
      </c>
      <c r="AA27" s="603">
        <v>1531</v>
      </c>
      <c r="AB27" s="603">
        <v>1817</v>
      </c>
      <c r="AC27" s="603">
        <v>201</v>
      </c>
      <c r="AD27" s="603">
        <v>72</v>
      </c>
      <c r="AE27" s="604">
        <v>10</v>
      </c>
      <c r="AF27" s="604">
        <v>34</v>
      </c>
      <c r="AG27" s="604">
        <v>1</v>
      </c>
      <c r="AI27" s="542"/>
      <c r="AJ27" s="542"/>
      <c r="AK27" s="542"/>
    </row>
    <row r="28">
      <c r="A28" s="557"/>
      <c r="B28" s="584" t="s">
        <v>344</v>
      </c>
      <c r="C28" s="559" t="s">
        <v>347</v>
      </c>
      <c r="D28" s="559">
        <f t="shared" si="274"/>
      </c>
      <c r="E28" s="560">
        <v>2318.69</v>
      </c>
      <c r="F28" s="560">
        <v>2229.13</v>
      </c>
      <c r="G28" s="561">
        <v>5</v>
      </c>
      <c r="H28" s="561">
        <v>7192</v>
      </c>
      <c r="I28" s="562">
        <f t="shared" si="397"/>
      </c>
      <c r="J28" s="562">
        <f t="shared" si="153"/>
      </c>
      <c r="K28" s="563">
        <f t="shared" si="212"/>
      </c>
      <c r="L28" s="596">
        <f t="shared" si="1"/>
      </c>
      <c r="M28" s="597">
        <f t="shared" si="94"/>
      </c>
      <c r="N28" s="598">
        <f t="shared" si="29"/>
      </c>
      <c r="O28" s="598">
        <f t="shared" si="459"/>
      </c>
      <c r="P28" s="597">
        <f t="shared" si="493"/>
      </c>
      <c r="Q28" s="598">
        <f t="shared" si="360"/>
      </c>
      <c r="R28" s="598">
        <f t="shared" si="425"/>
      </c>
      <c r="S28" s="599">
        <f t="shared" si="181"/>
      </c>
      <c r="T28" s="600">
        <f t="shared" si="240"/>
      </c>
      <c r="U28" s="599">
        <f t="shared" si="63"/>
      </c>
      <c r="V28" s="601">
        <f t="shared" si="122"/>
      </c>
      <c r="W28" s="602" t="s">
        <v>335</v>
      </c>
      <c r="X28" s="570" t="s">
        <v>336</v>
      </c>
      <c r="Y28" s="603">
        <v>5</v>
      </c>
      <c r="Z28" s="603">
        <v>20662</v>
      </c>
      <c r="AA28" s="603">
        <v>803</v>
      </c>
      <c r="AB28" s="603">
        <v>995</v>
      </c>
      <c r="AC28" s="603">
        <v>118</v>
      </c>
      <c r="AD28" s="603">
        <v>46</v>
      </c>
      <c r="AE28" s="604">
        <v>5</v>
      </c>
      <c r="AF28" s="604">
        <v>21</v>
      </c>
      <c r="AG28" s="604">
        <v>1</v>
      </c>
      <c r="AI28" s="542"/>
      <c r="AJ28" s="542"/>
      <c r="AK28" s="542"/>
    </row>
    <row r="29">
      <c r="A29" s="557"/>
      <c r="B29" s="584" t="s">
        <v>345</v>
      </c>
      <c r="C29" s="559" t="s">
        <v>347</v>
      </c>
      <c r="D29" s="559">
        <f t="shared" si="274"/>
      </c>
      <c r="E29" s="560">
        <v>2548.65</v>
      </c>
      <c r="F29" s="560">
        <v>1766.13</v>
      </c>
      <c r="G29" s="561">
        <v>6</v>
      </c>
      <c r="H29" s="561">
        <v>7769</v>
      </c>
      <c r="I29" s="562">
        <f t="shared" si="397"/>
      </c>
      <c r="J29" s="562">
        <f t="shared" si="153"/>
      </c>
      <c r="K29" s="563">
        <f t="shared" si="212"/>
      </c>
      <c r="L29" s="596">
        <f t="shared" si="1"/>
      </c>
      <c r="M29" s="597">
        <f t="shared" si="94"/>
      </c>
      <c r="N29" s="598">
        <f t="shared" si="29"/>
      </c>
      <c r="O29" s="598">
        <f t="shared" si="459"/>
      </c>
      <c r="P29" s="597">
        <f t="shared" si="493"/>
      </c>
      <c r="Q29" s="598">
        <f t="shared" si="360"/>
      </c>
      <c r="R29" s="598">
        <f t="shared" si="425"/>
      </c>
      <c r="S29" s="599">
        <f t="shared" si="181"/>
      </c>
      <c r="T29" s="600">
        <f t="shared" si="240"/>
      </c>
      <c r="U29" s="599">
        <f t="shared" si="63"/>
      </c>
      <c r="V29" s="601">
        <f t="shared" si="122"/>
      </c>
      <c r="W29" s="602" t="s">
        <v>335</v>
      </c>
      <c r="X29" s="570" t="s">
        <v>336</v>
      </c>
      <c r="Y29" s="603">
        <v>6</v>
      </c>
      <c r="Z29" s="603">
        <v>23216</v>
      </c>
      <c r="AA29" s="603">
        <v>873</v>
      </c>
      <c r="AB29" s="603">
        <v>1100</v>
      </c>
      <c r="AC29" s="603">
        <v>136</v>
      </c>
      <c r="AD29" s="603">
        <v>51</v>
      </c>
      <c r="AE29" s="604">
        <v>10</v>
      </c>
      <c r="AF29" s="604">
        <v>34</v>
      </c>
      <c r="AG29" s="604">
        <v>1</v>
      </c>
      <c r="AI29" s="542"/>
      <c r="AJ29" s="542"/>
      <c r="AK29" s="542"/>
    </row>
    <row r="30">
      <c r="A30" s="557"/>
      <c r="B30" s="586" t="s">
        <v>340</v>
      </c>
      <c r="C30" s="586"/>
      <c r="D30" s="587">
        <f>SUM(D26:D29)</f>
      </c>
      <c r="E30" s="587">
        <f>SUM(E26:E29)</f>
      </c>
      <c r="F30" s="587">
        <f>SUM(F26:F29)</f>
      </c>
      <c r="G30" s="587">
        <f>SUM(G26:G29)</f>
      </c>
      <c r="H30" s="587">
        <f>SUM(H26:H29)</f>
      </c>
      <c r="I30" s="588">
        <f t="shared" si="397"/>
      </c>
      <c r="J30" s="588">
        <f t="shared" si="153"/>
      </c>
      <c r="K30" s="589">
        <f t="shared" si="212"/>
      </c>
      <c r="L30" s="590">
        <f t="shared" si="1"/>
      </c>
      <c r="M30" s="591">
        <f t="shared" si="94"/>
      </c>
      <c r="N30" s="592">
        <f t="shared" si="29"/>
      </c>
      <c r="O30" s="592">
        <f t="shared" si="459"/>
      </c>
      <c r="P30" s="591">
        <f t="shared" si="493"/>
      </c>
      <c r="Q30" s="592">
        <f t="shared" si="360"/>
      </c>
      <c r="R30" s="592">
        <f t="shared" si="425"/>
      </c>
      <c r="S30" s="593">
        <f t="shared" si="181"/>
      </c>
      <c r="T30" s="594">
        <f t="shared" si="240"/>
      </c>
      <c r="U30" s="593">
        <f t="shared" si="63"/>
      </c>
      <c r="V30" s="595">
        <f t="shared" si="122"/>
      </c>
      <c r="W30" s="595"/>
      <c r="X30" s="595"/>
      <c r="Y30" s="587">
        <f>SUM(Y26:Y29)</f>
      </c>
      <c r="Z30" s="587">
        <f>SUM(Z26:Z29)</f>
      </c>
      <c r="AA30" s="587">
        <f>SUM(AA26:AA29)</f>
      </c>
      <c r="AB30" s="587">
        <f>SUM(AB26:AB29)</f>
      </c>
      <c r="AC30" s="587">
        <f>SUM(AC26:AC29)</f>
      </c>
      <c r="AD30" s="587">
        <f>SUM(AD26:AD29)</f>
      </c>
      <c r="AE30" s="587">
        <f>SUM(AE26:AE29)</f>
      </c>
      <c r="AF30" s="587">
        <f>SUM(AF26:AF29)</f>
      </c>
      <c r="AG30" s="587">
        <f>SUM(AG26:AG29)</f>
      </c>
      <c r="AI30" s="542"/>
      <c r="AJ30" s="542"/>
      <c r="AK30" s="542"/>
    </row>
    <row r="31">
      <c r="A31" s="557"/>
      <c r="B31" s="584" t="s">
        <v>346</v>
      </c>
      <c r="C31" s="559" t="s">
        <v>342</v>
      </c>
      <c r="D31" s="559">
        <f t="shared" ref="D31:D34" si="275">E31+F31</f>
      </c>
      <c r="E31" s="560">
        <v>2225.91</v>
      </c>
      <c r="F31" s="560">
        <v>1769.59</v>
      </c>
      <c r="G31" s="561">
        <v>2</v>
      </c>
      <c r="H31" s="561">
        <v>3216</v>
      </c>
      <c r="I31" s="562">
        <f t="shared" si="397"/>
      </c>
      <c r="J31" s="562">
        <f t="shared" si="153"/>
      </c>
      <c r="K31" s="605">
        <f t="shared" si="212"/>
      </c>
      <c r="L31" s="596">
        <f t="shared" si="1"/>
      </c>
      <c r="M31" s="597">
        <f t="shared" si="94"/>
      </c>
      <c r="N31" s="598">
        <f t="shared" si="29"/>
      </c>
      <c r="O31" s="598">
        <f t="shared" si="459"/>
      </c>
      <c r="P31" s="597">
        <f t="shared" si="493"/>
      </c>
      <c r="Q31" s="598">
        <f t="shared" si="360"/>
      </c>
      <c r="R31" s="598">
        <f t="shared" si="425"/>
      </c>
      <c r="S31" s="599">
        <f t="shared" si="181"/>
      </c>
      <c r="T31" s="600">
        <f t="shared" si="240"/>
      </c>
      <c r="U31" s="599">
        <f t="shared" si="63"/>
      </c>
      <c r="V31" s="601">
        <f t="shared" si="122"/>
      </c>
      <c r="W31" s="602" t="s">
        <v>335</v>
      </c>
      <c r="X31" s="570" t="s">
        <v>348</v>
      </c>
      <c r="Y31" s="603">
        <v>2</v>
      </c>
      <c r="Z31" s="603">
        <v>21981</v>
      </c>
      <c r="AA31" s="603">
        <v>658</v>
      </c>
      <c r="AB31" s="603">
        <v>848</v>
      </c>
      <c r="AC31" s="603">
        <v>107</v>
      </c>
      <c r="AD31" s="603">
        <v>34</v>
      </c>
      <c r="AE31" s="604">
        <v>6</v>
      </c>
      <c r="AF31" s="604">
        <v>21</v>
      </c>
      <c r="AG31" s="604">
        <v>1</v>
      </c>
      <c r="AI31" s="542"/>
      <c r="AJ31" s="542"/>
      <c r="AK31" s="542"/>
    </row>
    <row r="32">
      <c r="A32" s="557"/>
      <c r="B32" s="584" t="s">
        <v>349</v>
      </c>
      <c r="C32" s="559" t="s">
        <v>342</v>
      </c>
      <c r="D32" s="559">
        <f t="shared" si="275"/>
      </c>
      <c r="E32" s="560">
        <v>2723.02</v>
      </c>
      <c r="F32" s="560">
        <v>1405.76</v>
      </c>
      <c r="G32" s="561">
        <v>3</v>
      </c>
      <c r="H32" s="561">
        <v>5484</v>
      </c>
      <c r="I32" s="562">
        <f t="shared" si="397"/>
      </c>
      <c r="J32" s="562">
        <f t="shared" si="153"/>
      </c>
      <c r="K32" s="605">
        <f t="shared" si="212"/>
      </c>
      <c r="L32" s="596">
        <f t="shared" si="1"/>
      </c>
      <c r="M32" s="597">
        <f t="shared" si="94"/>
      </c>
      <c r="N32" s="598">
        <f t="shared" si="29"/>
      </c>
      <c r="O32" s="598">
        <f t="shared" si="459"/>
      </c>
      <c r="P32" s="597">
        <f t="shared" si="493"/>
      </c>
      <c r="Q32" s="598">
        <f t="shared" si="360"/>
      </c>
      <c r="R32" s="598">
        <f t="shared" si="425"/>
      </c>
      <c r="S32" s="599">
        <f t="shared" si="181"/>
      </c>
      <c r="T32" s="600">
        <f t="shared" si="240"/>
      </c>
      <c r="U32" s="599">
        <f t="shared" si="63"/>
      </c>
      <c r="V32" s="601">
        <f t="shared" si="122"/>
      </c>
      <c r="W32" s="602" t="s">
        <v>335</v>
      </c>
      <c r="X32" s="570" t="s">
        <v>348</v>
      </c>
      <c r="Y32" s="603">
        <v>3</v>
      </c>
      <c r="Z32" s="603">
        <v>20611</v>
      </c>
      <c r="AA32" s="603">
        <v>676</v>
      </c>
      <c r="AB32" s="603">
        <v>929</v>
      </c>
      <c r="AC32" s="603">
        <v>102</v>
      </c>
      <c r="AD32" s="604">
        <v>35</v>
      </c>
      <c r="AE32" s="604">
        <v>7</v>
      </c>
      <c r="AF32" s="604">
        <v>18</v>
      </c>
      <c r="AG32" s="604">
        <v>1</v>
      </c>
      <c r="AI32" s="542"/>
      <c r="AJ32" s="542"/>
      <c r="AK32" s="542"/>
    </row>
    <row r="33">
      <c r="A33" s="557"/>
      <c r="B33" s="558" t="s">
        <v>350</v>
      </c>
      <c r="C33" s="559" t="s">
        <v>342</v>
      </c>
      <c r="D33" s="559">
        <f t="shared" si="275"/>
      </c>
      <c r="E33" s="560">
        <v>1669.95</v>
      </c>
      <c r="F33" s="560">
        <v>1892.16</v>
      </c>
      <c r="G33" s="561">
        <v>2</v>
      </c>
      <c r="H33" s="561">
        <v>3216</v>
      </c>
      <c r="I33" s="562">
        <f t="shared" si="397"/>
      </c>
      <c r="J33" s="562">
        <f t="shared" si="153"/>
      </c>
      <c r="K33" s="605">
        <f t="shared" si="212"/>
      </c>
      <c r="L33" s="596">
        <f t="shared" si="1"/>
      </c>
      <c r="M33" s="597">
        <f t="shared" si="94"/>
      </c>
      <c r="N33" s="598">
        <f t="shared" si="29"/>
      </c>
      <c r="O33" s="598">
        <f t="shared" si="459"/>
      </c>
      <c r="P33" s="597">
        <f t="shared" si="493"/>
      </c>
      <c r="Q33" s="598">
        <f t="shared" si="360"/>
      </c>
      <c r="R33" s="598">
        <f t="shared" si="425"/>
      </c>
      <c r="S33" s="599">
        <f t="shared" si="181"/>
      </c>
      <c r="T33" s="600">
        <f t="shared" si="240"/>
      </c>
      <c r="U33" s="599">
        <f t="shared" si="63"/>
      </c>
      <c r="V33" s="601">
        <f t="shared" si="122"/>
      </c>
      <c r="W33" s="602" t="s">
        <v>335</v>
      </c>
      <c r="X33" s="570" t="s">
        <v>348</v>
      </c>
      <c r="Y33" s="603">
        <v>2</v>
      </c>
      <c r="Z33" s="603">
        <v>26608</v>
      </c>
      <c r="AA33" s="603">
        <v>826</v>
      </c>
      <c r="AB33" s="603">
        <v>1154</v>
      </c>
      <c r="AC33" s="603">
        <v>143</v>
      </c>
      <c r="AD33" s="604">
        <v>33</v>
      </c>
      <c r="AE33" s="604">
        <v>8</v>
      </c>
      <c r="AF33" s="604">
        <v>19</v>
      </c>
      <c r="AG33" s="604">
        <v>1</v>
      </c>
      <c r="AI33" s="542"/>
      <c r="AJ33" s="542"/>
      <c r="AK33" s="542"/>
    </row>
    <row r="34">
      <c r="A34" s="557"/>
      <c r="B34" s="558" t="s">
        <v>351</v>
      </c>
      <c r="C34" s="559" t="s">
        <v>342</v>
      </c>
      <c r="D34" s="559">
        <f t="shared" si="275"/>
      </c>
      <c r="E34" s="560">
        <v>1585.52</v>
      </c>
      <c r="F34" s="560">
        <v>1198.55</v>
      </c>
      <c r="G34" s="561">
        <v>1</v>
      </c>
      <c r="H34" s="561">
        <v>2268</v>
      </c>
      <c r="I34" s="562">
        <f t="shared" si="397"/>
      </c>
      <c r="J34" s="562">
        <f t="shared" si="153"/>
      </c>
      <c r="K34" s="605">
        <f t="shared" si="212"/>
      </c>
      <c r="L34" s="596">
        <f t="shared" si="1"/>
      </c>
      <c r="M34" s="597">
        <f t="shared" si="94"/>
      </c>
      <c r="N34" s="598">
        <f t="shared" si="29"/>
      </c>
      <c r="O34" s="598">
        <f t="shared" si="459"/>
      </c>
      <c r="P34" s="597">
        <f t="shared" si="493"/>
      </c>
      <c r="Q34" s="598">
        <f t="shared" si="360"/>
      </c>
      <c r="R34" s="598">
        <f t="shared" si="425"/>
      </c>
      <c r="S34" s="599">
        <f t="shared" si="181"/>
      </c>
      <c r="T34" s="600">
        <f t="shared" si="240"/>
      </c>
      <c r="U34" s="599">
        <f t="shared" si="63"/>
      </c>
      <c r="V34" s="601">
        <f t="shared" si="122"/>
      </c>
      <c r="W34" s="602" t="s">
        <v>335</v>
      </c>
      <c r="X34" s="570" t="s">
        <v>348</v>
      </c>
      <c r="Y34" s="603">
        <v>1</v>
      </c>
      <c r="Z34" s="603">
        <v>14690</v>
      </c>
      <c r="AA34" s="603">
        <v>453</v>
      </c>
      <c r="AB34" s="603">
        <v>713</v>
      </c>
      <c r="AC34" s="603">
        <v>88</v>
      </c>
      <c r="AD34" s="603">
        <v>38</v>
      </c>
      <c r="AE34" s="604">
        <v>3</v>
      </c>
      <c r="AF34" s="604">
        <v>23</v>
      </c>
      <c r="AG34" s="604">
        <v>1</v>
      </c>
      <c r="AI34" s="542"/>
      <c r="AJ34" s="542"/>
      <c r="AK34" s="542"/>
    </row>
    <row r="35">
      <c r="A35" s="557"/>
      <c r="B35" s="586" t="s">
        <v>340</v>
      </c>
      <c r="C35" s="586"/>
      <c r="D35" s="587">
        <f>SUM(D31:D34)</f>
      </c>
      <c r="E35" s="587">
        <f>SUM(E31:E34)</f>
      </c>
      <c r="F35" s="587">
        <f>SUM(F31:F34)</f>
      </c>
      <c r="G35" s="587">
        <f>SUM(G31:G34)</f>
      </c>
      <c r="H35" s="587">
        <f>SUM(H31:H34)</f>
      </c>
      <c r="I35" s="588">
        <f t="shared" si="397"/>
      </c>
      <c r="J35" s="588">
        <f t="shared" si="153"/>
      </c>
      <c r="K35" s="606">
        <f t="shared" si="212"/>
      </c>
      <c r="L35" s="590">
        <f t="shared" si="1"/>
      </c>
      <c r="M35" s="591">
        <f t="shared" si="94"/>
      </c>
      <c r="N35" s="592">
        <f t="shared" si="29"/>
      </c>
      <c r="O35" s="592">
        <f t="shared" si="459"/>
      </c>
      <c r="P35" s="591">
        <f t="shared" si="493"/>
      </c>
      <c r="Q35" s="592">
        <f t="shared" si="360"/>
      </c>
      <c r="R35" s="592">
        <f t="shared" si="425"/>
      </c>
      <c r="S35" s="593">
        <f t="shared" si="181"/>
      </c>
      <c r="T35" s="594">
        <f t="shared" si="240"/>
      </c>
      <c r="U35" s="593">
        <f t="shared" si="63"/>
      </c>
      <c r="V35" s="595">
        <f t="shared" si="122"/>
      </c>
      <c r="W35" s="595"/>
      <c r="X35" s="595"/>
      <c r="Y35" s="587">
        <f>SUM(Y31:Y34)</f>
      </c>
      <c r="Z35" s="587">
        <f>SUM(Z31:Z34)</f>
      </c>
      <c r="AA35" s="587">
        <f>SUM(AA31:AA34)</f>
      </c>
      <c r="AB35" s="587">
        <f>SUM(AB31:AB34)</f>
      </c>
      <c r="AC35" s="587">
        <f>SUM(AC31:AC34)</f>
      </c>
      <c r="AD35" s="587">
        <f>SUM(AD31:AD34)</f>
      </c>
      <c r="AE35" s="587">
        <f>SUM(AE31:AE34)</f>
      </c>
      <c r="AF35" s="587">
        <f>SUM(AF31:AF34)</f>
      </c>
      <c r="AG35" s="587">
        <f>SUM(AG31:AG34)</f>
      </c>
      <c r="AI35" s="542"/>
      <c r="AJ35" s="542"/>
      <c r="AK35" s="542"/>
    </row>
    <row r="36">
      <c r="A36" s="557"/>
      <c r="B36" s="607" t="s">
        <v>352</v>
      </c>
      <c r="C36" s="607"/>
      <c r="D36" s="607">
        <f>D25+D35+D30</f>
      </c>
      <c r="E36" s="607">
        <f>E25+E35+E30</f>
      </c>
      <c r="F36" s="607">
        <f>F25+F35+F30</f>
      </c>
      <c r="G36" s="607">
        <f>G25+G35+G30</f>
      </c>
      <c r="H36" s="607">
        <f>H25+H35+H30</f>
      </c>
      <c r="I36" s="608">
        <f t="shared" si="397"/>
      </c>
      <c r="J36" s="608">
        <f t="shared" si="153"/>
      </c>
      <c r="K36" s="609">
        <f t="shared" si="212"/>
      </c>
      <c r="L36" s="610">
        <f t="shared" si="1"/>
      </c>
      <c r="M36" s="611">
        <f t="shared" si="94"/>
      </c>
      <c r="N36" s="612">
        <f t="shared" si="29"/>
      </c>
      <c r="O36" s="612">
        <f t="shared" si="459"/>
      </c>
      <c r="P36" s="611">
        <f t="shared" si="493"/>
      </c>
      <c r="Q36" s="612">
        <f t="shared" si="360"/>
      </c>
      <c r="R36" s="612">
        <f t="shared" si="425"/>
      </c>
      <c r="S36" s="611">
        <f t="shared" si="181"/>
      </c>
      <c r="T36" s="613">
        <f t="shared" si="240"/>
      </c>
      <c r="U36" s="611">
        <f t="shared" si="63"/>
      </c>
      <c r="V36" s="609">
        <f t="shared" si="122"/>
      </c>
      <c r="W36" s="609"/>
      <c r="X36" s="609"/>
      <c r="Y36" s="607">
        <f>Y25+Y35+Y30</f>
      </c>
      <c r="Z36" s="607">
        <f>Z25+Z35+Z30</f>
      </c>
      <c r="AA36" s="607">
        <f>AA25+AA35+AA30</f>
      </c>
      <c r="AB36" s="607">
        <f>AB25+AB35+AB30</f>
      </c>
      <c r="AC36" s="607">
        <f>AC25+AC35+AC30</f>
      </c>
      <c r="AD36" s="607">
        <f>AD25+AD35+AD30</f>
      </c>
      <c r="AE36" s="607">
        <f>AE25+AE35+AE30</f>
      </c>
      <c r="AF36" s="607">
        <f>AF25+AF35+AF30</f>
      </c>
      <c r="AG36" s="607">
        <f>AG25+AG35+AG30</f>
      </c>
      <c r="AI36" s="542"/>
      <c r="AJ36" s="542"/>
      <c r="AK36" s="542"/>
    </row>
    <row r="37">
      <c r="A37" s="538" t="s">
        <v>295</v>
      </c>
      <c r="B37" s="538"/>
      <c r="C37" s="538"/>
      <c r="D37" s="539" t="s">
        <v>296</v>
      </c>
      <c r="E37" s="539"/>
      <c r="F37" s="539"/>
      <c r="G37" s="539"/>
      <c r="H37" s="539"/>
      <c r="I37" s="539"/>
      <c r="J37" s="539"/>
      <c r="K37" s="540" t="s">
        <v>297</v>
      </c>
      <c r="L37" s="540"/>
      <c r="M37" s="540"/>
      <c r="N37" s="540"/>
      <c r="O37" s="540"/>
      <c r="P37" s="540"/>
      <c r="Q37" s="540"/>
      <c r="R37" s="540"/>
      <c r="S37" s="540"/>
      <c r="T37" s="540"/>
      <c r="U37" s="540"/>
      <c r="V37" s="540"/>
      <c r="W37" s="540"/>
      <c r="X37" s="540"/>
      <c r="Y37" s="541" t="s">
        <v>298</v>
      </c>
      <c r="Z37" s="541"/>
      <c r="AA37" s="541"/>
      <c r="AB37" s="541"/>
      <c r="AC37" s="541"/>
      <c r="AD37" s="541"/>
      <c r="AE37" s="541"/>
      <c r="AF37" s="541"/>
      <c r="AG37" s="541"/>
      <c r="AI37" s="542"/>
      <c r="AJ37" s="542"/>
      <c r="AK37" s="542"/>
    </row>
    <row r="38">
      <c r="A38" s="543" t="s">
        <v>299</v>
      </c>
      <c r="B38" s="544" t="s">
        <v>300</v>
      </c>
      <c r="C38" s="544" t="s">
        <v>301</v>
      </c>
      <c r="D38" s="545" t="s">
        <v>302</v>
      </c>
      <c r="E38" s="546" t="s">
        <v>303</v>
      </c>
      <c r="F38" s="546" t="s">
        <v>304</v>
      </c>
      <c r="G38" s="547" t="s">
        <v>305</v>
      </c>
      <c r="H38" s="548" t="s">
        <v>306</v>
      </c>
      <c r="I38" s="549" t="s">
        <v>307</v>
      </c>
      <c r="J38" s="550" t="s">
        <v>308</v>
      </c>
      <c r="K38" s="551" t="s">
        <v>309</v>
      </c>
      <c r="L38" s="540" t="s">
        <v>310</v>
      </c>
      <c r="M38" s="540" t="s">
        <v>311</v>
      </c>
      <c r="N38" s="552" t="s">
        <v>312</v>
      </c>
      <c r="O38" s="552" t="s">
        <v>313</v>
      </c>
      <c r="P38" s="540" t="s">
        <v>314</v>
      </c>
      <c r="Q38" s="552" t="s">
        <v>315</v>
      </c>
      <c r="R38" s="552" t="s">
        <v>316</v>
      </c>
      <c r="S38" s="540" t="s">
        <v>317</v>
      </c>
      <c r="T38" s="552" t="s">
        <v>318</v>
      </c>
      <c r="U38" s="540" t="s">
        <v>319</v>
      </c>
      <c r="V38" s="553" t="s">
        <v>320</v>
      </c>
      <c r="W38" s="553" t="s">
        <v>321</v>
      </c>
      <c r="X38" s="553" t="s">
        <v>322</v>
      </c>
      <c r="Y38" s="554" t="s">
        <v>323</v>
      </c>
      <c r="Z38" s="555" t="s">
        <v>324</v>
      </c>
      <c r="AA38" s="555" t="s">
        <v>325</v>
      </c>
      <c r="AB38" s="555" t="s">
        <v>326</v>
      </c>
      <c r="AC38" s="555" t="s">
        <v>327</v>
      </c>
      <c r="AD38" s="555" t="s">
        <v>328</v>
      </c>
      <c r="AE38" s="555" t="s">
        <v>329</v>
      </c>
      <c r="AF38" s="555" t="s">
        <v>330</v>
      </c>
      <c r="AG38" s="556" t="s">
        <v>331</v>
      </c>
      <c r="AI38" s="542"/>
      <c r="AJ38" s="542"/>
      <c r="AK38" s="542"/>
    </row>
    <row r="39">
      <c r="A39" s="557" t="s">
        <v>354</v>
      </c>
      <c r="B39" s="558" t="s">
        <v>333</v>
      </c>
      <c r="C39" s="559" t="s">
        <v>334</v>
      </c>
      <c r="D39" s="559">
        <f t="shared" ref="D39:D42" si="276">E39+F39</f>
      </c>
      <c r="E39" s="560">
        <v>6150.49</v>
      </c>
      <c r="F39" s="560">
        <v>1290.46</v>
      </c>
      <c r="G39" s="561">
        <v>3</v>
      </c>
      <c r="H39" s="561">
        <v>5484</v>
      </c>
      <c r="I39" s="562">
        <f t="shared" ref="I39:I54" si="398">H39/D39</f>
      </c>
      <c r="J39" s="562">
        <f t="shared" ref="J39:J54" si="154">H39/(D39+300*AG39)</f>
      </c>
      <c r="K39" s="563">
        <f t="shared" ref="K39:K54" si="213">(D39/Z39)*1000</f>
      </c>
      <c r="L39" s="564">
        <f t="shared" ref="L39:L54" si="2">AA39/Z39</f>
      </c>
      <c r="M39" s="565">
        <f t="shared" ref="M39:M54" si="95">D39/AB39</f>
      </c>
      <c r="N39" s="566">
        <f t="shared" ref="N39:N54" si="30">AC39/AB39</f>
      </c>
      <c r="O39" s="566">
        <f t="shared" ref="O39:O54" si="460">AD39/AB39</f>
      </c>
      <c r="P39" s="565">
        <f t="shared" ref="P39:P54" si="494">D39/AD39</f>
      </c>
      <c r="Q39" s="566">
        <f t="shared" ref="Q39:Q54" si="361">AE39/AD39</f>
      </c>
      <c r="R39" s="566">
        <f t="shared" ref="R39:R54" si="426">G39/AE39</f>
      </c>
      <c r="S39" s="565">
        <f t="shared" ref="S39:S54" si="182">D39/G39</f>
      </c>
      <c r="T39" s="567">
        <f t="shared" ref="T39:T54" si="241">H39/G39</f>
      </c>
      <c r="U39" s="565">
        <f t="shared" ref="U39:U54" si="64">D39/Y39</f>
      </c>
      <c r="V39" s="568">
        <f t="shared" ref="V39:V54" si="123">AF39*1000/D39</f>
      </c>
      <c r="W39" s="569" t="s">
        <v>335</v>
      </c>
      <c r="X39" s="570" t="s">
        <v>336</v>
      </c>
      <c r="Y39" s="571">
        <v>3</v>
      </c>
      <c r="Z39" s="572">
        <v>41138</v>
      </c>
      <c r="AA39" s="572">
        <v>1086</v>
      </c>
      <c r="AB39" s="572">
        <v>1451</v>
      </c>
      <c r="AC39" s="572">
        <v>226</v>
      </c>
      <c r="AD39" s="571">
        <v>74</v>
      </c>
      <c r="AE39" s="571">
        <v>16</v>
      </c>
      <c r="AF39" s="571">
        <v>35</v>
      </c>
      <c r="AG39" s="571">
        <v>1</v>
      </c>
      <c r="AI39" s="542"/>
      <c r="AJ39" s="542"/>
      <c r="AK39" s="542"/>
    </row>
    <row r="40">
      <c r="A40" s="557"/>
      <c r="B40" s="558" t="s">
        <v>337</v>
      </c>
      <c r="C40" s="559" t="s">
        <v>334</v>
      </c>
      <c r="D40" s="559">
        <f t="shared" si="276"/>
      </c>
      <c r="E40" s="560">
        <v>2686.88</v>
      </c>
      <c r="F40" s="560">
        <v>1142.79</v>
      </c>
      <c r="G40" s="573">
        <v>2</v>
      </c>
      <c r="H40" s="573">
        <v>3216</v>
      </c>
      <c r="I40" s="562">
        <f t="shared" si="398"/>
      </c>
      <c r="J40" s="562">
        <f t="shared" si="154"/>
      </c>
      <c r="K40" s="563">
        <f t="shared" si="213"/>
      </c>
      <c r="L40" s="574">
        <f t="shared" si="2"/>
      </c>
      <c r="M40" s="575">
        <f t="shared" si="95"/>
      </c>
      <c r="N40" s="576">
        <f t="shared" si="30"/>
      </c>
      <c r="O40" s="576">
        <f t="shared" si="460"/>
      </c>
      <c r="P40" s="575">
        <f t="shared" si="494"/>
      </c>
      <c r="Q40" s="576">
        <f t="shared" si="361"/>
      </c>
      <c r="R40" s="576">
        <f t="shared" si="426"/>
      </c>
      <c r="S40" s="577">
        <f t="shared" si="182"/>
      </c>
      <c r="T40" s="578">
        <f t="shared" si="241"/>
      </c>
      <c r="U40" s="579">
        <f t="shared" si="64"/>
      </c>
      <c r="V40" s="580">
        <f t="shared" si="123"/>
      </c>
      <c r="W40" s="581" t="s">
        <v>335</v>
      </c>
      <c r="X40" s="570" t="s">
        <v>336</v>
      </c>
      <c r="Y40" s="583">
        <v>2</v>
      </c>
      <c r="Z40" s="582">
        <v>19844</v>
      </c>
      <c r="AA40" s="582">
        <v>561</v>
      </c>
      <c r="AB40" s="582">
        <v>797</v>
      </c>
      <c r="AC40" s="582">
        <v>94</v>
      </c>
      <c r="AD40" s="582">
        <v>31</v>
      </c>
      <c r="AE40" s="583">
        <v>3</v>
      </c>
      <c r="AF40" s="583">
        <v>13</v>
      </c>
      <c r="AG40" s="583">
        <v>1</v>
      </c>
      <c r="AI40" s="542"/>
      <c r="AJ40" s="542"/>
      <c r="AK40" s="542"/>
    </row>
    <row r="41">
      <c r="A41" s="557"/>
      <c r="B41" s="584" t="s">
        <v>338</v>
      </c>
      <c r="C41" s="559" t="s">
        <v>334</v>
      </c>
      <c r="D41" s="559">
        <f t="shared" si="276"/>
      </c>
      <c r="E41" s="560">
        <v>3323.14</v>
      </c>
      <c r="F41" s="560">
        <v>783.97</v>
      </c>
      <c r="G41" s="573">
        <v>3</v>
      </c>
      <c r="H41" s="573">
        <v>4164</v>
      </c>
      <c r="I41" s="562">
        <f t="shared" si="398"/>
      </c>
      <c r="J41" s="562">
        <f t="shared" si="154"/>
      </c>
      <c r="K41" s="563">
        <f t="shared" si="213"/>
      </c>
      <c r="L41" s="574">
        <f t="shared" si="2"/>
      </c>
      <c r="M41" s="575">
        <f t="shared" si="95"/>
      </c>
      <c r="N41" s="576">
        <f t="shared" si="30"/>
      </c>
      <c r="O41" s="576">
        <f t="shared" si="460"/>
      </c>
      <c r="P41" s="575">
        <f t="shared" si="494"/>
      </c>
      <c r="Q41" s="576">
        <f t="shared" si="361"/>
      </c>
      <c r="R41" s="576">
        <f t="shared" si="426"/>
      </c>
      <c r="S41" s="577">
        <f t="shared" si="182"/>
      </c>
      <c r="T41" s="578">
        <f t="shared" si="241"/>
      </c>
      <c r="U41" s="579">
        <f t="shared" si="64"/>
      </c>
      <c r="V41" s="580">
        <f t="shared" si="123"/>
      </c>
      <c r="W41" s="581" t="s">
        <v>335</v>
      </c>
      <c r="X41" s="570" t="s">
        <v>336</v>
      </c>
      <c r="Y41" s="583">
        <v>2</v>
      </c>
      <c r="Z41" s="582">
        <v>21818</v>
      </c>
      <c r="AA41" s="582">
        <v>557</v>
      </c>
      <c r="AB41" s="582">
        <v>820</v>
      </c>
      <c r="AC41" s="582">
        <v>126</v>
      </c>
      <c r="AD41" s="582">
        <v>39</v>
      </c>
      <c r="AE41" s="583">
        <v>6</v>
      </c>
      <c r="AF41" s="583">
        <v>25</v>
      </c>
      <c r="AG41" s="583">
        <v>1</v>
      </c>
      <c r="AI41" s="542"/>
      <c r="AJ41" s="542"/>
      <c r="AK41" s="542"/>
    </row>
    <row r="42">
      <c r="A42" s="557"/>
      <c r="B42" s="584" t="s">
        <v>339</v>
      </c>
      <c r="C42" s="559" t="s">
        <v>334</v>
      </c>
      <c r="D42" s="559">
        <f t="shared" si="276"/>
      </c>
      <c r="E42" s="560">
        <v>2125.46</v>
      </c>
      <c r="F42" s="560">
        <v>836.45</v>
      </c>
      <c r="G42" s="573">
        <v>1</v>
      </c>
      <c r="H42" s="573">
        <v>2268</v>
      </c>
      <c r="I42" s="562">
        <f t="shared" si="398"/>
      </c>
      <c r="J42" s="562">
        <f t="shared" si="154"/>
      </c>
      <c r="K42" s="563">
        <f t="shared" si="213"/>
      </c>
      <c r="L42" s="574">
        <f t="shared" si="2"/>
      </c>
      <c r="M42" s="575">
        <f t="shared" si="95"/>
      </c>
      <c r="N42" s="576">
        <f t="shared" si="30"/>
      </c>
      <c r="O42" s="576">
        <f t="shared" si="460"/>
      </c>
      <c r="P42" s="575">
        <f t="shared" si="494"/>
      </c>
      <c r="Q42" s="576">
        <f t="shared" si="361"/>
      </c>
      <c r="R42" s="576">
        <f t="shared" si="426"/>
      </c>
      <c r="S42" s="577">
        <f t="shared" si="182"/>
      </c>
      <c r="T42" s="585">
        <f t="shared" si="241"/>
      </c>
      <c r="U42" s="577">
        <f t="shared" si="64"/>
      </c>
      <c r="V42" s="580">
        <f t="shared" si="123"/>
      </c>
      <c r="W42" s="581" t="s">
        <v>335</v>
      </c>
      <c r="X42" s="570" t="s">
        <v>336</v>
      </c>
      <c r="Y42" s="583">
        <v>1</v>
      </c>
      <c r="Z42" s="583">
        <v>12224</v>
      </c>
      <c r="AA42" s="583">
        <v>460</v>
      </c>
      <c r="AB42" s="583">
        <v>640</v>
      </c>
      <c r="AC42" s="583">
        <v>85</v>
      </c>
      <c r="AD42" s="583">
        <v>39</v>
      </c>
      <c r="AE42" s="583">
        <v>4</v>
      </c>
      <c r="AF42" s="583">
        <v>12</v>
      </c>
      <c r="AG42" s="583">
        <v>1</v>
      </c>
      <c r="AI42" s="542"/>
      <c r="AJ42" s="542"/>
      <c r="AK42" s="542"/>
    </row>
    <row r="43">
      <c r="A43" s="557"/>
      <c r="B43" s="586" t="s">
        <v>340</v>
      </c>
      <c r="C43" s="586"/>
      <c r="D43" s="587">
        <f>SUM(D39:D42)</f>
      </c>
      <c r="E43" s="587">
        <f>SUM(E39:E42)</f>
      </c>
      <c r="F43" s="587">
        <f>SUM(F39:F42)</f>
      </c>
      <c r="G43" s="587">
        <f>SUM(G39:G42)</f>
      </c>
      <c r="H43" s="587">
        <f>SUM(H39:H42)</f>
      </c>
      <c r="I43" s="588">
        <f t="shared" si="398"/>
      </c>
      <c r="J43" s="588">
        <f t="shared" si="154"/>
      </c>
      <c r="K43" s="589">
        <f t="shared" si="213"/>
      </c>
      <c r="L43" s="590">
        <f t="shared" si="2"/>
      </c>
      <c r="M43" s="591">
        <f t="shared" si="95"/>
      </c>
      <c r="N43" s="592">
        <f t="shared" si="30"/>
      </c>
      <c r="O43" s="592">
        <f t="shared" si="460"/>
      </c>
      <c r="P43" s="591">
        <f t="shared" si="494"/>
      </c>
      <c r="Q43" s="592">
        <f t="shared" si="361"/>
      </c>
      <c r="R43" s="592">
        <f t="shared" si="426"/>
      </c>
      <c r="S43" s="593">
        <f t="shared" si="182"/>
      </c>
      <c r="T43" s="594">
        <f t="shared" si="241"/>
      </c>
      <c r="U43" s="593">
        <f t="shared" si="64"/>
      </c>
      <c r="V43" s="595">
        <f t="shared" si="123"/>
      </c>
      <c r="W43" s="595"/>
      <c r="X43" s="595"/>
      <c r="Y43" s="587">
        <f>SUM(Y39:Y42)</f>
      </c>
      <c r="Z43" s="587">
        <f>SUM(Z39:Z42)</f>
      </c>
      <c r="AA43" s="587">
        <f>SUM(AA39:AA42)</f>
      </c>
      <c r="AB43" s="587">
        <f>SUM(AB39:AB42)</f>
      </c>
      <c r="AC43" s="587">
        <f>SUM(AC39:AC42)</f>
      </c>
      <c r="AD43" s="587">
        <f>SUM(AD39:AD42)</f>
      </c>
      <c r="AE43" s="587">
        <f>SUM(AE39:AE42)</f>
      </c>
      <c r="AF43" s="587">
        <f>SUM(AF39:AF42)</f>
      </c>
      <c r="AG43" s="587">
        <f>SUM(AG39:AG42)</f>
      </c>
      <c r="AI43" s="542"/>
      <c r="AJ43" s="542"/>
      <c r="AK43" s="542"/>
    </row>
    <row r="44">
      <c r="A44" s="557"/>
      <c r="B44" s="584" t="s">
        <v>341</v>
      </c>
      <c r="C44" s="559" t="s">
        <v>342</v>
      </c>
      <c r="D44" s="559">
        <f t="shared" ref="D44:D47" si="277">E44+F44</f>
      </c>
      <c r="E44" s="560">
        <v>1579.13</v>
      </c>
      <c r="F44" s="560">
        <v>859.62</v>
      </c>
      <c r="G44" s="573">
        <v>1</v>
      </c>
      <c r="H44" s="573">
        <v>2268</v>
      </c>
      <c r="I44" s="562">
        <f t="shared" si="398"/>
      </c>
      <c r="J44" s="562">
        <f t="shared" si="154"/>
      </c>
      <c r="K44" s="563">
        <f t="shared" si="213"/>
      </c>
      <c r="L44" s="596">
        <f t="shared" si="2"/>
      </c>
      <c r="M44" s="597">
        <f t="shared" si="95"/>
      </c>
      <c r="N44" s="598">
        <f t="shared" si="30"/>
      </c>
      <c r="O44" s="598">
        <f t="shared" si="460"/>
      </c>
      <c r="P44" s="597">
        <f t="shared" si="494"/>
      </c>
      <c r="Q44" s="598">
        <f t="shared" si="361"/>
      </c>
      <c r="R44" s="598">
        <f t="shared" si="426"/>
      </c>
      <c r="S44" s="599">
        <f t="shared" si="182"/>
      </c>
      <c r="T44" s="600">
        <f t="shared" si="241"/>
      </c>
      <c r="U44" s="599">
        <f t="shared" si="64"/>
      </c>
      <c r="V44" s="601">
        <f t="shared" si="123"/>
      </c>
      <c r="W44" s="602" t="s">
        <v>335</v>
      </c>
      <c r="X44" s="570" t="s">
        <v>336</v>
      </c>
      <c r="Y44" s="604">
        <v>1</v>
      </c>
      <c r="Z44" s="603">
        <v>11754</v>
      </c>
      <c r="AA44" s="603">
        <v>396</v>
      </c>
      <c r="AB44" s="603">
        <v>526</v>
      </c>
      <c r="AC44" s="603">
        <v>63</v>
      </c>
      <c r="AD44" s="603">
        <v>29</v>
      </c>
      <c r="AE44" s="604">
        <v>3</v>
      </c>
      <c r="AF44" s="604">
        <v>8</v>
      </c>
      <c r="AG44" s="604">
        <v>1</v>
      </c>
      <c r="AI44" s="542"/>
      <c r="AJ44" s="542"/>
      <c r="AK44" s="542"/>
    </row>
    <row r="45">
      <c r="A45" s="557"/>
      <c r="B45" s="584" t="s">
        <v>343</v>
      </c>
      <c r="C45" s="559" t="s">
        <v>342</v>
      </c>
      <c r="D45" s="559">
        <f t="shared" si="277"/>
      </c>
      <c r="E45" s="560">
        <v>1730.6</v>
      </c>
      <c r="F45" s="560">
        <v>1065.41</v>
      </c>
      <c r="G45" s="573">
        <v>1</v>
      </c>
      <c r="H45" s="573">
        <v>468</v>
      </c>
      <c r="I45" s="562">
        <f t="shared" si="398"/>
      </c>
      <c r="J45" s="562">
        <f t="shared" si="154"/>
      </c>
      <c r="K45" s="563">
        <f t="shared" si="213"/>
      </c>
      <c r="L45" s="596">
        <f t="shared" si="2"/>
      </c>
      <c r="M45" s="597">
        <f t="shared" si="95"/>
      </c>
      <c r="N45" s="598">
        <f t="shared" si="30"/>
      </c>
      <c r="O45" s="598">
        <f t="shared" si="460"/>
      </c>
      <c r="P45" s="597">
        <f t="shared" si="494"/>
      </c>
      <c r="Q45" s="598">
        <f t="shared" si="361"/>
      </c>
      <c r="R45" s="598">
        <f t="shared" si="426"/>
      </c>
      <c r="S45" s="599">
        <f t="shared" si="182"/>
      </c>
      <c r="T45" s="600">
        <f t="shared" si="241"/>
      </c>
      <c r="U45" s="599">
        <f t="shared" si="64"/>
      </c>
      <c r="V45" s="601">
        <f t="shared" si="123"/>
      </c>
      <c r="W45" s="602" t="s">
        <v>335</v>
      </c>
      <c r="X45" s="570" t="s">
        <v>336</v>
      </c>
      <c r="Y45" s="604">
        <v>1</v>
      </c>
      <c r="Z45" s="603">
        <v>13978</v>
      </c>
      <c r="AA45" s="603">
        <v>590</v>
      </c>
      <c r="AB45" s="603">
        <v>823</v>
      </c>
      <c r="AC45" s="603">
        <v>104</v>
      </c>
      <c r="AD45" s="603">
        <v>34</v>
      </c>
      <c r="AE45" s="604">
        <v>3</v>
      </c>
      <c r="AF45" s="604">
        <v>18</v>
      </c>
      <c r="AG45" s="604">
        <v>1</v>
      </c>
      <c r="AI45" s="542"/>
      <c r="AJ45" s="542"/>
      <c r="AK45" s="542"/>
    </row>
    <row r="46">
      <c r="A46" s="557"/>
      <c r="B46" s="584" t="s">
        <v>344</v>
      </c>
      <c r="C46" s="559" t="s">
        <v>342</v>
      </c>
      <c r="D46" s="559">
        <f t="shared" si="277"/>
      </c>
      <c r="E46" s="560">
        <v>1570</v>
      </c>
      <c r="F46" s="560">
        <v>1110.63</v>
      </c>
      <c r="G46" s="561">
        <v>5</v>
      </c>
      <c r="H46" s="561">
        <v>8220</v>
      </c>
      <c r="I46" s="562">
        <f t="shared" si="398"/>
      </c>
      <c r="J46" s="562">
        <f t="shared" si="154"/>
      </c>
      <c r="K46" s="563">
        <f t="shared" si="213"/>
      </c>
      <c r="L46" s="596">
        <f t="shared" si="2"/>
      </c>
      <c r="M46" s="597">
        <f t="shared" si="95"/>
      </c>
      <c r="N46" s="598">
        <f t="shared" si="30"/>
      </c>
      <c r="O46" s="598">
        <f t="shared" si="460"/>
      </c>
      <c r="P46" s="597">
        <f t="shared" si="494"/>
      </c>
      <c r="Q46" s="598">
        <f t="shared" si="361"/>
      </c>
      <c r="R46" s="598">
        <f t="shared" si="426"/>
      </c>
      <c r="S46" s="599">
        <f t="shared" si="182"/>
      </c>
      <c r="T46" s="600">
        <f t="shared" si="241"/>
      </c>
      <c r="U46" s="599">
        <f t="shared" si="64"/>
      </c>
      <c r="V46" s="601">
        <f t="shared" si="123"/>
      </c>
      <c r="W46" s="602" t="s">
        <v>335</v>
      </c>
      <c r="X46" s="570" t="s">
        <v>336</v>
      </c>
      <c r="Y46" s="603">
        <v>5</v>
      </c>
      <c r="Z46" s="603">
        <v>10863</v>
      </c>
      <c r="AA46" s="603">
        <v>452</v>
      </c>
      <c r="AB46" s="603">
        <v>684</v>
      </c>
      <c r="AC46" s="603">
        <v>84</v>
      </c>
      <c r="AD46" s="603">
        <v>34</v>
      </c>
      <c r="AE46" s="604">
        <v>8</v>
      </c>
      <c r="AF46" s="604">
        <v>10</v>
      </c>
      <c r="AG46" s="604">
        <v>1</v>
      </c>
      <c r="AI46" s="542"/>
      <c r="AJ46" s="542"/>
      <c r="AK46" s="542"/>
    </row>
    <row r="47">
      <c r="A47" s="557"/>
      <c r="B47" s="584" t="s">
        <v>345</v>
      </c>
      <c r="C47" s="559" t="s">
        <v>342</v>
      </c>
      <c r="D47" s="559">
        <f t="shared" si="277"/>
      </c>
      <c r="E47" s="560">
        <v>2227.28</v>
      </c>
      <c r="F47" s="560">
        <v>1415.2</v>
      </c>
      <c r="G47" s="561">
        <v>3</v>
      </c>
      <c r="H47" s="561">
        <v>4164</v>
      </c>
      <c r="I47" s="562">
        <f t="shared" si="398"/>
      </c>
      <c r="J47" s="562">
        <f t="shared" si="154"/>
      </c>
      <c r="K47" s="563">
        <f t="shared" si="213"/>
      </c>
      <c r="L47" s="596">
        <f t="shared" si="2"/>
      </c>
      <c r="M47" s="597">
        <f t="shared" si="95"/>
      </c>
      <c r="N47" s="598">
        <f t="shared" si="30"/>
      </c>
      <c r="O47" s="598">
        <f t="shared" si="460"/>
      </c>
      <c r="P47" s="597">
        <f t="shared" si="494"/>
      </c>
      <c r="Q47" s="598">
        <f t="shared" si="361"/>
      </c>
      <c r="R47" s="598">
        <f t="shared" si="426"/>
      </c>
      <c r="S47" s="599">
        <f t="shared" si="182"/>
      </c>
      <c r="T47" s="600">
        <f t="shared" si="241"/>
      </c>
      <c r="U47" s="599">
        <f t="shared" si="64"/>
      </c>
      <c r="V47" s="601">
        <f t="shared" si="123"/>
      </c>
      <c r="W47" s="602" t="s">
        <v>335</v>
      </c>
      <c r="X47" s="570" t="s">
        <v>336</v>
      </c>
      <c r="Y47" s="604">
        <v>2</v>
      </c>
      <c r="Z47" s="603">
        <v>13935</v>
      </c>
      <c r="AA47" s="603">
        <v>652</v>
      </c>
      <c r="AB47" s="603">
        <v>920</v>
      </c>
      <c r="AC47" s="603">
        <v>110</v>
      </c>
      <c r="AD47" s="603">
        <v>44</v>
      </c>
      <c r="AE47" s="604">
        <v>8</v>
      </c>
      <c r="AF47" s="604">
        <v>30</v>
      </c>
      <c r="AG47" s="604">
        <v>1</v>
      </c>
      <c r="AI47" s="542"/>
      <c r="AJ47" s="542"/>
      <c r="AK47" s="542"/>
    </row>
    <row r="48">
      <c r="A48" s="557"/>
      <c r="B48" s="586" t="s">
        <v>340</v>
      </c>
      <c r="C48" s="586"/>
      <c r="D48" s="587">
        <f>SUM(D44:D47)</f>
      </c>
      <c r="E48" s="587">
        <f>SUM(E44:E47)</f>
      </c>
      <c r="F48" s="587">
        <f>SUM(F44:F47)</f>
      </c>
      <c r="G48" s="587">
        <f>SUM(G44:G47)</f>
      </c>
      <c r="H48" s="587">
        <f>SUM(H44:H47)</f>
      </c>
      <c r="I48" s="588">
        <f t="shared" si="398"/>
      </c>
      <c r="J48" s="588">
        <f t="shared" si="154"/>
      </c>
      <c r="K48" s="589">
        <f t="shared" si="213"/>
      </c>
      <c r="L48" s="590">
        <f t="shared" si="2"/>
      </c>
      <c r="M48" s="591">
        <f t="shared" si="95"/>
      </c>
      <c r="N48" s="592">
        <f t="shared" si="30"/>
      </c>
      <c r="O48" s="592">
        <f t="shared" si="460"/>
      </c>
      <c r="P48" s="591">
        <f t="shared" si="494"/>
      </c>
      <c r="Q48" s="592">
        <f t="shared" si="361"/>
      </c>
      <c r="R48" s="592">
        <f t="shared" si="426"/>
      </c>
      <c r="S48" s="593">
        <f t="shared" si="182"/>
      </c>
      <c r="T48" s="594">
        <f t="shared" si="241"/>
      </c>
      <c r="U48" s="593">
        <f t="shared" si="64"/>
      </c>
      <c r="V48" s="595">
        <f t="shared" si="123"/>
      </c>
      <c r="W48" s="595"/>
      <c r="X48" s="595"/>
      <c r="Y48" s="587">
        <f>SUM(Y44:Y47)</f>
      </c>
      <c r="Z48" s="587">
        <f>SUM(Z44:Z47)</f>
      </c>
      <c r="AA48" s="587">
        <f>SUM(AA44:AA47)</f>
      </c>
      <c r="AB48" s="587">
        <f>SUM(AB44:AB47)</f>
      </c>
      <c r="AC48" s="587">
        <f>SUM(AC44:AC47)</f>
      </c>
      <c r="AD48" s="587">
        <f>SUM(AD44:AD47)</f>
      </c>
      <c r="AE48" s="587">
        <f>SUM(AE44:AE47)</f>
      </c>
      <c r="AF48" s="587">
        <f>SUM(AF44:AF47)</f>
      </c>
      <c r="AG48" s="587">
        <f>SUM(AG44:AG47)</f>
      </c>
      <c r="AI48" s="542"/>
      <c r="AJ48" s="542"/>
      <c r="AK48" s="542"/>
    </row>
    <row r="49">
      <c r="A49" s="557"/>
      <c r="B49" s="584" t="s">
        <v>346</v>
      </c>
      <c r="C49" s="559" t="s">
        <v>347</v>
      </c>
      <c r="D49" s="559">
        <f t="shared" ref="D49:D52" si="278">E49+F49</f>
      </c>
      <c r="E49" s="560">
        <v>2291.48</v>
      </c>
      <c r="F49" s="560">
        <v>1307.86</v>
      </c>
      <c r="G49" s="561">
        <v>4</v>
      </c>
      <c r="H49" s="561">
        <v>6244</v>
      </c>
      <c r="I49" s="562">
        <f t="shared" si="398"/>
      </c>
      <c r="J49" s="562">
        <f t="shared" si="154"/>
      </c>
      <c r="K49" s="605">
        <f t="shared" si="213"/>
      </c>
      <c r="L49" s="596">
        <f t="shared" si="2"/>
      </c>
      <c r="M49" s="597">
        <f t="shared" si="95"/>
      </c>
      <c r="N49" s="598">
        <f t="shared" si="30"/>
      </c>
      <c r="O49" s="598">
        <f t="shared" si="460"/>
      </c>
      <c r="P49" s="597">
        <f t="shared" si="494"/>
      </c>
      <c r="Q49" s="598">
        <f t="shared" si="361"/>
      </c>
      <c r="R49" s="598">
        <f t="shared" si="426"/>
      </c>
      <c r="S49" s="599">
        <f t="shared" si="182"/>
      </c>
      <c r="T49" s="600">
        <f t="shared" si="241"/>
      </c>
      <c r="U49" s="599">
        <f t="shared" si="64"/>
      </c>
      <c r="V49" s="601">
        <f t="shared" si="123"/>
      </c>
      <c r="W49" s="602" t="s">
        <v>335</v>
      </c>
      <c r="X49" s="570" t="s">
        <v>348</v>
      </c>
      <c r="Y49" s="604">
        <v>4</v>
      </c>
      <c r="Z49" s="603">
        <v>15670</v>
      </c>
      <c r="AA49" s="603">
        <v>570</v>
      </c>
      <c r="AB49" s="603">
        <v>806</v>
      </c>
      <c r="AC49" s="603">
        <v>121</v>
      </c>
      <c r="AD49" s="603">
        <v>63</v>
      </c>
      <c r="AE49" s="604">
        <v>12</v>
      </c>
      <c r="AF49" s="604">
        <v>19</v>
      </c>
      <c r="AG49" s="604">
        <v>1</v>
      </c>
      <c r="AI49" s="542"/>
      <c r="AJ49" s="542"/>
      <c r="AK49" s="542"/>
    </row>
    <row r="50">
      <c r="A50" s="557"/>
      <c r="B50" s="584" t="s">
        <v>349</v>
      </c>
      <c r="C50" s="559" t="s">
        <v>347</v>
      </c>
      <c r="D50" s="559">
        <f t="shared" si="278"/>
      </c>
      <c r="E50" s="560">
        <v>2618.9</v>
      </c>
      <c r="F50" s="560">
        <v>1011.88</v>
      </c>
      <c r="G50" s="561">
        <v>4</v>
      </c>
      <c r="H50" s="561">
        <v>6432</v>
      </c>
      <c r="I50" s="562">
        <f t="shared" si="398"/>
      </c>
      <c r="J50" s="562">
        <f t="shared" si="154"/>
      </c>
      <c r="K50" s="605">
        <f t="shared" si="213"/>
      </c>
      <c r="L50" s="596">
        <f t="shared" si="2"/>
      </c>
      <c r="M50" s="597">
        <f t="shared" si="95"/>
      </c>
      <c r="N50" s="598">
        <f t="shared" si="30"/>
      </c>
      <c r="O50" s="598">
        <f t="shared" si="460"/>
      </c>
      <c r="P50" s="597">
        <f t="shared" si="494"/>
      </c>
      <c r="Q50" s="598">
        <f t="shared" si="361"/>
      </c>
      <c r="R50" s="598">
        <f t="shared" si="426"/>
      </c>
      <c r="S50" s="599">
        <f t="shared" si="182"/>
      </c>
      <c r="T50" s="600">
        <f t="shared" si="241"/>
      </c>
      <c r="U50" s="599">
        <f t="shared" si="64"/>
      </c>
      <c r="V50" s="601">
        <f t="shared" si="123"/>
      </c>
      <c r="W50" s="602" t="s">
        <v>335</v>
      </c>
      <c r="X50" s="570" t="s">
        <v>348</v>
      </c>
      <c r="Y50" s="603">
        <v>5</v>
      </c>
      <c r="Z50" s="603">
        <v>16198</v>
      </c>
      <c r="AA50" s="603">
        <v>399</v>
      </c>
      <c r="AB50" s="603">
        <v>597</v>
      </c>
      <c r="AC50" s="603">
        <v>84</v>
      </c>
      <c r="AD50" s="604">
        <v>46</v>
      </c>
      <c r="AE50" s="604">
        <v>4</v>
      </c>
      <c r="AF50" s="604">
        <v>16</v>
      </c>
      <c r="AG50" s="604">
        <v>1</v>
      </c>
      <c r="AI50" s="542"/>
      <c r="AJ50" s="542"/>
      <c r="AK50" s="542"/>
    </row>
    <row r="51">
      <c r="A51" s="557"/>
      <c r="B51" s="558" t="s">
        <v>350</v>
      </c>
      <c r="C51" s="559" t="s">
        <v>347</v>
      </c>
      <c r="D51" s="559">
        <f t="shared" si="278"/>
      </c>
      <c r="E51" s="560">
        <v>2291.33</v>
      </c>
      <c r="F51" s="560">
        <v>1045.38</v>
      </c>
      <c r="G51" s="561">
        <v>1</v>
      </c>
      <c r="H51" s="561">
        <v>948</v>
      </c>
      <c r="I51" s="562">
        <f t="shared" si="398"/>
      </c>
      <c r="J51" s="562">
        <f t="shared" si="154"/>
      </c>
      <c r="K51" s="605">
        <f t="shared" si="213"/>
      </c>
      <c r="L51" s="596">
        <f t="shared" si="2"/>
      </c>
      <c r="M51" s="597">
        <f t="shared" si="95"/>
      </c>
      <c r="N51" s="598">
        <f t="shared" si="30"/>
      </c>
      <c r="O51" s="598">
        <f t="shared" si="460"/>
      </c>
      <c r="P51" s="597">
        <f t="shared" si="494"/>
      </c>
      <c r="Q51" s="598">
        <f t="shared" si="361"/>
      </c>
      <c r="R51" s="598">
        <f t="shared" si="426"/>
      </c>
      <c r="S51" s="599">
        <f t="shared" si="182"/>
      </c>
      <c r="T51" s="600">
        <f t="shared" si="241"/>
      </c>
      <c r="U51" s="599">
        <f t="shared" si="64"/>
      </c>
      <c r="V51" s="601">
        <f t="shared" si="123"/>
      </c>
      <c r="W51" s="602" t="s">
        <v>335</v>
      </c>
      <c r="X51" s="570" t="s">
        <v>348</v>
      </c>
      <c r="Y51" s="603">
        <v>1</v>
      </c>
      <c r="Z51" s="603">
        <v>19842</v>
      </c>
      <c r="AA51" s="603">
        <v>452</v>
      </c>
      <c r="AB51" s="603">
        <v>759</v>
      </c>
      <c r="AC51" s="603">
        <v>98</v>
      </c>
      <c r="AD51" s="604">
        <v>40</v>
      </c>
      <c r="AE51" s="604">
        <v>5</v>
      </c>
      <c r="AF51" s="604">
        <v>14</v>
      </c>
      <c r="AG51" s="604">
        <v>1</v>
      </c>
      <c r="AI51" s="542"/>
      <c r="AJ51" s="542"/>
      <c r="AK51" s="542"/>
    </row>
    <row r="52">
      <c r="A52" s="557"/>
      <c r="B52" s="558" t="s">
        <v>351</v>
      </c>
      <c r="C52" s="559" t="s">
        <v>347</v>
      </c>
      <c r="D52" s="559">
        <f t="shared" si="278"/>
      </c>
      <c r="E52" s="560">
        <v>2008.52</v>
      </c>
      <c r="F52" s="560">
        <v>555.33</v>
      </c>
      <c r="G52" s="561">
        <v>4</v>
      </c>
      <c r="H52" s="561">
        <v>7564</v>
      </c>
      <c r="I52" s="562">
        <f t="shared" si="398"/>
      </c>
      <c r="J52" s="562">
        <f t="shared" si="154"/>
      </c>
      <c r="K52" s="605">
        <f t="shared" si="213"/>
      </c>
      <c r="L52" s="596">
        <f t="shared" si="2"/>
      </c>
      <c r="M52" s="597">
        <f t="shared" si="95"/>
      </c>
      <c r="N52" s="598">
        <f t="shared" si="30"/>
      </c>
      <c r="O52" s="598">
        <f t="shared" si="460"/>
      </c>
      <c r="P52" s="597">
        <f t="shared" si="494"/>
      </c>
      <c r="Q52" s="598">
        <f t="shared" si="361"/>
      </c>
      <c r="R52" s="598">
        <f t="shared" si="426"/>
      </c>
      <c r="S52" s="599">
        <f t="shared" si="182"/>
      </c>
      <c r="T52" s="600">
        <f t="shared" si="241"/>
      </c>
      <c r="U52" s="599">
        <f t="shared" si="64"/>
      </c>
      <c r="V52" s="601">
        <f t="shared" si="123"/>
      </c>
      <c r="W52" s="602" t="s">
        <v>335</v>
      </c>
      <c r="X52" s="570" t="s">
        <v>348</v>
      </c>
      <c r="Y52" s="603">
        <v>3</v>
      </c>
      <c r="Z52" s="603">
        <v>13714</v>
      </c>
      <c r="AA52" s="603">
        <v>328</v>
      </c>
      <c r="AB52" s="603">
        <v>511</v>
      </c>
      <c r="AC52" s="603">
        <v>70</v>
      </c>
      <c r="AD52" s="603">
        <v>26</v>
      </c>
      <c r="AE52" s="604">
        <v>7</v>
      </c>
      <c r="AF52" s="604">
        <v>17</v>
      </c>
      <c r="AG52" s="604">
        <v>1</v>
      </c>
      <c r="AI52" s="542"/>
      <c r="AJ52" s="542"/>
      <c r="AK52" s="542"/>
    </row>
    <row r="53">
      <c r="A53" s="557"/>
      <c r="B53" s="586" t="s">
        <v>340</v>
      </c>
      <c r="C53" s="586"/>
      <c r="D53" s="587">
        <f>SUM(D49:D52)</f>
      </c>
      <c r="E53" s="587">
        <f>SUM(E49:E52)</f>
      </c>
      <c r="F53" s="587">
        <f>SUM(F49:F52)</f>
      </c>
      <c r="G53" s="587">
        <f>SUM(G49:G52)</f>
      </c>
      <c r="H53" s="587">
        <f>SUM(H49:H52)</f>
      </c>
      <c r="I53" s="588">
        <f t="shared" si="398"/>
      </c>
      <c r="J53" s="588">
        <f t="shared" si="154"/>
      </c>
      <c r="K53" s="606">
        <f t="shared" si="213"/>
      </c>
      <c r="L53" s="590">
        <f t="shared" si="2"/>
      </c>
      <c r="M53" s="591">
        <f t="shared" si="95"/>
      </c>
      <c r="N53" s="592">
        <f t="shared" si="30"/>
      </c>
      <c r="O53" s="592">
        <f t="shared" si="460"/>
      </c>
      <c r="P53" s="591">
        <f t="shared" si="494"/>
      </c>
      <c r="Q53" s="592">
        <f t="shared" si="361"/>
      </c>
      <c r="R53" s="592">
        <f t="shared" si="426"/>
      </c>
      <c r="S53" s="593">
        <f t="shared" si="182"/>
      </c>
      <c r="T53" s="594">
        <f t="shared" si="241"/>
      </c>
      <c r="U53" s="593">
        <f t="shared" si="64"/>
      </c>
      <c r="V53" s="595">
        <f t="shared" si="123"/>
      </c>
      <c r="W53" s="595"/>
      <c r="X53" s="595"/>
      <c r="Y53" s="587">
        <f>SUM(Y49:Y52)</f>
      </c>
      <c r="Z53" s="587">
        <f>SUM(Z49:Z52)</f>
      </c>
      <c r="AA53" s="587">
        <f>SUM(AA49:AA52)</f>
      </c>
      <c r="AB53" s="587">
        <f>SUM(AB49:AB52)</f>
      </c>
      <c r="AC53" s="587">
        <f>SUM(AC49:AC52)</f>
      </c>
      <c r="AD53" s="587">
        <f>SUM(AD49:AD52)</f>
      </c>
      <c r="AE53" s="587">
        <f>SUM(AE49:AE52)</f>
      </c>
      <c r="AF53" s="587">
        <f>SUM(AF49:AF52)</f>
      </c>
      <c r="AG53" s="587">
        <f>SUM(AG49:AG52)</f>
      </c>
      <c r="AI53" s="542"/>
      <c r="AJ53" s="542"/>
      <c r="AK53" s="542"/>
    </row>
    <row r="54">
      <c r="A54" s="557"/>
      <c r="B54" s="607" t="s">
        <v>352</v>
      </c>
      <c r="C54" s="607"/>
      <c r="D54" s="607">
        <f>D43+D53+D48</f>
      </c>
      <c r="E54" s="607">
        <f>E43+E53+E48</f>
      </c>
      <c r="F54" s="607">
        <f>F43+F53+F48</f>
      </c>
      <c r="G54" s="607">
        <f>G43+G53+G48</f>
      </c>
      <c r="H54" s="607">
        <f>H43+H53+H48</f>
      </c>
      <c r="I54" s="608">
        <f t="shared" si="398"/>
      </c>
      <c r="J54" s="608">
        <f t="shared" si="154"/>
      </c>
      <c r="K54" s="609">
        <f t="shared" si="213"/>
      </c>
      <c r="L54" s="610">
        <f t="shared" si="2"/>
      </c>
      <c r="M54" s="611">
        <f t="shared" si="95"/>
      </c>
      <c r="N54" s="612">
        <f t="shared" si="30"/>
      </c>
      <c r="O54" s="612">
        <f t="shared" si="460"/>
      </c>
      <c r="P54" s="611">
        <f t="shared" si="494"/>
      </c>
      <c r="Q54" s="612">
        <f t="shared" si="361"/>
      </c>
      <c r="R54" s="612">
        <f t="shared" si="426"/>
      </c>
      <c r="S54" s="611">
        <f t="shared" si="182"/>
      </c>
      <c r="T54" s="613">
        <f t="shared" si="241"/>
      </c>
      <c r="U54" s="611">
        <f t="shared" si="64"/>
      </c>
      <c r="V54" s="609">
        <f t="shared" si="123"/>
      </c>
      <c r="W54" s="609"/>
      <c r="X54" s="609"/>
      <c r="Y54" s="607">
        <f>Y43+Y53+Y48</f>
      </c>
      <c r="Z54" s="607">
        <f>Z43+Z53+Z48</f>
      </c>
      <c r="AA54" s="607">
        <f>AA43+AA53+AA48</f>
      </c>
      <c r="AB54" s="607">
        <f>AB43+AB53+AB48</f>
      </c>
      <c r="AC54" s="607">
        <f>AC43+AC53+AC48</f>
      </c>
      <c r="AD54" s="607">
        <f>AD43+AD53+AD48</f>
      </c>
      <c r="AE54" s="607">
        <f>AE43+AE53+AE48</f>
      </c>
      <c r="AF54" s="607">
        <f>AF43+AF53+AF48</f>
      </c>
      <c r="AG54" s="607">
        <f>AG43+AG53+AG48</f>
      </c>
      <c r="AI54" s="542"/>
      <c r="AJ54" s="542"/>
      <c r="AK54" s="542"/>
    </row>
    <row r="55">
      <c r="A55" s="538" t="s">
        <v>295</v>
      </c>
      <c r="B55" s="538"/>
      <c r="C55" s="538"/>
      <c r="D55" s="539" t="s">
        <v>296</v>
      </c>
      <c r="E55" s="539"/>
      <c r="F55" s="539"/>
      <c r="G55" s="539"/>
      <c r="H55" s="539"/>
      <c r="I55" s="539"/>
      <c r="J55" s="539"/>
      <c r="K55" s="540" t="s">
        <v>297</v>
      </c>
      <c r="L55" s="540"/>
      <c r="M55" s="540"/>
      <c r="N55" s="540"/>
      <c r="O55" s="540"/>
      <c r="P55" s="540"/>
      <c r="Q55" s="540"/>
      <c r="R55" s="540"/>
      <c r="S55" s="540"/>
      <c r="T55" s="540"/>
      <c r="U55" s="540"/>
      <c r="V55" s="540"/>
      <c r="W55" s="540"/>
      <c r="X55" s="540"/>
      <c r="Y55" s="541" t="s">
        <v>298</v>
      </c>
      <c r="Z55" s="541"/>
      <c r="AA55" s="541"/>
      <c r="AB55" s="541"/>
      <c r="AC55" s="541"/>
      <c r="AD55" s="541"/>
      <c r="AE55" s="541"/>
      <c r="AF55" s="541"/>
      <c r="AG55" s="541"/>
      <c r="AI55" s="542"/>
      <c r="AJ55" s="542"/>
      <c r="AK55" s="542"/>
    </row>
    <row r="56">
      <c r="A56" s="543" t="s">
        <v>299</v>
      </c>
      <c r="B56" s="544" t="s">
        <v>300</v>
      </c>
      <c r="C56" s="544" t="s">
        <v>301</v>
      </c>
      <c r="D56" s="545" t="s">
        <v>302</v>
      </c>
      <c r="E56" s="546" t="s">
        <v>303</v>
      </c>
      <c r="F56" s="546" t="s">
        <v>304</v>
      </c>
      <c r="G56" s="547" t="s">
        <v>305</v>
      </c>
      <c r="H56" s="548" t="s">
        <v>306</v>
      </c>
      <c r="I56" s="549" t="s">
        <v>307</v>
      </c>
      <c r="J56" s="550" t="s">
        <v>308</v>
      </c>
      <c r="K56" s="551" t="s">
        <v>309</v>
      </c>
      <c r="L56" s="540" t="s">
        <v>310</v>
      </c>
      <c r="M56" s="540" t="s">
        <v>311</v>
      </c>
      <c r="N56" s="552" t="s">
        <v>312</v>
      </c>
      <c r="O56" s="552" t="s">
        <v>313</v>
      </c>
      <c r="P56" s="540" t="s">
        <v>314</v>
      </c>
      <c r="Q56" s="552" t="s">
        <v>315</v>
      </c>
      <c r="R56" s="552" t="s">
        <v>316</v>
      </c>
      <c r="S56" s="540" t="s">
        <v>317</v>
      </c>
      <c r="T56" s="552" t="s">
        <v>318</v>
      </c>
      <c r="U56" s="540" t="s">
        <v>319</v>
      </c>
      <c r="V56" s="553" t="s">
        <v>320</v>
      </c>
      <c r="W56" s="553" t="s">
        <v>321</v>
      </c>
      <c r="X56" s="553" t="s">
        <v>322</v>
      </c>
      <c r="Y56" s="554" t="s">
        <v>323</v>
      </c>
      <c r="Z56" s="555" t="s">
        <v>324</v>
      </c>
      <c r="AA56" s="555" t="s">
        <v>325</v>
      </c>
      <c r="AB56" s="555" t="s">
        <v>326</v>
      </c>
      <c r="AC56" s="555" t="s">
        <v>327</v>
      </c>
      <c r="AD56" s="555" t="s">
        <v>328</v>
      </c>
      <c r="AE56" s="555" t="s">
        <v>329</v>
      </c>
      <c r="AF56" s="555" t="s">
        <v>330</v>
      </c>
      <c r="AG56" s="556" t="s">
        <v>331</v>
      </c>
      <c r="AI56" s="542"/>
      <c r="AJ56" s="542"/>
      <c r="AK56" s="542"/>
    </row>
    <row r="57">
      <c r="A57" s="557" t="s">
        <v>355</v>
      </c>
      <c r="B57" s="558" t="s">
        <v>333</v>
      </c>
      <c r="C57" s="559" t="s">
        <v>334</v>
      </c>
      <c r="D57" s="559">
        <f t="shared" ref="D57:D60" si="279">E57+F57</f>
      </c>
      <c r="E57" s="560">
        <v>2429.19</v>
      </c>
      <c r="F57" s="560">
        <v>897.02</v>
      </c>
      <c r="G57" s="561">
        <v>3</v>
      </c>
      <c r="H57" s="561">
        <v>5296</v>
      </c>
      <c r="I57" s="562">
        <f t="shared" ref="I57:I72" si="399">H57/D57</f>
      </c>
      <c r="J57" s="562">
        <f t="shared" ref="J57:J72" si="155">H57/(D57+300*AG57)</f>
      </c>
      <c r="K57" s="563">
        <f t="shared" ref="K57:K72" si="214">(D57/Z57)*1000</f>
      </c>
      <c r="L57" s="564">
        <f t="shared" ref="L57:L72" si="3">AA57/Z57</f>
      </c>
      <c r="M57" s="565">
        <f t="shared" ref="M57:M72" si="96">D57/AB57</f>
      </c>
      <c r="N57" s="566">
        <f t="shared" ref="N57:N72" si="31">AC57/AB57</f>
      </c>
      <c r="O57" s="566">
        <f t="shared" ref="O57:O72" si="461">AD57/AB57</f>
      </c>
      <c r="P57" s="565">
        <f t="shared" ref="P57:P72" si="495">D57/AD57</f>
      </c>
      <c r="Q57" s="566">
        <f t="shared" ref="Q57:Q72" si="362">AE57/AD57</f>
      </c>
      <c r="R57" s="566">
        <f t="shared" ref="R57:R72" si="427">G57/AE57</f>
      </c>
      <c r="S57" s="565">
        <f t="shared" ref="S57:S72" si="183">D57/G57</f>
      </c>
      <c r="T57" s="567">
        <f t="shared" ref="T57:T72" si="242">H57/G57</f>
      </c>
      <c r="U57" s="565">
        <f t="shared" ref="U57:U72" si="65">D57/Y57</f>
      </c>
      <c r="V57" s="568">
        <f t="shared" ref="V57:V72" si="124">AF57*1000/D57</f>
      </c>
      <c r="W57" s="569" t="s">
        <v>335</v>
      </c>
      <c r="X57" s="570" t="s">
        <v>356</v>
      </c>
      <c r="Y57" s="571">
        <v>2</v>
      </c>
      <c r="Z57" s="572">
        <v>14970</v>
      </c>
      <c r="AA57" s="572">
        <v>514</v>
      </c>
      <c r="AB57" s="572">
        <v>725</v>
      </c>
      <c r="AC57" s="572">
        <v>93</v>
      </c>
      <c r="AD57" s="571">
        <v>48</v>
      </c>
      <c r="AE57" s="571">
        <v>8</v>
      </c>
      <c r="AF57" s="571">
        <v>22</v>
      </c>
      <c r="AG57" s="571">
        <v>1</v>
      </c>
      <c r="AI57" s="542"/>
      <c r="AJ57" s="542"/>
      <c r="AK57" s="542"/>
    </row>
    <row r="58">
      <c r="A58" s="557"/>
      <c r="B58" s="558" t="s">
        <v>337</v>
      </c>
      <c r="C58" s="559" t="s">
        <v>334</v>
      </c>
      <c r="D58" s="559">
        <f t="shared" si="279"/>
      </c>
      <c r="E58" s="560">
        <v>2236.83</v>
      </c>
      <c r="F58" s="560">
        <v>513.71</v>
      </c>
      <c r="G58" s="573">
        <v>2</v>
      </c>
      <c r="H58" s="573">
        <v>3216</v>
      </c>
      <c r="I58" s="562">
        <f t="shared" si="399"/>
      </c>
      <c r="J58" s="562">
        <f t="shared" si="155"/>
      </c>
      <c r="K58" s="563">
        <f t="shared" si="214"/>
      </c>
      <c r="L58" s="574">
        <f t="shared" si="3"/>
      </c>
      <c r="M58" s="575">
        <f t="shared" si="96"/>
      </c>
      <c r="N58" s="576">
        <f t="shared" si="31"/>
      </c>
      <c r="O58" s="576">
        <f t="shared" si="461"/>
      </c>
      <c r="P58" s="575">
        <f t="shared" si="495"/>
      </c>
      <c r="Q58" s="576">
        <f t="shared" si="362"/>
      </c>
      <c r="R58" s="576">
        <f t="shared" si="427"/>
      </c>
      <c r="S58" s="577">
        <f t="shared" si="183"/>
      </c>
      <c r="T58" s="578">
        <f t="shared" si="242"/>
      </c>
      <c r="U58" s="579">
        <f t="shared" si="65"/>
      </c>
      <c r="V58" s="580">
        <f t="shared" si="124"/>
      </c>
      <c r="W58" s="581" t="s">
        <v>335</v>
      </c>
      <c r="X58" s="570" t="s">
        <v>356</v>
      </c>
      <c r="Y58" s="583">
        <v>2</v>
      </c>
      <c r="Z58" s="582">
        <v>11830</v>
      </c>
      <c r="AA58" s="582">
        <v>374</v>
      </c>
      <c r="AB58" s="582">
        <v>485</v>
      </c>
      <c r="AC58" s="582">
        <v>73</v>
      </c>
      <c r="AD58" s="582">
        <v>39</v>
      </c>
      <c r="AE58" s="583">
        <v>7</v>
      </c>
      <c r="AF58" s="583">
        <v>13</v>
      </c>
      <c r="AG58" s="583">
        <v>1</v>
      </c>
      <c r="AI58" s="542"/>
      <c r="AJ58" s="542"/>
      <c r="AK58" s="542"/>
    </row>
    <row r="59">
      <c r="A59" s="557"/>
      <c r="B59" s="584" t="s">
        <v>338</v>
      </c>
      <c r="C59" s="559" t="s">
        <v>334</v>
      </c>
      <c r="D59" s="559">
        <f t="shared" si="279"/>
      </c>
      <c r="E59" s="560">
        <v>3123.18</v>
      </c>
      <c r="F59" s="560">
        <v>800.23</v>
      </c>
      <c r="G59" s="573">
        <v>3</v>
      </c>
      <c r="H59" s="573">
        <v>6804</v>
      </c>
      <c r="I59" s="562">
        <f t="shared" si="399"/>
      </c>
      <c r="J59" s="562">
        <f t="shared" si="155"/>
      </c>
      <c r="K59" s="563">
        <f t="shared" si="214"/>
      </c>
      <c r="L59" s="574">
        <f t="shared" si="3"/>
      </c>
      <c r="M59" s="575">
        <f t="shared" si="96"/>
      </c>
      <c r="N59" s="576">
        <f t="shared" si="31"/>
      </c>
      <c r="O59" s="576">
        <f t="shared" si="461"/>
      </c>
      <c r="P59" s="575">
        <f t="shared" si="495"/>
      </c>
      <c r="Q59" s="576">
        <f t="shared" si="362"/>
      </c>
      <c r="R59" s="576">
        <f t="shared" si="427"/>
      </c>
      <c r="S59" s="577">
        <f t="shared" si="183"/>
      </c>
      <c r="T59" s="578">
        <f t="shared" si="242"/>
      </c>
      <c r="U59" s="579">
        <f t="shared" si="65"/>
      </c>
      <c r="V59" s="580">
        <f t="shared" si="124"/>
      </c>
      <c r="W59" s="581" t="s">
        <v>335</v>
      </c>
      <c r="X59" s="570" t="s">
        <v>356</v>
      </c>
      <c r="Y59" s="583">
        <v>3</v>
      </c>
      <c r="Z59" s="582">
        <v>14550</v>
      </c>
      <c r="AA59" s="582">
        <v>451</v>
      </c>
      <c r="AB59" s="582">
        <v>561</v>
      </c>
      <c r="AC59" s="582">
        <v>99</v>
      </c>
      <c r="AD59" s="582">
        <v>60</v>
      </c>
      <c r="AE59" s="583">
        <v>7</v>
      </c>
      <c r="AF59" s="583">
        <v>19</v>
      </c>
      <c r="AG59" s="583">
        <v>1</v>
      </c>
      <c r="AI59" s="542"/>
      <c r="AJ59" s="542"/>
      <c r="AK59" s="542"/>
    </row>
    <row r="60">
      <c r="A60" s="557"/>
      <c r="B60" s="584" t="s">
        <v>339</v>
      </c>
      <c r="C60" s="559" t="s">
        <v>334</v>
      </c>
      <c r="D60" s="559">
        <f t="shared" si="279"/>
      </c>
      <c r="E60" s="560">
        <v>2262.61</v>
      </c>
      <c r="F60" s="560">
        <v>877.45</v>
      </c>
      <c r="G60" s="561">
        <v>0</v>
      </c>
      <c r="H60" s="561">
        <v>0</v>
      </c>
      <c r="I60" s="562">
        <f t="shared" si="399"/>
      </c>
      <c r="J60" s="562">
        <f t="shared" si="155"/>
      </c>
      <c r="K60" s="563">
        <f t="shared" si="214"/>
      </c>
      <c r="L60" s="574">
        <f t="shared" si="3"/>
      </c>
      <c r="M60" s="575">
        <f t="shared" si="96"/>
      </c>
      <c r="N60" s="576">
        <f t="shared" si="31"/>
      </c>
      <c r="O60" s="576">
        <f t="shared" si="461"/>
      </c>
      <c r="P60" s="575">
        <f t="shared" si="495"/>
      </c>
      <c r="Q60" s="576">
        <f t="shared" si="362"/>
      </c>
      <c r="R60" s="576">
        <f t="shared" si="427"/>
      </c>
      <c r="S60" s="577">
        <f t="shared" si="183"/>
      </c>
      <c r="T60" s="585">
        <f t="shared" si="242"/>
      </c>
      <c r="U60" s="577">
        <f t="shared" si="65"/>
      </c>
      <c r="V60" s="580">
        <f t="shared" si="124"/>
      </c>
      <c r="W60" s="581" t="s">
        <v>335</v>
      </c>
      <c r="X60" s="570" t="s">
        <v>356</v>
      </c>
      <c r="Y60" s="583">
        <v>0</v>
      </c>
      <c r="Z60" s="583">
        <v>11871</v>
      </c>
      <c r="AA60" s="583">
        <v>451</v>
      </c>
      <c r="AB60" s="583">
        <v>547</v>
      </c>
      <c r="AC60" s="583">
        <v>81</v>
      </c>
      <c r="AD60" s="583">
        <v>54</v>
      </c>
      <c r="AE60" s="583">
        <v>4</v>
      </c>
      <c r="AF60" s="583">
        <v>16</v>
      </c>
      <c r="AG60" s="583">
        <v>1</v>
      </c>
      <c r="AI60" s="542"/>
      <c r="AJ60" s="542"/>
      <c r="AK60" s="542"/>
    </row>
    <row r="61">
      <c r="A61" s="557"/>
      <c r="B61" s="586" t="s">
        <v>340</v>
      </c>
      <c r="C61" s="586"/>
      <c r="D61" s="587">
        <f>SUM(D57:D60)</f>
      </c>
      <c r="E61" s="587">
        <f>SUM(E57:E60)</f>
      </c>
      <c r="F61" s="587">
        <f>SUM(F57:F60)</f>
      </c>
      <c r="G61" s="587">
        <f>SUM(G57:G60)</f>
      </c>
      <c r="H61" s="587">
        <f>SUM(H57:H60)</f>
      </c>
      <c r="I61" s="588">
        <f t="shared" si="399"/>
      </c>
      <c r="J61" s="588">
        <f t="shared" si="155"/>
      </c>
      <c r="K61" s="589">
        <f t="shared" si="214"/>
      </c>
      <c r="L61" s="590">
        <f t="shared" si="3"/>
      </c>
      <c r="M61" s="591">
        <f t="shared" si="96"/>
      </c>
      <c r="N61" s="592">
        <f t="shared" si="31"/>
      </c>
      <c r="O61" s="592">
        <f t="shared" si="461"/>
      </c>
      <c r="P61" s="591">
        <f t="shared" si="495"/>
      </c>
      <c r="Q61" s="592">
        <f t="shared" si="362"/>
      </c>
      <c r="R61" s="592">
        <f t="shared" si="427"/>
      </c>
      <c r="S61" s="593">
        <f t="shared" si="183"/>
      </c>
      <c r="T61" s="594">
        <f t="shared" si="242"/>
      </c>
      <c r="U61" s="593">
        <f t="shared" si="65"/>
      </c>
      <c r="V61" s="595">
        <f t="shared" si="124"/>
      </c>
      <c r="W61" s="595"/>
      <c r="X61" s="595"/>
      <c r="Y61" s="587">
        <f>SUM(Y57:Y60)</f>
      </c>
      <c r="Z61" s="587">
        <f>SUM(Z57:Z60)</f>
      </c>
      <c r="AA61" s="587">
        <f>SUM(AA57:AA60)</f>
      </c>
      <c r="AB61" s="587">
        <f>SUM(AB57:AB60)</f>
      </c>
      <c r="AC61" s="587">
        <f>SUM(AC57:AC60)</f>
      </c>
      <c r="AD61" s="587">
        <f>SUM(AD57:AD60)</f>
      </c>
      <c r="AE61" s="587">
        <f>SUM(AE57:AE60)</f>
      </c>
      <c r="AF61" s="587">
        <f>SUM(AF57:AF60)</f>
      </c>
      <c r="AG61" s="587">
        <f>SUM(AG57:AG60)</f>
      </c>
      <c r="AI61" s="542"/>
      <c r="AJ61" s="542"/>
      <c r="AK61" s="542"/>
    </row>
    <row r="62">
      <c r="A62" s="557"/>
      <c r="B62" s="584" t="s">
        <v>341</v>
      </c>
      <c r="C62" s="559" t="s">
        <v>342</v>
      </c>
      <c r="D62" s="559">
        <f t="shared" ref="D62:D65" si="280">E62+F62</f>
      </c>
      <c r="E62" s="560">
        <v>1274.75</v>
      </c>
      <c r="F62" s="560">
        <v>935.29</v>
      </c>
      <c r="G62" s="573">
        <v>1</v>
      </c>
      <c r="H62" s="573">
        <v>468</v>
      </c>
      <c r="I62" s="562">
        <f t="shared" si="399"/>
      </c>
      <c r="J62" s="562">
        <f t="shared" si="155"/>
      </c>
      <c r="K62" s="563">
        <f t="shared" si="214"/>
      </c>
      <c r="L62" s="596">
        <f t="shared" si="3"/>
      </c>
      <c r="M62" s="597">
        <f t="shared" si="96"/>
      </c>
      <c r="N62" s="598">
        <f t="shared" si="31"/>
      </c>
      <c r="O62" s="598">
        <f t="shared" si="461"/>
      </c>
      <c r="P62" s="597">
        <f t="shared" si="495"/>
      </c>
      <c r="Q62" s="598">
        <f t="shared" si="362"/>
      </c>
      <c r="R62" s="598">
        <f t="shared" si="427"/>
      </c>
      <c r="S62" s="599">
        <f t="shared" si="183"/>
      </c>
      <c r="T62" s="600">
        <f t="shared" si="242"/>
      </c>
      <c r="U62" s="599">
        <f t="shared" si="65"/>
      </c>
      <c r="V62" s="601">
        <f t="shared" si="124"/>
      </c>
      <c r="W62" s="602" t="s">
        <v>335</v>
      </c>
      <c r="X62" s="570" t="s">
        <v>356</v>
      </c>
      <c r="Y62" s="604">
        <v>1</v>
      </c>
      <c r="Z62" s="603">
        <v>10236</v>
      </c>
      <c r="AA62" s="603">
        <v>416</v>
      </c>
      <c r="AB62" s="603">
        <v>519</v>
      </c>
      <c r="AC62" s="603">
        <v>70</v>
      </c>
      <c r="AD62" s="603">
        <v>27</v>
      </c>
      <c r="AE62" s="604">
        <v>5</v>
      </c>
      <c r="AF62" s="604">
        <v>15</v>
      </c>
      <c r="AG62" s="604">
        <v>1</v>
      </c>
      <c r="AI62" s="542"/>
      <c r="AJ62" s="542"/>
      <c r="AK62" s="542"/>
    </row>
    <row r="63">
      <c r="A63" s="557"/>
      <c r="B63" s="584" t="s">
        <v>343</v>
      </c>
      <c r="C63" s="559" t="s">
        <v>342</v>
      </c>
      <c r="D63" s="559">
        <f t="shared" si="280"/>
      </c>
      <c r="E63" s="560">
        <v>2561.84</v>
      </c>
      <c r="F63" s="560">
        <v>1305</v>
      </c>
      <c r="G63" s="573">
        <v>4</v>
      </c>
      <c r="H63" s="573">
        <v>5112</v>
      </c>
      <c r="I63" s="562">
        <f t="shared" si="399"/>
      </c>
      <c r="J63" s="562">
        <f t="shared" si="155"/>
      </c>
      <c r="K63" s="563">
        <f t="shared" si="214"/>
      </c>
      <c r="L63" s="596">
        <f t="shared" si="3"/>
      </c>
      <c r="M63" s="597">
        <f t="shared" si="96"/>
      </c>
      <c r="N63" s="598">
        <f t="shared" si="31"/>
      </c>
      <c r="O63" s="598">
        <f t="shared" si="461"/>
      </c>
      <c r="P63" s="597">
        <f t="shared" si="495"/>
      </c>
      <c r="Q63" s="598">
        <f t="shared" si="362"/>
      </c>
      <c r="R63" s="598">
        <f t="shared" si="427"/>
      </c>
      <c r="S63" s="599">
        <f t="shared" si="183"/>
      </c>
      <c r="T63" s="600">
        <f t="shared" si="242"/>
      </c>
      <c r="U63" s="599">
        <f t="shared" si="65"/>
      </c>
      <c r="V63" s="601">
        <f t="shared" si="124"/>
      </c>
      <c r="W63" s="602" t="s">
        <v>335</v>
      </c>
      <c r="X63" s="570" t="s">
        <v>356</v>
      </c>
      <c r="Y63" s="604">
        <v>4</v>
      </c>
      <c r="Z63" s="603">
        <v>13873</v>
      </c>
      <c r="AA63" s="603">
        <v>597</v>
      </c>
      <c r="AB63" s="603">
        <v>726</v>
      </c>
      <c r="AC63" s="603">
        <v>101</v>
      </c>
      <c r="AD63" s="603">
        <v>58</v>
      </c>
      <c r="AE63" s="604">
        <v>7</v>
      </c>
      <c r="AF63" s="604">
        <v>14</v>
      </c>
      <c r="AG63" s="604">
        <v>1</v>
      </c>
      <c r="AI63" s="542"/>
      <c r="AJ63" s="542"/>
      <c r="AK63" s="542"/>
    </row>
    <row r="64">
      <c r="A64" s="557"/>
      <c r="B64" s="584" t="s">
        <v>344</v>
      </c>
      <c r="C64" s="559" t="s">
        <v>342</v>
      </c>
      <c r="D64" s="559">
        <f t="shared" si="280"/>
      </c>
      <c r="E64" s="560">
        <v>2476.94</v>
      </c>
      <c r="F64" s="560">
        <v>963.26</v>
      </c>
      <c r="G64" s="561">
        <v>3</v>
      </c>
      <c r="H64" s="561">
        <v>3684</v>
      </c>
      <c r="I64" s="562">
        <f t="shared" si="399"/>
      </c>
      <c r="J64" s="562">
        <f t="shared" si="155"/>
      </c>
      <c r="K64" s="563">
        <f t="shared" si="214"/>
      </c>
      <c r="L64" s="596">
        <f t="shared" si="3"/>
      </c>
      <c r="M64" s="597">
        <f t="shared" si="96"/>
      </c>
      <c r="N64" s="598">
        <f t="shared" si="31"/>
      </c>
      <c r="O64" s="598">
        <f t="shared" si="461"/>
      </c>
      <c r="P64" s="597">
        <f t="shared" si="495"/>
      </c>
      <c r="Q64" s="598">
        <f t="shared" si="362"/>
      </c>
      <c r="R64" s="598">
        <f t="shared" si="427"/>
      </c>
      <c r="S64" s="599">
        <f t="shared" si="183"/>
      </c>
      <c r="T64" s="600">
        <f t="shared" si="242"/>
      </c>
      <c r="U64" s="599">
        <f t="shared" si="65"/>
      </c>
      <c r="V64" s="601">
        <f t="shared" si="124"/>
      </c>
      <c r="W64" s="602" t="s">
        <v>335</v>
      </c>
      <c r="X64" s="570" t="s">
        <v>356</v>
      </c>
      <c r="Y64" s="603">
        <v>3</v>
      </c>
      <c r="Z64" s="603">
        <v>13076</v>
      </c>
      <c r="AA64" s="603">
        <v>516</v>
      </c>
      <c r="AB64" s="603">
        <v>611</v>
      </c>
      <c r="AC64" s="603">
        <v>96</v>
      </c>
      <c r="AD64" s="603">
        <v>54</v>
      </c>
      <c r="AE64" s="604">
        <v>6</v>
      </c>
      <c r="AF64" s="604">
        <v>26</v>
      </c>
      <c r="AG64" s="604">
        <v>1</v>
      </c>
      <c r="AI64" s="542"/>
      <c r="AJ64" s="542"/>
      <c r="AK64" s="542"/>
    </row>
    <row r="65">
      <c r="A65" s="557"/>
      <c r="B65" s="584" t="s">
        <v>345</v>
      </c>
      <c r="C65" s="559" t="s">
        <v>342</v>
      </c>
      <c r="D65" s="559">
        <f t="shared" si="280"/>
      </c>
      <c r="E65" s="560">
        <v>2734.09</v>
      </c>
      <c r="F65" s="560">
        <v>792.69</v>
      </c>
      <c r="G65" s="561">
        <v>4</v>
      </c>
      <c r="H65" s="561">
        <v>7752</v>
      </c>
      <c r="I65" s="562">
        <f t="shared" si="399"/>
      </c>
      <c r="J65" s="562">
        <f t="shared" si="155"/>
      </c>
      <c r="K65" s="563">
        <f t="shared" si="214"/>
      </c>
      <c r="L65" s="596">
        <f t="shared" si="3"/>
      </c>
      <c r="M65" s="597">
        <f t="shared" si="96"/>
      </c>
      <c r="N65" s="598">
        <f t="shared" si="31"/>
      </c>
      <c r="O65" s="598">
        <f t="shared" si="461"/>
      </c>
      <c r="P65" s="597">
        <f t="shared" si="495"/>
      </c>
      <c r="Q65" s="598">
        <f t="shared" si="362"/>
      </c>
      <c r="R65" s="598">
        <f t="shared" si="427"/>
      </c>
      <c r="S65" s="599">
        <f t="shared" si="183"/>
      </c>
      <c r="T65" s="600">
        <f t="shared" si="242"/>
      </c>
      <c r="U65" s="599">
        <f t="shared" si="65"/>
      </c>
      <c r="V65" s="601">
        <f t="shared" si="124"/>
      </c>
      <c r="W65" s="602" t="s">
        <v>335</v>
      </c>
      <c r="X65" s="570" t="s">
        <v>356</v>
      </c>
      <c r="Y65" s="604">
        <v>4</v>
      </c>
      <c r="Z65" s="603">
        <v>16145</v>
      </c>
      <c r="AA65" s="603">
        <v>428</v>
      </c>
      <c r="AB65" s="603">
        <v>511</v>
      </c>
      <c r="AC65" s="603">
        <v>78</v>
      </c>
      <c r="AD65" s="603">
        <v>57</v>
      </c>
      <c r="AE65" s="604">
        <v>8</v>
      </c>
      <c r="AF65" s="604">
        <v>15</v>
      </c>
      <c r="AG65" s="604">
        <v>1</v>
      </c>
      <c r="AI65" s="542"/>
      <c r="AJ65" s="542"/>
      <c r="AK65" s="542"/>
    </row>
    <row r="66">
      <c r="A66" s="557"/>
      <c r="B66" s="586" t="s">
        <v>340</v>
      </c>
      <c r="C66" s="586"/>
      <c r="D66" s="587">
        <f>SUM(D62:D65)</f>
      </c>
      <c r="E66" s="587">
        <f>SUM(E62:E65)</f>
      </c>
      <c r="F66" s="587">
        <f>SUM(F62:F65)</f>
      </c>
      <c r="G66" s="587">
        <f>SUM(G62:G65)</f>
      </c>
      <c r="H66" s="587">
        <f>SUM(H62:H65)</f>
      </c>
      <c r="I66" s="588">
        <f t="shared" si="399"/>
      </c>
      <c r="J66" s="588">
        <f t="shared" si="155"/>
      </c>
      <c r="K66" s="589">
        <f t="shared" si="214"/>
      </c>
      <c r="L66" s="590">
        <f t="shared" si="3"/>
      </c>
      <c r="M66" s="591">
        <f t="shared" si="96"/>
      </c>
      <c r="N66" s="592">
        <f t="shared" si="31"/>
      </c>
      <c r="O66" s="592">
        <f t="shared" si="461"/>
      </c>
      <c r="P66" s="591">
        <f t="shared" si="495"/>
      </c>
      <c r="Q66" s="592">
        <f t="shared" si="362"/>
      </c>
      <c r="R66" s="592">
        <f t="shared" si="427"/>
      </c>
      <c r="S66" s="593">
        <f t="shared" si="183"/>
      </c>
      <c r="T66" s="594">
        <f t="shared" si="242"/>
      </c>
      <c r="U66" s="593">
        <f t="shared" si="65"/>
      </c>
      <c r="V66" s="595">
        <f t="shared" si="124"/>
      </c>
      <c r="W66" s="595"/>
      <c r="X66" s="595"/>
      <c r="Y66" s="587">
        <f>SUM(Y62:Y65)</f>
      </c>
      <c r="Z66" s="587">
        <f>SUM(Z62:Z65)</f>
      </c>
      <c r="AA66" s="587">
        <f>SUM(AA62:AA65)</f>
      </c>
      <c r="AB66" s="587">
        <f>SUM(AB62:AB65)</f>
      </c>
      <c r="AC66" s="587">
        <f>SUM(AC62:AC65)</f>
      </c>
      <c r="AD66" s="587">
        <f>SUM(AD62:AD65)</f>
      </c>
      <c r="AE66" s="587">
        <f>SUM(AE62:AE65)</f>
      </c>
      <c r="AF66" s="587">
        <f>SUM(AF62:AF65)</f>
      </c>
      <c r="AG66" s="587">
        <f>SUM(AG62:AG65)</f>
      </c>
      <c r="AI66" s="542"/>
      <c r="AJ66" s="542"/>
      <c r="AK66" s="542"/>
    </row>
    <row r="67">
      <c r="A67" s="557"/>
      <c r="B67" s="584" t="s">
        <v>346</v>
      </c>
      <c r="C67" s="559" t="s">
        <v>347</v>
      </c>
      <c r="D67" s="559">
        <f t="shared" ref="D67:D70" si="281">E67+F67</f>
      </c>
      <c r="E67" s="560">
        <v>2820.8</v>
      </c>
      <c r="F67" s="560">
        <v>459.05</v>
      </c>
      <c r="G67" s="561">
        <v>2</v>
      </c>
      <c r="H67" s="561">
        <v>3216</v>
      </c>
      <c r="I67" s="562">
        <f t="shared" si="399"/>
      </c>
      <c r="J67" s="562">
        <f t="shared" si="155"/>
      </c>
      <c r="K67" s="605">
        <f t="shared" si="214"/>
      </c>
      <c r="L67" s="596">
        <f t="shared" si="3"/>
      </c>
      <c r="M67" s="597">
        <f t="shared" si="96"/>
      </c>
      <c r="N67" s="598">
        <f t="shared" si="31"/>
      </c>
      <c r="O67" s="598">
        <f t="shared" si="461"/>
      </c>
      <c r="P67" s="597">
        <f t="shared" si="495"/>
      </c>
      <c r="Q67" s="598">
        <f t="shared" si="362"/>
      </c>
      <c r="R67" s="598">
        <f t="shared" si="427"/>
      </c>
      <c r="S67" s="599">
        <f t="shared" si="183"/>
      </c>
      <c r="T67" s="600">
        <f t="shared" si="242"/>
      </c>
      <c r="U67" s="599">
        <f t="shared" si="65"/>
      </c>
      <c r="V67" s="601">
        <f t="shared" si="124"/>
      </c>
      <c r="W67" s="602" t="s">
        <v>335</v>
      </c>
      <c r="X67" s="570" t="s">
        <v>357</v>
      </c>
      <c r="Y67" s="604">
        <v>2</v>
      </c>
      <c r="Z67" s="603">
        <v>14652</v>
      </c>
      <c r="AA67" s="603">
        <v>355</v>
      </c>
      <c r="AB67" s="603">
        <v>394</v>
      </c>
      <c r="AC67" s="603">
        <v>62</v>
      </c>
      <c r="AD67" s="603">
        <v>38</v>
      </c>
      <c r="AE67" s="604">
        <v>5</v>
      </c>
      <c r="AF67" s="604">
        <v>7</v>
      </c>
      <c r="AG67" s="604">
        <v>1</v>
      </c>
      <c r="AI67" s="542"/>
      <c r="AJ67" s="542"/>
      <c r="AK67" s="542"/>
    </row>
    <row r="68">
      <c r="A68" s="557"/>
      <c r="B68" s="584" t="s">
        <v>349</v>
      </c>
      <c r="C68" s="559" t="s">
        <v>347</v>
      </c>
      <c r="D68" s="559">
        <f t="shared" si="281"/>
      </c>
      <c r="E68" s="560">
        <v>3064.24</v>
      </c>
      <c r="F68" s="560">
        <v>672.94</v>
      </c>
      <c r="G68" s="561">
        <v>6</v>
      </c>
      <c r="H68" s="561">
        <v>10488</v>
      </c>
      <c r="I68" s="562">
        <f t="shared" si="399"/>
      </c>
      <c r="J68" s="562">
        <f t="shared" si="155"/>
      </c>
      <c r="K68" s="605">
        <f t="shared" si="214"/>
      </c>
      <c r="L68" s="596">
        <f t="shared" si="3"/>
      </c>
      <c r="M68" s="597">
        <f t="shared" si="96"/>
      </c>
      <c r="N68" s="598">
        <f t="shared" si="31"/>
      </c>
      <c r="O68" s="598">
        <f t="shared" si="461"/>
      </c>
      <c r="P68" s="597">
        <f t="shared" si="495"/>
      </c>
      <c r="Q68" s="598">
        <f t="shared" si="362"/>
      </c>
      <c r="R68" s="598">
        <f t="shared" si="427"/>
      </c>
      <c r="S68" s="599">
        <f t="shared" si="183"/>
      </c>
      <c r="T68" s="600">
        <f t="shared" si="242"/>
      </c>
      <c r="U68" s="599">
        <f t="shared" si="65"/>
      </c>
      <c r="V68" s="601">
        <f t="shared" si="124"/>
      </c>
      <c r="W68" s="602" t="s">
        <v>335</v>
      </c>
      <c r="X68" s="570" t="s">
        <v>357</v>
      </c>
      <c r="Y68" s="604">
        <v>6</v>
      </c>
      <c r="Z68" s="603">
        <v>15522</v>
      </c>
      <c r="AA68" s="603">
        <v>370</v>
      </c>
      <c r="AB68" s="603">
        <v>425</v>
      </c>
      <c r="AC68" s="603">
        <v>94</v>
      </c>
      <c r="AD68" s="604">
        <v>36</v>
      </c>
      <c r="AE68" s="604">
        <v>11</v>
      </c>
      <c r="AF68" s="604">
        <v>29</v>
      </c>
      <c r="AG68" s="604">
        <v>1</v>
      </c>
      <c r="AI68" s="542"/>
      <c r="AJ68" s="542"/>
      <c r="AK68" s="542"/>
    </row>
    <row r="69">
      <c r="A69" s="557"/>
      <c r="B69" s="558" t="s">
        <v>350</v>
      </c>
      <c r="C69" s="559" t="s">
        <v>347</v>
      </c>
      <c r="D69" s="559">
        <f t="shared" si="281"/>
      </c>
      <c r="E69" s="560">
        <v>3437.13</v>
      </c>
      <c r="F69" s="560">
        <v>590.47</v>
      </c>
      <c r="G69" s="561">
        <v>3</v>
      </c>
      <c r="H69" s="561">
        <v>5484</v>
      </c>
      <c r="I69" s="562">
        <f t="shared" si="399"/>
      </c>
      <c r="J69" s="562">
        <f t="shared" si="155"/>
      </c>
      <c r="K69" s="605">
        <f t="shared" si="214"/>
      </c>
      <c r="L69" s="596">
        <f t="shared" si="3"/>
      </c>
      <c r="M69" s="597">
        <f t="shared" si="96"/>
      </c>
      <c r="N69" s="598">
        <f t="shared" si="31"/>
      </c>
      <c r="O69" s="598">
        <f t="shared" si="461"/>
      </c>
      <c r="P69" s="597">
        <f t="shared" si="495"/>
      </c>
      <c r="Q69" s="598">
        <f t="shared" si="362"/>
      </c>
      <c r="R69" s="598">
        <f t="shared" si="427"/>
      </c>
      <c r="S69" s="599">
        <f t="shared" si="183"/>
      </c>
      <c r="T69" s="600">
        <f t="shared" si="242"/>
      </c>
      <c r="U69" s="599">
        <f t="shared" si="65"/>
      </c>
      <c r="V69" s="601">
        <f t="shared" si="124"/>
      </c>
      <c r="W69" s="602" t="s">
        <v>335</v>
      </c>
      <c r="X69" s="570" t="s">
        <v>357</v>
      </c>
      <c r="Y69" s="604">
        <v>3</v>
      </c>
      <c r="Z69" s="603">
        <v>19308</v>
      </c>
      <c r="AA69" s="603">
        <v>431</v>
      </c>
      <c r="AB69" s="603">
        <v>479</v>
      </c>
      <c r="AC69" s="603">
        <v>93</v>
      </c>
      <c r="AD69" s="604">
        <v>40</v>
      </c>
      <c r="AE69" s="604">
        <v>6</v>
      </c>
      <c r="AF69" s="604">
        <v>24</v>
      </c>
      <c r="AG69" s="604">
        <v>1</v>
      </c>
      <c r="AI69" s="542"/>
      <c r="AJ69" s="542"/>
      <c r="AK69" s="542"/>
    </row>
    <row r="70">
      <c r="A70" s="557"/>
      <c r="B70" s="558" t="s">
        <v>351</v>
      </c>
      <c r="C70" s="559" t="s">
        <v>347</v>
      </c>
      <c r="D70" s="559">
        <f t="shared" si="281"/>
      </c>
      <c r="E70" s="560">
        <v>2732.25</v>
      </c>
      <c r="F70" s="560">
        <v>134.64</v>
      </c>
      <c r="G70" s="561">
        <v>2</v>
      </c>
      <c r="H70" s="561">
        <v>3216</v>
      </c>
      <c r="I70" s="562">
        <f t="shared" si="399"/>
      </c>
      <c r="J70" s="562">
        <f t="shared" si="155"/>
      </c>
      <c r="K70" s="605">
        <f t="shared" si="214"/>
      </c>
      <c r="L70" s="596">
        <f t="shared" si="3"/>
      </c>
      <c r="M70" s="597">
        <f t="shared" si="96"/>
      </c>
      <c r="N70" s="598">
        <f t="shared" si="31"/>
      </c>
      <c r="O70" s="598">
        <f t="shared" si="461"/>
      </c>
      <c r="P70" s="597">
        <f t="shared" si="495"/>
      </c>
      <c r="Q70" s="598">
        <f t="shared" si="362"/>
      </c>
      <c r="R70" s="598">
        <f t="shared" si="427"/>
      </c>
      <c r="S70" s="599">
        <f t="shared" si="183"/>
      </c>
      <c r="T70" s="600">
        <f t="shared" si="242"/>
      </c>
      <c r="U70" s="599">
        <f t="shared" si="65"/>
      </c>
      <c r="V70" s="601">
        <f t="shared" si="124"/>
      </c>
      <c r="W70" s="602" t="s">
        <v>335</v>
      </c>
      <c r="X70" s="570" t="s">
        <v>357</v>
      </c>
      <c r="Y70" s="604">
        <v>2</v>
      </c>
      <c r="Z70" s="603">
        <v>12648</v>
      </c>
      <c r="AA70" s="603">
        <v>252</v>
      </c>
      <c r="AB70" s="603">
        <v>292</v>
      </c>
      <c r="AC70" s="603">
        <v>78</v>
      </c>
      <c r="AD70" s="603">
        <v>23</v>
      </c>
      <c r="AE70" s="604">
        <v>2</v>
      </c>
      <c r="AF70" s="604">
        <v>13</v>
      </c>
      <c r="AG70" s="604">
        <v>1</v>
      </c>
      <c r="AI70" s="542"/>
      <c r="AJ70" s="542"/>
      <c r="AK70" s="542"/>
    </row>
    <row r="71">
      <c r="A71" s="557"/>
      <c r="B71" s="586" t="s">
        <v>340</v>
      </c>
      <c r="C71" s="586"/>
      <c r="D71" s="587">
        <f>SUM(D67:D70)</f>
      </c>
      <c r="E71" s="587">
        <f>SUM(E67:E70)</f>
      </c>
      <c r="F71" s="587">
        <f>SUM(F67:F70)</f>
      </c>
      <c r="G71" s="587">
        <f>SUM(G67:G70)</f>
      </c>
      <c r="H71" s="587">
        <f>SUM(H67:H70)</f>
      </c>
      <c r="I71" s="588">
        <f t="shared" si="399"/>
      </c>
      <c r="J71" s="588">
        <f t="shared" si="155"/>
      </c>
      <c r="K71" s="606">
        <f t="shared" si="214"/>
      </c>
      <c r="L71" s="590">
        <f t="shared" si="3"/>
      </c>
      <c r="M71" s="591">
        <f t="shared" si="96"/>
      </c>
      <c r="N71" s="592">
        <f t="shared" si="31"/>
      </c>
      <c r="O71" s="592">
        <f t="shared" si="461"/>
      </c>
      <c r="P71" s="591">
        <f t="shared" si="495"/>
      </c>
      <c r="Q71" s="592">
        <f t="shared" si="362"/>
      </c>
      <c r="R71" s="592">
        <f t="shared" si="427"/>
      </c>
      <c r="S71" s="593">
        <f t="shared" si="183"/>
      </c>
      <c r="T71" s="594">
        <f t="shared" si="242"/>
      </c>
      <c r="U71" s="593">
        <f t="shared" si="65"/>
      </c>
      <c r="V71" s="595">
        <f t="shared" si="124"/>
      </c>
      <c r="W71" s="595"/>
      <c r="X71" s="595"/>
      <c r="Y71" s="587">
        <f>SUM(Y67:Y70)</f>
      </c>
      <c r="Z71" s="587">
        <f>SUM(Z67:Z70)</f>
      </c>
      <c r="AA71" s="587">
        <f>SUM(AA67:AA70)</f>
      </c>
      <c r="AB71" s="587">
        <f>SUM(AB67:AB70)</f>
      </c>
      <c r="AC71" s="587">
        <f>SUM(AC67:AC70)</f>
      </c>
      <c r="AD71" s="587">
        <f>SUM(AD67:AD70)</f>
      </c>
      <c r="AE71" s="587">
        <f>SUM(AE67:AE70)</f>
      </c>
      <c r="AF71" s="587">
        <f>SUM(AF67:AF70)</f>
      </c>
      <c r="AG71" s="587">
        <f>SUM(AG67:AG70)</f>
      </c>
      <c r="AI71" s="542"/>
      <c r="AJ71" s="542"/>
      <c r="AK71" s="542"/>
    </row>
    <row r="72">
      <c r="A72" s="557"/>
      <c r="B72" s="607" t="s">
        <v>352</v>
      </c>
      <c r="C72" s="607"/>
      <c r="D72" s="607">
        <f>D61+D71+D66</f>
      </c>
      <c r="E72" s="607">
        <f>E61+E71+E66</f>
      </c>
      <c r="F72" s="607">
        <f>F61+F71+F66</f>
      </c>
      <c r="G72" s="607">
        <f>G61+G71+G66</f>
      </c>
      <c r="H72" s="607">
        <f>H61+H71+H66</f>
      </c>
      <c r="I72" s="608">
        <f t="shared" si="399"/>
      </c>
      <c r="J72" s="608">
        <f t="shared" si="155"/>
      </c>
      <c r="K72" s="609">
        <f t="shared" si="214"/>
      </c>
      <c r="L72" s="610">
        <f t="shared" si="3"/>
      </c>
      <c r="M72" s="611">
        <f t="shared" si="96"/>
      </c>
      <c r="N72" s="612">
        <f t="shared" si="31"/>
      </c>
      <c r="O72" s="612">
        <f t="shared" si="461"/>
      </c>
      <c r="P72" s="611">
        <f t="shared" si="495"/>
      </c>
      <c r="Q72" s="612">
        <f t="shared" si="362"/>
      </c>
      <c r="R72" s="612">
        <f t="shared" si="427"/>
      </c>
      <c r="S72" s="611">
        <f t="shared" si="183"/>
      </c>
      <c r="T72" s="613">
        <f t="shared" si="242"/>
      </c>
      <c r="U72" s="611">
        <f t="shared" si="65"/>
      </c>
      <c r="V72" s="609">
        <f t="shared" si="124"/>
      </c>
      <c r="W72" s="609"/>
      <c r="X72" s="609"/>
      <c r="Y72" s="607">
        <f>Y61+Y71+Y66</f>
      </c>
      <c r="Z72" s="607">
        <f>Z61+Z71+Z66</f>
      </c>
      <c r="AA72" s="607">
        <f>AA61+AA71+AA66</f>
      </c>
      <c r="AB72" s="607">
        <f>AB61+AB71+AB66</f>
      </c>
      <c r="AC72" s="607">
        <f>AC61+AC71+AC66</f>
      </c>
      <c r="AD72" s="607">
        <f>AD61+AD71+AD66</f>
      </c>
      <c r="AE72" s="607">
        <f>AE61+AE71+AE66</f>
      </c>
      <c r="AF72" s="607">
        <f>AF61+AF71+AF66</f>
      </c>
      <c r="AG72" s="607">
        <f>AG61+AG71+AG66</f>
      </c>
      <c r="AI72" s="542"/>
      <c r="AJ72" s="542"/>
      <c r="AK72" s="542"/>
    </row>
    <row r="73">
      <c r="A73" s="538" t="s">
        <v>295</v>
      </c>
      <c r="B73" s="538"/>
      <c r="C73" s="538"/>
      <c r="D73" s="539" t="s">
        <v>296</v>
      </c>
      <c r="E73" s="539"/>
      <c r="F73" s="539"/>
      <c r="G73" s="539"/>
      <c r="H73" s="539"/>
      <c r="I73" s="539"/>
      <c r="J73" s="539"/>
      <c r="K73" s="540" t="s">
        <v>297</v>
      </c>
      <c r="L73" s="540"/>
      <c r="M73" s="540"/>
      <c r="N73" s="540"/>
      <c r="O73" s="540"/>
      <c r="P73" s="540"/>
      <c r="Q73" s="540"/>
      <c r="R73" s="540"/>
      <c r="S73" s="540"/>
      <c r="T73" s="540"/>
      <c r="U73" s="540"/>
      <c r="V73" s="540"/>
      <c r="W73" s="540"/>
      <c r="X73" s="540"/>
      <c r="Y73" s="541" t="s">
        <v>298</v>
      </c>
      <c r="Z73" s="541"/>
      <c r="AA73" s="541"/>
      <c r="AB73" s="541"/>
      <c r="AC73" s="541"/>
      <c r="AD73" s="541"/>
      <c r="AE73" s="541"/>
      <c r="AF73" s="541"/>
      <c r="AG73" s="541"/>
      <c r="AI73" s="542"/>
      <c r="AJ73" s="542"/>
      <c r="AK73" s="542"/>
    </row>
    <row r="74">
      <c r="A74" s="543" t="s">
        <v>299</v>
      </c>
      <c r="B74" s="544" t="s">
        <v>300</v>
      </c>
      <c r="C74" s="544" t="s">
        <v>301</v>
      </c>
      <c r="D74" s="545" t="s">
        <v>302</v>
      </c>
      <c r="E74" s="546" t="s">
        <v>303</v>
      </c>
      <c r="F74" s="546" t="s">
        <v>304</v>
      </c>
      <c r="G74" s="547" t="s">
        <v>305</v>
      </c>
      <c r="H74" s="548" t="s">
        <v>306</v>
      </c>
      <c r="I74" s="549" t="s">
        <v>307</v>
      </c>
      <c r="J74" s="550" t="s">
        <v>308</v>
      </c>
      <c r="K74" s="551" t="s">
        <v>309</v>
      </c>
      <c r="L74" s="540" t="s">
        <v>310</v>
      </c>
      <c r="M74" s="540" t="s">
        <v>311</v>
      </c>
      <c r="N74" s="552" t="s">
        <v>312</v>
      </c>
      <c r="O74" s="552" t="s">
        <v>313</v>
      </c>
      <c r="P74" s="540" t="s">
        <v>314</v>
      </c>
      <c r="Q74" s="552" t="s">
        <v>315</v>
      </c>
      <c r="R74" s="552" t="s">
        <v>316</v>
      </c>
      <c r="S74" s="540" t="s">
        <v>317</v>
      </c>
      <c r="T74" s="552" t="s">
        <v>318</v>
      </c>
      <c r="U74" s="540" t="s">
        <v>319</v>
      </c>
      <c r="V74" s="553" t="s">
        <v>320</v>
      </c>
      <c r="W74" s="553" t="s">
        <v>321</v>
      </c>
      <c r="X74" s="553" t="s">
        <v>322</v>
      </c>
      <c r="Y74" s="554" t="s">
        <v>323</v>
      </c>
      <c r="Z74" s="555" t="s">
        <v>324</v>
      </c>
      <c r="AA74" s="555" t="s">
        <v>325</v>
      </c>
      <c r="AB74" s="555" t="s">
        <v>326</v>
      </c>
      <c r="AC74" s="555" t="s">
        <v>327</v>
      </c>
      <c r="AD74" s="555" t="s">
        <v>328</v>
      </c>
      <c r="AE74" s="555" t="s">
        <v>329</v>
      </c>
      <c r="AF74" s="555" t="s">
        <v>330</v>
      </c>
      <c r="AG74" s="556" t="s">
        <v>331</v>
      </c>
      <c r="AI74" s="542"/>
      <c r="AJ74" s="542"/>
      <c r="AK74" s="542"/>
    </row>
    <row r="75">
      <c r="A75" s="557" t="s">
        <v>358</v>
      </c>
      <c r="B75" s="558" t="s">
        <v>333</v>
      </c>
      <c r="C75" s="559" t="s">
        <v>334</v>
      </c>
      <c r="D75" s="559">
        <f t="shared" ref="D75:D78" si="282">E75+F75</f>
      </c>
      <c r="E75" s="560">
        <v>2500</v>
      </c>
      <c r="F75" s="560">
        <v>1300</v>
      </c>
      <c r="G75" s="561">
        <v>3</v>
      </c>
      <c r="H75" s="561">
        <v>5484</v>
      </c>
      <c r="I75" s="562">
        <f t="shared" ref="I75:I90" si="400">H75/D75</f>
      </c>
      <c r="J75" s="562">
        <f t="shared" ref="J75:J90" si="156">H75/(D75+300*AG75)</f>
      </c>
      <c r="K75" s="563">
        <f t="shared" ref="K75:K90" si="215">(D75/Z75)*1000</f>
      </c>
      <c r="L75" s="564">
        <f t="shared" ref="L75:L90" si="4">AA75/Z75</f>
      </c>
      <c r="M75" s="565">
        <f t="shared" ref="M75:M90" si="97">D75/AB75</f>
      </c>
      <c r="N75" s="566">
        <f t="shared" ref="N75:N90" si="32">AC75/AB75</f>
      </c>
      <c r="O75" s="566">
        <f t="shared" ref="O75:O90" si="462">AD75/AB75</f>
      </c>
      <c r="P75" s="565">
        <f t="shared" ref="P75:P90" si="496">D75/AD75</f>
      </c>
      <c r="Q75" s="566">
        <f t="shared" ref="Q75:Q90" si="363">AE75/AD75</f>
      </c>
      <c r="R75" s="566">
        <f t="shared" ref="R75:R90" si="428">G75/AE75</f>
      </c>
      <c r="S75" s="565">
        <f t="shared" ref="S75:S90" si="184">D75/G75</f>
      </c>
      <c r="T75" s="567">
        <f t="shared" ref="T75:T90" si="243">H75/G75</f>
      </c>
      <c r="U75" s="565">
        <f t="shared" ref="U75:U90" si="66">D75/Y75</f>
      </c>
      <c r="V75" s="568">
        <f t="shared" ref="V75:V90" si="125">AF75*1000/D75</f>
      </c>
      <c r="W75" s="569" t="s">
        <v>335</v>
      </c>
      <c r="X75" s="570" t="s">
        <v>356</v>
      </c>
      <c r="Y75" s="571">
        <v>2</v>
      </c>
      <c r="Z75" s="572">
        <v>17656</v>
      </c>
      <c r="AA75" s="572">
        <v>733</v>
      </c>
      <c r="AB75" s="572">
        <v>915</v>
      </c>
      <c r="AC75" s="572">
        <v>123</v>
      </c>
      <c r="AD75" s="571">
        <v>33</v>
      </c>
      <c r="AE75" s="571">
        <v>9</v>
      </c>
      <c r="AF75" s="571">
        <v>26</v>
      </c>
      <c r="AG75" s="571">
        <v>1</v>
      </c>
      <c r="AI75" s="542"/>
      <c r="AJ75" s="542"/>
      <c r="AK75" s="542"/>
    </row>
    <row r="76">
      <c r="A76" s="557"/>
      <c r="B76" s="558" t="s">
        <v>337</v>
      </c>
      <c r="C76" s="559" t="s">
        <v>334</v>
      </c>
      <c r="D76" s="559">
        <f t="shared" si="282"/>
      </c>
      <c r="E76" s="560">
        <v>1020.13</v>
      </c>
      <c r="F76" s="560">
        <v>467.53</v>
      </c>
      <c r="G76" s="573">
        <v>3</v>
      </c>
      <c r="H76" s="573">
        <v>3976</v>
      </c>
      <c r="I76" s="562">
        <f t="shared" si="400"/>
      </c>
      <c r="J76" s="562">
        <f t="shared" si="156"/>
      </c>
      <c r="K76" s="563">
        <f t="shared" si="215"/>
      </c>
      <c r="L76" s="574">
        <f t="shared" si="4"/>
      </c>
      <c r="M76" s="575">
        <f t="shared" si="97"/>
      </c>
      <c r="N76" s="576">
        <f t="shared" si="32"/>
      </c>
      <c r="O76" s="576">
        <f t="shared" si="462"/>
      </c>
      <c r="P76" s="575">
        <f t="shared" si="496"/>
      </c>
      <c r="Q76" s="576">
        <f t="shared" si="363"/>
      </c>
      <c r="R76" s="576">
        <f t="shared" si="428"/>
      </c>
      <c r="S76" s="577">
        <f t="shared" si="184"/>
      </c>
      <c r="T76" s="578">
        <f t="shared" si="243"/>
      </c>
      <c r="U76" s="579">
        <f t="shared" si="66"/>
      </c>
      <c r="V76" s="580">
        <f t="shared" si="125"/>
      </c>
      <c r="W76" s="581" t="s">
        <v>335</v>
      </c>
      <c r="X76" s="570" t="s">
        <v>356</v>
      </c>
      <c r="Y76" s="583">
        <v>3</v>
      </c>
      <c r="Z76" s="582">
        <v>5575</v>
      </c>
      <c r="AA76" s="582">
        <v>184</v>
      </c>
      <c r="AB76" s="582">
        <v>198</v>
      </c>
      <c r="AC76" s="582">
        <v>31</v>
      </c>
      <c r="AD76" s="582">
        <v>33</v>
      </c>
      <c r="AE76" s="583">
        <v>5</v>
      </c>
      <c r="AF76" s="583">
        <v>10</v>
      </c>
      <c r="AG76" s="583">
        <v>1</v>
      </c>
      <c r="AI76" s="542"/>
      <c r="AJ76" s="542"/>
      <c r="AK76" s="542"/>
    </row>
    <row r="77">
      <c r="A77" s="557"/>
      <c r="B77" s="584" t="s">
        <v>338</v>
      </c>
      <c r="C77" s="559" t="s">
        <v>334</v>
      </c>
      <c r="D77" s="559">
        <f t="shared" si="282"/>
      </c>
      <c r="E77" s="560">
        <v>2774.15</v>
      </c>
      <c r="F77" s="560">
        <v>1108.14</v>
      </c>
      <c r="G77" s="573">
        <v>5</v>
      </c>
      <c r="H77" s="573">
        <v>8512</v>
      </c>
      <c r="I77" s="562">
        <f t="shared" si="400"/>
      </c>
      <c r="J77" s="562">
        <f t="shared" si="156"/>
      </c>
      <c r="K77" s="563">
        <f t="shared" si="215"/>
      </c>
      <c r="L77" s="574">
        <f t="shared" si="4"/>
      </c>
      <c r="M77" s="575">
        <f t="shared" si="97"/>
      </c>
      <c r="N77" s="576">
        <f t="shared" si="32"/>
      </c>
      <c r="O77" s="576">
        <f t="shared" si="462"/>
      </c>
      <c r="P77" s="575">
        <f t="shared" si="496"/>
      </c>
      <c r="Q77" s="576">
        <f t="shared" si="363"/>
      </c>
      <c r="R77" s="576">
        <f t="shared" si="428"/>
      </c>
      <c r="S77" s="577">
        <f t="shared" si="184"/>
      </c>
      <c r="T77" s="578">
        <f t="shared" si="243"/>
      </c>
      <c r="U77" s="579">
        <f t="shared" si="66"/>
      </c>
      <c r="V77" s="580">
        <f t="shared" si="125"/>
      </c>
      <c r="W77" s="581" t="s">
        <v>335</v>
      </c>
      <c r="X77" s="570" t="s">
        <v>356</v>
      </c>
      <c r="Y77" s="583">
        <v>5</v>
      </c>
      <c r="Z77" s="582">
        <v>18107</v>
      </c>
      <c r="AA77" s="582">
        <v>666</v>
      </c>
      <c r="AB77" s="582">
        <v>747</v>
      </c>
      <c r="AC77" s="582">
        <v>101</v>
      </c>
      <c r="AD77" s="582">
        <v>43</v>
      </c>
      <c r="AE77" s="583">
        <v>7</v>
      </c>
      <c r="AF77" s="583">
        <v>20</v>
      </c>
      <c r="AG77" s="583">
        <v>1</v>
      </c>
      <c r="AI77" s="542"/>
      <c r="AJ77" s="542"/>
      <c r="AK77" s="542"/>
    </row>
    <row r="78">
      <c r="A78" s="557"/>
      <c r="B78" s="584" t="s">
        <v>339</v>
      </c>
      <c r="C78" s="559" t="s">
        <v>334</v>
      </c>
      <c r="D78" s="559">
        <f t="shared" si="282"/>
      </c>
      <c r="E78" s="560">
        <v>2452.47</v>
      </c>
      <c r="F78" s="560">
        <v>1525.32</v>
      </c>
      <c r="G78" s="561">
        <v>2</v>
      </c>
      <c r="H78" s="561">
        <v>4536</v>
      </c>
      <c r="I78" s="562">
        <f t="shared" si="400"/>
      </c>
      <c r="J78" s="562">
        <f t="shared" si="156"/>
      </c>
      <c r="K78" s="563">
        <f t="shared" si="215"/>
      </c>
      <c r="L78" s="574">
        <f t="shared" si="4"/>
      </c>
      <c r="M78" s="575">
        <f t="shared" si="97"/>
      </c>
      <c r="N78" s="576">
        <f t="shared" si="32"/>
      </c>
      <c r="O78" s="576">
        <f t="shared" si="462"/>
      </c>
      <c r="P78" s="575">
        <f t="shared" si="496"/>
      </c>
      <c r="Q78" s="576">
        <f t="shared" si="363"/>
      </c>
      <c r="R78" s="576">
        <f t="shared" si="428"/>
      </c>
      <c r="S78" s="577">
        <f t="shared" si="184"/>
      </c>
      <c r="T78" s="585">
        <f t="shared" si="243"/>
      </c>
      <c r="U78" s="577">
        <f t="shared" si="66"/>
      </c>
      <c r="V78" s="580">
        <f t="shared" si="125"/>
      </c>
      <c r="W78" s="581" t="s">
        <v>335</v>
      </c>
      <c r="X78" s="570" t="s">
        <v>356</v>
      </c>
      <c r="Y78" s="583">
        <v>2</v>
      </c>
      <c r="Z78" s="583">
        <v>21500</v>
      </c>
      <c r="AA78" s="583">
        <v>771</v>
      </c>
      <c r="AB78" s="583">
        <v>969</v>
      </c>
      <c r="AC78" s="583">
        <v>86</v>
      </c>
      <c r="AD78" s="583">
        <v>47</v>
      </c>
      <c r="AE78" s="583">
        <v>4</v>
      </c>
      <c r="AF78" s="583">
        <v>15</v>
      </c>
      <c r="AG78" s="583">
        <v>1</v>
      </c>
      <c r="AI78" s="542"/>
      <c r="AJ78" s="542"/>
      <c r="AK78" s="542"/>
    </row>
    <row r="79">
      <c r="A79" s="557"/>
      <c r="B79" s="586" t="s">
        <v>340</v>
      </c>
      <c r="C79" s="586"/>
      <c r="D79" s="587">
        <f>SUM(D75:D78)</f>
      </c>
      <c r="E79" s="587">
        <f>SUM(E75:E78)</f>
      </c>
      <c r="F79" s="587">
        <f>SUM(F75:F78)</f>
      </c>
      <c r="G79" s="587">
        <f>SUM(G75:G78)</f>
      </c>
      <c r="H79" s="587">
        <f>SUM(H75:H78)</f>
      </c>
      <c r="I79" s="588">
        <f t="shared" si="400"/>
      </c>
      <c r="J79" s="588">
        <f t="shared" si="156"/>
      </c>
      <c r="K79" s="589">
        <f t="shared" si="215"/>
      </c>
      <c r="L79" s="590">
        <f t="shared" si="4"/>
      </c>
      <c r="M79" s="591">
        <f t="shared" si="97"/>
      </c>
      <c r="N79" s="592">
        <f t="shared" si="32"/>
      </c>
      <c r="O79" s="592">
        <f t="shared" si="462"/>
      </c>
      <c r="P79" s="591">
        <f t="shared" si="496"/>
      </c>
      <c r="Q79" s="592">
        <f t="shared" si="363"/>
      </c>
      <c r="R79" s="592">
        <f t="shared" si="428"/>
      </c>
      <c r="S79" s="593">
        <f t="shared" si="184"/>
      </c>
      <c r="T79" s="594">
        <f t="shared" si="243"/>
      </c>
      <c r="U79" s="593">
        <f t="shared" si="66"/>
      </c>
      <c r="V79" s="595">
        <f t="shared" si="125"/>
      </c>
      <c r="W79" s="595"/>
      <c r="X79" s="595"/>
      <c r="Y79" s="587">
        <f>SUM(Y75:Y78)</f>
      </c>
      <c r="Z79" s="587">
        <f>SUM(Z75:Z78)</f>
      </c>
      <c r="AA79" s="587">
        <f>SUM(AA75:AA78)</f>
      </c>
      <c r="AB79" s="587">
        <f>SUM(AB75:AB78)</f>
      </c>
      <c r="AC79" s="587">
        <f>SUM(AC75:AC78)</f>
      </c>
      <c r="AD79" s="587">
        <f>SUM(AD75:AD78)</f>
      </c>
      <c r="AE79" s="587">
        <f>SUM(AE75:AE78)</f>
      </c>
      <c r="AF79" s="587">
        <f>SUM(AF75:AF78)</f>
      </c>
      <c r="AG79" s="587">
        <f>SUM(AG75:AG78)</f>
      </c>
      <c r="AI79" s="542"/>
      <c r="AJ79" s="542"/>
      <c r="AK79" s="542"/>
    </row>
    <row r="80">
      <c r="A80" s="557"/>
      <c r="B80" s="584" t="s">
        <v>341</v>
      </c>
      <c r="C80" s="559" t="s">
        <v>347</v>
      </c>
      <c r="D80" s="559">
        <f t="shared" ref="D80:D83" si="283">E80+F80</f>
      </c>
      <c r="E80" s="560">
        <v>3224.02</v>
      </c>
      <c r="F80" s="560">
        <v>587.14</v>
      </c>
      <c r="G80" s="573">
        <v>2</v>
      </c>
      <c r="H80" s="573">
        <v>4536</v>
      </c>
      <c r="I80" s="562">
        <f t="shared" si="400"/>
      </c>
      <c r="J80" s="562">
        <f t="shared" si="156"/>
      </c>
      <c r="K80" s="563">
        <f t="shared" si="215"/>
      </c>
      <c r="L80" s="596">
        <f t="shared" si="4"/>
      </c>
      <c r="M80" s="597">
        <f t="shared" si="97"/>
      </c>
      <c r="N80" s="598">
        <f t="shared" si="32"/>
      </c>
      <c r="O80" s="598">
        <f t="shared" si="462"/>
      </c>
      <c r="P80" s="597">
        <f t="shared" si="496"/>
      </c>
      <c r="Q80" s="598">
        <f t="shared" si="363"/>
      </c>
      <c r="R80" s="598">
        <f t="shared" si="428"/>
      </c>
      <c r="S80" s="599">
        <f t="shared" si="184"/>
      </c>
      <c r="T80" s="600">
        <f t="shared" si="243"/>
      </c>
      <c r="U80" s="599">
        <f t="shared" si="66"/>
      </c>
      <c r="V80" s="601">
        <f t="shared" si="125"/>
      </c>
      <c r="W80" s="602" t="s">
        <v>335</v>
      </c>
      <c r="X80" s="570" t="s">
        <v>356</v>
      </c>
      <c r="Y80" s="604">
        <v>0</v>
      </c>
      <c r="Z80" s="603">
        <v>19957</v>
      </c>
      <c r="AA80" s="603">
        <v>589</v>
      </c>
      <c r="AB80" s="603">
        <v>705</v>
      </c>
      <c r="AC80" s="603">
        <v>122</v>
      </c>
      <c r="AD80" s="603">
        <v>52</v>
      </c>
      <c r="AE80" s="604">
        <v>10</v>
      </c>
      <c r="AF80" s="604">
        <v>22</v>
      </c>
      <c r="AG80" s="604">
        <v>1</v>
      </c>
      <c r="AI80" s="542"/>
      <c r="AJ80" s="542"/>
      <c r="AK80" s="542"/>
    </row>
    <row r="81">
      <c r="A81" s="557"/>
      <c r="B81" s="584" t="s">
        <v>343</v>
      </c>
      <c r="C81" s="559" t="s">
        <v>347</v>
      </c>
      <c r="D81" s="559">
        <f t="shared" si="283"/>
      </c>
      <c r="E81" s="560">
        <v>2291.49</v>
      </c>
      <c r="F81" s="560">
        <v>740.4</v>
      </c>
      <c r="G81" s="573">
        <v>3</v>
      </c>
      <c r="H81" s="573">
        <v>4164</v>
      </c>
      <c r="I81" s="562">
        <f t="shared" si="400"/>
      </c>
      <c r="J81" s="562">
        <f t="shared" si="156"/>
      </c>
      <c r="K81" s="563">
        <f t="shared" si="215"/>
      </c>
      <c r="L81" s="596">
        <f t="shared" si="4"/>
      </c>
      <c r="M81" s="597">
        <f t="shared" si="97"/>
      </c>
      <c r="N81" s="598">
        <f t="shared" si="32"/>
      </c>
      <c r="O81" s="598">
        <f t="shared" si="462"/>
      </c>
      <c r="P81" s="597">
        <f t="shared" si="496"/>
      </c>
      <c r="Q81" s="598">
        <f t="shared" si="363"/>
      </c>
      <c r="R81" s="598">
        <f t="shared" si="428"/>
      </c>
      <c r="S81" s="599">
        <f t="shared" si="184"/>
      </c>
      <c r="T81" s="600">
        <f t="shared" si="243"/>
      </c>
      <c r="U81" s="599">
        <f t="shared" si="66"/>
      </c>
      <c r="V81" s="601">
        <f t="shared" si="125"/>
      </c>
      <c r="W81" s="602" t="s">
        <v>335</v>
      </c>
      <c r="X81" s="570" t="s">
        <v>356</v>
      </c>
      <c r="Y81" s="604">
        <v>3</v>
      </c>
      <c r="Z81" s="603">
        <v>12251</v>
      </c>
      <c r="AA81" s="603">
        <v>407</v>
      </c>
      <c r="AB81" s="603">
        <v>522</v>
      </c>
      <c r="AC81" s="603">
        <v>91</v>
      </c>
      <c r="AD81" s="603">
        <v>27</v>
      </c>
      <c r="AE81" s="604">
        <v>8</v>
      </c>
      <c r="AF81" s="604">
        <v>16</v>
      </c>
      <c r="AG81" s="604">
        <v>1</v>
      </c>
      <c r="AI81" s="542"/>
      <c r="AJ81" s="542"/>
      <c r="AK81" s="542"/>
    </row>
    <row r="82">
      <c r="A82" s="557"/>
      <c r="B82" s="584" t="s">
        <v>344</v>
      </c>
      <c r="C82" s="559" t="s">
        <v>347</v>
      </c>
      <c r="D82" s="559">
        <f t="shared" si="283"/>
      </c>
      <c r="E82" s="560">
        <v>2906.73</v>
      </c>
      <c r="F82" s="560">
        <v>354.52</v>
      </c>
      <c r="G82" s="561">
        <v>2</v>
      </c>
      <c r="H82" s="561">
        <v>4536</v>
      </c>
      <c r="I82" s="562">
        <f t="shared" si="400"/>
      </c>
      <c r="J82" s="562">
        <f t="shared" si="156"/>
      </c>
      <c r="K82" s="563">
        <f t="shared" si="215"/>
      </c>
      <c r="L82" s="596">
        <f t="shared" si="4"/>
      </c>
      <c r="M82" s="597">
        <f t="shared" si="97"/>
      </c>
      <c r="N82" s="598">
        <f t="shared" si="32"/>
      </c>
      <c r="O82" s="598">
        <f t="shared" si="462"/>
      </c>
      <c r="P82" s="597">
        <f t="shared" si="496"/>
      </c>
      <c r="Q82" s="598">
        <f t="shared" si="363"/>
      </c>
      <c r="R82" s="598">
        <f t="shared" si="428"/>
      </c>
      <c r="S82" s="599">
        <f t="shared" si="184"/>
      </c>
      <c r="T82" s="600">
        <f t="shared" si="243"/>
      </c>
      <c r="U82" s="599">
        <f t="shared" si="66"/>
      </c>
      <c r="V82" s="601">
        <f t="shared" si="125"/>
      </c>
      <c r="W82" s="602" t="s">
        <v>335</v>
      </c>
      <c r="X82" s="570" t="s">
        <v>356</v>
      </c>
      <c r="Y82" s="603">
        <v>1</v>
      </c>
      <c r="Z82" s="603">
        <v>14974</v>
      </c>
      <c r="AA82" s="603">
        <v>370</v>
      </c>
      <c r="AB82" s="603">
        <v>475</v>
      </c>
      <c r="AC82" s="603">
        <v>93</v>
      </c>
      <c r="AD82" s="603">
        <v>43</v>
      </c>
      <c r="AE82" s="604">
        <v>10</v>
      </c>
      <c r="AF82" s="604">
        <v>17</v>
      </c>
      <c r="AG82" s="604">
        <v>1</v>
      </c>
      <c r="AI82" s="542"/>
      <c r="AJ82" s="542"/>
      <c r="AK82" s="542"/>
    </row>
    <row r="83">
      <c r="A83" s="557"/>
      <c r="B83" s="584" t="s">
        <v>345</v>
      </c>
      <c r="C83" s="559" t="s">
        <v>347</v>
      </c>
      <c r="D83" s="559">
        <f t="shared" si="283"/>
      </c>
      <c r="E83" s="560">
        <v>2579.45</v>
      </c>
      <c r="F83" s="560">
        <v>1.57</v>
      </c>
      <c r="G83" s="561">
        <v>5</v>
      </c>
      <c r="H83" s="561">
        <v>5580</v>
      </c>
      <c r="I83" s="562">
        <f t="shared" si="400"/>
      </c>
      <c r="J83" s="562">
        <f t="shared" si="156"/>
      </c>
      <c r="K83" s="563">
        <f t="shared" si="215"/>
      </c>
      <c r="L83" s="596">
        <f t="shared" si="4"/>
      </c>
      <c r="M83" s="597">
        <f t="shared" si="97"/>
      </c>
      <c r="N83" s="598">
        <f t="shared" si="32"/>
      </c>
      <c r="O83" s="598">
        <f t="shared" si="462"/>
      </c>
      <c r="P83" s="597">
        <f t="shared" si="496"/>
      </c>
      <c r="Q83" s="598">
        <f t="shared" si="363"/>
      </c>
      <c r="R83" s="598">
        <f t="shared" si="428"/>
      </c>
      <c r="S83" s="599">
        <f t="shared" si="184"/>
      </c>
      <c r="T83" s="600">
        <f t="shared" si="243"/>
      </c>
      <c r="U83" s="599">
        <f t="shared" si="66"/>
      </c>
      <c r="V83" s="601">
        <f t="shared" si="125"/>
      </c>
      <c r="W83" s="602" t="s">
        <v>335</v>
      </c>
      <c r="X83" s="570" t="s">
        <v>356</v>
      </c>
      <c r="Y83" s="604">
        <v>3</v>
      </c>
      <c r="Z83" s="603">
        <v>12567</v>
      </c>
      <c r="AA83" s="603">
        <v>229</v>
      </c>
      <c r="AB83" s="603">
        <v>280</v>
      </c>
      <c r="AC83" s="603">
        <v>60</v>
      </c>
      <c r="AD83" s="603">
        <v>39</v>
      </c>
      <c r="AE83" s="604">
        <v>5</v>
      </c>
      <c r="AF83" s="604">
        <v>13</v>
      </c>
      <c r="AG83" s="604">
        <v>1</v>
      </c>
      <c r="AI83" s="542"/>
      <c r="AJ83" s="542"/>
      <c r="AK83" s="542"/>
    </row>
    <row r="84">
      <c r="A84" s="557"/>
      <c r="B84" s="586" t="s">
        <v>340</v>
      </c>
      <c r="C84" s="586"/>
      <c r="D84" s="587">
        <f>SUM(D80:D83)</f>
      </c>
      <c r="E84" s="587">
        <f>SUM(E80:E83)</f>
      </c>
      <c r="F84" s="587">
        <f>SUM(F80:F83)</f>
      </c>
      <c r="G84" s="587">
        <f>SUM(G80:G83)</f>
      </c>
      <c r="H84" s="587">
        <f>SUM(H80:H83)</f>
      </c>
      <c r="I84" s="588">
        <f t="shared" si="400"/>
      </c>
      <c r="J84" s="588">
        <f t="shared" si="156"/>
      </c>
      <c r="K84" s="589">
        <f t="shared" si="215"/>
      </c>
      <c r="L84" s="590">
        <f t="shared" si="4"/>
      </c>
      <c r="M84" s="591">
        <f t="shared" si="97"/>
      </c>
      <c r="N84" s="592">
        <f t="shared" si="32"/>
      </c>
      <c r="O84" s="592">
        <f t="shared" si="462"/>
      </c>
      <c r="P84" s="591">
        <f t="shared" si="496"/>
      </c>
      <c r="Q84" s="592">
        <f t="shared" si="363"/>
      </c>
      <c r="R84" s="592">
        <f t="shared" si="428"/>
      </c>
      <c r="S84" s="593">
        <f t="shared" si="184"/>
      </c>
      <c r="T84" s="594">
        <f t="shared" si="243"/>
      </c>
      <c r="U84" s="593">
        <f t="shared" si="66"/>
      </c>
      <c r="V84" s="595">
        <f t="shared" si="125"/>
      </c>
      <c r="W84" s="595"/>
      <c r="X84" s="595"/>
      <c r="Y84" s="587">
        <f>SUM(Y80:Y83)</f>
      </c>
      <c r="Z84" s="587">
        <f>SUM(Z80:Z83)</f>
      </c>
      <c r="AA84" s="587">
        <f>SUM(AA80:AA83)</f>
      </c>
      <c r="AB84" s="587">
        <f>SUM(AB80:AB83)</f>
      </c>
      <c r="AC84" s="587">
        <f>SUM(AC80:AC83)</f>
      </c>
      <c r="AD84" s="587">
        <f>SUM(AD80:AD83)</f>
      </c>
      <c r="AE84" s="587">
        <f>SUM(AE80:AE83)</f>
      </c>
      <c r="AF84" s="587">
        <f>SUM(AF80:AF83)</f>
      </c>
      <c r="AG84" s="587">
        <f>SUM(AG80:AG83)</f>
      </c>
      <c r="AI84" s="542"/>
      <c r="AJ84" s="542"/>
      <c r="AK84" s="542"/>
    </row>
    <row r="85">
      <c r="A85" s="557"/>
      <c r="B85" s="584" t="s">
        <v>346</v>
      </c>
      <c r="C85" s="559" t="s">
        <v>342</v>
      </c>
      <c r="D85" s="559">
        <f t="shared" ref="D85:D88" si="284">E85+F85</f>
      </c>
      <c r="E85" s="560">
        <v>3903.45</v>
      </c>
      <c r="F85" s="560">
        <v>0</v>
      </c>
      <c r="G85" s="561">
        <v>5</v>
      </c>
      <c r="H85" s="561">
        <v>10020</v>
      </c>
      <c r="I85" s="562">
        <f t="shared" si="400"/>
      </c>
      <c r="J85" s="562">
        <f t="shared" si="156"/>
      </c>
      <c r="K85" s="605">
        <f t="shared" si="215"/>
      </c>
      <c r="L85" s="596">
        <f t="shared" si="4"/>
      </c>
      <c r="M85" s="597">
        <f t="shared" si="97"/>
      </c>
      <c r="N85" s="598">
        <f t="shared" si="32"/>
      </c>
      <c r="O85" s="598">
        <f t="shared" si="462"/>
      </c>
      <c r="P85" s="597">
        <f t="shared" si="496"/>
      </c>
      <c r="Q85" s="598">
        <f t="shared" si="363"/>
      </c>
      <c r="R85" s="598">
        <f t="shared" si="428"/>
      </c>
      <c r="S85" s="599">
        <f t="shared" si="184"/>
      </c>
      <c r="T85" s="600">
        <f t="shared" si="243"/>
      </c>
      <c r="U85" s="599">
        <f t="shared" si="66"/>
      </c>
      <c r="V85" s="601">
        <f t="shared" si="125"/>
      </c>
      <c r="W85" s="602" t="s">
        <v>335</v>
      </c>
      <c r="X85" s="570" t="s">
        <v>357</v>
      </c>
      <c r="Y85" s="604">
        <v>4</v>
      </c>
      <c r="Z85" s="603">
        <v>19263</v>
      </c>
      <c r="AA85" s="603">
        <v>304</v>
      </c>
      <c r="AB85" s="603">
        <v>391</v>
      </c>
      <c r="AC85" s="603">
        <v>86</v>
      </c>
      <c r="AD85" s="603">
        <v>49</v>
      </c>
      <c r="AE85" s="604">
        <v>6</v>
      </c>
      <c r="AF85" s="604">
        <v>18</v>
      </c>
      <c r="AG85" s="604">
        <v>1</v>
      </c>
      <c r="AI85" s="542"/>
      <c r="AJ85" s="542"/>
      <c r="AK85" s="542"/>
    </row>
    <row r="86">
      <c r="A86" s="557"/>
      <c r="B86" s="584" t="s">
        <v>349</v>
      </c>
      <c r="C86" s="559" t="s">
        <v>342</v>
      </c>
      <c r="D86" s="559">
        <f t="shared" si="284"/>
      </c>
      <c r="E86" s="560">
        <v>3513.14</v>
      </c>
      <c r="F86" s="560">
        <v>0</v>
      </c>
      <c r="G86" s="561">
        <v>2</v>
      </c>
      <c r="H86" s="561">
        <v>3216</v>
      </c>
      <c r="I86" s="562">
        <f t="shared" si="400"/>
      </c>
      <c r="J86" s="562">
        <f t="shared" si="156"/>
      </c>
      <c r="K86" s="605">
        <f t="shared" si="215"/>
      </c>
      <c r="L86" s="596">
        <f t="shared" si="4"/>
      </c>
      <c r="M86" s="597">
        <f t="shared" si="97"/>
      </c>
      <c r="N86" s="598">
        <f t="shared" si="32"/>
      </c>
      <c r="O86" s="598">
        <f t="shared" si="462"/>
      </c>
      <c r="P86" s="597">
        <f t="shared" si="496"/>
      </c>
      <c r="Q86" s="598">
        <f t="shared" si="363"/>
      </c>
      <c r="R86" s="598">
        <f t="shared" si="428"/>
      </c>
      <c r="S86" s="599">
        <f t="shared" si="184"/>
      </c>
      <c r="T86" s="600">
        <f t="shared" si="243"/>
      </c>
      <c r="U86" s="599">
        <f t="shared" si="66"/>
      </c>
      <c r="V86" s="601">
        <f t="shared" si="125"/>
      </c>
      <c r="W86" s="602" t="s">
        <v>335</v>
      </c>
      <c r="X86" s="570" t="s">
        <v>357</v>
      </c>
      <c r="Y86" s="604">
        <v>2</v>
      </c>
      <c r="Z86" s="603">
        <v>20070</v>
      </c>
      <c r="AA86" s="603">
        <v>339</v>
      </c>
      <c r="AB86" s="603">
        <v>460</v>
      </c>
      <c r="AC86" s="603">
        <v>93</v>
      </c>
      <c r="AD86" s="604">
        <v>37</v>
      </c>
      <c r="AE86" s="604">
        <v>10</v>
      </c>
      <c r="AF86" s="604">
        <v>25</v>
      </c>
      <c r="AG86" s="604">
        <v>1</v>
      </c>
      <c r="AI86" s="542"/>
      <c r="AJ86" s="542"/>
      <c r="AK86" s="542"/>
    </row>
    <row r="87">
      <c r="A87" s="557"/>
      <c r="B87" s="558" t="s">
        <v>350</v>
      </c>
      <c r="C87" s="559" t="s">
        <v>342</v>
      </c>
      <c r="D87" s="559">
        <f t="shared" si="284"/>
      </c>
      <c r="E87" s="560">
        <v>2336.7</v>
      </c>
      <c r="F87" s="560">
        <v>0</v>
      </c>
      <c r="G87" s="561">
        <v>4</v>
      </c>
      <c r="H87" s="561">
        <v>5112</v>
      </c>
      <c r="I87" s="562">
        <f t="shared" si="400"/>
      </c>
      <c r="J87" s="562">
        <f t="shared" si="156"/>
      </c>
      <c r="K87" s="605">
        <f t="shared" si="215"/>
      </c>
      <c r="L87" s="596">
        <f t="shared" si="4"/>
      </c>
      <c r="M87" s="597">
        <f t="shared" si="97"/>
      </c>
      <c r="N87" s="598">
        <f t="shared" si="32"/>
      </c>
      <c r="O87" s="598">
        <f t="shared" si="462"/>
      </c>
      <c r="P87" s="597">
        <f t="shared" si="496"/>
      </c>
      <c r="Q87" s="598">
        <f t="shared" si="363"/>
      </c>
      <c r="R87" s="598">
        <f t="shared" si="428"/>
      </c>
      <c r="S87" s="599">
        <f t="shared" si="184"/>
      </c>
      <c r="T87" s="600">
        <f t="shared" si="243"/>
      </c>
      <c r="U87" s="599">
        <f t="shared" si="66"/>
      </c>
      <c r="V87" s="601">
        <f t="shared" si="125"/>
      </c>
      <c r="W87" s="602" t="s">
        <v>335</v>
      </c>
      <c r="X87" s="570" t="s">
        <v>357</v>
      </c>
      <c r="Y87" s="604">
        <v>4</v>
      </c>
      <c r="Z87" s="603">
        <v>13068</v>
      </c>
      <c r="AA87" s="603">
        <v>207</v>
      </c>
      <c r="AB87" s="603">
        <v>269</v>
      </c>
      <c r="AC87" s="603">
        <v>59</v>
      </c>
      <c r="AD87" s="604">
        <v>39</v>
      </c>
      <c r="AE87" s="604">
        <v>5</v>
      </c>
      <c r="AF87" s="604">
        <v>11</v>
      </c>
      <c r="AG87" s="604">
        <v>1</v>
      </c>
      <c r="AI87" s="542"/>
      <c r="AJ87" s="542"/>
      <c r="AK87" s="542"/>
    </row>
    <row r="88">
      <c r="A88" s="557"/>
      <c r="B88" s="558" t="s">
        <v>351</v>
      </c>
      <c r="C88" s="559" t="s">
        <v>342</v>
      </c>
      <c r="D88" s="559">
        <f t="shared" si="284"/>
      </c>
      <c r="E88" s="560">
        <v>1425.61</v>
      </c>
      <c r="F88" s="560">
        <v>0</v>
      </c>
      <c r="G88" s="561">
        <v>0</v>
      </c>
      <c r="H88" s="561">
        <v>0</v>
      </c>
      <c r="I88" s="562">
        <f t="shared" si="400"/>
      </c>
      <c r="J88" s="562">
        <f t="shared" si="156"/>
      </c>
      <c r="K88" s="605">
        <f t="shared" si="215"/>
      </c>
      <c r="L88" s="596">
        <f t="shared" si="4"/>
      </c>
      <c r="M88" s="597">
        <f t="shared" si="97"/>
      </c>
      <c r="N88" s="598">
        <f t="shared" si="32"/>
      </c>
      <c r="O88" s="598">
        <f t="shared" si="462"/>
      </c>
      <c r="P88" s="597">
        <f t="shared" si="496"/>
      </c>
      <c r="Q88" s="598">
        <f t="shared" si="363"/>
      </c>
      <c r="R88" s="598">
        <f t="shared" si="428"/>
      </c>
      <c r="S88" s="599">
        <f t="shared" si="184"/>
      </c>
      <c r="T88" s="600">
        <f t="shared" si="243"/>
      </c>
      <c r="U88" s="599">
        <f t="shared" si="66"/>
      </c>
      <c r="V88" s="601">
        <f t="shared" si="125"/>
      </c>
      <c r="W88" s="602" t="s">
        <v>335</v>
      </c>
      <c r="X88" s="570" t="s">
        <v>357</v>
      </c>
      <c r="Y88" s="604">
        <v>0</v>
      </c>
      <c r="Z88" s="603">
        <v>7457</v>
      </c>
      <c r="AA88" s="603">
        <v>112</v>
      </c>
      <c r="AB88" s="603">
        <v>136</v>
      </c>
      <c r="AC88" s="603">
        <v>27</v>
      </c>
      <c r="AD88" s="603">
        <v>17</v>
      </c>
      <c r="AE88" s="604">
        <v>4</v>
      </c>
      <c r="AF88" s="604">
        <v>6</v>
      </c>
      <c r="AG88" s="604">
        <v>1</v>
      </c>
      <c r="AI88" s="542"/>
      <c r="AJ88" s="542"/>
      <c r="AK88" s="542"/>
    </row>
    <row r="89">
      <c r="A89" s="557"/>
      <c r="B89" s="586" t="s">
        <v>340</v>
      </c>
      <c r="C89" s="586"/>
      <c r="D89" s="587">
        <f>SUM(D85:D88)</f>
      </c>
      <c r="E89" s="587">
        <f>SUM(E85:E88)</f>
      </c>
      <c r="F89" s="587">
        <f>SUM(F85:F88)</f>
      </c>
      <c r="G89" s="587">
        <f>SUM(G85:G88)</f>
      </c>
      <c r="H89" s="587">
        <f>SUM(H85:H88)</f>
      </c>
      <c r="I89" s="588">
        <f t="shared" si="400"/>
      </c>
      <c r="J89" s="588">
        <f t="shared" si="156"/>
      </c>
      <c r="K89" s="606">
        <f t="shared" si="215"/>
      </c>
      <c r="L89" s="590">
        <f t="shared" si="4"/>
      </c>
      <c r="M89" s="591">
        <f t="shared" si="97"/>
      </c>
      <c r="N89" s="592">
        <f t="shared" si="32"/>
      </c>
      <c r="O89" s="592">
        <f t="shared" si="462"/>
      </c>
      <c r="P89" s="591">
        <f t="shared" si="496"/>
      </c>
      <c r="Q89" s="592">
        <f t="shared" si="363"/>
      </c>
      <c r="R89" s="592">
        <f t="shared" si="428"/>
      </c>
      <c r="S89" s="593">
        <f t="shared" si="184"/>
      </c>
      <c r="T89" s="594">
        <f t="shared" si="243"/>
      </c>
      <c r="U89" s="593">
        <f t="shared" si="66"/>
      </c>
      <c r="V89" s="595">
        <f t="shared" si="125"/>
      </c>
      <c r="W89" s="595"/>
      <c r="X89" s="595"/>
      <c r="Y89" s="587">
        <f>SUM(Y85:Y88)</f>
      </c>
      <c r="Z89" s="587">
        <f>SUM(Z85:Z88)</f>
      </c>
      <c r="AA89" s="587">
        <f>SUM(AA85:AA88)</f>
      </c>
      <c r="AB89" s="587">
        <f>SUM(AB85:AB88)</f>
      </c>
      <c r="AC89" s="587">
        <f>SUM(AC85:AC88)</f>
      </c>
      <c r="AD89" s="587">
        <f>SUM(AD85:AD88)</f>
      </c>
      <c r="AE89" s="587">
        <f>SUM(AE85:AE88)</f>
      </c>
      <c r="AF89" s="587">
        <f>SUM(AF85:AF88)</f>
      </c>
      <c r="AG89" s="587">
        <f>SUM(AG85:AG88)</f>
      </c>
      <c r="AI89" s="542"/>
      <c r="AJ89" s="542"/>
      <c r="AK89" s="542"/>
    </row>
    <row r="90">
      <c r="A90" s="557"/>
      <c r="B90" s="607" t="s">
        <v>352</v>
      </c>
      <c r="C90" s="607"/>
      <c r="D90" s="607">
        <f>D79+D89+D84</f>
      </c>
      <c r="E90" s="607">
        <f>E79+E89+E84</f>
      </c>
      <c r="F90" s="607">
        <f>F79+F89+F84</f>
      </c>
      <c r="G90" s="607">
        <f>G79+G89+G84</f>
      </c>
      <c r="H90" s="607">
        <f>H79+H89+H84</f>
      </c>
      <c r="I90" s="608">
        <f t="shared" si="400"/>
      </c>
      <c r="J90" s="608">
        <f t="shared" si="156"/>
      </c>
      <c r="K90" s="609">
        <f t="shared" si="215"/>
      </c>
      <c r="L90" s="610">
        <f t="shared" si="4"/>
      </c>
      <c r="M90" s="611">
        <f t="shared" si="97"/>
      </c>
      <c r="N90" s="612">
        <f t="shared" si="32"/>
      </c>
      <c r="O90" s="612">
        <f t="shared" si="462"/>
      </c>
      <c r="P90" s="611">
        <f t="shared" si="496"/>
      </c>
      <c r="Q90" s="612">
        <f t="shared" si="363"/>
      </c>
      <c r="R90" s="612">
        <f t="shared" si="428"/>
      </c>
      <c r="S90" s="611">
        <f t="shared" si="184"/>
      </c>
      <c r="T90" s="613">
        <f t="shared" si="243"/>
      </c>
      <c r="U90" s="611">
        <f t="shared" si="66"/>
      </c>
      <c r="V90" s="609">
        <f t="shared" si="125"/>
      </c>
      <c r="W90" s="609"/>
      <c r="X90" s="609"/>
      <c r="Y90" s="607">
        <f>Y79+Y89+Y84</f>
      </c>
      <c r="Z90" s="607">
        <f>Z79+Z89+Z84</f>
      </c>
      <c r="AA90" s="607">
        <f>AA79+AA89+AA84</f>
      </c>
      <c r="AB90" s="607">
        <f>AB79+AB89+AB84</f>
      </c>
      <c r="AC90" s="607">
        <f>AC79+AC89+AC84</f>
      </c>
      <c r="AD90" s="607">
        <f>AD79+AD89+AD84</f>
      </c>
      <c r="AE90" s="607">
        <f>AE79+AE89+AE84</f>
      </c>
      <c r="AF90" s="607">
        <f>AF79+AF89+AF84</f>
      </c>
      <c r="AG90" s="607">
        <f>AG79+AG89+AG84</f>
      </c>
      <c r="AI90" s="542"/>
      <c r="AJ90" s="542"/>
      <c r="AK90" s="542"/>
    </row>
    <row r="91">
      <c r="A91" s="538" t="s">
        <v>295</v>
      </c>
      <c r="B91" s="538"/>
      <c r="C91" s="538"/>
      <c r="D91" s="539" t="s">
        <v>296</v>
      </c>
      <c r="E91" s="539"/>
      <c r="F91" s="539"/>
      <c r="G91" s="539"/>
      <c r="H91" s="539"/>
      <c r="I91" s="539"/>
      <c r="J91" s="539"/>
      <c r="K91" s="540" t="s">
        <v>297</v>
      </c>
      <c r="L91" s="540"/>
      <c r="M91" s="540"/>
      <c r="N91" s="540"/>
      <c r="O91" s="540"/>
      <c r="P91" s="540"/>
      <c r="Q91" s="540"/>
      <c r="R91" s="540"/>
      <c r="S91" s="540"/>
      <c r="T91" s="540"/>
      <c r="U91" s="540"/>
      <c r="V91" s="540"/>
      <c r="W91" s="540"/>
      <c r="X91" s="540"/>
      <c r="Y91" s="541" t="s">
        <v>298</v>
      </c>
      <c r="Z91" s="541"/>
      <c r="AA91" s="541"/>
      <c r="AB91" s="541"/>
      <c r="AC91" s="541"/>
      <c r="AD91" s="541"/>
      <c r="AE91" s="541"/>
      <c r="AF91" s="541"/>
      <c r="AG91" s="541"/>
      <c r="AI91" s="542"/>
      <c r="AJ91" s="542"/>
      <c r="AK91" s="542"/>
    </row>
    <row r="92">
      <c r="A92" s="543" t="s">
        <v>299</v>
      </c>
      <c r="B92" s="544" t="s">
        <v>300</v>
      </c>
      <c r="C92" s="544" t="s">
        <v>301</v>
      </c>
      <c r="D92" s="545" t="s">
        <v>302</v>
      </c>
      <c r="E92" s="546" t="s">
        <v>303</v>
      </c>
      <c r="F92" s="546" t="s">
        <v>304</v>
      </c>
      <c r="G92" s="547" t="s">
        <v>305</v>
      </c>
      <c r="H92" s="548" t="s">
        <v>306</v>
      </c>
      <c r="I92" s="549" t="s">
        <v>307</v>
      </c>
      <c r="J92" s="550" t="s">
        <v>308</v>
      </c>
      <c r="K92" s="551" t="s">
        <v>309</v>
      </c>
      <c r="L92" s="540" t="s">
        <v>310</v>
      </c>
      <c r="M92" s="540" t="s">
        <v>311</v>
      </c>
      <c r="N92" s="552" t="s">
        <v>312</v>
      </c>
      <c r="O92" s="552" t="s">
        <v>313</v>
      </c>
      <c r="P92" s="540" t="s">
        <v>314</v>
      </c>
      <c r="Q92" s="552" t="s">
        <v>315</v>
      </c>
      <c r="R92" s="552" t="s">
        <v>316</v>
      </c>
      <c r="S92" s="540" t="s">
        <v>317</v>
      </c>
      <c r="T92" s="552" t="s">
        <v>318</v>
      </c>
      <c r="U92" s="540" t="s">
        <v>319</v>
      </c>
      <c r="V92" s="553" t="s">
        <v>320</v>
      </c>
      <c r="W92" s="553" t="s">
        <v>321</v>
      </c>
      <c r="X92" s="553" t="s">
        <v>322</v>
      </c>
      <c r="Y92" s="554" t="s">
        <v>323</v>
      </c>
      <c r="Z92" s="555" t="s">
        <v>324</v>
      </c>
      <c r="AA92" s="555" t="s">
        <v>325</v>
      </c>
      <c r="AB92" s="555" t="s">
        <v>326</v>
      </c>
      <c r="AC92" s="555" t="s">
        <v>327</v>
      </c>
      <c r="AD92" s="555" t="s">
        <v>328</v>
      </c>
      <c r="AE92" s="555" t="s">
        <v>329</v>
      </c>
      <c r="AF92" s="555" t="s">
        <v>330</v>
      </c>
      <c r="AG92" s="556" t="s">
        <v>331</v>
      </c>
      <c r="AI92" s="542"/>
      <c r="AJ92" s="542"/>
      <c r="AK92" s="542"/>
    </row>
    <row r="93">
      <c r="A93" s="557" t="s">
        <v>359</v>
      </c>
      <c r="B93" s="558" t="s">
        <v>333</v>
      </c>
      <c r="C93" s="559" t="s">
        <v>334</v>
      </c>
      <c r="D93" s="559">
        <f t="shared" ref="D93:D96" si="285">E93+F93</f>
      </c>
      <c r="E93" s="560">
        <v>2500</v>
      </c>
      <c r="F93" s="560">
        <v>670.76</v>
      </c>
      <c r="G93" s="561">
        <v>2</v>
      </c>
      <c r="H93" s="561">
        <v>4348</v>
      </c>
      <c r="I93" s="562">
        <f t="shared" ref="I93:I108" si="401">H93/D93</f>
      </c>
      <c r="J93" s="562">
        <f t="shared" ref="J93:J108" si="157">H93/(D93+300*AG93)</f>
      </c>
      <c r="K93" s="563">
        <f t="shared" ref="K93:K108" si="216">(D93/Z93)*1000</f>
      </c>
      <c r="L93" s="564">
        <f t="shared" ref="L93:L108" si="5">AA93/Z93</f>
      </c>
      <c r="M93" s="565">
        <f t="shared" ref="M93:M108" si="98">D93/AB93</f>
      </c>
      <c r="N93" s="566">
        <f t="shared" ref="N93:N108" si="33">AC93/AB93</f>
      </c>
      <c r="O93" s="566">
        <f t="shared" ref="O93:O108" si="463">AD93/AB93</f>
      </c>
      <c r="P93" s="565">
        <f t="shared" ref="P93:P108" si="497">D93/AD93</f>
      </c>
      <c r="Q93" s="566">
        <f t="shared" ref="Q93:Q108" si="364">AE93/AD93</f>
      </c>
      <c r="R93" s="566">
        <f t="shared" ref="R93:R108" si="429">G93/AE93</f>
      </c>
      <c r="S93" s="565">
        <f t="shared" ref="S93:S108" si="185">D93/G93</f>
      </c>
      <c r="T93" s="567">
        <f t="shared" ref="T93:T108" si="244">H93/G93</f>
      </c>
      <c r="U93" s="565">
        <f t="shared" ref="U93:U108" si="67">D93/Y93</f>
      </c>
      <c r="V93" s="568">
        <f t="shared" ref="V93:V108" si="126">AF93*1000/D93</f>
      </c>
      <c r="W93" s="569" t="s">
        <v>335</v>
      </c>
      <c r="X93" s="570" t="s">
        <v>356</v>
      </c>
      <c r="Y93" s="571">
        <v>2</v>
      </c>
      <c r="Z93" s="572">
        <v>17347</v>
      </c>
      <c r="AA93" s="572">
        <v>511</v>
      </c>
      <c r="AB93" s="572">
        <v>647</v>
      </c>
      <c r="AC93" s="572">
        <v>90</v>
      </c>
      <c r="AD93" s="571">
        <v>49</v>
      </c>
      <c r="AE93" s="571">
        <v>4</v>
      </c>
      <c r="AF93" s="571">
        <v>15</v>
      </c>
      <c r="AG93" s="571">
        <v>1</v>
      </c>
      <c r="AI93" s="542"/>
      <c r="AJ93" s="542"/>
      <c r="AK93" s="542"/>
    </row>
    <row r="94">
      <c r="A94" s="557"/>
      <c r="B94" s="558" t="s">
        <v>337</v>
      </c>
      <c r="C94" s="559" t="s">
        <v>334</v>
      </c>
      <c r="D94" s="559">
        <f t="shared" si="285"/>
      </c>
      <c r="E94" s="560">
        <v>931.85</v>
      </c>
      <c r="F94" s="560">
        <v>959.76</v>
      </c>
      <c r="G94" s="561">
        <v>0</v>
      </c>
      <c r="H94" s="561">
        <v>0</v>
      </c>
      <c r="I94" s="562">
        <f t="shared" si="401"/>
      </c>
      <c r="J94" s="562">
        <f t="shared" si="157"/>
      </c>
      <c r="K94" s="563">
        <f t="shared" si="216"/>
      </c>
      <c r="L94" s="574">
        <f t="shared" si="5"/>
      </c>
      <c r="M94" s="575">
        <f t="shared" si="98"/>
      </c>
      <c r="N94" s="576">
        <f t="shared" si="33"/>
      </c>
      <c r="O94" s="576">
        <f t="shared" si="463"/>
      </c>
      <c r="P94" s="575">
        <f t="shared" si="497"/>
      </c>
      <c r="Q94" s="576">
        <f t="shared" si="364"/>
      </c>
      <c r="R94" s="576">
        <f t="shared" si="429"/>
      </c>
      <c r="S94" s="577">
        <f t="shared" si="185"/>
      </c>
      <c r="T94" s="578">
        <f t="shared" si="244"/>
      </c>
      <c r="U94" s="579">
        <f t="shared" si="67"/>
      </c>
      <c r="V94" s="580">
        <f t="shared" si="126"/>
      </c>
      <c r="W94" s="581" t="s">
        <v>335</v>
      </c>
      <c r="X94" s="570" t="s">
        <v>356</v>
      </c>
      <c r="Y94" s="583">
        <v>0</v>
      </c>
      <c r="Z94" s="582">
        <v>8360</v>
      </c>
      <c r="AA94" s="582">
        <v>356</v>
      </c>
      <c r="AB94" s="582">
        <v>423</v>
      </c>
      <c r="AC94" s="582">
        <v>49</v>
      </c>
      <c r="AD94" s="582">
        <v>47</v>
      </c>
      <c r="AE94" s="583">
        <v>0</v>
      </c>
      <c r="AF94" s="583">
        <v>12</v>
      </c>
      <c r="AG94" s="583">
        <v>1</v>
      </c>
      <c r="AI94" s="542"/>
      <c r="AJ94" s="542"/>
      <c r="AK94" s="542"/>
    </row>
    <row r="95">
      <c r="A95" s="557"/>
      <c r="B95" s="584" t="s">
        <v>338</v>
      </c>
      <c r="C95" s="559" t="s">
        <v>334</v>
      </c>
      <c r="D95" s="559">
        <f t="shared" si="285"/>
      </c>
      <c r="E95" s="560">
        <v>1539.76</v>
      </c>
      <c r="F95" s="560">
        <v>820.89</v>
      </c>
      <c r="G95" s="561">
        <v>0</v>
      </c>
      <c r="H95" s="561">
        <v>0</v>
      </c>
      <c r="I95" s="562">
        <f t="shared" si="401"/>
      </c>
      <c r="J95" s="562">
        <f t="shared" si="157"/>
      </c>
      <c r="K95" s="563">
        <f t="shared" si="216"/>
      </c>
      <c r="L95" s="574">
        <f t="shared" si="5"/>
      </c>
      <c r="M95" s="575">
        <f t="shared" si="98"/>
      </c>
      <c r="N95" s="576">
        <f t="shared" si="33"/>
      </c>
      <c r="O95" s="576">
        <f t="shared" si="463"/>
      </c>
      <c r="P95" s="575">
        <f t="shared" si="497"/>
      </c>
      <c r="Q95" s="576">
        <f t="shared" si="364"/>
      </c>
      <c r="R95" s="576">
        <f t="shared" si="429"/>
      </c>
      <c r="S95" s="577">
        <f t="shared" si="185"/>
      </c>
      <c r="T95" s="578">
        <f t="shared" si="244"/>
      </c>
      <c r="U95" s="579">
        <f t="shared" si="67"/>
      </c>
      <c r="V95" s="580">
        <f t="shared" si="126"/>
      </c>
      <c r="W95" s="581" t="s">
        <v>335</v>
      </c>
      <c r="X95" s="570" t="s">
        <v>356</v>
      </c>
      <c r="Y95" s="583">
        <v>0</v>
      </c>
      <c r="Z95" s="582">
        <v>17347</v>
      </c>
      <c r="AA95" s="582">
        <v>511</v>
      </c>
      <c r="AB95" s="582">
        <v>647</v>
      </c>
      <c r="AC95" s="582">
        <v>90</v>
      </c>
      <c r="AD95" s="582">
        <v>49</v>
      </c>
      <c r="AE95" s="583">
        <v>1</v>
      </c>
      <c r="AF95" s="583">
        <v>6</v>
      </c>
      <c r="AG95" s="583">
        <v>1</v>
      </c>
      <c r="AI95" s="542"/>
      <c r="AJ95" s="542"/>
      <c r="AK95" s="542"/>
    </row>
    <row r="96">
      <c r="A96" s="557"/>
      <c r="B96" s="584" t="s">
        <v>339</v>
      </c>
      <c r="C96" s="559" t="s">
        <v>334</v>
      </c>
      <c r="D96" s="559">
        <f t="shared" si="285"/>
      </c>
      <c r="E96" s="560">
        <v>2275.03</v>
      </c>
      <c r="F96" s="560">
        <v>869.14</v>
      </c>
      <c r="G96" s="561">
        <v>5</v>
      </c>
      <c r="H96" s="561">
        <v>8700</v>
      </c>
      <c r="I96" s="562">
        <f t="shared" si="401"/>
      </c>
      <c r="J96" s="562">
        <f t="shared" si="157"/>
      </c>
      <c r="K96" s="563">
        <f t="shared" si="216"/>
      </c>
      <c r="L96" s="574">
        <f t="shared" si="5"/>
      </c>
      <c r="M96" s="575">
        <f t="shared" si="98"/>
      </c>
      <c r="N96" s="576">
        <f t="shared" si="33"/>
      </c>
      <c r="O96" s="576">
        <f t="shared" si="463"/>
      </c>
      <c r="P96" s="575">
        <f t="shared" si="497"/>
      </c>
      <c r="Q96" s="576">
        <f t="shared" si="364"/>
      </c>
      <c r="R96" s="576">
        <f t="shared" si="429"/>
      </c>
      <c r="S96" s="577">
        <f t="shared" si="185"/>
      </c>
      <c r="T96" s="585">
        <f t="shared" si="244"/>
      </c>
      <c r="U96" s="577">
        <f t="shared" si="67"/>
      </c>
      <c r="V96" s="580">
        <f t="shared" si="126"/>
      </c>
      <c r="W96" s="581" t="s">
        <v>335</v>
      </c>
      <c r="X96" s="570" t="s">
        <v>356</v>
      </c>
      <c r="Y96" s="583">
        <v>3</v>
      </c>
      <c r="Z96" s="583">
        <v>13315</v>
      </c>
      <c r="AA96" s="583">
        <v>458</v>
      </c>
      <c r="AB96" s="583">
        <v>607</v>
      </c>
      <c r="AC96" s="583">
        <v>90</v>
      </c>
      <c r="AD96" s="583">
        <v>30</v>
      </c>
      <c r="AE96" s="583">
        <v>6</v>
      </c>
      <c r="AF96" s="583">
        <v>15</v>
      </c>
      <c r="AG96" s="583">
        <v>1</v>
      </c>
      <c r="AI96" s="542"/>
      <c r="AJ96" s="542"/>
      <c r="AK96" s="542"/>
    </row>
    <row r="97">
      <c r="A97" s="557"/>
      <c r="B97" s="586" t="s">
        <v>340</v>
      </c>
      <c r="C97" s="586"/>
      <c r="D97" s="587">
        <f>SUM(D93:D96)</f>
      </c>
      <c r="E97" s="587">
        <f>SUM(E93:E96)</f>
      </c>
      <c r="F97" s="587">
        <f>SUM(F93:F96)</f>
      </c>
      <c r="G97" s="587">
        <f>SUM(G93:G96)</f>
      </c>
      <c r="H97" s="587">
        <f>SUM(H93:H96)</f>
      </c>
      <c r="I97" s="588">
        <f t="shared" si="401"/>
      </c>
      <c r="J97" s="588">
        <f t="shared" si="157"/>
      </c>
      <c r="K97" s="589">
        <f t="shared" si="216"/>
      </c>
      <c r="L97" s="590">
        <f t="shared" si="5"/>
      </c>
      <c r="M97" s="591">
        <f t="shared" si="98"/>
      </c>
      <c r="N97" s="592">
        <f t="shared" si="33"/>
      </c>
      <c r="O97" s="592">
        <f t="shared" si="463"/>
      </c>
      <c r="P97" s="591">
        <f t="shared" si="497"/>
      </c>
      <c r="Q97" s="592">
        <f t="shared" si="364"/>
      </c>
      <c r="R97" s="592">
        <f t="shared" si="429"/>
      </c>
      <c r="S97" s="593">
        <f t="shared" si="185"/>
      </c>
      <c r="T97" s="594">
        <f t="shared" si="244"/>
      </c>
      <c r="U97" s="593">
        <f t="shared" si="67"/>
      </c>
      <c r="V97" s="595">
        <f t="shared" si="126"/>
      </c>
      <c r="W97" s="595"/>
      <c r="X97" s="595"/>
      <c r="Y97" s="587">
        <f>SUM(Y93:Y96)</f>
      </c>
      <c r="Z97" s="587">
        <f>SUM(Z93:Z96)</f>
      </c>
      <c r="AA97" s="587">
        <f>SUM(AA93:AA96)</f>
      </c>
      <c r="AB97" s="587">
        <f>SUM(AB93:AB96)</f>
      </c>
      <c r="AC97" s="587">
        <f>SUM(AC93:AC96)</f>
      </c>
      <c r="AD97" s="587">
        <f>SUM(AD93:AD96)</f>
      </c>
      <c r="AE97" s="587">
        <f>SUM(AE93:AE96)</f>
      </c>
      <c r="AF97" s="587">
        <f>SUM(AF93:AF96)</f>
      </c>
      <c r="AG97" s="587">
        <f>SUM(AG93:AG96)</f>
      </c>
      <c r="AI97" s="542"/>
      <c r="AJ97" s="542"/>
      <c r="AK97" s="542"/>
    </row>
    <row r="98">
      <c r="A98" s="557"/>
      <c r="B98" s="584" t="s">
        <v>341</v>
      </c>
      <c r="C98" s="559" t="s">
        <v>342</v>
      </c>
      <c r="D98" s="559">
        <f t="shared" ref="D98:D101" si="286">E98+F98</f>
      </c>
      <c r="E98" s="560">
        <v>3771.2</v>
      </c>
      <c r="F98" s="560">
        <v>748.19</v>
      </c>
      <c r="G98" s="573">
        <v>3</v>
      </c>
      <c r="H98" s="573">
        <v>5484</v>
      </c>
      <c r="I98" s="562">
        <f t="shared" si="401"/>
      </c>
      <c r="J98" s="562">
        <f t="shared" si="157"/>
      </c>
      <c r="K98" s="563">
        <f t="shared" si="216"/>
      </c>
      <c r="L98" s="596">
        <f t="shared" si="5"/>
      </c>
      <c r="M98" s="597">
        <f t="shared" si="98"/>
      </c>
      <c r="N98" s="598">
        <f t="shared" si="33"/>
      </c>
      <c r="O98" s="598">
        <f t="shared" si="463"/>
      </c>
      <c r="P98" s="597">
        <f t="shared" si="497"/>
      </c>
      <c r="Q98" s="598">
        <f t="shared" si="364"/>
      </c>
      <c r="R98" s="598">
        <f t="shared" si="429"/>
      </c>
      <c r="S98" s="599">
        <f t="shared" si="185"/>
      </c>
      <c r="T98" s="600">
        <f t="shared" si="244"/>
      </c>
      <c r="U98" s="599">
        <f t="shared" si="67"/>
      </c>
      <c r="V98" s="601">
        <f t="shared" si="126"/>
      </c>
      <c r="W98" s="602" t="s">
        <v>335</v>
      </c>
      <c r="X98" s="570" t="s">
        <v>356</v>
      </c>
      <c r="Y98" s="604">
        <v>3</v>
      </c>
      <c r="Z98" s="603">
        <v>22366</v>
      </c>
      <c r="AA98" s="603">
        <v>539</v>
      </c>
      <c r="AB98" s="603">
        <v>681</v>
      </c>
      <c r="AC98" s="603">
        <v>92</v>
      </c>
      <c r="AD98" s="603">
        <v>43</v>
      </c>
      <c r="AE98" s="604">
        <v>7</v>
      </c>
      <c r="AF98" s="604">
        <v>20</v>
      </c>
      <c r="AG98" s="604">
        <v>1</v>
      </c>
      <c r="AI98" s="542"/>
      <c r="AJ98" s="542"/>
      <c r="AK98" s="542"/>
    </row>
    <row r="99">
      <c r="A99" s="557"/>
      <c r="B99" s="584" t="s">
        <v>343</v>
      </c>
      <c r="C99" s="559" t="s">
        <v>342</v>
      </c>
      <c r="D99" s="559">
        <f t="shared" si="286"/>
      </c>
      <c r="E99" s="560">
        <v>2370.31</v>
      </c>
      <c r="F99" s="560">
        <v>16.95</v>
      </c>
      <c r="G99" s="573">
        <v>1</v>
      </c>
      <c r="H99" s="573">
        <v>2268</v>
      </c>
      <c r="I99" s="562">
        <f t="shared" si="401"/>
      </c>
      <c r="J99" s="562">
        <f t="shared" si="157"/>
      </c>
      <c r="K99" s="563">
        <f t="shared" si="216"/>
      </c>
      <c r="L99" s="596">
        <f t="shared" si="5"/>
      </c>
      <c r="M99" s="597">
        <f t="shared" si="98"/>
      </c>
      <c r="N99" s="598">
        <f t="shared" si="33"/>
      </c>
      <c r="O99" s="598">
        <f t="shared" si="463"/>
      </c>
      <c r="P99" s="597">
        <f t="shared" si="497"/>
      </c>
      <c r="Q99" s="598">
        <f t="shared" si="364"/>
      </c>
      <c r="R99" s="598">
        <f t="shared" si="429"/>
      </c>
      <c r="S99" s="599">
        <f t="shared" si="185"/>
      </c>
      <c r="T99" s="600">
        <f t="shared" si="244"/>
      </c>
      <c r="U99" s="599">
        <f t="shared" si="67"/>
      </c>
      <c r="V99" s="601">
        <f t="shared" si="126"/>
      </c>
      <c r="W99" s="602" t="s">
        <v>335</v>
      </c>
      <c r="X99" s="570" t="s">
        <v>356</v>
      </c>
      <c r="Y99" s="604">
        <v>1</v>
      </c>
      <c r="Z99" s="603">
        <v>10103</v>
      </c>
      <c r="AA99" s="603">
        <v>217</v>
      </c>
      <c r="AB99" s="603">
        <v>302</v>
      </c>
      <c r="AC99" s="603">
        <v>49</v>
      </c>
      <c r="AD99" s="603">
        <v>20</v>
      </c>
      <c r="AE99" s="604">
        <v>2</v>
      </c>
      <c r="AF99" s="604">
        <v>9</v>
      </c>
      <c r="AG99" s="604">
        <v>1</v>
      </c>
      <c r="AI99" s="542"/>
      <c r="AJ99" s="542"/>
      <c r="AK99" s="542"/>
    </row>
    <row r="100">
      <c r="A100" s="557"/>
      <c r="B100" s="584" t="s">
        <v>344</v>
      </c>
      <c r="C100" s="559" t="s">
        <v>342</v>
      </c>
      <c r="D100" s="559">
        <f t="shared" si="286"/>
      </c>
      <c r="E100" s="560">
        <v>2119.53</v>
      </c>
      <c r="F100" s="560">
        <v>0</v>
      </c>
      <c r="G100" s="561">
        <v>1</v>
      </c>
      <c r="H100" s="561">
        <v>468</v>
      </c>
      <c r="I100" s="562">
        <f t="shared" si="401"/>
      </c>
      <c r="J100" s="562">
        <f t="shared" si="157"/>
      </c>
      <c r="K100" s="563">
        <f t="shared" si="216"/>
      </c>
      <c r="L100" s="596">
        <f t="shared" si="5"/>
      </c>
      <c r="M100" s="597">
        <f t="shared" si="98"/>
      </c>
      <c r="N100" s="598">
        <f t="shared" si="33"/>
      </c>
      <c r="O100" s="598">
        <f t="shared" si="463"/>
      </c>
      <c r="P100" s="597">
        <f t="shared" si="497"/>
      </c>
      <c r="Q100" s="598">
        <f t="shared" si="364"/>
      </c>
      <c r="R100" s="598">
        <f t="shared" si="429"/>
      </c>
      <c r="S100" s="599">
        <f t="shared" si="185"/>
      </c>
      <c r="T100" s="600">
        <f t="shared" si="244"/>
      </c>
      <c r="U100" s="599">
        <f t="shared" si="67"/>
      </c>
      <c r="V100" s="601">
        <f t="shared" si="126"/>
      </c>
      <c r="W100" s="602" t="s">
        <v>335</v>
      </c>
      <c r="X100" s="570" t="s">
        <v>356</v>
      </c>
      <c r="Y100" s="603">
        <v>1</v>
      </c>
      <c r="Z100" s="603">
        <v>9441</v>
      </c>
      <c r="AA100" s="603">
        <v>172</v>
      </c>
      <c r="AB100" s="603">
        <v>233</v>
      </c>
      <c r="AC100" s="603">
        <v>38</v>
      </c>
      <c r="AD100" s="603">
        <v>11</v>
      </c>
      <c r="AE100" s="604">
        <v>3</v>
      </c>
      <c r="AF100" s="604">
        <v>10</v>
      </c>
      <c r="AG100" s="604">
        <v>1</v>
      </c>
      <c r="AI100" s="542"/>
      <c r="AJ100" s="542"/>
      <c r="AK100" s="542"/>
    </row>
    <row r="101">
      <c r="A101" s="557"/>
      <c r="B101" s="584" t="s">
        <v>345</v>
      </c>
      <c r="C101" s="559" t="s">
        <v>342</v>
      </c>
      <c r="D101" s="559">
        <f t="shared" si="286"/>
      </c>
      <c r="E101" s="560">
        <v>2549.21</v>
      </c>
      <c r="F101" s="560">
        <v>0</v>
      </c>
      <c r="G101" s="561">
        <v>2</v>
      </c>
      <c r="H101" s="561">
        <v>3216</v>
      </c>
      <c r="I101" s="562">
        <f t="shared" si="401"/>
      </c>
      <c r="J101" s="562">
        <f t="shared" si="157"/>
      </c>
      <c r="K101" s="563">
        <f t="shared" si="216"/>
      </c>
      <c r="L101" s="596">
        <f t="shared" si="5"/>
      </c>
      <c r="M101" s="597">
        <f t="shared" si="98"/>
      </c>
      <c r="N101" s="598">
        <f t="shared" si="33"/>
      </c>
      <c r="O101" s="598">
        <f t="shared" si="463"/>
      </c>
      <c r="P101" s="597">
        <f t="shared" si="497"/>
      </c>
      <c r="Q101" s="598">
        <f t="shared" si="364"/>
      </c>
      <c r="R101" s="598">
        <f t="shared" si="429"/>
      </c>
      <c r="S101" s="599">
        <f t="shared" si="185"/>
      </c>
      <c r="T101" s="600">
        <f t="shared" si="244"/>
      </c>
      <c r="U101" s="599">
        <f t="shared" si="67"/>
      </c>
      <c r="V101" s="601">
        <f t="shared" si="126"/>
      </c>
      <c r="W101" s="602" t="s">
        <v>335</v>
      </c>
      <c r="X101" s="570" t="s">
        <v>356</v>
      </c>
      <c r="Y101" s="604">
        <v>2</v>
      </c>
      <c r="Z101" s="603">
        <v>11314</v>
      </c>
      <c r="AA101" s="603">
        <v>265</v>
      </c>
      <c r="AB101" s="603">
        <v>317</v>
      </c>
      <c r="AC101" s="603">
        <v>78</v>
      </c>
      <c r="AD101" s="603">
        <v>17</v>
      </c>
      <c r="AE101" s="604">
        <v>7</v>
      </c>
      <c r="AF101" s="604">
        <v>12</v>
      </c>
      <c r="AG101" s="604">
        <v>1</v>
      </c>
      <c r="AI101" s="542"/>
      <c r="AJ101" s="542"/>
      <c r="AK101" s="542"/>
    </row>
    <row r="102">
      <c r="A102" s="557"/>
      <c r="B102" s="586" t="s">
        <v>340</v>
      </c>
      <c r="C102" s="586"/>
      <c r="D102" s="587">
        <f>SUM(D98:D101)</f>
      </c>
      <c r="E102" s="587">
        <f>SUM(E98:E101)</f>
      </c>
      <c r="F102" s="587">
        <f>SUM(F98:F101)</f>
      </c>
      <c r="G102" s="587">
        <f>SUM(G98:G101)</f>
      </c>
      <c r="H102" s="587">
        <f>SUM(H98:H101)</f>
      </c>
      <c r="I102" s="588">
        <f t="shared" si="401"/>
      </c>
      <c r="J102" s="588">
        <f t="shared" si="157"/>
      </c>
      <c r="K102" s="589">
        <f t="shared" si="216"/>
      </c>
      <c r="L102" s="590">
        <f t="shared" si="5"/>
      </c>
      <c r="M102" s="591">
        <f t="shared" si="98"/>
      </c>
      <c r="N102" s="592">
        <f t="shared" si="33"/>
      </c>
      <c r="O102" s="592">
        <f t="shared" si="463"/>
      </c>
      <c r="P102" s="591">
        <f t="shared" si="497"/>
      </c>
      <c r="Q102" s="592">
        <f t="shared" si="364"/>
      </c>
      <c r="R102" s="592">
        <f t="shared" si="429"/>
      </c>
      <c r="S102" s="593">
        <f t="shared" si="185"/>
      </c>
      <c r="T102" s="594">
        <f t="shared" si="244"/>
      </c>
      <c r="U102" s="593">
        <f t="shared" si="67"/>
      </c>
      <c r="V102" s="595">
        <f t="shared" si="126"/>
      </c>
      <c r="W102" s="595"/>
      <c r="X102" s="595"/>
      <c r="Y102" s="587">
        <f>SUM(Y98:Y101)</f>
      </c>
      <c r="Z102" s="587">
        <f>SUM(Z98:Z101)</f>
      </c>
      <c r="AA102" s="587">
        <f>SUM(AA98:AA101)</f>
      </c>
      <c r="AB102" s="587">
        <f>SUM(AB98:AB101)</f>
      </c>
      <c r="AC102" s="587">
        <f>SUM(AC98:AC101)</f>
      </c>
      <c r="AD102" s="587">
        <f>SUM(AD98:AD101)</f>
      </c>
      <c r="AE102" s="587">
        <f>SUM(AE98:AE101)</f>
      </c>
      <c r="AF102" s="587">
        <f>SUM(AF98:AF101)</f>
      </c>
      <c r="AG102" s="587">
        <f>SUM(AG98:AG101)</f>
      </c>
      <c r="AI102" s="542"/>
      <c r="AJ102" s="542"/>
      <c r="AK102" s="542"/>
    </row>
    <row r="103">
      <c r="A103" s="557"/>
      <c r="B103" s="584" t="s">
        <v>346</v>
      </c>
      <c r="C103" s="559" t="s">
        <v>347</v>
      </c>
      <c r="D103" s="559">
        <f t="shared" ref="D103:D106" si="287">E103+F103</f>
      </c>
      <c r="E103" s="560">
        <v>1663.81</v>
      </c>
      <c r="F103" s="560">
        <v>0</v>
      </c>
      <c r="G103" s="561">
        <v>2</v>
      </c>
      <c r="H103" s="561">
        <v>3028</v>
      </c>
      <c r="I103" s="562">
        <f t="shared" si="401"/>
      </c>
      <c r="J103" s="562">
        <f t="shared" si="157"/>
      </c>
      <c r="K103" s="605">
        <f t="shared" si="216"/>
      </c>
      <c r="L103" s="596">
        <f t="shared" si="5"/>
      </c>
      <c r="M103" s="597">
        <f t="shared" si="98"/>
      </c>
      <c r="N103" s="598">
        <f t="shared" si="33"/>
      </c>
      <c r="O103" s="598">
        <f t="shared" si="463"/>
      </c>
      <c r="P103" s="597">
        <f t="shared" si="497"/>
      </c>
      <c r="Q103" s="598">
        <f t="shared" si="364"/>
      </c>
      <c r="R103" s="598">
        <f t="shared" si="429"/>
      </c>
      <c r="S103" s="599">
        <f t="shared" si="185"/>
      </c>
      <c r="T103" s="600">
        <f t="shared" si="244"/>
      </c>
      <c r="U103" s="599">
        <f t="shared" si="67"/>
      </c>
      <c r="V103" s="601">
        <f t="shared" si="126"/>
      </c>
      <c r="W103" s="602" t="s">
        <v>335</v>
      </c>
      <c r="X103" s="570" t="s">
        <v>357</v>
      </c>
      <c r="Y103" s="604">
        <v>0</v>
      </c>
      <c r="Z103" s="603">
        <v>6684</v>
      </c>
      <c r="AA103" s="603">
        <v>136</v>
      </c>
      <c r="AB103" s="603">
        <v>201</v>
      </c>
      <c r="AC103" s="603">
        <v>39</v>
      </c>
      <c r="AD103" s="603">
        <v>10</v>
      </c>
      <c r="AE103" s="604">
        <v>4</v>
      </c>
      <c r="AF103" s="604">
        <v>12</v>
      </c>
      <c r="AG103" s="604">
        <v>1</v>
      </c>
      <c r="AI103" s="542"/>
      <c r="AJ103" s="542"/>
      <c r="AK103" s="542"/>
    </row>
    <row r="104">
      <c r="A104" s="557"/>
      <c r="B104" s="584" t="s">
        <v>349</v>
      </c>
      <c r="C104" s="559" t="s">
        <v>347</v>
      </c>
      <c r="D104" s="559">
        <f t="shared" si="287"/>
      </c>
      <c r="E104" s="560">
        <v>1201.16</v>
      </c>
      <c r="F104" s="560">
        <v>10.98</v>
      </c>
      <c r="G104" s="561">
        <v>0</v>
      </c>
      <c r="H104" s="561">
        <v>0</v>
      </c>
      <c r="I104" s="562">
        <f t="shared" si="401"/>
      </c>
      <c r="J104" s="562">
        <f t="shared" si="157"/>
      </c>
      <c r="K104" s="605">
        <f t="shared" si="216"/>
      </c>
      <c r="L104" s="596">
        <f t="shared" si="5"/>
      </c>
      <c r="M104" s="597">
        <f t="shared" si="98"/>
      </c>
      <c r="N104" s="598">
        <f t="shared" si="33"/>
      </c>
      <c r="O104" s="598">
        <f t="shared" si="463"/>
      </c>
      <c r="P104" s="597">
        <f t="shared" si="497"/>
      </c>
      <c r="Q104" s="598">
        <f t="shared" si="364"/>
      </c>
      <c r="R104" s="598">
        <f t="shared" si="429"/>
      </c>
      <c r="S104" s="599">
        <f t="shared" si="185"/>
      </c>
      <c r="T104" s="600">
        <f t="shared" si="244"/>
      </c>
      <c r="U104" s="599">
        <f t="shared" si="67"/>
      </c>
      <c r="V104" s="601">
        <f t="shared" si="126"/>
      </c>
      <c r="W104" s="602" t="s">
        <v>335</v>
      </c>
      <c r="X104" s="570" t="s">
        <v>357</v>
      </c>
      <c r="Y104" s="604">
        <v>0</v>
      </c>
      <c r="Z104" s="603">
        <v>4187</v>
      </c>
      <c r="AA104" s="603">
        <v>122</v>
      </c>
      <c r="AB104" s="603">
        <v>163</v>
      </c>
      <c r="AC104" s="603">
        <v>29</v>
      </c>
      <c r="AD104" s="604">
        <v>16</v>
      </c>
      <c r="AE104" s="604">
        <v>1</v>
      </c>
      <c r="AF104" s="604">
        <v>7</v>
      </c>
      <c r="AG104" s="604">
        <v>1</v>
      </c>
      <c r="AI104" s="542"/>
      <c r="AJ104" s="542"/>
      <c r="AK104" s="542"/>
    </row>
    <row r="105">
      <c r="A105" s="557"/>
      <c r="B105" s="558" t="s">
        <v>350</v>
      </c>
      <c r="C105" s="559" t="s">
        <v>347</v>
      </c>
      <c r="D105" s="559">
        <f t="shared" si="287"/>
      </c>
      <c r="E105" s="560">
        <v>950.06</v>
      </c>
      <c r="F105" s="560">
        <v>0</v>
      </c>
      <c r="G105" s="561">
        <v>0</v>
      </c>
      <c r="H105" s="561">
        <v>0</v>
      </c>
      <c r="I105" s="562">
        <f t="shared" si="401"/>
      </c>
      <c r="J105" s="562">
        <f t="shared" si="157"/>
      </c>
      <c r="K105" s="605">
        <f t="shared" si="216"/>
      </c>
      <c r="L105" s="596">
        <f t="shared" si="5"/>
      </c>
      <c r="M105" s="597">
        <f t="shared" si="98"/>
      </c>
      <c r="N105" s="598">
        <f t="shared" si="33"/>
      </c>
      <c r="O105" s="598">
        <f t="shared" si="463"/>
      </c>
      <c r="P105" s="597">
        <f t="shared" si="497"/>
      </c>
      <c r="Q105" s="598">
        <f t="shared" si="364"/>
      </c>
      <c r="R105" s="598">
        <f t="shared" si="429"/>
      </c>
      <c r="S105" s="599">
        <f t="shared" si="185"/>
      </c>
      <c r="T105" s="600">
        <f t="shared" si="244"/>
      </c>
      <c r="U105" s="599">
        <f t="shared" si="67"/>
      </c>
      <c r="V105" s="601">
        <f t="shared" si="126"/>
      </c>
      <c r="W105" s="602" t="s">
        <v>335</v>
      </c>
      <c r="X105" s="570" t="s">
        <v>357</v>
      </c>
      <c r="Y105" s="604">
        <v>0</v>
      </c>
      <c r="Z105" s="603">
        <v>3363</v>
      </c>
      <c r="AA105" s="603">
        <v>90</v>
      </c>
      <c r="AB105" s="603">
        <v>114</v>
      </c>
      <c r="AC105" s="603">
        <v>26</v>
      </c>
      <c r="AD105" s="604">
        <v>10</v>
      </c>
      <c r="AE105" s="604">
        <v>0</v>
      </c>
      <c r="AF105" s="604">
        <v>3</v>
      </c>
      <c r="AG105" s="604">
        <v>1</v>
      </c>
      <c r="AI105" s="542"/>
      <c r="AJ105" s="542"/>
      <c r="AK105" s="542"/>
    </row>
    <row r="106">
      <c r="A106" s="557"/>
      <c r="B106" s="558" t="s">
        <v>351</v>
      </c>
      <c r="C106" s="559" t="s">
        <v>347</v>
      </c>
      <c r="D106" s="559">
        <f t="shared" si="287"/>
      </c>
      <c r="E106" s="560">
        <v>602.17</v>
      </c>
      <c r="F106" s="560">
        <v>0</v>
      </c>
      <c r="G106" s="561">
        <v>0</v>
      </c>
      <c r="H106" s="561">
        <v>0</v>
      </c>
      <c r="I106" s="562">
        <f t="shared" si="401"/>
      </c>
      <c r="J106" s="562">
        <f t="shared" si="157"/>
      </c>
      <c r="K106" s="605">
        <f t="shared" si="216"/>
      </c>
      <c r="L106" s="596">
        <f t="shared" si="5"/>
      </c>
      <c r="M106" s="597">
        <f t="shared" si="98"/>
      </c>
      <c r="N106" s="598">
        <f t="shared" si="33"/>
      </c>
      <c r="O106" s="598">
        <f t="shared" si="463"/>
      </c>
      <c r="P106" s="597">
        <f t="shared" si="497"/>
      </c>
      <c r="Q106" s="598">
        <f t="shared" si="364"/>
      </c>
      <c r="R106" s="598">
        <f t="shared" si="429"/>
      </c>
      <c r="S106" s="599">
        <f t="shared" si="185"/>
      </c>
      <c r="T106" s="600">
        <f t="shared" si="244"/>
      </c>
      <c r="U106" s="599">
        <f t="shared" si="67"/>
      </c>
      <c r="V106" s="601">
        <f t="shared" si="126"/>
      </c>
      <c r="W106" s="602" t="s">
        <v>335</v>
      </c>
      <c r="X106" s="570" t="s">
        <v>357</v>
      </c>
      <c r="Y106" s="604">
        <v>0</v>
      </c>
      <c r="Z106" s="603">
        <v>2546</v>
      </c>
      <c r="AA106" s="603">
        <v>71</v>
      </c>
      <c r="AB106" s="603">
        <v>87</v>
      </c>
      <c r="AC106" s="603">
        <v>21</v>
      </c>
      <c r="AD106" s="603">
        <v>4</v>
      </c>
      <c r="AE106" s="604">
        <v>2</v>
      </c>
      <c r="AF106" s="604">
        <v>4</v>
      </c>
      <c r="AG106" s="604">
        <v>1</v>
      </c>
      <c r="AI106" s="542"/>
      <c r="AJ106" s="542"/>
      <c r="AK106" s="542"/>
    </row>
    <row r="107">
      <c r="A107" s="557"/>
      <c r="B107" s="586" t="s">
        <v>340</v>
      </c>
      <c r="C107" s="586"/>
      <c r="D107" s="587">
        <f>SUM(D103:D106)</f>
      </c>
      <c r="E107" s="587">
        <f>SUM(E103:E106)</f>
      </c>
      <c r="F107" s="587">
        <f>SUM(F103:F106)</f>
      </c>
      <c r="G107" s="587">
        <f>SUM(G103:G106)</f>
      </c>
      <c r="H107" s="587">
        <f>SUM(H103:H106)</f>
      </c>
      <c r="I107" s="588">
        <f t="shared" si="401"/>
      </c>
      <c r="J107" s="588">
        <f t="shared" si="157"/>
      </c>
      <c r="K107" s="606">
        <f t="shared" si="216"/>
      </c>
      <c r="L107" s="590">
        <f t="shared" si="5"/>
      </c>
      <c r="M107" s="591">
        <f t="shared" si="98"/>
      </c>
      <c r="N107" s="592">
        <f t="shared" si="33"/>
      </c>
      <c r="O107" s="592">
        <f t="shared" si="463"/>
      </c>
      <c r="P107" s="591">
        <f t="shared" si="497"/>
      </c>
      <c r="Q107" s="592">
        <f t="shared" si="364"/>
      </c>
      <c r="R107" s="592">
        <f t="shared" si="429"/>
      </c>
      <c r="S107" s="593">
        <f t="shared" si="185"/>
      </c>
      <c r="T107" s="594">
        <f t="shared" si="244"/>
      </c>
      <c r="U107" s="593">
        <f t="shared" si="67"/>
      </c>
      <c r="V107" s="595">
        <f t="shared" si="126"/>
      </c>
      <c r="W107" s="595"/>
      <c r="X107" s="595"/>
      <c r="Y107" s="587">
        <f>SUM(Y103:Y106)</f>
      </c>
      <c r="Z107" s="587">
        <f>SUM(Z103:Z106)</f>
      </c>
      <c r="AA107" s="587">
        <f>SUM(AA103:AA106)</f>
      </c>
      <c r="AB107" s="587">
        <f>SUM(AB103:AB106)</f>
      </c>
      <c r="AC107" s="587">
        <f>SUM(AC103:AC106)</f>
      </c>
      <c r="AD107" s="587">
        <f>SUM(AD103:AD106)</f>
      </c>
      <c r="AE107" s="587">
        <f>SUM(AE103:AE106)</f>
      </c>
      <c r="AF107" s="587">
        <f>SUM(AF103:AF106)</f>
      </c>
      <c r="AG107" s="587">
        <f>SUM(AG103:AG106)</f>
      </c>
      <c r="AI107" s="542"/>
      <c r="AJ107" s="542"/>
      <c r="AK107" s="542"/>
    </row>
    <row r="108">
      <c r="A108" s="557"/>
      <c r="B108" s="607" t="s">
        <v>352</v>
      </c>
      <c r="C108" s="607"/>
      <c r="D108" s="607">
        <f>D97+D107+D102</f>
      </c>
      <c r="E108" s="607">
        <f>E97+E107+E102</f>
      </c>
      <c r="F108" s="607">
        <f>F97+F107+F102</f>
      </c>
      <c r="G108" s="607">
        <f>G97+G107+G102</f>
      </c>
      <c r="H108" s="607">
        <f>H97+H107+H102</f>
      </c>
      <c r="I108" s="608">
        <f t="shared" si="401"/>
      </c>
      <c r="J108" s="608">
        <f t="shared" si="157"/>
      </c>
      <c r="K108" s="609">
        <f t="shared" si="216"/>
      </c>
      <c r="L108" s="610">
        <f t="shared" si="5"/>
      </c>
      <c r="M108" s="611">
        <f t="shared" si="98"/>
      </c>
      <c r="N108" s="612">
        <f t="shared" si="33"/>
      </c>
      <c r="O108" s="612">
        <f t="shared" si="463"/>
      </c>
      <c r="P108" s="611">
        <f t="shared" si="497"/>
      </c>
      <c r="Q108" s="612">
        <f t="shared" si="364"/>
      </c>
      <c r="R108" s="612">
        <f t="shared" si="429"/>
      </c>
      <c r="S108" s="611">
        <f t="shared" si="185"/>
      </c>
      <c r="T108" s="613">
        <f t="shared" si="244"/>
      </c>
      <c r="U108" s="611">
        <f t="shared" si="67"/>
      </c>
      <c r="V108" s="609">
        <f t="shared" si="126"/>
      </c>
      <c r="W108" s="609"/>
      <c r="X108" s="609"/>
      <c r="Y108" s="607">
        <f>Y97+Y107+Y102</f>
      </c>
      <c r="Z108" s="607">
        <f>Z97+Z107+Z102</f>
      </c>
      <c r="AA108" s="607">
        <f>AA97+AA107+AA102</f>
      </c>
      <c r="AB108" s="607">
        <f>AB97+AB107+AB102</f>
      </c>
      <c r="AC108" s="607">
        <f>AC97+AC107+AC102</f>
      </c>
      <c r="AD108" s="607">
        <f>AD97+AD107+AD102</f>
      </c>
      <c r="AE108" s="607">
        <f>AE97+AE107+AE102</f>
      </c>
      <c r="AF108" s="607">
        <f>AF97+AF107+AF102</f>
      </c>
      <c r="AG108" s="607">
        <f>AG97+AG107+AG102</f>
      </c>
      <c r="AI108" s="542"/>
      <c r="AJ108" s="542"/>
      <c r="AK108" s="542"/>
    </row>
    <row r="109">
      <c r="A109" s="538" t="s">
        <v>295</v>
      </c>
      <c r="B109" s="538"/>
      <c r="C109" s="538"/>
      <c r="D109" s="539" t="s">
        <v>296</v>
      </c>
      <c r="E109" s="539"/>
      <c r="F109" s="539"/>
      <c r="G109" s="539"/>
      <c r="H109" s="539"/>
      <c r="I109" s="539"/>
      <c r="J109" s="539"/>
      <c r="K109" s="540" t="s">
        <v>297</v>
      </c>
      <c r="L109" s="540"/>
      <c r="M109" s="540"/>
      <c r="N109" s="540"/>
      <c r="O109" s="540"/>
      <c r="P109" s="540"/>
      <c r="Q109" s="540"/>
      <c r="R109" s="540"/>
      <c r="S109" s="540"/>
      <c r="T109" s="540"/>
      <c r="U109" s="540"/>
      <c r="V109" s="540"/>
      <c r="W109" s="540"/>
      <c r="X109" s="540"/>
      <c r="Y109" s="541" t="s">
        <v>298</v>
      </c>
      <c r="Z109" s="541"/>
      <c r="AA109" s="541"/>
      <c r="AB109" s="541"/>
      <c r="AC109" s="541"/>
      <c r="AD109" s="541"/>
      <c r="AE109" s="541"/>
      <c r="AF109" s="541"/>
      <c r="AG109" s="541"/>
      <c r="AI109" s="542"/>
      <c r="AJ109" s="542"/>
      <c r="AK109" s="542"/>
    </row>
    <row r="110">
      <c r="A110" s="543" t="s">
        <v>299</v>
      </c>
      <c r="B110" s="544" t="s">
        <v>300</v>
      </c>
      <c r="C110" s="544" t="s">
        <v>301</v>
      </c>
      <c r="D110" s="545" t="s">
        <v>302</v>
      </c>
      <c r="E110" s="546" t="s">
        <v>303</v>
      </c>
      <c r="F110" s="546" t="s">
        <v>304</v>
      </c>
      <c r="G110" s="547" t="s">
        <v>305</v>
      </c>
      <c r="H110" s="548" t="s">
        <v>306</v>
      </c>
      <c r="I110" s="549" t="s">
        <v>307</v>
      </c>
      <c r="J110" s="550" t="s">
        <v>308</v>
      </c>
      <c r="K110" s="551" t="s">
        <v>309</v>
      </c>
      <c r="L110" s="540" t="s">
        <v>310</v>
      </c>
      <c r="M110" s="540" t="s">
        <v>311</v>
      </c>
      <c r="N110" s="552" t="s">
        <v>312</v>
      </c>
      <c r="O110" s="552" t="s">
        <v>313</v>
      </c>
      <c r="P110" s="540" t="s">
        <v>314</v>
      </c>
      <c r="Q110" s="552" t="s">
        <v>315</v>
      </c>
      <c r="R110" s="552" t="s">
        <v>316</v>
      </c>
      <c r="S110" s="540" t="s">
        <v>317</v>
      </c>
      <c r="T110" s="552" t="s">
        <v>318</v>
      </c>
      <c r="U110" s="540" t="s">
        <v>319</v>
      </c>
      <c r="V110" s="553" t="s">
        <v>320</v>
      </c>
      <c r="W110" s="553" t="s">
        <v>321</v>
      </c>
      <c r="X110" s="553" t="s">
        <v>322</v>
      </c>
      <c r="Y110" s="554" t="s">
        <v>323</v>
      </c>
      <c r="Z110" s="555" t="s">
        <v>324</v>
      </c>
      <c r="AA110" s="555" t="s">
        <v>325</v>
      </c>
      <c r="AB110" s="555" t="s">
        <v>326</v>
      </c>
      <c r="AC110" s="555" t="s">
        <v>327</v>
      </c>
      <c r="AD110" s="555" t="s">
        <v>328</v>
      </c>
      <c r="AE110" s="555" t="s">
        <v>329</v>
      </c>
      <c r="AF110" s="555" t="s">
        <v>330</v>
      </c>
      <c r="AG110" s="556" t="s">
        <v>331</v>
      </c>
      <c r="AI110" s="542"/>
      <c r="AJ110" s="542"/>
      <c r="AK110" s="542"/>
    </row>
    <row r="111">
      <c r="A111" s="557" t="s">
        <v>360</v>
      </c>
      <c r="B111" s="558" t="s">
        <v>333</v>
      </c>
      <c r="C111" s="559" t="s">
        <v>347</v>
      </c>
      <c r="D111" s="559">
        <f t="shared" ref="D111:D114" si="288">E111+F111</f>
      </c>
      <c r="E111" s="560">
        <v>2508.16</v>
      </c>
      <c r="F111" s="560">
        <v>356.86</v>
      </c>
      <c r="G111" s="561">
        <v>1</v>
      </c>
      <c r="H111" s="561">
        <v>948</v>
      </c>
      <c r="I111" s="562">
        <f t="shared" ref="I111:I125" si="402">H111/D111</f>
      </c>
      <c r="J111" s="562">
        <f t="shared" ref="J111:J125" si="158">H111/(D111+300*AG111)</f>
      </c>
      <c r="K111" s="563">
        <f t="shared" ref="K111:K125" si="217">(D111/Z111)*1000</f>
      </c>
      <c r="L111" s="564">
        <f t="shared" ref="L111:L125" si="6">AA111/Z111</f>
      </c>
      <c r="M111" s="565">
        <f t="shared" ref="M111:M125" si="99">D111/AB111</f>
      </c>
      <c r="N111" s="566">
        <f t="shared" ref="N111:N125" si="34">AC111/AB111</f>
      </c>
      <c r="O111" s="566">
        <f t="shared" ref="O111:O125" si="464">AD111/AB111</f>
      </c>
      <c r="P111" s="565">
        <f t="shared" ref="P111:P125" si="498">D111/AD111</f>
      </c>
      <c r="Q111" s="566">
        <f t="shared" ref="Q111:Q125" si="365">AE111/AD111</f>
      </c>
      <c r="R111" s="566">
        <f t="shared" ref="R111:R125" si="430">G111/AE111</f>
      </c>
      <c r="S111" s="565">
        <f t="shared" ref="S111:S125" si="186">D111/G111</f>
      </c>
      <c r="T111" s="567">
        <f t="shared" ref="T111:T125" si="245">H111/G111</f>
      </c>
      <c r="U111" s="565">
        <f t="shared" ref="U111:U125" si="68">D111/Y111</f>
      </c>
      <c r="V111" s="568">
        <f t="shared" ref="V111:V125" si="127">AF111*1000/D111</f>
      </c>
      <c r="W111" s="569" t="s">
        <v>335</v>
      </c>
      <c r="X111" s="570" t="s">
        <v>356</v>
      </c>
      <c r="Y111" s="571">
        <v>1</v>
      </c>
      <c r="Z111" s="572">
        <v>12110</v>
      </c>
      <c r="AA111" s="572">
        <v>332</v>
      </c>
      <c r="AB111" s="572">
        <v>447</v>
      </c>
      <c r="AC111" s="572">
        <v>62</v>
      </c>
      <c r="AD111" s="571">
        <v>32</v>
      </c>
      <c r="AE111" s="571">
        <v>7</v>
      </c>
      <c r="AF111" s="571">
        <v>20</v>
      </c>
      <c r="AG111" s="571">
        <v>1</v>
      </c>
      <c r="AI111" s="542"/>
      <c r="AJ111" s="542"/>
      <c r="AK111" s="542"/>
    </row>
    <row r="112">
      <c r="A112" s="557"/>
      <c r="B112" s="558" t="s">
        <v>337</v>
      </c>
      <c r="C112" s="559" t="s">
        <v>347</v>
      </c>
      <c r="D112" s="559">
        <f t="shared" si="288"/>
      </c>
      <c r="E112" s="560">
        <v>1801.61</v>
      </c>
      <c r="F112" s="560">
        <v>625.47</v>
      </c>
      <c r="G112" s="561">
        <v>4</v>
      </c>
      <c r="H112" s="561">
        <v>7752</v>
      </c>
      <c r="I112" s="562">
        <f t="shared" si="402"/>
      </c>
      <c r="J112" s="562">
        <f t="shared" si="158"/>
      </c>
      <c r="K112" s="563">
        <f t="shared" si="217"/>
      </c>
      <c r="L112" s="574">
        <f t="shared" si="6"/>
      </c>
      <c r="M112" s="575">
        <f t="shared" si="99"/>
      </c>
      <c r="N112" s="576">
        <f t="shared" si="34"/>
      </c>
      <c r="O112" s="576">
        <f t="shared" si="464"/>
      </c>
      <c r="P112" s="575">
        <f t="shared" si="498"/>
      </c>
      <c r="Q112" s="576">
        <f t="shared" si="365"/>
      </c>
      <c r="R112" s="576">
        <f t="shared" si="430"/>
      </c>
      <c r="S112" s="577">
        <f t="shared" si="186"/>
      </c>
      <c r="T112" s="578">
        <f t="shared" si="245"/>
      </c>
      <c r="U112" s="579">
        <f t="shared" si="68"/>
      </c>
      <c r="V112" s="580">
        <f t="shared" si="127"/>
      </c>
      <c r="W112" s="581" t="s">
        <v>335</v>
      </c>
      <c r="X112" s="570" t="s">
        <v>356</v>
      </c>
      <c r="Y112" s="583">
        <v>4</v>
      </c>
      <c r="Z112" s="582">
        <v>10990</v>
      </c>
      <c r="AA112" s="582">
        <v>389</v>
      </c>
      <c r="AB112" s="582">
        <v>498</v>
      </c>
      <c r="AC112" s="582">
        <v>75</v>
      </c>
      <c r="AD112" s="582">
        <v>34</v>
      </c>
      <c r="AE112" s="583">
        <v>6</v>
      </c>
      <c r="AF112" s="583">
        <v>14</v>
      </c>
      <c r="AG112" s="583">
        <v>1</v>
      </c>
      <c r="AI112" s="542"/>
      <c r="AJ112" s="542"/>
      <c r="AK112" s="542"/>
    </row>
    <row r="113">
      <c r="A113" s="557"/>
      <c r="B113" s="584" t="s">
        <v>338</v>
      </c>
      <c r="C113" s="559" t="s">
        <v>347</v>
      </c>
      <c r="D113" s="559">
        <f t="shared" si="288"/>
      </c>
      <c r="E113" s="560">
        <v>1621.02</v>
      </c>
      <c r="F113" s="560">
        <v>1045.94</v>
      </c>
      <c r="G113" s="561">
        <v>2</v>
      </c>
      <c r="H113" s="561">
        <v>4348</v>
      </c>
      <c r="I113" s="562">
        <f t="shared" si="402"/>
      </c>
      <c r="J113" s="562">
        <f t="shared" si="158"/>
      </c>
      <c r="K113" s="563">
        <f t="shared" si="217"/>
      </c>
      <c r="L113" s="574">
        <f t="shared" si="6"/>
      </c>
      <c r="M113" s="575">
        <f t="shared" si="99"/>
      </c>
      <c r="N113" s="576">
        <f t="shared" si="34"/>
      </c>
      <c r="O113" s="576">
        <f t="shared" si="464"/>
      </c>
      <c r="P113" s="575">
        <f t="shared" si="498"/>
      </c>
      <c r="Q113" s="576">
        <f t="shared" si="365"/>
      </c>
      <c r="R113" s="576">
        <f t="shared" si="430"/>
      </c>
      <c r="S113" s="577">
        <f t="shared" si="186"/>
      </c>
      <c r="T113" s="578">
        <f t="shared" si="245"/>
      </c>
      <c r="U113" s="579">
        <f t="shared" si="68"/>
      </c>
      <c r="V113" s="580">
        <f t="shared" si="127"/>
      </c>
      <c r="W113" s="581" t="s">
        <v>335</v>
      </c>
      <c r="X113" s="570" t="s">
        <v>356</v>
      </c>
      <c r="Y113" s="583">
        <v>2</v>
      </c>
      <c r="Z113" s="582">
        <v>11595</v>
      </c>
      <c r="AA113" s="582">
        <v>559</v>
      </c>
      <c r="AB113" s="582">
        <v>680</v>
      </c>
      <c r="AC113" s="582">
        <v>85</v>
      </c>
      <c r="AD113" s="582">
        <v>46</v>
      </c>
      <c r="AE113" s="583">
        <v>7</v>
      </c>
      <c r="AF113" s="583">
        <v>13</v>
      </c>
      <c r="AG113" s="583">
        <v>1</v>
      </c>
      <c r="AI113" s="542"/>
      <c r="AJ113" s="542"/>
      <c r="AK113" s="542"/>
    </row>
    <row r="114">
      <c r="A114" s="557"/>
      <c r="B114" s="584" t="s">
        <v>339</v>
      </c>
      <c r="C114" s="559" t="s">
        <v>347</v>
      </c>
      <c r="D114" s="559">
        <f t="shared" si="288"/>
      </c>
      <c r="E114" s="560">
        <v>1963.15</v>
      </c>
      <c r="F114" s="560">
        <v>1088.56</v>
      </c>
      <c r="G114" s="561">
        <v>2</v>
      </c>
      <c r="H114" s="561">
        <v>3028</v>
      </c>
      <c r="I114" s="562">
        <f t="shared" si="402"/>
      </c>
      <c r="J114" s="562">
        <f t="shared" si="158"/>
      </c>
      <c r="K114" s="563">
        <f t="shared" si="217"/>
      </c>
      <c r="L114" s="574">
        <f t="shared" si="6"/>
      </c>
      <c r="M114" s="575">
        <f t="shared" si="99"/>
      </c>
      <c r="N114" s="576">
        <f t="shared" si="34"/>
      </c>
      <c r="O114" s="576">
        <f t="shared" si="464"/>
      </c>
      <c r="P114" s="575">
        <f t="shared" si="498"/>
      </c>
      <c r="Q114" s="576">
        <f t="shared" si="365"/>
      </c>
      <c r="R114" s="576">
        <f t="shared" si="430"/>
      </c>
      <c r="S114" s="577">
        <f t="shared" si="186"/>
      </c>
      <c r="T114" s="585">
        <f t="shared" si="245"/>
      </c>
      <c r="U114" s="577">
        <f t="shared" si="68"/>
      </c>
      <c r="V114" s="580">
        <f t="shared" si="127"/>
      </c>
      <c r="W114" s="581" t="s">
        <v>335</v>
      </c>
      <c r="X114" s="570" t="s">
        <v>356</v>
      </c>
      <c r="Y114" s="583">
        <v>2</v>
      </c>
      <c r="Z114" s="583">
        <v>13861</v>
      </c>
      <c r="AA114" s="583">
        <v>538</v>
      </c>
      <c r="AB114" s="583">
        <v>648</v>
      </c>
      <c r="AC114" s="583">
        <v>77</v>
      </c>
      <c r="AD114" s="583">
        <v>41</v>
      </c>
      <c r="AE114" s="583">
        <v>4</v>
      </c>
      <c r="AF114" s="583">
        <v>9</v>
      </c>
      <c r="AG114" s="583">
        <v>1</v>
      </c>
      <c r="AI114" s="542"/>
      <c r="AJ114" s="542"/>
      <c r="AK114" s="542"/>
    </row>
    <row r="115">
      <c r="A115" s="557"/>
      <c r="B115" s="586" t="s">
        <v>340</v>
      </c>
      <c r="C115" s="586"/>
      <c r="D115" s="587">
        <f>SUM(D111:D114)</f>
      </c>
      <c r="E115" s="587">
        <f>SUM(E111:E114)</f>
      </c>
      <c r="F115" s="587">
        <f>SUM(F111:F114)</f>
      </c>
      <c r="G115" s="587">
        <f>SUM(G111:G114)</f>
      </c>
      <c r="H115" s="587">
        <f>SUM(H111:H114)</f>
      </c>
      <c r="I115" s="588">
        <f t="shared" si="402"/>
      </c>
      <c r="J115" s="588">
        <f t="shared" si="158"/>
      </c>
      <c r="K115" s="589">
        <f t="shared" si="217"/>
      </c>
      <c r="L115" s="590">
        <f t="shared" si="6"/>
      </c>
      <c r="M115" s="591">
        <f t="shared" si="99"/>
      </c>
      <c r="N115" s="592">
        <f t="shared" si="34"/>
      </c>
      <c r="O115" s="592">
        <f t="shared" si="464"/>
      </c>
      <c r="P115" s="591">
        <f t="shared" si="498"/>
      </c>
      <c r="Q115" s="592">
        <f t="shared" si="365"/>
      </c>
      <c r="R115" s="592">
        <f t="shared" si="430"/>
      </c>
      <c r="S115" s="593">
        <f t="shared" si="186"/>
      </c>
      <c r="T115" s="594">
        <f t="shared" si="245"/>
      </c>
      <c r="U115" s="593">
        <f t="shared" si="68"/>
      </c>
      <c r="V115" s="595">
        <f t="shared" si="127"/>
      </c>
      <c r="W115" s="595"/>
      <c r="X115" s="595"/>
      <c r="Y115" s="587">
        <f>SUM(Y111:Y114)</f>
      </c>
      <c r="Z115" s="587">
        <f>SUM(Z111:Z114)</f>
      </c>
      <c r="AA115" s="587">
        <f>SUM(AA111:AA114)</f>
      </c>
      <c r="AB115" s="587">
        <f>SUM(AB111:AB114)</f>
      </c>
      <c r="AC115" s="587">
        <f>SUM(AC111:AC114)</f>
      </c>
      <c r="AD115" s="587">
        <f>SUM(AD111:AD114)</f>
      </c>
      <c r="AE115" s="587">
        <f>SUM(AE111:AE114)</f>
      </c>
      <c r="AF115" s="587">
        <f>SUM(AF111:AF114)</f>
      </c>
      <c r="AG115" s="587">
        <f>SUM(AG111:AG114)</f>
      </c>
      <c r="AI115" s="542"/>
      <c r="AJ115" s="542"/>
      <c r="AK115" s="542"/>
    </row>
    <row r="116">
      <c r="A116" s="557"/>
      <c r="B116" s="584" t="s">
        <v>341</v>
      </c>
      <c r="C116" s="559" t="s">
        <v>334</v>
      </c>
      <c r="D116" s="559">
        <f t="shared" ref="D116:D119" si="289">E116+F116</f>
      </c>
      <c r="E116" s="560">
        <v>2391.86</v>
      </c>
      <c r="F116" s="560">
        <v>771.83</v>
      </c>
      <c r="G116" s="573">
        <v>1</v>
      </c>
      <c r="H116" s="573">
        <v>948</v>
      </c>
      <c r="I116" s="562">
        <f t="shared" si="402"/>
      </c>
      <c r="J116" s="562">
        <f t="shared" si="158"/>
      </c>
      <c r="K116" s="563">
        <f t="shared" si="217"/>
      </c>
      <c r="L116" s="596">
        <f t="shared" si="6"/>
      </c>
      <c r="M116" s="597">
        <f t="shared" si="99"/>
      </c>
      <c r="N116" s="598">
        <f t="shared" si="34"/>
      </c>
      <c r="O116" s="598">
        <f t="shared" si="464"/>
      </c>
      <c r="P116" s="597">
        <f t="shared" si="498"/>
      </c>
      <c r="Q116" s="598">
        <f t="shared" si="365"/>
      </c>
      <c r="R116" s="598">
        <f t="shared" si="430"/>
      </c>
      <c r="S116" s="599">
        <f t="shared" si="186"/>
      </c>
      <c r="T116" s="600">
        <f t="shared" si="245"/>
      </c>
      <c r="U116" s="599">
        <f t="shared" si="68"/>
      </c>
      <c r="V116" s="601">
        <f t="shared" si="127"/>
      </c>
      <c r="W116" s="602" t="s">
        <v>335</v>
      </c>
      <c r="X116" s="570" t="s">
        <v>356</v>
      </c>
      <c r="Y116" s="604">
        <v>1</v>
      </c>
      <c r="Z116" s="603">
        <v>16889</v>
      </c>
      <c r="AA116" s="603">
        <v>517</v>
      </c>
      <c r="AB116" s="603">
        <v>644</v>
      </c>
      <c r="AC116" s="603">
        <v>96</v>
      </c>
      <c r="AD116" s="603">
        <v>42</v>
      </c>
      <c r="AE116" s="604">
        <v>5</v>
      </c>
      <c r="AF116" s="604">
        <v>19</v>
      </c>
      <c r="AG116" s="604">
        <v>1</v>
      </c>
      <c r="AI116" s="542"/>
      <c r="AJ116" s="542"/>
      <c r="AK116" s="542"/>
    </row>
    <row r="117">
      <c r="A117" s="557"/>
      <c r="B117" s="584" t="s">
        <v>343</v>
      </c>
      <c r="C117" s="559" t="s">
        <v>334</v>
      </c>
      <c r="D117" s="559">
        <f t="shared" si="289"/>
      </c>
      <c r="E117" s="560">
        <v>2302.45</v>
      </c>
      <c r="F117" s="560">
        <v>202.46</v>
      </c>
      <c r="G117" s="573">
        <v>2</v>
      </c>
      <c r="H117" s="573">
        <v>3216</v>
      </c>
      <c r="I117" s="562">
        <f t="shared" si="402"/>
      </c>
      <c r="J117" s="562">
        <f t="shared" si="158"/>
      </c>
      <c r="K117" s="563">
        <f t="shared" si="217"/>
      </c>
      <c r="L117" s="596">
        <f t="shared" si="6"/>
      </c>
      <c r="M117" s="597">
        <f t="shared" si="99"/>
      </c>
      <c r="N117" s="598">
        <f t="shared" si="34"/>
      </c>
      <c r="O117" s="598">
        <f t="shared" si="464"/>
      </c>
      <c r="P117" s="597">
        <f t="shared" si="498"/>
      </c>
      <c r="Q117" s="598">
        <f t="shared" si="365"/>
      </c>
      <c r="R117" s="598">
        <f t="shared" si="430"/>
      </c>
      <c r="S117" s="599">
        <f t="shared" si="186"/>
      </c>
      <c r="T117" s="600">
        <f t="shared" si="245"/>
      </c>
      <c r="U117" s="599">
        <f t="shared" si="68"/>
      </c>
      <c r="V117" s="601">
        <f t="shared" si="127"/>
      </c>
      <c r="W117" s="602" t="s">
        <v>335</v>
      </c>
      <c r="X117" s="570" t="s">
        <v>356</v>
      </c>
      <c r="Y117" s="604">
        <v>1</v>
      </c>
      <c r="Z117" s="603">
        <v>12128</v>
      </c>
      <c r="AA117" s="603">
        <v>280</v>
      </c>
      <c r="AB117" s="603">
        <v>341</v>
      </c>
      <c r="AC117" s="603">
        <v>64</v>
      </c>
      <c r="AD117" s="603">
        <v>3</v>
      </c>
      <c r="AE117" s="604">
        <v>2</v>
      </c>
      <c r="AF117" s="604">
        <v>9</v>
      </c>
      <c r="AG117" s="604">
        <v>1</v>
      </c>
      <c r="AI117" s="542"/>
      <c r="AJ117" s="542"/>
      <c r="AK117" s="542"/>
    </row>
    <row r="118">
      <c r="A118" s="557"/>
      <c r="B118" s="584" t="s">
        <v>344</v>
      </c>
      <c r="C118" s="559" t="s">
        <v>334</v>
      </c>
      <c r="D118" s="559">
        <f t="shared" si="289"/>
      </c>
      <c r="E118" s="560">
        <v>2482.42</v>
      </c>
      <c r="F118" s="560">
        <v>243.2</v>
      </c>
      <c r="G118" s="561">
        <v>3</v>
      </c>
      <c r="H118" s="561">
        <v>5484</v>
      </c>
      <c r="I118" s="562">
        <f t="shared" si="402"/>
      </c>
      <c r="J118" s="562">
        <f t="shared" si="158"/>
      </c>
      <c r="K118" s="563">
        <f t="shared" si="217"/>
      </c>
      <c r="L118" s="596">
        <f t="shared" si="6"/>
      </c>
      <c r="M118" s="597">
        <f t="shared" si="99"/>
      </c>
      <c r="N118" s="598">
        <f t="shared" si="34"/>
      </c>
      <c r="O118" s="598">
        <f t="shared" si="464"/>
      </c>
      <c r="P118" s="597">
        <f t="shared" si="498"/>
      </c>
      <c r="Q118" s="598">
        <f t="shared" si="365"/>
      </c>
      <c r="R118" s="598">
        <f t="shared" si="430"/>
      </c>
      <c r="S118" s="599">
        <f t="shared" si="186"/>
      </c>
      <c r="T118" s="600">
        <f t="shared" si="245"/>
      </c>
      <c r="U118" s="599">
        <f t="shared" si="68"/>
      </c>
      <c r="V118" s="601">
        <f t="shared" si="127"/>
      </c>
      <c r="W118" s="602" t="s">
        <v>335</v>
      </c>
      <c r="X118" s="570" t="s">
        <v>356</v>
      </c>
      <c r="Y118" s="603">
        <v>3</v>
      </c>
      <c r="Z118" s="603">
        <v>13636</v>
      </c>
      <c r="AA118" s="603">
        <v>287</v>
      </c>
      <c r="AB118" s="603">
        <v>360</v>
      </c>
      <c r="AC118" s="603">
        <v>72</v>
      </c>
      <c r="AD118" s="603">
        <v>14</v>
      </c>
      <c r="AE118" s="604">
        <v>6</v>
      </c>
      <c r="AF118" s="604">
        <v>11</v>
      </c>
      <c r="AG118" s="604">
        <v>1</v>
      </c>
      <c r="AI118" s="542"/>
      <c r="AJ118" s="542"/>
      <c r="AK118" s="542"/>
    </row>
    <row r="119">
      <c r="A119" s="557"/>
      <c r="B119" s="584" t="s">
        <v>345</v>
      </c>
      <c r="C119" s="559" t="s">
        <v>334</v>
      </c>
      <c r="D119" s="559">
        <f t="shared" si="289"/>
      </c>
      <c r="E119" s="560">
        <v>2560.84</v>
      </c>
      <c r="F119" s="560">
        <v>526.39</v>
      </c>
      <c r="G119" s="561">
        <v>1</v>
      </c>
      <c r="H119" s="561">
        <v>468</v>
      </c>
      <c r="I119" s="562">
        <f t="shared" si="402"/>
      </c>
      <c r="J119" s="562">
        <f t="shared" si="158"/>
      </c>
      <c r="K119" s="563">
        <f t="shared" si="217"/>
      </c>
      <c r="L119" s="596">
        <f t="shared" si="6"/>
      </c>
      <c r="M119" s="597">
        <f t="shared" si="99"/>
      </c>
      <c r="N119" s="598">
        <f t="shared" si="34"/>
      </c>
      <c r="O119" s="598">
        <f t="shared" si="464"/>
      </c>
      <c r="P119" s="597">
        <f t="shared" si="498"/>
      </c>
      <c r="Q119" s="598">
        <f t="shared" si="365"/>
      </c>
      <c r="R119" s="598">
        <f t="shared" si="430"/>
      </c>
      <c r="S119" s="599">
        <f t="shared" si="186"/>
      </c>
      <c r="T119" s="600">
        <f t="shared" si="245"/>
      </c>
      <c r="U119" s="599">
        <f t="shared" si="68"/>
      </c>
      <c r="V119" s="601">
        <f t="shared" si="127"/>
      </c>
      <c r="W119" s="602" t="s">
        <v>335</v>
      </c>
      <c r="X119" s="570" t="s">
        <v>356</v>
      </c>
      <c r="Y119" s="604">
        <v>1</v>
      </c>
      <c r="Z119" s="603">
        <v>15052</v>
      </c>
      <c r="AA119" s="603">
        <v>351</v>
      </c>
      <c r="AB119" s="603">
        <v>412</v>
      </c>
      <c r="AC119" s="603">
        <v>69</v>
      </c>
      <c r="AD119" s="603">
        <v>31</v>
      </c>
      <c r="AE119" s="604">
        <v>3</v>
      </c>
      <c r="AF119" s="604">
        <v>12</v>
      </c>
      <c r="AG119" s="604">
        <v>1</v>
      </c>
      <c r="AI119" s="542"/>
      <c r="AJ119" s="542"/>
      <c r="AK119" s="542"/>
    </row>
    <row r="120">
      <c r="A120" s="557"/>
      <c r="B120" s="586" t="s">
        <v>340</v>
      </c>
      <c r="C120" s="586"/>
      <c r="D120" s="587">
        <f>SUM(D116:D119)</f>
      </c>
      <c r="E120" s="587">
        <f>SUM(E116:E119)</f>
      </c>
      <c r="F120" s="587">
        <f>SUM(F116:F119)</f>
      </c>
      <c r="G120" s="587">
        <f>SUM(G116:G119)</f>
      </c>
      <c r="H120" s="587">
        <f>SUM(H116:H119)</f>
      </c>
      <c r="I120" s="588">
        <f t="shared" si="402"/>
      </c>
      <c r="J120" s="588">
        <f t="shared" si="158"/>
      </c>
      <c r="K120" s="589">
        <f t="shared" si="217"/>
      </c>
      <c r="L120" s="590">
        <f t="shared" si="6"/>
      </c>
      <c r="M120" s="591">
        <f t="shared" si="99"/>
      </c>
      <c r="N120" s="592">
        <f t="shared" si="34"/>
      </c>
      <c r="O120" s="592">
        <f t="shared" si="464"/>
      </c>
      <c r="P120" s="591">
        <f t="shared" si="498"/>
      </c>
      <c r="Q120" s="592">
        <f t="shared" si="365"/>
      </c>
      <c r="R120" s="592">
        <f t="shared" si="430"/>
      </c>
      <c r="S120" s="593">
        <f t="shared" si="186"/>
      </c>
      <c r="T120" s="594">
        <f t="shared" si="245"/>
      </c>
      <c r="U120" s="593">
        <f t="shared" si="68"/>
      </c>
      <c r="V120" s="595">
        <f t="shared" si="127"/>
      </c>
      <c r="W120" s="595"/>
      <c r="X120" s="595"/>
      <c r="Y120" s="587">
        <f>SUM(Y116:Y119)</f>
      </c>
      <c r="Z120" s="587">
        <f>SUM(Z116:Z119)</f>
      </c>
      <c r="AA120" s="587">
        <f>SUM(AA116:AA119)</f>
      </c>
      <c r="AB120" s="587">
        <f>SUM(AB116:AB119)</f>
      </c>
      <c r="AC120" s="587">
        <f>SUM(AC116:AC119)</f>
      </c>
      <c r="AD120" s="587">
        <f>SUM(AD116:AD119)</f>
      </c>
      <c r="AE120" s="587">
        <f>SUM(AE116:AE119)</f>
      </c>
      <c r="AF120" s="587">
        <f>SUM(AF116:AF119)</f>
      </c>
      <c r="AG120" s="587">
        <f>SUM(AG116:AG119)</f>
      </c>
      <c r="AI120" s="542"/>
      <c r="AJ120" s="542"/>
      <c r="AK120" s="542"/>
    </row>
    <row r="121">
      <c r="A121" s="557"/>
      <c r="B121" s="584" t="s">
        <v>346</v>
      </c>
      <c r="C121" s="559" t="s">
        <v>342</v>
      </c>
      <c r="D121" s="559">
        <f t="shared" ref="D121:D123" si="290">E121+F121</f>
      </c>
      <c r="E121" s="560">
        <v>1321.76</v>
      </c>
      <c r="F121" s="560">
        <v>652.11</v>
      </c>
      <c r="G121" s="561">
        <v>0</v>
      </c>
      <c r="H121" s="561">
        <v>0</v>
      </c>
      <c r="I121" s="562">
        <f t="shared" si="402"/>
      </c>
      <c r="J121" s="562">
        <f t="shared" si="158"/>
      </c>
      <c r="K121" s="605">
        <f t="shared" si="217"/>
      </c>
      <c r="L121" s="596">
        <f t="shared" si="6"/>
      </c>
      <c r="M121" s="597">
        <f t="shared" si="99"/>
      </c>
      <c r="N121" s="598">
        <f t="shared" si="34"/>
      </c>
      <c r="O121" s="598">
        <f t="shared" si="464"/>
      </c>
      <c r="P121" s="597">
        <f t="shared" si="498"/>
      </c>
      <c r="Q121" s="598">
        <f t="shared" si="365"/>
      </c>
      <c r="R121" s="598">
        <f t="shared" si="430"/>
      </c>
      <c r="S121" s="599">
        <f t="shared" si="186"/>
      </c>
      <c r="T121" s="600">
        <f t="shared" si="245"/>
      </c>
      <c r="U121" s="599">
        <f t="shared" si="68"/>
      </c>
      <c r="V121" s="601">
        <f t="shared" si="127"/>
      </c>
      <c r="W121" s="602" t="s">
        <v>335</v>
      </c>
      <c r="X121" s="570" t="s">
        <v>357</v>
      </c>
      <c r="Y121" s="604">
        <v>0</v>
      </c>
      <c r="Z121" s="603">
        <v>7100</v>
      </c>
      <c r="AA121" s="603">
        <v>201</v>
      </c>
      <c r="AB121" s="603">
        <v>285</v>
      </c>
      <c r="AC121" s="603">
        <v>30</v>
      </c>
      <c r="AD121" s="603">
        <v>20</v>
      </c>
      <c r="AE121" s="604">
        <v>1</v>
      </c>
      <c r="AF121" s="604">
        <v>8</v>
      </c>
      <c r="AG121" s="604">
        <v>1</v>
      </c>
      <c r="AI121" s="542"/>
      <c r="AJ121" s="542"/>
      <c r="AK121" s="542"/>
    </row>
    <row r="122">
      <c r="A122" s="557"/>
      <c r="B122" s="584" t="s">
        <v>349</v>
      </c>
      <c r="C122" s="559" t="s">
        <v>342</v>
      </c>
      <c r="D122" s="559">
        <f t="shared" si="290"/>
      </c>
      <c r="E122" s="560">
        <v>636.74</v>
      </c>
      <c r="F122" s="560">
        <v>431.86</v>
      </c>
      <c r="G122" s="561">
        <v>0</v>
      </c>
      <c r="H122" s="561">
        <v>0</v>
      </c>
      <c r="I122" s="562">
        <f t="shared" si="402"/>
      </c>
      <c r="J122" s="562">
        <f t="shared" si="158"/>
      </c>
      <c r="K122" s="605">
        <f t="shared" si="217"/>
      </c>
      <c r="L122" s="596">
        <f t="shared" si="6"/>
      </c>
      <c r="M122" s="597">
        <f t="shared" si="99"/>
      </c>
      <c r="N122" s="598">
        <f t="shared" si="34"/>
      </c>
      <c r="O122" s="598">
        <f t="shared" si="464"/>
      </c>
      <c r="P122" s="597">
        <f t="shared" si="498"/>
      </c>
      <c r="Q122" s="598">
        <f t="shared" si="365"/>
      </c>
      <c r="R122" s="598">
        <f t="shared" si="430"/>
      </c>
      <c r="S122" s="599">
        <f t="shared" si="186"/>
      </c>
      <c r="T122" s="600">
        <f t="shared" si="245"/>
      </c>
      <c r="U122" s="599">
        <f t="shared" si="68"/>
      </c>
      <c r="V122" s="601">
        <f t="shared" si="127"/>
      </c>
      <c r="W122" s="602" t="s">
        <v>335</v>
      </c>
      <c r="X122" s="570" t="s">
        <v>357</v>
      </c>
      <c r="Y122" s="604">
        <v>0</v>
      </c>
      <c r="Z122" s="603">
        <v>4618</v>
      </c>
      <c r="AA122" s="603">
        <v>183</v>
      </c>
      <c r="AB122" s="603">
        <v>246</v>
      </c>
      <c r="AC122" s="603">
        <v>34</v>
      </c>
      <c r="AD122" s="604">
        <v>16</v>
      </c>
      <c r="AE122" s="604">
        <v>0</v>
      </c>
      <c r="AF122" s="604">
        <v>7</v>
      </c>
      <c r="AG122" s="604">
        <v>1</v>
      </c>
      <c r="AI122" s="542"/>
      <c r="AJ122" s="542"/>
      <c r="AK122" s="542"/>
    </row>
    <row r="123">
      <c r="A123" s="557"/>
      <c r="B123" s="558" t="s">
        <v>350</v>
      </c>
      <c r="C123" s="559" t="s">
        <v>342</v>
      </c>
      <c r="D123" s="559">
        <f t="shared" si="290"/>
      </c>
      <c r="E123" s="560">
        <v>650.71</v>
      </c>
      <c r="F123" s="560">
        <v>86.73</v>
      </c>
      <c r="G123" s="561">
        <v>0</v>
      </c>
      <c r="H123" s="561">
        <v>0</v>
      </c>
      <c r="I123" s="562">
        <f t="shared" si="402"/>
      </c>
      <c r="J123" s="562">
        <f t="shared" si="158"/>
      </c>
      <c r="K123" s="605">
        <f t="shared" si="217"/>
      </c>
      <c r="L123" s="596">
        <f t="shared" si="6"/>
      </c>
      <c r="M123" s="597">
        <f t="shared" si="99"/>
      </c>
      <c r="N123" s="598">
        <f t="shared" si="34"/>
      </c>
      <c r="O123" s="598">
        <f t="shared" si="464"/>
      </c>
      <c r="P123" s="597">
        <f t="shared" si="498"/>
      </c>
      <c r="Q123" s="598">
        <f t="shared" si="365"/>
      </c>
      <c r="R123" s="598">
        <f t="shared" si="430"/>
      </c>
      <c r="S123" s="599">
        <f t="shared" si="186"/>
      </c>
      <c r="T123" s="600">
        <f t="shared" si="245"/>
      </c>
      <c r="U123" s="599">
        <f t="shared" si="68"/>
      </c>
      <c r="V123" s="601">
        <f t="shared" si="127"/>
      </c>
      <c r="W123" s="602" t="s">
        <v>335</v>
      </c>
      <c r="X123" s="570" t="s">
        <v>357</v>
      </c>
      <c r="Y123" s="604">
        <v>0</v>
      </c>
      <c r="Z123" s="603">
        <v>2688</v>
      </c>
      <c r="AA123" s="603">
        <v>74</v>
      </c>
      <c r="AB123" s="603">
        <v>114</v>
      </c>
      <c r="AC123" s="603">
        <v>25</v>
      </c>
      <c r="AD123" s="604">
        <v>10</v>
      </c>
      <c r="AE123" s="604">
        <v>1</v>
      </c>
      <c r="AF123" s="604">
        <v>2</v>
      </c>
      <c r="AG123" s="604">
        <v>1</v>
      </c>
      <c r="AI123" s="542"/>
      <c r="AJ123" s="542"/>
      <c r="AK123" s="542"/>
    </row>
    <row r="124">
      <c r="A124" s="557"/>
      <c r="B124" s="586" t="s">
        <v>340</v>
      </c>
      <c r="C124" s="586"/>
      <c r="D124" s="587">
        <f>SUM(D121:D123)</f>
      </c>
      <c r="E124" s="587">
        <f>SUM(E121:E123)</f>
      </c>
      <c r="F124" s="587">
        <f>SUM(F121:F123)</f>
      </c>
      <c r="G124" s="587">
        <f>SUM(G121:G123)</f>
      </c>
      <c r="H124" s="587">
        <f>SUM(H121:H123)</f>
      </c>
      <c r="I124" s="588">
        <f t="shared" si="402"/>
      </c>
      <c r="J124" s="588">
        <f t="shared" si="158"/>
      </c>
      <c r="K124" s="606">
        <f t="shared" si="217"/>
      </c>
      <c r="L124" s="590">
        <f t="shared" si="6"/>
      </c>
      <c r="M124" s="591">
        <f t="shared" si="99"/>
      </c>
      <c r="N124" s="592">
        <f t="shared" si="34"/>
      </c>
      <c r="O124" s="592">
        <f t="shared" si="464"/>
      </c>
      <c r="P124" s="591">
        <f t="shared" si="498"/>
      </c>
      <c r="Q124" s="592">
        <f t="shared" si="365"/>
      </c>
      <c r="R124" s="592">
        <f t="shared" si="430"/>
      </c>
      <c r="S124" s="593">
        <f t="shared" si="186"/>
      </c>
      <c r="T124" s="594">
        <f t="shared" si="245"/>
      </c>
      <c r="U124" s="593">
        <f t="shared" si="68"/>
      </c>
      <c r="V124" s="595">
        <f t="shared" si="127"/>
      </c>
      <c r="W124" s="595"/>
      <c r="X124" s="595"/>
      <c r="Y124" s="587">
        <f>SUM(Y121:Y123)</f>
      </c>
      <c r="Z124" s="587">
        <f>SUM(Z121:Z123)</f>
      </c>
      <c r="AA124" s="587">
        <f>SUM(AA121:AA123)</f>
      </c>
      <c r="AB124" s="587">
        <f>SUM(AB121:AB123)</f>
      </c>
      <c r="AC124" s="587">
        <f>SUM(AC121:AC123)</f>
      </c>
      <c r="AD124" s="587">
        <f>SUM(AD121:AD123)</f>
      </c>
      <c r="AE124" s="587">
        <f>SUM(AE121:AE123)</f>
      </c>
      <c r="AF124" s="587">
        <f>SUM(AF121:AF123)</f>
      </c>
      <c r="AG124" s="587">
        <f>SUM(AG121:AG123)</f>
      </c>
      <c r="AI124" s="542"/>
      <c r="AJ124" s="542"/>
      <c r="AK124" s="542"/>
    </row>
    <row r="125">
      <c r="A125" s="557"/>
      <c r="B125" s="607" t="s">
        <v>352</v>
      </c>
      <c r="C125" s="607"/>
      <c r="D125" s="607">
        <f>D115+D124+D120</f>
      </c>
      <c r="E125" s="607">
        <f>E115+E124+E120</f>
      </c>
      <c r="F125" s="607">
        <f>F115+F124+F120</f>
      </c>
      <c r="G125" s="607">
        <f>G115+G124+G120</f>
      </c>
      <c r="H125" s="607">
        <f>H115+H124+H120</f>
      </c>
      <c r="I125" s="608">
        <f t="shared" si="402"/>
      </c>
      <c r="J125" s="608">
        <f t="shared" si="158"/>
      </c>
      <c r="K125" s="609">
        <f t="shared" si="217"/>
      </c>
      <c r="L125" s="610">
        <f t="shared" si="6"/>
      </c>
      <c r="M125" s="611">
        <f t="shared" si="99"/>
      </c>
      <c r="N125" s="612">
        <f t="shared" si="34"/>
      </c>
      <c r="O125" s="612">
        <f t="shared" si="464"/>
      </c>
      <c r="P125" s="611">
        <f t="shared" si="498"/>
      </c>
      <c r="Q125" s="612">
        <f t="shared" si="365"/>
      </c>
      <c r="R125" s="612">
        <f t="shared" si="430"/>
      </c>
      <c r="S125" s="611">
        <f t="shared" si="186"/>
      </c>
      <c r="T125" s="613">
        <f t="shared" si="245"/>
      </c>
      <c r="U125" s="611">
        <f t="shared" si="68"/>
      </c>
      <c r="V125" s="609">
        <f t="shared" si="127"/>
      </c>
      <c r="W125" s="609"/>
      <c r="X125" s="609"/>
      <c r="Y125" s="607">
        <f>Y115+Y124+Y120</f>
      </c>
      <c r="Z125" s="607">
        <f>Z115+Z124+Z120</f>
      </c>
      <c r="AA125" s="607">
        <f>AA115+AA124+AA120</f>
      </c>
      <c r="AB125" s="607">
        <f>AB115+AB124+AB120</f>
      </c>
      <c r="AC125" s="607">
        <f>AC115+AC124+AC120</f>
      </c>
      <c r="AD125" s="607">
        <f>AD115+AD124+AD120</f>
      </c>
      <c r="AE125" s="607">
        <f>AE115+AE124+AE120</f>
      </c>
      <c r="AF125" s="607">
        <f>AF115+AF124+AF120</f>
      </c>
      <c r="AG125" s="607">
        <f>AG115+AG124+AG120</f>
      </c>
      <c r="AI125" s="542"/>
      <c r="AJ125" s="542"/>
      <c r="AK125" s="542"/>
    </row>
    <row r="126">
      <c r="A126" s="538" t="s">
        <v>295</v>
      </c>
      <c r="B126" s="538"/>
      <c r="C126" s="538"/>
      <c r="D126" s="539" t="s">
        <v>296</v>
      </c>
      <c r="E126" s="539"/>
      <c r="F126" s="539"/>
      <c r="G126" s="539"/>
      <c r="H126" s="539"/>
      <c r="I126" s="539"/>
      <c r="J126" s="539"/>
      <c r="K126" s="540" t="s">
        <v>297</v>
      </c>
      <c r="L126" s="540"/>
      <c r="M126" s="540"/>
      <c r="N126" s="540"/>
      <c r="O126" s="540"/>
      <c r="P126" s="540"/>
      <c r="Q126" s="540"/>
      <c r="R126" s="540"/>
      <c r="S126" s="540"/>
      <c r="T126" s="540"/>
      <c r="U126" s="540"/>
      <c r="V126" s="540"/>
      <c r="W126" s="540"/>
      <c r="X126" s="540"/>
      <c r="Y126" s="541" t="s">
        <v>298</v>
      </c>
      <c r="Z126" s="541"/>
      <c r="AA126" s="541"/>
      <c r="AB126" s="541"/>
      <c r="AC126" s="541"/>
      <c r="AD126" s="541"/>
      <c r="AE126" s="541"/>
      <c r="AF126" s="541"/>
      <c r="AG126" s="541"/>
      <c r="AI126" s="542"/>
      <c r="AJ126" s="542"/>
      <c r="AK126" s="542"/>
    </row>
    <row r="127">
      <c r="A127" s="543" t="s">
        <v>299</v>
      </c>
      <c r="B127" s="544" t="s">
        <v>300</v>
      </c>
      <c r="C127" s="544" t="s">
        <v>301</v>
      </c>
      <c r="D127" s="545" t="s">
        <v>302</v>
      </c>
      <c r="E127" s="546" t="s">
        <v>303</v>
      </c>
      <c r="F127" s="546" t="s">
        <v>304</v>
      </c>
      <c r="G127" s="547" t="s">
        <v>305</v>
      </c>
      <c r="H127" s="548" t="s">
        <v>306</v>
      </c>
      <c r="I127" s="549" t="s">
        <v>307</v>
      </c>
      <c r="J127" s="550" t="s">
        <v>308</v>
      </c>
      <c r="K127" s="551" t="s">
        <v>309</v>
      </c>
      <c r="L127" s="540" t="s">
        <v>310</v>
      </c>
      <c r="M127" s="540" t="s">
        <v>311</v>
      </c>
      <c r="N127" s="552" t="s">
        <v>312</v>
      </c>
      <c r="O127" s="552" t="s">
        <v>313</v>
      </c>
      <c r="P127" s="540" t="s">
        <v>314</v>
      </c>
      <c r="Q127" s="552" t="s">
        <v>315</v>
      </c>
      <c r="R127" s="552" t="s">
        <v>316</v>
      </c>
      <c r="S127" s="540" t="s">
        <v>317</v>
      </c>
      <c r="T127" s="552" t="s">
        <v>318</v>
      </c>
      <c r="U127" s="540" t="s">
        <v>319</v>
      </c>
      <c r="V127" s="553" t="s">
        <v>320</v>
      </c>
      <c r="W127" s="553" t="s">
        <v>321</v>
      </c>
      <c r="X127" s="553" t="s">
        <v>322</v>
      </c>
      <c r="Y127" s="554" t="s">
        <v>323</v>
      </c>
      <c r="Z127" s="555" t="s">
        <v>324</v>
      </c>
      <c r="AA127" s="555" t="s">
        <v>325</v>
      </c>
      <c r="AB127" s="555" t="s">
        <v>326</v>
      </c>
      <c r="AC127" s="555" t="s">
        <v>327</v>
      </c>
      <c r="AD127" s="555" t="s">
        <v>328</v>
      </c>
      <c r="AE127" s="555" t="s">
        <v>329</v>
      </c>
      <c r="AF127" s="555" t="s">
        <v>330</v>
      </c>
      <c r="AG127" s="556" t="s">
        <v>331</v>
      </c>
      <c r="AI127" s="542"/>
      <c r="AJ127" s="542"/>
      <c r="AK127" s="542"/>
    </row>
    <row r="128">
      <c r="A128" s="557" t="s">
        <v>361</v>
      </c>
      <c r="B128" s="558" t="s">
        <v>333</v>
      </c>
      <c r="C128" s="559" t="s">
        <v>334</v>
      </c>
      <c r="D128" s="559">
        <f t="shared" ref="D128:D131" si="291">E128+F128</f>
      </c>
      <c r="E128" s="560">
        <v>2157.63</v>
      </c>
      <c r="F128" s="560">
        <v>542.3</v>
      </c>
      <c r="G128" s="561">
        <v>4</v>
      </c>
      <c r="H128" s="561">
        <v>7752</v>
      </c>
      <c r="I128" s="562">
        <f t="shared" ref="I128:I143" si="403">H128/D128</f>
      </c>
      <c r="J128" s="562">
        <f t="shared" ref="J128:J143" si="159">H128/(D128+300*AG128)</f>
      </c>
      <c r="K128" s="563">
        <f t="shared" ref="K128:K143" si="218">(D128/Z128)*1000</f>
      </c>
      <c r="L128" s="564">
        <f t="shared" ref="L128:L143" si="7">AA128/Z128</f>
      </c>
      <c r="M128" s="565">
        <f t="shared" ref="M128:M143" si="100">D128/AB128</f>
      </c>
      <c r="N128" s="566">
        <f t="shared" ref="N128:N143" si="35">AC128/AB128</f>
      </c>
      <c r="O128" s="566">
        <f t="shared" ref="O128:O143" si="465">AD128/AB128</f>
      </c>
      <c r="P128" s="565">
        <f t="shared" ref="P128:P143" si="499">D128/AD128</f>
      </c>
      <c r="Q128" s="566">
        <f t="shared" ref="Q128:Q143" si="366">AE128/AD128</f>
      </c>
      <c r="R128" s="566">
        <f t="shared" ref="R128:R143" si="431">G128/AE128</f>
      </c>
      <c r="S128" s="565">
        <f t="shared" ref="S128:S143" si="187">D128/G128</f>
      </c>
      <c r="T128" s="567">
        <f t="shared" ref="T128:T143" si="246">H128/G128</f>
      </c>
      <c r="U128" s="565">
        <f t="shared" ref="U128:U143" si="69">D128/Y128</f>
      </c>
      <c r="V128" s="568">
        <f t="shared" ref="V128:V143" si="128">AF128*1000/D128</f>
      </c>
      <c r="W128" s="569" t="s">
        <v>335</v>
      </c>
      <c r="X128" s="570" t="s">
        <v>356</v>
      </c>
      <c r="Y128" s="571">
        <v>4</v>
      </c>
      <c r="Z128" s="572">
        <v>8860</v>
      </c>
      <c r="AA128" s="572">
        <v>342</v>
      </c>
      <c r="AB128" s="572">
        <v>427</v>
      </c>
      <c r="AC128" s="572">
        <v>68</v>
      </c>
      <c r="AD128" s="571">
        <v>34</v>
      </c>
      <c r="AE128" s="571">
        <v>10</v>
      </c>
      <c r="AF128" s="571">
        <v>15</v>
      </c>
      <c r="AG128" s="571">
        <v>1</v>
      </c>
      <c r="AI128" s="542"/>
      <c r="AJ128" s="542"/>
      <c r="AK128" s="542"/>
    </row>
    <row r="129">
      <c r="A129" s="557"/>
      <c r="B129" s="558" t="s">
        <v>337</v>
      </c>
      <c r="C129" s="559" t="s">
        <v>334</v>
      </c>
      <c r="D129" s="559">
        <f t="shared" si="291"/>
      </c>
      <c r="E129" s="560">
        <v>2521.09</v>
      </c>
      <c r="F129" s="560">
        <v>971.09</v>
      </c>
      <c r="G129" s="561">
        <v>3</v>
      </c>
      <c r="H129" s="561">
        <v>5296</v>
      </c>
      <c r="I129" s="562">
        <f t="shared" si="403"/>
      </c>
      <c r="J129" s="562">
        <f t="shared" si="159"/>
      </c>
      <c r="K129" s="563">
        <f t="shared" si="218"/>
      </c>
      <c r="L129" s="574">
        <f t="shared" si="7"/>
      </c>
      <c r="M129" s="575">
        <f t="shared" si="100"/>
      </c>
      <c r="N129" s="576">
        <f t="shared" si="35"/>
      </c>
      <c r="O129" s="576">
        <f t="shared" si="465"/>
      </c>
      <c r="P129" s="575">
        <f t="shared" si="499"/>
      </c>
      <c r="Q129" s="576">
        <f t="shared" si="366"/>
      </c>
      <c r="R129" s="576">
        <f t="shared" si="431"/>
      </c>
      <c r="S129" s="577">
        <f t="shared" si="187"/>
      </c>
      <c r="T129" s="578">
        <f t="shared" si="246"/>
      </c>
      <c r="U129" s="579">
        <f t="shared" si="69"/>
      </c>
      <c r="V129" s="580">
        <f t="shared" si="128"/>
      </c>
      <c r="W129" s="581" t="s">
        <v>335</v>
      </c>
      <c r="X129" s="570" t="s">
        <v>356</v>
      </c>
      <c r="Y129" s="583">
        <v>3</v>
      </c>
      <c r="Z129" s="582">
        <v>12740</v>
      </c>
      <c r="AA129" s="582">
        <v>577</v>
      </c>
      <c r="AB129" s="582">
        <v>694</v>
      </c>
      <c r="AC129" s="582">
        <v>97</v>
      </c>
      <c r="AD129" s="582">
        <v>54</v>
      </c>
      <c r="AE129" s="583">
        <v>9</v>
      </c>
      <c r="AF129" s="583">
        <v>28</v>
      </c>
      <c r="AG129" s="583">
        <v>1</v>
      </c>
      <c r="AI129" s="542"/>
      <c r="AJ129" s="542"/>
      <c r="AK129" s="542"/>
    </row>
    <row r="130">
      <c r="A130" s="557"/>
      <c r="B130" s="584" t="s">
        <v>338</v>
      </c>
      <c r="C130" s="559" t="s">
        <v>334</v>
      </c>
      <c r="D130" s="559">
        <f t="shared" si="291"/>
      </c>
      <c r="E130" s="560">
        <v>2161.78</v>
      </c>
      <c r="F130" s="560">
        <v>1406.17</v>
      </c>
      <c r="G130" s="561">
        <v>4</v>
      </c>
      <c r="H130" s="561">
        <v>7564</v>
      </c>
      <c r="I130" s="562">
        <f t="shared" si="403"/>
      </c>
      <c r="J130" s="562">
        <f t="shared" si="159"/>
      </c>
      <c r="K130" s="563">
        <f t="shared" si="218"/>
      </c>
      <c r="L130" s="574">
        <f t="shared" si="7"/>
      </c>
      <c r="M130" s="575">
        <f t="shared" si="100"/>
      </c>
      <c r="N130" s="576">
        <f t="shared" si="35"/>
      </c>
      <c r="O130" s="576">
        <f t="shared" si="465"/>
      </c>
      <c r="P130" s="575">
        <f t="shared" si="499"/>
      </c>
      <c r="Q130" s="576">
        <f t="shared" si="366"/>
      </c>
      <c r="R130" s="576">
        <f t="shared" si="431"/>
      </c>
      <c r="S130" s="577">
        <f t="shared" si="187"/>
      </c>
      <c r="T130" s="578">
        <f t="shared" si="246"/>
      </c>
      <c r="U130" s="579">
        <f t="shared" si="69"/>
      </c>
      <c r="V130" s="580">
        <f t="shared" si="128"/>
      </c>
      <c r="W130" s="581" t="s">
        <v>335</v>
      </c>
      <c r="X130" s="570" t="s">
        <v>356</v>
      </c>
      <c r="Y130" s="583">
        <v>3</v>
      </c>
      <c r="Z130" s="582">
        <v>14107</v>
      </c>
      <c r="AA130" s="582">
        <v>646</v>
      </c>
      <c r="AB130" s="582">
        <v>791</v>
      </c>
      <c r="AC130" s="582">
        <v>97</v>
      </c>
      <c r="AD130" s="582">
        <v>52</v>
      </c>
      <c r="AE130" s="583">
        <v>7</v>
      </c>
      <c r="AF130" s="583">
        <v>10</v>
      </c>
      <c r="AG130" s="583">
        <v>1</v>
      </c>
      <c r="AI130" s="542"/>
      <c r="AJ130" s="542"/>
      <c r="AK130" s="542"/>
    </row>
    <row r="131">
      <c r="A131" s="557"/>
      <c r="B131" s="584" t="s">
        <v>339</v>
      </c>
      <c r="C131" s="559" t="s">
        <v>334</v>
      </c>
      <c r="D131" s="559">
        <f t="shared" si="291"/>
      </c>
      <c r="E131" s="560">
        <v>2791.32</v>
      </c>
      <c r="F131" s="560">
        <v>906.75</v>
      </c>
      <c r="G131" s="561">
        <v>2</v>
      </c>
      <c r="H131" s="561">
        <v>3028</v>
      </c>
      <c r="I131" s="562">
        <f t="shared" si="403"/>
      </c>
      <c r="J131" s="562">
        <f t="shared" si="159"/>
      </c>
      <c r="K131" s="563">
        <f t="shared" si="218"/>
      </c>
      <c r="L131" s="574">
        <f t="shared" si="7"/>
      </c>
      <c r="M131" s="575">
        <f t="shared" si="100"/>
      </c>
      <c r="N131" s="576">
        <f t="shared" si="35"/>
      </c>
      <c r="O131" s="576">
        <f t="shared" si="465"/>
      </c>
      <c r="P131" s="575">
        <f t="shared" si="499"/>
      </c>
      <c r="Q131" s="576">
        <f t="shared" si="366"/>
      </c>
      <c r="R131" s="576">
        <f t="shared" si="431"/>
      </c>
      <c r="S131" s="577">
        <f t="shared" si="187"/>
      </c>
      <c r="T131" s="585">
        <f t="shared" si="246"/>
      </c>
      <c r="U131" s="577">
        <f t="shared" si="69"/>
      </c>
      <c r="V131" s="580">
        <f t="shared" si="128"/>
      </c>
      <c r="W131" s="581" t="s">
        <v>335</v>
      </c>
      <c r="X131" s="570" t="s">
        <v>356</v>
      </c>
      <c r="Y131" s="583">
        <v>2</v>
      </c>
      <c r="Z131" s="583">
        <v>15346</v>
      </c>
      <c r="AA131" s="583">
        <v>567</v>
      </c>
      <c r="AB131" s="583">
        <v>708</v>
      </c>
      <c r="AC131" s="583">
        <v>101</v>
      </c>
      <c r="AD131" s="583">
        <v>31</v>
      </c>
      <c r="AE131" s="583">
        <v>4</v>
      </c>
      <c r="AF131" s="583">
        <v>16</v>
      </c>
      <c r="AG131" s="583">
        <v>1</v>
      </c>
      <c r="AI131" s="542"/>
      <c r="AJ131" s="542"/>
      <c r="AK131" s="542"/>
    </row>
    <row r="132">
      <c r="A132" s="557"/>
      <c r="B132" s="586" t="s">
        <v>340</v>
      </c>
      <c r="C132" s="586"/>
      <c r="D132" s="587">
        <f>SUM(D128:D131)</f>
      </c>
      <c r="E132" s="587">
        <f>SUM(E128:E131)</f>
      </c>
      <c r="F132" s="587">
        <f>SUM(F128:F131)</f>
      </c>
      <c r="G132" s="587">
        <f>SUM(G128:G131)</f>
      </c>
      <c r="H132" s="587">
        <f>SUM(H128:H131)</f>
      </c>
      <c r="I132" s="588">
        <f t="shared" si="403"/>
      </c>
      <c r="J132" s="588">
        <f t="shared" si="159"/>
      </c>
      <c r="K132" s="589">
        <f t="shared" si="218"/>
      </c>
      <c r="L132" s="590">
        <f t="shared" si="7"/>
      </c>
      <c r="M132" s="591">
        <f t="shared" si="100"/>
      </c>
      <c r="N132" s="592">
        <f t="shared" si="35"/>
      </c>
      <c r="O132" s="592">
        <f t="shared" si="465"/>
      </c>
      <c r="P132" s="591">
        <f t="shared" si="499"/>
      </c>
      <c r="Q132" s="592">
        <f t="shared" si="366"/>
      </c>
      <c r="R132" s="592">
        <f t="shared" si="431"/>
      </c>
      <c r="S132" s="593">
        <f t="shared" si="187"/>
      </c>
      <c r="T132" s="594">
        <f t="shared" si="246"/>
      </c>
      <c r="U132" s="593">
        <f t="shared" si="69"/>
      </c>
      <c r="V132" s="595">
        <f t="shared" si="128"/>
      </c>
      <c r="W132" s="595"/>
      <c r="X132" s="595"/>
      <c r="Y132" s="587">
        <f>SUM(Y128:Y131)</f>
      </c>
      <c r="Z132" s="587">
        <f>SUM(Z128:Z131)</f>
      </c>
      <c r="AA132" s="587">
        <f>SUM(AA128:AA131)</f>
      </c>
      <c r="AB132" s="587">
        <f>SUM(AB128:AB131)</f>
      </c>
      <c r="AC132" s="587">
        <f>SUM(AC128:AC131)</f>
      </c>
      <c r="AD132" s="587">
        <f>SUM(AD128:AD131)</f>
      </c>
      <c r="AE132" s="587">
        <f>SUM(AE128:AE131)</f>
      </c>
      <c r="AF132" s="587">
        <f>SUM(AF128:AF131)</f>
      </c>
      <c r="AG132" s="587">
        <f>SUM(AG128:AG131)</f>
      </c>
      <c r="AI132" s="542"/>
      <c r="AJ132" s="542"/>
      <c r="AK132" s="542"/>
    </row>
    <row r="133">
      <c r="A133" s="557"/>
      <c r="B133" s="584" t="s">
        <v>341</v>
      </c>
      <c r="C133" s="559" t="s">
        <v>342</v>
      </c>
      <c r="D133" s="559">
        <f t="shared" ref="D133:D136" si="292">E133+F133</f>
      </c>
      <c r="E133" s="560">
        <v>1813.05</v>
      </c>
      <c r="F133" s="560">
        <v>744.08</v>
      </c>
      <c r="G133" s="573">
        <v>1</v>
      </c>
      <c r="H133" s="573">
        <v>948</v>
      </c>
      <c r="I133" s="562">
        <f t="shared" si="403"/>
      </c>
      <c r="J133" s="562">
        <f t="shared" si="159"/>
      </c>
      <c r="K133" s="563">
        <f t="shared" si="218"/>
      </c>
      <c r="L133" s="596">
        <f t="shared" si="7"/>
      </c>
      <c r="M133" s="597">
        <f t="shared" si="100"/>
      </c>
      <c r="N133" s="598">
        <f t="shared" si="35"/>
      </c>
      <c r="O133" s="598">
        <f t="shared" si="465"/>
      </c>
      <c r="P133" s="597">
        <f t="shared" si="499"/>
      </c>
      <c r="Q133" s="598">
        <f t="shared" si="366"/>
      </c>
      <c r="R133" s="598">
        <f t="shared" si="431"/>
      </c>
      <c r="S133" s="599">
        <f t="shared" si="187"/>
      </c>
      <c r="T133" s="600">
        <f t="shared" si="246"/>
      </c>
      <c r="U133" s="599">
        <f t="shared" si="69"/>
      </c>
      <c r="V133" s="601">
        <f t="shared" si="128"/>
      </c>
      <c r="W133" s="602" t="s">
        <v>335</v>
      </c>
      <c r="X133" s="570" t="s">
        <v>356</v>
      </c>
      <c r="Y133" s="604">
        <v>1</v>
      </c>
      <c r="Z133" s="603">
        <v>11306</v>
      </c>
      <c r="AA133" s="603">
        <v>417</v>
      </c>
      <c r="AB133" s="603">
        <v>522</v>
      </c>
      <c r="AC133" s="603">
        <v>57</v>
      </c>
      <c r="AD133" s="603">
        <v>29</v>
      </c>
      <c r="AE133" s="604">
        <v>2</v>
      </c>
      <c r="AF133" s="604">
        <v>10</v>
      </c>
      <c r="AG133" s="604">
        <v>1</v>
      </c>
      <c r="AI133" s="542"/>
      <c r="AJ133" s="542"/>
      <c r="AK133" s="542"/>
    </row>
    <row r="134">
      <c r="A134" s="557"/>
      <c r="B134" s="584" t="s">
        <v>343</v>
      </c>
      <c r="C134" s="559" t="s">
        <v>342</v>
      </c>
      <c r="D134" s="559">
        <f t="shared" si="292"/>
      </c>
      <c r="E134" s="560">
        <v>1656.79</v>
      </c>
      <c r="F134" s="560">
        <v>714.16</v>
      </c>
      <c r="G134" s="573">
        <v>1</v>
      </c>
      <c r="H134" s="573">
        <v>2268</v>
      </c>
      <c r="I134" s="562">
        <f t="shared" si="403"/>
      </c>
      <c r="J134" s="562">
        <f t="shared" si="159"/>
      </c>
      <c r="K134" s="563">
        <f t="shared" si="218"/>
      </c>
      <c r="L134" s="596">
        <f t="shared" si="7"/>
      </c>
      <c r="M134" s="597">
        <f t="shared" si="100"/>
      </c>
      <c r="N134" s="598">
        <f t="shared" si="35"/>
      </c>
      <c r="O134" s="598">
        <f t="shared" si="465"/>
      </c>
      <c r="P134" s="597">
        <f t="shared" si="499"/>
      </c>
      <c r="Q134" s="598">
        <f t="shared" si="366"/>
      </c>
      <c r="R134" s="598">
        <f t="shared" si="431"/>
      </c>
      <c r="S134" s="599">
        <f t="shared" si="187"/>
      </c>
      <c r="T134" s="600">
        <f t="shared" si="246"/>
      </c>
      <c r="U134" s="599">
        <f t="shared" si="69"/>
      </c>
      <c r="V134" s="601">
        <f t="shared" si="128"/>
      </c>
      <c r="W134" s="602" t="s">
        <v>335</v>
      </c>
      <c r="X134" s="570" t="s">
        <v>356</v>
      </c>
      <c r="Y134" s="604">
        <v>1</v>
      </c>
      <c r="Z134" s="603">
        <v>10936</v>
      </c>
      <c r="AA134" s="603">
        <v>399</v>
      </c>
      <c r="AB134" s="603">
        <v>529</v>
      </c>
      <c r="AC134" s="603">
        <v>64</v>
      </c>
      <c r="AD134" s="603">
        <v>14</v>
      </c>
      <c r="AE134" s="604">
        <v>4</v>
      </c>
      <c r="AF134" s="604">
        <v>16</v>
      </c>
      <c r="AG134" s="604">
        <v>1</v>
      </c>
      <c r="AI134" s="542"/>
      <c r="AJ134" s="542"/>
      <c r="AK134" s="542"/>
    </row>
    <row r="135">
      <c r="A135" s="557"/>
      <c r="B135" s="584" t="s">
        <v>344</v>
      </c>
      <c r="C135" s="559" t="s">
        <v>342</v>
      </c>
      <c r="D135" s="559">
        <f t="shared" si="292"/>
      </c>
      <c r="E135" s="560">
        <v>1657.33</v>
      </c>
      <c r="F135" s="560">
        <v>9.02</v>
      </c>
      <c r="G135" s="561">
        <v>1</v>
      </c>
      <c r="H135" s="561">
        <v>2080</v>
      </c>
      <c r="I135" s="562">
        <f t="shared" si="403"/>
      </c>
      <c r="J135" s="562">
        <f t="shared" si="159"/>
      </c>
      <c r="K135" s="563">
        <f t="shared" si="218"/>
      </c>
      <c r="L135" s="596">
        <f t="shared" si="7"/>
      </c>
      <c r="M135" s="597">
        <f t="shared" si="100"/>
      </c>
      <c r="N135" s="598">
        <f t="shared" si="35"/>
      </c>
      <c r="O135" s="598">
        <f t="shared" si="465"/>
      </c>
      <c r="P135" s="597">
        <f t="shared" si="499"/>
      </c>
      <c r="Q135" s="598">
        <f t="shared" si="366"/>
      </c>
      <c r="R135" s="598">
        <f t="shared" si="431"/>
      </c>
      <c r="S135" s="599">
        <f t="shared" si="187"/>
      </c>
      <c r="T135" s="600">
        <f t="shared" si="246"/>
      </c>
      <c r="U135" s="599">
        <f t="shared" si="69"/>
      </c>
      <c r="V135" s="601">
        <f t="shared" si="128"/>
      </c>
      <c r="W135" s="602" t="s">
        <v>335</v>
      </c>
      <c r="X135" s="570" t="s">
        <v>356</v>
      </c>
      <c r="Y135" s="603">
        <v>1</v>
      </c>
      <c r="Z135" s="603">
        <v>5577</v>
      </c>
      <c r="AA135" s="603">
        <v>173</v>
      </c>
      <c r="AB135" s="603">
        <v>205</v>
      </c>
      <c r="AC135" s="603">
        <v>66</v>
      </c>
      <c r="AD135" s="603">
        <v>19</v>
      </c>
      <c r="AE135" s="604">
        <v>8</v>
      </c>
      <c r="AF135" s="604">
        <v>14</v>
      </c>
      <c r="AG135" s="604">
        <v>1</v>
      </c>
      <c r="AI135" s="542"/>
      <c r="AJ135" s="542"/>
      <c r="AK135" s="542"/>
    </row>
    <row r="136">
      <c r="A136" s="557"/>
      <c r="B136" s="584" t="s">
        <v>345</v>
      </c>
      <c r="C136" s="559" t="s">
        <v>342</v>
      </c>
      <c r="D136" s="559">
        <f t="shared" si="292"/>
      </c>
      <c r="E136" s="560">
        <v>2217.43</v>
      </c>
      <c r="F136" s="560">
        <v>0</v>
      </c>
      <c r="G136" s="561">
        <v>4</v>
      </c>
      <c r="H136" s="561">
        <v>7752</v>
      </c>
      <c r="I136" s="562">
        <f t="shared" si="403"/>
      </c>
      <c r="J136" s="562">
        <f t="shared" si="159"/>
      </c>
      <c r="K136" s="563">
        <f t="shared" si="218"/>
      </c>
      <c r="L136" s="596">
        <f t="shared" si="7"/>
      </c>
      <c r="M136" s="597">
        <f t="shared" si="100"/>
      </c>
      <c r="N136" s="598">
        <f t="shared" si="35"/>
      </c>
      <c r="O136" s="598">
        <f t="shared" si="465"/>
      </c>
      <c r="P136" s="597">
        <f t="shared" si="499"/>
      </c>
      <c r="Q136" s="598">
        <f t="shared" si="366"/>
      </c>
      <c r="R136" s="598">
        <f t="shared" si="431"/>
      </c>
      <c r="S136" s="599">
        <f t="shared" si="187"/>
      </c>
      <c r="T136" s="600">
        <f t="shared" si="246"/>
      </c>
      <c r="U136" s="599">
        <f t="shared" si="69"/>
      </c>
      <c r="V136" s="601">
        <f t="shared" si="128"/>
      </c>
      <c r="W136" s="602" t="s">
        <v>335</v>
      </c>
      <c r="X136" s="570" t="s">
        <v>356</v>
      </c>
      <c r="Y136" s="604">
        <v>3</v>
      </c>
      <c r="Z136" s="603">
        <v>7410</v>
      </c>
      <c r="AA136" s="603">
        <v>178</v>
      </c>
      <c r="AB136" s="603">
        <v>223</v>
      </c>
      <c r="AC136" s="603">
        <v>55</v>
      </c>
      <c r="AD136" s="603">
        <v>22</v>
      </c>
      <c r="AE136" s="604">
        <v>11</v>
      </c>
      <c r="AF136" s="604">
        <v>12</v>
      </c>
      <c r="AG136" s="604">
        <v>1</v>
      </c>
      <c r="AI136" s="542"/>
      <c r="AJ136" s="542"/>
      <c r="AK136" s="542"/>
    </row>
    <row r="137">
      <c r="A137" s="557"/>
      <c r="B137" s="586" t="s">
        <v>340</v>
      </c>
      <c r="C137" s="586"/>
      <c r="D137" s="587">
        <f>SUM(D133:D136)</f>
      </c>
      <c r="E137" s="587">
        <f>SUM(E133:E136)</f>
      </c>
      <c r="F137" s="587">
        <f>SUM(F133:F136)</f>
      </c>
      <c r="G137" s="587">
        <f>SUM(G133:G136)</f>
      </c>
      <c r="H137" s="587">
        <f>SUM(H133:H136)</f>
      </c>
      <c r="I137" s="588">
        <f t="shared" si="403"/>
      </c>
      <c r="J137" s="588">
        <f t="shared" si="159"/>
      </c>
      <c r="K137" s="589">
        <f t="shared" si="218"/>
      </c>
      <c r="L137" s="590">
        <f t="shared" si="7"/>
      </c>
      <c r="M137" s="591">
        <f t="shared" si="100"/>
      </c>
      <c r="N137" s="592">
        <f t="shared" si="35"/>
      </c>
      <c r="O137" s="592">
        <f t="shared" si="465"/>
      </c>
      <c r="P137" s="591">
        <f t="shared" si="499"/>
      </c>
      <c r="Q137" s="592">
        <f t="shared" si="366"/>
      </c>
      <c r="R137" s="592">
        <f t="shared" si="431"/>
      </c>
      <c r="S137" s="593">
        <f t="shared" si="187"/>
      </c>
      <c r="T137" s="594">
        <f t="shared" si="246"/>
      </c>
      <c r="U137" s="593">
        <f t="shared" si="69"/>
      </c>
      <c r="V137" s="595">
        <f t="shared" si="128"/>
      </c>
      <c r="W137" s="595"/>
      <c r="X137" s="595"/>
      <c r="Y137" s="587">
        <f>SUM(Y133:Y136)</f>
      </c>
      <c r="Z137" s="587">
        <f>SUM(Z133:Z136)</f>
      </c>
      <c r="AA137" s="587">
        <f>SUM(AA133:AA136)</f>
      </c>
      <c r="AB137" s="587">
        <f>SUM(AB133:AB136)</f>
      </c>
      <c r="AC137" s="587">
        <f>SUM(AC133:AC136)</f>
      </c>
      <c r="AD137" s="587">
        <f>SUM(AD133:AD136)</f>
      </c>
      <c r="AE137" s="587">
        <f>SUM(AE133:AE136)</f>
      </c>
      <c r="AF137" s="587">
        <f>SUM(AF133:AF136)</f>
      </c>
      <c r="AG137" s="587">
        <f>SUM(AG133:AG136)</f>
      </c>
      <c r="AI137" s="542"/>
      <c r="AJ137" s="542"/>
      <c r="AK137" s="542"/>
    </row>
    <row r="138">
      <c r="A138" s="557"/>
      <c r="B138" s="584" t="s">
        <v>346</v>
      </c>
      <c r="C138" s="560" t="s">
        <v>347</v>
      </c>
      <c r="D138" s="559">
        <f t="shared" ref="D138:D141" si="293">E138+F138</f>
      </c>
      <c r="E138" s="560">
        <v>2243.5</v>
      </c>
      <c r="F138" s="560">
        <v>0</v>
      </c>
      <c r="G138" s="561">
        <v>0</v>
      </c>
      <c r="H138" s="561">
        <v>0</v>
      </c>
      <c r="I138" s="562">
        <f t="shared" si="403"/>
      </c>
      <c r="J138" s="562">
        <f t="shared" si="159"/>
      </c>
      <c r="K138" s="605">
        <f t="shared" si="218"/>
      </c>
      <c r="L138" s="596">
        <f t="shared" si="7"/>
      </c>
      <c r="M138" s="597">
        <f t="shared" si="100"/>
      </c>
      <c r="N138" s="598">
        <f t="shared" si="35"/>
      </c>
      <c r="O138" s="598">
        <f t="shared" si="465"/>
      </c>
      <c r="P138" s="597">
        <f t="shared" si="499"/>
      </c>
      <c r="Q138" s="598">
        <f t="shared" si="366"/>
      </c>
      <c r="R138" s="598">
        <f t="shared" si="431"/>
      </c>
      <c r="S138" s="599">
        <f t="shared" si="187"/>
      </c>
      <c r="T138" s="600">
        <f t="shared" si="246"/>
      </c>
      <c r="U138" s="599">
        <f t="shared" si="69"/>
      </c>
      <c r="V138" s="601">
        <f t="shared" si="128"/>
      </c>
      <c r="W138" s="602" t="s">
        <v>335</v>
      </c>
      <c r="X138" s="570" t="s">
        <v>357</v>
      </c>
      <c r="Y138" s="604">
        <v>1</v>
      </c>
      <c r="Z138" s="603">
        <v>7371</v>
      </c>
      <c r="AA138" s="603">
        <v>137</v>
      </c>
      <c r="AB138" s="603">
        <v>183</v>
      </c>
      <c r="AC138" s="603">
        <v>40</v>
      </c>
      <c r="AD138" s="603">
        <v>22</v>
      </c>
      <c r="AE138" s="604">
        <v>0</v>
      </c>
      <c r="AF138" s="604">
        <v>5</v>
      </c>
      <c r="AG138" s="604">
        <v>1</v>
      </c>
      <c r="AI138" s="542"/>
      <c r="AJ138" s="542"/>
      <c r="AK138" s="542"/>
    </row>
    <row r="139">
      <c r="A139" s="557"/>
      <c r="B139" s="584" t="s">
        <v>349</v>
      </c>
      <c r="C139" s="559" t="s">
        <v>347</v>
      </c>
      <c r="D139" s="559">
        <f t="shared" si="293"/>
      </c>
      <c r="E139" s="560">
        <v>1398.43</v>
      </c>
      <c r="F139" s="560">
        <v>0</v>
      </c>
      <c r="G139" s="561">
        <v>2</v>
      </c>
      <c r="H139" s="561">
        <v>4348</v>
      </c>
      <c r="I139" s="562">
        <f t="shared" si="403"/>
      </c>
      <c r="J139" s="562">
        <f t="shared" si="159"/>
      </c>
      <c r="K139" s="605">
        <f t="shared" si="218"/>
      </c>
      <c r="L139" s="596">
        <f t="shared" si="7"/>
      </c>
      <c r="M139" s="597">
        <f t="shared" si="100"/>
      </c>
      <c r="N139" s="598">
        <f t="shared" si="35"/>
      </c>
      <c r="O139" s="598">
        <f t="shared" si="465"/>
      </c>
      <c r="P139" s="597">
        <f t="shared" si="499"/>
      </c>
      <c r="Q139" s="598">
        <f t="shared" si="366"/>
      </c>
      <c r="R139" s="598">
        <f t="shared" si="431"/>
      </c>
      <c r="S139" s="599">
        <f t="shared" si="187"/>
      </c>
      <c r="T139" s="600">
        <f t="shared" si="246"/>
      </c>
      <c r="U139" s="599">
        <f t="shared" si="69"/>
      </c>
      <c r="V139" s="601">
        <f t="shared" si="128"/>
      </c>
      <c r="W139" s="602" t="s">
        <v>335</v>
      </c>
      <c r="X139" s="570" t="s">
        <v>357</v>
      </c>
      <c r="Y139" s="604">
        <v>2</v>
      </c>
      <c r="Z139" s="603">
        <v>4218</v>
      </c>
      <c r="AA139" s="603">
        <v>89</v>
      </c>
      <c r="AB139" s="603">
        <v>112</v>
      </c>
      <c r="AC139" s="603">
        <v>29</v>
      </c>
      <c r="AD139" s="604">
        <v>14</v>
      </c>
      <c r="AE139" s="604">
        <v>4</v>
      </c>
      <c r="AF139" s="604">
        <v>7</v>
      </c>
      <c r="AG139" s="604">
        <v>1</v>
      </c>
      <c r="AI139" s="542"/>
      <c r="AJ139" s="542"/>
      <c r="AK139" s="542"/>
    </row>
    <row customHeight="true" ht="18.452380952380953" r="140">
      <c r="A140" s="557"/>
      <c r="B140" s="584" t="s">
        <v>350</v>
      </c>
      <c r="C140" s="559" t="s">
        <v>347</v>
      </c>
      <c r="D140" s="559">
        <f t="shared" si="293"/>
      </c>
      <c r="E140" s="560">
        <v>1607.93</v>
      </c>
      <c r="F140" s="560">
        <v>0</v>
      </c>
      <c r="G140" s="561">
        <v>1</v>
      </c>
      <c r="H140" s="561">
        <v>948</v>
      </c>
      <c r="I140" s="562">
        <f t="shared" si="403"/>
      </c>
      <c r="J140" s="562">
        <f t="shared" si="159"/>
      </c>
      <c r="K140" s="605">
        <f t="shared" si="218"/>
      </c>
      <c r="L140" s="596">
        <f t="shared" si="7"/>
      </c>
      <c r="M140" s="597">
        <f t="shared" si="100"/>
      </c>
      <c r="N140" s="598">
        <f t="shared" si="35"/>
      </c>
      <c r="O140" s="598">
        <f t="shared" si="465"/>
      </c>
      <c r="P140" s="597">
        <f t="shared" si="499"/>
      </c>
      <c r="Q140" s="598">
        <f t="shared" si="366"/>
      </c>
      <c r="R140" s="598">
        <f t="shared" si="431"/>
      </c>
      <c r="S140" s="599">
        <f t="shared" si="187"/>
      </c>
      <c r="T140" s="600">
        <f t="shared" si="246"/>
      </c>
      <c r="U140" s="599">
        <f t="shared" si="69"/>
      </c>
      <c r="V140" s="601">
        <f t="shared" si="128"/>
      </c>
      <c r="W140" s="602" t="s">
        <v>335</v>
      </c>
      <c r="X140" s="570" t="s">
        <v>357</v>
      </c>
      <c r="Y140" s="604">
        <v>1</v>
      </c>
      <c r="Z140" s="603">
        <v>6383</v>
      </c>
      <c r="AA140" s="603">
        <v>104</v>
      </c>
      <c r="AB140" s="603">
        <v>141</v>
      </c>
      <c r="AC140" s="603">
        <v>32</v>
      </c>
      <c r="AD140" s="604">
        <v>10</v>
      </c>
      <c r="AE140" s="604">
        <v>1</v>
      </c>
      <c r="AF140" s="604">
        <v>10</v>
      </c>
      <c r="AG140" s="604">
        <v>1</v>
      </c>
      <c r="AI140" s="542"/>
      <c r="AJ140" s="542"/>
      <c r="AK140" s="542"/>
    </row>
    <row r="141">
      <c r="A141" s="557"/>
      <c r="B141" s="558" t="s">
        <v>351</v>
      </c>
      <c r="C141" s="559" t="s">
        <v>347</v>
      </c>
      <c r="D141" s="559">
        <f t="shared" si="293"/>
      </c>
      <c r="E141" s="560">
        <v>469.77</v>
      </c>
      <c r="F141" s="560">
        <v>0</v>
      </c>
      <c r="G141" s="561">
        <v>1</v>
      </c>
      <c r="H141" s="561">
        <v>948</v>
      </c>
      <c r="I141" s="562">
        <f t="shared" si="403"/>
      </c>
      <c r="J141" s="562">
        <f t="shared" si="159"/>
      </c>
      <c r="K141" s="605">
        <f t="shared" si="218"/>
      </c>
      <c r="L141" s="596">
        <f t="shared" si="7"/>
      </c>
      <c r="M141" s="597">
        <f t="shared" si="100"/>
      </c>
      <c r="N141" s="598">
        <f t="shared" si="35"/>
      </c>
      <c r="O141" s="598">
        <f t="shared" si="465"/>
      </c>
      <c r="P141" s="597">
        <f t="shared" si="499"/>
      </c>
      <c r="Q141" s="598">
        <f t="shared" si="366"/>
      </c>
      <c r="R141" s="598">
        <f t="shared" si="431"/>
      </c>
      <c r="S141" s="599">
        <f t="shared" si="187"/>
      </c>
      <c r="T141" s="600">
        <f t="shared" si="246"/>
      </c>
      <c r="U141" s="599">
        <f t="shared" si="69"/>
      </c>
      <c r="V141" s="601">
        <f t="shared" si="128"/>
      </c>
      <c r="W141" s="602" t="s">
        <v>335</v>
      </c>
      <c r="X141" s="570" t="s">
        <v>357</v>
      </c>
      <c r="Y141" s="604">
        <v>1</v>
      </c>
      <c r="Z141" s="603">
        <v>1879</v>
      </c>
      <c r="AA141" s="603">
        <v>38</v>
      </c>
      <c r="AB141" s="603">
        <v>57</v>
      </c>
      <c r="AC141" s="603">
        <v>7</v>
      </c>
      <c r="AD141" s="604">
        <v>5</v>
      </c>
      <c r="AE141" s="604">
        <v>2</v>
      </c>
      <c r="AF141" s="604">
        <v>4</v>
      </c>
      <c r="AG141" s="604">
        <v>1</v>
      </c>
      <c r="AI141" s="542"/>
      <c r="AJ141" s="542"/>
      <c r="AK141" s="542"/>
    </row>
    <row r="142">
      <c r="A142" s="557"/>
      <c r="B142" s="586" t="s">
        <v>340</v>
      </c>
      <c r="C142" s="586"/>
      <c r="D142" s="587">
        <f>SUM(D138:D141)</f>
      </c>
      <c r="E142" s="587">
        <f>SUM(E138:E141)</f>
      </c>
      <c r="F142" s="587">
        <f>SUM(F138:F141)</f>
      </c>
      <c r="G142" s="587">
        <f>SUM(G138:G141)</f>
      </c>
      <c r="H142" s="587">
        <f>SUM(H138:H141)</f>
      </c>
      <c r="I142" s="588">
        <f t="shared" si="403"/>
      </c>
      <c r="J142" s="588">
        <f t="shared" si="159"/>
      </c>
      <c r="K142" s="606">
        <f t="shared" si="218"/>
      </c>
      <c r="L142" s="590">
        <f t="shared" si="7"/>
      </c>
      <c r="M142" s="591">
        <f t="shared" si="100"/>
      </c>
      <c r="N142" s="592">
        <f t="shared" si="35"/>
      </c>
      <c r="O142" s="592">
        <f t="shared" si="465"/>
      </c>
      <c r="P142" s="591">
        <f t="shared" si="499"/>
      </c>
      <c r="Q142" s="592">
        <f t="shared" si="366"/>
      </c>
      <c r="R142" s="592">
        <f t="shared" si="431"/>
      </c>
      <c r="S142" s="593">
        <f t="shared" si="187"/>
      </c>
      <c r="T142" s="594">
        <f t="shared" si="246"/>
      </c>
      <c r="U142" s="593">
        <f t="shared" si="69"/>
      </c>
      <c r="V142" s="595">
        <f t="shared" si="128"/>
      </c>
      <c r="W142" s="595"/>
      <c r="X142" s="595"/>
      <c r="Y142" s="587">
        <f>SUM(Y138:Y141)</f>
      </c>
      <c r="Z142" s="587">
        <f>SUM(Z138:Z141)</f>
      </c>
      <c r="AA142" s="587">
        <f>SUM(AA138:AA141)</f>
      </c>
      <c r="AB142" s="587">
        <f>SUM(AB138:AB141)</f>
      </c>
      <c r="AC142" s="587">
        <f>SUM(AC138:AC141)</f>
      </c>
      <c r="AD142" s="587">
        <f>SUM(AD138:AD141)</f>
      </c>
      <c r="AE142" s="587">
        <f>SUM(AE138:AE141)</f>
      </c>
      <c r="AF142" s="587">
        <f>SUM(AF138:AF141)</f>
      </c>
      <c r="AG142" s="587">
        <f>SUM(AG138:AG141)</f>
      </c>
      <c r="AI142" s="542"/>
      <c r="AJ142" s="542"/>
      <c r="AK142" s="542"/>
    </row>
    <row r="143">
      <c r="A143" s="557"/>
      <c r="B143" s="607" t="s">
        <v>352</v>
      </c>
      <c r="C143" s="607"/>
      <c r="D143" s="607">
        <f>D132+D142+D137</f>
      </c>
      <c r="E143" s="607">
        <f>E132+E142+E137</f>
      </c>
      <c r="F143" s="607">
        <f>F132+F142+F137</f>
      </c>
      <c r="G143" s="607">
        <f>G132+G142+G137</f>
      </c>
      <c r="H143" s="607">
        <f>H132+H142+H137</f>
      </c>
      <c r="I143" s="608">
        <f t="shared" si="403"/>
      </c>
      <c r="J143" s="608">
        <f t="shared" si="159"/>
      </c>
      <c r="K143" s="609">
        <f t="shared" si="218"/>
      </c>
      <c r="L143" s="610">
        <f t="shared" si="7"/>
      </c>
      <c r="M143" s="611">
        <f t="shared" si="100"/>
      </c>
      <c r="N143" s="612">
        <f t="shared" si="35"/>
      </c>
      <c r="O143" s="612">
        <f t="shared" si="465"/>
      </c>
      <c r="P143" s="611">
        <f t="shared" si="499"/>
      </c>
      <c r="Q143" s="612">
        <f t="shared" si="366"/>
      </c>
      <c r="R143" s="612">
        <f t="shared" si="431"/>
      </c>
      <c r="S143" s="611">
        <f t="shared" si="187"/>
      </c>
      <c r="T143" s="613">
        <f t="shared" si="246"/>
      </c>
      <c r="U143" s="611">
        <f t="shared" si="69"/>
      </c>
      <c r="V143" s="609">
        <f t="shared" si="128"/>
      </c>
      <c r="W143" s="609"/>
      <c r="X143" s="609"/>
      <c r="Y143" s="607">
        <f>Y132+Y142+Y137</f>
      </c>
      <c r="Z143" s="607">
        <f>Z132+Z142+Z137</f>
      </c>
      <c r="AA143" s="607">
        <f>AA132+AA142+AA137</f>
      </c>
      <c r="AB143" s="607">
        <f>AB132+AB142+AB137</f>
      </c>
      <c r="AC143" s="607">
        <f>AC132+AC142+AC137</f>
      </c>
      <c r="AD143" s="607">
        <f>AD132+AD142+AD137</f>
      </c>
      <c r="AE143" s="607">
        <f>AE132+AE142+AE137</f>
      </c>
      <c r="AF143" s="607">
        <f>AF132+AF142+AF137</f>
      </c>
      <c r="AG143" s="607">
        <f>AG132+AG142+AG137</f>
      </c>
      <c r="AI143" s="542"/>
      <c r="AJ143" s="542"/>
      <c r="AK143" s="542"/>
    </row>
    <row r="144">
      <c r="A144" s="538" t="s">
        <v>295</v>
      </c>
      <c r="B144" s="538"/>
      <c r="C144" s="538"/>
      <c r="D144" s="614" t="s">
        <v>296</v>
      </c>
      <c r="E144" s="614"/>
      <c r="F144" s="614"/>
      <c r="G144" s="614"/>
      <c r="H144" s="614"/>
      <c r="I144" s="614"/>
      <c r="J144" s="614"/>
      <c r="K144" s="540" t="s">
        <v>297</v>
      </c>
      <c r="L144" s="540"/>
      <c r="M144" s="540"/>
      <c r="N144" s="540"/>
      <c r="O144" s="540"/>
      <c r="P144" s="540"/>
      <c r="Q144" s="540"/>
      <c r="R144" s="540"/>
      <c r="S144" s="540"/>
      <c r="T144" s="540"/>
      <c r="U144" s="540"/>
      <c r="V144" s="540"/>
      <c r="W144" s="540"/>
      <c r="X144" s="540"/>
      <c r="Y144" s="541" t="s">
        <v>298</v>
      </c>
      <c r="Z144" s="541"/>
      <c r="AA144" s="541"/>
      <c r="AB144" s="541"/>
      <c r="AC144" s="541"/>
      <c r="AD144" s="541"/>
      <c r="AE144" s="541"/>
      <c r="AF144" s="541"/>
      <c r="AG144" s="541"/>
      <c r="AI144" s="542"/>
      <c r="AJ144" s="542"/>
      <c r="AK144" s="542"/>
    </row>
    <row r="145">
      <c r="A145" s="543" t="s">
        <v>299</v>
      </c>
      <c r="B145" s="544" t="s">
        <v>300</v>
      </c>
      <c r="C145" s="544" t="s">
        <v>301</v>
      </c>
      <c r="D145" s="545" t="s">
        <v>302</v>
      </c>
      <c r="E145" s="546" t="s">
        <v>303</v>
      </c>
      <c r="F145" s="546" t="s">
        <v>304</v>
      </c>
      <c r="G145" s="547" t="s">
        <v>305</v>
      </c>
      <c r="H145" s="548" t="s">
        <v>306</v>
      </c>
      <c r="I145" s="549" t="s">
        <v>307</v>
      </c>
      <c r="J145" s="549" t="s">
        <v>308</v>
      </c>
      <c r="K145" s="551" t="s">
        <v>309</v>
      </c>
      <c r="L145" s="540" t="s">
        <v>310</v>
      </c>
      <c r="M145" s="540" t="s">
        <v>311</v>
      </c>
      <c r="N145" s="552" t="s">
        <v>312</v>
      </c>
      <c r="O145" s="552" t="s">
        <v>313</v>
      </c>
      <c r="P145" s="540" t="s">
        <v>314</v>
      </c>
      <c r="Q145" s="552" t="s">
        <v>315</v>
      </c>
      <c r="R145" s="552" t="s">
        <v>316</v>
      </c>
      <c r="S145" s="540" t="s">
        <v>317</v>
      </c>
      <c r="T145" s="552" t="s">
        <v>318</v>
      </c>
      <c r="U145" s="540" t="s">
        <v>319</v>
      </c>
      <c r="V145" s="553" t="s">
        <v>320</v>
      </c>
      <c r="W145" s="553" t="s">
        <v>321</v>
      </c>
      <c r="X145" s="553" t="s">
        <v>322</v>
      </c>
      <c r="Y145" s="554" t="s">
        <v>323</v>
      </c>
      <c r="Z145" s="555" t="s">
        <v>324</v>
      </c>
      <c r="AA145" s="555" t="s">
        <v>325</v>
      </c>
      <c r="AB145" s="555" t="s">
        <v>326</v>
      </c>
      <c r="AC145" s="555" t="s">
        <v>327</v>
      </c>
      <c r="AD145" s="555" t="s">
        <v>328</v>
      </c>
      <c r="AE145" s="555" t="s">
        <v>329</v>
      </c>
      <c r="AF145" s="555" t="s">
        <v>330</v>
      </c>
      <c r="AG145" s="555" t="s">
        <v>331</v>
      </c>
      <c r="AI145" s="542"/>
      <c r="AJ145" s="542"/>
      <c r="AK145" s="542"/>
    </row>
    <row r="146">
      <c r="A146" s="557" t="s">
        <v>362</v>
      </c>
      <c r="B146" s="584" t="s">
        <v>333</v>
      </c>
      <c r="C146" s="559" t="s">
        <v>334</v>
      </c>
      <c r="D146" s="559">
        <f t="shared" ref="D146:D149" si="294">E146+F146</f>
      </c>
      <c r="E146" s="559">
        <v>2790.03</v>
      </c>
      <c r="F146" s="559">
        <v>538.38</v>
      </c>
      <c r="G146" s="573">
        <v>5</v>
      </c>
      <c r="H146" s="573">
        <v>5580</v>
      </c>
      <c r="I146" s="562">
        <f t="shared" ref="I146:I161" si="404">H146/D146</f>
      </c>
      <c r="J146" s="562">
        <f t="shared" ref="J146:J161" si="160">H146/(D146+300*AG146)</f>
      </c>
      <c r="K146" s="563">
        <f t="shared" ref="K146:K161" si="219">(D146/Z146)*1000</f>
      </c>
      <c r="L146" s="564">
        <f t="shared" ref="L146:L161" si="8">AA146/Z146</f>
      </c>
      <c r="M146" s="565">
        <f t="shared" ref="M146:M161" si="101">D146/AB146</f>
      </c>
      <c r="N146" s="566">
        <f t="shared" ref="N146:N161" si="36">AC146/AB146</f>
      </c>
      <c r="O146" s="566">
        <f t="shared" ref="O146:O161" si="466">AD146/AB146</f>
      </c>
      <c r="P146" s="565">
        <f t="shared" ref="P146:P161" si="500">D146/AD146</f>
      </c>
      <c r="Q146" s="566">
        <f t="shared" ref="Q146:Q161" si="367">AE146/AD146</f>
      </c>
      <c r="R146" s="566">
        <f t="shared" ref="R146:R161" si="432">G146/AE146</f>
      </c>
      <c r="S146" s="565">
        <f t="shared" ref="S146:S161" si="188">D146/G146</f>
      </c>
      <c r="T146" s="567">
        <f t="shared" ref="T146:T161" si="247">H146/G146</f>
      </c>
      <c r="U146" s="565">
        <f t="shared" ref="U146:U161" si="70">D146/Y146</f>
      </c>
      <c r="V146" s="568">
        <f t="shared" ref="V146:V161" si="129">AF146*1000/D146</f>
      </c>
      <c r="W146" s="569" t="s">
        <v>335</v>
      </c>
      <c r="X146" s="615" t="s">
        <v>356</v>
      </c>
      <c r="Y146" s="572">
        <v>3</v>
      </c>
      <c r="Z146" s="572">
        <v>12211</v>
      </c>
      <c r="AA146" s="572">
        <v>415</v>
      </c>
      <c r="AB146" s="572">
        <v>528</v>
      </c>
      <c r="AC146" s="572">
        <v>88</v>
      </c>
      <c r="AD146" s="572">
        <v>34</v>
      </c>
      <c r="AE146" s="571">
        <v>11</v>
      </c>
      <c r="AF146" s="571">
        <v>15</v>
      </c>
      <c r="AG146" s="571">
        <v>1</v>
      </c>
      <c r="AI146" s="542"/>
      <c r="AJ146" s="542"/>
      <c r="AK146" s="542"/>
    </row>
    <row r="147">
      <c r="A147" s="616"/>
      <c r="B147" s="584" t="s">
        <v>337</v>
      </c>
      <c r="C147" s="559" t="s">
        <v>334</v>
      </c>
      <c r="D147" s="559">
        <f t="shared" si="294"/>
      </c>
      <c r="E147" s="559">
        <v>2155.19</v>
      </c>
      <c r="F147" s="559">
        <v>288.13</v>
      </c>
      <c r="G147" s="573">
        <v>1</v>
      </c>
      <c r="H147" s="573">
        <v>948</v>
      </c>
      <c r="I147" s="562">
        <f t="shared" si="404"/>
      </c>
      <c r="J147" s="562">
        <f t="shared" si="160"/>
      </c>
      <c r="K147" s="563">
        <f t="shared" si="219"/>
      </c>
      <c r="L147" s="574">
        <f t="shared" si="8"/>
      </c>
      <c r="M147" s="575">
        <f t="shared" si="101"/>
      </c>
      <c r="N147" s="576">
        <f t="shared" si="36"/>
      </c>
      <c r="O147" s="576">
        <f t="shared" si="466"/>
      </c>
      <c r="P147" s="575">
        <f t="shared" si="500"/>
      </c>
      <c r="Q147" s="576">
        <f t="shared" si="367"/>
      </c>
      <c r="R147" s="576">
        <f t="shared" si="432"/>
      </c>
      <c r="S147" s="577">
        <f t="shared" si="188"/>
      </c>
      <c r="T147" s="617">
        <f t="shared" si="247"/>
      </c>
      <c r="U147" s="579">
        <f t="shared" si="70"/>
      </c>
      <c r="V147" s="580">
        <f t="shared" si="129"/>
      </c>
      <c r="W147" s="581" t="s">
        <v>335</v>
      </c>
      <c r="X147" s="615" t="s">
        <v>356</v>
      </c>
      <c r="Y147" s="582">
        <v>1</v>
      </c>
      <c r="Z147" s="582">
        <v>9134</v>
      </c>
      <c r="AA147" s="582">
        <v>277</v>
      </c>
      <c r="AB147" s="582">
        <v>367</v>
      </c>
      <c r="AC147" s="582">
        <v>51</v>
      </c>
      <c r="AD147" s="582">
        <v>30</v>
      </c>
      <c r="AE147" s="583">
        <v>6</v>
      </c>
      <c r="AF147" s="583">
        <v>8</v>
      </c>
      <c r="AG147" s="583">
        <v>1</v>
      </c>
      <c r="AI147" s="542"/>
      <c r="AJ147" s="542"/>
      <c r="AK147" s="542"/>
    </row>
    <row r="148">
      <c r="A148" s="616"/>
      <c r="B148" s="584" t="s">
        <v>338</v>
      </c>
      <c r="C148" s="559" t="s">
        <v>334</v>
      </c>
      <c r="D148" s="559">
        <f t="shared" si="294"/>
      </c>
      <c r="E148" s="559">
        <v>2243.65</v>
      </c>
      <c r="F148" s="559">
        <v>353.61</v>
      </c>
      <c r="G148" s="573">
        <v>5</v>
      </c>
      <c r="H148" s="573">
        <v>7380</v>
      </c>
      <c r="I148" s="562">
        <f t="shared" si="404"/>
      </c>
      <c r="J148" s="562">
        <f t="shared" si="160"/>
      </c>
      <c r="K148" s="563">
        <f t="shared" si="219"/>
      </c>
      <c r="L148" s="574">
        <f t="shared" si="8"/>
      </c>
      <c r="M148" s="575">
        <f t="shared" si="101"/>
      </c>
      <c r="N148" s="576">
        <f t="shared" si="36"/>
      </c>
      <c r="O148" s="576">
        <f t="shared" si="466"/>
      </c>
      <c r="P148" s="575">
        <f t="shared" si="500"/>
      </c>
      <c r="Q148" s="576">
        <f t="shared" si="367"/>
      </c>
      <c r="R148" s="576">
        <f t="shared" si="432"/>
      </c>
      <c r="S148" s="577">
        <f t="shared" si="188"/>
      </c>
      <c r="T148" s="617">
        <f t="shared" si="247"/>
      </c>
      <c r="U148" s="579">
        <f t="shared" si="70"/>
      </c>
      <c r="V148" s="580">
        <f t="shared" si="129"/>
      </c>
      <c r="W148" s="581" t="s">
        <v>335</v>
      </c>
      <c r="X148" s="615" t="s">
        <v>356</v>
      </c>
      <c r="Y148" s="582">
        <v>5</v>
      </c>
      <c r="Z148" s="582">
        <v>8870</v>
      </c>
      <c r="AA148" s="582">
        <v>260</v>
      </c>
      <c r="AB148" s="582">
        <v>357</v>
      </c>
      <c r="AC148" s="582">
        <v>44</v>
      </c>
      <c r="AD148" s="582">
        <v>26</v>
      </c>
      <c r="AE148" s="583">
        <v>7</v>
      </c>
      <c r="AF148" s="583">
        <v>9</v>
      </c>
      <c r="AG148" s="583">
        <v>1</v>
      </c>
      <c r="AI148" s="542"/>
      <c r="AJ148" s="542"/>
      <c r="AK148" s="542"/>
    </row>
    <row r="149">
      <c r="A149" s="616"/>
      <c r="B149" s="584" t="s">
        <v>339</v>
      </c>
      <c r="C149" s="559" t="s">
        <v>334</v>
      </c>
      <c r="D149" s="559">
        <f t="shared" si="294"/>
      </c>
      <c r="E149" s="559">
        <v>3395.47</v>
      </c>
      <c r="F149" s="559">
        <v>482.73</v>
      </c>
      <c r="G149" s="573">
        <v>8</v>
      </c>
      <c r="H149" s="573">
        <v>14184</v>
      </c>
      <c r="I149" s="562">
        <f t="shared" si="404"/>
      </c>
      <c r="J149" s="562">
        <f t="shared" si="160"/>
      </c>
      <c r="K149" s="563">
        <f t="shared" si="219"/>
      </c>
      <c r="L149" s="574">
        <f t="shared" si="8"/>
      </c>
      <c r="M149" s="575">
        <f t="shared" si="101"/>
      </c>
      <c r="N149" s="576">
        <f t="shared" si="36"/>
      </c>
      <c r="O149" s="576">
        <f t="shared" si="466"/>
      </c>
      <c r="P149" s="575">
        <f t="shared" si="500"/>
      </c>
      <c r="Q149" s="576">
        <f t="shared" si="367"/>
      </c>
      <c r="R149" s="576">
        <f t="shared" si="432"/>
      </c>
      <c r="S149" s="577">
        <f t="shared" si="188"/>
      </c>
      <c r="T149" s="585">
        <f t="shared" si="247"/>
      </c>
      <c r="U149" s="577">
        <f t="shared" si="70"/>
      </c>
      <c r="V149" s="580">
        <f t="shared" si="129"/>
      </c>
      <c r="W149" s="581" t="s">
        <v>335</v>
      </c>
      <c r="X149" s="615" t="s">
        <v>356</v>
      </c>
      <c r="Y149" s="582">
        <v>6</v>
      </c>
      <c r="Z149" s="582">
        <v>15816</v>
      </c>
      <c r="AA149" s="582">
        <v>318</v>
      </c>
      <c r="AB149" s="582">
        <v>409</v>
      </c>
      <c r="AC149" s="582">
        <v>82</v>
      </c>
      <c r="AD149" s="582">
        <v>30</v>
      </c>
      <c r="AE149" s="583">
        <v>13</v>
      </c>
      <c r="AF149" s="583">
        <v>15</v>
      </c>
      <c r="AG149" s="583">
        <v>1</v>
      </c>
      <c r="AI149" s="542"/>
      <c r="AJ149" s="542"/>
      <c r="AK149" s="542"/>
    </row>
    <row r="150">
      <c r="A150" s="616"/>
      <c r="B150" s="586" t="s">
        <v>340</v>
      </c>
      <c r="C150" s="586"/>
      <c r="D150" s="587">
        <f>SUM(D146:D149)</f>
      </c>
      <c r="E150" s="587">
        <f>SUM(E146:E149)</f>
      </c>
      <c r="F150" s="587">
        <f>SUM(F146:F149)</f>
      </c>
      <c r="G150" s="587">
        <f>SUM(G146:G149)</f>
      </c>
      <c r="H150" s="587">
        <f>SUM(H146:H149)</f>
      </c>
      <c r="I150" s="588">
        <f t="shared" si="404"/>
      </c>
      <c r="J150" s="588">
        <f t="shared" si="160"/>
      </c>
      <c r="K150" s="589">
        <f t="shared" si="219"/>
      </c>
      <c r="L150" s="590">
        <f t="shared" si="8"/>
      </c>
      <c r="M150" s="591">
        <f t="shared" si="101"/>
      </c>
      <c r="N150" s="592">
        <f t="shared" si="36"/>
      </c>
      <c r="O150" s="592">
        <f t="shared" si="466"/>
      </c>
      <c r="P150" s="591">
        <f t="shared" si="500"/>
      </c>
      <c r="Q150" s="592">
        <f t="shared" si="367"/>
      </c>
      <c r="R150" s="592">
        <f t="shared" si="432"/>
      </c>
      <c r="S150" s="593">
        <f t="shared" si="188"/>
      </c>
      <c r="T150" s="594">
        <f t="shared" si="247"/>
      </c>
      <c r="U150" s="593">
        <f t="shared" si="70"/>
      </c>
      <c r="V150" s="595">
        <f t="shared" si="129"/>
      </c>
      <c r="W150" s="595"/>
      <c r="X150" s="595"/>
      <c r="Y150" s="587">
        <f>SUM(Y146:Y149)</f>
      </c>
      <c r="Z150" s="587">
        <f>SUM(Z146:Z149)</f>
      </c>
      <c r="AA150" s="587">
        <f>SUM(AA146:AA149)</f>
      </c>
      <c r="AB150" s="587">
        <f>SUM(AB146:AB149)</f>
      </c>
      <c r="AC150" s="587">
        <f>SUM(AC146:AC149)</f>
      </c>
      <c r="AD150" s="587">
        <f>SUM(AD146:AD149)</f>
      </c>
      <c r="AE150" s="587">
        <f>SUM(AE146:AE149)</f>
      </c>
      <c r="AF150" s="587">
        <f>SUM(AF146:AF149)</f>
      </c>
      <c r="AG150" s="587">
        <f>SUM(AG146:AG149)</f>
      </c>
      <c r="AI150" s="542"/>
      <c r="AJ150" s="542"/>
      <c r="AK150" s="542"/>
    </row>
    <row r="151">
      <c r="A151" s="616"/>
      <c r="B151" s="584" t="s">
        <v>341</v>
      </c>
      <c r="C151" s="559" t="s">
        <v>347</v>
      </c>
      <c r="D151" s="559">
        <f t="shared" ref="D151:D154" si="295">E151+F151</f>
      </c>
      <c r="E151" s="559">
        <v>5311.97</v>
      </c>
      <c r="F151" s="559">
        <v>601.15</v>
      </c>
      <c r="G151" s="573">
        <v>5</v>
      </c>
      <c r="H151" s="573">
        <v>8700</v>
      </c>
      <c r="I151" s="562">
        <f t="shared" si="404"/>
      </c>
      <c r="J151" s="562">
        <f t="shared" si="160"/>
      </c>
      <c r="K151" s="563">
        <f t="shared" si="219"/>
      </c>
      <c r="L151" s="596">
        <f t="shared" si="8"/>
      </c>
      <c r="M151" s="597">
        <f t="shared" si="101"/>
      </c>
      <c r="N151" s="598">
        <f t="shared" si="36"/>
      </c>
      <c r="O151" s="598">
        <f t="shared" si="466"/>
      </c>
      <c r="P151" s="597">
        <f t="shared" si="500"/>
      </c>
      <c r="Q151" s="598">
        <f t="shared" si="367"/>
      </c>
      <c r="R151" s="598">
        <f t="shared" si="432"/>
      </c>
      <c r="S151" s="599">
        <f t="shared" si="188"/>
      </c>
      <c r="T151" s="600">
        <f t="shared" si="247"/>
      </c>
      <c r="U151" s="599">
        <f t="shared" si="70"/>
      </c>
      <c r="V151" s="601">
        <f t="shared" si="129"/>
      </c>
      <c r="W151" s="602" t="s">
        <v>335</v>
      </c>
      <c r="X151" s="615" t="s">
        <v>356</v>
      </c>
      <c r="Y151" s="603">
        <v>5</v>
      </c>
      <c r="Z151" s="603">
        <v>34221</v>
      </c>
      <c r="AA151" s="603">
        <v>648</v>
      </c>
      <c r="AB151" s="603">
        <v>787</v>
      </c>
      <c r="AC151" s="603">
        <v>126</v>
      </c>
      <c r="AD151" s="603">
        <v>50</v>
      </c>
      <c r="AE151" s="604">
        <v>12</v>
      </c>
      <c r="AF151" s="604">
        <v>29</v>
      </c>
      <c r="AG151" s="604">
        <v>1</v>
      </c>
      <c r="AI151" s="542"/>
      <c r="AJ151" s="542"/>
      <c r="AK151" s="542"/>
    </row>
    <row r="152">
      <c r="A152" s="616"/>
      <c r="B152" s="584" t="s">
        <v>343</v>
      </c>
      <c r="C152" s="559" t="s">
        <v>347</v>
      </c>
      <c r="D152" s="559">
        <f t="shared" si="295"/>
      </c>
      <c r="E152" s="559">
        <v>3539.01</v>
      </c>
      <c r="F152" s="559">
        <v>654.68</v>
      </c>
      <c r="G152" s="573">
        <v>3</v>
      </c>
      <c r="H152" s="573">
        <v>6804</v>
      </c>
      <c r="I152" s="562">
        <f t="shared" si="404"/>
      </c>
      <c r="J152" s="562">
        <f t="shared" si="160"/>
      </c>
      <c r="K152" s="563">
        <f t="shared" si="219"/>
      </c>
      <c r="L152" s="596">
        <f t="shared" si="8"/>
      </c>
      <c r="M152" s="597">
        <f t="shared" si="101"/>
      </c>
      <c r="N152" s="598">
        <f t="shared" si="36"/>
      </c>
      <c r="O152" s="598">
        <f t="shared" si="466"/>
      </c>
      <c r="P152" s="597">
        <f t="shared" si="500"/>
      </c>
      <c r="Q152" s="598">
        <f t="shared" si="367"/>
      </c>
      <c r="R152" s="598">
        <f t="shared" si="432"/>
      </c>
      <c r="S152" s="599">
        <f t="shared" si="188"/>
      </c>
      <c r="T152" s="600">
        <f t="shared" si="247"/>
      </c>
      <c r="U152" s="599">
        <f t="shared" si="70"/>
      </c>
      <c r="V152" s="601">
        <f t="shared" si="129"/>
      </c>
      <c r="W152" s="602" t="s">
        <v>335</v>
      </c>
      <c r="X152" s="615" t="s">
        <v>356</v>
      </c>
      <c r="Y152" s="603">
        <v>2</v>
      </c>
      <c r="Z152" s="603">
        <v>24374</v>
      </c>
      <c r="AA152" s="603">
        <v>446</v>
      </c>
      <c r="AB152" s="603">
        <v>591</v>
      </c>
      <c r="AC152" s="603">
        <v>94</v>
      </c>
      <c r="AD152" s="603">
        <v>35</v>
      </c>
      <c r="AE152" s="604">
        <v>4</v>
      </c>
      <c r="AF152" s="604">
        <v>12</v>
      </c>
      <c r="AG152" s="604">
        <v>1</v>
      </c>
      <c r="AI152" s="542"/>
      <c r="AJ152" s="542"/>
      <c r="AK152" s="542"/>
    </row>
    <row r="153">
      <c r="A153" s="616"/>
      <c r="B153" s="584" t="s">
        <v>344</v>
      </c>
      <c r="C153" s="559" t="s">
        <v>347</v>
      </c>
      <c r="D153" s="559">
        <f t="shared" si="295"/>
      </c>
      <c r="E153" s="559">
        <v>3311.25</v>
      </c>
      <c r="F153" s="559">
        <v>740.92</v>
      </c>
      <c r="G153" s="573">
        <v>3</v>
      </c>
      <c r="H153" s="573">
        <v>2844</v>
      </c>
      <c r="I153" s="562">
        <f t="shared" si="404"/>
      </c>
      <c r="J153" s="562">
        <f t="shared" si="160"/>
      </c>
      <c r="K153" s="563">
        <f t="shared" si="219"/>
      </c>
      <c r="L153" s="596">
        <f t="shared" si="8"/>
      </c>
      <c r="M153" s="597">
        <f t="shared" si="101"/>
      </c>
      <c r="N153" s="598">
        <f t="shared" si="36"/>
      </c>
      <c r="O153" s="598">
        <f t="shared" si="466"/>
      </c>
      <c r="P153" s="597">
        <f t="shared" si="500"/>
      </c>
      <c r="Q153" s="598">
        <f t="shared" si="367"/>
      </c>
      <c r="R153" s="598">
        <f t="shared" si="432"/>
      </c>
      <c r="S153" s="599">
        <f t="shared" si="188"/>
      </c>
      <c r="T153" s="600">
        <f t="shared" si="247"/>
      </c>
      <c r="U153" s="599">
        <f t="shared" si="70"/>
      </c>
      <c r="V153" s="601">
        <f t="shared" si="129"/>
      </c>
      <c r="W153" s="602" t="s">
        <v>335</v>
      </c>
      <c r="X153" s="615" t="s">
        <v>356</v>
      </c>
      <c r="Y153" s="603">
        <v>2</v>
      </c>
      <c r="Z153" s="603">
        <v>18897</v>
      </c>
      <c r="AA153" s="603">
        <v>401</v>
      </c>
      <c r="AB153" s="603">
        <v>523</v>
      </c>
      <c r="AC153" s="603">
        <v>84</v>
      </c>
      <c r="AD153" s="603">
        <v>34</v>
      </c>
      <c r="AE153" s="604">
        <v>7</v>
      </c>
      <c r="AF153" s="604">
        <v>17</v>
      </c>
      <c r="AG153" s="604">
        <v>1</v>
      </c>
      <c r="AI153" s="542"/>
      <c r="AJ153" s="542"/>
      <c r="AK153" s="542"/>
    </row>
    <row r="154">
      <c r="A154" s="616"/>
      <c r="B154" s="584" t="s">
        <v>345</v>
      </c>
      <c r="C154" s="559" t="s">
        <v>347</v>
      </c>
      <c r="D154" s="559">
        <f t="shared" si="295"/>
      </c>
      <c r="E154" s="559">
        <v>2840</v>
      </c>
      <c r="F154" s="559">
        <v>117.96</v>
      </c>
      <c r="G154" s="561">
        <v>3</v>
      </c>
      <c r="H154" s="573">
        <v>2844</v>
      </c>
      <c r="I154" s="562">
        <f t="shared" si="404"/>
      </c>
      <c r="J154" s="562">
        <f t="shared" si="160"/>
      </c>
      <c r="K154" s="563">
        <f t="shared" si="219"/>
      </c>
      <c r="L154" s="596">
        <f t="shared" si="8"/>
      </c>
      <c r="M154" s="597">
        <f t="shared" si="101"/>
      </c>
      <c r="N154" s="598">
        <f t="shared" si="36"/>
      </c>
      <c r="O154" s="598">
        <f t="shared" si="466"/>
      </c>
      <c r="P154" s="597">
        <f t="shared" si="500"/>
      </c>
      <c r="Q154" s="598">
        <f t="shared" si="367"/>
      </c>
      <c r="R154" s="598">
        <f t="shared" si="432"/>
      </c>
      <c r="S154" s="599">
        <f t="shared" si="188"/>
      </c>
      <c r="T154" s="600">
        <f t="shared" si="247"/>
      </c>
      <c r="U154" s="599">
        <f t="shared" si="70"/>
      </c>
      <c r="V154" s="601">
        <f t="shared" si="129"/>
      </c>
      <c r="W154" s="602" t="s">
        <v>335</v>
      </c>
      <c r="X154" s="615" t="s">
        <v>356</v>
      </c>
      <c r="Y154" s="604">
        <v>3</v>
      </c>
      <c r="Z154" s="603">
        <v>13713</v>
      </c>
      <c r="AA154" s="603">
        <v>235</v>
      </c>
      <c r="AB154" s="603">
        <v>324</v>
      </c>
      <c r="AC154" s="603">
        <v>57</v>
      </c>
      <c r="AD154" s="603">
        <v>26</v>
      </c>
      <c r="AE154" s="603">
        <v>4</v>
      </c>
      <c r="AF154" s="603">
        <v>13</v>
      </c>
      <c r="AG154" s="604">
        <v>1</v>
      </c>
      <c r="AI154" s="542"/>
      <c r="AJ154" s="542"/>
      <c r="AK154" s="542"/>
    </row>
    <row r="155">
      <c r="A155" s="616"/>
      <c r="B155" s="586" t="s">
        <v>340</v>
      </c>
      <c r="C155" s="586"/>
      <c r="D155" s="587">
        <f>SUM(D151:D154)</f>
      </c>
      <c r="E155" s="587">
        <f>SUM(E151:E154)</f>
      </c>
      <c r="F155" s="587">
        <f>SUM(F151:F154)</f>
      </c>
      <c r="G155" s="587">
        <f>SUM(G151:G154)</f>
      </c>
      <c r="H155" s="587">
        <f>SUM(H151:H154)</f>
      </c>
      <c r="I155" s="588">
        <f t="shared" si="404"/>
      </c>
      <c r="J155" s="588">
        <f t="shared" si="160"/>
      </c>
      <c r="K155" s="589">
        <f t="shared" si="219"/>
      </c>
      <c r="L155" s="590">
        <f t="shared" si="8"/>
      </c>
      <c r="M155" s="591">
        <f t="shared" si="101"/>
      </c>
      <c r="N155" s="592">
        <f t="shared" si="36"/>
      </c>
      <c r="O155" s="592">
        <f t="shared" si="466"/>
      </c>
      <c r="P155" s="591">
        <f t="shared" si="500"/>
      </c>
      <c r="Q155" s="592">
        <f t="shared" si="367"/>
      </c>
      <c r="R155" s="592">
        <f t="shared" si="432"/>
      </c>
      <c r="S155" s="593">
        <f t="shared" si="188"/>
      </c>
      <c r="T155" s="594">
        <f t="shared" si="247"/>
      </c>
      <c r="U155" s="593">
        <f t="shared" si="70"/>
      </c>
      <c r="V155" s="595">
        <f t="shared" si="129"/>
      </c>
      <c r="W155" s="595"/>
      <c r="X155" s="595"/>
      <c r="Y155" s="587">
        <f>SUM(Y151:Y154)</f>
      </c>
      <c r="Z155" s="587">
        <f>SUM(Z151:Z154)</f>
      </c>
      <c r="AA155" s="587">
        <f>SUM(AA151:AA154)</f>
      </c>
      <c r="AB155" s="587">
        <f>SUM(AB151:AB154)</f>
      </c>
      <c r="AC155" s="587">
        <f>SUM(AC151:AC154)</f>
      </c>
      <c r="AD155" s="587">
        <f>SUM(AD151:AD154)</f>
      </c>
      <c r="AE155" s="587">
        <f>SUM(AE151:AE154)</f>
      </c>
      <c r="AF155" s="587">
        <f>SUM(AF151:AF154)</f>
      </c>
      <c r="AG155" s="587">
        <f>SUM(AG151:AG154)</f>
      </c>
      <c r="AI155" s="542"/>
      <c r="AJ155" s="542"/>
      <c r="AK155" s="542"/>
    </row>
    <row r="156">
      <c r="A156" s="616"/>
      <c r="B156" s="584" t="s">
        <v>346</v>
      </c>
      <c r="C156" s="560" t="s">
        <v>342</v>
      </c>
      <c r="D156" s="559">
        <f t="shared" ref="D156:D159" si="296">E156+F156</f>
      </c>
      <c r="E156" s="559">
        <v>4662.54</v>
      </c>
      <c r="F156" s="560">
        <v>0</v>
      </c>
      <c r="G156" s="573">
        <v>2</v>
      </c>
      <c r="H156" s="573">
        <v>1896</v>
      </c>
      <c r="I156" s="562">
        <f t="shared" si="404"/>
      </c>
      <c r="J156" s="562">
        <f t="shared" si="160"/>
      </c>
      <c r="K156" s="605">
        <f t="shared" si="219"/>
      </c>
      <c r="L156" s="596">
        <f t="shared" si="8"/>
      </c>
      <c r="M156" s="597">
        <f t="shared" si="101"/>
      </c>
      <c r="N156" s="598">
        <f t="shared" si="36"/>
      </c>
      <c r="O156" s="598">
        <f t="shared" si="466"/>
      </c>
      <c r="P156" s="597">
        <f t="shared" si="500"/>
      </c>
      <c r="Q156" s="598">
        <f t="shared" si="367"/>
      </c>
      <c r="R156" s="598">
        <f t="shared" si="432"/>
      </c>
      <c r="S156" s="599">
        <f t="shared" si="188"/>
      </c>
      <c r="T156" s="600">
        <f t="shared" si="247"/>
      </c>
      <c r="U156" s="599">
        <f t="shared" si="70"/>
      </c>
      <c r="V156" s="601">
        <f t="shared" si="129"/>
      </c>
      <c r="W156" s="602" t="s">
        <v>335</v>
      </c>
      <c r="X156" s="615" t="s">
        <v>357</v>
      </c>
      <c r="Y156" s="604">
        <v>2</v>
      </c>
      <c r="Z156" s="603">
        <v>24665</v>
      </c>
      <c r="AA156" s="603">
        <v>383</v>
      </c>
      <c r="AB156" s="603">
        <v>473</v>
      </c>
      <c r="AC156" s="603">
        <v>95</v>
      </c>
      <c r="AD156" s="603">
        <v>30</v>
      </c>
      <c r="AE156" s="603">
        <v>11</v>
      </c>
      <c r="AF156" s="603">
        <v>17</v>
      </c>
      <c r="AG156" s="604">
        <v>1</v>
      </c>
      <c r="AI156" s="542"/>
      <c r="AJ156" s="542"/>
      <c r="AK156" s="542"/>
    </row>
    <row r="157">
      <c r="A157" s="616"/>
      <c r="B157" s="584" t="s">
        <v>349</v>
      </c>
      <c r="C157" s="560" t="s">
        <v>342</v>
      </c>
      <c r="D157" s="559">
        <f t="shared" si="296"/>
      </c>
      <c r="E157" s="559">
        <v>2998.81</v>
      </c>
      <c r="F157" s="560">
        <v>0</v>
      </c>
      <c r="G157" s="573">
        <v>1</v>
      </c>
      <c r="H157" s="573">
        <v>2268</v>
      </c>
      <c r="I157" s="562">
        <f t="shared" si="404"/>
      </c>
      <c r="J157" s="562">
        <f t="shared" si="160"/>
      </c>
      <c r="K157" s="605">
        <f t="shared" si="219"/>
      </c>
      <c r="L157" s="596">
        <f t="shared" si="8"/>
      </c>
      <c r="M157" s="597">
        <f t="shared" si="101"/>
      </c>
      <c r="N157" s="598">
        <f t="shared" si="36"/>
      </c>
      <c r="O157" s="598">
        <f t="shared" si="466"/>
      </c>
      <c r="P157" s="597">
        <f t="shared" si="500"/>
      </c>
      <c r="Q157" s="598">
        <f t="shared" si="367"/>
      </c>
      <c r="R157" s="598">
        <f t="shared" si="432"/>
      </c>
      <c r="S157" s="599">
        <f t="shared" si="188"/>
      </c>
      <c r="T157" s="600">
        <f t="shared" si="247"/>
      </c>
      <c r="U157" s="599">
        <f t="shared" si="70"/>
      </c>
      <c r="V157" s="601">
        <f t="shared" si="129"/>
      </c>
      <c r="W157" s="602" t="s">
        <v>335</v>
      </c>
      <c r="X157" s="615" t="s">
        <v>357</v>
      </c>
      <c r="Y157" s="603">
        <v>0</v>
      </c>
      <c r="Z157" s="603">
        <v>15313</v>
      </c>
      <c r="AA157" s="603">
        <v>284</v>
      </c>
      <c r="AB157" s="603">
        <v>339</v>
      </c>
      <c r="AC157" s="603">
        <v>57</v>
      </c>
      <c r="AD157" s="603">
        <v>16</v>
      </c>
      <c r="AE157" s="603">
        <v>4</v>
      </c>
      <c r="AF157" s="603">
        <v>13</v>
      </c>
      <c r="AG157" s="604">
        <v>1</v>
      </c>
      <c r="AI157" s="542"/>
      <c r="AJ157" s="542"/>
      <c r="AK157" s="542"/>
    </row>
    <row r="158">
      <c r="A158" s="616"/>
      <c r="B158" s="584" t="s">
        <v>350</v>
      </c>
      <c r="C158" s="560" t="s">
        <v>342</v>
      </c>
      <c r="D158" s="559">
        <f t="shared" si="296"/>
      </c>
      <c r="E158" s="559">
        <v>2431.83</v>
      </c>
      <c r="F158" s="560">
        <v>0</v>
      </c>
      <c r="G158" s="573">
        <v>1</v>
      </c>
      <c r="H158" s="573">
        <v>2268</v>
      </c>
      <c r="I158" s="562">
        <f t="shared" si="404"/>
      </c>
      <c r="J158" s="562">
        <f t="shared" si="160"/>
      </c>
      <c r="K158" s="605">
        <f t="shared" si="219"/>
      </c>
      <c r="L158" s="596">
        <f t="shared" si="8"/>
      </c>
      <c r="M158" s="597">
        <f t="shared" si="101"/>
      </c>
      <c r="N158" s="598">
        <f t="shared" si="36"/>
      </c>
      <c r="O158" s="598">
        <f t="shared" si="466"/>
      </c>
      <c r="P158" s="597">
        <f t="shared" si="500"/>
      </c>
      <c r="Q158" s="598">
        <f t="shared" si="367"/>
      </c>
      <c r="R158" s="598">
        <f t="shared" si="432"/>
      </c>
      <c r="S158" s="599">
        <f t="shared" si="188"/>
      </c>
      <c r="T158" s="600">
        <f t="shared" si="247"/>
      </c>
      <c r="U158" s="599">
        <f t="shared" si="70"/>
      </c>
      <c r="V158" s="601">
        <f t="shared" si="129"/>
      </c>
      <c r="W158" s="602" t="s">
        <v>335</v>
      </c>
      <c r="X158" s="615" t="s">
        <v>357</v>
      </c>
      <c r="Y158" s="603">
        <v>1</v>
      </c>
      <c r="Z158" s="603">
        <v>12121</v>
      </c>
      <c r="AA158" s="603">
        <v>203</v>
      </c>
      <c r="AB158" s="603">
        <v>235</v>
      </c>
      <c r="AC158" s="603">
        <v>45</v>
      </c>
      <c r="AD158" s="603">
        <v>5</v>
      </c>
      <c r="AE158" s="603">
        <v>1</v>
      </c>
      <c r="AF158" s="604">
        <v>7</v>
      </c>
      <c r="AG158" s="604">
        <v>1</v>
      </c>
      <c r="AI158" s="542"/>
      <c r="AJ158" s="542"/>
      <c r="AK158" s="542"/>
    </row>
    <row r="159">
      <c r="A159" s="616"/>
      <c r="B159" s="584" t="s">
        <v>351</v>
      </c>
      <c r="C159" s="560" t="s">
        <v>342</v>
      </c>
      <c r="D159" s="559">
        <f t="shared" si="296"/>
      </c>
      <c r="E159" s="559">
        <v>1623.99</v>
      </c>
      <c r="F159" s="559">
        <v>131.68</v>
      </c>
      <c r="G159" s="573">
        <v>4</v>
      </c>
      <c r="H159" s="573">
        <v>6432</v>
      </c>
      <c r="I159" s="562">
        <f t="shared" si="404"/>
      </c>
      <c r="J159" s="562">
        <f t="shared" si="160"/>
      </c>
      <c r="K159" s="605">
        <f t="shared" si="219"/>
      </c>
      <c r="L159" s="596">
        <f t="shared" si="8"/>
      </c>
      <c r="M159" s="597">
        <f t="shared" si="101"/>
      </c>
      <c r="N159" s="598">
        <f t="shared" si="36"/>
      </c>
      <c r="O159" s="598">
        <f t="shared" si="466"/>
      </c>
      <c r="P159" s="597">
        <f t="shared" si="500"/>
      </c>
      <c r="Q159" s="598">
        <f t="shared" si="367"/>
      </c>
      <c r="R159" s="598">
        <f t="shared" si="432"/>
      </c>
      <c r="S159" s="599">
        <f t="shared" si="188"/>
      </c>
      <c r="T159" s="600">
        <f t="shared" si="247"/>
      </c>
      <c r="U159" s="599">
        <f t="shared" si="70"/>
      </c>
      <c r="V159" s="601">
        <f t="shared" si="129"/>
      </c>
      <c r="W159" s="602" t="s">
        <v>335</v>
      </c>
      <c r="X159" s="615" t="s">
        <v>357</v>
      </c>
      <c r="Y159" s="604">
        <v>4</v>
      </c>
      <c r="Z159" s="603">
        <v>8322</v>
      </c>
      <c r="AA159" s="603">
        <v>207</v>
      </c>
      <c r="AB159" s="603">
        <v>247</v>
      </c>
      <c r="AC159" s="603">
        <v>45</v>
      </c>
      <c r="AD159" s="603">
        <v>13</v>
      </c>
      <c r="AE159" s="603">
        <v>7</v>
      </c>
      <c r="AF159" s="604">
        <v>16</v>
      </c>
      <c r="AG159" s="604">
        <v>1</v>
      </c>
      <c r="AI159" s="542"/>
      <c r="AJ159" s="542"/>
      <c r="AK159" s="542"/>
    </row>
    <row r="160">
      <c r="A160" s="616"/>
      <c r="B160" s="586" t="s">
        <v>340</v>
      </c>
      <c r="C160" s="586"/>
      <c r="D160" s="587">
        <f>SUM(D156:D159)</f>
      </c>
      <c r="E160" s="587">
        <f>SUM(E156:E159)</f>
      </c>
      <c r="F160" s="587">
        <f>SUM(F156:F159)</f>
      </c>
      <c r="G160" s="587">
        <f>SUM(G156:G159)</f>
      </c>
      <c r="H160" s="587">
        <f>SUM(H156:H159)</f>
      </c>
      <c r="I160" s="588">
        <f t="shared" si="404"/>
      </c>
      <c r="J160" s="588">
        <f t="shared" si="160"/>
      </c>
      <c r="K160" s="606">
        <f t="shared" si="219"/>
      </c>
      <c r="L160" s="590">
        <f t="shared" si="8"/>
      </c>
      <c r="M160" s="591">
        <f t="shared" si="101"/>
      </c>
      <c r="N160" s="592">
        <f t="shared" si="36"/>
      </c>
      <c r="O160" s="592">
        <f t="shared" si="466"/>
      </c>
      <c r="P160" s="591">
        <f t="shared" si="500"/>
      </c>
      <c r="Q160" s="592">
        <f t="shared" si="367"/>
      </c>
      <c r="R160" s="592">
        <f t="shared" si="432"/>
      </c>
      <c r="S160" s="593">
        <f t="shared" si="188"/>
      </c>
      <c r="T160" s="594">
        <f t="shared" si="247"/>
      </c>
      <c r="U160" s="593">
        <f t="shared" si="70"/>
      </c>
      <c r="V160" s="595">
        <f t="shared" si="129"/>
      </c>
      <c r="W160" s="595"/>
      <c r="X160" s="595"/>
      <c r="Y160" s="587">
        <f>SUM(Y156:Y159)</f>
      </c>
      <c r="Z160" s="587">
        <f>SUM(Z156:Z159)</f>
      </c>
      <c r="AA160" s="587">
        <f>SUM(AA156:AA159)</f>
      </c>
      <c r="AB160" s="587">
        <f>SUM(AB156:AB159)</f>
      </c>
      <c r="AC160" s="587">
        <f>SUM(AC156:AC159)</f>
      </c>
      <c r="AD160" s="587">
        <f>SUM(AD156:AD159)</f>
      </c>
      <c r="AE160" s="587">
        <f>SUM(AE156:AE159)</f>
      </c>
      <c r="AF160" s="587">
        <f>SUM(AF156:AF159)</f>
      </c>
      <c r="AG160" s="587">
        <f>SUM(AG156:AG159)</f>
      </c>
      <c r="AI160" s="542"/>
      <c r="AJ160" s="542"/>
      <c r="AK160" s="542"/>
    </row>
    <row r="161">
      <c r="A161" s="616"/>
      <c r="B161" s="607" t="s">
        <v>352</v>
      </c>
      <c r="C161" s="607"/>
      <c r="D161" s="607">
        <f>D150+D160+D155</f>
      </c>
      <c r="E161" s="607">
        <f>E150+E160+E155</f>
      </c>
      <c r="F161" s="607">
        <f>F150+F160+F155</f>
      </c>
      <c r="G161" s="607">
        <f>G150+G160+G155</f>
      </c>
      <c r="H161" s="607">
        <f>H150+H160+H155</f>
      </c>
      <c r="I161" s="608">
        <f t="shared" si="404"/>
      </c>
      <c r="J161" s="608">
        <f t="shared" si="160"/>
      </c>
      <c r="K161" s="609">
        <f t="shared" si="219"/>
      </c>
      <c r="L161" s="610">
        <f t="shared" si="8"/>
      </c>
      <c r="M161" s="611">
        <f t="shared" si="101"/>
      </c>
      <c r="N161" s="612">
        <f t="shared" si="36"/>
      </c>
      <c r="O161" s="612">
        <f t="shared" si="466"/>
      </c>
      <c r="P161" s="611">
        <f t="shared" si="500"/>
      </c>
      <c r="Q161" s="612">
        <f t="shared" si="367"/>
      </c>
      <c r="R161" s="612">
        <f t="shared" si="432"/>
      </c>
      <c r="S161" s="611">
        <f t="shared" si="188"/>
      </c>
      <c r="T161" s="613">
        <f t="shared" si="247"/>
      </c>
      <c r="U161" s="611">
        <f t="shared" si="70"/>
      </c>
      <c r="V161" s="609">
        <f t="shared" si="129"/>
      </c>
      <c r="W161" s="609"/>
      <c r="X161" s="609"/>
      <c r="Y161" s="607">
        <f>Y150+Y160+Y155</f>
      </c>
      <c r="Z161" s="607">
        <f>Z150+Z160+Z155</f>
      </c>
      <c r="AA161" s="607">
        <f>AA150+AA160+AA155</f>
      </c>
      <c r="AB161" s="607">
        <f>AB150+AB160+AB155</f>
      </c>
      <c r="AC161" s="607">
        <f>AC150+AC160+AC155</f>
      </c>
      <c r="AD161" s="607">
        <f>AD150+AD160+AD155</f>
      </c>
      <c r="AE161" s="607">
        <f>AE150+AE160+AE155</f>
      </c>
      <c r="AF161" s="607">
        <f>AF150+AF160+AF155</f>
      </c>
      <c r="AG161" s="607">
        <f>AG150+AG160+AG155</f>
      </c>
      <c r="AI161" s="542"/>
      <c r="AJ161" s="542"/>
      <c r="AK161" s="542"/>
    </row>
    <row r="162">
      <c r="A162" s="538" t="s">
        <v>295</v>
      </c>
      <c r="B162" s="538"/>
      <c r="C162" s="538"/>
      <c r="D162" s="614" t="s">
        <v>296</v>
      </c>
      <c r="E162" s="614"/>
      <c r="F162" s="614"/>
      <c r="G162" s="614"/>
      <c r="H162" s="614"/>
      <c r="I162" s="614"/>
      <c r="J162" s="614"/>
      <c r="K162" s="540" t="s">
        <v>297</v>
      </c>
      <c r="L162" s="540"/>
      <c r="M162" s="540"/>
      <c r="N162" s="540"/>
      <c r="O162" s="540"/>
      <c r="P162" s="540"/>
      <c r="Q162" s="540"/>
      <c r="R162" s="540"/>
      <c r="S162" s="540"/>
      <c r="T162" s="540"/>
      <c r="U162" s="540"/>
      <c r="V162" s="540"/>
      <c r="W162" s="540"/>
      <c r="X162" s="540"/>
      <c r="Y162" s="541" t="s">
        <v>298</v>
      </c>
      <c r="Z162" s="541"/>
      <c r="AA162" s="541"/>
      <c r="AB162" s="541"/>
      <c r="AC162" s="541"/>
      <c r="AD162" s="541"/>
      <c r="AE162" s="541"/>
      <c r="AF162" s="541"/>
      <c r="AG162" s="541"/>
      <c r="AI162" s="542"/>
      <c r="AJ162" s="542"/>
      <c r="AK162" s="542"/>
    </row>
    <row r="163">
      <c r="A163" s="543" t="s">
        <v>299</v>
      </c>
      <c r="B163" s="544" t="s">
        <v>300</v>
      </c>
      <c r="C163" s="544" t="s">
        <v>301</v>
      </c>
      <c r="D163" s="545" t="s">
        <v>302</v>
      </c>
      <c r="E163" s="546" t="s">
        <v>303</v>
      </c>
      <c r="F163" s="546" t="s">
        <v>304</v>
      </c>
      <c r="G163" s="547" t="s">
        <v>305</v>
      </c>
      <c r="H163" s="548" t="s">
        <v>306</v>
      </c>
      <c r="I163" s="549" t="s">
        <v>307</v>
      </c>
      <c r="J163" s="549" t="s">
        <v>308</v>
      </c>
      <c r="K163" s="551" t="s">
        <v>309</v>
      </c>
      <c r="L163" s="540" t="s">
        <v>310</v>
      </c>
      <c r="M163" s="540" t="s">
        <v>311</v>
      </c>
      <c r="N163" s="552" t="s">
        <v>312</v>
      </c>
      <c r="O163" s="552" t="s">
        <v>313</v>
      </c>
      <c r="P163" s="540" t="s">
        <v>314</v>
      </c>
      <c r="Q163" s="552" t="s">
        <v>315</v>
      </c>
      <c r="R163" s="552" t="s">
        <v>316</v>
      </c>
      <c r="S163" s="540" t="s">
        <v>317</v>
      </c>
      <c r="T163" s="552" t="s">
        <v>318</v>
      </c>
      <c r="U163" s="540" t="s">
        <v>319</v>
      </c>
      <c r="V163" s="553" t="s">
        <v>320</v>
      </c>
      <c r="W163" s="553" t="s">
        <v>321</v>
      </c>
      <c r="X163" s="553" t="s">
        <v>322</v>
      </c>
      <c r="Y163" s="554" t="s">
        <v>323</v>
      </c>
      <c r="Z163" s="555" t="s">
        <v>324</v>
      </c>
      <c r="AA163" s="555" t="s">
        <v>325</v>
      </c>
      <c r="AB163" s="555" t="s">
        <v>326</v>
      </c>
      <c r="AC163" s="555" t="s">
        <v>327</v>
      </c>
      <c r="AD163" s="555" t="s">
        <v>328</v>
      </c>
      <c r="AE163" s="555" t="s">
        <v>329</v>
      </c>
      <c r="AF163" s="555" t="s">
        <v>330</v>
      </c>
      <c r="AG163" s="555" t="s">
        <v>331</v>
      </c>
      <c r="AI163" s="542"/>
      <c r="AJ163" s="542"/>
      <c r="AK163" s="542"/>
    </row>
    <row r="164">
      <c r="A164" s="557" t="s">
        <v>363</v>
      </c>
      <c r="B164" s="584" t="s">
        <v>333</v>
      </c>
      <c r="C164" s="559" t="s">
        <v>334</v>
      </c>
      <c r="D164" s="559">
        <f t="shared" ref="D164:D167" si="297">E164+F164</f>
      </c>
      <c r="E164" s="559">
        <v>2500.67</v>
      </c>
      <c r="F164" s="559">
        <v>511.4</v>
      </c>
      <c r="G164" s="573">
        <v>3</v>
      </c>
      <c r="H164" s="573">
        <v>6804</v>
      </c>
      <c r="I164" s="562">
        <f t="shared" ref="I164:I179" si="405">H164/D164</f>
      </c>
      <c r="J164" s="562">
        <f t="shared" ref="J164:J179" si="161">H164/(D164+300*AG164)</f>
      </c>
      <c r="K164" s="563">
        <f t="shared" ref="K164:K179" si="220">(D164/Z164)*1000</f>
      </c>
      <c r="L164" s="564">
        <f t="shared" ref="L164:L179" si="9">AA164/Z164</f>
      </c>
      <c r="M164" s="565">
        <f t="shared" ref="M164:M179" si="102">D164/AB164</f>
      </c>
      <c r="N164" s="566">
        <f t="shared" ref="N164:N179" si="37">AC164/AB164</f>
      </c>
      <c r="O164" s="566">
        <f t="shared" ref="O164:O179" si="467">AD164/AB164</f>
      </c>
      <c r="P164" s="565">
        <f t="shared" ref="P164:P179" si="501">D164/AD164</f>
      </c>
      <c r="Q164" s="566">
        <f t="shared" ref="Q164:Q179" si="368">AE164/AD164</f>
      </c>
      <c r="R164" s="566">
        <f t="shared" ref="R164:R179" si="433">G164/AE164</f>
      </c>
      <c r="S164" s="565">
        <f t="shared" ref="S164:S179" si="189">D164/G164</f>
      </c>
      <c r="T164" s="567">
        <f t="shared" ref="T164:T179" si="248">H164/G164</f>
      </c>
      <c r="U164" s="565">
        <f t="shared" ref="U164:U179" si="71">D164/Y164</f>
      </c>
      <c r="V164" s="568">
        <f t="shared" ref="V164:V179" si="130">AF164*1000/D164</f>
      </c>
      <c r="W164" s="569" t="s">
        <v>335</v>
      </c>
      <c r="X164" s="615" t="s">
        <v>356</v>
      </c>
      <c r="Y164" s="572">
        <v>1</v>
      </c>
      <c r="Z164" s="572">
        <v>11264</v>
      </c>
      <c r="AA164" s="572">
        <v>354</v>
      </c>
      <c r="AB164" s="572">
        <v>462</v>
      </c>
      <c r="AC164" s="572">
        <v>86</v>
      </c>
      <c r="AD164" s="572">
        <v>47</v>
      </c>
      <c r="AE164" s="571">
        <v>8</v>
      </c>
      <c r="AF164" s="571">
        <v>18</v>
      </c>
      <c r="AG164" s="571">
        <v>1</v>
      </c>
      <c r="AI164" s="542"/>
      <c r="AJ164" s="542"/>
      <c r="AK164" s="542"/>
    </row>
    <row r="165">
      <c r="A165" s="557"/>
      <c r="B165" s="584" t="s">
        <v>337</v>
      </c>
      <c r="C165" s="559" t="s">
        <v>334</v>
      </c>
      <c r="D165" s="559">
        <f t="shared" si="297"/>
      </c>
      <c r="E165" s="559">
        <v>1375.29</v>
      </c>
      <c r="F165" s="559">
        <v>551.65</v>
      </c>
      <c r="G165" s="573">
        <v>1</v>
      </c>
      <c r="H165" s="573">
        <v>948</v>
      </c>
      <c r="I165" s="562">
        <f t="shared" si="405"/>
      </c>
      <c r="J165" s="562">
        <f t="shared" si="161"/>
      </c>
      <c r="K165" s="563">
        <f t="shared" si="220"/>
      </c>
      <c r="L165" s="574">
        <f t="shared" si="9"/>
      </c>
      <c r="M165" s="575">
        <f t="shared" si="102"/>
      </c>
      <c r="N165" s="576">
        <f t="shared" si="37"/>
      </c>
      <c r="O165" s="576">
        <f t="shared" si="467"/>
      </c>
      <c r="P165" s="575">
        <f t="shared" si="501"/>
      </c>
      <c r="Q165" s="576">
        <f t="shared" si="368"/>
      </c>
      <c r="R165" s="576">
        <f t="shared" si="433"/>
      </c>
      <c r="S165" s="577">
        <f t="shared" si="189"/>
      </c>
      <c r="T165" s="617">
        <f t="shared" si="248"/>
      </c>
      <c r="U165" s="579">
        <f t="shared" si="71"/>
      </c>
      <c r="V165" s="580">
        <f t="shared" si="130"/>
      </c>
      <c r="W165" s="581" t="s">
        <v>335</v>
      </c>
      <c r="X165" s="615" t="s">
        <v>356</v>
      </c>
      <c r="Y165" s="582">
        <v>1</v>
      </c>
      <c r="Z165" s="582">
        <v>5675</v>
      </c>
      <c r="AA165" s="582">
        <v>214</v>
      </c>
      <c r="AB165" s="582">
        <v>280</v>
      </c>
      <c r="AC165" s="582">
        <v>42</v>
      </c>
      <c r="AD165" s="582">
        <v>23</v>
      </c>
      <c r="AE165" s="583">
        <v>2</v>
      </c>
      <c r="AF165" s="583">
        <v>7</v>
      </c>
      <c r="AG165" s="583">
        <v>1</v>
      </c>
      <c r="AI165" s="542"/>
      <c r="AJ165" s="542"/>
      <c r="AK165" s="542"/>
    </row>
    <row r="166">
      <c r="A166" s="557"/>
      <c r="B166" s="584" t="s">
        <v>338</v>
      </c>
      <c r="C166" s="559" t="s">
        <v>334</v>
      </c>
      <c r="D166" s="559">
        <f t="shared" si="297"/>
      </c>
      <c r="E166" s="559">
        <v>776.58</v>
      </c>
      <c r="F166" s="559">
        <v>231.04</v>
      </c>
      <c r="G166" s="561">
        <v>0</v>
      </c>
      <c r="H166" s="561">
        <v>0</v>
      </c>
      <c r="I166" s="562">
        <f t="shared" si="405"/>
      </c>
      <c r="J166" s="562">
        <f t="shared" si="161"/>
      </c>
      <c r="K166" s="563">
        <f t="shared" si="220"/>
      </c>
      <c r="L166" s="574">
        <f t="shared" si="9"/>
      </c>
      <c r="M166" s="575">
        <f t="shared" si="102"/>
      </c>
      <c r="N166" s="576">
        <f t="shared" si="37"/>
      </c>
      <c r="O166" s="576">
        <f t="shared" si="467"/>
      </c>
      <c r="P166" s="575">
        <f t="shared" si="501"/>
      </c>
      <c r="Q166" s="576">
        <f t="shared" si="368"/>
      </c>
      <c r="R166" s="576">
        <f t="shared" si="433"/>
      </c>
      <c r="S166" s="577">
        <f t="shared" si="189"/>
      </c>
      <c r="T166" s="617">
        <f t="shared" si="248"/>
      </c>
      <c r="U166" s="579">
        <f t="shared" si="71"/>
      </c>
      <c r="V166" s="580">
        <f t="shared" si="130"/>
      </c>
      <c r="W166" s="581" t="s">
        <v>335</v>
      </c>
      <c r="X166" s="615" t="s">
        <v>356</v>
      </c>
      <c r="Y166" s="582">
        <v>0</v>
      </c>
      <c r="Z166" s="582">
        <v>3501</v>
      </c>
      <c r="AA166" s="582">
        <v>142</v>
      </c>
      <c r="AB166" s="582">
        <v>180</v>
      </c>
      <c r="AC166" s="582">
        <v>24</v>
      </c>
      <c r="AD166" s="582">
        <v>16</v>
      </c>
      <c r="AE166" s="583">
        <v>1</v>
      </c>
      <c r="AF166" s="583">
        <v>5</v>
      </c>
      <c r="AG166" s="583">
        <v>1</v>
      </c>
      <c r="AI166" s="542"/>
      <c r="AJ166" s="542"/>
      <c r="AK166" s="542"/>
    </row>
    <row r="167">
      <c r="A167" s="557"/>
      <c r="B167" s="584" t="s">
        <v>339</v>
      </c>
      <c r="C167" s="559" t="s">
        <v>334</v>
      </c>
      <c r="D167" s="559">
        <f t="shared" si="297"/>
      </c>
      <c r="E167" s="560">
        <v>541.74</v>
      </c>
      <c r="F167" s="560">
        <v>562.04</v>
      </c>
      <c r="G167" s="573">
        <v>1</v>
      </c>
      <c r="H167" s="573">
        <v>2268</v>
      </c>
      <c r="I167" s="562">
        <f t="shared" si="405"/>
      </c>
      <c r="J167" s="562">
        <f t="shared" si="161"/>
      </c>
      <c r="K167" s="563">
        <f t="shared" si="220"/>
      </c>
      <c r="L167" s="574">
        <f t="shared" si="9"/>
      </c>
      <c r="M167" s="575">
        <f t="shared" si="102"/>
      </c>
      <c r="N167" s="576">
        <f t="shared" si="37"/>
      </c>
      <c r="O167" s="576">
        <f t="shared" si="467"/>
      </c>
      <c r="P167" s="575">
        <f t="shared" si="501"/>
      </c>
      <c r="Q167" s="576">
        <f t="shared" si="368"/>
      </c>
      <c r="R167" s="576">
        <f t="shared" si="433"/>
      </c>
      <c r="S167" s="577">
        <f t="shared" si="189"/>
      </c>
      <c r="T167" s="585">
        <f t="shared" si="248"/>
      </c>
      <c r="U167" s="577">
        <f t="shared" si="71"/>
      </c>
      <c r="V167" s="580">
        <f t="shared" si="130"/>
      </c>
      <c r="W167" s="581" t="s">
        <v>335</v>
      </c>
      <c r="X167" s="615" t="s">
        <v>356</v>
      </c>
      <c r="Y167" s="583">
        <v>1</v>
      </c>
      <c r="Z167" s="583">
        <v>4239</v>
      </c>
      <c r="AA167" s="583">
        <v>234</v>
      </c>
      <c r="AB167" s="583">
        <v>285</v>
      </c>
      <c r="AC167" s="583">
        <v>30</v>
      </c>
      <c r="AD167" s="583">
        <v>17</v>
      </c>
      <c r="AE167" s="583">
        <v>3</v>
      </c>
      <c r="AF167" s="583">
        <v>6</v>
      </c>
      <c r="AG167" s="583">
        <v>1</v>
      </c>
      <c r="AI167" s="542"/>
      <c r="AJ167" s="542"/>
      <c r="AK167" s="542"/>
    </row>
    <row r="168">
      <c r="A168" s="557"/>
      <c r="B168" s="586" t="s">
        <v>340</v>
      </c>
      <c r="C168" s="586"/>
      <c r="D168" s="587">
        <f>SUM(D164:D167)</f>
      </c>
      <c r="E168" s="587">
        <f>SUM(E164:E167)</f>
      </c>
      <c r="F168" s="587">
        <f>SUM(F164:F167)</f>
      </c>
      <c r="G168" s="587">
        <f>SUM(G164:G167)</f>
      </c>
      <c r="H168" s="587">
        <f>SUM(H164:H167)</f>
      </c>
      <c r="I168" s="588">
        <f t="shared" si="405"/>
      </c>
      <c r="J168" s="588">
        <f t="shared" si="161"/>
      </c>
      <c r="K168" s="589">
        <f t="shared" si="220"/>
      </c>
      <c r="L168" s="590">
        <f t="shared" si="9"/>
      </c>
      <c r="M168" s="591">
        <f t="shared" si="102"/>
      </c>
      <c r="N168" s="592">
        <f t="shared" si="37"/>
      </c>
      <c r="O168" s="592">
        <f t="shared" si="467"/>
      </c>
      <c r="P168" s="591">
        <f t="shared" si="501"/>
      </c>
      <c r="Q168" s="592">
        <f t="shared" si="368"/>
      </c>
      <c r="R168" s="592">
        <f t="shared" si="433"/>
      </c>
      <c r="S168" s="593">
        <f t="shared" si="189"/>
      </c>
      <c r="T168" s="594">
        <f t="shared" si="248"/>
      </c>
      <c r="U168" s="593">
        <f t="shared" si="71"/>
      </c>
      <c r="V168" s="595">
        <f t="shared" si="130"/>
      </c>
      <c r="W168" s="595"/>
      <c r="X168" s="595"/>
      <c r="Y168" s="587">
        <f>SUM(Y164:Y167)</f>
      </c>
      <c r="Z168" s="587">
        <f>SUM(Z164:Z167)</f>
      </c>
      <c r="AA168" s="587">
        <f>SUM(AA164:AA167)</f>
      </c>
      <c r="AB168" s="587">
        <f>SUM(AB164:AB167)</f>
      </c>
      <c r="AC168" s="587">
        <f>SUM(AC164:AC167)</f>
      </c>
      <c r="AD168" s="587">
        <f>SUM(AD164:AD167)</f>
      </c>
      <c r="AE168" s="587">
        <f>SUM(AE164:AE167)</f>
      </c>
      <c r="AF168" s="587">
        <f>SUM(AF164:AF167)</f>
      </c>
      <c r="AG168" s="587">
        <f>SUM(AG164:AG167)</f>
      </c>
      <c r="AI168" s="542"/>
      <c r="AJ168" s="542"/>
      <c r="AK168" s="542"/>
    </row>
    <row r="169">
      <c r="A169" s="557"/>
      <c r="B169" s="584" t="s">
        <v>341</v>
      </c>
      <c r="C169" s="559" t="s">
        <v>342</v>
      </c>
      <c r="D169" s="559">
        <f t="shared" ref="D169:D172" si="298">E169+F169</f>
      </c>
      <c r="E169" s="560">
        <v>1491.18</v>
      </c>
      <c r="F169" s="560">
        <v>536.76</v>
      </c>
      <c r="G169" s="573">
        <v>2</v>
      </c>
      <c r="H169" s="573">
        <v>3216</v>
      </c>
      <c r="I169" s="562">
        <f t="shared" si="405"/>
      </c>
      <c r="J169" s="562">
        <f t="shared" si="161"/>
      </c>
      <c r="K169" s="563">
        <f t="shared" si="220"/>
      </c>
      <c r="L169" s="596">
        <f t="shared" si="9"/>
      </c>
      <c r="M169" s="597">
        <f t="shared" si="102"/>
      </c>
      <c r="N169" s="598">
        <f t="shared" si="37"/>
      </c>
      <c r="O169" s="598">
        <f t="shared" si="467"/>
      </c>
      <c r="P169" s="597">
        <f t="shared" si="501"/>
      </c>
      <c r="Q169" s="598">
        <f t="shared" si="368"/>
      </c>
      <c r="R169" s="598">
        <f t="shared" si="433"/>
      </c>
      <c r="S169" s="599">
        <f t="shared" si="189"/>
      </c>
      <c r="T169" s="600">
        <f t="shared" si="248"/>
      </c>
      <c r="U169" s="599">
        <f t="shared" si="71"/>
      </c>
      <c r="V169" s="601">
        <f t="shared" si="130"/>
      </c>
      <c r="W169" s="602" t="s">
        <v>335</v>
      </c>
      <c r="X169" s="570" t="s">
        <v>364</v>
      </c>
      <c r="Y169" s="604">
        <v>2</v>
      </c>
      <c r="Z169" s="603">
        <v>6119</v>
      </c>
      <c r="AA169" s="603">
        <v>283</v>
      </c>
      <c r="AB169" s="603">
        <v>322</v>
      </c>
      <c r="AC169" s="604">
        <v>45</v>
      </c>
      <c r="AD169" s="604">
        <v>27</v>
      </c>
      <c r="AE169" s="604">
        <v>4</v>
      </c>
      <c r="AF169" s="604">
        <v>6</v>
      </c>
      <c r="AG169" s="604">
        <v>1</v>
      </c>
      <c r="AI169" s="542"/>
      <c r="AJ169" s="542"/>
      <c r="AK169" s="542"/>
    </row>
    <row r="170">
      <c r="A170" s="557"/>
      <c r="B170" s="584" t="s">
        <v>343</v>
      </c>
      <c r="C170" s="559" t="s">
        <v>342</v>
      </c>
      <c r="D170" s="559">
        <f t="shared" si="298"/>
      </c>
      <c r="E170" s="559">
        <v>2496.97</v>
      </c>
      <c r="F170" s="559">
        <v>635.56</v>
      </c>
      <c r="G170" s="573">
        <v>4</v>
      </c>
      <c r="H170" s="573">
        <v>7564</v>
      </c>
      <c r="I170" s="562">
        <f t="shared" si="405"/>
      </c>
      <c r="J170" s="562">
        <f t="shared" si="161"/>
      </c>
      <c r="K170" s="563">
        <f t="shared" si="220"/>
      </c>
      <c r="L170" s="596">
        <f t="shared" si="9"/>
      </c>
      <c r="M170" s="597">
        <f t="shared" si="102"/>
      </c>
      <c r="N170" s="598">
        <f t="shared" si="37"/>
      </c>
      <c r="O170" s="598">
        <f t="shared" si="467"/>
      </c>
      <c r="P170" s="597">
        <f t="shared" si="501"/>
      </c>
      <c r="Q170" s="598">
        <f t="shared" si="368"/>
      </c>
      <c r="R170" s="598">
        <f t="shared" si="433"/>
      </c>
      <c r="S170" s="599">
        <f t="shared" si="189"/>
      </c>
      <c r="T170" s="600">
        <f t="shared" si="248"/>
      </c>
      <c r="U170" s="599">
        <f t="shared" si="71"/>
      </c>
      <c r="V170" s="601">
        <f t="shared" si="130"/>
      </c>
      <c r="W170" s="602" t="s">
        <v>335</v>
      </c>
      <c r="X170" s="615" t="s">
        <v>364</v>
      </c>
      <c r="Y170" s="603">
        <v>2</v>
      </c>
      <c r="Z170" s="603">
        <v>10268</v>
      </c>
      <c r="AA170" s="603">
        <v>381</v>
      </c>
      <c r="AB170" s="603">
        <v>473</v>
      </c>
      <c r="AC170" s="603">
        <v>67</v>
      </c>
      <c r="AD170" s="603">
        <v>22</v>
      </c>
      <c r="AE170" s="604">
        <v>12</v>
      </c>
      <c r="AF170" s="604">
        <v>14</v>
      </c>
      <c r="AG170" s="604">
        <v>1</v>
      </c>
      <c r="AI170" s="542"/>
      <c r="AJ170" s="542"/>
      <c r="AK170" s="542"/>
    </row>
    <row r="171">
      <c r="A171" s="557"/>
      <c r="B171" s="584" t="s">
        <v>344</v>
      </c>
      <c r="C171" s="559" t="s">
        <v>342</v>
      </c>
      <c r="D171" s="559">
        <f t="shared" si="298"/>
      </c>
      <c r="E171" s="559">
        <v>2111.58</v>
      </c>
      <c r="F171" s="559">
        <v>563.1</v>
      </c>
      <c r="G171" s="561">
        <v>4</v>
      </c>
      <c r="H171" s="573">
        <v>7752</v>
      </c>
      <c r="I171" s="562">
        <f t="shared" si="405"/>
      </c>
      <c r="J171" s="562">
        <f t="shared" si="161"/>
      </c>
      <c r="K171" s="563">
        <f t="shared" si="220"/>
      </c>
      <c r="L171" s="596">
        <f t="shared" si="9"/>
      </c>
      <c r="M171" s="597">
        <f t="shared" si="102"/>
      </c>
      <c r="N171" s="598">
        <f t="shared" si="37"/>
      </c>
      <c r="O171" s="598">
        <f t="shared" si="467"/>
      </c>
      <c r="P171" s="597">
        <f t="shared" si="501"/>
      </c>
      <c r="Q171" s="598">
        <f t="shared" si="368"/>
      </c>
      <c r="R171" s="598">
        <f t="shared" si="433"/>
      </c>
      <c r="S171" s="599">
        <f t="shared" si="189"/>
      </c>
      <c r="T171" s="600">
        <f t="shared" si="248"/>
      </c>
      <c r="U171" s="599">
        <f t="shared" si="71"/>
      </c>
      <c r="V171" s="601">
        <f t="shared" si="130"/>
      </c>
      <c r="W171" s="602" t="s">
        <v>335</v>
      </c>
      <c r="X171" s="615" t="s">
        <v>364</v>
      </c>
      <c r="Y171" s="603">
        <v>2</v>
      </c>
      <c r="Z171" s="603">
        <v>9403</v>
      </c>
      <c r="AA171" s="603">
        <v>348</v>
      </c>
      <c r="AB171" s="603">
        <v>427</v>
      </c>
      <c r="AC171" s="603">
        <v>48</v>
      </c>
      <c r="AD171" s="603">
        <v>31</v>
      </c>
      <c r="AE171" s="604">
        <v>5</v>
      </c>
      <c r="AF171" s="604">
        <v>14</v>
      </c>
      <c r="AG171" s="604">
        <v>1</v>
      </c>
      <c r="AI171" s="542"/>
      <c r="AJ171" s="542"/>
      <c r="AK171" s="542"/>
    </row>
    <row r="172">
      <c r="A172" s="557"/>
      <c r="B172" s="584" t="s">
        <v>345</v>
      </c>
      <c r="C172" s="559" t="s">
        <v>342</v>
      </c>
      <c r="D172" s="559">
        <f t="shared" si="298"/>
      </c>
      <c r="E172" s="559">
        <v>1387.71</v>
      </c>
      <c r="F172" s="559">
        <v>469.98</v>
      </c>
      <c r="G172" s="561">
        <v>1</v>
      </c>
      <c r="H172" s="573">
        <v>2268</v>
      </c>
      <c r="I172" s="562">
        <f t="shared" si="405"/>
      </c>
      <c r="J172" s="562">
        <f t="shared" si="161"/>
      </c>
      <c r="K172" s="563">
        <f t="shared" si="220"/>
      </c>
      <c r="L172" s="596">
        <f t="shared" si="9"/>
      </c>
      <c r="M172" s="597">
        <f t="shared" si="102"/>
      </c>
      <c r="N172" s="598">
        <f t="shared" si="37"/>
      </c>
      <c r="O172" s="598">
        <f t="shared" si="467"/>
      </c>
      <c r="P172" s="597">
        <f t="shared" si="501"/>
      </c>
      <c r="Q172" s="598">
        <f t="shared" si="368"/>
      </c>
      <c r="R172" s="598">
        <f t="shared" si="433"/>
      </c>
      <c r="S172" s="599">
        <f t="shared" si="189"/>
      </c>
      <c r="T172" s="600">
        <f t="shared" si="248"/>
      </c>
      <c r="U172" s="599">
        <f t="shared" si="71"/>
      </c>
      <c r="V172" s="601">
        <f t="shared" si="130"/>
      </c>
      <c r="W172" s="602" t="s">
        <v>335</v>
      </c>
      <c r="X172" s="615" t="s">
        <v>364</v>
      </c>
      <c r="Y172" s="604">
        <v>1</v>
      </c>
      <c r="Z172" s="603">
        <v>6030</v>
      </c>
      <c r="AA172" s="603">
        <v>248</v>
      </c>
      <c r="AB172" s="603">
        <v>332</v>
      </c>
      <c r="AC172" s="603">
        <v>49</v>
      </c>
      <c r="AD172" s="603">
        <v>32</v>
      </c>
      <c r="AE172" s="604">
        <v>5</v>
      </c>
      <c r="AF172" s="604">
        <v>14</v>
      </c>
      <c r="AG172" s="604">
        <v>1</v>
      </c>
      <c r="AI172" s="542"/>
      <c r="AJ172" s="542"/>
      <c r="AK172" s="542"/>
    </row>
    <row r="173">
      <c r="A173" s="557"/>
      <c r="B173" s="586" t="s">
        <v>340</v>
      </c>
      <c r="C173" s="586"/>
      <c r="D173" s="587">
        <f>SUM(D169:D172)</f>
      </c>
      <c r="E173" s="587">
        <f>SUM(E169:E172)</f>
      </c>
      <c r="F173" s="587">
        <f>SUM(F169:F172)</f>
      </c>
      <c r="G173" s="587">
        <f>SUM(G169:G172)</f>
      </c>
      <c r="H173" s="587">
        <f>SUM(H169:H172)</f>
      </c>
      <c r="I173" s="588">
        <f t="shared" si="405"/>
      </c>
      <c r="J173" s="588">
        <f t="shared" si="161"/>
      </c>
      <c r="K173" s="589">
        <f t="shared" si="220"/>
      </c>
      <c r="L173" s="590">
        <f t="shared" si="9"/>
      </c>
      <c r="M173" s="591">
        <f t="shared" si="102"/>
      </c>
      <c r="N173" s="592">
        <f t="shared" si="37"/>
      </c>
      <c r="O173" s="592">
        <f t="shared" si="467"/>
      </c>
      <c r="P173" s="591">
        <f t="shared" si="501"/>
      </c>
      <c r="Q173" s="592">
        <f t="shared" si="368"/>
      </c>
      <c r="R173" s="592">
        <f t="shared" si="433"/>
      </c>
      <c r="S173" s="593">
        <f t="shared" si="189"/>
      </c>
      <c r="T173" s="594">
        <f t="shared" si="248"/>
      </c>
      <c r="U173" s="593">
        <f t="shared" si="71"/>
      </c>
      <c r="V173" s="595">
        <f t="shared" si="130"/>
      </c>
      <c r="W173" s="595"/>
      <c r="X173" s="595"/>
      <c r="Y173" s="587">
        <f>SUM(Y169:Y172)</f>
      </c>
      <c r="Z173" s="587">
        <f>SUM(Z169:Z172)</f>
      </c>
      <c r="AA173" s="587">
        <f>SUM(AA169:AA172)</f>
      </c>
      <c r="AB173" s="587">
        <f>SUM(AB169:AB172)</f>
      </c>
      <c r="AC173" s="587">
        <f>SUM(AC169:AC172)</f>
      </c>
      <c r="AD173" s="587">
        <f>SUM(AD169:AD172)</f>
      </c>
      <c r="AE173" s="587">
        <f>SUM(AE169:AE172)</f>
      </c>
      <c r="AF173" s="587">
        <f>SUM(AF169:AF172)</f>
      </c>
      <c r="AG173" s="587">
        <f>SUM(AG169:AG172)</f>
      </c>
      <c r="AI173" s="542"/>
      <c r="AJ173" s="542"/>
      <c r="AK173" s="542"/>
    </row>
    <row r="174">
      <c r="A174" s="557"/>
      <c r="B174" s="584" t="s">
        <v>346</v>
      </c>
      <c r="C174" s="560" t="s">
        <v>347</v>
      </c>
      <c r="D174" s="559">
        <f t="shared" ref="D174:D177" si="299">E174+F174</f>
      </c>
      <c r="E174" s="559">
        <v>1782.21</v>
      </c>
      <c r="F174" s="560">
        <v>556.55</v>
      </c>
      <c r="G174" s="573">
        <v>2</v>
      </c>
      <c r="H174" s="573">
        <v>4536</v>
      </c>
      <c r="I174" s="562">
        <f t="shared" si="405"/>
      </c>
      <c r="J174" s="562">
        <f t="shared" si="161"/>
      </c>
      <c r="K174" s="605">
        <f t="shared" si="220"/>
      </c>
      <c r="L174" s="596">
        <f t="shared" si="9"/>
      </c>
      <c r="M174" s="597">
        <f t="shared" si="102"/>
      </c>
      <c r="N174" s="598">
        <f t="shared" si="37"/>
      </c>
      <c r="O174" s="598">
        <f t="shared" si="467"/>
      </c>
      <c r="P174" s="597">
        <f t="shared" si="501"/>
      </c>
      <c r="Q174" s="598">
        <f t="shared" si="368"/>
      </c>
      <c r="R174" s="598">
        <f t="shared" si="433"/>
      </c>
      <c r="S174" s="599">
        <f t="shared" si="189"/>
      </c>
      <c r="T174" s="600">
        <f t="shared" si="248"/>
      </c>
      <c r="U174" s="599">
        <f t="shared" si="71"/>
      </c>
      <c r="V174" s="601">
        <f t="shared" si="130"/>
      </c>
      <c r="W174" s="602" t="s">
        <v>335</v>
      </c>
      <c r="X174" s="615" t="s">
        <v>364</v>
      </c>
      <c r="Y174" s="604">
        <v>2</v>
      </c>
      <c r="Z174" s="603">
        <v>7700</v>
      </c>
      <c r="AA174" s="603">
        <v>229</v>
      </c>
      <c r="AB174" s="603">
        <v>336</v>
      </c>
      <c r="AC174" s="603">
        <v>60</v>
      </c>
      <c r="AD174" s="603">
        <v>37</v>
      </c>
      <c r="AE174" s="604">
        <v>5</v>
      </c>
      <c r="AF174" s="604">
        <v>16</v>
      </c>
      <c r="AG174" s="604">
        <v>1</v>
      </c>
      <c r="AI174" s="542"/>
      <c r="AJ174" s="542"/>
      <c r="AK174" s="542"/>
    </row>
    <row r="175">
      <c r="A175" s="557"/>
      <c r="B175" s="584" t="s">
        <v>349</v>
      </c>
      <c r="C175" s="560" t="s">
        <v>347</v>
      </c>
      <c r="D175" s="559">
        <f t="shared" si="299"/>
      </c>
      <c r="E175" s="559">
        <v>1373.07</v>
      </c>
      <c r="F175" s="560">
        <v>525.77</v>
      </c>
      <c r="G175" s="573">
        <v>2</v>
      </c>
      <c r="H175" s="573">
        <v>3216</v>
      </c>
      <c r="I175" s="562">
        <f t="shared" si="405"/>
      </c>
      <c r="J175" s="562">
        <f t="shared" si="161"/>
      </c>
      <c r="K175" s="605">
        <f t="shared" si="220"/>
      </c>
      <c r="L175" s="596">
        <f t="shared" si="9"/>
      </c>
      <c r="M175" s="597">
        <f t="shared" si="102"/>
      </c>
      <c r="N175" s="598">
        <f t="shared" si="37"/>
      </c>
      <c r="O175" s="598">
        <f t="shared" si="467"/>
      </c>
      <c r="P175" s="597">
        <f t="shared" si="501"/>
      </c>
      <c r="Q175" s="598">
        <f t="shared" si="368"/>
      </c>
      <c r="R175" s="598">
        <f t="shared" si="433"/>
      </c>
      <c r="S175" s="599">
        <f t="shared" si="189"/>
      </c>
      <c r="T175" s="600">
        <f t="shared" si="248"/>
      </c>
      <c r="U175" s="599">
        <f t="shared" si="71"/>
      </c>
      <c r="V175" s="601">
        <f t="shared" si="130"/>
      </c>
      <c r="W175" s="602" t="s">
        <v>335</v>
      </c>
      <c r="X175" s="615" t="s">
        <v>364</v>
      </c>
      <c r="Y175" s="603">
        <v>2</v>
      </c>
      <c r="Z175" s="603">
        <v>6107</v>
      </c>
      <c r="AA175" s="603">
        <v>193</v>
      </c>
      <c r="AB175" s="603">
        <v>294</v>
      </c>
      <c r="AC175" s="603">
        <v>29</v>
      </c>
      <c r="AD175" s="603">
        <v>26</v>
      </c>
      <c r="AE175" s="604">
        <v>3</v>
      </c>
      <c r="AF175" s="604">
        <v>8</v>
      </c>
      <c r="AG175" s="604">
        <v>1</v>
      </c>
      <c r="AI175" s="542"/>
      <c r="AJ175" s="542"/>
      <c r="AK175" s="542"/>
    </row>
    <row r="176">
      <c r="A176" s="557"/>
      <c r="B176" s="584" t="s">
        <v>350</v>
      </c>
      <c r="C176" s="560" t="s">
        <v>347</v>
      </c>
      <c r="D176" s="559">
        <f t="shared" si="299"/>
      </c>
      <c r="E176" s="559">
        <v>1178.04</v>
      </c>
      <c r="F176" s="560">
        <v>545.94</v>
      </c>
      <c r="G176" s="573">
        <v>2</v>
      </c>
      <c r="H176" s="573">
        <v>2949</v>
      </c>
      <c r="I176" s="562">
        <f t="shared" si="405"/>
      </c>
      <c r="J176" s="562">
        <f t="shared" si="161"/>
      </c>
      <c r="K176" s="605">
        <f t="shared" si="220"/>
      </c>
      <c r="L176" s="596">
        <f t="shared" si="9"/>
      </c>
      <c r="M176" s="597">
        <f t="shared" si="102"/>
      </c>
      <c r="N176" s="598">
        <f t="shared" si="37"/>
      </c>
      <c r="O176" s="598">
        <f t="shared" si="467"/>
      </c>
      <c r="P176" s="597">
        <f t="shared" si="501"/>
      </c>
      <c r="Q176" s="598">
        <f t="shared" si="368"/>
      </c>
      <c r="R176" s="598">
        <f t="shared" si="433"/>
      </c>
      <c r="S176" s="599">
        <f t="shared" si="189"/>
      </c>
      <c r="T176" s="600">
        <f t="shared" si="248"/>
      </c>
      <c r="U176" s="599">
        <f t="shared" si="71"/>
      </c>
      <c r="V176" s="601">
        <f t="shared" si="130"/>
      </c>
      <c r="W176" s="602" t="s">
        <v>335</v>
      </c>
      <c r="X176" s="615" t="s">
        <v>364</v>
      </c>
      <c r="Y176" s="603">
        <v>2</v>
      </c>
      <c r="Z176" s="603">
        <v>5779</v>
      </c>
      <c r="AA176" s="603">
        <v>180</v>
      </c>
      <c r="AB176" s="603">
        <v>319</v>
      </c>
      <c r="AC176" s="603">
        <v>33</v>
      </c>
      <c r="AD176" s="603">
        <v>11</v>
      </c>
      <c r="AE176" s="604">
        <v>3</v>
      </c>
      <c r="AF176" s="604">
        <v>9</v>
      </c>
      <c r="AG176" s="604">
        <v>1</v>
      </c>
      <c r="AI176" s="542"/>
      <c r="AJ176" s="542"/>
      <c r="AK176" s="542"/>
    </row>
    <row r="177">
      <c r="A177" s="557"/>
      <c r="B177" s="584" t="s">
        <v>351</v>
      </c>
      <c r="C177" s="560" t="s">
        <v>347</v>
      </c>
      <c r="D177" s="559">
        <f t="shared" si="299"/>
      </c>
      <c r="E177" s="559">
        <v>926.12</v>
      </c>
      <c r="F177" s="559">
        <v>403.3</v>
      </c>
      <c r="G177" s="573">
        <v>2</v>
      </c>
      <c r="H177" s="573">
        <v>4536</v>
      </c>
      <c r="I177" s="562">
        <f t="shared" si="405"/>
      </c>
      <c r="J177" s="562">
        <f t="shared" si="161"/>
      </c>
      <c r="K177" s="605">
        <f t="shared" si="220"/>
      </c>
      <c r="L177" s="596">
        <f t="shared" si="9"/>
      </c>
      <c r="M177" s="597">
        <f t="shared" si="102"/>
      </c>
      <c r="N177" s="598">
        <f t="shared" si="37"/>
      </c>
      <c r="O177" s="598">
        <f t="shared" si="467"/>
      </c>
      <c r="P177" s="597">
        <f t="shared" si="501"/>
      </c>
      <c r="Q177" s="598">
        <f t="shared" si="368"/>
      </c>
      <c r="R177" s="598">
        <f t="shared" si="433"/>
      </c>
      <c r="S177" s="599">
        <f t="shared" si="189"/>
      </c>
      <c r="T177" s="600">
        <f t="shared" si="248"/>
      </c>
      <c r="U177" s="599">
        <f t="shared" si="71"/>
      </c>
      <c r="V177" s="601">
        <f t="shared" si="130"/>
      </c>
      <c r="W177" s="602" t="s">
        <v>335</v>
      </c>
      <c r="X177" s="615" t="s">
        <v>364</v>
      </c>
      <c r="Y177" s="604">
        <v>2</v>
      </c>
      <c r="Z177" s="603">
        <v>5408</v>
      </c>
      <c r="AA177" s="603">
        <v>141</v>
      </c>
      <c r="AB177" s="603">
        <v>227</v>
      </c>
      <c r="AC177" s="603">
        <v>36</v>
      </c>
      <c r="AD177" s="603">
        <v>12</v>
      </c>
      <c r="AE177" s="604">
        <v>3</v>
      </c>
      <c r="AF177" s="604">
        <v>8</v>
      </c>
      <c r="AG177" s="604">
        <v>1</v>
      </c>
      <c r="AI177" s="542"/>
      <c r="AJ177" s="542"/>
      <c r="AK177" s="542"/>
    </row>
    <row r="178">
      <c r="A178" s="557"/>
      <c r="B178" s="586" t="s">
        <v>340</v>
      </c>
      <c r="C178" s="586"/>
      <c r="D178" s="587">
        <f>SUM(D174:D177)</f>
      </c>
      <c r="E178" s="587">
        <f>SUM(E174:E177)</f>
      </c>
      <c r="F178" s="587">
        <f>SUM(F174:F177)</f>
      </c>
      <c r="G178" s="587">
        <f>SUM(G174:G177)</f>
      </c>
      <c r="H178" s="587">
        <f>SUM(H174:H177)</f>
      </c>
      <c r="I178" s="588">
        <f t="shared" si="405"/>
      </c>
      <c r="J178" s="588">
        <f t="shared" si="161"/>
      </c>
      <c r="K178" s="606">
        <f t="shared" si="220"/>
      </c>
      <c r="L178" s="590">
        <f t="shared" si="9"/>
      </c>
      <c r="M178" s="591">
        <f t="shared" si="102"/>
      </c>
      <c r="N178" s="592">
        <f t="shared" si="37"/>
      </c>
      <c r="O178" s="592">
        <f t="shared" si="467"/>
      </c>
      <c r="P178" s="591">
        <f t="shared" si="501"/>
      </c>
      <c r="Q178" s="592">
        <f t="shared" si="368"/>
      </c>
      <c r="R178" s="592">
        <f t="shared" si="433"/>
      </c>
      <c r="S178" s="593">
        <f t="shared" si="189"/>
      </c>
      <c r="T178" s="594">
        <f t="shared" si="248"/>
      </c>
      <c r="U178" s="593">
        <f t="shared" si="71"/>
      </c>
      <c r="V178" s="595">
        <f t="shared" si="130"/>
      </c>
      <c r="W178" s="595"/>
      <c r="X178" s="595"/>
      <c r="Y178" s="587">
        <f>SUM(Y174:Y177)</f>
      </c>
      <c r="Z178" s="587">
        <f>SUM(Z174:Z177)</f>
      </c>
      <c r="AA178" s="587">
        <f>SUM(AA174:AA177)</f>
      </c>
      <c r="AB178" s="587">
        <f>SUM(AB174:AB177)</f>
      </c>
      <c r="AC178" s="587">
        <f>SUM(AC174:AC177)</f>
      </c>
      <c r="AD178" s="587">
        <f>SUM(AD174:AD177)</f>
      </c>
      <c r="AE178" s="587">
        <f>SUM(AE174:AE177)</f>
      </c>
      <c r="AF178" s="587">
        <f>SUM(AF174:AF177)</f>
      </c>
      <c r="AG178" s="587">
        <f>SUM(AG174:AG177)</f>
      </c>
      <c r="AI178" s="542"/>
      <c r="AJ178" s="542"/>
      <c r="AK178" s="542"/>
    </row>
    <row r="179">
      <c r="A179" s="557"/>
      <c r="B179" s="607" t="s">
        <v>352</v>
      </c>
      <c r="C179" s="607"/>
      <c r="D179" s="607">
        <f>D168+D178+D173</f>
      </c>
      <c r="E179" s="607">
        <f>E168+E178+E173</f>
      </c>
      <c r="F179" s="607">
        <f>F168+F178+F173</f>
      </c>
      <c r="G179" s="607">
        <f>G168+G178+G173</f>
      </c>
      <c r="H179" s="607">
        <f>H168+H178+H173</f>
      </c>
      <c r="I179" s="608">
        <f t="shared" si="405"/>
      </c>
      <c r="J179" s="608">
        <f t="shared" si="161"/>
      </c>
      <c r="K179" s="609">
        <f t="shared" si="220"/>
      </c>
      <c r="L179" s="610">
        <f t="shared" si="9"/>
      </c>
      <c r="M179" s="611">
        <f t="shared" si="102"/>
      </c>
      <c r="N179" s="612">
        <f t="shared" si="37"/>
      </c>
      <c r="O179" s="612">
        <f t="shared" si="467"/>
      </c>
      <c r="P179" s="611">
        <f t="shared" si="501"/>
      </c>
      <c r="Q179" s="612">
        <f t="shared" si="368"/>
      </c>
      <c r="R179" s="612">
        <f t="shared" si="433"/>
      </c>
      <c r="S179" s="611">
        <f t="shared" si="189"/>
      </c>
      <c r="T179" s="613">
        <f t="shared" si="248"/>
      </c>
      <c r="U179" s="611">
        <f t="shared" si="71"/>
      </c>
      <c r="V179" s="609">
        <f t="shared" si="130"/>
      </c>
      <c r="W179" s="609"/>
      <c r="X179" s="609"/>
      <c r="Y179" s="607">
        <f>Y168+Y178+Y173</f>
      </c>
      <c r="Z179" s="607">
        <f>Z168+Z178+Z173</f>
      </c>
      <c r="AA179" s="607">
        <f>AA168+AA178+AA173</f>
      </c>
      <c r="AB179" s="607">
        <f>AB168+AB178+AB173</f>
      </c>
      <c r="AC179" s="607">
        <f>AC168+AC178+AC173</f>
      </c>
      <c r="AD179" s="607">
        <f>AD168+AD178+AD173</f>
      </c>
      <c r="AE179" s="607">
        <f>AE168+AE178+AE173</f>
      </c>
      <c r="AF179" s="607">
        <f>AF168+AF178+AF173</f>
      </c>
      <c r="AG179" s="607">
        <f>AG168+AG178+AG173</f>
      </c>
      <c r="AI179" s="542"/>
      <c r="AJ179" s="542"/>
      <c r="AK179" s="542"/>
    </row>
    <row r="180">
      <c r="A180" s="538" t="s">
        <v>295</v>
      </c>
      <c r="B180" s="538"/>
      <c r="C180" s="538"/>
      <c r="D180" s="614" t="s">
        <v>296</v>
      </c>
      <c r="E180" s="614"/>
      <c r="F180" s="614"/>
      <c r="G180" s="614"/>
      <c r="H180" s="614"/>
      <c r="I180" s="614"/>
      <c r="J180" s="614"/>
      <c r="K180" s="540" t="s">
        <v>297</v>
      </c>
      <c r="L180" s="540"/>
      <c r="M180" s="540"/>
      <c r="N180" s="540"/>
      <c r="O180" s="540"/>
      <c r="P180" s="540"/>
      <c r="Q180" s="540"/>
      <c r="R180" s="540"/>
      <c r="S180" s="540"/>
      <c r="T180" s="540"/>
      <c r="U180" s="540"/>
      <c r="V180" s="540"/>
      <c r="W180" s="540"/>
      <c r="X180" s="540"/>
      <c r="Y180" s="541" t="s">
        <v>298</v>
      </c>
      <c r="Z180" s="541"/>
      <c r="AA180" s="541"/>
      <c r="AB180" s="541"/>
      <c r="AC180" s="541"/>
      <c r="AD180" s="541"/>
      <c r="AE180" s="541"/>
      <c r="AF180" s="541"/>
      <c r="AG180" s="541"/>
      <c r="AI180" s="542"/>
      <c r="AJ180" s="542"/>
      <c r="AK180" s="542"/>
    </row>
    <row r="181">
      <c r="A181" s="543" t="s">
        <v>299</v>
      </c>
      <c r="B181" s="544" t="s">
        <v>300</v>
      </c>
      <c r="C181" s="544" t="s">
        <v>301</v>
      </c>
      <c r="D181" s="545" t="s">
        <v>302</v>
      </c>
      <c r="E181" s="546" t="s">
        <v>303</v>
      </c>
      <c r="F181" s="546" t="s">
        <v>304</v>
      </c>
      <c r="G181" s="547" t="s">
        <v>305</v>
      </c>
      <c r="H181" s="548" t="s">
        <v>306</v>
      </c>
      <c r="I181" s="549" t="s">
        <v>307</v>
      </c>
      <c r="J181" s="549" t="s">
        <v>308</v>
      </c>
      <c r="K181" s="551" t="s">
        <v>309</v>
      </c>
      <c r="L181" s="540" t="s">
        <v>310</v>
      </c>
      <c r="M181" s="540" t="s">
        <v>311</v>
      </c>
      <c r="N181" s="552" t="s">
        <v>312</v>
      </c>
      <c r="O181" s="552" t="s">
        <v>313</v>
      </c>
      <c r="P181" s="540" t="s">
        <v>314</v>
      </c>
      <c r="Q181" s="552" t="s">
        <v>315</v>
      </c>
      <c r="R181" s="552" t="s">
        <v>316</v>
      </c>
      <c r="S181" s="540" t="s">
        <v>317</v>
      </c>
      <c r="T181" s="552" t="s">
        <v>318</v>
      </c>
      <c r="U181" s="540" t="s">
        <v>319</v>
      </c>
      <c r="V181" s="553" t="s">
        <v>320</v>
      </c>
      <c r="W181" s="553" t="s">
        <v>321</v>
      </c>
      <c r="X181" s="553" t="s">
        <v>322</v>
      </c>
      <c r="Y181" s="554" t="s">
        <v>323</v>
      </c>
      <c r="Z181" s="555" t="s">
        <v>324</v>
      </c>
      <c r="AA181" s="555" t="s">
        <v>325</v>
      </c>
      <c r="AB181" s="555" t="s">
        <v>326</v>
      </c>
      <c r="AC181" s="555" t="s">
        <v>327</v>
      </c>
      <c r="AD181" s="555" t="s">
        <v>328</v>
      </c>
      <c r="AE181" s="555" t="s">
        <v>329</v>
      </c>
      <c r="AF181" s="555" t="s">
        <v>330</v>
      </c>
      <c r="AG181" s="555" t="s">
        <v>331</v>
      </c>
      <c r="AI181" s="542"/>
      <c r="AJ181" s="542"/>
      <c r="AK181" s="542"/>
    </row>
    <row r="182">
      <c r="A182" s="557" t="s">
        <v>365</v>
      </c>
      <c r="B182" s="584" t="s">
        <v>333</v>
      </c>
      <c r="C182" s="559" t="s">
        <v>334</v>
      </c>
      <c r="D182" s="559">
        <f t="shared" ref="D182:D185" si="300">E182+F182</f>
      </c>
      <c r="E182" s="559">
        <v>1849.41</v>
      </c>
      <c r="F182" s="559">
        <v>548.78</v>
      </c>
      <c r="G182" s="561">
        <v>0</v>
      </c>
      <c r="H182" s="561">
        <v>0</v>
      </c>
      <c r="I182" s="562">
        <f t="shared" ref="I182:I197" si="406">H182/D182</f>
      </c>
      <c r="J182" s="562">
        <f t="shared" ref="J182:J197" si="162">H182/(D182+300*AG182)</f>
      </c>
      <c r="K182" s="563">
        <f t="shared" ref="K182:K197" si="221">(D182/Z182)*1000</f>
      </c>
      <c r="L182" s="564">
        <f t="shared" ref="L182:L197" si="10">AA182/Z182</f>
      </c>
      <c r="M182" s="565">
        <f t="shared" ref="M182:M197" si="103">D182/AB182</f>
      </c>
      <c r="N182" s="566">
        <f t="shared" ref="N182:N197" si="38">AC182/AB182</f>
      </c>
      <c r="O182" s="566">
        <f t="shared" ref="O182:O197" si="468">AD182/AB182</f>
      </c>
      <c r="P182" s="565">
        <f t="shared" ref="P182:P197" si="502">D182/AD182</f>
      </c>
      <c r="Q182" s="566">
        <f t="shared" ref="Q182:Q197" si="369">AE182/AD182</f>
      </c>
      <c r="R182" s="566">
        <f t="shared" ref="R182:R197" si="434">G182/AE182</f>
      </c>
      <c r="S182" s="565">
        <f t="shared" ref="S182:S197" si="190">D182/G182</f>
      </c>
      <c r="T182" s="567">
        <f t="shared" ref="T182:T197" si="249">H182/G182</f>
      </c>
      <c r="U182" s="565">
        <f t="shared" ref="U182:U197" si="72">D182/Y182</f>
      </c>
      <c r="V182" s="568">
        <f t="shared" ref="V182:V197" si="131">AF182*1000/D182</f>
      </c>
      <c r="W182" s="569" t="s">
        <v>335</v>
      </c>
      <c r="X182" s="615" t="s">
        <v>356</v>
      </c>
      <c r="Y182" s="572">
        <v>0</v>
      </c>
      <c r="Z182" s="572">
        <v>11214</v>
      </c>
      <c r="AA182" s="572">
        <v>380</v>
      </c>
      <c r="AB182" s="572">
        <v>507</v>
      </c>
      <c r="AC182" s="572">
        <v>58</v>
      </c>
      <c r="AD182" s="572">
        <v>30</v>
      </c>
      <c r="AE182" s="571">
        <v>3</v>
      </c>
      <c r="AF182" s="571">
        <v>18</v>
      </c>
      <c r="AG182" s="571">
        <v>1</v>
      </c>
      <c r="AI182" s="542"/>
      <c r="AJ182" s="542"/>
      <c r="AK182" s="542"/>
    </row>
    <row r="183">
      <c r="A183" s="557"/>
      <c r="B183" s="584" t="s">
        <v>337</v>
      </c>
      <c r="C183" s="559" t="s">
        <v>334</v>
      </c>
      <c r="D183" s="559">
        <f t="shared" si="300"/>
      </c>
      <c r="E183" s="559">
        <v>574.96</v>
      </c>
      <c r="F183" s="559">
        <v>72.73</v>
      </c>
      <c r="G183" s="573">
        <v>2</v>
      </c>
      <c r="H183" s="573">
        <v>1896</v>
      </c>
      <c r="I183" s="562">
        <f t="shared" si="406"/>
      </c>
      <c r="J183" s="562">
        <f t="shared" si="162"/>
      </c>
      <c r="K183" s="563">
        <f t="shared" si="221"/>
      </c>
      <c r="L183" s="574">
        <f t="shared" si="10"/>
      </c>
      <c r="M183" s="575">
        <f t="shared" si="103"/>
      </c>
      <c r="N183" s="576">
        <f t="shared" si="38"/>
      </c>
      <c r="O183" s="576">
        <f t="shared" si="468"/>
      </c>
      <c r="P183" s="575">
        <f t="shared" si="502"/>
      </c>
      <c r="Q183" s="576">
        <f t="shared" si="369"/>
      </c>
      <c r="R183" s="576">
        <f t="shared" si="434"/>
      </c>
      <c r="S183" s="577">
        <f t="shared" si="190"/>
      </c>
      <c r="T183" s="617">
        <f t="shared" si="249"/>
      </c>
      <c r="U183" s="579">
        <f t="shared" si="72"/>
      </c>
      <c r="V183" s="580">
        <f t="shared" si="131"/>
      </c>
      <c r="W183" s="581" t="s">
        <v>335</v>
      </c>
      <c r="X183" s="615" t="s">
        <v>356</v>
      </c>
      <c r="Y183" s="582">
        <v>2</v>
      </c>
      <c r="Z183" s="582">
        <v>2657</v>
      </c>
      <c r="AA183" s="582">
        <v>96</v>
      </c>
      <c r="AB183" s="582">
        <v>172</v>
      </c>
      <c r="AC183" s="582">
        <v>12</v>
      </c>
      <c r="AD183" s="582">
        <v>0</v>
      </c>
      <c r="AE183" s="583">
        <v>2</v>
      </c>
      <c r="AF183" s="583">
        <v>2</v>
      </c>
      <c r="AG183" s="583">
        <v>1</v>
      </c>
      <c r="AI183" s="542"/>
      <c r="AJ183" s="542"/>
      <c r="AK183" s="542"/>
    </row>
    <row r="184">
      <c r="A184" s="557"/>
      <c r="B184" s="584" t="s">
        <v>338</v>
      </c>
      <c r="C184" s="559" t="s">
        <v>334</v>
      </c>
      <c r="D184" s="559">
        <f t="shared" si="300"/>
      </c>
      <c r="E184" s="559">
        <v>1559.67</v>
      </c>
      <c r="F184" s="559">
        <v>108.17</v>
      </c>
      <c r="G184" s="561">
        <v>3</v>
      </c>
      <c r="H184" s="561">
        <v>5484</v>
      </c>
      <c r="I184" s="562">
        <f t="shared" si="406"/>
      </c>
      <c r="J184" s="562">
        <f t="shared" si="162"/>
      </c>
      <c r="K184" s="563">
        <f t="shared" si="221"/>
      </c>
      <c r="L184" s="574">
        <f t="shared" si="10"/>
      </c>
      <c r="M184" s="575">
        <f t="shared" si="103"/>
      </c>
      <c r="N184" s="576">
        <f t="shared" si="38"/>
      </c>
      <c r="O184" s="576">
        <f t="shared" si="468"/>
      </c>
      <c r="P184" s="575">
        <f t="shared" si="502"/>
      </c>
      <c r="Q184" s="576">
        <f t="shared" si="369"/>
      </c>
      <c r="R184" s="576">
        <f t="shared" si="434"/>
      </c>
      <c r="S184" s="577">
        <f t="shared" si="190"/>
      </c>
      <c r="T184" s="617">
        <f t="shared" si="249"/>
      </c>
      <c r="U184" s="579">
        <f t="shared" si="72"/>
      </c>
      <c r="V184" s="580">
        <f t="shared" si="131"/>
      </c>
      <c r="W184" s="581" t="s">
        <v>335</v>
      </c>
      <c r="X184" s="615" t="s">
        <v>356</v>
      </c>
      <c r="Y184" s="582">
        <v>3</v>
      </c>
      <c r="Z184" s="582">
        <v>7745</v>
      </c>
      <c r="AA184" s="582">
        <v>226</v>
      </c>
      <c r="AB184" s="582">
        <v>452</v>
      </c>
      <c r="AC184" s="582">
        <v>34</v>
      </c>
      <c r="AD184" s="582">
        <v>6</v>
      </c>
      <c r="AE184" s="583">
        <v>7</v>
      </c>
      <c r="AF184" s="583">
        <v>9</v>
      </c>
      <c r="AG184" s="583">
        <v>1</v>
      </c>
      <c r="AI184" s="542"/>
      <c r="AJ184" s="542"/>
      <c r="AK184" s="542"/>
    </row>
    <row r="185">
      <c r="A185" s="557"/>
      <c r="B185" s="584" t="s">
        <v>339</v>
      </c>
      <c r="C185" s="559" t="s">
        <v>334</v>
      </c>
      <c r="D185" s="559">
        <f t="shared" si="300"/>
      </c>
      <c r="E185" s="560">
        <v>1943.11</v>
      </c>
      <c r="F185" s="560">
        <v>140.14</v>
      </c>
      <c r="G185" s="573">
        <v>1</v>
      </c>
      <c r="H185" s="573">
        <v>2080</v>
      </c>
      <c r="I185" s="562">
        <f t="shared" si="406"/>
      </c>
      <c r="J185" s="562">
        <f t="shared" si="162"/>
      </c>
      <c r="K185" s="563">
        <f t="shared" si="221"/>
      </c>
      <c r="L185" s="574">
        <f t="shared" si="10"/>
      </c>
      <c r="M185" s="575">
        <f t="shared" si="103"/>
      </c>
      <c r="N185" s="576">
        <f t="shared" si="38"/>
      </c>
      <c r="O185" s="576">
        <f t="shared" si="468"/>
      </c>
      <c r="P185" s="575">
        <f t="shared" si="502"/>
      </c>
      <c r="Q185" s="576">
        <f t="shared" si="369"/>
      </c>
      <c r="R185" s="576">
        <f t="shared" si="434"/>
      </c>
      <c r="S185" s="577">
        <f t="shared" si="190"/>
      </c>
      <c r="T185" s="585">
        <f t="shared" si="249"/>
      </c>
      <c r="U185" s="577">
        <f t="shared" si="72"/>
      </c>
      <c r="V185" s="580">
        <f t="shared" si="131"/>
      </c>
      <c r="W185" s="581" t="s">
        <v>335</v>
      </c>
      <c r="X185" s="615" t="s">
        <v>356</v>
      </c>
      <c r="Y185" s="583">
        <v>1</v>
      </c>
      <c r="Z185" s="583">
        <v>10337</v>
      </c>
      <c r="AA185" s="583">
        <v>239</v>
      </c>
      <c r="AB185" s="583">
        <v>440</v>
      </c>
      <c r="AC185" s="583">
        <v>45</v>
      </c>
      <c r="AD185" s="583">
        <v>5</v>
      </c>
      <c r="AE185" s="583">
        <v>3</v>
      </c>
      <c r="AF185" s="583">
        <v>10</v>
      </c>
      <c r="AG185" s="583">
        <v>1</v>
      </c>
      <c r="AI185" s="542"/>
      <c r="AJ185" s="542"/>
      <c r="AK185" s="542"/>
    </row>
    <row r="186">
      <c r="A186" s="557"/>
      <c r="B186" s="586" t="s">
        <v>340</v>
      </c>
      <c r="C186" s="586"/>
      <c r="D186" s="587">
        <f>SUM(D182:D185)</f>
      </c>
      <c r="E186" s="587">
        <f>SUM(E182:E185)</f>
      </c>
      <c r="F186" s="587">
        <f>SUM(F182:F185)</f>
      </c>
      <c r="G186" s="587">
        <f>SUM(G182:G185)</f>
      </c>
      <c r="H186" s="587">
        <f>SUM(H182:H185)</f>
      </c>
      <c r="I186" s="588">
        <f t="shared" si="406"/>
      </c>
      <c r="J186" s="588">
        <f t="shared" si="162"/>
      </c>
      <c r="K186" s="589">
        <f t="shared" si="221"/>
      </c>
      <c r="L186" s="590">
        <f t="shared" si="10"/>
      </c>
      <c r="M186" s="591">
        <f t="shared" si="103"/>
      </c>
      <c r="N186" s="592">
        <f t="shared" si="38"/>
      </c>
      <c r="O186" s="592">
        <f t="shared" si="468"/>
      </c>
      <c r="P186" s="591">
        <f t="shared" si="502"/>
      </c>
      <c r="Q186" s="592">
        <f t="shared" si="369"/>
      </c>
      <c r="R186" s="592">
        <f t="shared" si="434"/>
      </c>
      <c r="S186" s="593">
        <f t="shared" si="190"/>
      </c>
      <c r="T186" s="594">
        <f t="shared" si="249"/>
      </c>
      <c r="U186" s="593">
        <f t="shared" si="72"/>
      </c>
      <c r="V186" s="595">
        <f t="shared" si="131"/>
      </c>
      <c r="W186" s="595"/>
      <c r="X186" s="595"/>
      <c r="Y186" s="587">
        <f>SUM(Y182:Y185)</f>
      </c>
      <c r="Z186" s="587">
        <f>SUM(Z182:Z185)</f>
      </c>
      <c r="AA186" s="587">
        <f>SUM(AA182:AA185)</f>
      </c>
      <c r="AB186" s="587">
        <f>SUM(AB182:AB185)</f>
      </c>
      <c r="AC186" s="587">
        <f>SUM(AC182:AC185)</f>
      </c>
      <c r="AD186" s="587">
        <f>SUM(AD182:AD185)</f>
      </c>
      <c r="AE186" s="587">
        <f>SUM(AE182:AE185)</f>
      </c>
      <c r="AF186" s="587">
        <f>SUM(AF182:AF185)</f>
      </c>
      <c r="AG186" s="587">
        <f>SUM(AG182:AG185)</f>
      </c>
      <c r="AI186" s="542"/>
      <c r="AJ186" s="542"/>
      <c r="AK186" s="542"/>
    </row>
    <row r="187">
      <c r="A187" s="557"/>
      <c r="B187" s="584" t="s">
        <v>341</v>
      </c>
      <c r="C187" s="559" t="s">
        <v>342</v>
      </c>
      <c r="D187" s="559">
        <f t="shared" ref="D187:D190" si="301">E187+F187</f>
      </c>
      <c r="E187" s="560">
        <v>2244.19</v>
      </c>
      <c r="F187" s="560">
        <v>595.46</v>
      </c>
      <c r="G187" s="573">
        <v>1</v>
      </c>
      <c r="H187" s="573">
        <v>948</v>
      </c>
      <c r="I187" s="562">
        <f t="shared" si="406"/>
      </c>
      <c r="J187" s="562">
        <f t="shared" si="162"/>
      </c>
      <c r="K187" s="563">
        <f t="shared" si="221"/>
      </c>
      <c r="L187" s="596">
        <f t="shared" si="10"/>
      </c>
      <c r="M187" s="597">
        <f t="shared" si="103"/>
      </c>
      <c r="N187" s="598">
        <f t="shared" si="38"/>
      </c>
      <c r="O187" s="598">
        <f t="shared" si="468"/>
      </c>
      <c r="P187" s="597">
        <f t="shared" si="502"/>
      </c>
      <c r="Q187" s="598">
        <f t="shared" si="369"/>
      </c>
      <c r="R187" s="598">
        <f t="shared" si="434"/>
      </c>
      <c r="S187" s="599">
        <f t="shared" si="190"/>
      </c>
      <c r="T187" s="600">
        <f t="shared" si="249"/>
      </c>
      <c r="U187" s="599">
        <f t="shared" si="72"/>
      </c>
      <c r="V187" s="601">
        <f t="shared" si="131"/>
      </c>
      <c r="W187" s="602" t="s">
        <v>335</v>
      </c>
      <c r="X187" s="570" t="s">
        <v>364</v>
      </c>
      <c r="Y187" s="604">
        <v>1</v>
      </c>
      <c r="Z187" s="603">
        <v>15046</v>
      </c>
      <c r="AA187" s="603">
        <v>457</v>
      </c>
      <c r="AB187" s="603">
        <v>703</v>
      </c>
      <c r="AC187" s="604">
        <v>70</v>
      </c>
      <c r="AD187" s="604">
        <v>32</v>
      </c>
      <c r="AE187" s="604">
        <v>6</v>
      </c>
      <c r="AF187" s="604">
        <v>12</v>
      </c>
      <c r="AG187" s="604">
        <v>1</v>
      </c>
      <c r="AI187" s="542"/>
      <c r="AJ187" s="542"/>
      <c r="AK187" s="542"/>
    </row>
    <row r="188">
      <c r="A188" s="557"/>
      <c r="B188" s="584" t="s">
        <v>343</v>
      </c>
      <c r="C188" s="559" t="s">
        <v>342</v>
      </c>
      <c r="D188" s="559">
        <f t="shared" si="301"/>
      </c>
      <c r="E188" s="559">
        <v>1555.34</v>
      </c>
      <c r="F188" s="559">
        <v>590.97</v>
      </c>
      <c r="G188" s="573">
        <v>2</v>
      </c>
      <c r="H188" s="573">
        <v>4536</v>
      </c>
      <c r="I188" s="562">
        <f t="shared" si="406"/>
      </c>
      <c r="J188" s="562">
        <f t="shared" si="162"/>
      </c>
      <c r="K188" s="563">
        <f t="shared" si="221"/>
      </c>
      <c r="L188" s="596">
        <f t="shared" si="10"/>
      </c>
      <c r="M188" s="597">
        <f t="shared" si="103"/>
      </c>
      <c r="N188" s="598">
        <f t="shared" si="38"/>
      </c>
      <c r="O188" s="598">
        <f t="shared" si="468"/>
      </c>
      <c r="P188" s="597">
        <f t="shared" si="502"/>
      </c>
      <c r="Q188" s="598">
        <f t="shared" si="369"/>
      </c>
      <c r="R188" s="598">
        <f t="shared" si="434"/>
      </c>
      <c r="S188" s="599">
        <f t="shared" si="190"/>
      </c>
      <c r="T188" s="600">
        <f t="shared" si="249"/>
      </c>
      <c r="U188" s="599">
        <f t="shared" si="72"/>
      </c>
      <c r="V188" s="601">
        <f t="shared" si="131"/>
      </c>
      <c r="W188" s="602" t="s">
        <v>335</v>
      </c>
      <c r="X188" s="615" t="s">
        <v>364</v>
      </c>
      <c r="Y188" s="603">
        <v>2</v>
      </c>
      <c r="Z188" s="603">
        <v>9942</v>
      </c>
      <c r="AA188" s="603">
        <v>308</v>
      </c>
      <c r="AB188" s="603">
        <v>476</v>
      </c>
      <c r="AC188" s="603">
        <v>43</v>
      </c>
      <c r="AD188" s="603">
        <v>17</v>
      </c>
      <c r="AE188" s="604">
        <v>6</v>
      </c>
      <c r="AF188" s="604">
        <v>6</v>
      </c>
      <c r="AG188" s="604">
        <v>1</v>
      </c>
      <c r="AI188" s="542"/>
      <c r="AJ188" s="542"/>
      <c r="AK188" s="542"/>
    </row>
    <row r="189">
      <c r="A189" s="557"/>
      <c r="B189" s="584" t="s">
        <v>344</v>
      </c>
      <c r="C189" s="559" t="s">
        <v>342</v>
      </c>
      <c r="D189" s="559">
        <f t="shared" si="301"/>
      </c>
      <c r="E189" s="559">
        <v>1490.1</v>
      </c>
      <c r="F189" s="559">
        <v>784.56</v>
      </c>
      <c r="G189" s="561">
        <v>1</v>
      </c>
      <c r="H189" s="561">
        <v>948</v>
      </c>
      <c r="I189" s="562">
        <f t="shared" si="406"/>
      </c>
      <c r="J189" s="562">
        <f t="shared" si="162"/>
      </c>
      <c r="K189" s="563">
        <f t="shared" si="221"/>
      </c>
      <c r="L189" s="596">
        <f t="shared" si="10"/>
      </c>
      <c r="M189" s="597">
        <f t="shared" si="103"/>
      </c>
      <c r="N189" s="598">
        <f t="shared" si="38"/>
      </c>
      <c r="O189" s="598">
        <f t="shared" si="468"/>
      </c>
      <c r="P189" s="597">
        <f t="shared" si="502"/>
      </c>
      <c r="Q189" s="598">
        <f t="shared" si="369"/>
      </c>
      <c r="R189" s="598">
        <f t="shared" si="434"/>
      </c>
      <c r="S189" s="599">
        <f t="shared" si="190"/>
      </c>
      <c r="T189" s="600">
        <f t="shared" si="249"/>
      </c>
      <c r="U189" s="599">
        <f t="shared" si="72"/>
      </c>
      <c r="V189" s="601">
        <f t="shared" si="131"/>
      </c>
      <c r="W189" s="602" t="s">
        <v>335</v>
      </c>
      <c r="X189" s="615" t="s">
        <v>364</v>
      </c>
      <c r="Y189" s="603">
        <v>0</v>
      </c>
      <c r="Z189" s="603">
        <v>12192</v>
      </c>
      <c r="AA189" s="603">
        <v>427</v>
      </c>
      <c r="AB189" s="603">
        <v>686</v>
      </c>
      <c r="AC189" s="603">
        <v>75</v>
      </c>
      <c r="AD189" s="603">
        <v>27</v>
      </c>
      <c r="AE189" s="604">
        <v>2</v>
      </c>
      <c r="AF189" s="604">
        <v>21</v>
      </c>
      <c r="AG189" s="604">
        <v>1</v>
      </c>
      <c r="AI189" s="542"/>
      <c r="AJ189" s="542"/>
      <c r="AK189" s="542"/>
    </row>
    <row r="190">
      <c r="A190" s="557"/>
      <c r="B190" s="584" t="s">
        <v>345</v>
      </c>
      <c r="C190" s="559" t="s">
        <v>342</v>
      </c>
      <c r="D190" s="559">
        <f t="shared" si="301"/>
      </c>
      <c r="E190" s="559">
        <v>2665.9</v>
      </c>
      <c r="F190" s="559">
        <v>718.67</v>
      </c>
      <c r="G190" s="561">
        <v>3</v>
      </c>
      <c r="H190" s="573">
        <v>4816</v>
      </c>
      <c r="I190" s="562">
        <f t="shared" si="406"/>
      </c>
      <c r="J190" s="562">
        <f t="shared" si="162"/>
      </c>
      <c r="K190" s="563">
        <f t="shared" si="221"/>
      </c>
      <c r="L190" s="596">
        <f t="shared" si="10"/>
      </c>
      <c r="M190" s="597">
        <f t="shared" si="103"/>
      </c>
      <c r="N190" s="598">
        <f t="shared" si="38"/>
      </c>
      <c r="O190" s="598">
        <f t="shared" si="468"/>
      </c>
      <c r="P190" s="597">
        <f t="shared" si="502"/>
      </c>
      <c r="Q190" s="598">
        <f t="shared" si="369"/>
      </c>
      <c r="R190" s="598">
        <f t="shared" si="434"/>
      </c>
      <c r="S190" s="599">
        <f t="shared" si="190"/>
      </c>
      <c r="T190" s="600">
        <f t="shared" si="249"/>
      </c>
      <c r="U190" s="599">
        <f t="shared" si="72"/>
      </c>
      <c r="V190" s="601">
        <f t="shared" si="131"/>
      </c>
      <c r="W190" s="602" t="s">
        <v>335</v>
      </c>
      <c r="X190" s="615" t="s">
        <v>364</v>
      </c>
      <c r="Y190" s="604">
        <v>2</v>
      </c>
      <c r="Z190" s="603">
        <v>10816</v>
      </c>
      <c r="AA190" s="603">
        <v>397</v>
      </c>
      <c r="AB190" s="603">
        <v>596</v>
      </c>
      <c r="AC190" s="603">
        <v>62</v>
      </c>
      <c r="AD190" s="603">
        <v>38</v>
      </c>
      <c r="AE190" s="604">
        <v>8</v>
      </c>
      <c r="AF190" s="604">
        <v>14</v>
      </c>
      <c r="AG190" s="604">
        <v>1</v>
      </c>
      <c r="AI190" s="542"/>
      <c r="AJ190" s="542"/>
      <c r="AK190" s="542"/>
    </row>
    <row r="191">
      <c r="A191" s="557"/>
      <c r="B191" s="586" t="s">
        <v>340</v>
      </c>
      <c r="C191" s="586"/>
      <c r="D191" s="587">
        <f>SUM(D187:D190)</f>
      </c>
      <c r="E191" s="587">
        <f>SUM(E187:E190)</f>
      </c>
      <c r="F191" s="587">
        <f>SUM(F187:F190)</f>
      </c>
      <c r="G191" s="587">
        <f>SUM(G187:G190)</f>
      </c>
      <c r="H191" s="587">
        <f>SUM(H187:H190)</f>
      </c>
      <c r="I191" s="588">
        <f t="shared" si="406"/>
      </c>
      <c r="J191" s="588">
        <f t="shared" si="162"/>
      </c>
      <c r="K191" s="589">
        <f t="shared" si="221"/>
      </c>
      <c r="L191" s="590">
        <f t="shared" si="10"/>
      </c>
      <c r="M191" s="591">
        <f t="shared" si="103"/>
      </c>
      <c r="N191" s="592">
        <f t="shared" si="38"/>
      </c>
      <c r="O191" s="592">
        <f t="shared" si="468"/>
      </c>
      <c r="P191" s="591">
        <f t="shared" si="502"/>
      </c>
      <c r="Q191" s="592">
        <f t="shared" si="369"/>
      </c>
      <c r="R191" s="592">
        <f t="shared" si="434"/>
      </c>
      <c r="S191" s="593">
        <f t="shared" si="190"/>
      </c>
      <c r="T191" s="594">
        <f t="shared" si="249"/>
      </c>
      <c r="U191" s="593">
        <f t="shared" si="72"/>
      </c>
      <c r="V191" s="595">
        <f t="shared" si="131"/>
      </c>
      <c r="W191" s="595"/>
      <c r="X191" s="595"/>
      <c r="Y191" s="587">
        <f>SUM(Y187:Y190)</f>
      </c>
      <c r="Z191" s="587">
        <f>SUM(Z187:Z190)</f>
      </c>
      <c r="AA191" s="587">
        <f>SUM(AA187:AA190)</f>
      </c>
      <c r="AB191" s="587">
        <f>SUM(AB187:AB190)</f>
      </c>
      <c r="AC191" s="587">
        <f>SUM(AC187:AC190)</f>
      </c>
      <c r="AD191" s="587">
        <f>SUM(AD187:AD190)</f>
      </c>
      <c r="AE191" s="587">
        <f>SUM(AE187:AE190)</f>
      </c>
      <c r="AF191" s="587">
        <f>SUM(AF187:AF190)</f>
      </c>
      <c r="AG191" s="587">
        <f>SUM(AG187:AG190)</f>
      </c>
      <c r="AI191" s="542"/>
      <c r="AJ191" s="542"/>
      <c r="AK191" s="542"/>
    </row>
    <row r="192">
      <c r="A192" s="557"/>
      <c r="B192" s="584" t="s">
        <v>346</v>
      </c>
      <c r="C192" s="560" t="s">
        <v>347</v>
      </c>
      <c r="D192" s="559">
        <f t="shared" ref="D192:D195" si="302">E192+F192</f>
      </c>
      <c r="E192" s="559">
        <v>4059.52</v>
      </c>
      <c r="F192" s="560">
        <v>167.9</v>
      </c>
      <c r="G192" s="573">
        <v>6</v>
      </c>
      <c r="H192" s="573">
        <v>7008</v>
      </c>
      <c r="I192" s="562">
        <f t="shared" si="406"/>
      </c>
      <c r="J192" s="562">
        <f t="shared" si="162"/>
      </c>
      <c r="K192" s="605">
        <f t="shared" si="221"/>
      </c>
      <c r="L192" s="596">
        <f t="shared" si="10"/>
      </c>
      <c r="M192" s="597">
        <f t="shared" si="103"/>
      </c>
      <c r="N192" s="598">
        <f t="shared" si="38"/>
      </c>
      <c r="O192" s="598">
        <f t="shared" si="468"/>
      </c>
      <c r="P192" s="597">
        <f t="shared" si="502"/>
      </c>
      <c r="Q192" s="598">
        <f t="shared" si="369"/>
      </c>
      <c r="R192" s="598">
        <f t="shared" si="434"/>
      </c>
      <c r="S192" s="599">
        <f t="shared" si="190"/>
      </c>
      <c r="T192" s="600">
        <f t="shared" si="249"/>
      </c>
      <c r="U192" s="599">
        <f t="shared" si="72"/>
      </c>
      <c r="V192" s="601">
        <f t="shared" si="131"/>
      </c>
      <c r="W192" s="602" t="s">
        <v>335</v>
      </c>
      <c r="X192" s="615" t="s">
        <v>364</v>
      </c>
      <c r="Y192" s="604">
        <v>5</v>
      </c>
      <c r="Z192" s="603">
        <v>15704</v>
      </c>
      <c r="AA192" s="603">
        <v>351</v>
      </c>
      <c r="AB192" s="603">
        <v>499</v>
      </c>
      <c r="AC192" s="603">
        <v>80</v>
      </c>
      <c r="AD192" s="603">
        <v>31</v>
      </c>
      <c r="AE192" s="604">
        <v>13</v>
      </c>
      <c r="AF192" s="604">
        <v>24</v>
      </c>
      <c r="AG192" s="604">
        <v>1</v>
      </c>
      <c r="AI192" s="542"/>
      <c r="AJ192" s="542"/>
      <c r="AK192" s="542"/>
    </row>
    <row r="193">
      <c r="A193" s="557"/>
      <c r="B193" s="584" t="s">
        <v>349</v>
      </c>
      <c r="C193" s="560" t="s">
        <v>347</v>
      </c>
      <c r="D193" s="559">
        <f t="shared" si="302"/>
      </c>
      <c r="E193" s="559">
        <v>6534.95</v>
      </c>
      <c r="F193" s="560">
        <v>0</v>
      </c>
      <c r="G193" s="573">
        <v>7</v>
      </c>
      <c r="H193" s="573">
        <v>11916</v>
      </c>
      <c r="I193" s="562">
        <f t="shared" si="406"/>
      </c>
      <c r="J193" s="562">
        <f t="shared" si="162"/>
      </c>
      <c r="K193" s="605">
        <f t="shared" si="221"/>
      </c>
      <c r="L193" s="596">
        <f t="shared" si="10"/>
      </c>
      <c r="M193" s="597">
        <f t="shared" si="103"/>
      </c>
      <c r="N193" s="598">
        <f t="shared" si="38"/>
      </c>
      <c r="O193" s="598">
        <f t="shared" si="468"/>
      </c>
      <c r="P193" s="597">
        <f t="shared" si="502"/>
      </c>
      <c r="Q193" s="598">
        <f t="shared" si="369"/>
      </c>
      <c r="R193" s="598">
        <f t="shared" si="434"/>
      </c>
      <c r="S193" s="599">
        <f t="shared" si="190"/>
      </c>
      <c r="T193" s="600">
        <f t="shared" si="249"/>
      </c>
      <c r="U193" s="599">
        <f t="shared" si="72"/>
      </c>
      <c r="V193" s="601">
        <f t="shared" si="131"/>
      </c>
      <c r="W193" s="602" t="s">
        <v>335</v>
      </c>
      <c r="X193" s="615" t="s">
        <v>364</v>
      </c>
      <c r="Y193" s="603">
        <v>7</v>
      </c>
      <c r="Z193" s="603">
        <v>29489</v>
      </c>
      <c r="AA193" s="603">
        <v>501</v>
      </c>
      <c r="AB193" s="603">
        <v>600</v>
      </c>
      <c r="AC193" s="603">
        <v>105</v>
      </c>
      <c r="AD193" s="603">
        <v>64</v>
      </c>
      <c r="AE193" s="604">
        <v>18</v>
      </c>
      <c r="AF193" s="604">
        <v>17</v>
      </c>
      <c r="AG193" s="604">
        <v>1</v>
      </c>
      <c r="AI193" s="542"/>
      <c r="AJ193" s="542"/>
      <c r="AK193" s="542"/>
    </row>
    <row r="194">
      <c r="A194" s="557"/>
      <c r="B194" s="584" t="s">
        <v>350</v>
      </c>
      <c r="C194" s="560" t="s">
        <v>347</v>
      </c>
      <c r="D194" s="559">
        <f t="shared" si="302"/>
      </c>
      <c r="E194" s="559">
        <v>5162.32</v>
      </c>
      <c r="F194" s="560">
        <v>0</v>
      </c>
      <c r="G194" s="573">
        <v>5</v>
      </c>
      <c r="H194" s="573">
        <v>4740</v>
      </c>
      <c r="I194" s="562">
        <f t="shared" si="406"/>
      </c>
      <c r="J194" s="562">
        <f t="shared" si="162"/>
      </c>
      <c r="K194" s="605">
        <f t="shared" si="221"/>
      </c>
      <c r="L194" s="596">
        <f t="shared" si="10"/>
      </c>
      <c r="M194" s="597">
        <f t="shared" si="103"/>
      </c>
      <c r="N194" s="598">
        <f t="shared" si="38"/>
      </c>
      <c r="O194" s="598">
        <f t="shared" si="468"/>
      </c>
      <c r="P194" s="597">
        <f t="shared" si="502"/>
      </c>
      <c r="Q194" s="598">
        <f t="shared" si="369"/>
      </c>
      <c r="R194" s="598">
        <f t="shared" si="434"/>
      </c>
      <c r="S194" s="599">
        <f t="shared" si="190"/>
      </c>
      <c r="T194" s="600">
        <f t="shared" si="249"/>
      </c>
      <c r="U194" s="599">
        <f t="shared" si="72"/>
      </c>
      <c r="V194" s="601">
        <f t="shared" si="131"/>
      </c>
      <c r="W194" s="602" t="s">
        <v>335</v>
      </c>
      <c r="X194" s="615" t="s">
        <v>364</v>
      </c>
      <c r="Y194" s="603">
        <v>4</v>
      </c>
      <c r="Z194" s="603">
        <v>23957</v>
      </c>
      <c r="AA194" s="603">
        <v>380</v>
      </c>
      <c r="AB194" s="603">
        <v>466</v>
      </c>
      <c r="AC194" s="603">
        <v>107</v>
      </c>
      <c r="AD194" s="603">
        <v>75</v>
      </c>
      <c r="AE194" s="604">
        <v>11</v>
      </c>
      <c r="AF194" s="604">
        <v>21</v>
      </c>
      <c r="AG194" s="604">
        <v>1</v>
      </c>
      <c r="AI194" s="542"/>
      <c r="AJ194" s="542"/>
      <c r="AK194" s="542"/>
    </row>
    <row r="195">
      <c r="A195" s="557"/>
      <c r="B195" s="584" t="s">
        <v>351</v>
      </c>
      <c r="C195" s="560" t="s">
        <v>347</v>
      </c>
      <c r="D195" s="559">
        <f t="shared" si="302"/>
      </c>
      <c r="E195" s="559">
        <v>2154.94</v>
      </c>
      <c r="F195" s="560">
        <v>0</v>
      </c>
      <c r="G195" s="561">
        <v>3</v>
      </c>
      <c r="H195" s="561">
        <v>4164</v>
      </c>
      <c r="I195" s="562">
        <f t="shared" si="406"/>
      </c>
      <c r="J195" s="562">
        <f t="shared" si="162"/>
      </c>
      <c r="K195" s="605">
        <f t="shared" si="221"/>
      </c>
      <c r="L195" s="596">
        <f t="shared" si="10"/>
      </c>
      <c r="M195" s="597">
        <f t="shared" si="103"/>
      </c>
      <c r="N195" s="598">
        <f t="shared" si="38"/>
      </c>
      <c r="O195" s="598">
        <f t="shared" si="468"/>
      </c>
      <c r="P195" s="597">
        <f t="shared" si="502"/>
      </c>
      <c r="Q195" s="598">
        <f t="shared" si="369"/>
      </c>
      <c r="R195" s="598">
        <f t="shared" si="434"/>
      </c>
      <c r="S195" s="599">
        <f t="shared" si="190"/>
      </c>
      <c r="T195" s="600">
        <f t="shared" si="249"/>
      </c>
      <c r="U195" s="599">
        <f t="shared" si="72"/>
      </c>
      <c r="V195" s="601">
        <f t="shared" si="131"/>
      </c>
      <c r="W195" s="602" t="s">
        <v>335</v>
      </c>
      <c r="X195" s="615" t="s">
        <v>364</v>
      </c>
      <c r="Y195" s="604">
        <v>2</v>
      </c>
      <c r="Z195" s="603">
        <v>9704</v>
      </c>
      <c r="AA195" s="603">
        <v>161</v>
      </c>
      <c r="AB195" s="603">
        <v>215</v>
      </c>
      <c r="AC195" s="603">
        <v>51</v>
      </c>
      <c r="AD195" s="603">
        <v>38</v>
      </c>
      <c r="AE195" s="604">
        <v>11</v>
      </c>
      <c r="AF195" s="604">
        <v>15</v>
      </c>
      <c r="AG195" s="604">
        <v>1</v>
      </c>
      <c r="AI195" s="542"/>
      <c r="AJ195" s="542"/>
      <c r="AK195" s="542"/>
    </row>
    <row r="196">
      <c r="A196" s="557"/>
      <c r="B196" s="586" t="s">
        <v>340</v>
      </c>
      <c r="C196" s="586"/>
      <c r="D196" s="587">
        <f>SUM(D192:D195)</f>
      </c>
      <c r="E196" s="587">
        <f>SUM(E192:E195)</f>
      </c>
      <c r="F196" s="587">
        <f>SUM(F192:F195)</f>
      </c>
      <c r="G196" s="587">
        <f>SUM(G192:G195)</f>
      </c>
      <c r="H196" s="587">
        <f>SUM(H192:H195)</f>
      </c>
      <c r="I196" s="588">
        <f t="shared" si="406"/>
      </c>
      <c r="J196" s="588">
        <f t="shared" si="162"/>
      </c>
      <c r="K196" s="606">
        <f t="shared" si="221"/>
      </c>
      <c r="L196" s="590">
        <f t="shared" si="10"/>
      </c>
      <c r="M196" s="591">
        <f t="shared" si="103"/>
      </c>
      <c r="N196" s="592">
        <f t="shared" si="38"/>
      </c>
      <c r="O196" s="592">
        <f t="shared" si="468"/>
      </c>
      <c r="P196" s="591">
        <f t="shared" si="502"/>
      </c>
      <c r="Q196" s="592">
        <f t="shared" si="369"/>
      </c>
      <c r="R196" s="592">
        <f t="shared" si="434"/>
      </c>
      <c r="S196" s="593">
        <f t="shared" si="190"/>
      </c>
      <c r="T196" s="594">
        <f t="shared" si="249"/>
      </c>
      <c r="U196" s="593">
        <f t="shared" si="72"/>
      </c>
      <c r="V196" s="595">
        <f t="shared" si="131"/>
      </c>
      <c r="W196" s="595"/>
      <c r="X196" s="595"/>
      <c r="Y196" s="587">
        <f>SUM(Y192:Y195)</f>
      </c>
      <c r="Z196" s="587">
        <f>SUM(Z192:Z195)</f>
      </c>
      <c r="AA196" s="587">
        <f>SUM(AA192:AA195)</f>
      </c>
      <c r="AB196" s="587">
        <f>SUM(AB192:AB195)</f>
      </c>
      <c r="AC196" s="587">
        <f>SUM(AC192:AC195)</f>
      </c>
      <c r="AD196" s="587">
        <f>SUM(AD192:AD195)</f>
      </c>
      <c r="AE196" s="587">
        <f>SUM(AE192:AE195)</f>
      </c>
      <c r="AF196" s="587">
        <f>SUM(AF192:AF195)</f>
      </c>
      <c r="AG196" s="587">
        <f>SUM(AG192:AG195)</f>
      </c>
      <c r="AI196" s="542"/>
      <c r="AJ196" s="542"/>
      <c r="AK196" s="542"/>
    </row>
    <row r="197">
      <c r="A197" s="557"/>
      <c r="B197" s="607" t="s">
        <v>352</v>
      </c>
      <c r="C197" s="607"/>
      <c r="D197" s="607">
        <f>D186+D196+D191</f>
      </c>
      <c r="E197" s="607">
        <f>E186+E196+E191</f>
      </c>
      <c r="F197" s="607">
        <f>F186+F196+F191</f>
      </c>
      <c r="G197" s="607">
        <f>G186+G196+G191</f>
      </c>
      <c r="H197" s="607">
        <f>H186+H196+H191</f>
      </c>
      <c r="I197" s="608">
        <f t="shared" si="406"/>
      </c>
      <c r="J197" s="608">
        <f t="shared" si="162"/>
      </c>
      <c r="K197" s="609">
        <f t="shared" si="221"/>
      </c>
      <c r="L197" s="610">
        <f t="shared" si="10"/>
      </c>
      <c r="M197" s="611">
        <f t="shared" si="103"/>
      </c>
      <c r="N197" s="612">
        <f t="shared" si="38"/>
      </c>
      <c r="O197" s="612">
        <f t="shared" si="468"/>
      </c>
      <c r="P197" s="611">
        <f t="shared" si="502"/>
      </c>
      <c r="Q197" s="612">
        <f t="shared" si="369"/>
      </c>
      <c r="R197" s="612">
        <f t="shared" si="434"/>
      </c>
      <c r="S197" s="611">
        <f t="shared" si="190"/>
      </c>
      <c r="T197" s="613">
        <f t="shared" si="249"/>
      </c>
      <c r="U197" s="611">
        <f t="shared" si="72"/>
      </c>
      <c r="V197" s="609">
        <f t="shared" si="131"/>
      </c>
      <c r="W197" s="609"/>
      <c r="X197" s="609"/>
      <c r="Y197" s="607">
        <f>Y186+Y196+Y191</f>
      </c>
      <c r="Z197" s="607">
        <f>Z186+Z196+Z191</f>
      </c>
      <c r="AA197" s="607">
        <f>AA186+AA196+AA191</f>
      </c>
      <c r="AB197" s="607">
        <f>AB186+AB196+AB191</f>
      </c>
      <c r="AC197" s="607">
        <f>AC186+AC196+AC191</f>
      </c>
      <c r="AD197" s="607">
        <f>AD186+AD196+AD191</f>
      </c>
      <c r="AE197" s="607">
        <f>AE186+AE196+AE191</f>
      </c>
      <c r="AF197" s="607">
        <f>AF186+AF196+AF191</f>
      </c>
      <c r="AG197" s="607">
        <f>AG186+AG196+AG191</f>
      </c>
      <c r="AI197" s="542"/>
      <c r="AJ197" s="542"/>
      <c r="AK197" s="542"/>
    </row>
    <row r="198">
      <c r="A198" s="538" t="s">
        <v>295</v>
      </c>
      <c r="B198" s="538"/>
      <c r="C198" s="538"/>
      <c r="D198" s="614" t="s">
        <v>296</v>
      </c>
      <c r="E198" s="614"/>
      <c r="F198" s="614"/>
      <c r="G198" s="614"/>
      <c r="H198" s="614"/>
      <c r="I198" s="614"/>
      <c r="J198" s="614"/>
      <c r="K198" s="540" t="s">
        <v>297</v>
      </c>
      <c r="L198" s="540"/>
      <c r="M198" s="540"/>
      <c r="N198" s="540"/>
      <c r="O198" s="540"/>
      <c r="P198" s="540"/>
      <c r="Q198" s="540"/>
      <c r="R198" s="540"/>
      <c r="S198" s="540"/>
      <c r="T198" s="540"/>
      <c r="U198" s="540"/>
      <c r="V198" s="540"/>
      <c r="W198" s="540"/>
      <c r="X198" s="540"/>
      <c r="Y198" s="541" t="s">
        <v>298</v>
      </c>
      <c r="Z198" s="541"/>
      <c r="AA198" s="541"/>
      <c r="AB198" s="541"/>
      <c r="AC198" s="541"/>
      <c r="AD198" s="541"/>
      <c r="AE198" s="541"/>
      <c r="AF198" s="541"/>
      <c r="AG198" s="541"/>
      <c r="AI198" s="542"/>
      <c r="AJ198" s="542"/>
      <c r="AK198" s="542"/>
    </row>
    <row r="199">
      <c r="A199" s="543" t="s">
        <v>299</v>
      </c>
      <c r="B199" s="544" t="s">
        <v>300</v>
      </c>
      <c r="C199" s="544" t="s">
        <v>301</v>
      </c>
      <c r="D199" s="545" t="s">
        <v>302</v>
      </c>
      <c r="E199" s="546" t="s">
        <v>303</v>
      </c>
      <c r="F199" s="546" t="s">
        <v>304</v>
      </c>
      <c r="G199" s="547" t="s">
        <v>305</v>
      </c>
      <c r="H199" s="548" t="s">
        <v>306</v>
      </c>
      <c r="I199" s="549" t="s">
        <v>307</v>
      </c>
      <c r="J199" s="549" t="s">
        <v>308</v>
      </c>
      <c r="K199" s="551" t="s">
        <v>309</v>
      </c>
      <c r="L199" s="540" t="s">
        <v>310</v>
      </c>
      <c r="M199" s="540" t="s">
        <v>311</v>
      </c>
      <c r="N199" s="552" t="s">
        <v>312</v>
      </c>
      <c r="O199" s="552" t="s">
        <v>313</v>
      </c>
      <c r="P199" s="540" t="s">
        <v>314</v>
      </c>
      <c r="Q199" s="552" t="s">
        <v>315</v>
      </c>
      <c r="R199" s="552" t="s">
        <v>316</v>
      </c>
      <c r="S199" s="540" t="s">
        <v>317</v>
      </c>
      <c r="T199" s="552" t="s">
        <v>318</v>
      </c>
      <c r="U199" s="540" t="s">
        <v>319</v>
      </c>
      <c r="V199" s="553" t="s">
        <v>320</v>
      </c>
      <c r="W199" s="553" t="s">
        <v>321</v>
      </c>
      <c r="X199" s="553" t="s">
        <v>322</v>
      </c>
      <c r="Y199" s="554" t="s">
        <v>323</v>
      </c>
      <c r="Z199" s="555" t="s">
        <v>324</v>
      </c>
      <c r="AA199" s="555" t="s">
        <v>325</v>
      </c>
      <c r="AB199" s="555" t="s">
        <v>326</v>
      </c>
      <c r="AC199" s="555" t="s">
        <v>327</v>
      </c>
      <c r="AD199" s="555" t="s">
        <v>328</v>
      </c>
      <c r="AE199" s="555" t="s">
        <v>329</v>
      </c>
      <c r="AF199" s="555" t="s">
        <v>330</v>
      </c>
      <c r="AG199" s="555" t="s">
        <v>331</v>
      </c>
      <c r="AI199" s="542"/>
      <c r="AJ199" s="542"/>
      <c r="AK199" s="542"/>
    </row>
    <row r="200">
      <c r="A200" s="557" t="s">
        <v>366</v>
      </c>
      <c r="B200" s="584" t="s">
        <v>333</v>
      </c>
      <c r="C200" s="559" t="s">
        <v>334</v>
      </c>
      <c r="D200" s="559">
        <f t="shared" ref="D200:D203" si="303">E200+F200</f>
      </c>
      <c r="E200" s="559">
        <v>2855.66</v>
      </c>
      <c r="F200" s="559">
        <v>796.05</v>
      </c>
      <c r="G200" s="561">
        <v>4</v>
      </c>
      <c r="H200" s="561">
        <v>5112</v>
      </c>
      <c r="I200" s="562">
        <f t="shared" ref="I200:I215" si="407">H200/D200</f>
      </c>
      <c r="J200" s="562">
        <f t="shared" ref="J200:J215" si="163">H200/(D200+300*AG200)</f>
      </c>
      <c r="K200" s="563">
        <f t="shared" ref="K200:K215" si="222">(D200/Z200)*1000</f>
      </c>
      <c r="L200" s="564">
        <f t="shared" ref="L200:L215" si="11">AA200/Z200</f>
      </c>
      <c r="M200" s="565">
        <f t="shared" ref="M200:M215" si="104">D200/AB200</f>
      </c>
      <c r="N200" s="566">
        <f t="shared" ref="N200:N215" si="39">AC200/AB200</f>
      </c>
      <c r="O200" s="566">
        <f t="shared" ref="O200:O215" si="469">AD200/AB200</f>
      </c>
      <c r="P200" s="565">
        <f t="shared" ref="P200:P215" si="503">D200/AD200</f>
      </c>
      <c r="Q200" s="566">
        <f t="shared" ref="Q200:Q215" si="370">AE200/AD200</f>
      </c>
      <c r="R200" s="566">
        <f t="shared" ref="R200:R215" si="435">G200/AE200</f>
      </c>
      <c r="S200" s="565">
        <f t="shared" ref="S200:S215" si="191">D200/G200</f>
      </c>
      <c r="T200" s="567">
        <f t="shared" ref="T200:T215" si="250">H200/G200</f>
      </c>
      <c r="U200" s="565">
        <f t="shared" ref="U200:U215" si="73">D200/Y200</f>
      </c>
      <c r="V200" s="568">
        <f t="shared" ref="V200:V215" si="132">AF200*1000/D200</f>
      </c>
      <c r="W200" s="569" t="s">
        <v>335</v>
      </c>
      <c r="X200" s="615" t="s">
        <v>356</v>
      </c>
      <c r="Y200" s="572">
        <v>3</v>
      </c>
      <c r="Z200" s="572">
        <v>15053</v>
      </c>
      <c r="AA200" s="572">
        <v>579</v>
      </c>
      <c r="AB200" s="572">
        <v>799</v>
      </c>
      <c r="AC200" s="572">
        <v>91</v>
      </c>
      <c r="AD200" s="572">
        <v>50</v>
      </c>
      <c r="AE200" s="571">
        <v>10</v>
      </c>
      <c r="AF200" s="571">
        <v>16</v>
      </c>
      <c r="AG200" s="571">
        <v>1</v>
      </c>
      <c r="AI200" s="542"/>
      <c r="AJ200" s="542"/>
      <c r="AK200" s="542"/>
    </row>
    <row r="201">
      <c r="A201" s="557"/>
      <c r="B201" s="584" t="s">
        <v>337</v>
      </c>
      <c r="C201" s="559" t="s">
        <v>334</v>
      </c>
      <c r="D201" s="559">
        <f t="shared" si="303"/>
      </c>
      <c r="E201" s="559">
        <v>3564.39</v>
      </c>
      <c r="F201" s="559">
        <v>618.32</v>
      </c>
      <c r="G201" s="573">
        <v>2</v>
      </c>
      <c r="H201" s="573">
        <v>3216</v>
      </c>
      <c r="I201" s="562">
        <f t="shared" si="407"/>
      </c>
      <c r="J201" s="562">
        <f t="shared" si="163"/>
      </c>
      <c r="K201" s="563">
        <f t="shared" si="222"/>
      </c>
      <c r="L201" s="574">
        <f t="shared" si="11"/>
      </c>
      <c r="M201" s="575">
        <f t="shared" si="104"/>
      </c>
      <c r="N201" s="576">
        <f t="shared" si="39"/>
      </c>
      <c r="O201" s="576">
        <f t="shared" si="469"/>
      </c>
      <c r="P201" s="575">
        <f t="shared" si="503"/>
      </c>
      <c r="Q201" s="576">
        <f t="shared" si="370"/>
      </c>
      <c r="R201" s="576">
        <f t="shared" si="435"/>
      </c>
      <c r="S201" s="577">
        <f t="shared" si="191"/>
      </c>
      <c r="T201" s="617">
        <f t="shared" si="250"/>
      </c>
      <c r="U201" s="579">
        <f t="shared" si="73"/>
      </c>
      <c r="V201" s="580">
        <f t="shared" si="132"/>
      </c>
      <c r="W201" s="581" t="s">
        <v>335</v>
      </c>
      <c r="X201" s="615" t="s">
        <v>356</v>
      </c>
      <c r="Y201" s="582">
        <v>1</v>
      </c>
      <c r="Z201" s="582">
        <v>15696</v>
      </c>
      <c r="AA201" s="582">
        <v>452</v>
      </c>
      <c r="AB201" s="582">
        <v>591</v>
      </c>
      <c r="AC201" s="582">
        <v>85</v>
      </c>
      <c r="AD201" s="582">
        <v>62</v>
      </c>
      <c r="AE201" s="583">
        <v>9</v>
      </c>
      <c r="AF201" s="583">
        <v>25</v>
      </c>
      <c r="AG201" s="583">
        <v>1</v>
      </c>
      <c r="AI201" s="542"/>
      <c r="AJ201" s="542"/>
      <c r="AK201" s="542"/>
    </row>
    <row r="202">
      <c r="A202" s="557"/>
      <c r="B202" s="584" t="s">
        <v>338</v>
      </c>
      <c r="C202" s="559" t="s">
        <v>334</v>
      </c>
      <c r="D202" s="559">
        <f t="shared" si="303"/>
      </c>
      <c r="E202" s="559">
        <v>2392.73</v>
      </c>
      <c r="F202" s="559">
        <v>827.06</v>
      </c>
      <c r="G202" s="561">
        <v>1</v>
      </c>
      <c r="H202" s="561">
        <v>948</v>
      </c>
      <c r="I202" s="562">
        <f t="shared" si="407"/>
      </c>
      <c r="J202" s="562">
        <f t="shared" si="163"/>
      </c>
      <c r="K202" s="563">
        <f t="shared" si="222"/>
      </c>
      <c r="L202" s="574">
        <f t="shared" si="11"/>
      </c>
      <c r="M202" s="575">
        <f t="shared" si="104"/>
      </c>
      <c r="N202" s="576">
        <f t="shared" si="39"/>
      </c>
      <c r="O202" s="576">
        <f t="shared" si="469"/>
      </c>
      <c r="P202" s="575">
        <f t="shared" si="503"/>
      </c>
      <c r="Q202" s="576">
        <f t="shared" si="370"/>
      </c>
      <c r="R202" s="576">
        <f t="shared" si="435"/>
      </c>
      <c r="S202" s="577">
        <f t="shared" si="191"/>
      </c>
      <c r="T202" s="617">
        <f t="shared" si="250"/>
      </c>
      <c r="U202" s="579">
        <f t="shared" si="73"/>
      </c>
      <c r="V202" s="580">
        <f t="shared" si="132"/>
      </c>
      <c r="W202" s="581" t="s">
        <v>335</v>
      </c>
      <c r="X202" s="615" t="s">
        <v>356</v>
      </c>
      <c r="Y202" s="582">
        <v>0</v>
      </c>
      <c r="Z202" s="582">
        <v>10228</v>
      </c>
      <c r="AA202" s="582">
        <v>419</v>
      </c>
      <c r="AB202" s="582">
        <v>501</v>
      </c>
      <c r="AC202" s="582">
        <v>78</v>
      </c>
      <c r="AD202" s="582">
        <v>54</v>
      </c>
      <c r="AE202" s="583">
        <v>6</v>
      </c>
      <c r="AF202" s="583">
        <v>15</v>
      </c>
      <c r="AG202" s="583">
        <v>1</v>
      </c>
      <c r="AI202" s="542"/>
      <c r="AJ202" s="542"/>
      <c r="AK202" s="542"/>
    </row>
    <row r="203">
      <c r="A203" s="557"/>
      <c r="B203" s="584" t="s">
        <v>339</v>
      </c>
      <c r="C203" s="559" t="s">
        <v>334</v>
      </c>
      <c r="D203" s="559">
        <f t="shared" si="303"/>
      </c>
      <c r="E203" s="560">
        <v>3226.67</v>
      </c>
      <c r="F203" s="560">
        <v>1054.24</v>
      </c>
      <c r="G203" s="573">
        <v>4</v>
      </c>
      <c r="H203" s="573">
        <v>3312</v>
      </c>
      <c r="I203" s="562">
        <f t="shared" si="407"/>
      </c>
      <c r="J203" s="562">
        <f t="shared" si="163"/>
      </c>
      <c r="K203" s="563">
        <f t="shared" si="222"/>
      </c>
      <c r="L203" s="574">
        <f t="shared" si="11"/>
      </c>
      <c r="M203" s="575">
        <f t="shared" si="104"/>
      </c>
      <c r="N203" s="576">
        <f t="shared" si="39"/>
      </c>
      <c r="O203" s="576">
        <f t="shared" si="469"/>
      </c>
      <c r="P203" s="575">
        <f t="shared" si="503"/>
      </c>
      <c r="Q203" s="576">
        <f t="shared" si="370"/>
      </c>
      <c r="R203" s="576">
        <f t="shared" si="435"/>
      </c>
      <c r="S203" s="577">
        <f t="shared" si="191"/>
      </c>
      <c r="T203" s="585">
        <f t="shared" si="250"/>
      </c>
      <c r="U203" s="577">
        <f t="shared" si="73"/>
      </c>
      <c r="V203" s="580">
        <f t="shared" si="132"/>
      </c>
      <c r="W203" s="581" t="s">
        <v>335</v>
      </c>
      <c r="X203" s="615" t="s">
        <v>356</v>
      </c>
      <c r="Y203" s="583">
        <v>4</v>
      </c>
      <c r="Z203" s="583">
        <v>15128</v>
      </c>
      <c r="AA203" s="583">
        <v>527</v>
      </c>
      <c r="AB203" s="583">
        <v>742</v>
      </c>
      <c r="AC203" s="583">
        <v>83</v>
      </c>
      <c r="AD203" s="583">
        <v>39</v>
      </c>
      <c r="AE203" s="583">
        <v>9</v>
      </c>
      <c r="AF203" s="583">
        <v>18</v>
      </c>
      <c r="AG203" s="583">
        <v>1</v>
      </c>
      <c r="AI203" s="542"/>
      <c r="AJ203" s="542"/>
      <c r="AK203" s="542"/>
    </row>
    <row r="204">
      <c r="A204" s="557"/>
      <c r="B204" s="586" t="s">
        <v>340</v>
      </c>
      <c r="C204" s="586"/>
      <c r="D204" s="587">
        <f>SUM(D200:D203)</f>
      </c>
      <c r="E204" s="587">
        <f>SUM(E200:E203)</f>
      </c>
      <c r="F204" s="587">
        <f>SUM(F200:F203)</f>
      </c>
      <c r="G204" s="587">
        <f>SUM(G200:G203)</f>
      </c>
      <c r="H204" s="587">
        <f>SUM(H200:H203)</f>
      </c>
      <c r="I204" s="588">
        <f t="shared" si="407"/>
      </c>
      <c r="J204" s="588">
        <f t="shared" si="163"/>
      </c>
      <c r="K204" s="589">
        <f t="shared" si="222"/>
      </c>
      <c r="L204" s="590">
        <f t="shared" si="11"/>
      </c>
      <c r="M204" s="591">
        <f t="shared" si="104"/>
      </c>
      <c r="N204" s="592">
        <f t="shared" si="39"/>
      </c>
      <c r="O204" s="592">
        <f t="shared" si="469"/>
      </c>
      <c r="P204" s="591">
        <f t="shared" si="503"/>
      </c>
      <c r="Q204" s="592">
        <f t="shared" si="370"/>
      </c>
      <c r="R204" s="592">
        <f t="shared" si="435"/>
      </c>
      <c r="S204" s="593">
        <f t="shared" si="191"/>
      </c>
      <c r="T204" s="594">
        <f t="shared" si="250"/>
      </c>
      <c r="U204" s="593">
        <f t="shared" si="73"/>
      </c>
      <c r="V204" s="595">
        <f t="shared" si="132"/>
      </c>
      <c r="W204" s="595"/>
      <c r="X204" s="595"/>
      <c r="Y204" s="587">
        <f>SUM(Y200:Y203)</f>
      </c>
      <c r="Z204" s="587">
        <f>SUM(Z200:Z203)</f>
      </c>
      <c r="AA204" s="587">
        <f>SUM(AA200:AA203)</f>
      </c>
      <c r="AB204" s="587">
        <f>SUM(AB200:AB203)</f>
      </c>
      <c r="AC204" s="587">
        <f>SUM(AC200:AC203)</f>
      </c>
      <c r="AD204" s="587">
        <f>SUM(AD200:AD203)</f>
      </c>
      <c r="AE204" s="587">
        <f>SUM(AE200:AE203)</f>
      </c>
      <c r="AF204" s="587">
        <f>SUM(AF200:AF203)</f>
      </c>
      <c r="AG204" s="587">
        <f>SUM(AG200:AG203)</f>
      </c>
      <c r="AI204" s="542"/>
      <c r="AJ204" s="542"/>
      <c r="AK204" s="542"/>
    </row>
    <row r="205">
      <c r="A205" s="557"/>
      <c r="B205" s="584" t="s">
        <v>341</v>
      </c>
      <c r="C205" s="559" t="s">
        <v>347</v>
      </c>
      <c r="D205" s="559">
        <f t="shared" ref="D205:D208" si="304">E205+F205</f>
      </c>
      <c r="E205" s="560">
        <v>2728.52</v>
      </c>
      <c r="F205" s="560">
        <v>765.28</v>
      </c>
      <c r="G205" s="573">
        <v>3</v>
      </c>
      <c r="H205" s="573">
        <v>6804</v>
      </c>
      <c r="I205" s="562">
        <f t="shared" si="407"/>
      </c>
      <c r="J205" s="562">
        <f t="shared" si="163"/>
      </c>
      <c r="K205" s="563">
        <f t="shared" si="222"/>
      </c>
      <c r="L205" s="596">
        <f t="shared" si="11"/>
      </c>
      <c r="M205" s="597">
        <f t="shared" si="104"/>
      </c>
      <c r="N205" s="598">
        <f t="shared" si="39"/>
      </c>
      <c r="O205" s="598">
        <f t="shared" si="469"/>
      </c>
      <c r="P205" s="597">
        <f t="shared" si="503"/>
      </c>
      <c r="Q205" s="598">
        <f t="shared" si="370"/>
      </c>
      <c r="R205" s="598">
        <f t="shared" si="435"/>
      </c>
      <c r="S205" s="599">
        <f t="shared" si="191"/>
      </c>
      <c r="T205" s="600">
        <f t="shared" si="250"/>
      </c>
      <c r="U205" s="599">
        <f t="shared" si="73"/>
      </c>
      <c r="V205" s="601">
        <f t="shared" si="132"/>
      </c>
      <c r="W205" s="602" t="s">
        <v>335</v>
      </c>
      <c r="X205" s="570" t="s">
        <v>364</v>
      </c>
      <c r="Y205" s="604">
        <v>3</v>
      </c>
      <c r="Z205" s="603">
        <v>11457</v>
      </c>
      <c r="AA205" s="603">
        <v>455</v>
      </c>
      <c r="AB205" s="603">
        <v>635</v>
      </c>
      <c r="AC205" s="604">
        <v>75</v>
      </c>
      <c r="AD205" s="604">
        <v>41</v>
      </c>
      <c r="AE205" s="604">
        <v>11</v>
      </c>
      <c r="AF205" s="604">
        <v>19</v>
      </c>
      <c r="AG205" s="604">
        <v>1</v>
      </c>
      <c r="AI205" s="542"/>
      <c r="AJ205" s="542"/>
      <c r="AK205" s="542"/>
    </row>
    <row r="206">
      <c r="A206" s="557"/>
      <c r="B206" s="584" t="s">
        <v>343</v>
      </c>
      <c r="C206" s="559" t="s">
        <v>347</v>
      </c>
      <c r="D206" s="559">
        <f t="shared" si="304"/>
      </c>
      <c r="E206" s="559">
        <v>3282.65</v>
      </c>
      <c r="F206" s="559">
        <v>907.7</v>
      </c>
      <c r="G206" s="573">
        <v>8</v>
      </c>
      <c r="H206" s="573">
        <v>12676</v>
      </c>
      <c r="I206" s="562">
        <f t="shared" si="407"/>
      </c>
      <c r="J206" s="562">
        <f t="shared" si="163"/>
      </c>
      <c r="K206" s="563">
        <f t="shared" si="222"/>
      </c>
      <c r="L206" s="596">
        <f t="shared" si="11"/>
      </c>
      <c r="M206" s="597">
        <f t="shared" si="104"/>
      </c>
      <c r="N206" s="598">
        <f t="shared" si="39"/>
      </c>
      <c r="O206" s="598">
        <f t="shared" si="469"/>
      </c>
      <c r="P206" s="597">
        <f t="shared" si="503"/>
      </c>
      <c r="Q206" s="598">
        <f t="shared" si="370"/>
      </c>
      <c r="R206" s="598">
        <f t="shared" si="435"/>
      </c>
      <c r="S206" s="599">
        <f t="shared" si="191"/>
      </c>
      <c r="T206" s="600">
        <f t="shared" si="250"/>
      </c>
      <c r="U206" s="599">
        <f t="shared" si="73"/>
      </c>
      <c r="V206" s="601">
        <f t="shared" si="132"/>
      </c>
      <c r="W206" s="602" t="s">
        <v>335</v>
      </c>
      <c r="X206" s="615" t="s">
        <v>364</v>
      </c>
      <c r="Y206" s="603">
        <v>7</v>
      </c>
      <c r="Z206" s="603">
        <v>14357</v>
      </c>
      <c r="AA206" s="603">
        <v>490</v>
      </c>
      <c r="AB206" s="603">
        <v>654</v>
      </c>
      <c r="AC206" s="603">
        <v>101</v>
      </c>
      <c r="AD206" s="603">
        <v>65</v>
      </c>
      <c r="AE206" s="604">
        <v>14</v>
      </c>
      <c r="AF206" s="604">
        <v>22</v>
      </c>
      <c r="AG206" s="604">
        <v>1</v>
      </c>
      <c r="AI206" s="542"/>
      <c r="AJ206" s="542"/>
      <c r="AK206" s="542"/>
    </row>
    <row r="207">
      <c r="A207" s="557"/>
      <c r="B207" s="584" t="s">
        <v>344</v>
      </c>
      <c r="C207" s="559" t="s">
        <v>347</v>
      </c>
      <c r="D207" s="559">
        <f t="shared" si="304"/>
      </c>
      <c r="E207" s="559">
        <v>3080.91</v>
      </c>
      <c r="F207" s="559">
        <v>1069.87</v>
      </c>
      <c r="G207" s="561">
        <v>4</v>
      </c>
      <c r="H207" s="561">
        <v>5112</v>
      </c>
      <c r="I207" s="562">
        <f t="shared" si="407"/>
      </c>
      <c r="J207" s="562">
        <f t="shared" si="163"/>
      </c>
      <c r="K207" s="563">
        <f t="shared" si="222"/>
      </c>
      <c r="L207" s="596">
        <f t="shared" si="11"/>
      </c>
      <c r="M207" s="597">
        <f t="shared" si="104"/>
      </c>
      <c r="N207" s="598">
        <f t="shared" si="39"/>
      </c>
      <c r="O207" s="598">
        <f t="shared" si="469"/>
      </c>
      <c r="P207" s="597">
        <f t="shared" si="503"/>
      </c>
      <c r="Q207" s="598">
        <f t="shared" si="370"/>
      </c>
      <c r="R207" s="598">
        <f t="shared" si="435"/>
      </c>
      <c r="S207" s="599">
        <f t="shared" si="191"/>
      </c>
      <c r="T207" s="600">
        <f t="shared" si="250"/>
      </c>
      <c r="U207" s="599">
        <f t="shared" si="73"/>
      </c>
      <c r="V207" s="601">
        <f t="shared" si="132"/>
      </c>
      <c r="W207" s="602" t="s">
        <v>335</v>
      </c>
      <c r="X207" s="615" t="s">
        <v>364</v>
      </c>
      <c r="Y207" s="603">
        <v>4</v>
      </c>
      <c r="Z207" s="603">
        <v>16752</v>
      </c>
      <c r="AA207" s="603">
        <v>436</v>
      </c>
      <c r="AB207" s="603">
        <v>569</v>
      </c>
      <c r="AC207" s="603">
        <v>87</v>
      </c>
      <c r="AD207" s="603">
        <v>65</v>
      </c>
      <c r="AE207" s="604">
        <v>10</v>
      </c>
      <c r="AF207" s="604">
        <v>21</v>
      </c>
      <c r="AG207" s="604">
        <v>1</v>
      </c>
      <c r="AI207" s="542"/>
      <c r="AJ207" s="542"/>
      <c r="AK207" s="542"/>
    </row>
    <row r="208">
      <c r="A208" s="557"/>
      <c r="B208" s="584" t="s">
        <v>345</v>
      </c>
      <c r="C208" s="559" t="s">
        <v>347</v>
      </c>
      <c r="D208" s="559">
        <f t="shared" si="304"/>
      </c>
      <c r="E208" s="559">
        <v>4152.64</v>
      </c>
      <c r="F208" s="559">
        <v>357.51</v>
      </c>
      <c r="G208" s="561">
        <v>4</v>
      </c>
      <c r="H208" s="573">
        <v>8884</v>
      </c>
      <c r="I208" s="562">
        <f t="shared" si="407"/>
      </c>
      <c r="J208" s="562">
        <f t="shared" si="163"/>
      </c>
      <c r="K208" s="563">
        <f t="shared" si="222"/>
      </c>
      <c r="L208" s="596">
        <f t="shared" si="11"/>
      </c>
      <c r="M208" s="597">
        <f t="shared" si="104"/>
      </c>
      <c r="N208" s="598">
        <f t="shared" si="39"/>
      </c>
      <c r="O208" s="598">
        <f t="shared" si="469"/>
      </c>
      <c r="P208" s="597">
        <f t="shared" si="503"/>
      </c>
      <c r="Q208" s="598">
        <f t="shared" si="370"/>
      </c>
      <c r="R208" s="598">
        <f t="shared" si="435"/>
      </c>
      <c r="S208" s="599">
        <f t="shared" si="191"/>
      </c>
      <c r="T208" s="600">
        <f t="shared" si="250"/>
      </c>
      <c r="U208" s="599">
        <f t="shared" si="73"/>
      </c>
      <c r="V208" s="601">
        <f t="shared" si="132"/>
      </c>
      <c r="W208" s="602" t="s">
        <v>335</v>
      </c>
      <c r="X208" s="615" t="s">
        <v>364</v>
      </c>
      <c r="Y208" s="604">
        <v>4</v>
      </c>
      <c r="Z208" s="603">
        <v>17373</v>
      </c>
      <c r="AA208" s="603">
        <v>413</v>
      </c>
      <c r="AB208" s="603">
        <v>576</v>
      </c>
      <c r="AC208" s="603">
        <v>78</v>
      </c>
      <c r="AD208" s="603">
        <v>45</v>
      </c>
      <c r="AE208" s="604">
        <v>13</v>
      </c>
      <c r="AF208" s="604">
        <v>20</v>
      </c>
      <c r="AG208" s="604">
        <v>1</v>
      </c>
      <c r="AI208" s="542"/>
      <c r="AJ208" s="542"/>
      <c r="AK208" s="542"/>
    </row>
    <row r="209">
      <c r="A209" s="557"/>
      <c r="B209" s="586" t="s">
        <v>340</v>
      </c>
      <c r="C209" s="586"/>
      <c r="D209" s="587">
        <f>SUM(D205:D208)</f>
      </c>
      <c r="E209" s="587">
        <f>SUM(E205:E208)</f>
      </c>
      <c r="F209" s="587">
        <f>SUM(F205:F208)</f>
      </c>
      <c r="G209" s="587">
        <f>SUM(G205:G208)</f>
      </c>
      <c r="H209" s="587">
        <f>SUM(H205:H208)</f>
      </c>
      <c r="I209" s="588">
        <f t="shared" si="407"/>
      </c>
      <c r="J209" s="588">
        <f t="shared" si="163"/>
      </c>
      <c r="K209" s="589">
        <f t="shared" si="222"/>
      </c>
      <c r="L209" s="590">
        <f t="shared" si="11"/>
      </c>
      <c r="M209" s="591">
        <f t="shared" si="104"/>
      </c>
      <c r="N209" s="592">
        <f t="shared" si="39"/>
      </c>
      <c r="O209" s="592">
        <f t="shared" si="469"/>
      </c>
      <c r="P209" s="591">
        <f t="shared" si="503"/>
      </c>
      <c r="Q209" s="592">
        <f t="shared" si="370"/>
      </c>
      <c r="R209" s="592">
        <f t="shared" si="435"/>
      </c>
      <c r="S209" s="593">
        <f t="shared" si="191"/>
      </c>
      <c r="T209" s="594">
        <f t="shared" si="250"/>
      </c>
      <c r="U209" s="593">
        <f t="shared" si="73"/>
      </c>
      <c r="V209" s="595">
        <f t="shared" si="132"/>
      </c>
      <c r="W209" s="595"/>
      <c r="X209" s="595"/>
      <c r="Y209" s="587">
        <f>SUM(Y205:Y208)</f>
      </c>
      <c r="Z209" s="587">
        <f>SUM(Z205:Z208)</f>
      </c>
      <c r="AA209" s="587">
        <f>SUM(AA205:AA208)</f>
      </c>
      <c r="AB209" s="587">
        <f>SUM(AB205:AB208)</f>
      </c>
      <c r="AC209" s="587">
        <f>SUM(AC205:AC208)</f>
      </c>
      <c r="AD209" s="587">
        <f>SUM(AD205:AD208)</f>
      </c>
      <c r="AE209" s="587">
        <f>SUM(AE205:AE208)</f>
      </c>
      <c r="AF209" s="587">
        <f>SUM(AF205:AF208)</f>
      </c>
      <c r="AG209" s="587">
        <f>SUM(AG205:AG208)</f>
      </c>
      <c r="AI209" s="542"/>
      <c r="AJ209" s="542"/>
      <c r="AK209" s="542"/>
    </row>
    <row r="210">
      <c r="A210" s="557"/>
      <c r="B210" s="584" t="s">
        <v>346</v>
      </c>
      <c r="C210" s="560" t="s">
        <v>342</v>
      </c>
      <c r="D210" s="559">
        <f t="shared" ref="D210:D213" si="305">E210+F210</f>
      </c>
      <c r="E210" s="559">
        <v>3420.19</v>
      </c>
      <c r="F210" s="560">
        <v>386.53</v>
      </c>
      <c r="G210" s="573">
        <v>1</v>
      </c>
      <c r="H210" s="573">
        <v>948</v>
      </c>
      <c r="I210" s="562">
        <f t="shared" si="407"/>
      </c>
      <c r="J210" s="562">
        <f t="shared" si="163"/>
      </c>
      <c r="K210" s="605">
        <f t="shared" si="222"/>
      </c>
      <c r="L210" s="596">
        <f t="shared" si="11"/>
      </c>
      <c r="M210" s="597">
        <f t="shared" si="104"/>
      </c>
      <c r="N210" s="598">
        <f t="shared" si="39"/>
      </c>
      <c r="O210" s="598">
        <f t="shared" si="469"/>
      </c>
      <c r="P210" s="597">
        <f t="shared" si="503"/>
      </c>
      <c r="Q210" s="598">
        <f t="shared" si="370"/>
      </c>
      <c r="R210" s="598">
        <f t="shared" si="435"/>
      </c>
      <c r="S210" s="599">
        <f t="shared" si="191"/>
      </c>
      <c r="T210" s="600">
        <f t="shared" si="250"/>
      </c>
      <c r="U210" s="599">
        <f t="shared" si="73"/>
      </c>
      <c r="V210" s="601">
        <f t="shared" si="132"/>
      </c>
      <c r="W210" s="602" t="s">
        <v>335</v>
      </c>
      <c r="X210" s="615" t="s">
        <v>364</v>
      </c>
      <c r="Y210" s="604">
        <v>1</v>
      </c>
      <c r="Z210" s="603">
        <v>15177</v>
      </c>
      <c r="AA210" s="603">
        <v>376</v>
      </c>
      <c r="AB210" s="603">
        <v>528</v>
      </c>
      <c r="AC210" s="603">
        <v>78</v>
      </c>
      <c r="AD210" s="603">
        <v>39</v>
      </c>
      <c r="AE210" s="604">
        <v>6</v>
      </c>
      <c r="AF210" s="604">
        <v>9</v>
      </c>
      <c r="AG210" s="604">
        <v>1</v>
      </c>
      <c r="AI210" s="542"/>
      <c r="AJ210" s="542"/>
      <c r="AK210" s="542"/>
    </row>
    <row r="211">
      <c r="A211" s="557"/>
      <c r="B211" s="584" t="s">
        <v>349</v>
      </c>
      <c r="C211" s="560" t="s">
        <v>342</v>
      </c>
      <c r="D211" s="559">
        <f t="shared" si="305"/>
      </c>
      <c r="E211" s="559">
        <v>2752.62</v>
      </c>
      <c r="F211" s="560">
        <v>945.18</v>
      </c>
      <c r="G211" s="573">
        <v>3</v>
      </c>
      <c r="H211" s="573">
        <v>2844</v>
      </c>
      <c r="I211" s="562">
        <f t="shared" si="407"/>
      </c>
      <c r="J211" s="562">
        <f t="shared" si="163"/>
      </c>
      <c r="K211" s="605">
        <f t="shared" si="222"/>
      </c>
      <c r="L211" s="596">
        <f t="shared" si="11"/>
      </c>
      <c r="M211" s="597">
        <f t="shared" si="104"/>
      </c>
      <c r="N211" s="598">
        <f t="shared" si="39"/>
      </c>
      <c r="O211" s="598">
        <f t="shared" si="469"/>
      </c>
      <c r="P211" s="597">
        <f t="shared" si="503"/>
      </c>
      <c r="Q211" s="598">
        <f t="shared" si="370"/>
      </c>
      <c r="R211" s="598">
        <f t="shared" si="435"/>
      </c>
      <c r="S211" s="599">
        <f t="shared" si="191"/>
      </c>
      <c r="T211" s="600">
        <f t="shared" si="250"/>
      </c>
      <c r="U211" s="599">
        <f t="shared" si="73"/>
      </c>
      <c r="V211" s="601">
        <f t="shared" si="132"/>
      </c>
      <c r="W211" s="602" t="s">
        <v>335</v>
      </c>
      <c r="X211" s="615" t="s">
        <v>364</v>
      </c>
      <c r="Y211" s="603">
        <v>3</v>
      </c>
      <c r="Z211" s="603">
        <v>12325</v>
      </c>
      <c r="AA211" s="603">
        <v>498</v>
      </c>
      <c r="AB211" s="603">
        <v>676</v>
      </c>
      <c r="AC211" s="603">
        <v>77</v>
      </c>
      <c r="AD211" s="603">
        <v>38</v>
      </c>
      <c r="AE211" s="604">
        <v>11</v>
      </c>
      <c r="AF211" s="604">
        <v>13</v>
      </c>
      <c r="AG211" s="604">
        <v>1</v>
      </c>
      <c r="AI211" s="542"/>
      <c r="AJ211" s="542"/>
      <c r="AK211" s="542"/>
    </row>
    <row r="212">
      <c r="A212" s="557"/>
      <c r="B212" s="584" t="s">
        <v>350</v>
      </c>
      <c r="C212" s="560" t="s">
        <v>342</v>
      </c>
      <c r="D212" s="559">
        <f t="shared" si="305"/>
      </c>
      <c r="E212" s="559">
        <v>2632.12</v>
      </c>
      <c r="F212" s="560">
        <v>830.54</v>
      </c>
      <c r="G212" s="573">
        <v>8</v>
      </c>
      <c r="H212" s="573">
        <v>12864</v>
      </c>
      <c r="I212" s="562">
        <f t="shared" si="407"/>
      </c>
      <c r="J212" s="562">
        <f t="shared" si="163"/>
      </c>
      <c r="K212" s="605">
        <f t="shared" si="222"/>
      </c>
      <c r="L212" s="596">
        <f t="shared" si="11"/>
      </c>
      <c r="M212" s="597">
        <f t="shared" si="104"/>
      </c>
      <c r="N212" s="598">
        <f t="shared" si="39"/>
      </c>
      <c r="O212" s="598">
        <f t="shared" si="469"/>
      </c>
      <c r="P212" s="597">
        <f t="shared" si="503"/>
      </c>
      <c r="Q212" s="598">
        <f t="shared" si="370"/>
      </c>
      <c r="R212" s="598">
        <f t="shared" si="435"/>
      </c>
      <c r="S212" s="599">
        <f t="shared" si="191"/>
      </c>
      <c r="T212" s="600">
        <f t="shared" si="250"/>
      </c>
      <c r="U212" s="599">
        <f t="shared" si="73"/>
      </c>
      <c r="V212" s="601">
        <f t="shared" si="132"/>
      </c>
      <c r="W212" s="602" t="s">
        <v>335</v>
      </c>
      <c r="X212" s="615" t="s">
        <v>364</v>
      </c>
      <c r="Y212" s="603">
        <v>6</v>
      </c>
      <c r="Z212" s="603">
        <v>11639</v>
      </c>
      <c r="AA212" s="603">
        <v>469</v>
      </c>
      <c r="AB212" s="603">
        <v>647</v>
      </c>
      <c r="AC212" s="603">
        <v>80</v>
      </c>
      <c r="AD212" s="603">
        <v>41</v>
      </c>
      <c r="AE212" s="604">
        <v>13</v>
      </c>
      <c r="AF212" s="604">
        <v>18</v>
      </c>
      <c r="AG212" s="604">
        <v>1</v>
      </c>
      <c r="AI212" s="542"/>
      <c r="AJ212" s="542"/>
      <c r="AK212" s="542"/>
    </row>
    <row r="213">
      <c r="A213" s="557"/>
      <c r="B213" s="584" t="s">
        <v>351</v>
      </c>
      <c r="C213" s="560" t="s">
        <v>342</v>
      </c>
      <c r="D213" s="559">
        <f t="shared" si="305"/>
      </c>
      <c r="E213" s="559">
        <v>2514.03</v>
      </c>
      <c r="F213" s="560">
        <v>351.3</v>
      </c>
      <c r="G213" s="561">
        <v>7</v>
      </c>
      <c r="H213" s="561">
        <v>9636</v>
      </c>
      <c r="I213" s="562">
        <f t="shared" si="407"/>
      </c>
      <c r="J213" s="562">
        <f t="shared" si="163"/>
      </c>
      <c r="K213" s="605">
        <f t="shared" si="222"/>
      </c>
      <c r="L213" s="596">
        <f t="shared" si="11"/>
      </c>
      <c r="M213" s="597">
        <f t="shared" si="104"/>
      </c>
      <c r="N213" s="598">
        <f t="shared" si="39"/>
      </c>
      <c r="O213" s="598">
        <f t="shared" si="469"/>
      </c>
      <c r="P213" s="597">
        <f t="shared" si="503"/>
      </c>
      <c r="Q213" s="598">
        <f t="shared" si="370"/>
      </c>
      <c r="R213" s="598">
        <f t="shared" si="435"/>
      </c>
      <c r="S213" s="599">
        <f t="shared" si="191"/>
      </c>
      <c r="T213" s="600">
        <f t="shared" si="250"/>
      </c>
      <c r="U213" s="599">
        <f t="shared" si="73"/>
      </c>
      <c r="V213" s="601">
        <f t="shared" si="132"/>
      </c>
      <c r="W213" s="602" t="s">
        <v>335</v>
      </c>
      <c r="X213" s="615" t="s">
        <v>364</v>
      </c>
      <c r="Y213" s="604">
        <v>7</v>
      </c>
      <c r="Z213" s="603">
        <v>10898</v>
      </c>
      <c r="AA213" s="603">
        <v>366</v>
      </c>
      <c r="AB213" s="603">
        <v>462</v>
      </c>
      <c r="AC213" s="603">
        <v>79</v>
      </c>
      <c r="AD213" s="603">
        <v>24</v>
      </c>
      <c r="AE213" s="604">
        <v>20</v>
      </c>
      <c r="AF213" s="604">
        <v>17</v>
      </c>
      <c r="AG213" s="604">
        <v>1</v>
      </c>
      <c r="AI213" s="542"/>
      <c r="AJ213" s="542"/>
      <c r="AK213" s="542"/>
    </row>
    <row r="214">
      <c r="A214" s="557"/>
      <c r="B214" s="586" t="s">
        <v>340</v>
      </c>
      <c r="C214" s="586"/>
      <c r="D214" s="587">
        <f>SUM(D210:D213)</f>
      </c>
      <c r="E214" s="587">
        <f>SUM(E210:E213)</f>
      </c>
      <c r="F214" s="587">
        <f>SUM(F210:F213)</f>
      </c>
      <c r="G214" s="587">
        <f>SUM(G210:G213)</f>
      </c>
      <c r="H214" s="587">
        <f>SUM(H210:H213)</f>
      </c>
      <c r="I214" s="588">
        <f t="shared" si="407"/>
      </c>
      <c r="J214" s="588">
        <f t="shared" si="163"/>
      </c>
      <c r="K214" s="606">
        <f t="shared" si="222"/>
      </c>
      <c r="L214" s="590">
        <f t="shared" si="11"/>
      </c>
      <c r="M214" s="591">
        <f t="shared" si="104"/>
      </c>
      <c r="N214" s="592">
        <f t="shared" si="39"/>
      </c>
      <c r="O214" s="592">
        <f t="shared" si="469"/>
      </c>
      <c r="P214" s="591">
        <f t="shared" si="503"/>
      </c>
      <c r="Q214" s="592">
        <f t="shared" si="370"/>
      </c>
      <c r="R214" s="592">
        <f t="shared" si="435"/>
      </c>
      <c r="S214" s="593">
        <f t="shared" si="191"/>
      </c>
      <c r="T214" s="594">
        <f t="shared" si="250"/>
      </c>
      <c r="U214" s="593">
        <f t="shared" si="73"/>
      </c>
      <c r="V214" s="595">
        <f t="shared" si="132"/>
      </c>
      <c r="W214" s="595"/>
      <c r="X214" s="595"/>
      <c r="Y214" s="587">
        <f>SUM(Y210:Y213)</f>
      </c>
      <c r="Z214" s="587">
        <f>SUM(Z210:Z213)</f>
      </c>
      <c r="AA214" s="587">
        <f>SUM(AA210:AA213)</f>
      </c>
      <c r="AB214" s="587">
        <f>SUM(AB210:AB213)</f>
      </c>
      <c r="AC214" s="587">
        <f>SUM(AC210:AC213)</f>
      </c>
      <c r="AD214" s="587">
        <f>SUM(AD210:AD213)</f>
      </c>
      <c r="AE214" s="587">
        <f>SUM(AE210:AE213)</f>
      </c>
      <c r="AF214" s="587">
        <f>SUM(AF210:AF213)</f>
      </c>
      <c r="AG214" s="587">
        <f>SUM(AG210:AG213)</f>
      </c>
      <c r="AI214" s="542"/>
      <c r="AJ214" s="542"/>
      <c r="AK214" s="542"/>
    </row>
    <row r="215">
      <c r="A215" s="557"/>
      <c r="B215" s="607" t="s">
        <v>352</v>
      </c>
      <c r="C215" s="607"/>
      <c r="D215" s="607">
        <f>D204+D214+D209</f>
      </c>
      <c r="E215" s="607">
        <f>E204+E214+E209</f>
      </c>
      <c r="F215" s="607">
        <f>F204+F214+F209</f>
      </c>
      <c r="G215" s="607">
        <f>G204+G214+G209</f>
      </c>
      <c r="H215" s="607">
        <f>H204+H214+H209</f>
      </c>
      <c r="I215" s="608">
        <f t="shared" si="407"/>
      </c>
      <c r="J215" s="608">
        <f t="shared" si="163"/>
      </c>
      <c r="K215" s="609">
        <f t="shared" si="222"/>
      </c>
      <c r="L215" s="610">
        <f t="shared" si="11"/>
      </c>
      <c r="M215" s="611">
        <f t="shared" si="104"/>
      </c>
      <c r="N215" s="612">
        <f t="shared" si="39"/>
      </c>
      <c r="O215" s="612">
        <f t="shared" si="469"/>
      </c>
      <c r="P215" s="611">
        <f t="shared" si="503"/>
      </c>
      <c r="Q215" s="612">
        <f t="shared" si="370"/>
      </c>
      <c r="R215" s="612">
        <f t="shared" si="435"/>
      </c>
      <c r="S215" s="611">
        <f t="shared" si="191"/>
      </c>
      <c r="T215" s="613">
        <f t="shared" si="250"/>
      </c>
      <c r="U215" s="611">
        <f t="shared" si="73"/>
      </c>
      <c r="V215" s="609">
        <f t="shared" si="132"/>
      </c>
      <c r="W215" s="609"/>
      <c r="X215" s="609"/>
      <c r="Y215" s="607">
        <f>Y204+Y214+Y209</f>
      </c>
      <c r="Z215" s="607">
        <f>Z204+Z214+Z209</f>
      </c>
      <c r="AA215" s="607">
        <f>AA204+AA214+AA209</f>
      </c>
      <c r="AB215" s="607">
        <f>AB204+AB214+AB209</f>
      </c>
      <c r="AC215" s="607">
        <f>AC204+AC214+AC209</f>
      </c>
      <c r="AD215" s="607">
        <f>AD204+AD214+AD209</f>
      </c>
      <c r="AE215" s="607">
        <f>AE204+AE214+AE209</f>
      </c>
      <c r="AF215" s="607">
        <f>AF204+AF214+AF209</f>
      </c>
      <c r="AG215" s="607">
        <f>AG204+AG214+AG209</f>
      </c>
      <c r="AI215" s="542"/>
      <c r="AJ215" s="542"/>
      <c r="AK215" s="542"/>
    </row>
    <row r="216">
      <c r="A216" s="538" t="s">
        <v>295</v>
      </c>
      <c r="B216" s="538"/>
      <c r="C216" s="538"/>
      <c r="D216" s="614" t="s">
        <v>296</v>
      </c>
      <c r="E216" s="614"/>
      <c r="F216" s="614"/>
      <c r="G216" s="614"/>
      <c r="H216" s="614"/>
      <c r="I216" s="614"/>
      <c r="J216" s="614"/>
      <c r="K216" s="540" t="s">
        <v>297</v>
      </c>
      <c r="L216" s="540"/>
      <c r="M216" s="540"/>
      <c r="N216" s="540"/>
      <c r="O216" s="540"/>
      <c r="P216" s="540"/>
      <c r="Q216" s="540"/>
      <c r="R216" s="540"/>
      <c r="S216" s="540"/>
      <c r="T216" s="540"/>
      <c r="U216" s="540"/>
      <c r="V216" s="540"/>
      <c r="W216" s="540"/>
      <c r="X216" s="540"/>
      <c r="Y216" s="541" t="s">
        <v>298</v>
      </c>
      <c r="Z216" s="541"/>
      <c r="AA216" s="541"/>
      <c r="AB216" s="541"/>
      <c r="AC216" s="541"/>
      <c r="AD216" s="541"/>
      <c r="AE216" s="541"/>
      <c r="AF216" s="541"/>
      <c r="AG216" s="541"/>
      <c r="AI216" s="542"/>
      <c r="AJ216" s="542"/>
      <c r="AK216" s="542"/>
    </row>
    <row r="217">
      <c r="A217" s="543" t="s">
        <v>299</v>
      </c>
      <c r="B217" s="544" t="s">
        <v>300</v>
      </c>
      <c r="C217" s="544" t="s">
        <v>301</v>
      </c>
      <c r="D217" s="545" t="s">
        <v>302</v>
      </c>
      <c r="E217" s="546" t="s">
        <v>303</v>
      </c>
      <c r="F217" s="546" t="s">
        <v>304</v>
      </c>
      <c r="G217" s="547" t="s">
        <v>305</v>
      </c>
      <c r="H217" s="548" t="s">
        <v>306</v>
      </c>
      <c r="I217" s="549" t="s">
        <v>307</v>
      </c>
      <c r="J217" s="549" t="s">
        <v>308</v>
      </c>
      <c r="K217" s="551" t="s">
        <v>309</v>
      </c>
      <c r="L217" s="540" t="s">
        <v>310</v>
      </c>
      <c r="M217" s="540" t="s">
        <v>311</v>
      </c>
      <c r="N217" s="552" t="s">
        <v>312</v>
      </c>
      <c r="O217" s="552" t="s">
        <v>313</v>
      </c>
      <c r="P217" s="540" t="s">
        <v>314</v>
      </c>
      <c r="Q217" s="552" t="s">
        <v>315</v>
      </c>
      <c r="R217" s="552" t="s">
        <v>316</v>
      </c>
      <c r="S217" s="540" t="s">
        <v>317</v>
      </c>
      <c r="T217" s="552" t="s">
        <v>318</v>
      </c>
      <c r="U217" s="540" t="s">
        <v>319</v>
      </c>
      <c r="V217" s="553" t="s">
        <v>320</v>
      </c>
      <c r="W217" s="553" t="s">
        <v>321</v>
      </c>
      <c r="X217" s="553" t="s">
        <v>322</v>
      </c>
      <c r="Y217" s="554" t="s">
        <v>323</v>
      </c>
      <c r="Z217" s="555" t="s">
        <v>324</v>
      </c>
      <c r="AA217" s="555" t="s">
        <v>325</v>
      </c>
      <c r="AB217" s="555" t="s">
        <v>326</v>
      </c>
      <c r="AC217" s="555" t="s">
        <v>327</v>
      </c>
      <c r="AD217" s="555" t="s">
        <v>328</v>
      </c>
      <c r="AE217" s="555" t="s">
        <v>329</v>
      </c>
      <c r="AF217" s="555" t="s">
        <v>330</v>
      </c>
      <c r="AG217" s="555" t="s">
        <v>331</v>
      </c>
      <c r="AI217" s="542"/>
      <c r="AJ217" s="542"/>
      <c r="AK217" s="542"/>
    </row>
    <row r="218">
      <c r="A218" s="557" t="s">
        <v>367</v>
      </c>
      <c r="B218" s="584" t="s">
        <v>333</v>
      </c>
      <c r="C218" s="559" t="s">
        <v>347</v>
      </c>
      <c r="D218" s="559">
        <f t="shared" ref="D218:D221" si="306">E218+F218</f>
      </c>
      <c r="E218" s="559">
        <v>4234.06</v>
      </c>
      <c r="F218" s="559">
        <v>707.65</v>
      </c>
      <c r="G218" s="561">
        <v>6</v>
      </c>
      <c r="H218" s="561">
        <v>10968</v>
      </c>
      <c r="I218" s="562">
        <f t="shared" ref="I218:I233" si="408">H218/D218</f>
      </c>
      <c r="J218" s="562">
        <f t="shared" ref="J218:J233" si="164">H218/(D218+300*AG218)</f>
      </c>
      <c r="K218" s="563">
        <f t="shared" ref="K218:K233" si="223">(D218/Z218)*1000</f>
      </c>
      <c r="L218" s="564">
        <f t="shared" ref="L218:L233" si="12">AA218/Z218</f>
      </c>
      <c r="M218" s="565">
        <f t="shared" ref="M218:M233" si="105">D218/AB218</f>
      </c>
      <c r="N218" s="566">
        <f t="shared" ref="N218:N233" si="40">AC218/AB218</f>
      </c>
      <c r="O218" s="566">
        <f t="shared" ref="O218:O233" si="470">AD218/AB218</f>
      </c>
      <c r="P218" s="565">
        <f t="shared" ref="P218:P233" si="504">D218/AD218</f>
      </c>
      <c r="Q218" s="566">
        <f t="shared" ref="Q218:Q233" si="371">AE218/AD218</f>
      </c>
      <c r="R218" s="566">
        <f t="shared" ref="R218:R233" si="436">G218/AE218</f>
      </c>
      <c r="S218" s="565">
        <f t="shared" ref="S218:S233" si="192">D218/G218</f>
      </c>
      <c r="T218" s="567">
        <f t="shared" ref="T218:T233" si="251">H218/G218</f>
      </c>
      <c r="U218" s="565">
        <f t="shared" ref="U218:U233" si="74">D218/Y218</f>
      </c>
      <c r="V218" s="568">
        <f t="shared" ref="V218:V233" si="133">AF218*1000/D218</f>
      </c>
      <c r="W218" s="569" t="s">
        <v>335</v>
      </c>
      <c r="X218" s="615" t="s">
        <v>356</v>
      </c>
      <c r="Y218" s="572">
        <v>6</v>
      </c>
      <c r="Z218" s="572">
        <v>29739</v>
      </c>
      <c r="AA218" s="572">
        <v>676</v>
      </c>
      <c r="AB218" s="572">
        <v>889</v>
      </c>
      <c r="AC218" s="572">
        <v>141</v>
      </c>
      <c r="AD218" s="572">
        <v>56</v>
      </c>
      <c r="AE218" s="571">
        <v>15</v>
      </c>
      <c r="AF218" s="571">
        <v>24</v>
      </c>
      <c r="AG218" s="571">
        <v>1</v>
      </c>
      <c r="AI218" s="542"/>
      <c r="AJ218" s="542"/>
      <c r="AK218" s="542"/>
    </row>
    <row r="219">
      <c r="A219" s="557"/>
      <c r="B219" s="584" t="s">
        <v>337</v>
      </c>
      <c r="C219" s="559" t="s">
        <v>347</v>
      </c>
      <c r="D219" s="559">
        <f t="shared" si="306"/>
      </c>
      <c r="E219" s="559">
        <v>9244.5</v>
      </c>
      <c r="F219" s="559">
        <v>959.05</v>
      </c>
      <c r="G219" s="573">
        <v>15</v>
      </c>
      <c r="H219" s="573">
        <v>24592</v>
      </c>
      <c r="I219" s="562">
        <f t="shared" si="408"/>
      </c>
      <c r="J219" s="562">
        <f t="shared" si="164"/>
      </c>
      <c r="K219" s="563">
        <f t="shared" si="223"/>
      </c>
      <c r="L219" s="574">
        <f t="shared" si="12"/>
      </c>
      <c r="M219" s="575">
        <f t="shared" si="105"/>
      </c>
      <c r="N219" s="576">
        <f t="shared" si="40"/>
      </c>
      <c r="O219" s="576">
        <f t="shared" si="470"/>
      </c>
      <c r="P219" s="575">
        <f t="shared" si="504"/>
      </c>
      <c r="Q219" s="576">
        <f t="shared" si="371"/>
      </c>
      <c r="R219" s="576">
        <f t="shared" si="436"/>
      </c>
      <c r="S219" s="577">
        <f t="shared" si="192"/>
      </c>
      <c r="T219" s="617">
        <f t="shared" si="251"/>
      </c>
      <c r="U219" s="579">
        <f t="shared" si="74"/>
      </c>
      <c r="V219" s="580">
        <f t="shared" si="133"/>
      </c>
      <c r="W219" s="581" t="s">
        <v>335</v>
      </c>
      <c r="X219" s="615" t="s">
        <v>356</v>
      </c>
      <c r="Y219" s="582">
        <v>15</v>
      </c>
      <c r="Z219" s="582">
        <v>71147</v>
      </c>
      <c r="AA219" s="582">
        <v>1272</v>
      </c>
      <c r="AB219" s="582">
        <v>1570</v>
      </c>
      <c r="AC219" s="582">
        <v>228</v>
      </c>
      <c r="AD219" s="582">
        <v>76</v>
      </c>
      <c r="AE219" s="583">
        <v>27</v>
      </c>
      <c r="AF219" s="583">
        <v>37</v>
      </c>
      <c r="AG219" s="583">
        <v>1</v>
      </c>
      <c r="AI219" s="542"/>
      <c r="AJ219" s="542"/>
      <c r="AK219" s="542"/>
    </row>
    <row r="220">
      <c r="A220" s="557"/>
      <c r="B220" s="584" t="s">
        <v>338</v>
      </c>
      <c r="C220" s="559" t="s">
        <v>347</v>
      </c>
      <c r="D220" s="559">
        <f t="shared" si="306"/>
      </c>
      <c r="E220" s="559">
        <v>6909.85</v>
      </c>
      <c r="F220" s="559">
        <v>777.98</v>
      </c>
      <c r="G220" s="561">
        <v>3</v>
      </c>
      <c r="H220" s="561">
        <v>2765</v>
      </c>
      <c r="I220" s="562">
        <f t="shared" si="408"/>
      </c>
      <c r="J220" s="562">
        <f t="shared" si="164"/>
      </c>
      <c r="K220" s="563">
        <f t="shared" si="223"/>
      </c>
      <c r="L220" s="574">
        <f t="shared" si="12"/>
      </c>
      <c r="M220" s="575">
        <f t="shared" si="105"/>
      </c>
      <c r="N220" s="576">
        <f t="shared" si="40"/>
      </c>
      <c r="O220" s="576">
        <f t="shared" si="470"/>
      </c>
      <c r="P220" s="575">
        <f t="shared" si="504"/>
      </c>
      <c r="Q220" s="576">
        <f t="shared" si="371"/>
      </c>
      <c r="R220" s="576">
        <f t="shared" si="436"/>
      </c>
      <c r="S220" s="577">
        <f t="shared" si="192"/>
      </c>
      <c r="T220" s="617">
        <f t="shared" si="251"/>
      </c>
      <c r="U220" s="579">
        <f t="shared" si="74"/>
      </c>
      <c r="V220" s="580">
        <f t="shared" si="133"/>
      </c>
      <c r="W220" s="581" t="s">
        <v>335</v>
      </c>
      <c r="X220" s="615" t="s">
        <v>356</v>
      </c>
      <c r="Y220" s="582">
        <v>1</v>
      </c>
      <c r="Z220" s="582">
        <v>61151</v>
      </c>
      <c r="AA220" s="582">
        <v>1090</v>
      </c>
      <c r="AB220" s="582">
        <v>1398</v>
      </c>
      <c r="AC220" s="582">
        <v>194</v>
      </c>
      <c r="AD220" s="582">
        <v>44</v>
      </c>
      <c r="AE220" s="583">
        <v>12</v>
      </c>
      <c r="AF220" s="583">
        <v>24</v>
      </c>
      <c r="AG220" s="583">
        <v>1</v>
      </c>
      <c r="AI220" s="542"/>
      <c r="AJ220" s="542"/>
      <c r="AK220" s="542"/>
    </row>
    <row r="221">
      <c r="A221" s="557"/>
      <c r="B221" s="584" t="s">
        <v>339</v>
      </c>
      <c r="C221" s="559" t="s">
        <v>347</v>
      </c>
      <c r="D221" s="559">
        <f t="shared" si="306"/>
      </c>
      <c r="E221" s="560">
        <v>3172.95</v>
      </c>
      <c r="F221" s="560">
        <v>790.35</v>
      </c>
      <c r="G221" s="573">
        <v>3</v>
      </c>
      <c r="H221" s="573">
        <v>4164</v>
      </c>
      <c r="I221" s="562">
        <f t="shared" si="408"/>
      </c>
      <c r="J221" s="562">
        <f t="shared" si="164"/>
      </c>
      <c r="K221" s="563">
        <f t="shared" si="223"/>
      </c>
      <c r="L221" s="574">
        <f t="shared" si="12"/>
      </c>
      <c r="M221" s="575">
        <f t="shared" si="105"/>
      </c>
      <c r="N221" s="576">
        <f t="shared" si="40"/>
      </c>
      <c r="O221" s="576">
        <f t="shared" si="470"/>
      </c>
      <c r="P221" s="575">
        <f t="shared" si="504"/>
      </c>
      <c r="Q221" s="576">
        <f t="shared" si="371"/>
      </c>
      <c r="R221" s="576">
        <f t="shared" si="436"/>
      </c>
      <c r="S221" s="577">
        <f t="shared" si="192"/>
      </c>
      <c r="T221" s="585">
        <f t="shared" si="251"/>
      </c>
      <c r="U221" s="577">
        <f t="shared" si="74"/>
      </c>
      <c r="V221" s="580">
        <f t="shared" si="133"/>
      </c>
      <c r="W221" s="581" t="s">
        <v>335</v>
      </c>
      <c r="X221" s="615" t="s">
        <v>356</v>
      </c>
      <c r="Y221" s="583">
        <v>3</v>
      </c>
      <c r="Z221" s="583">
        <v>29697</v>
      </c>
      <c r="AA221" s="583">
        <v>620</v>
      </c>
      <c r="AB221" s="583">
        <v>763</v>
      </c>
      <c r="AC221" s="583">
        <v>91</v>
      </c>
      <c r="AD221" s="583">
        <v>18</v>
      </c>
      <c r="AE221" s="583">
        <v>7</v>
      </c>
      <c r="AF221" s="583">
        <v>10</v>
      </c>
      <c r="AG221" s="583">
        <v>1</v>
      </c>
      <c r="AI221" s="542"/>
      <c r="AJ221" s="542"/>
      <c r="AK221" s="542"/>
    </row>
    <row r="222">
      <c r="A222" s="557"/>
      <c r="B222" s="586" t="s">
        <v>340</v>
      </c>
      <c r="C222" s="586"/>
      <c r="D222" s="587">
        <f>SUM(D218:D221)</f>
      </c>
      <c r="E222" s="587">
        <f>SUM(E218:E221)</f>
      </c>
      <c r="F222" s="587">
        <f>SUM(F218:F221)</f>
      </c>
      <c r="G222" s="587">
        <f>SUM(G218:G221)</f>
      </c>
      <c r="H222" s="587">
        <f>SUM(H218:H221)</f>
      </c>
      <c r="I222" s="588">
        <f t="shared" si="408"/>
      </c>
      <c r="J222" s="588">
        <f t="shared" si="164"/>
      </c>
      <c r="K222" s="589">
        <f t="shared" si="223"/>
      </c>
      <c r="L222" s="590">
        <f t="shared" si="12"/>
      </c>
      <c r="M222" s="591">
        <f t="shared" si="105"/>
      </c>
      <c r="N222" s="592">
        <f t="shared" si="40"/>
      </c>
      <c r="O222" s="592">
        <f t="shared" si="470"/>
      </c>
      <c r="P222" s="591">
        <f t="shared" si="504"/>
      </c>
      <c r="Q222" s="592">
        <f t="shared" si="371"/>
      </c>
      <c r="R222" s="592">
        <f t="shared" si="436"/>
      </c>
      <c r="S222" s="593">
        <f t="shared" si="192"/>
      </c>
      <c r="T222" s="594">
        <f t="shared" si="251"/>
      </c>
      <c r="U222" s="593">
        <f t="shared" si="74"/>
      </c>
      <c r="V222" s="595">
        <f t="shared" si="133"/>
      </c>
      <c r="W222" s="595"/>
      <c r="X222" s="595"/>
      <c r="Y222" s="587">
        <f>SUM(Y218:Y221)</f>
      </c>
      <c r="Z222" s="587">
        <f>SUM(Z218:Z221)</f>
      </c>
      <c r="AA222" s="587">
        <f>SUM(AA218:AA221)</f>
      </c>
      <c r="AB222" s="587">
        <f>SUM(AB218:AB221)</f>
      </c>
      <c r="AC222" s="587">
        <f>SUM(AC218:AC221)</f>
      </c>
      <c r="AD222" s="587">
        <f>SUM(AD218:AD221)</f>
      </c>
      <c r="AE222" s="587">
        <f>SUM(AE218:AE221)</f>
      </c>
      <c r="AF222" s="587">
        <f>SUM(AF218:AF221)</f>
      </c>
      <c r="AG222" s="587">
        <f>SUM(AG218:AG221)</f>
      </c>
      <c r="AI222" s="542"/>
      <c r="AJ222" s="542"/>
      <c r="AK222" s="542"/>
    </row>
    <row r="223">
      <c r="A223" s="557"/>
      <c r="B223" s="584" t="s">
        <v>341</v>
      </c>
      <c r="C223" s="559" t="s">
        <v>334</v>
      </c>
      <c r="D223" s="559">
        <f t="shared" ref="D223:D226" si="307">E223+F223</f>
      </c>
      <c r="E223" s="560">
        <v>2888.92</v>
      </c>
      <c r="F223" s="560">
        <v>559.56</v>
      </c>
      <c r="G223" s="561">
        <v>0</v>
      </c>
      <c r="H223" s="561">
        <v>0</v>
      </c>
      <c r="I223" s="562">
        <f t="shared" si="408"/>
      </c>
      <c r="J223" s="562">
        <f t="shared" si="164"/>
      </c>
      <c r="K223" s="563">
        <f t="shared" si="223"/>
      </c>
      <c r="L223" s="596">
        <f t="shared" si="12"/>
      </c>
      <c r="M223" s="597">
        <f t="shared" si="105"/>
      </c>
      <c r="N223" s="598">
        <f t="shared" si="40"/>
      </c>
      <c r="O223" s="598">
        <f t="shared" si="470"/>
      </c>
      <c r="P223" s="597">
        <f t="shared" si="504"/>
      </c>
      <c r="Q223" s="598">
        <f t="shared" si="371"/>
      </c>
      <c r="R223" s="598">
        <f t="shared" si="436"/>
      </c>
      <c r="S223" s="599">
        <f t="shared" si="192"/>
      </c>
      <c r="T223" s="600">
        <f t="shared" si="251"/>
      </c>
      <c r="U223" s="599">
        <f t="shared" si="74"/>
      </c>
      <c r="V223" s="601">
        <f t="shared" si="133"/>
      </c>
      <c r="W223" s="602" t="s">
        <v>335</v>
      </c>
      <c r="X223" s="570" t="s">
        <v>364</v>
      </c>
      <c r="Y223" s="604">
        <v>0</v>
      </c>
      <c r="Z223" s="603">
        <v>32021</v>
      </c>
      <c r="AA223" s="603">
        <v>579</v>
      </c>
      <c r="AB223" s="603">
        <v>600</v>
      </c>
      <c r="AC223" s="604">
        <v>76</v>
      </c>
      <c r="AD223" s="604">
        <v>16</v>
      </c>
      <c r="AE223" s="604">
        <v>0</v>
      </c>
      <c r="AF223" s="604">
        <v>10</v>
      </c>
      <c r="AG223" s="604">
        <v>1</v>
      </c>
      <c r="AI223" s="542"/>
      <c r="AJ223" s="542"/>
      <c r="AK223" s="542"/>
    </row>
    <row r="224">
      <c r="A224" s="557"/>
      <c r="B224" s="584" t="s">
        <v>343</v>
      </c>
      <c r="C224" s="559" t="s">
        <v>334</v>
      </c>
      <c r="D224" s="559">
        <f t="shared" si="307"/>
      </c>
      <c r="E224" s="559">
        <v>2105.54</v>
      </c>
      <c r="F224" s="559">
        <v>197.8</v>
      </c>
      <c r="G224" s="561">
        <v>0</v>
      </c>
      <c r="H224" s="561">
        <v>0</v>
      </c>
      <c r="I224" s="562">
        <f t="shared" si="408"/>
      </c>
      <c r="J224" s="562">
        <f t="shared" si="164"/>
      </c>
      <c r="K224" s="563">
        <f t="shared" si="223"/>
      </c>
      <c r="L224" s="596">
        <f t="shared" si="12"/>
      </c>
      <c r="M224" s="597">
        <f t="shared" si="105"/>
      </c>
      <c r="N224" s="598">
        <f t="shared" si="40"/>
      </c>
      <c r="O224" s="598">
        <f t="shared" si="470"/>
      </c>
      <c r="P224" s="597">
        <f t="shared" si="504"/>
      </c>
      <c r="Q224" s="598">
        <f t="shared" si="371"/>
      </c>
      <c r="R224" s="598">
        <f t="shared" si="436"/>
      </c>
      <c r="S224" s="599">
        <f t="shared" si="192"/>
      </c>
      <c r="T224" s="600">
        <f t="shared" si="251"/>
      </c>
      <c r="U224" s="599">
        <f t="shared" si="74"/>
      </c>
      <c r="V224" s="601">
        <f t="shared" si="133"/>
      </c>
      <c r="W224" s="602" t="s">
        <v>335</v>
      </c>
      <c r="X224" s="615" t="s">
        <v>364</v>
      </c>
      <c r="Y224" s="603">
        <v>0</v>
      </c>
      <c r="Z224" s="603">
        <v>14634</v>
      </c>
      <c r="AA224" s="603">
        <v>210</v>
      </c>
      <c r="AB224" s="603">
        <v>194</v>
      </c>
      <c r="AC224" s="603">
        <v>26</v>
      </c>
      <c r="AD224" s="603">
        <v>25</v>
      </c>
      <c r="AE224" s="604">
        <v>2</v>
      </c>
      <c r="AF224" s="604">
        <v>4</v>
      </c>
      <c r="AG224" s="604">
        <v>1</v>
      </c>
      <c r="AI224" s="542"/>
      <c r="AJ224" s="542"/>
      <c r="AK224" s="542"/>
    </row>
    <row r="225">
      <c r="A225" s="557"/>
      <c r="B225" s="584" t="s">
        <v>344</v>
      </c>
      <c r="C225" s="559" t="s">
        <v>334</v>
      </c>
      <c r="D225" s="559">
        <f t="shared" si="307"/>
      </c>
      <c r="E225" s="559">
        <v>4355.75</v>
      </c>
      <c r="F225" s="559">
        <v>594.7</v>
      </c>
      <c r="G225" s="561">
        <v>2</v>
      </c>
      <c r="H225" s="561">
        <v>4536</v>
      </c>
      <c r="I225" s="562">
        <f t="shared" si="408"/>
      </c>
      <c r="J225" s="562">
        <f t="shared" si="164"/>
      </c>
      <c r="K225" s="563">
        <f t="shared" si="223"/>
      </c>
      <c r="L225" s="596">
        <f t="shared" si="12"/>
      </c>
      <c r="M225" s="597">
        <f t="shared" si="105"/>
      </c>
      <c r="N225" s="598">
        <f t="shared" si="40"/>
      </c>
      <c r="O225" s="598">
        <f t="shared" si="470"/>
      </c>
      <c r="P225" s="597">
        <f t="shared" si="504"/>
      </c>
      <c r="Q225" s="598">
        <f t="shared" si="371"/>
      </c>
      <c r="R225" s="598">
        <f t="shared" si="436"/>
      </c>
      <c r="S225" s="599">
        <f t="shared" si="192"/>
      </c>
      <c r="T225" s="600">
        <f t="shared" si="251"/>
      </c>
      <c r="U225" s="599">
        <f t="shared" si="74"/>
      </c>
      <c r="V225" s="601">
        <f t="shared" si="133"/>
      </c>
      <c r="W225" s="602" t="s">
        <v>335</v>
      </c>
      <c r="X225" s="615" t="s">
        <v>364</v>
      </c>
      <c r="Y225" s="603">
        <v>2</v>
      </c>
      <c r="Z225" s="603">
        <v>31341</v>
      </c>
      <c r="AA225" s="603">
        <v>689</v>
      </c>
      <c r="AB225" s="603">
        <v>866</v>
      </c>
      <c r="AC225" s="603">
        <v>125</v>
      </c>
      <c r="AD225" s="603">
        <v>26</v>
      </c>
      <c r="AE225" s="604">
        <v>12</v>
      </c>
      <c r="AF225" s="604">
        <v>25</v>
      </c>
      <c r="AG225" s="604">
        <v>1</v>
      </c>
      <c r="AI225" s="542"/>
      <c r="AJ225" s="542"/>
      <c r="AK225" s="542"/>
    </row>
    <row r="226">
      <c r="A226" s="557"/>
      <c r="B226" s="584" t="s">
        <v>345</v>
      </c>
      <c r="C226" s="559" t="s">
        <v>334</v>
      </c>
      <c r="D226" s="559">
        <f t="shared" si="307"/>
      </c>
      <c r="E226" s="559">
        <v>3352.4</v>
      </c>
      <c r="F226" s="559">
        <v>71.58</v>
      </c>
      <c r="G226" s="561">
        <v>4</v>
      </c>
      <c r="H226" s="573">
        <v>4632</v>
      </c>
      <c r="I226" s="562">
        <f t="shared" si="408"/>
      </c>
      <c r="J226" s="562">
        <f t="shared" si="164"/>
      </c>
      <c r="K226" s="563">
        <f t="shared" si="223"/>
      </c>
      <c r="L226" s="596">
        <f t="shared" si="12"/>
      </c>
      <c r="M226" s="597">
        <f t="shared" si="105"/>
      </c>
      <c r="N226" s="598">
        <f t="shared" si="40"/>
      </c>
      <c r="O226" s="598">
        <f t="shared" si="470"/>
      </c>
      <c r="P226" s="597">
        <f t="shared" si="504"/>
      </c>
      <c r="Q226" s="598">
        <f t="shared" si="371"/>
      </c>
      <c r="R226" s="598">
        <f t="shared" si="436"/>
      </c>
      <c r="S226" s="599">
        <f t="shared" si="192"/>
      </c>
      <c r="T226" s="600">
        <f t="shared" si="251"/>
      </c>
      <c r="U226" s="599">
        <f t="shared" si="74"/>
      </c>
      <c r="V226" s="601">
        <f t="shared" si="133"/>
      </c>
      <c r="W226" s="602" t="s">
        <v>335</v>
      </c>
      <c r="X226" s="615" t="s">
        <v>364</v>
      </c>
      <c r="Y226" s="604">
        <v>1</v>
      </c>
      <c r="Z226" s="603">
        <v>14812</v>
      </c>
      <c r="AA226" s="603">
        <v>318</v>
      </c>
      <c r="AB226" s="603">
        <v>401</v>
      </c>
      <c r="AC226" s="603">
        <v>88</v>
      </c>
      <c r="AD226" s="603">
        <v>33</v>
      </c>
      <c r="AE226" s="604">
        <v>6</v>
      </c>
      <c r="AF226" s="604">
        <v>17</v>
      </c>
      <c r="AG226" s="604">
        <v>1</v>
      </c>
      <c r="AI226" s="542"/>
      <c r="AJ226" s="542"/>
      <c r="AK226" s="542"/>
    </row>
    <row r="227">
      <c r="A227" s="557"/>
      <c r="B227" s="586" t="s">
        <v>340</v>
      </c>
      <c r="C227" s="586"/>
      <c r="D227" s="587">
        <f>SUM(D223:D226)</f>
      </c>
      <c r="E227" s="587">
        <f>SUM(E223:E226)</f>
      </c>
      <c r="F227" s="587">
        <f>SUM(F223:F226)</f>
      </c>
      <c r="G227" s="587">
        <f>SUM(G223:G226)</f>
      </c>
      <c r="H227" s="587">
        <f>SUM(H223:H226)</f>
      </c>
      <c r="I227" s="588">
        <f t="shared" si="408"/>
      </c>
      <c r="J227" s="588">
        <f t="shared" si="164"/>
      </c>
      <c r="K227" s="589">
        <f t="shared" si="223"/>
      </c>
      <c r="L227" s="590">
        <f t="shared" si="12"/>
      </c>
      <c r="M227" s="591">
        <f t="shared" si="105"/>
      </c>
      <c r="N227" s="592">
        <f t="shared" si="40"/>
      </c>
      <c r="O227" s="592">
        <f t="shared" si="470"/>
      </c>
      <c r="P227" s="591">
        <f t="shared" si="504"/>
      </c>
      <c r="Q227" s="592">
        <f t="shared" si="371"/>
      </c>
      <c r="R227" s="592">
        <f t="shared" si="436"/>
      </c>
      <c r="S227" s="593">
        <f t="shared" si="192"/>
      </c>
      <c r="T227" s="594">
        <f t="shared" si="251"/>
      </c>
      <c r="U227" s="593">
        <f t="shared" si="74"/>
      </c>
      <c r="V227" s="595">
        <f t="shared" si="133"/>
      </c>
      <c r="W227" s="595"/>
      <c r="X227" s="595"/>
      <c r="Y227" s="587">
        <f>SUM(Y223:Y226)</f>
      </c>
      <c r="Z227" s="587">
        <f>SUM(Z223:Z226)</f>
      </c>
      <c r="AA227" s="587">
        <f>SUM(AA223:AA226)</f>
      </c>
      <c r="AB227" s="587">
        <f>SUM(AB223:AB226)</f>
      </c>
      <c r="AC227" s="587">
        <f>SUM(AC223:AC226)</f>
      </c>
      <c r="AD227" s="587">
        <f>SUM(AD223:AD226)</f>
      </c>
      <c r="AE227" s="587">
        <f>SUM(AE223:AE226)</f>
      </c>
      <c r="AF227" s="587">
        <f>SUM(AF223:AF226)</f>
      </c>
      <c r="AG227" s="587">
        <f>SUM(AG223:AG226)</f>
      </c>
      <c r="AI227" s="542"/>
      <c r="AJ227" s="542"/>
      <c r="AK227" s="542"/>
    </row>
    <row r="228">
      <c r="A228" s="557"/>
      <c r="B228" s="584" t="s">
        <v>346</v>
      </c>
      <c r="C228" s="560" t="s">
        <v>342</v>
      </c>
      <c r="D228" s="559">
        <f t="shared" ref="D228:D231" si="308">E228+F228</f>
      </c>
      <c r="E228" s="559">
        <v>3384.62</v>
      </c>
      <c r="F228" s="560">
        <v>0</v>
      </c>
      <c r="G228" s="573">
        <v>3</v>
      </c>
      <c r="H228" s="573">
        <v>5296</v>
      </c>
      <c r="I228" s="562">
        <f t="shared" si="408"/>
      </c>
      <c r="J228" s="562">
        <f t="shared" si="164"/>
      </c>
      <c r="K228" s="605">
        <f t="shared" si="223"/>
      </c>
      <c r="L228" s="596">
        <f t="shared" si="12"/>
      </c>
      <c r="M228" s="597">
        <f t="shared" si="105"/>
      </c>
      <c r="N228" s="598">
        <f t="shared" si="40"/>
      </c>
      <c r="O228" s="598">
        <f t="shared" si="470"/>
      </c>
      <c r="P228" s="597">
        <f t="shared" si="504"/>
      </c>
      <c r="Q228" s="598">
        <f t="shared" si="371"/>
      </c>
      <c r="R228" s="598">
        <f t="shared" si="436"/>
      </c>
      <c r="S228" s="599">
        <f t="shared" si="192"/>
      </c>
      <c r="T228" s="600">
        <f t="shared" si="251"/>
      </c>
      <c r="U228" s="599">
        <f t="shared" si="74"/>
      </c>
      <c r="V228" s="601">
        <f t="shared" si="133"/>
      </c>
      <c r="W228" s="602" t="s">
        <v>335</v>
      </c>
      <c r="X228" s="615" t="s">
        <v>364</v>
      </c>
      <c r="Y228" s="604">
        <v>1</v>
      </c>
      <c r="Z228" s="603">
        <v>11553</v>
      </c>
      <c r="AA228" s="603">
        <v>250</v>
      </c>
      <c r="AB228" s="603">
        <v>322</v>
      </c>
      <c r="AC228" s="603">
        <v>82</v>
      </c>
      <c r="AD228" s="603">
        <v>44</v>
      </c>
      <c r="AE228" s="604">
        <v>13</v>
      </c>
      <c r="AF228" s="604">
        <v>14</v>
      </c>
      <c r="AG228" s="604">
        <v>1</v>
      </c>
      <c r="AI228" s="542"/>
      <c r="AJ228" s="542"/>
      <c r="AK228" s="542"/>
    </row>
    <row r="229">
      <c r="A229" s="557"/>
      <c r="B229" s="584" t="s">
        <v>349</v>
      </c>
      <c r="C229" s="560" t="s">
        <v>342</v>
      </c>
      <c r="D229" s="559">
        <f t="shared" si="308"/>
      </c>
      <c r="E229" s="559">
        <v>2799.42</v>
      </c>
      <c r="F229" s="560">
        <v>0</v>
      </c>
      <c r="G229" s="573">
        <v>2</v>
      </c>
      <c r="H229" s="573">
        <v>4536</v>
      </c>
      <c r="I229" s="562">
        <f t="shared" si="408"/>
      </c>
      <c r="J229" s="562">
        <f t="shared" si="164"/>
      </c>
      <c r="K229" s="605">
        <f t="shared" si="223"/>
      </c>
      <c r="L229" s="596">
        <f t="shared" si="12"/>
      </c>
      <c r="M229" s="597">
        <f t="shared" si="105"/>
      </c>
      <c r="N229" s="598">
        <f t="shared" si="40"/>
      </c>
      <c r="O229" s="598">
        <f t="shared" si="470"/>
      </c>
      <c r="P229" s="597">
        <f t="shared" si="504"/>
      </c>
      <c r="Q229" s="598">
        <f t="shared" si="371"/>
      </c>
      <c r="R229" s="598">
        <f t="shared" si="436"/>
      </c>
      <c r="S229" s="599">
        <f t="shared" si="192"/>
      </c>
      <c r="T229" s="600">
        <f t="shared" si="251"/>
      </c>
      <c r="U229" s="599">
        <f t="shared" si="74"/>
      </c>
      <c r="V229" s="601">
        <f t="shared" si="133"/>
      </c>
      <c r="W229" s="602" t="s">
        <v>335</v>
      </c>
      <c r="X229" s="615" t="s">
        <v>364</v>
      </c>
      <c r="Y229" s="603">
        <v>1</v>
      </c>
      <c r="Z229" s="603">
        <v>12712</v>
      </c>
      <c r="AA229" s="603">
        <v>243</v>
      </c>
      <c r="AB229" s="603">
        <v>365</v>
      </c>
      <c r="AC229" s="603">
        <v>45</v>
      </c>
      <c r="AD229" s="603">
        <v>11</v>
      </c>
      <c r="AE229" s="604">
        <v>4</v>
      </c>
      <c r="AF229" s="604">
        <v>15</v>
      </c>
      <c r="AG229" s="604">
        <v>1</v>
      </c>
      <c r="AI229" s="542"/>
      <c r="AJ229" s="542"/>
      <c r="AK229" s="542"/>
    </row>
    <row r="230">
      <c r="A230" s="557"/>
      <c r="B230" s="584" t="s">
        <v>350</v>
      </c>
      <c r="C230" s="560" t="s">
        <v>342</v>
      </c>
      <c r="D230" s="559">
        <f t="shared" si="308"/>
      </c>
      <c r="E230" s="559">
        <v>2064.24</v>
      </c>
      <c r="F230" s="560">
        <v>131.25</v>
      </c>
      <c r="G230" s="573">
        <v>1</v>
      </c>
      <c r="H230" s="573">
        <v>2268</v>
      </c>
      <c r="I230" s="562">
        <f t="shared" si="408"/>
      </c>
      <c r="J230" s="562">
        <f t="shared" si="164"/>
      </c>
      <c r="K230" s="605">
        <f t="shared" si="223"/>
      </c>
      <c r="L230" s="596">
        <f t="shared" si="12"/>
      </c>
      <c r="M230" s="597">
        <f t="shared" si="105"/>
      </c>
      <c r="N230" s="598">
        <f t="shared" si="40"/>
      </c>
      <c r="O230" s="598">
        <f t="shared" si="470"/>
      </c>
      <c r="P230" s="597">
        <f t="shared" si="504"/>
      </c>
      <c r="Q230" s="598">
        <f t="shared" si="371"/>
      </c>
      <c r="R230" s="598">
        <f t="shared" si="436"/>
      </c>
      <c r="S230" s="599">
        <f t="shared" si="192"/>
      </c>
      <c r="T230" s="600">
        <f t="shared" si="251"/>
      </c>
      <c r="U230" s="599">
        <f t="shared" si="74"/>
      </c>
      <c r="V230" s="601">
        <f t="shared" si="133"/>
      </c>
      <c r="W230" s="602" t="s">
        <v>335</v>
      </c>
      <c r="X230" s="615" t="s">
        <v>364</v>
      </c>
      <c r="Y230" s="603">
        <v>1</v>
      </c>
      <c r="Z230" s="603">
        <v>9098</v>
      </c>
      <c r="AA230" s="603">
        <v>236</v>
      </c>
      <c r="AB230" s="603">
        <v>370</v>
      </c>
      <c r="AC230" s="603">
        <v>53</v>
      </c>
      <c r="AD230" s="603">
        <v>22</v>
      </c>
      <c r="AE230" s="604">
        <v>5</v>
      </c>
      <c r="AF230" s="604">
        <v>7</v>
      </c>
      <c r="AG230" s="604">
        <v>1</v>
      </c>
      <c r="AI230" s="542"/>
      <c r="AJ230" s="542"/>
      <c r="AK230" s="542"/>
    </row>
    <row r="231">
      <c r="A231" s="557"/>
      <c r="B231" s="584" t="s">
        <v>351</v>
      </c>
      <c r="C231" s="560" t="s">
        <v>342</v>
      </c>
      <c r="D231" s="559">
        <f t="shared" si="308"/>
      </c>
      <c r="E231" s="559">
        <v>898.64</v>
      </c>
      <c r="F231" s="560">
        <v>133.06</v>
      </c>
      <c r="G231" s="561">
        <v>2</v>
      </c>
      <c r="H231" s="561">
        <v>2736</v>
      </c>
      <c r="I231" s="562">
        <f t="shared" si="408"/>
      </c>
      <c r="J231" s="562">
        <f t="shared" si="164"/>
      </c>
      <c r="K231" s="605">
        <f t="shared" si="223"/>
      </c>
      <c r="L231" s="596">
        <f t="shared" si="12"/>
      </c>
      <c r="M231" s="597">
        <f t="shared" si="105"/>
      </c>
      <c r="N231" s="598">
        <f t="shared" si="40"/>
      </c>
      <c r="O231" s="598">
        <f t="shared" si="470"/>
      </c>
      <c r="P231" s="597">
        <f t="shared" si="504"/>
      </c>
      <c r="Q231" s="598">
        <f t="shared" si="371"/>
      </c>
      <c r="R231" s="598">
        <f t="shared" si="436"/>
      </c>
      <c r="S231" s="599">
        <f t="shared" si="192"/>
      </c>
      <c r="T231" s="600">
        <f t="shared" si="251"/>
      </c>
      <c r="U231" s="599">
        <f t="shared" si="74"/>
      </c>
      <c r="V231" s="601">
        <f t="shared" si="133"/>
      </c>
      <c r="W231" s="602" t="s">
        <v>335</v>
      </c>
      <c r="X231" s="615" t="s">
        <v>364</v>
      </c>
      <c r="Y231" s="604">
        <v>1</v>
      </c>
      <c r="Z231" s="603">
        <v>4106</v>
      </c>
      <c r="AA231" s="603">
        <v>135</v>
      </c>
      <c r="AB231" s="603">
        <v>221</v>
      </c>
      <c r="AC231" s="603">
        <v>26</v>
      </c>
      <c r="AD231" s="603">
        <v>13</v>
      </c>
      <c r="AE231" s="604">
        <v>4</v>
      </c>
      <c r="AF231" s="604">
        <v>5</v>
      </c>
      <c r="AG231" s="604">
        <v>1</v>
      </c>
      <c r="AI231" s="542"/>
      <c r="AJ231" s="542"/>
      <c r="AK231" s="542"/>
    </row>
    <row r="232">
      <c r="A232" s="557"/>
      <c r="B232" s="586" t="s">
        <v>340</v>
      </c>
      <c r="C232" s="586"/>
      <c r="D232" s="587">
        <f>SUM(D228:D231)</f>
      </c>
      <c r="E232" s="587">
        <f>SUM(E228:E231)</f>
      </c>
      <c r="F232" s="587">
        <f>SUM(F228:F231)</f>
      </c>
      <c r="G232" s="587">
        <f>SUM(G228:G231)</f>
      </c>
      <c r="H232" s="587">
        <f>SUM(H228:H231)</f>
      </c>
      <c r="I232" s="588">
        <f t="shared" si="408"/>
      </c>
      <c r="J232" s="588">
        <f t="shared" si="164"/>
      </c>
      <c r="K232" s="606">
        <f t="shared" si="223"/>
      </c>
      <c r="L232" s="590">
        <f t="shared" si="12"/>
      </c>
      <c r="M232" s="591">
        <f t="shared" si="105"/>
      </c>
      <c r="N232" s="592">
        <f t="shared" si="40"/>
      </c>
      <c r="O232" s="592">
        <f t="shared" si="470"/>
      </c>
      <c r="P232" s="591">
        <f t="shared" si="504"/>
      </c>
      <c r="Q232" s="592">
        <f t="shared" si="371"/>
      </c>
      <c r="R232" s="592">
        <f t="shared" si="436"/>
      </c>
      <c r="S232" s="593">
        <f t="shared" si="192"/>
      </c>
      <c r="T232" s="594">
        <f t="shared" si="251"/>
      </c>
      <c r="U232" s="593">
        <f t="shared" si="74"/>
      </c>
      <c r="V232" s="595">
        <f t="shared" si="133"/>
      </c>
      <c r="W232" s="595"/>
      <c r="X232" s="595"/>
      <c r="Y232" s="587">
        <f>SUM(Y228:Y231)</f>
      </c>
      <c r="Z232" s="587">
        <f>SUM(Z228:Z231)</f>
      </c>
      <c r="AA232" s="587">
        <f>SUM(AA228:AA231)</f>
      </c>
      <c r="AB232" s="587">
        <f>SUM(AB228:AB231)</f>
      </c>
      <c r="AC232" s="587">
        <f>SUM(AC228:AC231)</f>
      </c>
      <c r="AD232" s="587">
        <f>SUM(AD228:AD231)</f>
      </c>
      <c r="AE232" s="587">
        <f>SUM(AE228:AE231)</f>
      </c>
      <c r="AF232" s="587">
        <f>SUM(AF228:AF231)</f>
      </c>
      <c r="AG232" s="587">
        <f>SUM(AG228:AG231)</f>
      </c>
      <c r="AI232" s="542"/>
      <c r="AJ232" s="542"/>
      <c r="AK232" s="542"/>
    </row>
    <row r="233">
      <c r="A233" s="557"/>
      <c r="B233" s="607" t="s">
        <v>352</v>
      </c>
      <c r="C233" s="607"/>
      <c r="D233" s="607">
        <f>D222+D232+D227</f>
      </c>
      <c r="E233" s="607">
        <f>E222+E232+E227</f>
      </c>
      <c r="F233" s="607">
        <f>F222+F232+F227</f>
      </c>
      <c r="G233" s="607">
        <f>G222+G232+G227</f>
      </c>
      <c r="H233" s="607">
        <f>H222+H232+H227</f>
      </c>
      <c r="I233" s="608">
        <f t="shared" si="408"/>
      </c>
      <c r="J233" s="608">
        <f t="shared" si="164"/>
      </c>
      <c r="K233" s="609">
        <f t="shared" si="223"/>
      </c>
      <c r="L233" s="610">
        <f t="shared" si="12"/>
      </c>
      <c r="M233" s="611">
        <f t="shared" si="105"/>
      </c>
      <c r="N233" s="612">
        <f t="shared" si="40"/>
      </c>
      <c r="O233" s="612">
        <f t="shared" si="470"/>
      </c>
      <c r="P233" s="611">
        <f t="shared" si="504"/>
      </c>
      <c r="Q233" s="612">
        <f t="shared" si="371"/>
      </c>
      <c r="R233" s="612">
        <f t="shared" si="436"/>
      </c>
      <c r="S233" s="611">
        <f t="shared" si="192"/>
      </c>
      <c r="T233" s="613">
        <f t="shared" si="251"/>
      </c>
      <c r="U233" s="611">
        <f t="shared" si="74"/>
      </c>
      <c r="V233" s="609">
        <f t="shared" si="133"/>
      </c>
      <c r="W233" s="609"/>
      <c r="X233" s="609"/>
      <c r="Y233" s="607">
        <f>Y222+Y232+Y227</f>
      </c>
      <c r="Z233" s="607">
        <f>Z222+Z232+Z227</f>
      </c>
      <c r="AA233" s="607">
        <f>AA222+AA232+AA227</f>
      </c>
      <c r="AB233" s="607">
        <f>AB222+AB232+AB227</f>
      </c>
      <c r="AC233" s="607">
        <f>AC222+AC232+AC227</f>
      </c>
      <c r="AD233" s="607">
        <f>AD222+AD232+AD227</f>
      </c>
      <c r="AE233" s="607">
        <f>AE222+AE232+AE227</f>
      </c>
      <c r="AF233" s="607">
        <f>AF222+AF232+AF227</f>
      </c>
      <c r="AG233" s="607">
        <f>AG222+AG232+AG227</f>
      </c>
      <c r="AI233" s="542"/>
      <c r="AJ233" s="542"/>
      <c r="AK233" s="542"/>
    </row>
    <row r="234">
      <c r="A234" s="538" t="s">
        <v>295</v>
      </c>
      <c r="B234" s="538"/>
      <c r="C234" s="538"/>
      <c r="D234" s="614" t="s">
        <v>296</v>
      </c>
      <c r="E234" s="614"/>
      <c r="F234" s="614"/>
      <c r="G234" s="614"/>
      <c r="H234" s="614"/>
      <c r="I234" s="614"/>
      <c r="J234" s="614"/>
      <c r="K234" s="540" t="s">
        <v>297</v>
      </c>
      <c r="L234" s="540"/>
      <c r="M234" s="540"/>
      <c r="N234" s="540"/>
      <c r="O234" s="540"/>
      <c r="P234" s="540"/>
      <c r="Q234" s="540"/>
      <c r="R234" s="540"/>
      <c r="S234" s="540"/>
      <c r="T234" s="540"/>
      <c r="U234" s="540"/>
      <c r="V234" s="540"/>
      <c r="W234" s="540"/>
      <c r="X234" s="540"/>
      <c r="Y234" s="541" t="s">
        <v>298</v>
      </c>
      <c r="Z234" s="541"/>
      <c r="AA234" s="541"/>
      <c r="AB234" s="541"/>
      <c r="AC234" s="541"/>
      <c r="AD234" s="541"/>
      <c r="AE234" s="541"/>
      <c r="AF234" s="541"/>
      <c r="AG234" s="541"/>
      <c r="AI234" s="542"/>
      <c r="AJ234" s="542"/>
      <c r="AK234" s="542"/>
    </row>
    <row r="235">
      <c r="A235" s="543" t="s">
        <v>299</v>
      </c>
      <c r="B235" s="544" t="s">
        <v>300</v>
      </c>
      <c r="C235" s="544" t="s">
        <v>301</v>
      </c>
      <c r="D235" s="545" t="s">
        <v>302</v>
      </c>
      <c r="E235" s="546" t="s">
        <v>303</v>
      </c>
      <c r="F235" s="546" t="s">
        <v>304</v>
      </c>
      <c r="G235" s="547" t="s">
        <v>305</v>
      </c>
      <c r="H235" s="548" t="s">
        <v>306</v>
      </c>
      <c r="I235" s="549" t="s">
        <v>307</v>
      </c>
      <c r="J235" s="549" t="s">
        <v>308</v>
      </c>
      <c r="K235" s="551" t="s">
        <v>309</v>
      </c>
      <c r="L235" s="540" t="s">
        <v>310</v>
      </c>
      <c r="M235" s="540" t="s">
        <v>311</v>
      </c>
      <c r="N235" s="552" t="s">
        <v>312</v>
      </c>
      <c r="O235" s="552" t="s">
        <v>313</v>
      </c>
      <c r="P235" s="540" t="s">
        <v>314</v>
      </c>
      <c r="Q235" s="552" t="s">
        <v>315</v>
      </c>
      <c r="R235" s="552" t="s">
        <v>316</v>
      </c>
      <c r="S235" s="540" t="s">
        <v>317</v>
      </c>
      <c r="T235" s="552" t="s">
        <v>318</v>
      </c>
      <c r="U235" s="540" t="s">
        <v>319</v>
      </c>
      <c r="V235" s="553" t="s">
        <v>320</v>
      </c>
      <c r="W235" s="553" t="s">
        <v>321</v>
      </c>
      <c r="X235" s="553" t="s">
        <v>322</v>
      </c>
      <c r="Y235" s="554" t="s">
        <v>323</v>
      </c>
      <c r="Z235" s="555" t="s">
        <v>324</v>
      </c>
      <c r="AA235" s="555" t="s">
        <v>325</v>
      </c>
      <c r="AB235" s="555" t="s">
        <v>326</v>
      </c>
      <c r="AC235" s="555" t="s">
        <v>327</v>
      </c>
      <c r="AD235" s="555" t="s">
        <v>328</v>
      </c>
      <c r="AE235" s="555" t="s">
        <v>329</v>
      </c>
      <c r="AF235" s="555" t="s">
        <v>330</v>
      </c>
      <c r="AG235" s="555" t="s">
        <v>331</v>
      </c>
      <c r="AI235" s="542"/>
      <c r="AJ235" s="542"/>
      <c r="AK235" s="542"/>
    </row>
    <row r="236">
      <c r="A236" s="557" t="s">
        <v>368</v>
      </c>
      <c r="B236" s="584" t="s">
        <v>333</v>
      </c>
      <c r="C236" s="559" t="s">
        <v>347</v>
      </c>
      <c r="D236" s="559">
        <f t="shared" ref="D236:D239" si="309">E236+F236</f>
      </c>
      <c r="E236" s="559">
        <v>2849.94</v>
      </c>
      <c r="F236" s="559">
        <v>314.51</v>
      </c>
      <c r="G236" s="561">
        <v>5</v>
      </c>
      <c r="H236" s="561">
        <v>10020</v>
      </c>
      <c r="I236" s="562">
        <f t="shared" ref="I236:I251" si="409">H236/D236</f>
      </c>
      <c r="J236" s="562">
        <f t="shared" ref="J236:J251" si="165">H236/(D236+300*AG236)</f>
      </c>
      <c r="K236" s="563">
        <f t="shared" ref="K236:K251" si="224">(D236/Z236)*1000</f>
      </c>
      <c r="L236" s="564">
        <f t="shared" ref="L236:L251" si="13">AA236/Z236</f>
      </c>
      <c r="M236" s="565">
        <f t="shared" ref="M236:M251" si="106">D236/AB236</f>
      </c>
      <c r="N236" s="566">
        <f t="shared" ref="N236:N251" si="41">AC236/AB236</f>
      </c>
      <c r="O236" s="566">
        <f t="shared" ref="O236:O251" si="471">AD236/AB236</f>
      </c>
      <c r="P236" s="565">
        <f t="shared" ref="P236:P251" si="505">D236/AD236</f>
      </c>
      <c r="Q236" s="566">
        <f t="shared" ref="Q236:Q251" si="372">AE236/AD236</f>
      </c>
      <c r="R236" s="566">
        <f t="shared" ref="R236:R251" si="437">G236/AE236</f>
      </c>
      <c r="S236" s="565">
        <f t="shared" ref="S236:S251" si="193">D236/G236</f>
      </c>
      <c r="T236" s="567">
        <f t="shared" ref="T236:T251" si="252">H236/G236</f>
      </c>
      <c r="U236" s="565">
        <f t="shared" ref="U236:U251" si="75">D236/Y236</f>
      </c>
      <c r="V236" s="568">
        <f t="shared" ref="V236:V251" si="134">AF236*1000/D236</f>
      </c>
      <c r="W236" s="569" t="s">
        <v>335</v>
      </c>
      <c r="X236" s="615" t="s">
        <v>356</v>
      </c>
      <c r="Y236" s="572">
        <v>4</v>
      </c>
      <c r="Z236" s="572">
        <v>11457</v>
      </c>
      <c r="AA236" s="572">
        <v>314</v>
      </c>
      <c r="AB236" s="572">
        <v>409</v>
      </c>
      <c r="AC236" s="572">
        <v>63</v>
      </c>
      <c r="AD236" s="572">
        <v>32</v>
      </c>
      <c r="AE236" s="571">
        <v>7</v>
      </c>
      <c r="AF236" s="571">
        <v>12</v>
      </c>
      <c r="AG236" s="571">
        <v>1</v>
      </c>
      <c r="AI236" s="542"/>
      <c r="AJ236" s="542"/>
      <c r="AK236" s="542"/>
    </row>
    <row r="237">
      <c r="A237" s="557"/>
      <c r="B237" s="584" t="s">
        <v>337</v>
      </c>
      <c r="C237" s="559" t="s">
        <v>347</v>
      </c>
      <c r="D237" s="559">
        <f t="shared" si="309"/>
      </c>
      <c r="E237" s="559">
        <v>3737.11</v>
      </c>
      <c r="F237" s="559">
        <v>423.56</v>
      </c>
      <c r="G237" s="573">
        <v>4</v>
      </c>
      <c r="H237" s="573">
        <v>7752</v>
      </c>
      <c r="I237" s="562">
        <f t="shared" si="409"/>
      </c>
      <c r="J237" s="562">
        <f t="shared" si="165"/>
      </c>
      <c r="K237" s="563">
        <f t="shared" si="224"/>
      </c>
      <c r="L237" s="574">
        <f t="shared" si="13"/>
      </c>
      <c r="M237" s="575">
        <f t="shared" si="106"/>
      </c>
      <c r="N237" s="576">
        <f t="shared" si="41"/>
      </c>
      <c r="O237" s="576">
        <f t="shared" si="471"/>
      </c>
      <c r="P237" s="575">
        <f t="shared" si="505"/>
      </c>
      <c r="Q237" s="576">
        <f t="shared" si="372"/>
      </c>
      <c r="R237" s="576">
        <f t="shared" si="437"/>
      </c>
      <c r="S237" s="577">
        <f t="shared" si="193"/>
      </c>
      <c r="T237" s="617">
        <f t="shared" si="252"/>
      </c>
      <c r="U237" s="579">
        <f t="shared" si="75"/>
      </c>
      <c r="V237" s="580">
        <f t="shared" si="134"/>
      </c>
      <c r="W237" s="581" t="s">
        <v>335</v>
      </c>
      <c r="X237" s="615" t="s">
        <v>356</v>
      </c>
      <c r="Y237" s="582">
        <v>3</v>
      </c>
      <c r="Z237" s="582">
        <v>17744</v>
      </c>
      <c r="AA237" s="582">
        <v>453</v>
      </c>
      <c r="AB237" s="582">
        <v>579</v>
      </c>
      <c r="AC237" s="582">
        <v>88</v>
      </c>
      <c r="AD237" s="582">
        <v>38</v>
      </c>
      <c r="AE237" s="583">
        <v>14</v>
      </c>
      <c r="AF237" s="583">
        <v>15</v>
      </c>
      <c r="AG237" s="583">
        <v>1</v>
      </c>
      <c r="AI237" s="542"/>
      <c r="AJ237" s="542"/>
      <c r="AK237" s="542"/>
    </row>
    <row r="238">
      <c r="A238" s="557"/>
      <c r="B238" s="584" t="s">
        <v>338</v>
      </c>
      <c r="C238" s="559" t="s">
        <v>347</v>
      </c>
      <c r="D238" s="559">
        <f t="shared" si="309"/>
      </c>
      <c r="E238" s="559">
        <v>3637.62</v>
      </c>
      <c r="F238" s="559">
        <v>534.03</v>
      </c>
      <c r="G238" s="561">
        <v>3</v>
      </c>
      <c r="H238" s="561">
        <v>5004</v>
      </c>
      <c r="I238" s="562">
        <f t="shared" si="409"/>
      </c>
      <c r="J238" s="562">
        <f t="shared" si="165"/>
      </c>
      <c r="K238" s="563">
        <f t="shared" si="224"/>
      </c>
      <c r="L238" s="574">
        <f t="shared" si="13"/>
      </c>
      <c r="M238" s="575">
        <f t="shared" si="106"/>
      </c>
      <c r="N238" s="576">
        <f t="shared" si="41"/>
      </c>
      <c r="O238" s="576">
        <f t="shared" si="471"/>
      </c>
      <c r="P238" s="575">
        <f t="shared" si="505"/>
      </c>
      <c r="Q238" s="576">
        <f t="shared" si="372"/>
      </c>
      <c r="R238" s="576">
        <f t="shared" si="437"/>
      </c>
      <c r="S238" s="577">
        <f t="shared" si="193"/>
      </c>
      <c r="T238" s="617">
        <f t="shared" si="252"/>
      </c>
      <c r="U238" s="579">
        <f t="shared" si="75"/>
      </c>
      <c r="V238" s="580">
        <f t="shared" si="134"/>
      </c>
      <c r="W238" s="581" t="s">
        <v>335</v>
      </c>
      <c r="X238" s="615" t="s">
        <v>356</v>
      </c>
      <c r="Y238" s="582">
        <v>3</v>
      </c>
      <c r="Z238" s="582">
        <v>16276</v>
      </c>
      <c r="AA238" s="582">
        <v>406</v>
      </c>
      <c r="AB238" s="582">
        <v>551</v>
      </c>
      <c r="AC238" s="582">
        <v>79</v>
      </c>
      <c r="AD238" s="582">
        <v>46</v>
      </c>
      <c r="AE238" s="583">
        <v>13</v>
      </c>
      <c r="AF238" s="583">
        <v>14</v>
      </c>
      <c r="AG238" s="583">
        <v>1</v>
      </c>
      <c r="AI238" s="542"/>
      <c r="AJ238" s="542"/>
      <c r="AK238" s="542"/>
    </row>
    <row r="239">
      <c r="A239" s="557"/>
      <c r="B239" s="584" t="s">
        <v>339</v>
      </c>
      <c r="C239" s="559" t="s">
        <v>347</v>
      </c>
      <c r="D239" s="559">
        <f t="shared" si="309"/>
      </c>
      <c r="E239" s="560">
        <v>4963.83</v>
      </c>
      <c r="F239" s="560">
        <v>694.53</v>
      </c>
      <c r="G239" s="573">
        <v>9</v>
      </c>
      <c r="H239" s="573">
        <v>15972</v>
      </c>
      <c r="I239" s="562">
        <f t="shared" si="409"/>
      </c>
      <c r="J239" s="562">
        <f t="shared" si="165"/>
      </c>
      <c r="K239" s="563">
        <f t="shared" si="224"/>
      </c>
      <c r="L239" s="574">
        <f t="shared" si="13"/>
      </c>
      <c r="M239" s="575">
        <f t="shared" si="106"/>
      </c>
      <c r="N239" s="576">
        <f t="shared" si="41"/>
      </c>
      <c r="O239" s="576">
        <f t="shared" si="471"/>
      </c>
      <c r="P239" s="575">
        <f t="shared" si="505"/>
      </c>
      <c r="Q239" s="576">
        <f t="shared" si="372"/>
      </c>
      <c r="R239" s="576">
        <f t="shared" si="437"/>
      </c>
      <c r="S239" s="577">
        <f t="shared" si="193"/>
      </c>
      <c r="T239" s="585">
        <f t="shared" si="252"/>
      </c>
      <c r="U239" s="577">
        <f t="shared" si="75"/>
      </c>
      <c r="V239" s="580">
        <f t="shared" si="134"/>
      </c>
      <c r="W239" s="581" t="s">
        <v>335</v>
      </c>
      <c r="X239" s="615" t="s">
        <v>356</v>
      </c>
      <c r="Y239" s="583">
        <v>5</v>
      </c>
      <c r="Z239" s="583">
        <v>24204</v>
      </c>
      <c r="AA239" s="583">
        <v>615</v>
      </c>
      <c r="AB239" s="583">
        <v>766</v>
      </c>
      <c r="AC239" s="583">
        <v>136</v>
      </c>
      <c r="AD239" s="583">
        <v>40</v>
      </c>
      <c r="AE239" s="583">
        <v>22</v>
      </c>
      <c r="AF239" s="583">
        <v>34</v>
      </c>
      <c r="AG239" s="583">
        <v>1</v>
      </c>
      <c r="AI239" s="542"/>
      <c r="AJ239" s="542"/>
      <c r="AK239" s="542"/>
    </row>
    <row r="240">
      <c r="A240" s="557"/>
      <c r="B240" s="586" t="s">
        <v>340</v>
      </c>
      <c r="C240" s="586"/>
      <c r="D240" s="587">
        <f>SUM(D236:D239)</f>
      </c>
      <c r="E240" s="587">
        <f>SUM(E236:E239)</f>
      </c>
      <c r="F240" s="587">
        <f>SUM(F236:F239)</f>
      </c>
      <c r="G240" s="587">
        <f>SUM(G236:G239)</f>
      </c>
      <c r="H240" s="587">
        <f>SUM(H236:H239)</f>
      </c>
      <c r="I240" s="588">
        <f t="shared" si="409"/>
      </c>
      <c r="J240" s="588">
        <f t="shared" si="165"/>
      </c>
      <c r="K240" s="589">
        <f t="shared" si="224"/>
      </c>
      <c r="L240" s="590">
        <f t="shared" si="13"/>
      </c>
      <c r="M240" s="591">
        <f t="shared" si="106"/>
      </c>
      <c r="N240" s="592">
        <f t="shared" si="41"/>
      </c>
      <c r="O240" s="592">
        <f t="shared" si="471"/>
      </c>
      <c r="P240" s="591">
        <f t="shared" si="505"/>
      </c>
      <c r="Q240" s="592">
        <f t="shared" si="372"/>
      </c>
      <c r="R240" s="592">
        <f t="shared" si="437"/>
      </c>
      <c r="S240" s="593">
        <f t="shared" si="193"/>
      </c>
      <c r="T240" s="594">
        <f t="shared" si="252"/>
      </c>
      <c r="U240" s="593">
        <f t="shared" si="75"/>
      </c>
      <c r="V240" s="595">
        <f t="shared" si="134"/>
      </c>
      <c r="W240" s="595"/>
      <c r="X240" s="595"/>
      <c r="Y240" s="587">
        <f>SUM(Y236:Y239)</f>
      </c>
      <c r="Z240" s="587">
        <f>SUM(Z236:Z239)</f>
      </c>
      <c r="AA240" s="587">
        <f>SUM(AA236:AA239)</f>
      </c>
      <c r="AB240" s="587">
        <f>SUM(AB236:AB239)</f>
      </c>
      <c r="AC240" s="587">
        <f>SUM(AC236:AC239)</f>
      </c>
      <c r="AD240" s="587">
        <f>SUM(AD236:AD239)</f>
      </c>
      <c r="AE240" s="587">
        <f>SUM(AE236:AE239)</f>
      </c>
      <c r="AF240" s="587">
        <f>SUM(AF236:AF239)</f>
      </c>
      <c r="AG240" s="587">
        <f>SUM(AG236:AG239)</f>
      </c>
      <c r="AI240" s="542"/>
      <c r="AJ240" s="542"/>
      <c r="AK240" s="542"/>
    </row>
    <row r="241">
      <c r="A241" s="557"/>
      <c r="B241" s="584" t="s">
        <v>341</v>
      </c>
      <c r="C241" s="559" t="s">
        <v>342</v>
      </c>
      <c r="D241" s="559">
        <f t="shared" ref="D241:D244" si="310">E241+F241</f>
      </c>
      <c r="E241" s="560">
        <v>7195.88</v>
      </c>
      <c r="F241" s="560">
        <v>451.15</v>
      </c>
      <c r="G241" s="561">
        <v>9</v>
      </c>
      <c r="H241" s="561">
        <v>20412</v>
      </c>
      <c r="I241" s="562">
        <f t="shared" si="409"/>
      </c>
      <c r="J241" s="562">
        <f t="shared" si="165"/>
      </c>
      <c r="K241" s="563">
        <f t="shared" si="224"/>
      </c>
      <c r="L241" s="596">
        <f t="shared" si="13"/>
      </c>
      <c r="M241" s="597">
        <f t="shared" si="106"/>
      </c>
      <c r="N241" s="598">
        <f t="shared" si="41"/>
      </c>
      <c r="O241" s="598">
        <f t="shared" si="471"/>
      </c>
      <c r="P241" s="597">
        <f t="shared" si="505"/>
      </c>
      <c r="Q241" s="598">
        <f t="shared" si="372"/>
      </c>
      <c r="R241" s="598">
        <f t="shared" si="437"/>
      </c>
      <c r="S241" s="599">
        <f t="shared" si="193"/>
      </c>
      <c r="T241" s="600">
        <f t="shared" si="252"/>
      </c>
      <c r="U241" s="599">
        <f t="shared" si="75"/>
      </c>
      <c r="V241" s="601">
        <f t="shared" si="134"/>
      </c>
      <c r="W241" s="602" t="s">
        <v>335</v>
      </c>
      <c r="X241" s="570" t="s">
        <v>364</v>
      </c>
      <c r="Y241" s="604">
        <v>10</v>
      </c>
      <c r="Z241" s="603">
        <v>35219</v>
      </c>
      <c r="AA241" s="603">
        <v>783</v>
      </c>
      <c r="AB241" s="603">
        <v>1056</v>
      </c>
      <c r="AC241" s="604">
        <v>177</v>
      </c>
      <c r="AD241" s="604">
        <v>46</v>
      </c>
      <c r="AE241" s="604">
        <v>22</v>
      </c>
      <c r="AF241" s="604">
        <v>30</v>
      </c>
      <c r="AG241" s="604">
        <v>1</v>
      </c>
      <c r="AI241" s="542"/>
      <c r="AJ241" s="542"/>
      <c r="AK241" s="542"/>
    </row>
    <row r="242">
      <c r="A242" s="557"/>
      <c r="B242" s="584" t="s">
        <v>343</v>
      </c>
      <c r="C242" s="559" t="s">
        <v>342</v>
      </c>
      <c r="D242" s="559">
        <f t="shared" si="310"/>
      </c>
      <c r="E242" s="559">
        <v>4539.38</v>
      </c>
      <c r="F242" s="559">
        <v>779.06</v>
      </c>
      <c r="G242" s="561">
        <v>7</v>
      </c>
      <c r="H242" s="561">
        <v>13236</v>
      </c>
      <c r="I242" s="562">
        <f t="shared" si="409"/>
      </c>
      <c r="J242" s="562">
        <f t="shared" si="165"/>
      </c>
      <c r="K242" s="563">
        <f t="shared" si="224"/>
      </c>
      <c r="L242" s="596">
        <f t="shared" si="13"/>
      </c>
      <c r="M242" s="597">
        <f t="shared" si="106"/>
      </c>
      <c r="N242" s="598">
        <f t="shared" si="41"/>
      </c>
      <c r="O242" s="598">
        <f t="shared" si="471"/>
      </c>
      <c r="P242" s="597">
        <f t="shared" si="505"/>
      </c>
      <c r="Q242" s="598">
        <f t="shared" si="372"/>
      </c>
      <c r="R242" s="598">
        <f t="shared" si="437"/>
      </c>
      <c r="S242" s="599">
        <f t="shared" si="193"/>
      </c>
      <c r="T242" s="600">
        <f t="shared" si="252"/>
      </c>
      <c r="U242" s="599">
        <f t="shared" si="75"/>
      </c>
      <c r="V242" s="601">
        <f t="shared" si="134"/>
      </c>
      <c r="W242" s="602" t="s">
        <v>335</v>
      </c>
      <c r="X242" s="615" t="s">
        <v>364</v>
      </c>
      <c r="Y242" s="603">
        <v>7</v>
      </c>
      <c r="Z242" s="603">
        <v>27899</v>
      </c>
      <c r="AA242" s="603">
        <v>677</v>
      </c>
      <c r="AB242" s="603">
        <v>871</v>
      </c>
      <c r="AC242" s="603">
        <v>141</v>
      </c>
      <c r="AD242" s="603">
        <v>38</v>
      </c>
      <c r="AE242" s="604">
        <v>7</v>
      </c>
      <c r="AF242" s="604">
        <v>31</v>
      </c>
      <c r="AG242" s="604">
        <v>1</v>
      </c>
      <c r="AI242" s="542"/>
      <c r="AJ242" s="542"/>
      <c r="AK242" s="542"/>
    </row>
    <row r="243">
      <c r="A243" s="557"/>
      <c r="B243" s="584" t="s">
        <v>344</v>
      </c>
      <c r="C243" s="559" t="s">
        <v>342</v>
      </c>
      <c r="D243" s="559">
        <f t="shared" si="310"/>
      </c>
      <c r="E243" s="559">
        <v>4665.47</v>
      </c>
      <c r="F243" s="559">
        <v>976.18</v>
      </c>
      <c r="G243" s="561">
        <v>3</v>
      </c>
      <c r="H243" s="561">
        <v>4777</v>
      </c>
      <c r="I243" s="562">
        <f t="shared" si="409"/>
      </c>
      <c r="J243" s="562">
        <f t="shared" si="165"/>
      </c>
      <c r="K243" s="563">
        <f t="shared" si="224"/>
      </c>
      <c r="L243" s="596">
        <f t="shared" si="13"/>
      </c>
      <c r="M243" s="597">
        <f t="shared" si="106"/>
      </c>
      <c r="N243" s="598">
        <f t="shared" si="41"/>
      </c>
      <c r="O243" s="598">
        <f t="shared" si="471"/>
      </c>
      <c r="P243" s="597">
        <f t="shared" si="505"/>
      </c>
      <c r="Q243" s="598">
        <f t="shared" si="372"/>
      </c>
      <c r="R243" s="598">
        <f t="shared" si="437"/>
      </c>
      <c r="S243" s="599">
        <f t="shared" si="193"/>
      </c>
      <c r="T243" s="600">
        <f t="shared" si="252"/>
      </c>
      <c r="U243" s="599">
        <f t="shared" si="75"/>
      </c>
      <c r="V243" s="601">
        <f t="shared" si="134"/>
      </c>
      <c r="W243" s="602" t="s">
        <v>335</v>
      </c>
      <c r="X243" s="615" t="s">
        <v>364</v>
      </c>
      <c r="Y243" s="603">
        <v>2</v>
      </c>
      <c r="Z243" s="603">
        <v>25302</v>
      </c>
      <c r="AA243" s="603">
        <v>626</v>
      </c>
      <c r="AB243" s="603">
        <v>808</v>
      </c>
      <c r="AC243" s="603">
        <v>134</v>
      </c>
      <c r="AD243" s="603">
        <v>45</v>
      </c>
      <c r="AE243" s="604">
        <v>8</v>
      </c>
      <c r="AF243" s="604">
        <v>22</v>
      </c>
      <c r="AG243" s="604">
        <v>1</v>
      </c>
      <c r="AI243" s="542"/>
      <c r="AJ243" s="542"/>
      <c r="AK243" s="542"/>
    </row>
    <row r="244">
      <c r="A244" s="557"/>
      <c r="B244" s="584" t="s">
        <v>345</v>
      </c>
      <c r="C244" s="559" t="s">
        <v>342</v>
      </c>
      <c r="D244" s="559">
        <f t="shared" si="310"/>
      </c>
      <c r="E244" s="559">
        <v>3859.46</v>
      </c>
      <c r="F244" s="559">
        <v>890.81</v>
      </c>
      <c r="G244" s="561">
        <v>3</v>
      </c>
      <c r="H244" s="573">
        <v>5484</v>
      </c>
      <c r="I244" s="562">
        <f t="shared" si="409"/>
      </c>
      <c r="J244" s="562">
        <f t="shared" si="165"/>
      </c>
      <c r="K244" s="563">
        <f t="shared" si="224"/>
      </c>
      <c r="L244" s="596">
        <f t="shared" si="13"/>
      </c>
      <c r="M244" s="597">
        <f t="shared" si="106"/>
      </c>
      <c r="N244" s="598">
        <f t="shared" si="41"/>
      </c>
      <c r="O244" s="598">
        <f t="shared" si="471"/>
      </c>
      <c r="P244" s="597">
        <f t="shared" si="505"/>
      </c>
      <c r="Q244" s="598">
        <f t="shared" si="372"/>
      </c>
      <c r="R244" s="598">
        <f t="shared" si="437"/>
      </c>
      <c r="S244" s="599">
        <f t="shared" si="193"/>
      </c>
      <c r="T244" s="600">
        <f t="shared" si="252"/>
      </c>
      <c r="U244" s="599">
        <f t="shared" si="75"/>
      </c>
      <c r="V244" s="601">
        <f t="shared" si="134"/>
      </c>
      <c r="W244" s="602" t="s">
        <v>335</v>
      </c>
      <c r="X244" s="615" t="s">
        <v>364</v>
      </c>
      <c r="Y244" s="604">
        <v>4</v>
      </c>
      <c r="Z244" s="603">
        <v>20049</v>
      </c>
      <c r="AA244" s="603">
        <v>558</v>
      </c>
      <c r="AB244" s="603">
        <v>744</v>
      </c>
      <c r="AC244" s="603">
        <v>102</v>
      </c>
      <c r="AD244" s="603">
        <v>30</v>
      </c>
      <c r="AE244" s="604">
        <v>12</v>
      </c>
      <c r="AF244" s="604">
        <v>17</v>
      </c>
      <c r="AG244" s="604">
        <v>1</v>
      </c>
      <c r="AI244" s="542"/>
      <c r="AJ244" s="542"/>
      <c r="AK244" s="542"/>
    </row>
    <row r="245">
      <c r="A245" s="557"/>
      <c r="B245" s="586" t="s">
        <v>340</v>
      </c>
      <c r="C245" s="586"/>
      <c r="D245" s="587">
        <f>SUM(D241:D244)</f>
      </c>
      <c r="E245" s="587">
        <f>SUM(E241:E244)</f>
      </c>
      <c r="F245" s="587">
        <f>SUM(F241:F244)</f>
      </c>
      <c r="G245" s="587">
        <f>SUM(G241:G244)</f>
      </c>
      <c r="H245" s="587">
        <f>SUM(H241:H244)</f>
      </c>
      <c r="I245" s="588">
        <f t="shared" si="409"/>
      </c>
      <c r="J245" s="588">
        <f t="shared" si="165"/>
      </c>
      <c r="K245" s="589">
        <f t="shared" si="224"/>
      </c>
      <c r="L245" s="590">
        <f t="shared" si="13"/>
      </c>
      <c r="M245" s="591">
        <f t="shared" si="106"/>
      </c>
      <c r="N245" s="592">
        <f t="shared" si="41"/>
      </c>
      <c r="O245" s="592">
        <f t="shared" si="471"/>
      </c>
      <c r="P245" s="591">
        <f t="shared" si="505"/>
      </c>
      <c r="Q245" s="592">
        <f t="shared" si="372"/>
      </c>
      <c r="R245" s="592">
        <f t="shared" si="437"/>
      </c>
      <c r="S245" s="593">
        <f t="shared" si="193"/>
      </c>
      <c r="T245" s="594">
        <f t="shared" si="252"/>
      </c>
      <c r="U245" s="593">
        <f t="shared" si="75"/>
      </c>
      <c r="V245" s="595">
        <f t="shared" si="134"/>
      </c>
      <c r="W245" s="595"/>
      <c r="X245" s="595"/>
      <c r="Y245" s="587">
        <f>SUM(Y241:Y244)</f>
      </c>
      <c r="Z245" s="587">
        <f>SUM(Z241:Z244)</f>
      </c>
      <c r="AA245" s="587">
        <f>SUM(AA241:AA244)</f>
      </c>
      <c r="AB245" s="587">
        <f>SUM(AB241:AB244)</f>
      </c>
      <c r="AC245" s="587">
        <f>SUM(AC241:AC244)</f>
      </c>
      <c r="AD245" s="587">
        <f>SUM(AD241:AD244)</f>
      </c>
      <c r="AE245" s="587">
        <f>SUM(AE241:AE244)</f>
      </c>
      <c r="AF245" s="587">
        <f>SUM(AF241:AF244)</f>
      </c>
      <c r="AG245" s="587">
        <f>SUM(AG241:AG244)</f>
      </c>
      <c r="AI245" s="542"/>
      <c r="AJ245" s="542"/>
      <c r="AK245" s="542"/>
    </row>
    <row r="246">
      <c r="A246" s="557"/>
      <c r="B246" s="584" t="s">
        <v>346</v>
      </c>
      <c r="C246" s="560" t="s">
        <v>334</v>
      </c>
      <c r="D246" s="559">
        <f t="shared" ref="D246:D249" si="311">E246+F246</f>
      </c>
      <c r="E246" s="559">
        <v>3847.03</v>
      </c>
      <c r="F246" s="560">
        <v>571.59</v>
      </c>
      <c r="G246" s="573">
        <v>2</v>
      </c>
      <c r="H246" s="573">
        <v>3216</v>
      </c>
      <c r="I246" s="562">
        <f t="shared" si="409"/>
      </c>
      <c r="J246" s="562">
        <f t="shared" si="165"/>
      </c>
      <c r="K246" s="605">
        <f t="shared" si="224"/>
      </c>
      <c r="L246" s="596">
        <f t="shared" si="13"/>
      </c>
      <c r="M246" s="597">
        <f t="shared" si="106"/>
      </c>
      <c r="N246" s="598">
        <f t="shared" si="41"/>
      </c>
      <c r="O246" s="598">
        <f t="shared" si="471"/>
      </c>
      <c r="P246" s="597">
        <f t="shared" si="505"/>
      </c>
      <c r="Q246" s="598">
        <f t="shared" si="372"/>
      </c>
      <c r="R246" s="598">
        <f t="shared" si="437"/>
      </c>
      <c r="S246" s="599">
        <f t="shared" si="193"/>
      </c>
      <c r="T246" s="600">
        <f t="shared" si="252"/>
      </c>
      <c r="U246" s="599">
        <f t="shared" si="75"/>
      </c>
      <c r="V246" s="601">
        <f t="shared" si="134"/>
      </c>
      <c r="W246" s="602" t="s">
        <v>335</v>
      </c>
      <c r="X246" s="615" t="s">
        <v>364</v>
      </c>
      <c r="Y246" s="604">
        <v>2</v>
      </c>
      <c r="Z246" s="603">
        <v>18228</v>
      </c>
      <c r="AA246" s="603">
        <v>470</v>
      </c>
      <c r="AB246" s="603">
        <v>604</v>
      </c>
      <c r="AC246" s="603">
        <v>85</v>
      </c>
      <c r="AD246" s="603">
        <v>31</v>
      </c>
      <c r="AE246" s="604">
        <v>7</v>
      </c>
      <c r="AF246" s="604">
        <v>18</v>
      </c>
      <c r="AG246" s="604">
        <v>1</v>
      </c>
      <c r="AI246" s="542"/>
      <c r="AJ246" s="542"/>
      <c r="AK246" s="542"/>
    </row>
    <row r="247">
      <c r="A247" s="557"/>
      <c r="B247" s="584" t="s">
        <v>349</v>
      </c>
      <c r="C247" s="560" t="s">
        <v>334</v>
      </c>
      <c r="D247" s="559">
        <f t="shared" si="311"/>
      </c>
      <c r="E247" s="559">
        <v>3272.39</v>
      </c>
      <c r="F247" s="560">
        <v>324.07</v>
      </c>
      <c r="G247" s="573">
        <v>2</v>
      </c>
      <c r="H247" s="573">
        <v>4536</v>
      </c>
      <c r="I247" s="562">
        <f t="shared" si="409"/>
      </c>
      <c r="J247" s="562">
        <f t="shared" si="165"/>
      </c>
      <c r="K247" s="605">
        <f t="shared" si="224"/>
      </c>
      <c r="L247" s="596">
        <f t="shared" si="13"/>
      </c>
      <c r="M247" s="597">
        <f t="shared" si="106"/>
      </c>
      <c r="N247" s="598">
        <f t="shared" si="41"/>
      </c>
      <c r="O247" s="598">
        <f t="shared" si="471"/>
      </c>
      <c r="P247" s="597">
        <f t="shared" si="505"/>
      </c>
      <c r="Q247" s="598">
        <f t="shared" si="372"/>
      </c>
      <c r="R247" s="598">
        <f t="shared" si="437"/>
      </c>
      <c r="S247" s="599">
        <f t="shared" si="193"/>
      </c>
      <c r="T247" s="600">
        <f t="shared" si="252"/>
      </c>
      <c r="U247" s="599">
        <f t="shared" si="75"/>
      </c>
      <c r="V247" s="601">
        <f t="shared" si="134"/>
      </c>
      <c r="W247" s="602" t="s">
        <v>335</v>
      </c>
      <c r="X247" s="615" t="s">
        <v>364</v>
      </c>
      <c r="Y247" s="603">
        <v>2</v>
      </c>
      <c r="Z247" s="603">
        <v>15294</v>
      </c>
      <c r="AA247" s="603">
        <v>308</v>
      </c>
      <c r="AB247" s="603">
        <v>431</v>
      </c>
      <c r="AC247" s="603">
        <v>59</v>
      </c>
      <c r="AD247" s="603">
        <v>28</v>
      </c>
      <c r="AE247" s="604">
        <v>5</v>
      </c>
      <c r="AF247" s="604">
        <v>12</v>
      </c>
      <c r="AG247" s="604">
        <v>1</v>
      </c>
      <c r="AI247" s="542"/>
      <c r="AJ247" s="542"/>
      <c r="AK247" s="542"/>
    </row>
    <row r="248">
      <c r="A248" s="557"/>
      <c r="B248" s="584" t="s">
        <v>350</v>
      </c>
      <c r="C248" s="560" t="s">
        <v>334</v>
      </c>
      <c r="D248" s="559">
        <f t="shared" si="311"/>
      </c>
      <c r="E248" s="559">
        <v>2799.75</v>
      </c>
      <c r="F248" s="560">
        <v>453.92</v>
      </c>
      <c r="G248" s="573">
        <v>4</v>
      </c>
      <c r="H248" s="573">
        <v>9072</v>
      </c>
      <c r="I248" s="562">
        <f t="shared" si="409"/>
      </c>
      <c r="J248" s="562">
        <f t="shared" si="165"/>
      </c>
      <c r="K248" s="605">
        <f t="shared" si="224"/>
      </c>
      <c r="L248" s="596">
        <f t="shared" si="13"/>
      </c>
      <c r="M248" s="597">
        <f t="shared" si="106"/>
      </c>
      <c r="N248" s="598">
        <f t="shared" si="41"/>
      </c>
      <c r="O248" s="598">
        <f t="shared" si="471"/>
      </c>
      <c r="P248" s="597">
        <f t="shared" si="505"/>
      </c>
      <c r="Q248" s="598">
        <f t="shared" si="372"/>
      </c>
      <c r="R248" s="598">
        <f t="shared" si="437"/>
      </c>
      <c r="S248" s="599">
        <f t="shared" si="193"/>
      </c>
      <c r="T248" s="600">
        <f t="shared" si="252"/>
      </c>
      <c r="U248" s="599">
        <f t="shared" si="75"/>
      </c>
      <c r="V248" s="601">
        <f t="shared" si="134"/>
      </c>
      <c r="W248" s="602" t="s">
        <v>335</v>
      </c>
      <c r="X248" s="615" t="s">
        <v>364</v>
      </c>
      <c r="Y248" s="603">
        <v>3</v>
      </c>
      <c r="Z248" s="603">
        <v>14535</v>
      </c>
      <c r="AA248" s="603">
        <v>308</v>
      </c>
      <c r="AB248" s="603">
        <v>419</v>
      </c>
      <c r="AC248" s="603">
        <v>66</v>
      </c>
      <c r="AD248" s="603">
        <v>29</v>
      </c>
      <c r="AE248" s="604">
        <v>8</v>
      </c>
      <c r="AF248" s="604">
        <v>14</v>
      </c>
      <c r="AG248" s="604">
        <v>1</v>
      </c>
      <c r="AI248" s="542"/>
      <c r="AJ248" s="542"/>
      <c r="AK248" s="542"/>
    </row>
    <row r="249">
      <c r="A249" s="557"/>
      <c r="B249" s="584" t="s">
        <v>351</v>
      </c>
      <c r="C249" s="560" t="s">
        <v>334</v>
      </c>
      <c r="D249" s="559">
        <f t="shared" si="311"/>
      </c>
      <c r="E249" s="559">
        <v>1448.02</v>
      </c>
      <c r="F249" s="560">
        <v>431.45</v>
      </c>
      <c r="G249" s="561">
        <v>1</v>
      </c>
      <c r="H249" s="561">
        <v>2268</v>
      </c>
      <c r="I249" s="562">
        <f t="shared" si="409"/>
      </c>
      <c r="J249" s="562">
        <f t="shared" si="165"/>
      </c>
      <c r="K249" s="605">
        <f t="shared" si="224"/>
      </c>
      <c r="L249" s="596">
        <f t="shared" si="13"/>
      </c>
      <c r="M249" s="597">
        <f t="shared" si="106"/>
      </c>
      <c r="N249" s="598">
        <f t="shared" si="41"/>
      </c>
      <c r="O249" s="598">
        <f t="shared" si="471"/>
      </c>
      <c r="P249" s="597">
        <f t="shared" si="505"/>
      </c>
      <c r="Q249" s="598">
        <f t="shared" si="372"/>
      </c>
      <c r="R249" s="598">
        <f t="shared" si="437"/>
      </c>
      <c r="S249" s="599">
        <f t="shared" si="193"/>
      </c>
      <c r="T249" s="600">
        <f t="shared" si="252"/>
      </c>
      <c r="U249" s="599">
        <f t="shared" si="75"/>
      </c>
      <c r="V249" s="601">
        <f t="shared" si="134"/>
      </c>
      <c r="W249" s="602" t="s">
        <v>335</v>
      </c>
      <c r="X249" s="615" t="s">
        <v>364</v>
      </c>
      <c r="Y249" s="604">
        <v>2</v>
      </c>
      <c r="Z249" s="603">
        <v>7531</v>
      </c>
      <c r="AA249" s="603">
        <v>212</v>
      </c>
      <c r="AB249" s="603">
        <v>276</v>
      </c>
      <c r="AC249" s="603">
        <v>31</v>
      </c>
      <c r="AD249" s="603">
        <v>18</v>
      </c>
      <c r="AE249" s="604">
        <v>3</v>
      </c>
      <c r="AF249" s="604">
        <v>7</v>
      </c>
      <c r="AG249" s="604">
        <v>1</v>
      </c>
      <c r="AI249" s="542"/>
      <c r="AJ249" s="542"/>
      <c r="AK249" s="542"/>
    </row>
    <row r="250">
      <c r="A250" s="557"/>
      <c r="B250" s="586" t="s">
        <v>340</v>
      </c>
      <c r="C250" s="586"/>
      <c r="D250" s="587">
        <f>SUM(D246:D249)</f>
      </c>
      <c r="E250" s="587">
        <f>SUM(E246:E249)</f>
      </c>
      <c r="F250" s="587">
        <f>SUM(F246:F249)</f>
      </c>
      <c r="G250" s="587">
        <f>SUM(G246:G249)</f>
      </c>
      <c r="H250" s="587">
        <f>SUM(H246:H249)</f>
      </c>
      <c r="I250" s="588">
        <f t="shared" si="409"/>
      </c>
      <c r="J250" s="588">
        <f t="shared" si="165"/>
      </c>
      <c r="K250" s="606">
        <f t="shared" si="224"/>
      </c>
      <c r="L250" s="590">
        <f t="shared" si="13"/>
      </c>
      <c r="M250" s="591">
        <f t="shared" si="106"/>
      </c>
      <c r="N250" s="592">
        <f t="shared" si="41"/>
      </c>
      <c r="O250" s="592">
        <f t="shared" si="471"/>
      </c>
      <c r="P250" s="591">
        <f t="shared" si="505"/>
      </c>
      <c r="Q250" s="592">
        <f t="shared" si="372"/>
      </c>
      <c r="R250" s="592">
        <f t="shared" si="437"/>
      </c>
      <c r="S250" s="593">
        <f t="shared" si="193"/>
      </c>
      <c r="T250" s="594">
        <f t="shared" si="252"/>
      </c>
      <c r="U250" s="593">
        <f t="shared" si="75"/>
      </c>
      <c r="V250" s="595">
        <f t="shared" si="134"/>
      </c>
      <c r="W250" s="595"/>
      <c r="X250" s="595"/>
      <c r="Y250" s="587">
        <f>SUM(Y246:Y249)</f>
      </c>
      <c r="Z250" s="587">
        <f>SUM(Z246:Z249)</f>
      </c>
      <c r="AA250" s="587">
        <f>SUM(AA246:AA249)</f>
      </c>
      <c r="AB250" s="587">
        <f>SUM(AB246:AB249)</f>
      </c>
      <c r="AC250" s="587">
        <f>SUM(AC246:AC249)</f>
      </c>
      <c r="AD250" s="587">
        <f>SUM(AD246:AD249)</f>
      </c>
      <c r="AE250" s="587">
        <f>SUM(AE246:AE249)</f>
      </c>
      <c r="AF250" s="587">
        <f>SUM(AF246:AF249)</f>
      </c>
      <c r="AG250" s="587">
        <f>SUM(AG246:AG249)</f>
      </c>
      <c r="AI250" s="542"/>
      <c r="AJ250" s="542"/>
      <c r="AK250" s="542"/>
    </row>
    <row r="251">
      <c r="A251" s="557"/>
      <c r="B251" s="607" t="s">
        <v>352</v>
      </c>
      <c r="C251" s="607"/>
      <c r="D251" s="607">
        <f>D240+D250+D245</f>
      </c>
      <c r="E251" s="607">
        <f>E240+E250+E245</f>
      </c>
      <c r="F251" s="607">
        <f>F240+F250+F245</f>
      </c>
      <c r="G251" s="607">
        <f>G240+G250+G245</f>
      </c>
      <c r="H251" s="607">
        <f>H240+H250+H245</f>
      </c>
      <c r="I251" s="608">
        <f t="shared" si="409"/>
      </c>
      <c r="J251" s="608">
        <f t="shared" si="165"/>
      </c>
      <c r="K251" s="609">
        <f t="shared" si="224"/>
      </c>
      <c r="L251" s="610">
        <f t="shared" si="13"/>
      </c>
      <c r="M251" s="611">
        <f t="shared" si="106"/>
      </c>
      <c r="N251" s="612">
        <f t="shared" si="41"/>
      </c>
      <c r="O251" s="612">
        <f t="shared" si="471"/>
      </c>
      <c r="P251" s="611">
        <f t="shared" si="505"/>
      </c>
      <c r="Q251" s="612">
        <f t="shared" si="372"/>
      </c>
      <c r="R251" s="612">
        <f t="shared" si="437"/>
      </c>
      <c r="S251" s="611">
        <f t="shared" si="193"/>
      </c>
      <c r="T251" s="613">
        <f t="shared" si="252"/>
      </c>
      <c r="U251" s="611">
        <f t="shared" si="75"/>
      </c>
      <c r="V251" s="609">
        <f t="shared" si="134"/>
      </c>
      <c r="W251" s="609"/>
      <c r="X251" s="609"/>
      <c r="Y251" s="607">
        <f>Y240+Y250+Y245</f>
      </c>
      <c r="Z251" s="607">
        <f>Z240+Z250+Z245</f>
      </c>
      <c r="AA251" s="607">
        <f>AA240+AA250+AA245</f>
      </c>
      <c r="AB251" s="607">
        <f>AB240+AB250+AB245</f>
      </c>
      <c r="AC251" s="607">
        <f>AC240+AC250+AC245</f>
      </c>
      <c r="AD251" s="607">
        <f>AD240+AD250+AD245</f>
      </c>
      <c r="AE251" s="607">
        <f>AE240+AE250+AE245</f>
      </c>
      <c r="AF251" s="607">
        <f>AF240+AF250+AF245</f>
      </c>
      <c r="AG251" s="607">
        <f>AG240+AG250+AG245</f>
      </c>
      <c r="AI251" s="542"/>
      <c r="AJ251" s="542"/>
      <c r="AK251" s="542"/>
    </row>
    <row r="252">
      <c r="A252" s="538" t="s">
        <v>295</v>
      </c>
      <c r="B252" s="538"/>
      <c r="C252" s="538"/>
      <c r="D252" s="614" t="s">
        <v>296</v>
      </c>
      <c r="E252" s="614"/>
      <c r="F252" s="614"/>
      <c r="G252" s="614"/>
      <c r="H252" s="614"/>
      <c r="I252" s="614"/>
      <c r="J252" s="614"/>
      <c r="K252" s="540" t="s">
        <v>297</v>
      </c>
      <c r="L252" s="540"/>
      <c r="M252" s="540"/>
      <c r="N252" s="540"/>
      <c r="O252" s="540"/>
      <c r="P252" s="540"/>
      <c r="Q252" s="540"/>
      <c r="R252" s="540"/>
      <c r="S252" s="540"/>
      <c r="T252" s="540"/>
      <c r="U252" s="540"/>
      <c r="V252" s="540"/>
      <c r="W252" s="540"/>
      <c r="X252" s="540"/>
      <c r="Y252" s="541" t="s">
        <v>298</v>
      </c>
      <c r="Z252" s="541"/>
      <c r="AA252" s="541"/>
      <c r="AB252" s="541"/>
      <c r="AC252" s="541"/>
      <c r="AD252" s="541"/>
      <c r="AE252" s="541"/>
      <c r="AF252" s="541"/>
      <c r="AG252" s="541"/>
      <c r="AI252" s="542"/>
      <c r="AJ252" s="542"/>
      <c r="AK252" s="542"/>
    </row>
    <row r="253">
      <c r="A253" s="543" t="s">
        <v>299</v>
      </c>
      <c r="B253" s="544" t="s">
        <v>300</v>
      </c>
      <c r="C253" s="544" t="s">
        <v>301</v>
      </c>
      <c r="D253" s="545" t="s">
        <v>302</v>
      </c>
      <c r="E253" s="546" t="s">
        <v>303</v>
      </c>
      <c r="F253" s="546" t="s">
        <v>304</v>
      </c>
      <c r="G253" s="547" t="s">
        <v>305</v>
      </c>
      <c r="H253" s="548" t="s">
        <v>306</v>
      </c>
      <c r="I253" s="549" t="s">
        <v>307</v>
      </c>
      <c r="J253" s="549" t="s">
        <v>308</v>
      </c>
      <c r="K253" s="551" t="s">
        <v>309</v>
      </c>
      <c r="L253" s="540" t="s">
        <v>310</v>
      </c>
      <c r="M253" s="540" t="s">
        <v>311</v>
      </c>
      <c r="N253" s="552" t="s">
        <v>312</v>
      </c>
      <c r="O253" s="552" t="s">
        <v>313</v>
      </c>
      <c r="P253" s="540" t="s">
        <v>314</v>
      </c>
      <c r="Q253" s="552" t="s">
        <v>315</v>
      </c>
      <c r="R253" s="552" t="s">
        <v>316</v>
      </c>
      <c r="S253" s="540" t="s">
        <v>317</v>
      </c>
      <c r="T253" s="552" t="s">
        <v>318</v>
      </c>
      <c r="U253" s="540" t="s">
        <v>319</v>
      </c>
      <c r="V253" s="553" t="s">
        <v>320</v>
      </c>
      <c r="W253" s="553" t="s">
        <v>321</v>
      </c>
      <c r="X253" s="553" t="s">
        <v>322</v>
      </c>
      <c r="Y253" s="618" t="s">
        <v>323</v>
      </c>
      <c r="Z253" s="619" t="s">
        <v>324</v>
      </c>
      <c r="AA253" s="619" t="s">
        <v>325</v>
      </c>
      <c r="AB253" s="619" t="s">
        <v>326</v>
      </c>
      <c r="AC253" s="619" t="s">
        <v>327</v>
      </c>
      <c r="AD253" s="619" t="s">
        <v>328</v>
      </c>
      <c r="AE253" s="555" t="s">
        <v>329</v>
      </c>
      <c r="AF253" s="555" t="s">
        <v>330</v>
      </c>
      <c r="AG253" s="555" t="s">
        <v>331</v>
      </c>
      <c r="AI253" s="542"/>
      <c r="AJ253" s="542"/>
      <c r="AK253" s="542"/>
    </row>
    <row r="254">
      <c r="A254" s="557" t="s">
        <v>369</v>
      </c>
      <c r="B254" s="584" t="s">
        <v>333</v>
      </c>
      <c r="C254" s="559" t="s">
        <v>347</v>
      </c>
      <c r="D254" s="620">
        <f t="shared" ref="D254:D258" si="312">E254+F254</f>
      </c>
      <c r="E254" s="621">
        <v>2879.95</v>
      </c>
      <c r="F254" s="584">
        <v>467.97</v>
      </c>
      <c r="G254" s="561">
        <v>6</v>
      </c>
      <c r="H254" s="561">
        <v>12288</v>
      </c>
      <c r="I254" s="562">
        <f t="shared" ref="I254:I269" si="410">H254/D254</f>
      </c>
      <c r="J254" s="562">
        <f t="shared" ref="J254:J269" si="166">H254/(D254+300*AG254)</f>
      </c>
      <c r="K254" s="563">
        <f t="shared" ref="K254:K269" si="225">(D254/Z254)*1000</f>
      </c>
      <c r="L254" s="564">
        <f t="shared" ref="L254:L269" si="14">AA254/Z254</f>
      </c>
      <c r="M254" s="565">
        <f t="shared" ref="M254:M269" si="107">D254/AB254</f>
      </c>
      <c r="N254" s="566">
        <f t="shared" ref="N254:N269" si="42">AC254/AB254</f>
      </c>
      <c r="O254" s="566">
        <f t="shared" ref="O254:O269" si="472">AD254/AB254</f>
      </c>
      <c r="P254" s="565">
        <f t="shared" ref="P254:P269" si="506">D254/AD254</f>
      </c>
      <c r="Q254" s="566">
        <f t="shared" ref="Q254:Q269" si="373">AE254/AD254</f>
      </c>
      <c r="R254" s="566">
        <f t="shared" ref="R254:R269" si="438">G254/AE254</f>
      </c>
      <c r="S254" s="565">
        <f t="shared" ref="S254:S269" si="194">D254/G254</f>
      </c>
      <c r="T254" s="567">
        <f t="shared" ref="T254:T269" si="253">H254/G254</f>
      </c>
      <c r="U254" s="565">
        <f t="shared" ref="U254:U269" si="76">D254/Y254</f>
      </c>
      <c r="V254" s="568">
        <f t="shared" ref="V254:V269" si="135">AF254*1000/D254</f>
      </c>
      <c r="W254" s="569" t="s">
        <v>335</v>
      </c>
      <c r="X254" s="622" t="s">
        <v>370</v>
      </c>
      <c r="Y254" s="623">
        <v>6</v>
      </c>
      <c r="Z254" s="624">
        <v>13479</v>
      </c>
      <c r="AA254" s="624">
        <v>391</v>
      </c>
      <c r="AB254" s="624">
        <v>540</v>
      </c>
      <c r="AC254" s="624">
        <v>66</v>
      </c>
      <c r="AD254" s="624">
        <v>20</v>
      </c>
      <c r="AE254" s="625">
        <v>7</v>
      </c>
      <c r="AF254" s="571">
        <v>28</v>
      </c>
      <c r="AG254" s="571">
        <v>1</v>
      </c>
      <c r="AI254" s="542"/>
      <c r="AJ254" s="542"/>
      <c r="AK254" s="542"/>
    </row>
    <row r="255">
      <c r="A255" s="616"/>
      <c r="B255" s="584" t="s">
        <v>337</v>
      </c>
      <c r="C255" s="559" t="s">
        <v>347</v>
      </c>
      <c r="D255" s="620">
        <f t="shared" si="312"/>
      </c>
      <c r="E255" s="626">
        <v>3281.59</v>
      </c>
      <c r="F255" s="559">
        <v>482.7</v>
      </c>
      <c r="G255" s="561">
        <v>5</v>
      </c>
      <c r="H255" s="561">
        <v>11152</v>
      </c>
      <c r="I255" s="562">
        <f t="shared" si="410"/>
      </c>
      <c r="J255" s="562">
        <f t="shared" si="166"/>
      </c>
      <c r="K255" s="563">
        <f t="shared" si="225"/>
      </c>
      <c r="L255" s="574">
        <f t="shared" si="14"/>
      </c>
      <c r="M255" s="575">
        <f t="shared" si="107"/>
      </c>
      <c r="N255" s="576">
        <f t="shared" si="42"/>
      </c>
      <c r="O255" s="576">
        <f t="shared" si="472"/>
      </c>
      <c r="P255" s="575">
        <f t="shared" si="506"/>
      </c>
      <c r="Q255" s="576">
        <f t="shared" si="373"/>
      </c>
      <c r="R255" s="576">
        <f t="shared" si="438"/>
      </c>
      <c r="S255" s="577">
        <f t="shared" si="194"/>
      </c>
      <c r="T255" s="617">
        <f t="shared" si="253"/>
      </c>
      <c r="U255" s="579">
        <f t="shared" si="76"/>
      </c>
      <c r="V255" s="580">
        <f t="shared" si="135"/>
      </c>
      <c r="W255" s="581" t="s">
        <v>335</v>
      </c>
      <c r="X255" s="622" t="s">
        <v>370</v>
      </c>
      <c r="Y255" s="624">
        <v>5</v>
      </c>
      <c r="Z255" s="627">
        <v>16536</v>
      </c>
      <c r="AA255" s="624">
        <v>456</v>
      </c>
      <c r="AB255" s="624">
        <v>649</v>
      </c>
      <c r="AC255" s="624">
        <v>93</v>
      </c>
      <c r="AD255" s="624">
        <v>27</v>
      </c>
      <c r="AE255" s="628">
        <v>12</v>
      </c>
      <c r="AF255" s="583">
        <v>25</v>
      </c>
      <c r="AG255" s="571">
        <v>1</v>
      </c>
      <c r="AI255" s="542"/>
      <c r="AJ255" s="542"/>
      <c r="AK255" s="542"/>
    </row>
    <row r="256">
      <c r="A256" s="616"/>
      <c r="B256" s="584" t="s">
        <v>338</v>
      </c>
      <c r="C256" s="559" t="s">
        <v>347</v>
      </c>
      <c r="D256" s="620">
        <f t="shared" si="312"/>
      </c>
      <c r="E256" s="559">
        <v>7114.96</v>
      </c>
      <c r="F256" s="559">
        <v>590.34</v>
      </c>
      <c r="G256" s="561">
        <v>5</v>
      </c>
      <c r="H256" s="561">
        <v>8032</v>
      </c>
      <c r="I256" s="562">
        <f t="shared" si="410"/>
      </c>
      <c r="J256" s="562">
        <f t="shared" si="166"/>
      </c>
      <c r="K256" s="563">
        <f t="shared" si="225"/>
      </c>
      <c r="L256" s="574">
        <f t="shared" si="14"/>
      </c>
      <c r="M256" s="575">
        <f t="shared" si="107"/>
      </c>
      <c r="N256" s="576">
        <f t="shared" si="42"/>
      </c>
      <c r="O256" s="576">
        <f t="shared" si="472"/>
      </c>
      <c r="P256" s="575">
        <f t="shared" si="506"/>
      </c>
      <c r="Q256" s="576">
        <f t="shared" si="373"/>
      </c>
      <c r="R256" s="576">
        <f t="shared" si="438"/>
      </c>
      <c r="S256" s="577">
        <f t="shared" si="194"/>
      </c>
      <c r="T256" s="567">
        <f t="shared" si="253"/>
      </c>
      <c r="U256" s="579">
        <f t="shared" si="76"/>
      </c>
      <c r="V256" s="580">
        <f t="shared" si="135"/>
      </c>
      <c r="W256" s="581" t="s">
        <v>335</v>
      </c>
      <c r="X256" s="622" t="s">
        <v>370</v>
      </c>
      <c r="Y256" s="629">
        <v>5</v>
      </c>
      <c r="Z256" s="624">
        <v>33452</v>
      </c>
      <c r="AA256" s="624">
        <v>709</v>
      </c>
      <c r="AB256" s="624">
        <v>979</v>
      </c>
      <c r="AC256" s="624">
        <v>157</v>
      </c>
      <c r="AD256" s="624">
        <v>41</v>
      </c>
      <c r="AE256" s="628">
        <v>15</v>
      </c>
      <c r="AF256" s="583">
        <v>48</v>
      </c>
      <c r="AG256" s="571">
        <v>1</v>
      </c>
      <c r="AI256" s="542"/>
      <c r="AJ256" s="542"/>
      <c r="AK256" s="542"/>
    </row>
    <row r="257">
      <c r="A257" s="616"/>
      <c r="B257" s="584" t="s">
        <v>339</v>
      </c>
      <c r="C257" s="559" t="s">
        <v>347</v>
      </c>
      <c r="D257" s="620">
        <f t="shared" si="312"/>
      </c>
      <c r="E257" s="559">
        <v>8488.19</v>
      </c>
      <c r="F257" s="559">
        <v>567.43</v>
      </c>
      <c r="G257" s="561">
        <v>12</v>
      </c>
      <c r="H257" s="561">
        <v>23177</v>
      </c>
      <c r="I257" s="562">
        <f t="shared" si="410"/>
      </c>
      <c r="J257" s="562">
        <f t="shared" si="166"/>
      </c>
      <c r="K257" s="563">
        <f t="shared" si="225"/>
      </c>
      <c r="L257" s="574">
        <f t="shared" si="14"/>
      </c>
      <c r="M257" s="575">
        <f t="shared" si="107"/>
      </c>
      <c r="N257" s="576">
        <f t="shared" si="42"/>
      </c>
      <c r="O257" s="576">
        <f t="shared" si="472"/>
      </c>
      <c r="P257" s="575">
        <f t="shared" si="506"/>
      </c>
      <c r="Q257" s="576">
        <f t="shared" si="373"/>
      </c>
      <c r="R257" s="576">
        <f t="shared" si="438"/>
      </c>
      <c r="S257" s="577">
        <f t="shared" si="194"/>
      </c>
      <c r="T257" s="578">
        <f t="shared" si="253"/>
      </c>
      <c r="U257" s="579">
        <f t="shared" si="76"/>
      </c>
      <c r="V257" s="580">
        <f t="shared" si="135"/>
      </c>
      <c r="W257" s="581" t="s">
        <v>335</v>
      </c>
      <c r="X257" s="622" t="s">
        <v>370</v>
      </c>
      <c r="Y257" s="624">
        <v>10</v>
      </c>
      <c r="Z257" s="624">
        <v>44141</v>
      </c>
      <c r="AA257" s="624">
        <v>920</v>
      </c>
      <c r="AB257" s="624">
        <v>1397</v>
      </c>
      <c r="AC257" s="624">
        <v>164</v>
      </c>
      <c r="AD257" s="624">
        <v>55</v>
      </c>
      <c r="AE257" s="628">
        <v>17</v>
      </c>
      <c r="AF257" s="583">
        <v>11</v>
      </c>
      <c r="AG257" s="571">
        <v>1</v>
      </c>
      <c r="AI257" s="542"/>
      <c r="AJ257" s="542"/>
      <c r="AK257" s="542"/>
    </row>
    <row customHeight="true" ht="18.452380952380953" r="258">
      <c r="A258" s="616"/>
      <c r="B258" s="584" t="s">
        <v>341</v>
      </c>
      <c r="C258" s="559" t="s">
        <v>347</v>
      </c>
      <c r="D258" s="620">
        <f t="shared" si="312"/>
      </c>
      <c r="E258" s="559">
        <v>11317.92</v>
      </c>
      <c r="F258" s="559">
        <v>817.09</v>
      </c>
      <c r="G258" s="573">
        <v>12</v>
      </c>
      <c r="H258" s="573">
        <v>22296</v>
      </c>
      <c r="I258" s="562">
        <f t="shared" si="410"/>
      </c>
      <c r="J258" s="562">
        <f t="shared" si="166"/>
      </c>
      <c r="K258" s="563">
        <f t="shared" si="225"/>
      </c>
      <c r="L258" s="574">
        <f t="shared" si="14"/>
      </c>
      <c r="M258" s="575">
        <f t="shared" si="107"/>
      </c>
      <c r="N258" s="576">
        <f t="shared" si="42"/>
      </c>
      <c r="O258" s="576">
        <f t="shared" si="472"/>
      </c>
      <c r="P258" s="575">
        <f t="shared" si="506"/>
      </c>
      <c r="Q258" s="576">
        <f t="shared" si="373"/>
      </c>
      <c r="R258" s="576">
        <f t="shared" si="438"/>
      </c>
      <c r="S258" s="577">
        <f t="shared" si="194"/>
      </c>
      <c r="T258" s="585">
        <f t="shared" si="253"/>
      </c>
      <c r="U258" s="577">
        <f t="shared" si="76"/>
      </c>
      <c r="V258" s="580">
        <f t="shared" si="135"/>
      </c>
      <c r="W258" s="581" t="s">
        <v>335</v>
      </c>
      <c r="X258" s="615" t="s">
        <v>364</v>
      </c>
      <c r="Y258" s="582">
        <v>11</v>
      </c>
      <c r="Z258" s="582">
        <v>63881</v>
      </c>
      <c r="AA258" s="582">
        <v>1318</v>
      </c>
      <c r="AB258" s="582">
        <v>1830</v>
      </c>
      <c r="AC258" s="582">
        <v>236</v>
      </c>
      <c r="AD258" s="582">
        <v>46</v>
      </c>
      <c r="AE258" s="583">
        <v>21</v>
      </c>
      <c r="AF258" s="583">
        <v>46</v>
      </c>
      <c r="AG258" s="583">
        <v>1</v>
      </c>
      <c r="AI258" s="542"/>
      <c r="AJ258" s="542"/>
      <c r="AK258" s="542"/>
    </row>
    <row r="259">
      <c r="A259" s="616"/>
      <c r="B259" s="586" t="s">
        <v>340</v>
      </c>
      <c r="C259" s="586"/>
      <c r="D259" s="587">
        <f>SUM(D254:D258)</f>
      </c>
      <c r="E259" s="587">
        <f>SUM(E254:E258)</f>
      </c>
      <c r="F259" s="587">
        <f>SUM(F254:F258)</f>
      </c>
      <c r="G259" s="587">
        <f>SUM(G254:G258)</f>
      </c>
      <c r="H259" s="587">
        <f>SUM(H254:H258)</f>
      </c>
      <c r="I259" s="588">
        <f t="shared" si="410"/>
      </c>
      <c r="J259" s="588">
        <f t="shared" si="166"/>
      </c>
      <c r="K259" s="589">
        <f t="shared" si="225"/>
      </c>
      <c r="L259" s="590">
        <f t="shared" si="14"/>
      </c>
      <c r="M259" s="591">
        <f t="shared" si="107"/>
      </c>
      <c r="N259" s="592">
        <f t="shared" si="42"/>
      </c>
      <c r="O259" s="592">
        <f t="shared" si="472"/>
      </c>
      <c r="P259" s="591">
        <f t="shared" si="506"/>
      </c>
      <c r="Q259" s="592">
        <f t="shared" si="373"/>
      </c>
      <c r="R259" s="592">
        <f t="shared" si="438"/>
      </c>
      <c r="S259" s="593">
        <f t="shared" si="194"/>
      </c>
      <c r="T259" s="594">
        <f t="shared" si="253"/>
      </c>
      <c r="U259" s="593">
        <f t="shared" si="76"/>
      </c>
      <c r="V259" s="595">
        <f t="shared" si="135"/>
      </c>
      <c r="W259" s="595"/>
      <c r="X259" s="595"/>
      <c r="Y259" s="587">
        <f>SUM(Y254:Y258)</f>
      </c>
      <c r="Z259" s="587">
        <f>SUM(Z254:Z258)</f>
      </c>
      <c r="AA259" s="587">
        <f>SUM(AA254:AA258)</f>
      </c>
      <c r="AB259" s="587">
        <f>SUM(AB254:AB258)</f>
      </c>
      <c r="AC259" s="587">
        <f>SUM(AC254:AC258)</f>
      </c>
      <c r="AD259" s="587">
        <f>SUM(AD254:AD258)</f>
      </c>
      <c r="AE259" s="587">
        <f>SUM(AE254:AE258)</f>
      </c>
      <c r="AF259" s="587">
        <f>SUM(AF254:AF258)</f>
      </c>
      <c r="AG259" s="587">
        <f>SUM(AG254:AG258)</f>
      </c>
      <c r="AI259" s="542"/>
      <c r="AJ259" s="542"/>
      <c r="AK259" s="542"/>
    </row>
    <row r="260">
      <c r="A260" s="616"/>
      <c r="B260" s="584" t="s">
        <v>343</v>
      </c>
      <c r="C260" s="559" t="s">
        <v>342</v>
      </c>
      <c r="D260" s="559">
        <f t="shared" ref="D260:D263" si="313">E260+F260</f>
      </c>
      <c r="E260" s="559">
        <v>4265.66</v>
      </c>
      <c r="F260" s="559">
        <v>837.61</v>
      </c>
      <c r="G260" s="573">
        <v>5</v>
      </c>
      <c r="H260" s="573">
        <v>8700</v>
      </c>
      <c r="I260" s="562">
        <f t="shared" si="410"/>
      </c>
      <c r="J260" s="562">
        <f t="shared" si="166"/>
      </c>
      <c r="K260" s="563">
        <f t="shared" si="225"/>
      </c>
      <c r="L260" s="596">
        <f t="shared" si="14"/>
      </c>
      <c r="M260" s="597">
        <f t="shared" si="107"/>
      </c>
      <c r="N260" s="598">
        <f t="shared" si="42"/>
      </c>
      <c r="O260" s="598">
        <f t="shared" si="472"/>
      </c>
      <c r="P260" s="597">
        <f t="shared" si="506"/>
      </c>
      <c r="Q260" s="598">
        <f t="shared" si="373"/>
      </c>
      <c r="R260" s="598">
        <f t="shared" si="438"/>
      </c>
      <c r="S260" s="599">
        <f t="shared" si="194"/>
      </c>
      <c r="T260" s="600">
        <f t="shared" si="253"/>
      </c>
      <c r="U260" s="599">
        <f t="shared" si="76"/>
      </c>
      <c r="V260" s="601">
        <f t="shared" si="135"/>
      </c>
      <c r="W260" s="602" t="s">
        <v>335</v>
      </c>
      <c r="X260" s="615" t="s">
        <v>364</v>
      </c>
      <c r="Y260" s="603">
        <v>5</v>
      </c>
      <c r="Z260" s="603">
        <v>30112</v>
      </c>
      <c r="AA260" s="603">
        <v>768</v>
      </c>
      <c r="AB260" s="603">
        <v>1070</v>
      </c>
      <c r="AC260" s="603">
        <v>165</v>
      </c>
      <c r="AD260" s="603">
        <v>32</v>
      </c>
      <c r="AE260" s="604">
        <v>13</v>
      </c>
      <c r="AF260" s="604">
        <v>16</v>
      </c>
      <c r="AG260" s="604">
        <v>1</v>
      </c>
      <c r="AI260" s="542"/>
      <c r="AJ260" s="542"/>
      <c r="AK260" s="542"/>
    </row>
    <row r="261">
      <c r="A261" s="616"/>
      <c r="B261" s="584" t="s">
        <v>344</v>
      </c>
      <c r="C261" s="559" t="s">
        <v>342</v>
      </c>
      <c r="D261" s="559">
        <f t="shared" si="313"/>
      </c>
      <c r="E261" s="559">
        <v>5031.09</v>
      </c>
      <c r="F261" s="559">
        <v>800.94</v>
      </c>
      <c r="G261" s="573">
        <v>4</v>
      </c>
      <c r="H261" s="573">
        <v>9072</v>
      </c>
      <c r="I261" s="562">
        <f t="shared" si="410"/>
      </c>
      <c r="J261" s="562">
        <f t="shared" si="166"/>
      </c>
      <c r="K261" s="563">
        <f t="shared" si="225"/>
      </c>
      <c r="L261" s="596">
        <f t="shared" si="14"/>
      </c>
      <c r="M261" s="597">
        <f t="shared" si="107"/>
      </c>
      <c r="N261" s="598">
        <f t="shared" si="42"/>
      </c>
      <c r="O261" s="598">
        <f t="shared" si="472"/>
      </c>
      <c r="P261" s="597">
        <f t="shared" si="506"/>
      </c>
      <c r="Q261" s="598">
        <f t="shared" si="373"/>
      </c>
      <c r="R261" s="598">
        <f t="shared" si="438"/>
      </c>
      <c r="S261" s="599">
        <f t="shared" si="194"/>
      </c>
      <c r="T261" s="600">
        <f t="shared" si="253"/>
      </c>
      <c r="U261" s="599">
        <f t="shared" si="76"/>
      </c>
      <c r="V261" s="601">
        <f t="shared" si="135"/>
      </c>
      <c r="W261" s="602" t="s">
        <v>335</v>
      </c>
      <c r="X261" s="615" t="s">
        <v>364</v>
      </c>
      <c r="Y261" s="603">
        <v>4</v>
      </c>
      <c r="Z261" s="603">
        <v>28251</v>
      </c>
      <c r="AA261" s="603">
        <v>667</v>
      </c>
      <c r="AB261" s="603">
        <v>872</v>
      </c>
      <c r="AC261" s="603">
        <v>127</v>
      </c>
      <c r="AD261" s="603">
        <v>29</v>
      </c>
      <c r="AE261" s="604">
        <v>9</v>
      </c>
      <c r="AF261" s="604">
        <v>18</v>
      </c>
      <c r="AG261" s="604">
        <v>1</v>
      </c>
      <c r="AI261" s="542"/>
      <c r="AJ261" s="542"/>
      <c r="AK261" s="542"/>
    </row>
    <row r="262">
      <c r="A262" s="616"/>
      <c r="B262" s="584" t="s">
        <v>345</v>
      </c>
      <c r="C262" s="559" t="s">
        <v>342</v>
      </c>
      <c r="D262" s="559">
        <f t="shared" si="313"/>
      </c>
      <c r="E262" s="559">
        <v>3087.75</v>
      </c>
      <c r="F262" s="559">
        <v>664.56</v>
      </c>
      <c r="G262" s="573">
        <v>2</v>
      </c>
      <c r="H262" s="573">
        <v>4536</v>
      </c>
      <c r="I262" s="562">
        <f t="shared" si="410"/>
      </c>
      <c r="J262" s="562">
        <f t="shared" si="166"/>
      </c>
      <c r="K262" s="563">
        <f t="shared" si="225"/>
      </c>
      <c r="L262" s="596">
        <f t="shared" si="14"/>
      </c>
      <c r="M262" s="597">
        <f t="shared" si="107"/>
      </c>
      <c r="N262" s="598">
        <f t="shared" si="42"/>
      </c>
      <c r="O262" s="598">
        <f t="shared" si="472"/>
      </c>
      <c r="P262" s="597">
        <f t="shared" si="506"/>
      </c>
      <c r="Q262" s="598">
        <f t="shared" si="373"/>
      </c>
      <c r="R262" s="598">
        <f t="shared" si="438"/>
      </c>
      <c r="S262" s="599">
        <f t="shared" si="194"/>
      </c>
      <c r="T262" s="600">
        <f t="shared" si="253"/>
      </c>
      <c r="U262" s="599">
        <f t="shared" si="76"/>
      </c>
      <c r="V262" s="601">
        <f t="shared" si="135"/>
      </c>
      <c r="W262" s="602" t="s">
        <v>335</v>
      </c>
      <c r="X262" s="615" t="s">
        <v>364</v>
      </c>
      <c r="Y262" s="603">
        <v>1</v>
      </c>
      <c r="Z262" s="603">
        <v>23645</v>
      </c>
      <c r="AA262" s="603">
        <v>547</v>
      </c>
      <c r="AB262" s="603">
        <v>818</v>
      </c>
      <c r="AC262" s="603">
        <v>113</v>
      </c>
      <c r="AD262" s="603">
        <v>27</v>
      </c>
      <c r="AE262" s="604">
        <v>4</v>
      </c>
      <c r="AF262" s="604">
        <v>22</v>
      </c>
      <c r="AG262" s="604">
        <v>1</v>
      </c>
      <c r="AI262" s="542"/>
      <c r="AJ262" s="542"/>
      <c r="AK262" s="542"/>
    </row>
    <row r="263">
      <c r="A263" s="616"/>
      <c r="B263" s="584" t="s">
        <v>346</v>
      </c>
      <c r="C263" s="559" t="s">
        <v>342</v>
      </c>
      <c r="D263" s="559">
        <f t="shared" si="313"/>
      </c>
      <c r="E263" s="559">
        <v>2854.29</v>
      </c>
      <c r="F263" s="559">
        <v>724.91</v>
      </c>
      <c r="G263" s="573">
        <v>2</v>
      </c>
      <c r="H263" s="573">
        <v>4536</v>
      </c>
      <c r="I263" s="562">
        <f t="shared" si="410"/>
      </c>
      <c r="J263" s="562">
        <f t="shared" si="166"/>
      </c>
      <c r="K263" s="563">
        <f t="shared" si="225"/>
      </c>
      <c r="L263" s="596">
        <f t="shared" si="14"/>
      </c>
      <c r="M263" s="597">
        <f t="shared" si="107"/>
      </c>
      <c r="N263" s="598">
        <f t="shared" si="42"/>
      </c>
      <c r="O263" s="598">
        <f t="shared" si="472"/>
      </c>
      <c r="P263" s="597">
        <f t="shared" si="506"/>
      </c>
      <c r="Q263" s="598">
        <f t="shared" si="373"/>
      </c>
      <c r="R263" s="598">
        <f t="shared" si="438"/>
      </c>
      <c r="S263" s="599">
        <f t="shared" si="194"/>
      </c>
      <c r="T263" s="600">
        <f t="shared" si="253"/>
      </c>
      <c r="U263" s="599">
        <f t="shared" si="76"/>
      </c>
      <c r="V263" s="601">
        <f t="shared" si="135"/>
      </c>
      <c r="W263" s="602" t="s">
        <v>335</v>
      </c>
      <c r="X263" s="615" t="s">
        <v>364</v>
      </c>
      <c r="Y263" s="603">
        <v>0</v>
      </c>
      <c r="Z263" s="603">
        <v>17349</v>
      </c>
      <c r="AA263" s="603">
        <v>393</v>
      </c>
      <c r="AB263" s="603">
        <v>628</v>
      </c>
      <c r="AC263" s="603">
        <v>61</v>
      </c>
      <c r="AD263" s="603">
        <v>18</v>
      </c>
      <c r="AE263" s="604">
        <v>7</v>
      </c>
      <c r="AF263" s="604">
        <v>11</v>
      </c>
      <c r="AG263" s="604">
        <v>1</v>
      </c>
      <c r="AI263" s="542"/>
      <c r="AJ263" s="542"/>
      <c r="AK263" s="542"/>
    </row>
    <row r="264">
      <c r="A264" s="616"/>
      <c r="B264" s="586" t="s">
        <v>340</v>
      </c>
      <c r="C264" s="586"/>
      <c r="D264" s="587">
        <f>SUM(D260:D263)</f>
      </c>
      <c r="E264" s="587">
        <f>SUM(E260:E263)</f>
      </c>
      <c r="F264" s="587">
        <f>SUM(F260:F263)</f>
      </c>
      <c r="G264" s="587">
        <f>SUM(G260:G263)</f>
      </c>
      <c r="H264" s="587">
        <f>SUM(H260:H263)</f>
      </c>
      <c r="I264" s="588">
        <f t="shared" si="410"/>
      </c>
      <c r="J264" s="588">
        <f t="shared" si="166"/>
      </c>
      <c r="K264" s="589">
        <f t="shared" si="225"/>
      </c>
      <c r="L264" s="590">
        <f t="shared" si="14"/>
      </c>
      <c r="M264" s="591">
        <f t="shared" si="107"/>
      </c>
      <c r="N264" s="592">
        <f t="shared" si="42"/>
      </c>
      <c r="O264" s="592">
        <f t="shared" si="472"/>
      </c>
      <c r="P264" s="591">
        <f t="shared" si="506"/>
      </c>
      <c r="Q264" s="592">
        <f t="shared" si="373"/>
      </c>
      <c r="R264" s="592">
        <f t="shared" si="438"/>
      </c>
      <c r="S264" s="593">
        <f t="shared" si="194"/>
      </c>
      <c r="T264" s="594">
        <f t="shared" si="253"/>
      </c>
      <c r="U264" s="593">
        <f t="shared" si="76"/>
      </c>
      <c r="V264" s="595">
        <f t="shared" si="135"/>
      </c>
      <c r="W264" s="595"/>
      <c r="X264" s="595"/>
      <c r="Y264" s="587">
        <f>SUM(Y260:Y263)</f>
      </c>
      <c r="Z264" s="587">
        <f>SUM(Z260:Z263)</f>
      </c>
      <c r="AA264" s="587">
        <f>SUM(AA260:AA263)</f>
      </c>
      <c r="AB264" s="587">
        <f>SUM(AB260:AB263)</f>
      </c>
      <c r="AC264" s="587">
        <f>SUM(AC260:AC263)</f>
      </c>
      <c r="AD264" s="587">
        <f>SUM(AD260:AD263)</f>
      </c>
      <c r="AE264" s="587">
        <f>SUM(AE260:AE263)</f>
      </c>
      <c r="AF264" s="587">
        <f>SUM(AF260:AF263)</f>
      </c>
      <c r="AG264" s="587">
        <f>SUM(AG260:AG263)</f>
      </c>
      <c r="AI264" s="542"/>
      <c r="AJ264" s="542"/>
      <c r="AK264" s="542"/>
    </row>
    <row r="265">
      <c r="A265" s="616"/>
      <c r="B265" s="584" t="s">
        <v>349</v>
      </c>
      <c r="C265" s="559" t="s">
        <v>334</v>
      </c>
      <c r="D265" s="559">
        <f t="shared" ref="D265:D267" si="314">E265+F265</f>
      </c>
      <c r="E265" s="559">
        <v>2090.16</v>
      </c>
      <c r="F265" s="559">
        <v>644.05</v>
      </c>
      <c r="G265" s="573">
        <v>3</v>
      </c>
      <c r="H265" s="573">
        <v>5484</v>
      </c>
      <c r="I265" s="562">
        <f t="shared" si="410"/>
      </c>
      <c r="J265" s="562">
        <f t="shared" si="166"/>
      </c>
      <c r="K265" s="605">
        <f t="shared" si="225"/>
      </c>
      <c r="L265" s="596">
        <f t="shared" si="14"/>
      </c>
      <c r="M265" s="597">
        <f t="shared" si="107"/>
      </c>
      <c r="N265" s="598">
        <f t="shared" si="42"/>
      </c>
      <c r="O265" s="598">
        <f t="shared" si="472"/>
      </c>
      <c r="P265" s="597">
        <f t="shared" si="506"/>
      </c>
      <c r="Q265" s="598">
        <f t="shared" si="373"/>
      </c>
      <c r="R265" s="598">
        <f t="shared" si="438"/>
      </c>
      <c r="S265" s="599">
        <f t="shared" si="194"/>
      </c>
      <c r="T265" s="600">
        <f t="shared" si="253"/>
      </c>
      <c r="U265" s="599">
        <f t="shared" si="76"/>
      </c>
      <c r="V265" s="601">
        <f t="shared" si="135"/>
      </c>
      <c r="W265" s="602" t="s">
        <v>335</v>
      </c>
      <c r="X265" s="615" t="s">
        <v>364</v>
      </c>
      <c r="Y265" s="603">
        <v>3</v>
      </c>
      <c r="Z265" s="603">
        <v>11337</v>
      </c>
      <c r="AA265" s="603">
        <v>328</v>
      </c>
      <c r="AB265" s="603">
        <v>529</v>
      </c>
      <c r="AC265" s="603">
        <v>64</v>
      </c>
      <c r="AD265" s="603">
        <v>25</v>
      </c>
      <c r="AE265" s="604">
        <v>6</v>
      </c>
      <c r="AF265" s="604">
        <v>22</v>
      </c>
      <c r="AG265" s="604">
        <v>1</v>
      </c>
      <c r="AI265" s="542"/>
      <c r="AJ265" s="542"/>
      <c r="AK265" s="542"/>
    </row>
    <row r="266">
      <c r="A266" s="616"/>
      <c r="B266" s="584" t="s">
        <v>350</v>
      </c>
      <c r="C266" s="559" t="s">
        <v>334</v>
      </c>
      <c r="D266" s="559">
        <f t="shared" si="314"/>
      </c>
      <c r="E266" s="559">
        <v>3185.71</v>
      </c>
      <c r="F266" s="559">
        <v>635.73</v>
      </c>
      <c r="G266" s="573">
        <v>4</v>
      </c>
      <c r="H266" s="573">
        <v>7752</v>
      </c>
      <c r="I266" s="562">
        <f t="shared" si="410"/>
      </c>
      <c r="J266" s="562">
        <f t="shared" si="166"/>
      </c>
      <c r="K266" s="605">
        <f t="shared" si="225"/>
      </c>
      <c r="L266" s="596">
        <f t="shared" si="14"/>
      </c>
      <c r="M266" s="597">
        <f t="shared" si="107"/>
      </c>
      <c r="N266" s="598">
        <f t="shared" si="42"/>
      </c>
      <c r="O266" s="598">
        <f t="shared" si="472"/>
      </c>
      <c r="P266" s="597">
        <f t="shared" si="506"/>
      </c>
      <c r="Q266" s="598">
        <f t="shared" si="373"/>
      </c>
      <c r="R266" s="598">
        <f t="shared" si="438"/>
      </c>
      <c r="S266" s="599">
        <f t="shared" si="194"/>
      </c>
      <c r="T266" s="600">
        <f t="shared" si="253"/>
      </c>
      <c r="U266" s="599">
        <f t="shared" si="76"/>
      </c>
      <c r="V266" s="601">
        <f t="shared" si="135"/>
      </c>
      <c r="W266" s="602" t="s">
        <v>335</v>
      </c>
      <c r="X266" s="615" t="s">
        <v>364</v>
      </c>
      <c r="Y266" s="603">
        <v>2</v>
      </c>
      <c r="Z266" s="603">
        <v>16171</v>
      </c>
      <c r="AA266" s="603">
        <v>440</v>
      </c>
      <c r="AB266" s="603">
        <v>693</v>
      </c>
      <c r="AC266" s="603">
        <v>90</v>
      </c>
      <c r="AD266" s="603">
        <v>21</v>
      </c>
      <c r="AE266" s="604">
        <v>8</v>
      </c>
      <c r="AF266" s="604">
        <v>11</v>
      </c>
      <c r="AG266" s="604">
        <v>1</v>
      </c>
      <c r="AI266" s="542"/>
      <c r="AJ266" s="542"/>
      <c r="AK266" s="542"/>
    </row>
    <row r="267">
      <c r="A267" s="616"/>
      <c r="B267" s="584" t="s">
        <v>351</v>
      </c>
      <c r="C267" s="559" t="s">
        <v>334</v>
      </c>
      <c r="D267" s="559">
        <f t="shared" si="314"/>
      </c>
      <c r="E267" s="559">
        <v>1245.25</v>
      </c>
      <c r="F267" s="559">
        <v>354.18</v>
      </c>
      <c r="G267" s="573">
        <v>1</v>
      </c>
      <c r="H267" s="573">
        <v>2268</v>
      </c>
      <c r="I267" s="562">
        <f t="shared" si="410"/>
      </c>
      <c r="J267" s="562">
        <f t="shared" si="166"/>
      </c>
      <c r="K267" s="605">
        <f t="shared" si="225"/>
      </c>
      <c r="L267" s="596">
        <f t="shared" si="14"/>
      </c>
      <c r="M267" s="597">
        <f t="shared" si="107"/>
      </c>
      <c r="N267" s="598">
        <f t="shared" si="42"/>
      </c>
      <c r="O267" s="598">
        <f t="shared" si="472"/>
      </c>
      <c r="P267" s="597">
        <f t="shared" si="506"/>
      </c>
      <c r="Q267" s="598">
        <f t="shared" si="373"/>
      </c>
      <c r="R267" s="598">
        <f t="shared" si="438"/>
      </c>
      <c r="S267" s="599">
        <f t="shared" si="194"/>
      </c>
      <c r="T267" s="600">
        <f t="shared" si="253"/>
      </c>
      <c r="U267" s="599">
        <f t="shared" si="76"/>
      </c>
      <c r="V267" s="601">
        <f t="shared" si="135"/>
      </c>
      <c r="W267" s="602" t="s">
        <v>335</v>
      </c>
      <c r="X267" s="615" t="s">
        <v>364</v>
      </c>
      <c r="Y267" s="603">
        <v>0</v>
      </c>
      <c r="Z267" s="603">
        <v>6313</v>
      </c>
      <c r="AA267" s="603">
        <v>186</v>
      </c>
      <c r="AB267" s="603">
        <v>326</v>
      </c>
      <c r="AC267" s="603">
        <v>38</v>
      </c>
      <c r="AD267" s="603">
        <v>10</v>
      </c>
      <c r="AE267" s="604">
        <v>3</v>
      </c>
      <c r="AF267" s="604">
        <v>4</v>
      </c>
      <c r="AG267" s="604">
        <v>1</v>
      </c>
      <c r="AI267" s="542"/>
      <c r="AJ267" s="542"/>
      <c r="AK267" s="542"/>
    </row>
    <row r="268">
      <c r="A268" s="616"/>
      <c r="B268" s="586" t="s">
        <v>340</v>
      </c>
      <c r="C268" s="586"/>
      <c r="D268" s="587">
        <f>SUM(D265:D267)</f>
      </c>
      <c r="E268" s="587">
        <f>SUM(E265:E267)</f>
      </c>
      <c r="F268" s="587">
        <f>SUM(F265:F267)</f>
      </c>
      <c r="G268" s="587">
        <f>SUM(G265:G267)</f>
      </c>
      <c r="H268" s="587">
        <f>SUM(H265:H267)</f>
      </c>
      <c r="I268" s="588">
        <f t="shared" si="410"/>
      </c>
      <c r="J268" s="588">
        <f t="shared" si="166"/>
      </c>
      <c r="K268" s="606">
        <f t="shared" si="225"/>
      </c>
      <c r="L268" s="590">
        <f t="shared" si="14"/>
      </c>
      <c r="M268" s="591">
        <f t="shared" si="107"/>
      </c>
      <c r="N268" s="592">
        <f t="shared" si="42"/>
      </c>
      <c r="O268" s="592">
        <f t="shared" si="472"/>
      </c>
      <c r="P268" s="591">
        <f t="shared" si="506"/>
      </c>
      <c r="Q268" s="592">
        <f t="shared" si="373"/>
      </c>
      <c r="R268" s="592">
        <f t="shared" si="438"/>
      </c>
      <c r="S268" s="593">
        <f t="shared" si="194"/>
      </c>
      <c r="T268" s="594">
        <f t="shared" si="253"/>
      </c>
      <c r="U268" s="593">
        <f t="shared" si="76"/>
      </c>
      <c r="V268" s="595">
        <f t="shared" si="135"/>
      </c>
      <c r="W268" s="595"/>
      <c r="X268" s="595"/>
      <c r="Y268" s="587">
        <f>SUM(Y265:Y267)</f>
      </c>
      <c r="Z268" s="587">
        <f>SUM(Z265:Z267)</f>
      </c>
      <c r="AA268" s="587">
        <f>SUM(AA265:AA267)</f>
      </c>
      <c r="AB268" s="587">
        <f>SUM(AB265:AB267)</f>
      </c>
      <c r="AC268" s="587">
        <f>SUM(AC265:AC267)</f>
      </c>
      <c r="AD268" s="587">
        <f>SUM(AD265:AD267)</f>
      </c>
      <c r="AE268" s="587">
        <f>SUM(AE265:AE267)</f>
      </c>
      <c r="AF268" s="587">
        <f>SUM(AF265:AF267)</f>
      </c>
      <c r="AG268" s="587">
        <f>SUM(AG265:AG267)</f>
      </c>
      <c r="AI268" s="542"/>
      <c r="AJ268" s="542"/>
      <c r="AK268" s="542"/>
    </row>
    <row r="269">
      <c r="A269" s="616"/>
      <c r="B269" s="607" t="s">
        <v>352</v>
      </c>
      <c r="C269" s="607"/>
      <c r="D269" s="607">
        <f>D259+D268+D264</f>
      </c>
      <c r="E269" s="607">
        <f>E259+E268+E264</f>
      </c>
      <c r="F269" s="607">
        <f>F259+F268+F264</f>
      </c>
      <c r="G269" s="607">
        <f>G259+G268+G264</f>
      </c>
      <c r="H269" s="607">
        <f>H259+H268+H264</f>
      </c>
      <c r="I269" s="608">
        <f t="shared" si="410"/>
      </c>
      <c r="J269" s="608">
        <f t="shared" si="166"/>
      </c>
      <c r="K269" s="609">
        <f t="shared" si="225"/>
      </c>
      <c r="L269" s="610">
        <f t="shared" si="14"/>
      </c>
      <c r="M269" s="611">
        <f t="shared" si="107"/>
      </c>
      <c r="N269" s="612">
        <f t="shared" si="42"/>
      </c>
      <c r="O269" s="612">
        <f t="shared" si="472"/>
      </c>
      <c r="P269" s="611">
        <f t="shared" si="506"/>
      </c>
      <c r="Q269" s="612">
        <f t="shared" si="373"/>
      </c>
      <c r="R269" s="612">
        <f t="shared" si="438"/>
      </c>
      <c r="S269" s="611">
        <f t="shared" si="194"/>
      </c>
      <c r="T269" s="613">
        <f t="shared" si="253"/>
      </c>
      <c r="U269" s="611">
        <f t="shared" si="76"/>
      </c>
      <c r="V269" s="609">
        <f t="shared" si="135"/>
      </c>
      <c r="W269" s="609"/>
      <c r="X269" s="609"/>
      <c r="Y269" s="607">
        <f>Y259+Y268+Y264</f>
      </c>
      <c r="Z269" s="607">
        <f>Z259+Z268+Z264</f>
      </c>
      <c r="AA269" s="607">
        <f>AA259+AA268+AA264</f>
      </c>
      <c r="AB269" s="607">
        <f>AB259+AB268+AB264</f>
      </c>
      <c r="AC269" s="607">
        <f>AC259+AC268+AC264</f>
      </c>
      <c r="AD269" s="607">
        <f>AD259+AD268+AD264</f>
      </c>
      <c r="AE269" s="607">
        <f>AE259+AE268+AE264</f>
      </c>
      <c r="AF269" s="607">
        <f>AF259+AF268+AF264</f>
      </c>
      <c r="AG269" s="607">
        <f>AG259+AG268+AG264</f>
      </c>
      <c r="AI269" s="542"/>
      <c r="AJ269" s="542"/>
      <c r="AK269" s="542"/>
    </row>
    <row r="270">
      <c r="A270" s="538" t="s">
        <v>295</v>
      </c>
      <c r="B270" s="538"/>
      <c r="C270" s="538"/>
      <c r="D270" s="614" t="s">
        <v>296</v>
      </c>
      <c r="E270" s="614"/>
      <c r="F270" s="614"/>
      <c r="G270" s="614"/>
      <c r="H270" s="614"/>
      <c r="I270" s="614"/>
      <c r="J270" s="614"/>
      <c r="K270" s="540" t="s">
        <v>297</v>
      </c>
      <c r="L270" s="540"/>
      <c r="M270" s="540"/>
      <c r="N270" s="540"/>
      <c r="O270" s="540"/>
      <c r="P270" s="540"/>
      <c r="Q270" s="540"/>
      <c r="R270" s="540"/>
      <c r="S270" s="540"/>
      <c r="T270" s="540"/>
      <c r="U270" s="540"/>
      <c r="V270" s="540"/>
      <c r="W270" s="540"/>
      <c r="X270" s="540"/>
      <c r="Y270" s="541" t="s">
        <v>298</v>
      </c>
      <c r="Z270" s="541"/>
      <c r="AA270" s="541"/>
      <c r="AB270" s="541"/>
      <c r="AC270" s="541"/>
      <c r="AD270" s="541"/>
      <c r="AE270" s="541"/>
      <c r="AF270" s="541"/>
      <c r="AG270" s="541"/>
      <c r="AI270" s="542"/>
      <c r="AJ270" s="542"/>
      <c r="AK270" s="542"/>
    </row>
    <row r="271">
      <c r="A271" s="543" t="s">
        <v>299</v>
      </c>
      <c r="B271" s="544" t="s">
        <v>300</v>
      </c>
      <c r="C271" s="544" t="s">
        <v>301</v>
      </c>
      <c r="D271" s="545" t="s">
        <v>302</v>
      </c>
      <c r="E271" s="546" t="s">
        <v>303</v>
      </c>
      <c r="F271" s="546" t="s">
        <v>304</v>
      </c>
      <c r="G271" s="547" t="s">
        <v>305</v>
      </c>
      <c r="H271" s="548" t="s">
        <v>306</v>
      </c>
      <c r="I271" s="630" t="s">
        <v>307</v>
      </c>
      <c r="J271" s="630" t="s">
        <v>308</v>
      </c>
      <c r="K271" s="551" t="s">
        <v>309</v>
      </c>
      <c r="L271" s="540" t="s">
        <v>310</v>
      </c>
      <c r="M271" s="540" t="s">
        <v>311</v>
      </c>
      <c r="N271" s="552" t="s">
        <v>312</v>
      </c>
      <c r="O271" s="552" t="s">
        <v>313</v>
      </c>
      <c r="P271" s="540" t="s">
        <v>314</v>
      </c>
      <c r="Q271" s="552" t="s">
        <v>315</v>
      </c>
      <c r="R271" s="552" t="s">
        <v>316</v>
      </c>
      <c r="S271" s="540" t="s">
        <v>317</v>
      </c>
      <c r="T271" s="552" t="s">
        <v>318</v>
      </c>
      <c r="U271" s="540" t="s">
        <v>319</v>
      </c>
      <c r="V271" s="553" t="s">
        <v>320</v>
      </c>
      <c r="W271" s="553" t="s">
        <v>321</v>
      </c>
      <c r="X271" s="553" t="s">
        <v>322</v>
      </c>
      <c r="Y271" s="618" t="s">
        <v>323</v>
      </c>
      <c r="Z271" s="619" t="s">
        <v>324</v>
      </c>
      <c r="AA271" s="619" t="s">
        <v>325</v>
      </c>
      <c r="AB271" s="619" t="s">
        <v>326</v>
      </c>
      <c r="AC271" s="619" t="s">
        <v>327</v>
      </c>
      <c r="AD271" s="619" t="s">
        <v>328</v>
      </c>
      <c r="AE271" s="555" t="s">
        <v>329</v>
      </c>
      <c r="AF271" s="555" t="s">
        <v>330</v>
      </c>
      <c r="AG271" s="555" t="s">
        <v>331</v>
      </c>
      <c r="AI271" s="542"/>
      <c r="AJ271" s="542"/>
      <c r="AK271" s="542"/>
    </row>
    <row r="272">
      <c r="A272" s="557" t="s">
        <v>371</v>
      </c>
      <c r="B272" s="584" t="s">
        <v>333</v>
      </c>
      <c r="C272" s="559" t="s">
        <v>347</v>
      </c>
      <c r="D272" s="620">
        <f t="shared" ref="D272:D276" si="315">E272+F272</f>
      </c>
      <c r="E272" s="621">
        <v>2550.2</v>
      </c>
      <c r="F272" s="584">
        <v>296.82</v>
      </c>
      <c r="G272" s="561">
        <v>3</v>
      </c>
      <c r="H272" s="631">
        <v>6804</v>
      </c>
      <c r="I272" s="632">
        <f t="shared" ref="I272:I287" si="411">H272/D272</f>
      </c>
      <c r="J272" s="633">
        <f t="shared" ref="J272:J287" si="167">H272/(D272+300*AG272)</f>
      </c>
      <c r="K272" s="634">
        <f t="shared" ref="K272:K287" si="226">(D272/Z272)*1000</f>
      </c>
      <c r="L272" s="564">
        <f t="shared" ref="L272:L287" si="15">AA272/Z272</f>
      </c>
      <c r="M272" s="565">
        <f t="shared" ref="M272:M287" si="108">D272/AB272</f>
      </c>
      <c r="N272" s="566">
        <f t="shared" ref="N272:N287" si="43">AC272/AB272</f>
      </c>
      <c r="O272" s="566">
        <f t="shared" ref="O272:O287" si="473">AD272/AB272</f>
      </c>
      <c r="P272" s="565">
        <f t="shared" ref="P272:P287" si="507">D272/AD272</f>
      </c>
      <c r="Q272" s="566">
        <f t="shared" ref="Q272:Q287" si="374">AE272/AD272</f>
      </c>
      <c r="R272" s="566">
        <f t="shared" ref="R272:R287" si="439">G272/AE272</f>
      </c>
      <c r="S272" s="565">
        <f t="shared" ref="S272:S287" si="195">D272/G272</f>
      </c>
      <c r="T272" s="567">
        <f t="shared" ref="T272:T287" si="254">H272/G272</f>
      </c>
      <c r="U272" s="565">
        <f t="shared" ref="U272:U287" si="77">D272/Y272</f>
      </c>
      <c r="V272" s="568">
        <f t="shared" ref="V272:V287" si="136">AF272*1000/D272</f>
      </c>
      <c r="W272" s="569" t="s">
        <v>335</v>
      </c>
      <c r="X272" s="622" t="s">
        <v>370</v>
      </c>
      <c r="Y272" s="635">
        <v>1</v>
      </c>
      <c r="Z272" s="624">
        <v>10008</v>
      </c>
      <c r="AA272" s="636">
        <v>397</v>
      </c>
      <c r="AB272" s="624">
        <v>537</v>
      </c>
      <c r="AC272" s="627">
        <v>86</v>
      </c>
      <c r="AD272" s="624">
        <v>34</v>
      </c>
      <c r="AE272" s="625">
        <v>5</v>
      </c>
      <c r="AF272" s="571">
        <v>16</v>
      </c>
      <c r="AG272" s="571">
        <v>1</v>
      </c>
      <c r="AI272" s="542"/>
      <c r="AJ272" s="542"/>
      <c r="AK272" s="542"/>
    </row>
    <row r="273">
      <c r="A273" s="557"/>
      <c r="B273" s="584" t="s">
        <v>337</v>
      </c>
      <c r="C273" s="559" t="s">
        <v>347</v>
      </c>
      <c r="D273" s="620">
        <f t="shared" si="315"/>
      </c>
      <c r="E273" s="626">
        <v>2473.31</v>
      </c>
      <c r="F273" s="559">
        <v>483.52</v>
      </c>
      <c r="G273" s="561">
        <v>3</v>
      </c>
      <c r="H273" s="631">
        <v>4164</v>
      </c>
      <c r="I273" s="637">
        <f t="shared" si="411"/>
      </c>
      <c r="J273" s="638">
        <f t="shared" si="167"/>
      </c>
      <c r="K273" s="634">
        <f t="shared" si="226"/>
      </c>
      <c r="L273" s="574">
        <f t="shared" si="15"/>
      </c>
      <c r="M273" s="575">
        <f t="shared" si="108"/>
      </c>
      <c r="N273" s="576">
        <f t="shared" si="43"/>
      </c>
      <c r="O273" s="576">
        <f t="shared" si="473"/>
      </c>
      <c r="P273" s="575">
        <f t="shared" si="507"/>
      </c>
      <c r="Q273" s="576">
        <f t="shared" si="374"/>
      </c>
      <c r="R273" s="576">
        <f t="shared" si="439"/>
      </c>
      <c r="S273" s="577">
        <f t="shared" si="195"/>
      </c>
      <c r="T273" s="617">
        <f t="shared" si="254"/>
      </c>
      <c r="U273" s="579">
        <f t="shared" si="77"/>
      </c>
      <c r="V273" s="580">
        <f t="shared" si="136"/>
      </c>
      <c r="W273" s="581" t="s">
        <v>335</v>
      </c>
      <c r="X273" s="622" t="s">
        <v>370</v>
      </c>
      <c r="Y273" s="639">
        <v>4</v>
      </c>
      <c r="Z273" s="627">
        <v>9627</v>
      </c>
      <c r="AA273" s="624">
        <v>306</v>
      </c>
      <c r="AB273" s="629">
        <v>444</v>
      </c>
      <c r="AC273" s="624">
        <v>61</v>
      </c>
      <c r="AD273" s="624">
        <v>21</v>
      </c>
      <c r="AE273" s="628">
        <v>7</v>
      </c>
      <c r="AF273" s="583">
        <v>14</v>
      </c>
      <c r="AG273" s="571">
        <v>1</v>
      </c>
      <c r="AI273" s="542"/>
      <c r="AJ273" s="542"/>
      <c r="AK273" s="542"/>
    </row>
    <row r="274">
      <c r="A274" s="557"/>
      <c r="B274" s="584" t="s">
        <v>338</v>
      </c>
      <c r="C274" s="559" t="s">
        <v>347</v>
      </c>
      <c r="D274" s="620">
        <f t="shared" si="315"/>
      </c>
      <c r="E274" s="559">
        <v>2640.97</v>
      </c>
      <c r="F274" s="559">
        <v>468.08</v>
      </c>
      <c r="G274" s="561">
        <v>2</v>
      </c>
      <c r="H274" s="631">
        <v>4536</v>
      </c>
      <c r="I274" s="637">
        <f t="shared" si="411"/>
      </c>
      <c r="J274" s="638">
        <f t="shared" si="167"/>
      </c>
      <c r="K274" s="634">
        <f t="shared" si="226"/>
      </c>
      <c r="L274" s="574">
        <f t="shared" si="15"/>
      </c>
      <c r="M274" s="575">
        <f t="shared" si="108"/>
      </c>
      <c r="N274" s="576">
        <f t="shared" si="43"/>
      </c>
      <c r="O274" s="576">
        <f t="shared" si="473"/>
      </c>
      <c r="P274" s="575">
        <f t="shared" si="507"/>
      </c>
      <c r="Q274" s="576">
        <f t="shared" si="374"/>
      </c>
      <c r="R274" s="576">
        <f t="shared" si="439"/>
      </c>
      <c r="S274" s="577">
        <f t="shared" si="195"/>
      </c>
      <c r="T274" s="567">
        <f t="shared" si="254"/>
      </c>
      <c r="U274" s="579">
        <f t="shared" si="77"/>
      </c>
      <c r="V274" s="580">
        <f t="shared" si="136"/>
      </c>
      <c r="W274" s="581" t="s">
        <v>335</v>
      </c>
      <c r="X274" s="622" t="s">
        <v>370</v>
      </c>
      <c r="Y274" s="640">
        <v>2</v>
      </c>
      <c r="Z274" s="624">
        <v>12241</v>
      </c>
      <c r="AA274" s="624">
        <v>328</v>
      </c>
      <c r="AB274" s="624">
        <v>472</v>
      </c>
      <c r="AC274" s="624">
        <v>62</v>
      </c>
      <c r="AD274" s="624">
        <v>29</v>
      </c>
      <c r="AE274" s="628">
        <v>6</v>
      </c>
      <c r="AF274" s="583">
        <v>18</v>
      </c>
      <c r="AG274" s="571">
        <v>1</v>
      </c>
      <c r="AI274" s="542"/>
      <c r="AJ274" s="542"/>
      <c r="AK274" s="542"/>
    </row>
    <row r="275">
      <c r="A275" s="557"/>
      <c r="B275" s="584" t="s">
        <v>339</v>
      </c>
      <c r="C275" s="559" t="s">
        <v>347</v>
      </c>
      <c r="D275" s="620">
        <f t="shared" si="315"/>
      </c>
      <c r="E275" s="559">
        <v>3637.38</v>
      </c>
      <c r="F275" s="559">
        <v>378.19</v>
      </c>
      <c r="G275" s="561">
        <v>3</v>
      </c>
      <c r="H275" s="631">
        <v>5484</v>
      </c>
      <c r="I275" s="637">
        <f t="shared" si="411"/>
      </c>
      <c r="J275" s="638">
        <f t="shared" si="167"/>
      </c>
      <c r="K275" s="634">
        <f t="shared" si="226"/>
      </c>
      <c r="L275" s="574">
        <f t="shared" si="15"/>
      </c>
      <c r="M275" s="575">
        <f t="shared" si="108"/>
      </c>
      <c r="N275" s="576">
        <f t="shared" si="43"/>
      </c>
      <c r="O275" s="576">
        <f t="shared" si="473"/>
      </c>
      <c r="P275" s="575">
        <f t="shared" si="507"/>
      </c>
      <c r="Q275" s="576">
        <f t="shared" si="374"/>
      </c>
      <c r="R275" s="576">
        <f t="shared" si="439"/>
      </c>
      <c r="S275" s="577">
        <f t="shared" si="195"/>
      </c>
      <c r="T275" s="578">
        <f t="shared" si="254"/>
      </c>
      <c r="U275" s="579">
        <f t="shared" si="77"/>
      </c>
      <c r="V275" s="580">
        <f t="shared" si="136"/>
      </c>
      <c r="W275" s="581" t="s">
        <v>335</v>
      </c>
      <c r="X275" s="622" t="s">
        <v>370</v>
      </c>
      <c r="Y275" s="624">
        <v>2</v>
      </c>
      <c r="Z275" s="624">
        <v>15218</v>
      </c>
      <c r="AA275" s="624">
        <v>415</v>
      </c>
      <c r="AB275" s="624">
        <v>578</v>
      </c>
      <c r="AC275" s="624">
        <v>82</v>
      </c>
      <c r="AD275" s="624">
        <v>26</v>
      </c>
      <c r="AE275" s="628">
        <v>11</v>
      </c>
      <c r="AF275" s="583">
        <v>8</v>
      </c>
      <c r="AG275" s="571">
        <v>1</v>
      </c>
      <c r="AI275" s="542"/>
      <c r="AJ275" s="542"/>
      <c r="AK275" s="542"/>
    </row>
    <row r="276">
      <c r="A276" s="557"/>
      <c r="B276" s="584" t="s">
        <v>341</v>
      </c>
      <c r="C276" s="559" t="s">
        <v>347</v>
      </c>
      <c r="D276" s="620">
        <f t="shared" si="315"/>
      </c>
      <c r="E276" s="559">
        <v>4734.84</v>
      </c>
      <c r="F276" s="559">
        <v>340.7</v>
      </c>
      <c r="G276" s="573">
        <v>4</v>
      </c>
      <c r="H276" s="641">
        <v>6432</v>
      </c>
      <c r="I276" s="637">
        <f t="shared" si="411"/>
      </c>
      <c r="J276" s="638">
        <f t="shared" si="167"/>
      </c>
      <c r="K276" s="634">
        <f t="shared" si="226"/>
      </c>
      <c r="L276" s="574">
        <f t="shared" si="15"/>
      </c>
      <c r="M276" s="575">
        <f t="shared" si="108"/>
      </c>
      <c r="N276" s="576">
        <f t="shared" si="43"/>
      </c>
      <c r="O276" s="576">
        <f t="shared" si="473"/>
      </c>
      <c r="P276" s="575">
        <f t="shared" si="507"/>
      </c>
      <c r="Q276" s="576">
        <f t="shared" si="374"/>
      </c>
      <c r="R276" s="576">
        <f t="shared" si="439"/>
      </c>
      <c r="S276" s="577">
        <f t="shared" si="195"/>
      </c>
      <c r="T276" s="585">
        <f t="shared" si="254"/>
      </c>
      <c r="U276" s="577">
        <f t="shared" si="77"/>
      </c>
      <c r="V276" s="580">
        <f t="shared" si="136"/>
      </c>
      <c r="W276" s="581" t="s">
        <v>335</v>
      </c>
      <c r="X276" s="615" t="s">
        <v>364</v>
      </c>
      <c r="Y276" s="582">
        <v>3</v>
      </c>
      <c r="Z276" s="582">
        <v>27635</v>
      </c>
      <c r="AA276" s="582">
        <v>619</v>
      </c>
      <c r="AB276" s="582">
        <v>791</v>
      </c>
      <c r="AC276" s="582">
        <v>122</v>
      </c>
      <c r="AD276" s="582">
        <v>34</v>
      </c>
      <c r="AE276" s="583">
        <v>10</v>
      </c>
      <c r="AF276" s="583">
        <v>22</v>
      </c>
      <c r="AG276" s="583">
        <v>1</v>
      </c>
      <c r="AI276" s="542"/>
      <c r="AJ276" s="542"/>
      <c r="AK276" s="542"/>
    </row>
    <row r="277">
      <c r="A277" s="557"/>
      <c r="B277" s="586" t="s">
        <v>340</v>
      </c>
      <c r="C277" s="586"/>
      <c r="D277" s="587">
        <f>SUM(D272:D276)</f>
      </c>
      <c r="E277" s="587">
        <f>SUM(E272:E276)</f>
      </c>
      <c r="F277" s="587">
        <f>SUM(F272:F276)</f>
      </c>
      <c r="G277" s="587">
        <f>SUM(G272:G276)</f>
      </c>
      <c r="H277" s="642">
        <f>SUM(H272:H276)</f>
      </c>
      <c r="I277" s="643">
        <f t="shared" si="411"/>
      </c>
      <c r="J277" s="644">
        <f t="shared" si="167"/>
      </c>
      <c r="K277" s="645">
        <f t="shared" si="226"/>
      </c>
      <c r="L277" s="590">
        <f t="shared" si="15"/>
      </c>
      <c r="M277" s="591">
        <f t="shared" si="108"/>
      </c>
      <c r="N277" s="592">
        <f t="shared" si="43"/>
      </c>
      <c r="O277" s="592">
        <f t="shared" si="473"/>
      </c>
      <c r="P277" s="591">
        <f t="shared" si="507"/>
      </c>
      <c r="Q277" s="592">
        <f t="shared" si="374"/>
      </c>
      <c r="R277" s="592">
        <f t="shared" si="439"/>
      </c>
      <c r="S277" s="593">
        <f t="shared" si="195"/>
      </c>
      <c r="T277" s="594">
        <f t="shared" si="254"/>
      </c>
      <c r="U277" s="593">
        <f t="shared" si="77"/>
      </c>
      <c r="V277" s="595">
        <f t="shared" si="136"/>
      </c>
      <c r="W277" s="595"/>
      <c r="X277" s="595"/>
      <c r="Y277" s="587">
        <f>SUM(Y272:Y276)</f>
      </c>
      <c r="Z277" s="587">
        <f>SUM(Z272:Z276)</f>
      </c>
      <c r="AA277" s="587">
        <f>SUM(AA272:AA276)</f>
      </c>
      <c r="AB277" s="587">
        <f>SUM(AB272:AB276)</f>
      </c>
      <c r="AC277" s="587">
        <f>SUM(AC272:AC276)</f>
      </c>
      <c r="AD277" s="587">
        <f>SUM(AD272:AD276)</f>
      </c>
      <c r="AE277" s="587">
        <f>SUM(AE272:AE276)</f>
      </c>
      <c r="AF277" s="587">
        <f>SUM(AF272:AF276)</f>
      </c>
      <c r="AG277" s="587">
        <f>SUM(AG272:AG276)</f>
      </c>
      <c r="AI277" s="542"/>
      <c r="AJ277" s="542"/>
      <c r="AK277" s="542"/>
    </row>
    <row r="278">
      <c r="A278" s="557"/>
      <c r="B278" s="584" t="s">
        <v>343</v>
      </c>
      <c r="C278" s="560" t="s">
        <v>334</v>
      </c>
      <c r="D278" s="559">
        <f t="shared" ref="D278:D281" si="316">E278+F278</f>
      </c>
      <c r="E278" s="559">
        <v>2644.75</v>
      </c>
      <c r="F278" s="559">
        <v>363.35</v>
      </c>
      <c r="G278" s="573">
        <v>1</v>
      </c>
      <c r="H278" s="641">
        <v>2268</v>
      </c>
      <c r="I278" s="637">
        <f t="shared" si="411"/>
      </c>
      <c r="J278" s="638">
        <f t="shared" si="167"/>
      </c>
      <c r="K278" s="634">
        <f t="shared" si="226"/>
      </c>
      <c r="L278" s="596">
        <f t="shared" si="15"/>
      </c>
      <c r="M278" s="597">
        <f t="shared" si="108"/>
      </c>
      <c r="N278" s="598">
        <f t="shared" si="43"/>
      </c>
      <c r="O278" s="598">
        <f t="shared" si="473"/>
      </c>
      <c r="P278" s="597">
        <f t="shared" si="507"/>
      </c>
      <c r="Q278" s="598">
        <f t="shared" si="374"/>
      </c>
      <c r="R278" s="598">
        <f t="shared" si="439"/>
      </c>
      <c r="S278" s="599">
        <f t="shared" si="195"/>
      </c>
      <c r="T278" s="600">
        <f t="shared" si="254"/>
      </c>
      <c r="U278" s="599">
        <f t="shared" si="77"/>
      </c>
      <c r="V278" s="601">
        <f t="shared" si="136"/>
      </c>
      <c r="W278" s="602" t="s">
        <v>335</v>
      </c>
      <c r="X278" s="615" t="s">
        <v>364</v>
      </c>
      <c r="Y278" s="603">
        <v>1</v>
      </c>
      <c r="Z278" s="603">
        <v>10020</v>
      </c>
      <c r="AA278" s="603">
        <v>375</v>
      </c>
      <c r="AB278" s="603">
        <v>488</v>
      </c>
      <c r="AC278" s="603">
        <v>76</v>
      </c>
      <c r="AD278" s="603">
        <v>30</v>
      </c>
      <c r="AE278" s="604">
        <v>4</v>
      </c>
      <c r="AF278" s="604">
        <v>11</v>
      </c>
      <c r="AG278" s="604">
        <v>1</v>
      </c>
      <c r="AI278" s="542"/>
      <c r="AJ278" s="542"/>
      <c r="AK278" s="542"/>
    </row>
    <row r="279">
      <c r="A279" s="557"/>
      <c r="B279" s="584" t="s">
        <v>344</v>
      </c>
      <c r="C279" s="560" t="s">
        <v>334</v>
      </c>
      <c r="D279" s="559">
        <f t="shared" si="316"/>
      </c>
      <c r="E279" s="559">
        <v>2107.5</v>
      </c>
      <c r="F279" s="559">
        <v>937.04</v>
      </c>
      <c r="G279" s="573">
        <v>2</v>
      </c>
      <c r="H279" s="641">
        <v>4348</v>
      </c>
      <c r="I279" s="637">
        <f t="shared" si="411"/>
      </c>
      <c r="J279" s="638">
        <f t="shared" si="167"/>
      </c>
      <c r="K279" s="634">
        <f t="shared" si="226"/>
      </c>
      <c r="L279" s="596">
        <f t="shared" si="15"/>
      </c>
      <c r="M279" s="597">
        <f t="shared" si="108"/>
      </c>
      <c r="N279" s="598">
        <f t="shared" si="43"/>
      </c>
      <c r="O279" s="598">
        <f t="shared" si="473"/>
      </c>
      <c r="P279" s="597">
        <f t="shared" si="507"/>
      </c>
      <c r="Q279" s="598">
        <f t="shared" si="374"/>
      </c>
      <c r="R279" s="598">
        <f t="shared" si="439"/>
      </c>
      <c r="S279" s="599">
        <f t="shared" si="195"/>
      </c>
      <c r="T279" s="600">
        <f t="shared" si="254"/>
      </c>
      <c r="U279" s="599">
        <f t="shared" si="77"/>
      </c>
      <c r="V279" s="601">
        <f t="shared" si="136"/>
      </c>
      <c r="W279" s="602" t="s">
        <v>335</v>
      </c>
      <c r="X279" s="615" t="s">
        <v>364</v>
      </c>
      <c r="Y279" s="603">
        <v>2</v>
      </c>
      <c r="Z279" s="603">
        <v>11769</v>
      </c>
      <c r="AA279" s="603">
        <v>492</v>
      </c>
      <c r="AB279" s="603">
        <v>564</v>
      </c>
      <c r="AC279" s="603">
        <v>86</v>
      </c>
      <c r="AD279" s="603">
        <v>21</v>
      </c>
      <c r="AE279" s="604">
        <v>7</v>
      </c>
      <c r="AF279" s="604">
        <v>15</v>
      </c>
      <c r="AG279" s="604">
        <v>1</v>
      </c>
      <c r="AI279" s="542"/>
      <c r="AJ279" s="542"/>
      <c r="AK279" s="542"/>
    </row>
    <row r="280">
      <c r="A280" s="557"/>
      <c r="B280" s="584" t="s">
        <v>345</v>
      </c>
      <c r="C280" s="560" t="s">
        <v>334</v>
      </c>
      <c r="D280" s="559">
        <f t="shared" si="316"/>
      </c>
      <c r="E280" s="559">
        <v>1993.8</v>
      </c>
      <c r="F280" s="559">
        <v>639.48</v>
      </c>
      <c r="G280" s="573">
        <v>2</v>
      </c>
      <c r="H280" s="641">
        <v>4536</v>
      </c>
      <c r="I280" s="637">
        <f t="shared" si="411"/>
      </c>
      <c r="J280" s="638">
        <f t="shared" si="167"/>
      </c>
      <c r="K280" s="634">
        <f t="shared" si="226"/>
      </c>
      <c r="L280" s="596">
        <f t="shared" si="15"/>
      </c>
      <c r="M280" s="597">
        <f t="shared" si="108"/>
      </c>
      <c r="N280" s="598">
        <f t="shared" si="43"/>
      </c>
      <c r="O280" s="598">
        <f t="shared" si="473"/>
      </c>
      <c r="P280" s="597">
        <f t="shared" si="507"/>
      </c>
      <c r="Q280" s="598">
        <f t="shared" si="374"/>
      </c>
      <c r="R280" s="598">
        <f t="shared" si="439"/>
      </c>
      <c r="S280" s="599">
        <f t="shared" si="195"/>
      </c>
      <c r="T280" s="600">
        <f t="shared" si="254"/>
      </c>
      <c r="U280" s="599">
        <f t="shared" si="77"/>
      </c>
      <c r="V280" s="601">
        <f t="shared" si="136"/>
      </c>
      <c r="W280" s="602" t="s">
        <v>335</v>
      </c>
      <c r="X280" s="615" t="s">
        <v>364</v>
      </c>
      <c r="Y280" s="603">
        <v>1</v>
      </c>
      <c r="Z280" s="603">
        <v>8112</v>
      </c>
      <c r="AA280" s="603">
        <v>344</v>
      </c>
      <c r="AB280" s="603">
        <v>460</v>
      </c>
      <c r="AC280" s="603">
        <v>80</v>
      </c>
      <c r="AD280" s="603">
        <v>35</v>
      </c>
      <c r="AE280" s="604">
        <v>7</v>
      </c>
      <c r="AF280" s="604">
        <v>11</v>
      </c>
      <c r="AG280" s="604">
        <v>1</v>
      </c>
      <c r="AI280" s="542"/>
      <c r="AJ280" s="542"/>
      <c r="AK280" s="542"/>
    </row>
    <row r="281">
      <c r="A281" s="557"/>
      <c r="B281" s="584" t="s">
        <v>346</v>
      </c>
      <c r="C281" s="560" t="s">
        <v>334</v>
      </c>
      <c r="D281" s="559">
        <f t="shared" si="316"/>
      </c>
      <c r="E281" s="559">
        <v>2618.77</v>
      </c>
      <c r="F281" s="559">
        <v>743.42</v>
      </c>
      <c r="G281" s="573">
        <v>3</v>
      </c>
      <c r="H281" s="641">
        <v>5484</v>
      </c>
      <c r="I281" s="637">
        <f t="shared" si="411"/>
      </c>
      <c r="J281" s="638">
        <f t="shared" si="167"/>
      </c>
      <c r="K281" s="634">
        <f t="shared" si="226"/>
      </c>
      <c r="L281" s="596">
        <f t="shared" si="15"/>
      </c>
      <c r="M281" s="597">
        <f t="shared" si="108"/>
      </c>
      <c r="N281" s="598">
        <f t="shared" si="43"/>
      </c>
      <c r="O281" s="598">
        <f t="shared" si="473"/>
      </c>
      <c r="P281" s="597">
        <f t="shared" si="507"/>
      </c>
      <c r="Q281" s="598">
        <f t="shared" si="374"/>
      </c>
      <c r="R281" s="598">
        <f t="shared" si="439"/>
      </c>
      <c r="S281" s="599">
        <f t="shared" si="195"/>
      </c>
      <c r="T281" s="600">
        <f t="shared" si="254"/>
      </c>
      <c r="U281" s="599">
        <f t="shared" si="77"/>
      </c>
      <c r="V281" s="601">
        <f t="shared" si="136"/>
      </c>
      <c r="W281" s="602" t="s">
        <v>335</v>
      </c>
      <c r="X281" s="615" t="s">
        <v>364</v>
      </c>
      <c r="Y281" s="603">
        <v>3</v>
      </c>
      <c r="Z281" s="603">
        <v>10223</v>
      </c>
      <c r="AA281" s="603">
        <v>374</v>
      </c>
      <c r="AB281" s="603">
        <v>559</v>
      </c>
      <c r="AC281" s="603">
        <v>96</v>
      </c>
      <c r="AD281" s="603">
        <v>34</v>
      </c>
      <c r="AE281" s="604">
        <v>4</v>
      </c>
      <c r="AF281" s="604">
        <v>17</v>
      </c>
      <c r="AG281" s="604">
        <v>1</v>
      </c>
      <c r="AI281" s="542"/>
      <c r="AJ281" s="542"/>
      <c r="AK281" s="542"/>
    </row>
    <row r="282">
      <c r="A282" s="557"/>
      <c r="B282" s="586" t="s">
        <v>340</v>
      </c>
      <c r="C282" s="586"/>
      <c r="D282" s="587">
        <f>SUM(D278:D281)</f>
      </c>
      <c r="E282" s="587">
        <f>SUM(E278:E281)</f>
      </c>
      <c r="F282" s="587">
        <f>SUM(F278:F281)</f>
      </c>
      <c r="G282" s="587">
        <f>SUM(G278:G281)</f>
      </c>
      <c r="H282" s="642">
        <f>SUM(H278:H281)</f>
      </c>
      <c r="I282" s="643">
        <f t="shared" si="411"/>
      </c>
      <c r="J282" s="644">
        <f t="shared" si="167"/>
      </c>
      <c r="K282" s="645">
        <f t="shared" si="226"/>
      </c>
      <c r="L282" s="590">
        <f t="shared" si="15"/>
      </c>
      <c r="M282" s="591">
        <f t="shared" si="108"/>
      </c>
      <c r="N282" s="592">
        <f t="shared" si="43"/>
      </c>
      <c r="O282" s="592">
        <f t="shared" si="473"/>
      </c>
      <c r="P282" s="591">
        <f t="shared" si="507"/>
      </c>
      <c r="Q282" s="592">
        <f t="shared" si="374"/>
      </c>
      <c r="R282" s="592">
        <f t="shared" si="439"/>
      </c>
      <c r="S282" s="593">
        <f t="shared" si="195"/>
      </c>
      <c r="T282" s="594">
        <f t="shared" si="254"/>
      </c>
      <c r="U282" s="593">
        <f t="shared" si="77"/>
      </c>
      <c r="V282" s="595">
        <f t="shared" si="136"/>
      </c>
      <c r="W282" s="595"/>
      <c r="X282" s="595"/>
      <c r="Y282" s="587">
        <f>SUM(Y278:Y281)</f>
      </c>
      <c r="Z282" s="587">
        <f>SUM(Z278:Z281)</f>
      </c>
      <c r="AA282" s="587">
        <f>SUM(AA278:AA281)</f>
      </c>
      <c r="AB282" s="587">
        <f>SUM(AB278:AB281)</f>
      </c>
      <c r="AC282" s="587">
        <f>SUM(AC278:AC281)</f>
      </c>
      <c r="AD282" s="587">
        <f>SUM(AD278:AD281)</f>
      </c>
      <c r="AE282" s="587">
        <f>SUM(AE278:AE281)</f>
      </c>
      <c r="AF282" s="587">
        <f>SUM(AF278:AF281)</f>
      </c>
      <c r="AG282" s="587">
        <f>SUM(AG278:AG281)</f>
      </c>
      <c r="AI282" s="542"/>
      <c r="AJ282" s="542"/>
      <c r="AK282" s="542"/>
    </row>
    <row r="283">
      <c r="A283" s="557"/>
      <c r="B283" s="584" t="s">
        <v>349</v>
      </c>
      <c r="C283" s="560" t="s">
        <v>342</v>
      </c>
      <c r="D283" s="559">
        <f t="shared" ref="D283:D285" si="317">E283+F283</f>
      </c>
      <c r="E283" s="559">
        <v>1569.02</v>
      </c>
      <c r="F283" s="559">
        <v>753.37</v>
      </c>
      <c r="G283" s="573">
        <v>2</v>
      </c>
      <c r="H283" s="641">
        <v>3216</v>
      </c>
      <c r="I283" s="637">
        <f t="shared" si="411"/>
      </c>
      <c r="J283" s="638">
        <f t="shared" si="167"/>
      </c>
      <c r="K283" s="646">
        <f t="shared" si="226"/>
      </c>
      <c r="L283" s="596">
        <f t="shared" si="15"/>
      </c>
      <c r="M283" s="597">
        <f t="shared" si="108"/>
      </c>
      <c r="N283" s="598">
        <f t="shared" si="43"/>
      </c>
      <c r="O283" s="598">
        <f t="shared" si="473"/>
      </c>
      <c r="P283" s="597">
        <f t="shared" si="507"/>
      </c>
      <c r="Q283" s="598">
        <f t="shared" si="374"/>
      </c>
      <c r="R283" s="598">
        <f t="shared" si="439"/>
      </c>
      <c r="S283" s="599">
        <f t="shared" si="195"/>
      </c>
      <c r="T283" s="600">
        <f t="shared" si="254"/>
      </c>
      <c r="U283" s="599">
        <f t="shared" si="77"/>
      </c>
      <c r="V283" s="601">
        <f t="shared" si="136"/>
      </c>
      <c r="W283" s="602" t="s">
        <v>335</v>
      </c>
      <c r="X283" s="615" t="s">
        <v>364</v>
      </c>
      <c r="Y283" s="603">
        <v>2</v>
      </c>
      <c r="Z283" s="603">
        <v>6730</v>
      </c>
      <c r="AA283" s="603">
        <v>250</v>
      </c>
      <c r="AB283" s="603">
        <v>433</v>
      </c>
      <c r="AC283" s="603">
        <v>51</v>
      </c>
      <c r="AD283" s="603">
        <v>18</v>
      </c>
      <c r="AE283" s="604">
        <v>6</v>
      </c>
      <c r="AF283" s="604">
        <v>12</v>
      </c>
      <c r="AG283" s="604">
        <v>1</v>
      </c>
      <c r="AI283" s="542"/>
      <c r="AJ283" s="542"/>
      <c r="AK283" s="542"/>
    </row>
    <row r="284">
      <c r="A284" s="557"/>
      <c r="B284" s="584" t="s">
        <v>350</v>
      </c>
      <c r="C284" s="560" t="s">
        <v>342</v>
      </c>
      <c r="D284" s="559">
        <f t="shared" si="317"/>
      </c>
      <c r="E284" s="559">
        <v>1401.16</v>
      </c>
      <c r="F284" s="559">
        <v>523.9</v>
      </c>
      <c r="G284" s="561">
        <v>0</v>
      </c>
      <c r="H284" s="631">
        <v>0</v>
      </c>
      <c r="I284" s="637">
        <f t="shared" si="411"/>
      </c>
      <c r="J284" s="638">
        <f t="shared" si="167"/>
      </c>
      <c r="K284" s="646">
        <f t="shared" si="226"/>
      </c>
      <c r="L284" s="596">
        <f t="shared" si="15"/>
      </c>
      <c r="M284" s="597">
        <f t="shared" si="108"/>
      </c>
      <c r="N284" s="598">
        <f t="shared" si="43"/>
      </c>
      <c r="O284" s="598">
        <f t="shared" si="473"/>
      </c>
      <c r="P284" s="597">
        <f t="shared" si="507"/>
      </c>
      <c r="Q284" s="598">
        <f t="shared" si="374"/>
      </c>
      <c r="R284" s="598">
        <f t="shared" si="439"/>
      </c>
      <c r="S284" s="599">
        <f t="shared" si="195"/>
      </c>
      <c r="T284" s="600">
        <f t="shared" si="254"/>
      </c>
      <c r="U284" s="599">
        <f t="shared" si="77"/>
      </c>
      <c r="V284" s="601">
        <f t="shared" si="136"/>
      </c>
      <c r="W284" s="602" t="s">
        <v>335</v>
      </c>
      <c r="X284" s="615" t="s">
        <v>364</v>
      </c>
      <c r="Y284" s="603">
        <v>0</v>
      </c>
      <c r="Z284" s="603">
        <v>6740</v>
      </c>
      <c r="AA284" s="603">
        <v>221</v>
      </c>
      <c r="AB284" s="603">
        <v>415</v>
      </c>
      <c r="AC284" s="603">
        <v>50</v>
      </c>
      <c r="AD284" s="603">
        <v>16</v>
      </c>
      <c r="AE284" s="604">
        <v>2</v>
      </c>
      <c r="AF284" s="604">
        <v>7</v>
      </c>
      <c r="AG284" s="604">
        <v>1</v>
      </c>
      <c r="AI284" s="542"/>
      <c r="AJ284" s="542"/>
      <c r="AK284" s="542"/>
    </row>
    <row r="285">
      <c r="A285" s="557"/>
      <c r="B285" s="584" t="s">
        <v>351</v>
      </c>
      <c r="C285" s="560" t="s">
        <v>342</v>
      </c>
      <c r="D285" s="559">
        <f t="shared" si="317"/>
      </c>
      <c r="E285" s="559">
        <v>1668.59</v>
      </c>
      <c r="F285" s="559">
        <v>280.16</v>
      </c>
      <c r="G285" s="573">
        <v>5</v>
      </c>
      <c r="H285" s="641">
        <v>8700</v>
      </c>
      <c r="I285" s="637">
        <f t="shared" si="411"/>
      </c>
      <c r="J285" s="638">
        <f t="shared" si="167"/>
      </c>
      <c r="K285" s="646">
        <f t="shared" si="226"/>
      </c>
      <c r="L285" s="596">
        <f t="shared" si="15"/>
      </c>
      <c r="M285" s="597">
        <f t="shared" si="108"/>
      </c>
      <c r="N285" s="598">
        <f t="shared" si="43"/>
      </c>
      <c r="O285" s="598">
        <f t="shared" si="473"/>
      </c>
      <c r="P285" s="597">
        <f t="shared" si="507"/>
      </c>
      <c r="Q285" s="598">
        <f t="shared" si="374"/>
      </c>
      <c r="R285" s="598">
        <f t="shared" si="439"/>
      </c>
      <c r="S285" s="599">
        <f t="shared" si="195"/>
      </c>
      <c r="T285" s="600">
        <f t="shared" si="254"/>
      </c>
      <c r="U285" s="599">
        <f t="shared" si="77"/>
      </c>
      <c r="V285" s="601">
        <f t="shared" si="136"/>
      </c>
      <c r="W285" s="602" t="s">
        <v>335</v>
      </c>
      <c r="X285" s="615" t="s">
        <v>364</v>
      </c>
      <c r="Y285" s="603">
        <v>4</v>
      </c>
      <c r="Z285" s="603">
        <v>7536</v>
      </c>
      <c r="AA285" s="603">
        <v>197</v>
      </c>
      <c r="AB285" s="603">
        <v>435</v>
      </c>
      <c r="AC285" s="603">
        <v>42</v>
      </c>
      <c r="AD285" s="603">
        <v>9</v>
      </c>
      <c r="AE285" s="604">
        <v>8</v>
      </c>
      <c r="AF285" s="604">
        <v>14</v>
      </c>
      <c r="AG285" s="604">
        <v>1</v>
      </c>
      <c r="AI285" s="542"/>
      <c r="AJ285" s="542"/>
      <c r="AK285" s="542"/>
    </row>
    <row r="286">
      <c r="A286" s="557"/>
      <c r="B286" s="586" t="s">
        <v>340</v>
      </c>
      <c r="C286" s="586"/>
      <c r="D286" s="587">
        <f>SUM(D283:D285)</f>
      </c>
      <c r="E286" s="587">
        <f>SUM(E283:E285)</f>
      </c>
      <c r="F286" s="587">
        <f>SUM(F283:F285)</f>
      </c>
      <c r="G286" s="587">
        <f>SUM(G283:G285)</f>
      </c>
      <c r="H286" s="642">
        <f>SUM(H283:H285)</f>
      </c>
      <c r="I286" s="643">
        <f t="shared" si="411"/>
      </c>
      <c r="J286" s="644">
        <f t="shared" si="167"/>
      </c>
      <c r="K286" s="647">
        <f t="shared" si="226"/>
      </c>
      <c r="L286" s="590">
        <f t="shared" si="15"/>
      </c>
      <c r="M286" s="591">
        <f t="shared" si="108"/>
      </c>
      <c r="N286" s="592">
        <f t="shared" si="43"/>
      </c>
      <c r="O286" s="592">
        <f t="shared" si="473"/>
      </c>
      <c r="P286" s="591">
        <f t="shared" si="507"/>
      </c>
      <c r="Q286" s="592">
        <f t="shared" si="374"/>
      </c>
      <c r="R286" s="592">
        <f t="shared" si="439"/>
      </c>
      <c r="S286" s="593">
        <f t="shared" si="195"/>
      </c>
      <c r="T286" s="594">
        <f t="shared" si="254"/>
      </c>
      <c r="U286" s="593">
        <f t="shared" si="77"/>
      </c>
      <c r="V286" s="595">
        <f t="shared" si="136"/>
      </c>
      <c r="W286" s="595"/>
      <c r="X286" s="595"/>
      <c r="Y286" s="587">
        <f>SUM(Y283:Y285)</f>
      </c>
      <c r="Z286" s="587">
        <f>SUM(Z283:Z285)</f>
      </c>
      <c r="AA286" s="587">
        <f>SUM(AA283:AA285)</f>
      </c>
      <c r="AB286" s="587">
        <f>SUM(AB283:AB285)</f>
      </c>
      <c r="AC286" s="587">
        <f>SUM(AC283:AC285)</f>
      </c>
      <c r="AD286" s="587">
        <f>SUM(AD283:AD285)</f>
      </c>
      <c r="AE286" s="587">
        <f>SUM(AE283:AE285)</f>
      </c>
      <c r="AF286" s="587">
        <f>SUM(AF283:AF285)</f>
      </c>
      <c r="AG286" s="587">
        <f>SUM(AG283:AG285)</f>
      </c>
      <c r="AI286" s="542"/>
      <c r="AJ286" s="542"/>
      <c r="AK286" s="542"/>
    </row>
    <row r="287">
      <c r="A287" s="557"/>
      <c r="B287" s="607" t="s">
        <v>352</v>
      </c>
      <c r="C287" s="607"/>
      <c r="D287" s="607">
        <f>D277+D286+D282</f>
      </c>
      <c r="E287" s="607">
        <f>E277+E286+E282</f>
      </c>
      <c r="F287" s="607">
        <f>F277+F286+F282</f>
      </c>
      <c r="G287" s="607">
        <f>G277+G286+G282</f>
      </c>
      <c r="H287" s="648">
        <f>H277+H286+H282</f>
      </c>
      <c r="I287" s="649">
        <f t="shared" si="411"/>
      </c>
      <c r="J287" s="650">
        <f t="shared" si="167"/>
      </c>
      <c r="K287" s="651">
        <f t="shared" si="226"/>
      </c>
      <c r="L287" s="610">
        <f t="shared" si="15"/>
      </c>
      <c r="M287" s="611">
        <f t="shared" si="108"/>
      </c>
      <c r="N287" s="612">
        <f t="shared" si="43"/>
      </c>
      <c r="O287" s="612">
        <f t="shared" si="473"/>
      </c>
      <c r="P287" s="611">
        <f t="shared" si="507"/>
      </c>
      <c r="Q287" s="612">
        <f t="shared" si="374"/>
      </c>
      <c r="R287" s="612">
        <f t="shared" si="439"/>
      </c>
      <c r="S287" s="611">
        <f t="shared" si="195"/>
      </c>
      <c r="T287" s="613">
        <f t="shared" si="254"/>
      </c>
      <c r="U287" s="611">
        <f t="shared" si="77"/>
      </c>
      <c r="V287" s="609">
        <f t="shared" si="136"/>
      </c>
      <c r="W287" s="609"/>
      <c r="X287" s="609"/>
      <c r="Y287" s="607">
        <f>Y277+Y286+Y282</f>
      </c>
      <c r="Z287" s="607">
        <f>Z277+Z286+Z282</f>
      </c>
      <c r="AA287" s="607">
        <f>AA277+AA286+AA282</f>
      </c>
      <c r="AB287" s="607">
        <f>AB277+AB286+AB282</f>
      </c>
      <c r="AC287" s="607">
        <f>AC277+AC286+AC282</f>
      </c>
      <c r="AD287" s="607">
        <f>AD277+AD286+AD282</f>
      </c>
      <c r="AE287" s="607">
        <f>AE277+AE286+AE282</f>
      </c>
      <c r="AF287" s="607">
        <f>AF277+AF286+AF282</f>
      </c>
      <c r="AG287" s="607">
        <f>AG277+AG286+AG282</f>
      </c>
      <c r="AI287" s="542"/>
      <c r="AJ287" s="542"/>
      <c r="AK287" s="542"/>
    </row>
    <row r="288">
      <c r="A288" s="538" t="s">
        <v>295</v>
      </c>
      <c r="B288" s="538"/>
      <c r="C288" s="538"/>
      <c r="D288" s="614" t="s">
        <v>296</v>
      </c>
      <c r="E288" s="614"/>
      <c r="F288" s="614"/>
      <c r="G288" s="614"/>
      <c r="H288" s="614"/>
      <c r="I288" s="614"/>
      <c r="J288" s="614"/>
      <c r="K288" s="540" t="s">
        <v>297</v>
      </c>
      <c r="L288" s="540"/>
      <c r="M288" s="540"/>
      <c r="N288" s="540"/>
      <c r="O288" s="540"/>
      <c r="P288" s="540"/>
      <c r="Q288" s="540"/>
      <c r="R288" s="540"/>
      <c r="S288" s="540"/>
      <c r="T288" s="540"/>
      <c r="U288" s="540"/>
      <c r="V288" s="540"/>
      <c r="W288" s="540"/>
      <c r="X288" s="540"/>
      <c r="Y288" s="541" t="s">
        <v>298</v>
      </c>
      <c r="Z288" s="541"/>
      <c r="AA288" s="541"/>
      <c r="AB288" s="541"/>
      <c r="AC288" s="541"/>
      <c r="AD288" s="541"/>
      <c r="AE288" s="541"/>
      <c r="AF288" s="541"/>
      <c r="AG288" s="541"/>
      <c r="AI288" s="542"/>
      <c r="AJ288" s="542"/>
      <c r="AK288" s="542"/>
    </row>
    <row r="289">
      <c r="A289" s="543" t="s">
        <v>299</v>
      </c>
      <c r="B289" s="544" t="s">
        <v>300</v>
      </c>
      <c r="C289" s="544" t="s">
        <v>301</v>
      </c>
      <c r="D289" s="545" t="s">
        <v>302</v>
      </c>
      <c r="E289" s="546" t="s">
        <v>303</v>
      </c>
      <c r="F289" s="546" t="s">
        <v>304</v>
      </c>
      <c r="G289" s="547" t="s">
        <v>305</v>
      </c>
      <c r="H289" s="548" t="s">
        <v>306</v>
      </c>
      <c r="I289" s="630" t="s">
        <v>307</v>
      </c>
      <c r="J289" s="630" t="s">
        <v>308</v>
      </c>
      <c r="K289" s="551" t="s">
        <v>309</v>
      </c>
      <c r="L289" s="540" t="s">
        <v>310</v>
      </c>
      <c r="M289" s="540" t="s">
        <v>311</v>
      </c>
      <c r="N289" s="552" t="s">
        <v>312</v>
      </c>
      <c r="O289" s="552" t="s">
        <v>313</v>
      </c>
      <c r="P289" s="540" t="s">
        <v>314</v>
      </c>
      <c r="Q289" s="552" t="s">
        <v>315</v>
      </c>
      <c r="R289" s="552" t="s">
        <v>316</v>
      </c>
      <c r="S289" s="540" t="s">
        <v>317</v>
      </c>
      <c r="T289" s="552" t="s">
        <v>318</v>
      </c>
      <c r="U289" s="540" t="s">
        <v>319</v>
      </c>
      <c r="V289" s="553" t="s">
        <v>320</v>
      </c>
      <c r="W289" s="553" t="s">
        <v>321</v>
      </c>
      <c r="X289" s="553" t="s">
        <v>322</v>
      </c>
      <c r="Y289" s="618" t="s">
        <v>323</v>
      </c>
      <c r="Z289" s="619" t="s">
        <v>324</v>
      </c>
      <c r="AA289" s="619" t="s">
        <v>325</v>
      </c>
      <c r="AB289" s="619" t="s">
        <v>326</v>
      </c>
      <c r="AC289" s="619" t="s">
        <v>327</v>
      </c>
      <c r="AD289" s="619" t="s">
        <v>328</v>
      </c>
      <c r="AE289" s="555" t="s">
        <v>329</v>
      </c>
      <c r="AF289" s="555" t="s">
        <v>330</v>
      </c>
      <c r="AG289" s="555" t="s">
        <v>331</v>
      </c>
      <c r="AI289" s="542"/>
      <c r="AJ289" s="542"/>
      <c r="AK289" s="542"/>
    </row>
    <row r="290">
      <c r="A290" s="557" t="s">
        <v>372</v>
      </c>
      <c r="B290" s="584" t="s">
        <v>333</v>
      </c>
      <c r="C290" s="559" t="s">
        <v>347</v>
      </c>
      <c r="D290" s="620">
        <f t="shared" ref="D290:D294" si="318">E290+F290</f>
      </c>
      <c r="E290" s="621">
        <v>3188.86</v>
      </c>
      <c r="F290" s="584">
        <v>276.9</v>
      </c>
      <c r="G290" s="573">
        <v>4</v>
      </c>
      <c r="H290" s="641">
        <v>7272</v>
      </c>
      <c r="I290" s="652">
        <f t="shared" ref="I290:I302" si="412">H290/D290</f>
      </c>
      <c r="J290" s="653">
        <f t="shared" ref="J290:J302" si="168">H290/(D290+300*AG290)</f>
      </c>
      <c r="K290" s="634">
        <f t="shared" ref="K290:K302" si="227">(D290/Z290)*1000</f>
      </c>
      <c r="L290" s="564">
        <f t="shared" ref="L290:L302" si="16">AA290/Z290</f>
      </c>
      <c r="M290" s="654">
        <f t="shared" ref="M290:M302" si="109">D290/AB290</f>
      </c>
      <c r="N290" s="566">
        <f t="shared" ref="N290:N302" si="44">AC290/AB290</f>
      </c>
      <c r="O290" s="566">
        <f t="shared" ref="O290:O302" si="474">AD290/AB290</f>
      </c>
      <c r="P290" s="565">
        <f t="shared" ref="P290:P302" si="508">D290/AD290</f>
      </c>
      <c r="Q290" s="566">
        <f t="shared" ref="Q290:Q302" si="375">AE290/AD290</f>
      </c>
      <c r="R290" s="566">
        <f t="shared" ref="R290:R302" si="440">G290/AE290</f>
      </c>
      <c r="S290" s="565">
        <f t="shared" ref="S290:S302" si="196">D290/G290</f>
      </c>
      <c r="T290" s="567">
        <f t="shared" ref="T290:T302" si="255">H290/G290</f>
      </c>
      <c r="U290" s="565">
        <f t="shared" ref="U290:U302" si="78">D290/Y290</f>
      </c>
      <c r="V290" s="568">
        <f t="shared" ref="V290:V302" si="137">AF290*1000/D290</f>
      </c>
      <c r="W290" s="569" t="s">
        <v>335</v>
      </c>
      <c r="X290" s="655" t="s">
        <v>364</v>
      </c>
      <c r="Y290" s="623">
        <v>3</v>
      </c>
      <c r="Z290" s="656">
        <v>11550</v>
      </c>
      <c r="AA290" s="657">
        <v>366</v>
      </c>
      <c r="AB290" s="624">
        <v>520</v>
      </c>
      <c r="AC290" s="656">
        <v>82</v>
      </c>
      <c r="AD290" s="572">
        <v>44</v>
      </c>
      <c r="AE290" s="625">
        <v>7</v>
      </c>
      <c r="AF290" s="571">
        <v>11</v>
      </c>
      <c r="AG290" s="571">
        <v>1</v>
      </c>
      <c r="AI290" s="542"/>
      <c r="AJ290" s="542"/>
      <c r="AK290" s="542"/>
    </row>
    <row r="291">
      <c r="A291" s="616"/>
      <c r="B291" s="584" t="s">
        <v>337</v>
      </c>
      <c r="C291" s="559" t="s">
        <v>347</v>
      </c>
      <c r="D291" s="620">
        <f t="shared" si="318"/>
      </c>
      <c r="E291" s="626">
        <v>5312.93</v>
      </c>
      <c r="F291" s="559">
        <v>537.43</v>
      </c>
      <c r="G291" s="573">
        <v>8</v>
      </c>
      <c r="H291" s="641">
        <v>16344</v>
      </c>
      <c r="I291" s="658">
        <f t="shared" si="412"/>
      </c>
      <c r="J291" s="659">
        <f t="shared" si="168"/>
      </c>
      <c r="K291" s="634">
        <f t="shared" si="227"/>
      </c>
      <c r="L291" s="660">
        <f t="shared" si="16"/>
      </c>
      <c r="M291" s="661">
        <f t="shared" si="109"/>
      </c>
      <c r="N291" s="574">
        <f t="shared" si="44"/>
      </c>
      <c r="O291" s="576">
        <f t="shared" si="474"/>
      </c>
      <c r="P291" s="575">
        <f t="shared" si="508"/>
      </c>
      <c r="Q291" s="576">
        <f t="shared" si="375"/>
      </c>
      <c r="R291" s="576">
        <f t="shared" si="440"/>
      </c>
      <c r="S291" s="577">
        <f t="shared" si="196"/>
      </c>
      <c r="T291" s="617">
        <f t="shared" si="255"/>
      </c>
      <c r="U291" s="579">
        <f t="shared" si="78"/>
      </c>
      <c r="V291" s="580">
        <f t="shared" si="137"/>
      </c>
      <c r="W291" s="581" t="s">
        <v>335</v>
      </c>
      <c r="X291" s="655" t="s">
        <v>364</v>
      </c>
      <c r="Y291" s="624">
        <v>8</v>
      </c>
      <c r="Z291" s="656">
        <v>20526</v>
      </c>
      <c r="AA291" s="572">
        <v>507</v>
      </c>
      <c r="AB291" s="662">
        <v>780</v>
      </c>
      <c r="AC291" s="572">
        <v>121</v>
      </c>
      <c r="AD291" s="572">
        <v>61</v>
      </c>
      <c r="AE291" s="628">
        <v>13</v>
      </c>
      <c r="AF291" s="583">
        <v>20</v>
      </c>
      <c r="AG291" s="571">
        <v>1</v>
      </c>
      <c r="AI291" s="542"/>
      <c r="AJ291" s="542"/>
      <c r="AK291" s="542"/>
    </row>
    <row r="292">
      <c r="A292" s="616"/>
      <c r="B292" s="584" t="s">
        <v>338</v>
      </c>
      <c r="C292" s="559" t="s">
        <v>347</v>
      </c>
      <c r="D292" s="620">
        <f t="shared" si="318"/>
      </c>
      <c r="E292" s="559">
        <v>5518.33</v>
      </c>
      <c r="F292" s="559">
        <v>536.06</v>
      </c>
      <c r="G292" s="573">
        <v>3</v>
      </c>
      <c r="H292" s="641">
        <v>5004</v>
      </c>
      <c r="I292" s="658">
        <f t="shared" si="412"/>
      </c>
      <c r="J292" s="659">
        <f t="shared" si="168"/>
      </c>
      <c r="K292" s="634">
        <f t="shared" si="227"/>
      </c>
      <c r="L292" s="574">
        <f t="shared" si="16"/>
      </c>
      <c r="M292" s="575">
        <f t="shared" si="109"/>
      </c>
      <c r="N292" s="576">
        <f t="shared" si="44"/>
      </c>
      <c r="O292" s="576">
        <f t="shared" si="474"/>
      </c>
      <c r="P292" s="575">
        <f t="shared" si="508"/>
      </c>
      <c r="Q292" s="576">
        <f t="shared" si="375"/>
      </c>
      <c r="R292" s="576">
        <f t="shared" si="440"/>
      </c>
      <c r="S292" s="577">
        <f t="shared" si="196"/>
      </c>
      <c r="T292" s="567">
        <f t="shared" si="255"/>
      </c>
      <c r="U292" s="579">
        <f t="shared" si="78"/>
      </c>
      <c r="V292" s="580">
        <f t="shared" si="137"/>
      </c>
      <c r="W292" s="581" t="s">
        <v>335</v>
      </c>
      <c r="X292" s="615" t="s">
        <v>364</v>
      </c>
      <c r="Y292" s="662">
        <v>2</v>
      </c>
      <c r="Z292" s="572">
        <v>22285</v>
      </c>
      <c r="AA292" s="572">
        <v>496</v>
      </c>
      <c r="AB292" s="572">
        <v>784</v>
      </c>
      <c r="AC292" s="572">
        <v>126</v>
      </c>
      <c r="AD292" s="572">
        <v>53</v>
      </c>
      <c r="AE292" s="628">
        <v>12</v>
      </c>
      <c r="AF292" s="583">
        <v>25</v>
      </c>
      <c r="AG292" s="571">
        <v>1</v>
      </c>
      <c r="AI292" s="542"/>
      <c r="AJ292" s="542"/>
      <c r="AK292" s="542"/>
    </row>
    <row r="293">
      <c r="A293" s="616"/>
      <c r="B293" s="584" t="s">
        <v>339</v>
      </c>
      <c r="C293" s="559" t="s">
        <v>347</v>
      </c>
      <c r="D293" s="620">
        <f t="shared" si="318"/>
      </c>
      <c r="E293" s="559">
        <v>2726.2</v>
      </c>
      <c r="F293" s="559">
        <v>296.9</v>
      </c>
      <c r="G293" s="573">
        <v>2</v>
      </c>
      <c r="H293" s="641">
        <v>4536</v>
      </c>
      <c r="I293" s="658">
        <f t="shared" si="412"/>
      </c>
      <c r="J293" s="659">
        <f t="shared" si="168"/>
      </c>
      <c r="K293" s="634">
        <f t="shared" si="227"/>
      </c>
      <c r="L293" s="574">
        <f t="shared" si="16"/>
      </c>
      <c r="M293" s="575">
        <f t="shared" si="109"/>
      </c>
      <c r="N293" s="576">
        <f t="shared" si="44"/>
      </c>
      <c r="O293" s="576">
        <f t="shared" si="474"/>
      </c>
      <c r="P293" s="575">
        <f t="shared" si="508"/>
      </c>
      <c r="Q293" s="576">
        <f t="shared" si="375"/>
      </c>
      <c r="R293" s="576">
        <f t="shared" si="440"/>
      </c>
      <c r="S293" s="577">
        <f t="shared" si="196"/>
      </c>
      <c r="T293" s="617">
        <f t="shared" si="255"/>
      </c>
      <c r="U293" s="579">
        <f t="shared" si="78"/>
      </c>
      <c r="V293" s="580">
        <f t="shared" si="137"/>
      </c>
      <c r="W293" s="581" t="s">
        <v>335</v>
      </c>
      <c r="X293" s="615" t="s">
        <v>364</v>
      </c>
      <c r="Y293" s="572">
        <v>2</v>
      </c>
      <c r="Z293" s="572">
        <v>11976</v>
      </c>
      <c r="AA293" s="572">
        <v>246</v>
      </c>
      <c r="AB293" s="572">
        <v>353</v>
      </c>
      <c r="AC293" s="572">
        <v>65</v>
      </c>
      <c r="AD293" s="572">
        <v>24</v>
      </c>
      <c r="AE293" s="628">
        <v>7</v>
      </c>
      <c r="AF293" s="583">
        <v>15</v>
      </c>
      <c r="AG293" s="571">
        <v>1</v>
      </c>
      <c r="AI293" s="542"/>
      <c r="AJ293" s="542"/>
      <c r="AK293" s="542"/>
    </row>
    <row r="294">
      <c r="A294" s="616"/>
      <c r="B294" s="584" t="s">
        <v>341</v>
      </c>
      <c r="C294" s="559" t="s">
        <v>347</v>
      </c>
      <c r="D294" s="620">
        <f t="shared" si="318"/>
      </c>
      <c r="E294" s="559">
        <v>3543.94</v>
      </c>
      <c r="F294" s="559">
        <v>240.03</v>
      </c>
      <c r="G294" s="573">
        <v>4</v>
      </c>
      <c r="H294" s="641">
        <v>8696</v>
      </c>
      <c r="I294" s="658">
        <f t="shared" si="412"/>
      </c>
      <c r="J294" s="659">
        <f t="shared" si="168"/>
      </c>
      <c r="K294" s="634">
        <f t="shared" si="227"/>
      </c>
      <c r="L294" s="574">
        <f t="shared" si="16"/>
      </c>
      <c r="M294" s="575">
        <f t="shared" si="109"/>
      </c>
      <c r="N294" s="576">
        <f t="shared" si="44"/>
      </c>
      <c r="O294" s="576">
        <f t="shared" si="474"/>
      </c>
      <c r="P294" s="575">
        <f t="shared" si="508"/>
      </c>
      <c r="Q294" s="576">
        <f t="shared" si="375"/>
      </c>
      <c r="R294" s="576">
        <f t="shared" si="440"/>
      </c>
      <c r="S294" s="577">
        <f t="shared" si="196"/>
      </c>
      <c r="T294" s="585">
        <f t="shared" si="255"/>
      </c>
      <c r="U294" s="577">
        <f t="shared" si="78"/>
      </c>
      <c r="V294" s="580">
        <f t="shared" si="137"/>
      </c>
      <c r="W294" s="581" t="s">
        <v>335</v>
      </c>
      <c r="X294" s="615" t="s">
        <v>364</v>
      </c>
      <c r="Y294" s="582">
        <v>3</v>
      </c>
      <c r="Z294" s="582">
        <v>14932</v>
      </c>
      <c r="AA294" s="582">
        <v>344</v>
      </c>
      <c r="AB294" s="582">
        <v>447</v>
      </c>
      <c r="AC294" s="582">
        <v>91</v>
      </c>
      <c r="AD294" s="582">
        <v>49</v>
      </c>
      <c r="AE294" s="583">
        <v>12</v>
      </c>
      <c r="AF294" s="583">
        <v>20</v>
      </c>
      <c r="AG294" s="583">
        <v>1</v>
      </c>
      <c r="AI294" s="542"/>
      <c r="AJ294" s="542"/>
      <c r="AK294" s="542"/>
    </row>
    <row r="295">
      <c r="A295" s="616"/>
      <c r="B295" s="586" t="s">
        <v>340</v>
      </c>
      <c r="C295" s="586"/>
      <c r="D295" s="587">
        <f>SUM(D290:D294)</f>
      </c>
      <c r="E295" s="587">
        <f>SUM(E290:E294)</f>
      </c>
      <c r="F295" s="587">
        <f>SUM(F290:F294)</f>
      </c>
      <c r="G295" s="587">
        <f>SUM(G290:G294)</f>
      </c>
      <c r="H295" s="642">
        <f>SUM(H290:H294)</f>
      </c>
      <c r="I295" s="663">
        <f t="shared" si="412"/>
      </c>
      <c r="J295" s="664">
        <f t="shared" si="168"/>
      </c>
      <c r="K295" s="645">
        <f t="shared" si="227"/>
      </c>
      <c r="L295" s="590">
        <f t="shared" si="16"/>
      </c>
      <c r="M295" s="591">
        <f t="shared" si="109"/>
      </c>
      <c r="N295" s="592">
        <f t="shared" si="44"/>
      </c>
      <c r="O295" s="592">
        <f t="shared" si="474"/>
      </c>
      <c r="P295" s="591">
        <f t="shared" si="508"/>
      </c>
      <c r="Q295" s="592">
        <f t="shared" si="375"/>
      </c>
      <c r="R295" s="592">
        <f t="shared" si="440"/>
      </c>
      <c r="S295" s="593">
        <f t="shared" si="196"/>
      </c>
      <c r="T295" s="594">
        <f t="shared" si="255"/>
      </c>
      <c r="U295" s="593">
        <f t="shared" si="78"/>
      </c>
      <c r="V295" s="595">
        <f t="shared" si="137"/>
      </c>
      <c r="W295" s="595"/>
      <c r="X295" s="595"/>
      <c r="Y295" s="587">
        <f>SUM(Y290:Y294)</f>
      </c>
      <c r="Z295" s="587">
        <f>SUM(Z290:Z294)</f>
      </c>
      <c r="AA295" s="587">
        <f>SUM(AA290:AA294)</f>
      </c>
      <c r="AB295" s="587">
        <f>SUM(AB290:AB294)</f>
      </c>
      <c r="AC295" s="587">
        <f>SUM(AC290:AC294)</f>
      </c>
      <c r="AD295" s="587">
        <f>SUM(AD290:AD294)</f>
      </c>
      <c r="AE295" s="587">
        <f>SUM(AE290:AE294)</f>
      </c>
      <c r="AF295" s="587">
        <f>SUM(AF290:AF294)</f>
      </c>
      <c r="AG295" s="587">
        <f>SUM(AG290:AG294)</f>
      </c>
      <c r="AI295" s="542"/>
      <c r="AJ295" s="542"/>
      <c r="AK295" s="542"/>
    </row>
    <row r="296">
      <c r="A296" s="616"/>
      <c r="B296" s="584" t="s">
        <v>343</v>
      </c>
      <c r="C296" s="559" t="s">
        <v>342</v>
      </c>
      <c r="D296" s="559">
        <f t="shared" ref="D296:D300" si="319">E296+F296</f>
      </c>
      <c r="E296" s="559">
        <v>3890.34</v>
      </c>
      <c r="F296" s="559">
        <v>347.41</v>
      </c>
      <c r="G296" s="573">
        <v>3</v>
      </c>
      <c r="H296" s="641">
        <v>5484</v>
      </c>
      <c r="I296" s="658">
        <f t="shared" si="412"/>
      </c>
      <c r="J296" s="659">
        <f t="shared" si="168"/>
      </c>
      <c r="K296" s="634">
        <f t="shared" si="227"/>
      </c>
      <c r="L296" s="596">
        <f t="shared" si="16"/>
      </c>
      <c r="M296" s="597">
        <f t="shared" si="109"/>
      </c>
      <c r="N296" s="598">
        <f t="shared" si="44"/>
      </c>
      <c r="O296" s="598">
        <f t="shared" si="474"/>
      </c>
      <c r="P296" s="597">
        <f t="shared" si="508"/>
      </c>
      <c r="Q296" s="598">
        <f t="shared" si="375"/>
      </c>
      <c r="R296" s="598">
        <f t="shared" si="440"/>
      </c>
      <c r="S296" s="599">
        <f t="shared" si="196"/>
      </c>
      <c r="T296" s="600">
        <f t="shared" si="255"/>
      </c>
      <c r="U296" s="599">
        <f t="shared" si="78"/>
      </c>
      <c r="V296" s="601">
        <f t="shared" si="137"/>
      </c>
      <c r="W296" s="602" t="s">
        <v>335</v>
      </c>
      <c r="X296" s="615" t="s">
        <v>364</v>
      </c>
      <c r="Y296" s="603">
        <v>4</v>
      </c>
      <c r="Z296" s="603">
        <v>20153</v>
      </c>
      <c r="AA296" s="603">
        <v>360</v>
      </c>
      <c r="AB296" s="603">
        <v>477</v>
      </c>
      <c r="AC296" s="603">
        <v>80</v>
      </c>
      <c r="AD296" s="603">
        <v>52</v>
      </c>
      <c r="AE296" s="604">
        <v>4</v>
      </c>
      <c r="AF296" s="604">
        <v>12</v>
      </c>
      <c r="AG296" s="604">
        <v>1</v>
      </c>
      <c r="AI296" s="542"/>
      <c r="AJ296" s="542"/>
      <c r="AK296" s="542"/>
    </row>
    <row r="297">
      <c r="A297" s="616"/>
      <c r="B297" s="584" t="s">
        <v>344</v>
      </c>
      <c r="C297" s="559" t="s">
        <v>342</v>
      </c>
      <c r="D297" s="559">
        <f t="shared" si="319"/>
      </c>
      <c r="E297" s="559">
        <v>4883.27</v>
      </c>
      <c r="F297" s="559">
        <v>306.19</v>
      </c>
      <c r="G297" s="573">
        <v>4</v>
      </c>
      <c r="H297" s="641">
        <v>9072</v>
      </c>
      <c r="I297" s="658">
        <f t="shared" si="412"/>
      </c>
      <c r="J297" s="659">
        <f t="shared" si="168"/>
      </c>
      <c r="K297" s="634">
        <f t="shared" si="227"/>
      </c>
      <c r="L297" s="596">
        <f t="shared" si="16"/>
      </c>
      <c r="M297" s="597">
        <f t="shared" si="109"/>
      </c>
      <c r="N297" s="598">
        <f t="shared" si="44"/>
      </c>
      <c r="O297" s="598">
        <f t="shared" si="474"/>
      </c>
      <c r="P297" s="597">
        <f t="shared" si="508"/>
      </c>
      <c r="Q297" s="598">
        <f t="shared" si="375"/>
      </c>
      <c r="R297" s="598">
        <f t="shared" si="440"/>
      </c>
      <c r="S297" s="599">
        <f t="shared" si="196"/>
      </c>
      <c r="T297" s="600">
        <f t="shared" si="255"/>
      </c>
      <c r="U297" s="599">
        <f t="shared" si="78"/>
      </c>
      <c r="V297" s="601">
        <f t="shared" si="137"/>
      </c>
      <c r="W297" s="602" t="s">
        <v>335</v>
      </c>
      <c r="X297" s="615" t="s">
        <v>364</v>
      </c>
      <c r="Y297" s="603">
        <v>3</v>
      </c>
      <c r="Z297" s="603">
        <v>25511</v>
      </c>
      <c r="AA297" s="603">
        <v>422</v>
      </c>
      <c r="AB297" s="603">
        <v>548</v>
      </c>
      <c r="AC297" s="603">
        <v>93</v>
      </c>
      <c r="AD297" s="603">
        <v>49</v>
      </c>
      <c r="AE297" s="604">
        <v>11</v>
      </c>
      <c r="AF297" s="604">
        <v>16</v>
      </c>
      <c r="AG297" s="604">
        <v>1</v>
      </c>
      <c r="AI297" s="542"/>
      <c r="AJ297" s="542"/>
      <c r="AK297" s="542"/>
    </row>
    <row r="298">
      <c r="A298" s="616"/>
      <c r="B298" s="584" t="s">
        <v>345</v>
      </c>
      <c r="C298" s="559" t="s">
        <v>342</v>
      </c>
      <c r="D298" s="559">
        <f t="shared" si="319"/>
      </c>
      <c r="E298" s="559">
        <v>4861.69</v>
      </c>
      <c r="F298" s="559">
        <v>292.59</v>
      </c>
      <c r="G298" s="573">
        <v>6</v>
      </c>
      <c r="H298" s="641">
        <v>12288</v>
      </c>
      <c r="I298" s="658">
        <f t="shared" si="412"/>
      </c>
      <c r="J298" s="659">
        <f t="shared" si="168"/>
      </c>
      <c r="K298" s="634">
        <f t="shared" si="227"/>
      </c>
      <c r="L298" s="596">
        <f t="shared" si="16"/>
      </c>
      <c r="M298" s="597">
        <f t="shared" si="109"/>
      </c>
      <c r="N298" s="598">
        <f t="shared" si="44"/>
      </c>
      <c r="O298" s="598">
        <f t="shared" si="474"/>
      </c>
      <c r="P298" s="597">
        <f t="shared" si="508"/>
      </c>
      <c r="Q298" s="598">
        <f t="shared" si="375"/>
      </c>
      <c r="R298" s="598">
        <f t="shared" si="440"/>
      </c>
      <c r="S298" s="599">
        <f t="shared" si="196"/>
      </c>
      <c r="T298" s="600">
        <f t="shared" si="255"/>
      </c>
      <c r="U298" s="599">
        <f t="shared" si="78"/>
      </c>
      <c r="V298" s="601">
        <f t="shared" si="137"/>
      </c>
      <c r="W298" s="602" t="s">
        <v>335</v>
      </c>
      <c r="X298" s="615" t="s">
        <v>364</v>
      </c>
      <c r="Y298" s="603">
        <v>6</v>
      </c>
      <c r="Z298" s="603">
        <v>21694</v>
      </c>
      <c r="AA298" s="603">
        <v>458</v>
      </c>
      <c r="AB298" s="603">
        <v>577</v>
      </c>
      <c r="AC298" s="603">
        <v>106</v>
      </c>
      <c r="AD298" s="603">
        <v>41</v>
      </c>
      <c r="AE298" s="604">
        <v>10</v>
      </c>
      <c r="AF298" s="604">
        <v>16</v>
      </c>
      <c r="AG298" s="604">
        <v>1</v>
      </c>
      <c r="AI298" s="542"/>
      <c r="AJ298" s="542"/>
      <c r="AK298" s="542"/>
    </row>
    <row r="299">
      <c r="A299" s="616"/>
      <c r="B299" s="584" t="s">
        <v>346</v>
      </c>
      <c r="C299" s="559" t="s">
        <v>342</v>
      </c>
      <c r="D299" s="559">
        <f t="shared" si="319"/>
      </c>
      <c r="E299" s="559">
        <v>4135.17</v>
      </c>
      <c r="F299" s="559">
        <v>324.85</v>
      </c>
      <c r="G299" s="573">
        <v>5</v>
      </c>
      <c r="H299" s="641">
        <v>8512</v>
      </c>
      <c r="I299" s="658">
        <f t="shared" si="412"/>
      </c>
      <c r="J299" s="659">
        <f t="shared" si="168"/>
      </c>
      <c r="K299" s="634">
        <f t="shared" si="227"/>
      </c>
      <c r="L299" s="596">
        <f t="shared" si="16"/>
      </c>
      <c r="M299" s="597">
        <f t="shared" si="109"/>
      </c>
      <c r="N299" s="598">
        <f t="shared" si="44"/>
      </c>
      <c r="O299" s="598">
        <f t="shared" si="474"/>
      </c>
      <c r="P299" s="597">
        <f t="shared" si="508"/>
      </c>
      <c r="Q299" s="598">
        <f t="shared" si="375"/>
      </c>
      <c r="R299" s="598">
        <f t="shared" si="440"/>
      </c>
      <c r="S299" s="599">
        <f t="shared" si="196"/>
      </c>
      <c r="T299" s="600">
        <f t="shared" si="255"/>
      </c>
      <c r="U299" s="599">
        <f t="shared" si="78"/>
      </c>
      <c r="V299" s="601">
        <f t="shared" si="137"/>
      </c>
      <c r="W299" s="602" t="s">
        <v>335</v>
      </c>
      <c r="X299" s="615" t="s">
        <v>364</v>
      </c>
      <c r="Y299" s="603">
        <v>5</v>
      </c>
      <c r="Z299" s="603">
        <v>22946</v>
      </c>
      <c r="AA299" s="603">
        <v>358</v>
      </c>
      <c r="AB299" s="603">
        <v>433</v>
      </c>
      <c r="AC299" s="603">
        <v>93</v>
      </c>
      <c r="AD299" s="603">
        <v>58</v>
      </c>
      <c r="AE299" s="604">
        <v>12</v>
      </c>
      <c r="AF299" s="604">
        <v>22</v>
      </c>
      <c r="AG299" s="604">
        <v>1</v>
      </c>
      <c r="AI299" s="542"/>
      <c r="AJ299" s="542"/>
      <c r="AK299" s="542"/>
    </row>
    <row r="300">
      <c r="A300" s="616"/>
      <c r="B300" s="584" t="s">
        <v>349</v>
      </c>
      <c r="C300" s="559" t="s">
        <v>342</v>
      </c>
      <c r="D300" s="559">
        <f t="shared" si="319"/>
      </c>
      <c r="E300" s="559">
        <v>3144.41</v>
      </c>
      <c r="F300" s="559">
        <v>222.45</v>
      </c>
      <c r="G300" s="573">
        <v>8</v>
      </c>
      <c r="H300" s="641">
        <v>15504</v>
      </c>
      <c r="I300" s="658">
        <f t="shared" si="412"/>
      </c>
      <c r="J300" s="659">
        <f t="shared" si="168"/>
      </c>
      <c r="K300" s="646">
        <f t="shared" si="227"/>
      </c>
      <c r="L300" s="596">
        <f t="shared" si="16"/>
      </c>
      <c r="M300" s="597">
        <f t="shared" si="109"/>
      </c>
      <c r="N300" s="598">
        <f t="shared" si="44"/>
      </c>
      <c r="O300" s="598">
        <f t="shared" si="474"/>
      </c>
      <c r="P300" s="597">
        <f t="shared" si="508"/>
      </c>
      <c r="Q300" s="598">
        <f t="shared" si="375"/>
      </c>
      <c r="R300" s="598">
        <f t="shared" si="440"/>
      </c>
      <c r="S300" s="599">
        <f t="shared" si="196"/>
      </c>
      <c r="T300" s="600">
        <f t="shared" si="255"/>
      </c>
      <c r="U300" s="599">
        <f t="shared" si="78"/>
      </c>
      <c r="V300" s="601">
        <f t="shared" si="137"/>
      </c>
      <c r="W300" s="602" t="s">
        <v>335</v>
      </c>
      <c r="X300" s="615" t="s">
        <v>364</v>
      </c>
      <c r="Y300" s="603">
        <v>5</v>
      </c>
      <c r="Z300" s="604">
        <v>14892</v>
      </c>
      <c r="AA300" s="604">
        <v>317</v>
      </c>
      <c r="AB300" s="604">
        <v>433</v>
      </c>
      <c r="AC300" s="604">
        <v>83</v>
      </c>
      <c r="AD300" s="603">
        <v>45</v>
      </c>
      <c r="AE300" s="604">
        <v>10</v>
      </c>
      <c r="AF300" s="604">
        <v>18</v>
      </c>
      <c r="AG300" s="604">
        <v>1</v>
      </c>
      <c r="AI300" s="542"/>
      <c r="AJ300" s="542"/>
      <c r="AK300" s="542"/>
    </row>
    <row r="301">
      <c r="A301" s="616"/>
      <c r="B301" s="586" t="s">
        <v>340</v>
      </c>
      <c r="C301" s="586"/>
      <c r="D301" s="587">
        <f>SUM(D296:D300)</f>
      </c>
      <c r="E301" s="587">
        <f>SUM(E296:E300)</f>
      </c>
      <c r="F301" s="587">
        <f>SUM(F296:F300)</f>
      </c>
      <c r="G301" s="587">
        <f>SUM(G296:G300)</f>
      </c>
      <c r="H301" s="587">
        <f>SUM(H296:H300)</f>
      </c>
      <c r="I301" s="663">
        <f t="shared" si="412"/>
      </c>
      <c r="J301" s="664">
        <f t="shared" si="168"/>
      </c>
      <c r="K301" s="647">
        <f t="shared" si="227"/>
      </c>
      <c r="L301" s="590">
        <f t="shared" si="16"/>
      </c>
      <c r="M301" s="591">
        <f t="shared" si="109"/>
      </c>
      <c r="N301" s="592">
        <f t="shared" si="44"/>
      </c>
      <c r="O301" s="592">
        <f t="shared" si="474"/>
      </c>
      <c r="P301" s="591">
        <f t="shared" si="508"/>
      </c>
      <c r="Q301" s="592">
        <f t="shared" si="375"/>
      </c>
      <c r="R301" s="592">
        <f t="shared" si="440"/>
      </c>
      <c r="S301" s="593">
        <f t="shared" si="196"/>
      </c>
      <c r="T301" s="594">
        <f t="shared" si="255"/>
      </c>
      <c r="U301" s="593">
        <f t="shared" si="78"/>
      </c>
      <c r="V301" s="595">
        <f t="shared" si="137"/>
      </c>
      <c r="W301" s="595"/>
      <c r="X301" s="595"/>
      <c r="Y301" s="587">
        <f>SUM(Y296:Y300)</f>
      </c>
      <c r="Z301" s="587">
        <f>SUM(Z296:Z300)</f>
      </c>
      <c r="AA301" s="587">
        <f>SUM(AA296:AA300)</f>
      </c>
      <c r="AB301" s="587">
        <f>SUM(AB296:AB300)</f>
      </c>
      <c r="AC301" s="587">
        <f>SUM(AC296:AC300)</f>
      </c>
      <c r="AD301" s="587">
        <f>SUM(AD296:AD300)</f>
      </c>
      <c r="AE301" s="587">
        <f>SUM(AE296:AE300)</f>
      </c>
      <c r="AF301" s="587">
        <f>SUM(AF296:AF300)</f>
      </c>
      <c r="AG301" s="587">
        <f>SUM(AG296:AG300)</f>
      </c>
      <c r="AI301" s="542"/>
      <c r="AJ301" s="542"/>
      <c r="AK301" s="542"/>
    </row>
    <row r="302">
      <c r="A302" s="616"/>
      <c r="B302" s="607" t="s">
        <v>352</v>
      </c>
      <c r="C302" s="607"/>
      <c r="D302" s="607">
        <f>D295+D301</f>
      </c>
      <c r="E302" s="607">
        <f>E295+E301</f>
      </c>
      <c r="F302" s="607">
        <f>F295+F301</f>
      </c>
      <c r="G302" s="607">
        <f>G295+G301</f>
      </c>
      <c r="H302" s="607">
        <f>H295+H301</f>
      </c>
      <c r="I302" s="608">
        <f t="shared" si="412"/>
      </c>
      <c r="J302" s="608">
        <f t="shared" si="168"/>
      </c>
      <c r="K302" s="651">
        <f t="shared" si="227"/>
      </c>
      <c r="L302" s="610">
        <f t="shared" si="16"/>
      </c>
      <c r="M302" s="611">
        <f t="shared" si="109"/>
      </c>
      <c r="N302" s="612">
        <f t="shared" si="44"/>
      </c>
      <c r="O302" s="612">
        <f t="shared" si="474"/>
      </c>
      <c r="P302" s="611">
        <f t="shared" si="508"/>
      </c>
      <c r="Q302" s="612">
        <f t="shared" si="375"/>
      </c>
      <c r="R302" s="612">
        <f t="shared" si="440"/>
      </c>
      <c r="S302" s="611">
        <f t="shared" si="196"/>
      </c>
      <c r="T302" s="613">
        <f t="shared" si="255"/>
      </c>
      <c r="U302" s="611">
        <f t="shared" si="78"/>
      </c>
      <c r="V302" s="609">
        <f t="shared" si="137"/>
      </c>
      <c r="W302" s="609"/>
      <c r="X302" s="609"/>
      <c r="Y302" s="607">
        <f>Y295+Y301</f>
      </c>
      <c r="Z302" s="607">
        <f>Z295+Z301</f>
      </c>
      <c r="AA302" s="607">
        <f>AA295+AA301</f>
      </c>
      <c r="AB302" s="607">
        <f>AB295+AB301</f>
      </c>
      <c r="AC302" s="607">
        <f>AC295+AC301</f>
      </c>
      <c r="AD302" s="607">
        <f>AD295+AD301</f>
      </c>
      <c r="AE302" s="607">
        <f>AE295+AE301</f>
      </c>
      <c r="AF302" s="607">
        <f>AF295+AF301</f>
      </c>
      <c r="AG302" s="607">
        <f>AG295+AG301</f>
      </c>
      <c r="AI302" s="542"/>
      <c r="AJ302" s="542"/>
      <c r="AK302" s="542"/>
    </row>
    <row r="303">
      <c r="A303" s="538" t="s">
        <v>295</v>
      </c>
      <c r="B303" s="538"/>
      <c r="C303" s="538"/>
      <c r="D303" s="614" t="s">
        <v>296</v>
      </c>
      <c r="E303" s="614"/>
      <c r="F303" s="614"/>
      <c r="G303" s="614"/>
      <c r="H303" s="614"/>
      <c r="I303" s="614"/>
      <c r="J303" s="614"/>
      <c r="K303" s="540" t="s">
        <v>297</v>
      </c>
      <c r="L303" s="540"/>
      <c r="M303" s="540"/>
      <c r="N303" s="540"/>
      <c r="O303" s="540"/>
      <c r="P303" s="540"/>
      <c r="Q303" s="540"/>
      <c r="R303" s="540"/>
      <c r="S303" s="540"/>
      <c r="T303" s="540"/>
      <c r="U303" s="540"/>
      <c r="V303" s="540"/>
      <c r="W303" s="540"/>
      <c r="X303" s="540"/>
      <c r="Y303" s="541" t="s">
        <v>298</v>
      </c>
      <c r="Z303" s="541"/>
      <c r="AA303" s="541"/>
      <c r="AB303" s="541"/>
      <c r="AC303" s="541"/>
      <c r="AD303" s="541"/>
      <c r="AE303" s="541"/>
      <c r="AF303" s="541"/>
      <c r="AG303" s="541"/>
      <c r="AI303" s="542"/>
      <c r="AJ303" s="542"/>
      <c r="AK303" s="542"/>
    </row>
    <row r="304">
      <c r="A304" s="543" t="s">
        <v>299</v>
      </c>
      <c r="B304" s="544" t="s">
        <v>300</v>
      </c>
      <c r="C304" s="544" t="s">
        <v>301</v>
      </c>
      <c r="D304" s="545" t="s">
        <v>302</v>
      </c>
      <c r="E304" s="546" t="s">
        <v>303</v>
      </c>
      <c r="F304" s="546" t="s">
        <v>304</v>
      </c>
      <c r="G304" s="547" t="s">
        <v>305</v>
      </c>
      <c r="H304" s="548" t="s">
        <v>306</v>
      </c>
      <c r="I304" s="630" t="s">
        <v>307</v>
      </c>
      <c r="J304" s="630" t="s">
        <v>308</v>
      </c>
      <c r="K304" s="551" t="s">
        <v>309</v>
      </c>
      <c r="L304" s="540" t="s">
        <v>310</v>
      </c>
      <c r="M304" s="540" t="s">
        <v>311</v>
      </c>
      <c r="N304" s="552" t="s">
        <v>312</v>
      </c>
      <c r="O304" s="552" t="s">
        <v>313</v>
      </c>
      <c r="P304" s="540" t="s">
        <v>314</v>
      </c>
      <c r="Q304" s="552" t="s">
        <v>315</v>
      </c>
      <c r="R304" s="552" t="s">
        <v>316</v>
      </c>
      <c r="S304" s="540" t="s">
        <v>317</v>
      </c>
      <c r="T304" s="552" t="s">
        <v>318</v>
      </c>
      <c r="U304" s="540" t="s">
        <v>319</v>
      </c>
      <c r="V304" s="553" t="s">
        <v>320</v>
      </c>
      <c r="W304" s="553" t="s">
        <v>321</v>
      </c>
      <c r="X304" s="553" t="s">
        <v>322</v>
      </c>
      <c r="Y304" s="618" t="s">
        <v>323</v>
      </c>
      <c r="Z304" s="619" t="s">
        <v>324</v>
      </c>
      <c r="AA304" s="619" t="s">
        <v>325</v>
      </c>
      <c r="AB304" s="619" t="s">
        <v>326</v>
      </c>
      <c r="AC304" s="619" t="s">
        <v>327</v>
      </c>
      <c r="AD304" s="619" t="s">
        <v>328</v>
      </c>
      <c r="AE304" s="555" t="s">
        <v>329</v>
      </c>
      <c r="AF304" s="555" t="s">
        <v>330</v>
      </c>
      <c r="AG304" s="555" t="s">
        <v>331</v>
      </c>
      <c r="AI304" s="542"/>
      <c r="AJ304" s="542"/>
      <c r="AK304" s="542"/>
    </row>
    <row r="305">
      <c r="A305" s="557" t="s">
        <v>373</v>
      </c>
      <c r="B305" s="584" t="s">
        <v>333</v>
      </c>
      <c r="C305" s="559" t="s">
        <v>347</v>
      </c>
      <c r="D305" s="620">
        <f t="shared" ref="D305:D309" si="320">E305+F305</f>
      </c>
      <c r="E305" s="621">
        <v>2894.21</v>
      </c>
      <c r="F305" s="584">
        <v>591.37</v>
      </c>
      <c r="G305" s="573">
        <v>2</v>
      </c>
      <c r="H305" s="641">
        <v>3028</v>
      </c>
      <c r="I305" s="652">
        <f t="shared" ref="I305:I317" si="413">H305/D305</f>
      </c>
      <c r="J305" s="653">
        <f t="shared" ref="J305:J317" si="169">H305/(D305+300*AG305)</f>
      </c>
      <c r="K305" s="634">
        <f t="shared" ref="K305:K317" si="228">(D305/Z305)*1000</f>
      </c>
      <c r="L305" s="564">
        <f t="shared" ref="L305:L317" si="17">AA305/Z305</f>
      </c>
      <c r="M305" s="654">
        <f t="shared" ref="M305:M317" si="110">D305/AB305</f>
      </c>
      <c r="N305" s="566">
        <f t="shared" ref="N305:N317" si="45">AC305/AB305</f>
      </c>
      <c r="O305" s="566">
        <f t="shared" ref="O305:O317" si="475">AD305/AB305</f>
      </c>
      <c r="P305" s="565">
        <f t="shared" ref="P305:P317" si="509">D305/AD305</f>
      </c>
      <c r="Q305" s="566">
        <f t="shared" ref="Q305:Q317" si="376">AE305/AD305</f>
      </c>
      <c r="R305" s="566">
        <f t="shared" ref="R305:R317" si="441">G305/AE305</f>
      </c>
      <c r="S305" s="565">
        <f t="shared" ref="S305:S317" si="197">D305/G305</f>
      </c>
      <c r="T305" s="567">
        <f t="shared" ref="T305:T317" si="256">H305/G305</f>
      </c>
      <c r="U305" s="565">
        <f t="shared" ref="U305:U317" si="79">D305/Y305</f>
      </c>
      <c r="V305" s="568">
        <f t="shared" ref="V305:V317" si="138">AF305*1000/D305</f>
      </c>
      <c r="W305" s="569" t="s">
        <v>335</v>
      </c>
      <c r="X305" s="655" t="s">
        <v>364</v>
      </c>
      <c r="Y305" s="624">
        <v>2</v>
      </c>
      <c r="Z305" s="656">
        <v>12197</v>
      </c>
      <c r="AA305" s="657">
        <v>378</v>
      </c>
      <c r="AB305" s="624">
        <v>503</v>
      </c>
      <c r="AC305" s="656">
        <v>80</v>
      </c>
      <c r="AD305" s="572">
        <v>40</v>
      </c>
      <c r="AE305" s="625">
        <v>6</v>
      </c>
      <c r="AF305" s="571">
        <v>12</v>
      </c>
      <c r="AG305" s="571">
        <v>1</v>
      </c>
      <c r="AI305" s="542"/>
      <c r="AJ305" s="542"/>
      <c r="AK305" s="542"/>
    </row>
    <row r="306">
      <c r="A306" s="557"/>
      <c r="B306" s="584" t="s">
        <v>337</v>
      </c>
      <c r="C306" s="559" t="s">
        <v>347</v>
      </c>
      <c r="D306" s="620">
        <f t="shared" si="320"/>
      </c>
      <c r="E306" s="626">
        <v>3336.96</v>
      </c>
      <c r="F306" s="559">
        <v>457.62</v>
      </c>
      <c r="G306" s="573">
        <v>2</v>
      </c>
      <c r="H306" s="641">
        <v>4536</v>
      </c>
      <c r="I306" s="658">
        <f t="shared" si="413"/>
      </c>
      <c r="J306" s="659">
        <f t="shared" si="169"/>
      </c>
      <c r="K306" s="634">
        <f t="shared" si="228"/>
      </c>
      <c r="L306" s="665">
        <f t="shared" si="17"/>
      </c>
      <c r="M306" s="661">
        <f t="shared" si="110"/>
      </c>
      <c r="N306" s="574">
        <f t="shared" si="45"/>
      </c>
      <c r="O306" s="576">
        <f t="shared" si="475"/>
      </c>
      <c r="P306" s="575">
        <f t="shared" si="509"/>
      </c>
      <c r="Q306" s="576">
        <f t="shared" si="376"/>
      </c>
      <c r="R306" s="576">
        <f t="shared" si="441"/>
      </c>
      <c r="S306" s="577">
        <f t="shared" si="197"/>
      </c>
      <c r="T306" s="617">
        <f t="shared" si="256"/>
      </c>
      <c r="U306" s="579">
        <f t="shared" si="79"/>
      </c>
      <c r="V306" s="580">
        <f t="shared" si="138"/>
      </c>
      <c r="W306" s="581" t="s">
        <v>335</v>
      </c>
      <c r="X306" s="655" t="s">
        <v>364</v>
      </c>
      <c r="Y306" s="629">
        <v>1</v>
      </c>
      <c r="Z306" s="656">
        <v>14385</v>
      </c>
      <c r="AA306" s="572">
        <v>396</v>
      </c>
      <c r="AB306" s="662">
        <v>568</v>
      </c>
      <c r="AC306" s="572">
        <v>83</v>
      </c>
      <c r="AD306" s="572">
        <v>10</v>
      </c>
      <c r="AE306" s="628">
        <v>8</v>
      </c>
      <c r="AF306" s="583">
        <v>16</v>
      </c>
      <c r="AG306" s="571">
        <v>1</v>
      </c>
      <c r="AI306" s="542"/>
      <c r="AJ306" s="542"/>
      <c r="AK306" s="542"/>
    </row>
    <row r="307">
      <c r="A307" s="557"/>
      <c r="B307" s="584" t="s">
        <v>338</v>
      </c>
      <c r="C307" s="559" t="s">
        <v>347</v>
      </c>
      <c r="D307" s="620">
        <f t="shared" si="320"/>
      </c>
      <c r="E307" s="559">
        <v>4852.92</v>
      </c>
      <c r="F307" s="559">
        <v>547.3</v>
      </c>
      <c r="G307" s="573">
        <v>9</v>
      </c>
      <c r="H307" s="641">
        <v>18312</v>
      </c>
      <c r="I307" s="658">
        <f t="shared" si="413"/>
      </c>
      <c r="J307" s="659">
        <f t="shared" si="169"/>
      </c>
      <c r="K307" s="666">
        <f t="shared" si="228"/>
      </c>
      <c r="L307" s="667">
        <f t="shared" si="17"/>
      </c>
      <c r="M307" s="668">
        <f t="shared" si="110"/>
      </c>
      <c r="N307" s="576">
        <f t="shared" si="45"/>
      </c>
      <c r="O307" s="576">
        <f t="shared" si="475"/>
      </c>
      <c r="P307" s="575">
        <f t="shared" si="509"/>
      </c>
      <c r="Q307" s="576">
        <f t="shared" si="376"/>
      </c>
      <c r="R307" s="576">
        <f t="shared" si="441"/>
      </c>
      <c r="S307" s="577">
        <f t="shared" si="197"/>
      </c>
      <c r="T307" s="567">
        <f t="shared" si="256"/>
      </c>
      <c r="U307" s="579">
        <f t="shared" si="79"/>
      </c>
      <c r="V307" s="580">
        <f t="shared" si="138"/>
      </c>
      <c r="W307" s="581" t="s">
        <v>335</v>
      </c>
      <c r="X307" s="615" t="s">
        <v>364</v>
      </c>
      <c r="Y307" s="662">
        <v>10</v>
      </c>
      <c r="Z307" s="572">
        <v>15238</v>
      </c>
      <c r="AA307" s="572">
        <v>452</v>
      </c>
      <c r="AB307" s="572">
        <v>591</v>
      </c>
      <c r="AC307" s="572">
        <v>108</v>
      </c>
      <c r="AD307" s="572">
        <v>60</v>
      </c>
      <c r="AE307" s="628">
        <v>15</v>
      </c>
      <c r="AF307" s="583">
        <v>28</v>
      </c>
      <c r="AG307" s="571">
        <v>1</v>
      </c>
      <c r="AI307" s="542"/>
      <c r="AJ307" s="542"/>
      <c r="AK307" s="542"/>
    </row>
    <row r="308">
      <c r="A308" s="557"/>
      <c r="B308" s="584" t="s">
        <v>339</v>
      </c>
      <c r="C308" s="559" t="s">
        <v>347</v>
      </c>
      <c r="D308" s="620">
        <f t="shared" si="320"/>
      </c>
      <c r="E308" s="559">
        <v>3393.77</v>
      </c>
      <c r="F308" s="559">
        <v>869.1</v>
      </c>
      <c r="G308" s="573">
        <v>1</v>
      </c>
      <c r="H308" s="641">
        <v>2268</v>
      </c>
      <c r="I308" s="658">
        <f t="shared" si="413"/>
      </c>
      <c r="J308" s="659">
        <f t="shared" si="169"/>
      </c>
      <c r="K308" s="634">
        <f t="shared" si="228"/>
      </c>
      <c r="L308" s="574">
        <f t="shared" si="17"/>
      </c>
      <c r="M308" s="575">
        <f t="shared" si="110"/>
      </c>
      <c r="N308" s="576">
        <f t="shared" si="45"/>
      </c>
      <c r="O308" s="576">
        <f t="shared" si="475"/>
      </c>
      <c r="P308" s="575">
        <f t="shared" si="509"/>
      </c>
      <c r="Q308" s="576">
        <f t="shared" si="376"/>
      </c>
      <c r="R308" s="576">
        <f t="shared" si="441"/>
      </c>
      <c r="S308" s="577">
        <f t="shared" si="197"/>
      </c>
      <c r="T308" s="617">
        <f t="shared" si="256"/>
      </c>
      <c r="U308" s="579">
        <f t="shared" si="79"/>
      </c>
      <c r="V308" s="580">
        <f t="shared" si="138"/>
      </c>
      <c r="W308" s="581" t="s">
        <v>335</v>
      </c>
      <c r="X308" s="615" t="s">
        <v>364</v>
      </c>
      <c r="Y308" s="572">
        <v>1</v>
      </c>
      <c r="Z308" s="572">
        <v>15805</v>
      </c>
      <c r="AA308" s="572">
        <v>431</v>
      </c>
      <c r="AB308" s="572">
        <v>553</v>
      </c>
      <c r="AC308" s="572">
        <v>101</v>
      </c>
      <c r="AD308" s="572">
        <v>51</v>
      </c>
      <c r="AE308" s="628">
        <v>5</v>
      </c>
      <c r="AF308" s="583">
        <v>18</v>
      </c>
      <c r="AG308" s="571">
        <v>1</v>
      </c>
      <c r="AI308" s="542"/>
      <c r="AJ308" s="542"/>
      <c r="AK308" s="542"/>
    </row>
    <row r="309">
      <c r="A309" s="557"/>
      <c r="B309" s="584" t="s">
        <v>341</v>
      </c>
      <c r="C309" s="559" t="s">
        <v>347</v>
      </c>
      <c r="D309" s="620">
        <f t="shared" si="320"/>
      </c>
      <c r="E309" s="559">
        <v>2751.02</v>
      </c>
      <c r="F309" s="559">
        <v>557</v>
      </c>
      <c r="G309" s="573">
        <v>2</v>
      </c>
      <c r="H309" s="641">
        <v>4348</v>
      </c>
      <c r="I309" s="658">
        <f t="shared" si="413"/>
      </c>
      <c r="J309" s="659">
        <f t="shared" si="169"/>
      </c>
      <c r="K309" s="634">
        <f t="shared" si="228"/>
      </c>
      <c r="L309" s="574">
        <f t="shared" si="17"/>
      </c>
      <c r="M309" s="575">
        <f t="shared" si="110"/>
      </c>
      <c r="N309" s="576">
        <f t="shared" si="45"/>
      </c>
      <c r="O309" s="576">
        <f t="shared" si="475"/>
      </c>
      <c r="P309" s="575">
        <f t="shared" si="509"/>
      </c>
      <c r="Q309" s="576">
        <f t="shared" si="376"/>
      </c>
      <c r="R309" s="576">
        <f t="shared" si="441"/>
      </c>
      <c r="S309" s="577">
        <f t="shared" si="197"/>
      </c>
      <c r="T309" s="585">
        <f t="shared" si="256"/>
      </c>
      <c r="U309" s="577">
        <f t="shared" si="79"/>
      </c>
      <c r="V309" s="580">
        <f t="shared" si="138"/>
      </c>
      <c r="W309" s="581" t="s">
        <v>335</v>
      </c>
      <c r="X309" s="615" t="s">
        <v>364</v>
      </c>
      <c r="Y309" s="582">
        <v>2</v>
      </c>
      <c r="Z309" s="582">
        <v>14902</v>
      </c>
      <c r="AA309" s="582">
        <v>318</v>
      </c>
      <c r="AB309" s="582">
        <v>384</v>
      </c>
      <c r="AC309" s="582">
        <v>65</v>
      </c>
      <c r="AD309" s="582">
        <v>32</v>
      </c>
      <c r="AE309" s="583">
        <v>8</v>
      </c>
      <c r="AF309" s="583">
        <v>14</v>
      </c>
      <c r="AG309" s="583">
        <v>1</v>
      </c>
      <c r="AI309" s="542"/>
      <c r="AJ309" s="542"/>
      <c r="AK309" s="542"/>
    </row>
    <row r="310">
      <c r="A310" s="557"/>
      <c r="B310" s="586" t="s">
        <v>340</v>
      </c>
      <c r="C310" s="586"/>
      <c r="D310" s="587">
        <f>SUM(D305:D309)</f>
      </c>
      <c r="E310" s="587">
        <f>SUM(E305:E309)</f>
      </c>
      <c r="F310" s="587">
        <f>SUM(F305:F309)</f>
      </c>
      <c r="G310" s="587">
        <f>SUM(G305:G309)</f>
      </c>
      <c r="H310" s="642">
        <f>SUM(H305:H309)</f>
      </c>
      <c r="I310" s="663">
        <f t="shared" si="413"/>
      </c>
      <c r="J310" s="664">
        <f t="shared" si="169"/>
      </c>
      <c r="K310" s="645">
        <f t="shared" si="228"/>
      </c>
      <c r="L310" s="590">
        <f t="shared" si="17"/>
      </c>
      <c r="M310" s="591">
        <f t="shared" si="110"/>
      </c>
      <c r="N310" s="592">
        <f t="shared" si="45"/>
      </c>
      <c r="O310" s="592">
        <f t="shared" si="475"/>
      </c>
      <c r="P310" s="591">
        <f t="shared" si="509"/>
      </c>
      <c r="Q310" s="592">
        <f t="shared" si="376"/>
      </c>
      <c r="R310" s="592">
        <f t="shared" si="441"/>
      </c>
      <c r="S310" s="593">
        <f t="shared" si="197"/>
      </c>
      <c r="T310" s="594">
        <f t="shared" si="256"/>
      </c>
      <c r="U310" s="593">
        <f t="shared" si="79"/>
      </c>
      <c r="V310" s="595">
        <f t="shared" si="138"/>
      </c>
      <c r="W310" s="595"/>
      <c r="X310" s="595"/>
      <c r="Y310" s="587">
        <f>SUM(Y305:Y309)</f>
      </c>
      <c r="Z310" s="587">
        <f>SUM(Z305:Z309)</f>
      </c>
      <c r="AA310" s="587">
        <f>SUM(AA305:AA309)</f>
      </c>
      <c r="AB310" s="587">
        <f>SUM(AB305:AB309)</f>
      </c>
      <c r="AC310" s="587">
        <f>SUM(AC305:AC309)</f>
      </c>
      <c r="AD310" s="587">
        <f>SUM(AD305:AD309)</f>
      </c>
      <c r="AE310" s="587">
        <f>SUM(AE305:AE309)</f>
      </c>
      <c r="AF310" s="587">
        <f>SUM(AF305:AF309)</f>
      </c>
      <c r="AG310" s="587">
        <f>SUM(AG305:AG309)</f>
      </c>
      <c r="AI310" s="542"/>
      <c r="AJ310" s="542"/>
      <c r="AK310" s="542"/>
    </row>
    <row r="311">
      <c r="A311" s="557"/>
      <c r="B311" s="584" t="s">
        <v>343</v>
      </c>
      <c r="C311" s="559" t="s">
        <v>342</v>
      </c>
      <c r="D311" s="559">
        <f t="shared" ref="D311:D315" si="321">E311+F311</f>
      </c>
      <c r="E311" s="559">
        <v>2688.14</v>
      </c>
      <c r="F311" s="559">
        <v>343.05</v>
      </c>
      <c r="G311" s="573">
        <v>1</v>
      </c>
      <c r="H311" s="641">
        <v>948</v>
      </c>
      <c r="I311" s="658">
        <f t="shared" si="413"/>
      </c>
      <c r="J311" s="659">
        <f t="shared" si="169"/>
      </c>
      <c r="K311" s="634">
        <f t="shared" si="228"/>
      </c>
      <c r="L311" s="596">
        <f t="shared" si="17"/>
      </c>
      <c r="M311" s="597">
        <f t="shared" si="110"/>
      </c>
      <c r="N311" s="598">
        <f t="shared" si="45"/>
      </c>
      <c r="O311" s="598">
        <f t="shared" si="475"/>
      </c>
      <c r="P311" s="597">
        <f t="shared" si="509"/>
      </c>
      <c r="Q311" s="598">
        <f t="shared" si="376"/>
      </c>
      <c r="R311" s="598">
        <f t="shared" si="441"/>
      </c>
      <c r="S311" s="599">
        <f t="shared" si="197"/>
      </c>
      <c r="T311" s="600">
        <f t="shared" si="256"/>
      </c>
      <c r="U311" s="599">
        <f t="shared" si="79"/>
      </c>
      <c r="V311" s="601">
        <f t="shared" si="138"/>
      </c>
      <c r="W311" s="602" t="s">
        <v>335</v>
      </c>
      <c r="X311" s="615" t="s">
        <v>364</v>
      </c>
      <c r="Y311" s="603">
        <v>1</v>
      </c>
      <c r="Z311" s="603">
        <v>11610</v>
      </c>
      <c r="AA311" s="603">
        <v>292</v>
      </c>
      <c r="AB311" s="603">
        <v>341</v>
      </c>
      <c r="AC311" s="603">
        <v>60</v>
      </c>
      <c r="AD311" s="603">
        <v>27</v>
      </c>
      <c r="AE311" s="604">
        <v>4</v>
      </c>
      <c r="AF311" s="604">
        <v>11</v>
      </c>
      <c r="AG311" s="604">
        <v>1</v>
      </c>
      <c r="AI311" s="542"/>
      <c r="AJ311" s="542"/>
      <c r="AK311" s="542"/>
    </row>
    <row r="312">
      <c r="A312" s="557"/>
      <c r="B312" s="584" t="s">
        <v>344</v>
      </c>
      <c r="C312" s="559" t="s">
        <v>342</v>
      </c>
      <c r="D312" s="559">
        <f t="shared" si="321"/>
      </c>
      <c r="E312" s="559">
        <v>3110.64</v>
      </c>
      <c r="F312" s="559">
        <v>307.63</v>
      </c>
      <c r="G312" s="573">
        <v>1</v>
      </c>
      <c r="H312" s="641">
        <v>2268</v>
      </c>
      <c r="I312" s="658">
        <f t="shared" si="413"/>
      </c>
      <c r="J312" s="659">
        <f t="shared" si="169"/>
      </c>
      <c r="K312" s="634">
        <f t="shared" si="228"/>
      </c>
      <c r="L312" s="596">
        <f t="shared" si="17"/>
      </c>
      <c r="M312" s="597">
        <f t="shared" si="110"/>
      </c>
      <c r="N312" s="598">
        <f t="shared" si="45"/>
      </c>
      <c r="O312" s="598">
        <f t="shared" si="475"/>
      </c>
      <c r="P312" s="597">
        <f t="shared" si="509"/>
      </c>
      <c r="Q312" s="598">
        <f t="shared" si="376"/>
      </c>
      <c r="R312" s="598">
        <f t="shared" si="441"/>
      </c>
      <c r="S312" s="599">
        <f t="shared" si="197"/>
      </c>
      <c r="T312" s="600">
        <f t="shared" si="256"/>
      </c>
      <c r="U312" s="599">
        <f t="shared" si="79"/>
      </c>
      <c r="V312" s="601">
        <f t="shared" si="138"/>
      </c>
      <c r="W312" s="602" t="s">
        <v>335</v>
      </c>
      <c r="X312" s="615" t="s">
        <v>364</v>
      </c>
      <c r="Y312" s="603">
        <v>1</v>
      </c>
      <c r="Z312" s="603">
        <v>12497</v>
      </c>
      <c r="AA312" s="603">
        <v>346</v>
      </c>
      <c r="AB312" s="603">
        <v>439</v>
      </c>
      <c r="AC312" s="603">
        <v>78</v>
      </c>
      <c r="AD312" s="603">
        <v>33</v>
      </c>
      <c r="AE312" s="604">
        <v>3</v>
      </c>
      <c r="AF312" s="604">
        <v>18</v>
      </c>
      <c r="AG312" s="604">
        <v>1</v>
      </c>
      <c r="AI312" s="542"/>
      <c r="AJ312" s="542"/>
      <c r="AK312" s="542"/>
    </row>
    <row r="313">
      <c r="A313" s="557"/>
      <c r="B313" s="584" t="s">
        <v>345</v>
      </c>
      <c r="C313" s="559" t="s">
        <v>342</v>
      </c>
      <c r="D313" s="559">
        <f t="shared" si="321"/>
      </c>
      <c r="E313" s="559">
        <v>4265.64</v>
      </c>
      <c r="F313" s="559">
        <v>80.75</v>
      </c>
      <c r="G313" s="573">
        <v>5</v>
      </c>
      <c r="H313" s="641">
        <v>10020</v>
      </c>
      <c r="I313" s="658">
        <f t="shared" si="413"/>
      </c>
      <c r="J313" s="659">
        <f t="shared" si="169"/>
      </c>
      <c r="K313" s="634">
        <f t="shared" si="228"/>
      </c>
      <c r="L313" s="596">
        <f t="shared" si="17"/>
      </c>
      <c r="M313" s="597">
        <f t="shared" si="110"/>
      </c>
      <c r="N313" s="598">
        <f t="shared" si="45"/>
      </c>
      <c r="O313" s="598">
        <f t="shared" si="475"/>
      </c>
      <c r="P313" s="597">
        <f t="shared" si="509"/>
      </c>
      <c r="Q313" s="598">
        <f t="shared" si="376"/>
      </c>
      <c r="R313" s="598">
        <f t="shared" si="441"/>
      </c>
      <c r="S313" s="599">
        <f t="shared" si="197"/>
      </c>
      <c r="T313" s="600">
        <f t="shared" si="256"/>
      </c>
      <c r="U313" s="599">
        <f t="shared" si="79"/>
      </c>
      <c r="V313" s="601">
        <f t="shared" si="138"/>
      </c>
      <c r="W313" s="602" t="s">
        <v>335</v>
      </c>
      <c r="X313" s="615" t="s">
        <v>364</v>
      </c>
      <c r="Y313" s="603">
        <v>4</v>
      </c>
      <c r="Z313" s="603">
        <v>13864</v>
      </c>
      <c r="AA313" s="603">
        <v>334</v>
      </c>
      <c r="AB313" s="603">
        <v>422</v>
      </c>
      <c r="AC313" s="603">
        <v>83</v>
      </c>
      <c r="AD313" s="603">
        <v>40</v>
      </c>
      <c r="AE313" s="604">
        <v>12</v>
      </c>
      <c r="AF313" s="604">
        <v>23</v>
      </c>
      <c r="AG313" s="604">
        <v>1</v>
      </c>
      <c r="AI313" s="542"/>
      <c r="AJ313" s="542"/>
      <c r="AK313" s="542"/>
    </row>
    <row r="314">
      <c r="A314" s="557"/>
      <c r="B314" s="584" t="s">
        <v>346</v>
      </c>
      <c r="C314" s="559" t="s">
        <v>342</v>
      </c>
      <c r="D314" s="559">
        <f t="shared" si="321"/>
      </c>
      <c r="E314" s="559">
        <v>2347.9</v>
      </c>
      <c r="F314" s="559">
        <v>96.15</v>
      </c>
      <c r="G314" s="573">
        <v>2</v>
      </c>
      <c r="H314" s="641">
        <v>3216</v>
      </c>
      <c r="I314" s="658">
        <f t="shared" si="413"/>
      </c>
      <c r="J314" s="659">
        <f t="shared" si="169"/>
      </c>
      <c r="K314" s="634">
        <f t="shared" si="228"/>
      </c>
      <c r="L314" s="596">
        <f t="shared" si="17"/>
      </c>
      <c r="M314" s="597">
        <f t="shared" si="110"/>
      </c>
      <c r="N314" s="598">
        <f t="shared" si="45"/>
      </c>
      <c r="O314" s="598">
        <f t="shared" si="475"/>
      </c>
      <c r="P314" s="597">
        <f t="shared" si="509"/>
      </c>
      <c r="Q314" s="598">
        <f t="shared" si="376"/>
      </c>
      <c r="R314" s="598">
        <f t="shared" si="441"/>
      </c>
      <c r="S314" s="599">
        <f t="shared" si="197"/>
      </c>
      <c r="T314" s="600">
        <f t="shared" si="256"/>
      </c>
      <c r="U314" s="599">
        <f t="shared" si="79"/>
      </c>
      <c r="V314" s="601">
        <f t="shared" si="138"/>
      </c>
      <c r="W314" s="602" t="s">
        <v>335</v>
      </c>
      <c r="X314" s="615" t="s">
        <v>364</v>
      </c>
      <c r="Y314" s="603">
        <v>1</v>
      </c>
      <c r="Z314" s="603">
        <v>10300</v>
      </c>
      <c r="AA314" s="603">
        <v>215</v>
      </c>
      <c r="AB314" s="603">
        <v>277</v>
      </c>
      <c r="AC314" s="603">
        <v>40</v>
      </c>
      <c r="AD314" s="603">
        <v>20</v>
      </c>
      <c r="AE314" s="604">
        <v>4</v>
      </c>
      <c r="AF314" s="604">
        <v>8</v>
      </c>
      <c r="AG314" s="604">
        <v>1</v>
      </c>
      <c r="AI314" s="542"/>
      <c r="AJ314" s="542"/>
      <c r="AK314" s="542"/>
    </row>
    <row r="315">
      <c r="A315" s="557"/>
      <c r="B315" s="584" t="s">
        <v>349</v>
      </c>
      <c r="C315" s="559" t="s">
        <v>342</v>
      </c>
      <c r="D315" s="559">
        <f t="shared" si="321"/>
      </c>
      <c r="E315" s="559">
        <v>2443.27</v>
      </c>
      <c r="F315" s="559">
        <v>336.34</v>
      </c>
      <c r="G315" s="573">
        <v>2</v>
      </c>
      <c r="H315" s="641">
        <v>4536</v>
      </c>
      <c r="I315" s="658">
        <f t="shared" si="413"/>
      </c>
      <c r="J315" s="659">
        <f t="shared" si="169"/>
      </c>
      <c r="K315" s="646">
        <f t="shared" si="228"/>
      </c>
      <c r="L315" s="596">
        <f t="shared" si="17"/>
      </c>
      <c r="M315" s="597">
        <f t="shared" si="110"/>
      </c>
      <c r="N315" s="598">
        <f t="shared" si="45"/>
      </c>
      <c r="O315" s="598">
        <f t="shared" si="475"/>
      </c>
      <c r="P315" s="597">
        <f t="shared" si="509"/>
      </c>
      <c r="Q315" s="598">
        <f t="shared" si="376"/>
      </c>
      <c r="R315" s="598">
        <f t="shared" si="441"/>
      </c>
      <c r="S315" s="599">
        <f t="shared" si="197"/>
      </c>
      <c r="T315" s="600">
        <f t="shared" si="256"/>
      </c>
      <c r="U315" s="599">
        <f t="shared" si="79"/>
      </c>
      <c r="V315" s="601">
        <f t="shared" si="138"/>
      </c>
      <c r="W315" s="602" t="s">
        <v>335</v>
      </c>
      <c r="X315" s="615" t="s">
        <v>364</v>
      </c>
      <c r="Y315" s="603">
        <v>3</v>
      </c>
      <c r="Z315" s="604">
        <v>10981</v>
      </c>
      <c r="AA315" s="604">
        <v>243</v>
      </c>
      <c r="AB315" s="604">
        <v>311</v>
      </c>
      <c r="AC315" s="604">
        <v>52</v>
      </c>
      <c r="AD315" s="603">
        <v>30</v>
      </c>
      <c r="AE315" s="604">
        <v>8</v>
      </c>
      <c r="AF315" s="604">
        <v>9</v>
      </c>
      <c r="AG315" s="604">
        <v>1</v>
      </c>
      <c r="AI315" s="542"/>
      <c r="AJ315" s="542"/>
      <c r="AK315" s="542"/>
    </row>
    <row r="316">
      <c r="A316" s="557"/>
      <c r="B316" s="586" t="s">
        <v>340</v>
      </c>
      <c r="C316" s="586"/>
      <c r="D316" s="587">
        <f>SUM(D311:D315)</f>
      </c>
      <c r="E316" s="587">
        <f>SUM(E311:E315)</f>
      </c>
      <c r="F316" s="587">
        <f>SUM(F311:F315)</f>
      </c>
      <c r="G316" s="587">
        <f>SUM(G311:G315)</f>
      </c>
      <c r="H316" s="587">
        <f>SUM(H311:H315)</f>
      </c>
      <c r="I316" s="663">
        <f t="shared" si="413"/>
      </c>
      <c r="J316" s="664">
        <f t="shared" si="169"/>
      </c>
      <c r="K316" s="647">
        <f t="shared" si="228"/>
      </c>
      <c r="L316" s="590">
        <f t="shared" si="17"/>
      </c>
      <c r="M316" s="591">
        <f t="shared" si="110"/>
      </c>
      <c r="N316" s="592">
        <f t="shared" si="45"/>
      </c>
      <c r="O316" s="592">
        <f t="shared" si="475"/>
      </c>
      <c r="P316" s="591">
        <f t="shared" si="509"/>
      </c>
      <c r="Q316" s="592">
        <f t="shared" si="376"/>
      </c>
      <c r="R316" s="592">
        <f t="shared" si="441"/>
      </c>
      <c r="S316" s="593">
        <f t="shared" si="197"/>
      </c>
      <c r="T316" s="594">
        <f t="shared" si="256"/>
      </c>
      <c r="U316" s="593">
        <f t="shared" si="79"/>
      </c>
      <c r="V316" s="595">
        <f t="shared" si="138"/>
      </c>
      <c r="W316" s="595"/>
      <c r="X316" s="595"/>
      <c r="Y316" s="587">
        <f>SUM(Y311:Y315)</f>
      </c>
      <c r="Z316" s="587">
        <f>SUM(Z311:Z315)</f>
      </c>
      <c r="AA316" s="587">
        <f>SUM(AA311:AA315)</f>
      </c>
      <c r="AB316" s="587">
        <f>SUM(AB311:AB315)</f>
      </c>
      <c r="AC316" s="587">
        <f>SUM(AC311:AC315)</f>
      </c>
      <c r="AD316" s="587">
        <f>SUM(AD311:AD315)</f>
      </c>
      <c r="AE316" s="587">
        <f>SUM(AE311:AE315)</f>
      </c>
      <c r="AF316" s="587">
        <f>SUM(AF311:AF315)</f>
      </c>
      <c r="AG316" s="587">
        <f>SUM(AG311:AG315)</f>
      </c>
      <c r="AI316" s="542"/>
      <c r="AJ316" s="542"/>
      <c r="AK316" s="542"/>
    </row>
    <row r="317">
      <c r="A317" s="557"/>
      <c r="B317" s="607" t="s">
        <v>352</v>
      </c>
      <c r="C317" s="607"/>
      <c r="D317" s="607">
        <f>D310+D316</f>
      </c>
      <c r="E317" s="607">
        <f>E310+E316</f>
      </c>
      <c r="F317" s="607">
        <f>F310+F316</f>
      </c>
      <c r="G317" s="607">
        <f>G310+G316</f>
      </c>
      <c r="H317" s="607">
        <f>H310+H316</f>
      </c>
      <c r="I317" s="608">
        <f t="shared" si="413"/>
      </c>
      <c r="J317" s="608">
        <f t="shared" si="169"/>
      </c>
      <c r="K317" s="651">
        <f t="shared" si="228"/>
      </c>
      <c r="L317" s="610">
        <f t="shared" si="17"/>
      </c>
      <c r="M317" s="611">
        <f t="shared" si="110"/>
      </c>
      <c r="N317" s="612">
        <f t="shared" si="45"/>
      </c>
      <c r="O317" s="612">
        <f t="shared" si="475"/>
      </c>
      <c r="P317" s="611">
        <f t="shared" si="509"/>
      </c>
      <c r="Q317" s="612">
        <f t="shared" si="376"/>
      </c>
      <c r="R317" s="612">
        <f t="shared" si="441"/>
      </c>
      <c r="S317" s="611">
        <f t="shared" si="197"/>
      </c>
      <c r="T317" s="613">
        <f t="shared" si="256"/>
      </c>
      <c r="U317" s="611">
        <f t="shared" si="79"/>
      </c>
      <c r="V317" s="609">
        <f t="shared" si="138"/>
      </c>
      <c r="W317" s="609"/>
      <c r="X317" s="609"/>
      <c r="Y317" s="607">
        <f>Y310+Y316</f>
      </c>
      <c r="Z317" s="607">
        <f>Z310+Z316</f>
      </c>
      <c r="AA317" s="607">
        <f>AA310+AA316</f>
      </c>
      <c r="AB317" s="607">
        <f>AB310+AB316</f>
      </c>
      <c r="AC317" s="607">
        <f>AC310+AC316</f>
      </c>
      <c r="AD317" s="607">
        <f>AD310+AD316</f>
      </c>
      <c r="AE317" s="607">
        <f>AE310+AE316</f>
      </c>
      <c r="AF317" s="607">
        <f>AF310+AF316</f>
      </c>
      <c r="AG317" s="607">
        <f>AG310+AG316</f>
      </c>
      <c r="AI317" s="542"/>
      <c r="AJ317" s="542"/>
      <c r="AK317" s="542"/>
    </row>
    <row r="318">
      <c r="A318" s="538" t="s">
        <v>295</v>
      </c>
      <c r="B318" s="538"/>
      <c r="C318" s="538"/>
      <c r="D318" s="614" t="s">
        <v>296</v>
      </c>
      <c r="E318" s="614"/>
      <c r="F318" s="614"/>
      <c r="G318" s="614"/>
      <c r="H318" s="614"/>
      <c r="I318" s="614"/>
      <c r="J318" s="614"/>
      <c r="K318" s="540" t="s">
        <v>297</v>
      </c>
      <c r="L318" s="540"/>
      <c r="M318" s="540"/>
      <c r="N318" s="540"/>
      <c r="O318" s="540"/>
      <c r="P318" s="540"/>
      <c r="Q318" s="540"/>
      <c r="R318" s="540"/>
      <c r="S318" s="540"/>
      <c r="T318" s="540"/>
      <c r="U318" s="540"/>
      <c r="V318" s="540"/>
      <c r="W318" s="540"/>
      <c r="X318" s="540"/>
      <c r="Y318" s="541" t="s">
        <v>298</v>
      </c>
      <c r="Z318" s="541"/>
      <c r="AA318" s="541"/>
      <c r="AB318" s="541"/>
      <c r="AC318" s="541"/>
      <c r="AD318" s="541"/>
      <c r="AE318" s="541"/>
      <c r="AF318" s="541"/>
      <c r="AG318" s="541"/>
      <c r="AI318" s="542"/>
      <c r="AJ318" s="542"/>
      <c r="AK318" s="542"/>
    </row>
    <row r="319">
      <c r="A319" s="543" t="s">
        <v>299</v>
      </c>
      <c r="B319" s="544" t="s">
        <v>300</v>
      </c>
      <c r="C319" s="544" t="s">
        <v>301</v>
      </c>
      <c r="D319" s="545" t="s">
        <v>302</v>
      </c>
      <c r="E319" s="546" t="s">
        <v>303</v>
      </c>
      <c r="F319" s="546" t="s">
        <v>304</v>
      </c>
      <c r="G319" s="547" t="s">
        <v>305</v>
      </c>
      <c r="H319" s="548" t="s">
        <v>306</v>
      </c>
      <c r="I319" s="630" t="s">
        <v>307</v>
      </c>
      <c r="J319" s="630" t="s">
        <v>308</v>
      </c>
      <c r="K319" s="551" t="s">
        <v>309</v>
      </c>
      <c r="L319" s="540" t="s">
        <v>310</v>
      </c>
      <c r="M319" s="540" t="s">
        <v>311</v>
      </c>
      <c r="N319" s="552" t="s">
        <v>312</v>
      </c>
      <c r="O319" s="552" t="s">
        <v>313</v>
      </c>
      <c r="P319" s="540" t="s">
        <v>314</v>
      </c>
      <c r="Q319" s="552" t="s">
        <v>315</v>
      </c>
      <c r="R319" s="552" t="s">
        <v>316</v>
      </c>
      <c r="S319" s="540" t="s">
        <v>317</v>
      </c>
      <c r="T319" s="552" t="s">
        <v>318</v>
      </c>
      <c r="U319" s="540" t="s">
        <v>319</v>
      </c>
      <c r="V319" s="553" t="s">
        <v>320</v>
      </c>
      <c r="W319" s="553" t="s">
        <v>321</v>
      </c>
      <c r="X319" s="553" t="s">
        <v>322</v>
      </c>
      <c r="Y319" s="618" t="s">
        <v>323</v>
      </c>
      <c r="Z319" s="619" t="s">
        <v>324</v>
      </c>
      <c r="AA319" s="619" t="s">
        <v>325</v>
      </c>
      <c r="AB319" s="619" t="s">
        <v>326</v>
      </c>
      <c r="AC319" s="619" t="s">
        <v>327</v>
      </c>
      <c r="AD319" s="619" t="s">
        <v>328</v>
      </c>
      <c r="AE319" s="555" t="s">
        <v>329</v>
      </c>
      <c r="AF319" s="555" t="s">
        <v>330</v>
      </c>
      <c r="AG319" s="555" t="s">
        <v>331</v>
      </c>
      <c r="AI319" s="542"/>
      <c r="AJ319" s="542"/>
      <c r="AK319" s="542"/>
    </row>
    <row r="320">
      <c r="A320" s="557" t="s">
        <v>374</v>
      </c>
      <c r="B320" s="584" t="s">
        <v>333</v>
      </c>
      <c r="C320" s="559" t="s">
        <v>347</v>
      </c>
      <c r="D320" s="620">
        <f t="shared" ref="D320:D324" si="322">E320+F320</f>
      </c>
      <c r="E320" s="621">
        <v>3270.21</v>
      </c>
      <c r="F320" s="584">
        <v>617.95</v>
      </c>
      <c r="G320" s="573">
        <v>4</v>
      </c>
      <c r="H320" s="641">
        <v>7752</v>
      </c>
      <c r="I320" s="652">
        <f t="shared" ref="I320:I332" si="414">H320/D320</f>
      </c>
      <c r="J320" s="653">
        <f t="shared" ref="J320:J332" si="170">H320/(D320+300*AG320)</f>
      </c>
      <c r="K320" s="634">
        <f t="shared" ref="K320:K332" si="229">(D320/Z320)*1000</f>
      </c>
      <c r="L320" s="564">
        <f t="shared" ref="L320:L332" si="18">AA320/Z320</f>
      </c>
      <c r="M320" s="654">
        <f t="shared" ref="M320:M332" si="111">D320/AB320</f>
      </c>
      <c r="N320" s="566">
        <f t="shared" ref="N320:N332" si="46">AC320/AB320</f>
      </c>
      <c r="O320" s="566">
        <f t="shared" ref="O320:O332" si="476">AD320/AB320</f>
      </c>
      <c r="P320" s="565">
        <f t="shared" ref="P320:P332" si="510">D320/AD320</f>
      </c>
      <c r="Q320" s="566">
        <f t="shared" ref="Q320:Q332" si="377">AE320/AD320</f>
      </c>
      <c r="R320" s="566">
        <f t="shared" ref="R320:R332" si="442">G320/AE320</f>
      </c>
      <c r="S320" s="565">
        <f t="shared" ref="S320:S332" si="198">D320/G320</f>
      </c>
      <c r="T320" s="567">
        <f t="shared" ref="T320:T332" si="257">H320/G320</f>
      </c>
      <c r="U320" s="565">
        <f t="shared" ref="U320:U332" si="80">D320/Y320</f>
      </c>
      <c r="V320" s="568">
        <f t="shared" ref="V320:V332" si="139">AF320*1000/D320</f>
      </c>
      <c r="W320" s="569" t="s">
        <v>335</v>
      </c>
      <c r="X320" s="655" t="s">
        <v>364</v>
      </c>
      <c r="Y320" s="623">
        <v>3</v>
      </c>
      <c r="Z320" s="656">
        <v>12018</v>
      </c>
      <c r="AA320" s="657">
        <v>374</v>
      </c>
      <c r="AB320" s="624">
        <v>477</v>
      </c>
      <c r="AC320" s="656">
        <v>76</v>
      </c>
      <c r="AD320" s="572">
        <v>29</v>
      </c>
      <c r="AE320" s="625">
        <v>11</v>
      </c>
      <c r="AF320" s="571">
        <v>15</v>
      </c>
      <c r="AG320" s="571">
        <v>1</v>
      </c>
      <c r="AI320" s="542"/>
      <c r="AJ320" s="542"/>
      <c r="AK320" s="542"/>
    </row>
    <row r="321">
      <c r="A321" s="557"/>
      <c r="B321" s="584" t="s">
        <v>337</v>
      </c>
      <c r="C321" s="559" t="s">
        <v>347</v>
      </c>
      <c r="D321" s="620">
        <f t="shared" si="322"/>
      </c>
      <c r="E321" s="626">
        <v>2987</v>
      </c>
      <c r="F321" s="559">
        <v>462.64</v>
      </c>
      <c r="G321" s="573">
        <v>2</v>
      </c>
      <c r="H321" s="641">
        <v>4536</v>
      </c>
      <c r="I321" s="658">
        <f t="shared" si="414"/>
      </c>
      <c r="J321" s="659">
        <f t="shared" si="170"/>
      </c>
      <c r="K321" s="634">
        <f t="shared" si="229"/>
      </c>
      <c r="L321" s="665">
        <f t="shared" si="18"/>
      </c>
      <c r="M321" s="661">
        <f t="shared" si="111"/>
      </c>
      <c r="N321" s="574">
        <f t="shared" si="46"/>
      </c>
      <c r="O321" s="576">
        <f t="shared" si="476"/>
      </c>
      <c r="P321" s="575">
        <f t="shared" si="510"/>
      </c>
      <c r="Q321" s="576">
        <f t="shared" si="377"/>
      </c>
      <c r="R321" s="576">
        <f t="shared" si="442"/>
      </c>
      <c r="S321" s="577">
        <f t="shared" si="198"/>
      </c>
      <c r="T321" s="617">
        <f t="shared" si="257"/>
      </c>
      <c r="U321" s="579">
        <f t="shared" si="80"/>
      </c>
      <c r="V321" s="580">
        <f t="shared" si="139"/>
      </c>
      <c r="W321" s="581" t="s">
        <v>335</v>
      </c>
      <c r="X321" s="655" t="s">
        <v>364</v>
      </c>
      <c r="Y321" s="624">
        <v>1</v>
      </c>
      <c r="Z321" s="656">
        <v>8598</v>
      </c>
      <c r="AA321" s="572">
        <v>313</v>
      </c>
      <c r="AB321" s="662">
        <v>406</v>
      </c>
      <c r="AC321" s="572">
        <v>64</v>
      </c>
      <c r="AD321" s="572">
        <v>50</v>
      </c>
      <c r="AE321" s="628">
        <v>4</v>
      </c>
      <c r="AF321" s="583">
        <v>16</v>
      </c>
      <c r="AG321" s="571">
        <v>1</v>
      </c>
      <c r="AI321" s="542"/>
      <c r="AJ321" s="542"/>
      <c r="AK321" s="542"/>
    </row>
    <row r="322">
      <c r="A322" s="557"/>
      <c r="B322" s="584" t="s">
        <v>338</v>
      </c>
      <c r="C322" s="559" t="s">
        <v>347</v>
      </c>
      <c r="D322" s="620">
        <f t="shared" si="322"/>
      </c>
      <c r="E322" s="559">
        <v>3934.61</v>
      </c>
      <c r="F322" s="559">
        <v>465.32</v>
      </c>
      <c r="G322" s="573">
        <v>6</v>
      </c>
      <c r="H322" s="641">
        <v>10889</v>
      </c>
      <c r="I322" s="658">
        <f t="shared" si="414"/>
      </c>
      <c r="J322" s="659">
        <f t="shared" si="170"/>
      </c>
      <c r="K322" s="666">
        <f t="shared" si="229"/>
      </c>
      <c r="L322" s="667">
        <f t="shared" si="18"/>
      </c>
      <c r="M322" s="668">
        <f t="shared" si="111"/>
      </c>
      <c r="N322" s="576">
        <f t="shared" si="46"/>
      </c>
      <c r="O322" s="576">
        <f t="shared" si="476"/>
      </c>
      <c r="P322" s="575">
        <f t="shared" si="510"/>
      </c>
      <c r="Q322" s="576">
        <f t="shared" si="377"/>
      </c>
      <c r="R322" s="576">
        <f t="shared" si="442"/>
      </c>
      <c r="S322" s="577">
        <f t="shared" si="198"/>
      </c>
      <c r="T322" s="567">
        <f t="shared" si="257"/>
      </c>
      <c r="U322" s="579">
        <f t="shared" si="80"/>
      </c>
      <c r="V322" s="580">
        <f t="shared" si="139"/>
      </c>
      <c r="W322" s="581" t="s">
        <v>335</v>
      </c>
      <c r="X322" s="615" t="s">
        <v>364</v>
      </c>
      <c r="Y322" s="662">
        <v>5</v>
      </c>
      <c r="Z322" s="572">
        <v>11868</v>
      </c>
      <c r="AA322" s="572">
        <v>372</v>
      </c>
      <c r="AB322" s="572">
        <v>481</v>
      </c>
      <c r="AC322" s="572">
        <v>83</v>
      </c>
      <c r="AD322" s="572">
        <v>37</v>
      </c>
      <c r="AE322" s="628">
        <v>8</v>
      </c>
      <c r="AF322" s="583">
        <v>17</v>
      </c>
      <c r="AG322" s="571">
        <v>1</v>
      </c>
      <c r="AI322" s="542"/>
      <c r="AJ322" s="542"/>
      <c r="AK322" s="542"/>
    </row>
    <row r="323">
      <c r="A323" s="557"/>
      <c r="B323" s="584" t="s">
        <v>339</v>
      </c>
      <c r="C323" s="559" t="s">
        <v>347</v>
      </c>
      <c r="D323" s="620">
        <f t="shared" si="322"/>
      </c>
      <c r="E323" s="559">
        <v>5333.51</v>
      </c>
      <c r="F323" s="559">
        <v>390.28</v>
      </c>
      <c r="G323" s="573">
        <v>5</v>
      </c>
      <c r="H323" s="641">
        <v>9832</v>
      </c>
      <c r="I323" s="658">
        <f t="shared" si="414"/>
      </c>
      <c r="J323" s="659">
        <f t="shared" si="170"/>
      </c>
      <c r="K323" s="634">
        <f t="shared" si="229"/>
      </c>
      <c r="L323" s="574">
        <f t="shared" si="18"/>
      </c>
      <c r="M323" s="575">
        <f t="shared" si="111"/>
      </c>
      <c r="N323" s="576">
        <f t="shared" si="46"/>
      </c>
      <c r="O323" s="576">
        <f t="shared" si="476"/>
      </c>
      <c r="P323" s="575">
        <f t="shared" si="510"/>
      </c>
      <c r="Q323" s="576">
        <f t="shared" si="377"/>
      </c>
      <c r="R323" s="576">
        <f t="shared" si="442"/>
      </c>
      <c r="S323" s="577">
        <f t="shared" si="198"/>
      </c>
      <c r="T323" s="617">
        <f t="shared" si="257"/>
      </c>
      <c r="U323" s="579">
        <f t="shared" si="80"/>
      </c>
      <c r="V323" s="580">
        <f t="shared" si="139"/>
      </c>
      <c r="W323" s="581" t="s">
        <v>335</v>
      </c>
      <c r="X323" s="615" t="s">
        <v>364</v>
      </c>
      <c r="Y323" s="571">
        <v>5</v>
      </c>
      <c r="Z323" s="572">
        <v>19238</v>
      </c>
      <c r="AA323" s="572">
        <v>428</v>
      </c>
      <c r="AB323" s="572">
        <v>558</v>
      </c>
      <c r="AC323" s="572">
        <v>95</v>
      </c>
      <c r="AD323" s="572">
        <v>45</v>
      </c>
      <c r="AE323" s="628">
        <v>14</v>
      </c>
      <c r="AF323" s="583">
        <v>27</v>
      </c>
      <c r="AG323" s="571">
        <v>1</v>
      </c>
      <c r="AI323" s="542"/>
      <c r="AJ323" s="542"/>
      <c r="AK323" s="542"/>
    </row>
    <row r="324">
      <c r="A324" s="557"/>
      <c r="B324" s="584" t="s">
        <v>341</v>
      </c>
      <c r="C324" s="559" t="s">
        <v>347</v>
      </c>
      <c r="D324" s="620">
        <f t="shared" si="322"/>
      </c>
      <c r="E324" s="559">
        <v>2705.36</v>
      </c>
      <c r="F324" s="559">
        <v>397.44</v>
      </c>
      <c r="G324" s="573">
        <v>3</v>
      </c>
      <c r="H324" s="641">
        <v>6804</v>
      </c>
      <c r="I324" s="658">
        <f t="shared" si="414"/>
      </c>
      <c r="J324" s="659">
        <f t="shared" si="170"/>
      </c>
      <c r="K324" s="634">
        <f t="shared" si="229"/>
      </c>
      <c r="L324" s="574">
        <f t="shared" si="18"/>
      </c>
      <c r="M324" s="575">
        <f t="shared" si="111"/>
      </c>
      <c r="N324" s="576">
        <f t="shared" si="46"/>
      </c>
      <c r="O324" s="576">
        <f t="shared" si="476"/>
      </c>
      <c r="P324" s="575">
        <f t="shared" si="510"/>
      </c>
      <c r="Q324" s="576">
        <f t="shared" si="377"/>
      </c>
      <c r="R324" s="576">
        <f t="shared" si="442"/>
      </c>
      <c r="S324" s="577">
        <f t="shared" si="198"/>
      </c>
      <c r="T324" s="585">
        <f t="shared" si="257"/>
      </c>
      <c r="U324" s="577">
        <f t="shared" si="80"/>
      </c>
      <c r="V324" s="580">
        <f t="shared" si="139"/>
      </c>
      <c r="W324" s="581" t="s">
        <v>335</v>
      </c>
      <c r="X324" s="615" t="s">
        <v>364</v>
      </c>
      <c r="Y324" s="582">
        <v>3</v>
      </c>
      <c r="Z324" s="582">
        <v>10394</v>
      </c>
      <c r="AA324" s="582">
        <v>294</v>
      </c>
      <c r="AB324" s="582">
        <v>377</v>
      </c>
      <c r="AC324" s="582">
        <v>64</v>
      </c>
      <c r="AD324" s="582">
        <v>26</v>
      </c>
      <c r="AE324" s="583">
        <v>7</v>
      </c>
      <c r="AF324" s="583">
        <v>13</v>
      </c>
      <c r="AG324" s="583">
        <v>1</v>
      </c>
      <c r="AI324" s="542"/>
      <c r="AJ324" s="542"/>
      <c r="AK324" s="542"/>
    </row>
    <row r="325">
      <c r="A325" s="557"/>
      <c r="B325" s="586" t="s">
        <v>340</v>
      </c>
      <c r="C325" s="586"/>
      <c r="D325" s="587">
        <f>SUM(D320:D324)</f>
      </c>
      <c r="E325" s="587">
        <f>SUM(E320:E324)</f>
      </c>
      <c r="F325" s="587">
        <f>SUM(F320:F324)</f>
      </c>
      <c r="G325" s="587">
        <f>SUM(G320:G324)</f>
      </c>
      <c r="H325" s="642">
        <f>SUM(H320:H324)</f>
      </c>
      <c r="I325" s="663">
        <f t="shared" si="414"/>
      </c>
      <c r="J325" s="664">
        <f t="shared" si="170"/>
      </c>
      <c r="K325" s="645">
        <f t="shared" si="229"/>
      </c>
      <c r="L325" s="590">
        <f t="shared" si="18"/>
      </c>
      <c r="M325" s="591">
        <f t="shared" si="111"/>
      </c>
      <c r="N325" s="592">
        <f t="shared" si="46"/>
      </c>
      <c r="O325" s="592">
        <f t="shared" si="476"/>
      </c>
      <c r="P325" s="591">
        <f t="shared" si="510"/>
      </c>
      <c r="Q325" s="592">
        <f t="shared" si="377"/>
      </c>
      <c r="R325" s="592">
        <f t="shared" si="442"/>
      </c>
      <c r="S325" s="593">
        <f t="shared" si="198"/>
      </c>
      <c r="T325" s="594">
        <f t="shared" si="257"/>
      </c>
      <c r="U325" s="593">
        <f t="shared" si="80"/>
      </c>
      <c r="V325" s="595">
        <f t="shared" si="139"/>
      </c>
      <c r="W325" s="595"/>
      <c r="X325" s="595"/>
      <c r="Y325" s="587">
        <f>SUM(Y320:Y324)</f>
      </c>
      <c r="Z325" s="587">
        <f>SUM(Z320:Z324)</f>
      </c>
      <c r="AA325" s="587">
        <f>SUM(AA320:AA324)</f>
      </c>
      <c r="AB325" s="587">
        <f>SUM(AB320:AB324)</f>
      </c>
      <c r="AC325" s="587">
        <f>SUM(AC320:AC324)</f>
      </c>
      <c r="AD325" s="587">
        <f>SUM(AD320:AD324)</f>
      </c>
      <c r="AE325" s="587">
        <f>SUM(AE320:AE324)</f>
      </c>
      <c r="AF325" s="587">
        <f>SUM(AF320:AF324)</f>
      </c>
      <c r="AG325" s="587">
        <f>SUM(AG320:AG324)</f>
      </c>
      <c r="AI325" s="542"/>
      <c r="AJ325" s="542"/>
      <c r="AK325" s="542"/>
    </row>
    <row r="326">
      <c r="A326" s="557"/>
      <c r="B326" s="584" t="s">
        <v>343</v>
      </c>
      <c r="C326" s="559" t="s">
        <v>342</v>
      </c>
      <c r="D326" s="559">
        <f t="shared" ref="D326:D330" si="323">E326+F326</f>
      </c>
      <c r="E326" s="559">
        <v>3750.52</v>
      </c>
      <c r="F326" s="559">
        <v>872.91</v>
      </c>
      <c r="G326" s="573">
        <v>4</v>
      </c>
      <c r="H326" s="641">
        <v>7752</v>
      </c>
      <c r="I326" s="658">
        <f t="shared" si="414"/>
      </c>
      <c r="J326" s="659">
        <f t="shared" si="170"/>
      </c>
      <c r="K326" s="634">
        <f t="shared" si="229"/>
      </c>
      <c r="L326" s="596">
        <f t="shared" si="18"/>
      </c>
      <c r="M326" s="597">
        <f t="shared" si="111"/>
      </c>
      <c r="N326" s="598">
        <f t="shared" si="46"/>
      </c>
      <c r="O326" s="598">
        <f t="shared" si="476"/>
      </c>
      <c r="P326" s="597">
        <f t="shared" si="510"/>
      </c>
      <c r="Q326" s="598">
        <f t="shared" si="377"/>
      </c>
      <c r="R326" s="598">
        <f t="shared" si="442"/>
      </c>
      <c r="S326" s="599">
        <f t="shared" si="198"/>
      </c>
      <c r="T326" s="600">
        <f t="shared" si="257"/>
      </c>
      <c r="U326" s="599">
        <f t="shared" si="80"/>
      </c>
      <c r="V326" s="601">
        <f t="shared" si="139"/>
      </c>
      <c r="W326" s="602" t="s">
        <v>335</v>
      </c>
      <c r="X326" s="615" t="s">
        <v>364</v>
      </c>
      <c r="Y326" s="603">
        <v>4</v>
      </c>
      <c r="Z326" s="603">
        <v>15685</v>
      </c>
      <c r="AA326" s="603">
        <v>531</v>
      </c>
      <c r="AB326" s="603">
        <v>634</v>
      </c>
      <c r="AC326" s="603">
        <v>114</v>
      </c>
      <c r="AD326" s="603">
        <v>41</v>
      </c>
      <c r="AE326" s="604">
        <v>12</v>
      </c>
      <c r="AF326" s="604">
        <v>20</v>
      </c>
      <c r="AG326" s="604">
        <v>1</v>
      </c>
      <c r="AI326" s="542"/>
      <c r="AJ326" s="542"/>
      <c r="AK326" s="542"/>
    </row>
    <row r="327">
      <c r="A327" s="557"/>
      <c r="B327" s="584" t="s">
        <v>344</v>
      </c>
      <c r="C327" s="559" t="s">
        <v>342</v>
      </c>
      <c r="D327" s="559">
        <f t="shared" si="323"/>
      </c>
      <c r="E327" s="559">
        <v>2656.5</v>
      </c>
      <c r="F327" s="559">
        <v>645.21</v>
      </c>
      <c r="G327" s="561">
        <v>0</v>
      </c>
      <c r="H327" s="631">
        <v>0</v>
      </c>
      <c r="I327" s="658">
        <f t="shared" si="414"/>
      </c>
      <c r="J327" s="659">
        <f t="shared" si="170"/>
      </c>
      <c r="K327" s="634">
        <f t="shared" si="229"/>
      </c>
      <c r="L327" s="596">
        <f t="shared" si="18"/>
      </c>
      <c r="M327" s="597">
        <f t="shared" si="111"/>
      </c>
      <c r="N327" s="598">
        <f t="shared" si="46"/>
      </c>
      <c r="O327" s="598">
        <f t="shared" si="476"/>
      </c>
      <c r="P327" s="597">
        <f t="shared" si="510"/>
      </c>
      <c r="Q327" s="598">
        <f t="shared" si="377"/>
      </c>
      <c r="R327" s="598">
        <f t="shared" si="442"/>
      </c>
      <c r="S327" s="599">
        <f t="shared" si="198"/>
      </c>
      <c r="T327" s="600">
        <f t="shared" si="257"/>
      </c>
      <c r="U327" s="599">
        <f t="shared" si="80"/>
      </c>
      <c r="V327" s="601">
        <f t="shared" si="139"/>
      </c>
      <c r="W327" s="602" t="s">
        <v>335</v>
      </c>
      <c r="X327" s="615" t="s">
        <v>364</v>
      </c>
      <c r="Y327" s="603">
        <v>0</v>
      </c>
      <c r="Z327" s="603">
        <v>11609</v>
      </c>
      <c r="AA327" s="603">
        <v>421</v>
      </c>
      <c r="AB327" s="603">
        <v>545</v>
      </c>
      <c r="AC327" s="603">
        <v>72</v>
      </c>
      <c r="AD327" s="603">
        <v>31</v>
      </c>
      <c r="AE327" s="604">
        <v>3</v>
      </c>
      <c r="AF327" s="604">
        <v>10</v>
      </c>
      <c r="AG327" s="604">
        <v>1</v>
      </c>
      <c r="AI327" s="542"/>
      <c r="AJ327" s="542"/>
      <c r="AK327" s="542"/>
    </row>
    <row r="328">
      <c r="A328" s="557"/>
      <c r="B328" s="584" t="s">
        <v>345</v>
      </c>
      <c r="C328" s="559" t="s">
        <v>342</v>
      </c>
      <c r="D328" s="559">
        <f t="shared" si="323"/>
      </c>
      <c r="E328" s="559">
        <v>3028.9</v>
      </c>
      <c r="F328" s="559">
        <v>159.84</v>
      </c>
      <c r="G328" s="573">
        <v>3</v>
      </c>
      <c r="H328" s="641">
        <v>6804</v>
      </c>
      <c r="I328" s="658">
        <f t="shared" si="414"/>
      </c>
      <c r="J328" s="659">
        <f t="shared" si="170"/>
      </c>
      <c r="K328" s="634">
        <f t="shared" si="229"/>
      </c>
      <c r="L328" s="596">
        <f t="shared" si="18"/>
      </c>
      <c r="M328" s="597">
        <f t="shared" si="111"/>
      </c>
      <c r="N328" s="598">
        <f t="shared" si="46"/>
      </c>
      <c r="O328" s="598">
        <f t="shared" si="476"/>
      </c>
      <c r="P328" s="597">
        <f t="shared" si="510"/>
      </c>
      <c r="Q328" s="598">
        <f t="shared" si="377"/>
      </c>
      <c r="R328" s="598">
        <f t="shared" si="442"/>
      </c>
      <c r="S328" s="599">
        <f t="shared" si="198"/>
      </c>
      <c r="T328" s="600">
        <f t="shared" si="257"/>
      </c>
      <c r="U328" s="599">
        <f t="shared" si="80"/>
      </c>
      <c r="V328" s="601">
        <f t="shared" si="139"/>
      </c>
      <c r="W328" s="602" t="s">
        <v>335</v>
      </c>
      <c r="X328" s="615" t="s">
        <v>364</v>
      </c>
      <c r="Y328" s="603">
        <v>3</v>
      </c>
      <c r="Z328" s="603">
        <v>12739</v>
      </c>
      <c r="AA328" s="603">
        <v>302</v>
      </c>
      <c r="AB328" s="603">
        <v>410</v>
      </c>
      <c r="AC328" s="603">
        <v>66</v>
      </c>
      <c r="AD328" s="603">
        <v>16</v>
      </c>
      <c r="AE328" s="604">
        <v>9</v>
      </c>
      <c r="AF328" s="604">
        <v>13</v>
      </c>
      <c r="AG328" s="604">
        <v>1</v>
      </c>
      <c r="AI328" s="542"/>
      <c r="AJ328" s="542"/>
      <c r="AK328" s="542"/>
    </row>
    <row r="329">
      <c r="A329" s="557"/>
      <c r="B329" s="584" t="s">
        <v>346</v>
      </c>
      <c r="C329" s="559" t="s">
        <v>342</v>
      </c>
      <c r="D329" s="559">
        <f t="shared" si="323"/>
      </c>
      <c r="E329" s="559">
        <v>4082.08</v>
      </c>
      <c r="F329" s="559">
        <v>209.62</v>
      </c>
      <c r="G329" s="573">
        <v>4</v>
      </c>
      <c r="H329" s="641">
        <v>6432</v>
      </c>
      <c r="I329" s="658">
        <f t="shared" si="414"/>
      </c>
      <c r="J329" s="659">
        <f t="shared" si="170"/>
      </c>
      <c r="K329" s="634">
        <f t="shared" si="229"/>
      </c>
      <c r="L329" s="596">
        <f t="shared" si="18"/>
      </c>
      <c r="M329" s="597">
        <f t="shared" si="111"/>
      </c>
      <c r="N329" s="598">
        <f t="shared" si="46"/>
      </c>
      <c r="O329" s="598">
        <f t="shared" si="476"/>
      </c>
      <c r="P329" s="597">
        <f t="shared" si="510"/>
      </c>
      <c r="Q329" s="598">
        <f t="shared" si="377"/>
      </c>
      <c r="R329" s="598">
        <f t="shared" si="442"/>
      </c>
      <c r="S329" s="599">
        <f t="shared" si="198"/>
      </c>
      <c r="T329" s="600">
        <f t="shared" si="257"/>
      </c>
      <c r="U329" s="599">
        <f t="shared" si="80"/>
      </c>
      <c r="V329" s="601">
        <f t="shared" si="139"/>
      </c>
      <c r="W329" s="602" t="s">
        <v>335</v>
      </c>
      <c r="X329" s="615" t="s">
        <v>364</v>
      </c>
      <c r="Y329" s="603">
        <v>4</v>
      </c>
      <c r="Z329" s="603">
        <v>16534</v>
      </c>
      <c r="AA329" s="603">
        <v>381</v>
      </c>
      <c r="AB329" s="603">
        <v>510</v>
      </c>
      <c r="AC329" s="603">
        <v>108</v>
      </c>
      <c r="AD329" s="603">
        <v>17</v>
      </c>
      <c r="AE329" s="604">
        <v>7</v>
      </c>
      <c r="AF329" s="604">
        <v>23</v>
      </c>
      <c r="AG329" s="604">
        <v>1</v>
      </c>
      <c r="AI329" s="542"/>
      <c r="AJ329" s="542"/>
      <c r="AK329" s="542"/>
    </row>
    <row r="330">
      <c r="A330" s="557"/>
      <c r="B330" s="584" t="s">
        <v>349</v>
      </c>
      <c r="C330" s="559" t="s">
        <v>342</v>
      </c>
      <c r="D330" s="559">
        <f t="shared" si="323"/>
      </c>
      <c r="E330" s="559">
        <v>2633.95</v>
      </c>
      <c r="F330" s="559">
        <v>35.57</v>
      </c>
      <c r="G330" s="573">
        <v>1</v>
      </c>
      <c r="H330" s="641">
        <v>2268</v>
      </c>
      <c r="I330" s="658">
        <f t="shared" si="414"/>
      </c>
      <c r="J330" s="659">
        <f t="shared" si="170"/>
      </c>
      <c r="K330" s="646">
        <f t="shared" si="229"/>
      </c>
      <c r="L330" s="596">
        <f t="shared" si="18"/>
      </c>
      <c r="M330" s="597">
        <f t="shared" si="111"/>
      </c>
      <c r="N330" s="598">
        <f t="shared" si="46"/>
      </c>
      <c r="O330" s="598">
        <f t="shared" si="476"/>
      </c>
      <c r="P330" s="597">
        <f t="shared" si="510"/>
      </c>
      <c r="Q330" s="598">
        <f t="shared" si="377"/>
      </c>
      <c r="R330" s="598">
        <f t="shared" si="442"/>
      </c>
      <c r="S330" s="599">
        <f t="shared" si="198"/>
      </c>
      <c r="T330" s="600">
        <f t="shared" si="257"/>
      </c>
      <c r="U330" s="599">
        <f t="shared" si="80"/>
      </c>
      <c r="V330" s="601">
        <f t="shared" si="139"/>
      </c>
      <c r="W330" s="602" t="s">
        <v>335</v>
      </c>
      <c r="X330" s="615" t="s">
        <v>364</v>
      </c>
      <c r="Y330" s="603">
        <v>1</v>
      </c>
      <c r="Z330" s="604">
        <v>10094</v>
      </c>
      <c r="AA330" s="604">
        <v>218</v>
      </c>
      <c r="AB330" s="604">
        <v>305</v>
      </c>
      <c r="AC330" s="604">
        <v>57</v>
      </c>
      <c r="AD330" s="603">
        <v>18</v>
      </c>
      <c r="AE330" s="604">
        <v>4</v>
      </c>
      <c r="AF330" s="604">
        <v>12</v>
      </c>
      <c r="AG330" s="604">
        <v>1</v>
      </c>
      <c r="AI330" s="542"/>
      <c r="AJ330" s="542"/>
      <c r="AK330" s="542"/>
    </row>
    <row r="331">
      <c r="A331" s="557"/>
      <c r="B331" s="586" t="s">
        <v>340</v>
      </c>
      <c r="C331" s="586"/>
      <c r="D331" s="587">
        <f>SUM(D326:D330)</f>
      </c>
      <c r="E331" s="587">
        <f>SUM(E326:E330)</f>
      </c>
      <c r="F331" s="587">
        <f>SUM(F326:F330)</f>
      </c>
      <c r="G331" s="587">
        <f>SUM(G326:G330)</f>
      </c>
      <c r="H331" s="587">
        <f>SUM(H326:H330)</f>
      </c>
      <c r="I331" s="663">
        <f t="shared" si="414"/>
      </c>
      <c r="J331" s="664">
        <f t="shared" si="170"/>
      </c>
      <c r="K331" s="647">
        <f t="shared" si="229"/>
      </c>
      <c r="L331" s="590">
        <f t="shared" si="18"/>
      </c>
      <c r="M331" s="591">
        <f t="shared" si="111"/>
      </c>
      <c r="N331" s="592">
        <f t="shared" si="46"/>
      </c>
      <c r="O331" s="592">
        <f t="shared" si="476"/>
      </c>
      <c r="P331" s="591">
        <f t="shared" si="510"/>
      </c>
      <c r="Q331" s="592">
        <f t="shared" si="377"/>
      </c>
      <c r="R331" s="592">
        <f t="shared" si="442"/>
      </c>
      <c r="S331" s="593">
        <f t="shared" si="198"/>
      </c>
      <c r="T331" s="594">
        <f t="shared" si="257"/>
      </c>
      <c r="U331" s="593">
        <f t="shared" si="80"/>
      </c>
      <c r="V331" s="595">
        <f t="shared" si="139"/>
      </c>
      <c r="W331" s="595"/>
      <c r="X331" s="595"/>
      <c r="Y331" s="587">
        <f>SUM(Y326:Y330)</f>
      </c>
      <c r="Z331" s="587">
        <f>SUM(Z326:Z330)</f>
      </c>
      <c r="AA331" s="587">
        <f>SUM(AA326:AA330)</f>
      </c>
      <c r="AB331" s="587">
        <f>SUM(AB326:AB330)</f>
      </c>
      <c r="AC331" s="587">
        <f>SUM(AC326:AC330)</f>
      </c>
      <c r="AD331" s="587">
        <f>SUM(AD326:AD330)</f>
      </c>
      <c r="AE331" s="587">
        <f>SUM(AE326:AE330)</f>
      </c>
      <c r="AF331" s="587">
        <f>SUM(AF326:AF330)</f>
      </c>
      <c r="AG331" s="587">
        <f>SUM(AG326:AG330)</f>
      </c>
      <c r="AI331" s="542"/>
      <c r="AJ331" s="542"/>
      <c r="AK331" s="542"/>
    </row>
    <row r="332">
      <c r="A332" s="557"/>
      <c r="B332" s="607" t="s">
        <v>352</v>
      </c>
      <c r="C332" s="607"/>
      <c r="D332" s="607">
        <f>D325+D331</f>
      </c>
      <c r="E332" s="607">
        <f>E325+E331</f>
      </c>
      <c r="F332" s="607">
        <f>F325+F331</f>
      </c>
      <c r="G332" s="607">
        <f>G325+G331</f>
      </c>
      <c r="H332" s="607">
        <f>H325+H331</f>
      </c>
      <c r="I332" s="608">
        <f t="shared" si="414"/>
      </c>
      <c r="J332" s="608">
        <f t="shared" si="170"/>
      </c>
      <c r="K332" s="651">
        <f t="shared" si="229"/>
      </c>
      <c r="L332" s="610">
        <f t="shared" si="18"/>
      </c>
      <c r="M332" s="611">
        <f t="shared" si="111"/>
      </c>
      <c r="N332" s="612">
        <f t="shared" si="46"/>
      </c>
      <c r="O332" s="612">
        <f t="shared" si="476"/>
      </c>
      <c r="P332" s="611">
        <f t="shared" si="510"/>
      </c>
      <c r="Q332" s="612">
        <f t="shared" si="377"/>
      </c>
      <c r="R332" s="612">
        <f t="shared" si="442"/>
      </c>
      <c r="S332" s="611">
        <f t="shared" si="198"/>
      </c>
      <c r="T332" s="613">
        <f t="shared" si="257"/>
      </c>
      <c r="U332" s="611">
        <f t="shared" si="80"/>
      </c>
      <c r="V332" s="609">
        <f t="shared" si="139"/>
      </c>
      <c r="W332" s="609"/>
      <c r="X332" s="609"/>
      <c r="Y332" s="607">
        <f>Y325+Y331</f>
      </c>
      <c r="Z332" s="607">
        <f>Z325+Z331</f>
      </c>
      <c r="AA332" s="607">
        <f>AA325+AA331</f>
      </c>
      <c r="AB332" s="607">
        <f>AB325+AB331</f>
      </c>
      <c r="AC332" s="607">
        <f>AC325+AC331</f>
      </c>
      <c r="AD332" s="607">
        <f>AD325+AD331</f>
      </c>
      <c r="AE332" s="607">
        <f>AE325+AE331</f>
      </c>
      <c r="AF332" s="607">
        <f>AF325+AF331</f>
      </c>
      <c r="AG332" s="607">
        <f>AG325+AG331</f>
      </c>
      <c r="AI332" s="542"/>
      <c r="AJ332" s="542"/>
      <c r="AK332" s="542"/>
    </row>
    <row r="333">
      <c r="A333" s="538" t="s">
        <v>295</v>
      </c>
      <c r="B333" s="538"/>
      <c r="C333" s="538"/>
      <c r="D333" s="614" t="s">
        <v>296</v>
      </c>
      <c r="E333" s="614"/>
      <c r="F333" s="614"/>
      <c r="G333" s="614"/>
      <c r="H333" s="614"/>
      <c r="I333" s="614"/>
      <c r="J333" s="614"/>
      <c r="K333" s="540" t="s">
        <v>297</v>
      </c>
      <c r="L333" s="540"/>
      <c r="M333" s="540"/>
      <c r="N333" s="540"/>
      <c r="O333" s="540"/>
      <c r="P333" s="540"/>
      <c r="Q333" s="540"/>
      <c r="R333" s="540"/>
      <c r="S333" s="540"/>
      <c r="T333" s="540"/>
      <c r="U333" s="540"/>
      <c r="V333" s="540"/>
      <c r="W333" s="540"/>
      <c r="X333" s="540"/>
      <c r="Y333" s="541" t="s">
        <v>298</v>
      </c>
      <c r="Z333" s="541"/>
      <c r="AA333" s="541"/>
      <c r="AB333" s="541"/>
      <c r="AC333" s="541"/>
      <c r="AD333" s="541"/>
      <c r="AE333" s="541"/>
      <c r="AF333" s="541"/>
      <c r="AG333" s="541"/>
      <c r="AI333" s="542"/>
      <c r="AJ333" s="542"/>
      <c r="AK333" s="542"/>
    </row>
    <row r="334">
      <c r="A334" s="543" t="s">
        <v>299</v>
      </c>
      <c r="B334" s="544" t="s">
        <v>300</v>
      </c>
      <c r="C334" s="544" t="s">
        <v>301</v>
      </c>
      <c r="D334" s="545" t="s">
        <v>302</v>
      </c>
      <c r="E334" s="546" t="s">
        <v>303</v>
      </c>
      <c r="F334" s="546" t="s">
        <v>304</v>
      </c>
      <c r="G334" s="547" t="s">
        <v>305</v>
      </c>
      <c r="H334" s="548" t="s">
        <v>306</v>
      </c>
      <c r="I334" s="630" t="s">
        <v>307</v>
      </c>
      <c r="J334" s="630" t="s">
        <v>308</v>
      </c>
      <c r="K334" s="551" t="s">
        <v>309</v>
      </c>
      <c r="L334" s="540" t="s">
        <v>310</v>
      </c>
      <c r="M334" s="540" t="s">
        <v>311</v>
      </c>
      <c r="N334" s="552" t="s">
        <v>312</v>
      </c>
      <c r="O334" s="552" t="s">
        <v>313</v>
      </c>
      <c r="P334" s="540" t="s">
        <v>314</v>
      </c>
      <c r="Q334" s="552" t="s">
        <v>315</v>
      </c>
      <c r="R334" s="552" t="s">
        <v>316</v>
      </c>
      <c r="S334" s="540" t="s">
        <v>317</v>
      </c>
      <c r="T334" s="552" t="s">
        <v>318</v>
      </c>
      <c r="U334" s="540" t="s">
        <v>319</v>
      </c>
      <c r="V334" s="553" t="s">
        <v>320</v>
      </c>
      <c r="W334" s="553" t="s">
        <v>321</v>
      </c>
      <c r="X334" s="553" t="s">
        <v>322</v>
      </c>
      <c r="Y334" s="618" t="s">
        <v>323</v>
      </c>
      <c r="Z334" s="619" t="s">
        <v>324</v>
      </c>
      <c r="AA334" s="619" t="s">
        <v>325</v>
      </c>
      <c r="AB334" s="619" t="s">
        <v>326</v>
      </c>
      <c r="AC334" s="619" t="s">
        <v>327</v>
      </c>
      <c r="AD334" s="619" t="s">
        <v>328</v>
      </c>
      <c r="AE334" s="555" t="s">
        <v>329</v>
      </c>
      <c r="AF334" s="555" t="s">
        <v>330</v>
      </c>
      <c r="AG334" s="555" t="s">
        <v>331</v>
      </c>
      <c r="AI334" s="542"/>
      <c r="AJ334" s="542"/>
      <c r="AK334" s="542"/>
    </row>
    <row r="335">
      <c r="A335" s="557" t="s">
        <v>375</v>
      </c>
      <c r="B335" s="584" t="s">
        <v>333</v>
      </c>
      <c r="C335" s="559" t="s">
        <v>347</v>
      </c>
      <c r="D335" s="620">
        <f t="shared" ref="D335:D339" si="324">E335+F335</f>
      </c>
      <c r="E335" s="621">
        <v>2983.14</v>
      </c>
      <c r="F335" s="584">
        <v>294.07</v>
      </c>
      <c r="G335" s="573">
        <v>5</v>
      </c>
      <c r="H335" s="641">
        <v>9540</v>
      </c>
      <c r="I335" s="652">
        <f t="shared" ref="I335:I347" si="415">H335/D335</f>
      </c>
      <c r="J335" s="653">
        <f t="shared" ref="J335:J347" si="171">H335/(D335+300*AG335)</f>
      </c>
      <c r="K335" s="634">
        <f t="shared" ref="K335:K347" si="230">(D335/Z335)*1000</f>
      </c>
      <c r="L335" s="564">
        <f t="shared" ref="L335:L347" si="19">AA335/Z335</f>
      </c>
      <c r="M335" s="654">
        <f t="shared" ref="M335:M347" si="112">D335/AB335</f>
      </c>
      <c r="N335" s="566">
        <f t="shared" ref="N335:N347" si="47">AC335/AB335</f>
      </c>
      <c r="O335" s="566">
        <f t="shared" ref="O335:O347" si="477">AD335/AB335</f>
      </c>
      <c r="P335" s="565">
        <f t="shared" ref="P335:P347" si="511">D335/AD335</f>
      </c>
      <c r="Q335" s="566">
        <f t="shared" ref="Q335:Q347" si="378">AE335/AD335</f>
      </c>
      <c r="R335" s="566">
        <f t="shared" ref="R335:R347" si="443">G335/AE335</f>
      </c>
      <c r="S335" s="565">
        <f t="shared" ref="S335:S347" si="199">D335/G335</f>
      </c>
      <c r="T335" s="567">
        <f t="shared" ref="T335:T347" si="258">H335/G335</f>
      </c>
      <c r="U335" s="565">
        <f t="shared" ref="U335:U347" si="81">D335/Y335</f>
      </c>
      <c r="V335" s="568">
        <f t="shared" ref="V335:V347" si="140">AF335*1000/D335</f>
      </c>
      <c r="W335" s="569" t="s">
        <v>335</v>
      </c>
      <c r="X335" s="655" t="s">
        <v>364</v>
      </c>
      <c r="Y335" s="623">
        <v>2</v>
      </c>
      <c r="Z335" s="656">
        <v>9901</v>
      </c>
      <c r="AA335" s="657">
        <v>288</v>
      </c>
      <c r="AB335" s="624">
        <v>373</v>
      </c>
      <c r="AC335" s="656">
        <v>60</v>
      </c>
      <c r="AD335" s="572">
        <v>31</v>
      </c>
      <c r="AE335" s="625">
        <v>10</v>
      </c>
      <c r="AF335" s="571">
        <v>11</v>
      </c>
      <c r="AG335" s="571">
        <v>1</v>
      </c>
      <c r="AI335" s="542"/>
      <c r="AJ335" s="542"/>
      <c r="AK335" s="542"/>
    </row>
    <row r="336">
      <c r="A336" s="557"/>
      <c r="B336" s="584" t="s">
        <v>337</v>
      </c>
      <c r="C336" s="559" t="s">
        <v>347</v>
      </c>
      <c r="D336" s="620">
        <f t="shared" si="324"/>
      </c>
      <c r="E336" s="626">
        <v>4396.32</v>
      </c>
      <c r="F336" s="559">
        <v>534.3</v>
      </c>
      <c r="G336" s="573">
        <v>5</v>
      </c>
      <c r="H336" s="641">
        <v>11340</v>
      </c>
      <c r="I336" s="658">
        <f t="shared" si="415"/>
      </c>
      <c r="J336" s="659">
        <f t="shared" si="171"/>
      </c>
      <c r="K336" s="634">
        <f t="shared" si="230"/>
      </c>
      <c r="L336" s="665">
        <f t="shared" si="19"/>
      </c>
      <c r="M336" s="661">
        <f t="shared" si="112"/>
      </c>
      <c r="N336" s="574">
        <f t="shared" si="47"/>
      </c>
      <c r="O336" s="576">
        <f t="shared" si="477"/>
      </c>
      <c r="P336" s="575">
        <f t="shared" si="511"/>
      </c>
      <c r="Q336" s="576">
        <f t="shared" si="378"/>
      </c>
      <c r="R336" s="576">
        <f t="shared" si="443"/>
      </c>
      <c r="S336" s="577">
        <f t="shared" si="199"/>
      </c>
      <c r="T336" s="617">
        <f t="shared" si="258"/>
      </c>
      <c r="U336" s="579">
        <f t="shared" si="81"/>
      </c>
      <c r="V336" s="580">
        <f t="shared" si="140"/>
      </c>
      <c r="W336" s="581" t="s">
        <v>335</v>
      </c>
      <c r="X336" s="655" t="s">
        <v>364</v>
      </c>
      <c r="Y336" s="624">
        <v>4</v>
      </c>
      <c r="Z336" s="656">
        <v>17582</v>
      </c>
      <c r="AA336" s="572">
        <v>383</v>
      </c>
      <c r="AB336" s="662">
        <v>522</v>
      </c>
      <c r="AC336" s="572">
        <v>79</v>
      </c>
      <c r="AD336" s="572">
        <v>32</v>
      </c>
      <c r="AE336" s="628">
        <v>9</v>
      </c>
      <c r="AF336" s="583">
        <v>15</v>
      </c>
      <c r="AG336" s="571">
        <v>1</v>
      </c>
      <c r="AI336" s="542"/>
      <c r="AJ336" s="542"/>
      <c r="AK336" s="542"/>
    </row>
    <row r="337">
      <c r="A337" s="557"/>
      <c r="B337" s="584" t="s">
        <v>338</v>
      </c>
      <c r="C337" s="559" t="s">
        <v>347</v>
      </c>
      <c r="D337" s="620">
        <f t="shared" si="324"/>
      </c>
      <c r="E337" s="559">
        <v>4354.14</v>
      </c>
      <c r="F337" s="559">
        <v>557.92</v>
      </c>
      <c r="G337" s="573">
        <v>3</v>
      </c>
      <c r="H337" s="641">
        <v>5484</v>
      </c>
      <c r="I337" s="658">
        <f t="shared" si="415"/>
      </c>
      <c r="J337" s="659">
        <f t="shared" si="171"/>
      </c>
      <c r="K337" s="666">
        <f t="shared" si="230"/>
      </c>
      <c r="L337" s="667">
        <f t="shared" si="19"/>
      </c>
      <c r="M337" s="668">
        <f t="shared" si="112"/>
      </c>
      <c r="N337" s="576">
        <f t="shared" si="47"/>
      </c>
      <c r="O337" s="576">
        <f t="shared" si="477"/>
      </c>
      <c r="P337" s="575">
        <f t="shared" si="511"/>
      </c>
      <c r="Q337" s="576">
        <f t="shared" si="378"/>
      </c>
      <c r="R337" s="576">
        <f t="shared" si="443"/>
      </c>
      <c r="S337" s="577">
        <f t="shared" si="199"/>
      </c>
      <c r="T337" s="567">
        <f t="shared" si="258"/>
      </c>
      <c r="U337" s="579">
        <f t="shared" si="81"/>
      </c>
      <c r="V337" s="580">
        <f t="shared" si="140"/>
      </c>
      <c r="W337" s="581" t="s">
        <v>335</v>
      </c>
      <c r="X337" s="615" t="s">
        <v>364</v>
      </c>
      <c r="Y337" s="662">
        <v>3</v>
      </c>
      <c r="Z337" s="572">
        <v>19665</v>
      </c>
      <c r="AA337" s="572">
        <v>448</v>
      </c>
      <c r="AB337" s="572">
        <v>656</v>
      </c>
      <c r="AC337" s="572">
        <v>85</v>
      </c>
      <c r="AD337" s="572">
        <v>20</v>
      </c>
      <c r="AE337" s="628">
        <v>7</v>
      </c>
      <c r="AF337" s="583">
        <v>16</v>
      </c>
      <c r="AG337" s="571">
        <v>1</v>
      </c>
      <c r="AI337" s="542"/>
      <c r="AJ337" s="542"/>
      <c r="AK337" s="542"/>
    </row>
    <row r="338">
      <c r="A338" s="557"/>
      <c r="B338" s="584" t="s">
        <v>339</v>
      </c>
      <c r="C338" s="559" t="s">
        <v>347</v>
      </c>
      <c r="D338" s="620">
        <f t="shared" si="324"/>
      </c>
      <c r="E338" s="559">
        <v>2651.09</v>
      </c>
      <c r="F338" s="559">
        <v>527.73</v>
      </c>
      <c r="G338" s="573">
        <v>3</v>
      </c>
      <c r="H338" s="641">
        <v>5004</v>
      </c>
      <c r="I338" s="658">
        <f t="shared" si="415"/>
      </c>
      <c r="J338" s="659">
        <f t="shared" si="171"/>
      </c>
      <c r="K338" s="634">
        <f t="shared" si="230"/>
      </c>
      <c r="L338" s="574">
        <f t="shared" si="19"/>
      </c>
      <c r="M338" s="575">
        <f t="shared" si="112"/>
      </c>
      <c r="N338" s="576">
        <f t="shared" si="47"/>
      </c>
      <c r="O338" s="576">
        <f t="shared" si="477"/>
      </c>
      <c r="P338" s="575">
        <f t="shared" si="511"/>
      </c>
      <c r="Q338" s="576">
        <f t="shared" si="378"/>
      </c>
      <c r="R338" s="576">
        <f t="shared" si="443"/>
      </c>
      <c r="S338" s="577">
        <f t="shared" si="199"/>
      </c>
      <c r="T338" s="617">
        <f t="shared" si="258"/>
      </c>
      <c r="U338" s="579">
        <f t="shared" si="81"/>
      </c>
      <c r="V338" s="580">
        <f t="shared" si="140"/>
      </c>
      <c r="W338" s="581" t="s">
        <v>335</v>
      </c>
      <c r="X338" s="615" t="s">
        <v>364</v>
      </c>
      <c r="Y338" s="572">
        <v>2</v>
      </c>
      <c r="Z338" s="572">
        <v>12455</v>
      </c>
      <c r="AA338" s="572">
        <v>338</v>
      </c>
      <c r="AB338" s="572">
        <v>483</v>
      </c>
      <c r="AC338" s="572">
        <v>59</v>
      </c>
      <c r="AD338" s="572">
        <v>18</v>
      </c>
      <c r="AE338" s="628">
        <v>5</v>
      </c>
      <c r="AF338" s="583">
        <v>10</v>
      </c>
      <c r="AG338" s="571">
        <v>1</v>
      </c>
      <c r="AI338" s="542"/>
      <c r="AJ338" s="542"/>
      <c r="AK338" s="542"/>
    </row>
    <row r="339">
      <c r="A339" s="557"/>
      <c r="B339" s="584" t="s">
        <v>341</v>
      </c>
      <c r="C339" s="559" t="s">
        <v>347</v>
      </c>
      <c r="D339" s="620">
        <f t="shared" si="324"/>
      </c>
      <c r="E339" s="559">
        <v>2683.12</v>
      </c>
      <c r="F339" s="559">
        <v>985.2</v>
      </c>
      <c r="G339" s="573">
        <v>5</v>
      </c>
      <c r="H339" s="641">
        <v>7380</v>
      </c>
      <c r="I339" s="658">
        <f t="shared" si="415"/>
      </c>
      <c r="J339" s="659">
        <f t="shared" si="171"/>
      </c>
      <c r="K339" s="634">
        <f t="shared" si="230"/>
      </c>
      <c r="L339" s="574">
        <f t="shared" si="19"/>
      </c>
      <c r="M339" s="575">
        <f t="shared" si="112"/>
      </c>
      <c r="N339" s="576">
        <f t="shared" si="47"/>
      </c>
      <c r="O339" s="576">
        <f t="shared" si="477"/>
      </c>
      <c r="P339" s="575">
        <f t="shared" si="511"/>
      </c>
      <c r="Q339" s="576">
        <f t="shared" si="378"/>
      </c>
      <c r="R339" s="576">
        <f t="shared" si="443"/>
      </c>
      <c r="S339" s="577">
        <f t="shared" si="199"/>
      </c>
      <c r="T339" s="585">
        <f t="shared" si="258"/>
      </c>
      <c r="U339" s="577">
        <f t="shared" si="81"/>
      </c>
      <c r="V339" s="580">
        <f t="shared" si="140"/>
      </c>
      <c r="W339" s="581" t="s">
        <v>335</v>
      </c>
      <c r="X339" s="615" t="s">
        <v>364</v>
      </c>
      <c r="Y339" s="582">
        <v>5</v>
      </c>
      <c r="Z339" s="582">
        <v>12725</v>
      </c>
      <c r="AA339" s="582">
        <v>450</v>
      </c>
      <c r="AB339" s="582">
        <v>571</v>
      </c>
      <c r="AC339" s="582">
        <v>78</v>
      </c>
      <c r="AD339" s="582">
        <v>24</v>
      </c>
      <c r="AE339" s="583">
        <v>8</v>
      </c>
      <c r="AF339" s="583">
        <v>16</v>
      </c>
      <c r="AG339" s="583">
        <v>1</v>
      </c>
      <c r="AI339" s="542"/>
      <c r="AJ339" s="542"/>
      <c r="AK339" s="542"/>
    </row>
    <row r="340">
      <c r="A340" s="557"/>
      <c r="B340" s="586" t="s">
        <v>340</v>
      </c>
      <c r="C340" s="586"/>
      <c r="D340" s="587">
        <f>SUM(D335:D339)</f>
      </c>
      <c r="E340" s="587">
        <f>SUM(E335:E339)</f>
      </c>
      <c r="F340" s="587">
        <f>SUM(F335:F339)</f>
      </c>
      <c r="G340" s="587">
        <f>SUM(G335:G339)</f>
      </c>
      <c r="H340" s="642">
        <f>SUM(H335:H339)</f>
      </c>
      <c r="I340" s="663">
        <f t="shared" si="415"/>
      </c>
      <c r="J340" s="664">
        <f t="shared" si="171"/>
      </c>
      <c r="K340" s="645">
        <f t="shared" si="230"/>
      </c>
      <c r="L340" s="590">
        <f t="shared" si="19"/>
      </c>
      <c r="M340" s="591">
        <f t="shared" si="112"/>
      </c>
      <c r="N340" s="592">
        <f t="shared" si="47"/>
      </c>
      <c r="O340" s="592">
        <f t="shared" si="477"/>
      </c>
      <c r="P340" s="591">
        <f t="shared" si="511"/>
      </c>
      <c r="Q340" s="592">
        <f t="shared" si="378"/>
      </c>
      <c r="R340" s="592">
        <f t="shared" si="443"/>
      </c>
      <c r="S340" s="593">
        <f t="shared" si="199"/>
      </c>
      <c r="T340" s="594">
        <f t="shared" si="258"/>
      </c>
      <c r="U340" s="593">
        <f t="shared" si="81"/>
      </c>
      <c r="V340" s="595">
        <f t="shared" si="140"/>
      </c>
      <c r="W340" s="595"/>
      <c r="X340" s="595"/>
      <c r="Y340" s="587">
        <f>SUM(Y335:Y339)</f>
      </c>
      <c r="Z340" s="587">
        <f>SUM(Z335:Z339)</f>
      </c>
      <c r="AA340" s="587">
        <f>SUM(AA335:AA339)</f>
      </c>
      <c r="AB340" s="587">
        <f>SUM(AB335:AB339)</f>
      </c>
      <c r="AC340" s="587">
        <f>SUM(AC335:AC339)</f>
      </c>
      <c r="AD340" s="587">
        <f>SUM(AD335:AD339)</f>
      </c>
      <c r="AE340" s="587">
        <f>SUM(AE335:AE339)</f>
      </c>
      <c r="AF340" s="587">
        <f>SUM(AF335:AF339)</f>
      </c>
      <c r="AG340" s="587">
        <f>SUM(AG335:AG339)</f>
      </c>
      <c r="AI340" s="542"/>
      <c r="AJ340" s="542"/>
      <c r="AK340" s="542"/>
    </row>
    <row r="341">
      <c r="A341" s="557"/>
      <c r="B341" s="584" t="s">
        <v>343</v>
      </c>
      <c r="C341" s="559" t="s">
        <v>342</v>
      </c>
      <c r="D341" s="559">
        <f t="shared" ref="D341:D345" si="325">E341+F341</f>
      </c>
      <c r="E341" s="559">
        <v>2403.27</v>
      </c>
      <c r="F341" s="559">
        <v>900.9</v>
      </c>
      <c r="G341" s="573">
        <v>2</v>
      </c>
      <c r="H341" s="641">
        <v>4348</v>
      </c>
      <c r="I341" s="658">
        <f t="shared" si="415"/>
      </c>
      <c r="J341" s="659">
        <f t="shared" si="171"/>
      </c>
      <c r="K341" s="634">
        <f t="shared" si="230"/>
      </c>
      <c r="L341" s="596">
        <f t="shared" si="19"/>
      </c>
      <c r="M341" s="597">
        <f t="shared" si="112"/>
      </c>
      <c r="N341" s="598">
        <f t="shared" si="47"/>
      </c>
      <c r="O341" s="598">
        <f t="shared" si="477"/>
      </c>
      <c r="P341" s="597">
        <f t="shared" si="511"/>
      </c>
      <c r="Q341" s="598">
        <f t="shared" si="378"/>
      </c>
      <c r="R341" s="598">
        <f t="shared" si="443"/>
      </c>
      <c r="S341" s="599">
        <f t="shared" si="199"/>
      </c>
      <c r="T341" s="600">
        <f t="shared" si="258"/>
      </c>
      <c r="U341" s="599">
        <f t="shared" si="81"/>
      </c>
      <c r="V341" s="601">
        <f t="shared" si="140"/>
      </c>
      <c r="W341" s="602" t="s">
        <v>335</v>
      </c>
      <c r="X341" s="615" t="s">
        <v>364</v>
      </c>
      <c r="Y341" s="603">
        <v>2</v>
      </c>
      <c r="Z341" s="603">
        <v>12817</v>
      </c>
      <c r="AA341" s="603">
        <v>428</v>
      </c>
      <c r="AB341" s="603">
        <v>540</v>
      </c>
      <c r="AC341" s="603">
        <v>84</v>
      </c>
      <c r="AD341" s="603">
        <v>24</v>
      </c>
      <c r="AE341" s="604">
        <v>8</v>
      </c>
      <c r="AF341" s="604">
        <v>14</v>
      </c>
      <c r="AG341" s="604">
        <v>1</v>
      </c>
      <c r="AI341" s="542"/>
      <c r="AJ341" s="542"/>
      <c r="AK341" s="542"/>
    </row>
    <row r="342">
      <c r="A342" s="557"/>
      <c r="B342" s="584" t="s">
        <v>344</v>
      </c>
      <c r="C342" s="559" t="s">
        <v>342</v>
      </c>
      <c r="D342" s="559">
        <f t="shared" si="325"/>
      </c>
      <c r="E342" s="559">
        <v>2508.27</v>
      </c>
      <c r="F342" s="559">
        <v>472.41</v>
      </c>
      <c r="G342" s="561">
        <v>2</v>
      </c>
      <c r="H342" s="631">
        <v>1896</v>
      </c>
      <c r="I342" s="658">
        <f t="shared" si="415"/>
      </c>
      <c r="J342" s="659">
        <f t="shared" si="171"/>
      </c>
      <c r="K342" s="634">
        <f t="shared" si="230"/>
      </c>
      <c r="L342" s="596">
        <f t="shared" si="19"/>
      </c>
      <c r="M342" s="597">
        <f t="shared" si="112"/>
      </c>
      <c r="N342" s="598">
        <f t="shared" si="47"/>
      </c>
      <c r="O342" s="598">
        <f t="shared" si="477"/>
      </c>
      <c r="P342" s="597">
        <f t="shared" si="511"/>
      </c>
      <c r="Q342" s="598">
        <f t="shared" si="378"/>
      </c>
      <c r="R342" s="598">
        <f t="shared" si="443"/>
      </c>
      <c r="S342" s="599">
        <f t="shared" si="199"/>
      </c>
      <c r="T342" s="600">
        <f t="shared" si="258"/>
      </c>
      <c r="U342" s="599">
        <f t="shared" si="81"/>
      </c>
      <c r="V342" s="601">
        <f t="shared" si="140"/>
      </c>
      <c r="W342" s="602" t="s">
        <v>335</v>
      </c>
      <c r="X342" s="615" t="s">
        <v>364</v>
      </c>
      <c r="Y342" s="603">
        <v>1</v>
      </c>
      <c r="Z342" s="603">
        <v>13689</v>
      </c>
      <c r="AA342" s="603">
        <v>398</v>
      </c>
      <c r="AB342" s="603">
        <v>513</v>
      </c>
      <c r="AC342" s="603">
        <v>73</v>
      </c>
      <c r="AD342" s="603">
        <v>14</v>
      </c>
      <c r="AE342" s="604">
        <v>2</v>
      </c>
      <c r="AF342" s="604">
        <v>14</v>
      </c>
      <c r="AG342" s="604">
        <v>1</v>
      </c>
      <c r="AI342" s="542"/>
      <c r="AJ342" s="542"/>
      <c r="AK342" s="542"/>
    </row>
    <row r="343">
      <c r="A343" s="557"/>
      <c r="B343" s="584" t="s">
        <v>345</v>
      </c>
      <c r="C343" s="559" t="s">
        <v>342</v>
      </c>
      <c r="D343" s="559">
        <f t="shared" si="325"/>
      </c>
      <c r="E343" s="559">
        <v>2368.68</v>
      </c>
      <c r="F343" s="559">
        <v>882.29</v>
      </c>
      <c r="G343" s="573">
        <v>3</v>
      </c>
      <c r="H343" s="641">
        <v>5405</v>
      </c>
      <c r="I343" s="658">
        <f t="shared" si="415"/>
      </c>
      <c r="J343" s="659">
        <f t="shared" si="171"/>
      </c>
      <c r="K343" s="634">
        <f t="shared" si="230"/>
      </c>
      <c r="L343" s="596">
        <f t="shared" si="19"/>
      </c>
      <c r="M343" s="597">
        <f t="shared" si="112"/>
      </c>
      <c r="N343" s="598">
        <f t="shared" si="47"/>
      </c>
      <c r="O343" s="598">
        <f t="shared" si="477"/>
      </c>
      <c r="P343" s="597">
        <f t="shared" si="511"/>
      </c>
      <c r="Q343" s="598">
        <f t="shared" si="378"/>
      </c>
      <c r="R343" s="598">
        <f t="shared" si="443"/>
      </c>
      <c r="S343" s="599">
        <f t="shared" si="199"/>
      </c>
      <c r="T343" s="600">
        <f t="shared" si="258"/>
      </c>
      <c r="U343" s="599">
        <f t="shared" si="81"/>
      </c>
      <c r="V343" s="601">
        <f t="shared" si="140"/>
      </c>
      <c r="W343" s="602" t="s">
        <v>335</v>
      </c>
      <c r="X343" s="615" t="s">
        <v>364</v>
      </c>
      <c r="Y343" s="603">
        <v>2</v>
      </c>
      <c r="Z343" s="603">
        <v>17769</v>
      </c>
      <c r="AA343" s="603">
        <v>475</v>
      </c>
      <c r="AB343" s="603">
        <v>574</v>
      </c>
      <c r="AC343" s="603">
        <v>74</v>
      </c>
      <c r="AD343" s="603">
        <v>10</v>
      </c>
      <c r="AE343" s="604">
        <v>3</v>
      </c>
      <c r="AF343" s="604">
        <v>16</v>
      </c>
      <c r="AG343" s="604">
        <v>1</v>
      </c>
      <c r="AI343" s="542"/>
      <c r="AJ343" s="542"/>
      <c r="AK343" s="542"/>
    </row>
    <row r="344">
      <c r="A344" s="557"/>
      <c r="B344" s="584" t="s">
        <v>346</v>
      </c>
      <c r="C344" s="559" t="s">
        <v>342</v>
      </c>
      <c r="D344" s="559">
        <f t="shared" si="325"/>
      </c>
      <c r="E344" s="559">
        <v>3128.36</v>
      </c>
      <c r="F344" s="559">
        <v>672.12</v>
      </c>
      <c r="G344" s="573">
        <v>3</v>
      </c>
      <c r="H344" s="641">
        <v>4644</v>
      </c>
      <c r="I344" s="658">
        <f t="shared" si="415"/>
      </c>
      <c r="J344" s="659">
        <f t="shared" si="171"/>
      </c>
      <c r="K344" s="634">
        <f t="shared" si="230"/>
      </c>
      <c r="L344" s="596">
        <f t="shared" si="19"/>
      </c>
      <c r="M344" s="597">
        <f t="shared" si="112"/>
      </c>
      <c r="N344" s="598">
        <f t="shared" si="47"/>
      </c>
      <c r="O344" s="598">
        <f t="shared" si="477"/>
      </c>
      <c r="P344" s="597">
        <f t="shared" si="511"/>
      </c>
      <c r="Q344" s="598">
        <f t="shared" si="378"/>
      </c>
      <c r="R344" s="598">
        <f t="shared" si="443"/>
      </c>
      <c r="S344" s="599">
        <f t="shared" si="199"/>
      </c>
      <c r="T344" s="600">
        <f t="shared" si="258"/>
      </c>
      <c r="U344" s="599">
        <f t="shared" si="81"/>
      </c>
      <c r="V344" s="601">
        <f t="shared" si="140"/>
      </c>
      <c r="W344" s="602" t="s">
        <v>335</v>
      </c>
      <c r="X344" s="615" t="s">
        <v>364</v>
      </c>
      <c r="Y344" s="603">
        <v>2</v>
      </c>
      <c r="Z344" s="603">
        <v>16990</v>
      </c>
      <c r="AA344" s="603">
        <v>423</v>
      </c>
      <c r="AB344" s="603">
        <v>545</v>
      </c>
      <c r="AC344" s="603">
        <v>86</v>
      </c>
      <c r="AD344" s="603">
        <v>19</v>
      </c>
      <c r="AE344" s="604">
        <v>5</v>
      </c>
      <c r="AF344" s="604">
        <v>13</v>
      </c>
      <c r="AG344" s="604">
        <v>1</v>
      </c>
      <c r="AI344" s="542"/>
      <c r="AJ344" s="542"/>
      <c r="AK344" s="542"/>
    </row>
    <row r="345">
      <c r="A345" s="557"/>
      <c r="B345" s="584" t="s">
        <v>349</v>
      </c>
      <c r="C345" s="559" t="s">
        <v>342</v>
      </c>
      <c r="D345" s="559">
        <f t="shared" si="325"/>
      </c>
      <c r="E345" s="559">
        <v>1615.58</v>
      </c>
      <c r="F345" s="559">
        <v>324.49</v>
      </c>
      <c r="G345" s="573">
        <v>2</v>
      </c>
      <c r="H345" s="641">
        <v>1817</v>
      </c>
      <c r="I345" s="658">
        <f t="shared" si="415"/>
      </c>
      <c r="J345" s="659">
        <f t="shared" si="171"/>
      </c>
      <c r="K345" s="646">
        <f t="shared" si="230"/>
      </c>
      <c r="L345" s="596">
        <f t="shared" si="19"/>
      </c>
      <c r="M345" s="597">
        <f t="shared" si="112"/>
      </c>
      <c r="N345" s="598">
        <f t="shared" si="47"/>
      </c>
      <c r="O345" s="598">
        <f t="shared" si="477"/>
      </c>
      <c r="P345" s="597">
        <f t="shared" si="511"/>
      </c>
      <c r="Q345" s="598">
        <f t="shared" si="378"/>
      </c>
      <c r="R345" s="598">
        <f t="shared" si="443"/>
      </c>
      <c r="S345" s="599">
        <f t="shared" si="199"/>
      </c>
      <c r="T345" s="600">
        <f t="shared" si="258"/>
      </c>
      <c r="U345" s="599">
        <f t="shared" si="81"/>
      </c>
      <c r="V345" s="601">
        <f t="shared" si="140"/>
      </c>
      <c r="W345" s="602" t="s">
        <v>335</v>
      </c>
      <c r="X345" s="615" t="s">
        <v>364</v>
      </c>
      <c r="Y345" s="603">
        <v>2</v>
      </c>
      <c r="Z345" s="604">
        <v>8636</v>
      </c>
      <c r="AA345" s="604">
        <v>222</v>
      </c>
      <c r="AB345" s="604">
        <v>308</v>
      </c>
      <c r="AC345" s="604">
        <v>63</v>
      </c>
      <c r="AD345" s="603">
        <v>11</v>
      </c>
      <c r="AE345" s="604">
        <v>4</v>
      </c>
      <c r="AF345" s="604">
        <v>12</v>
      </c>
      <c r="AG345" s="604">
        <v>1</v>
      </c>
      <c r="AI345" s="542"/>
      <c r="AJ345" s="542"/>
      <c r="AK345" s="542"/>
    </row>
    <row r="346">
      <c r="A346" s="557"/>
      <c r="B346" s="586" t="s">
        <v>340</v>
      </c>
      <c r="C346" s="586"/>
      <c r="D346" s="587">
        <f>SUM(D341:D345)</f>
      </c>
      <c r="E346" s="587">
        <f>SUM(E341:E345)</f>
      </c>
      <c r="F346" s="587">
        <f>SUM(F341:F345)</f>
      </c>
      <c r="G346" s="587">
        <f>SUM(G341:G345)</f>
      </c>
      <c r="H346" s="587">
        <f>SUM(H341:H345)</f>
      </c>
      <c r="I346" s="663">
        <f t="shared" si="415"/>
      </c>
      <c r="J346" s="664">
        <f t="shared" si="171"/>
      </c>
      <c r="K346" s="647">
        <f t="shared" si="230"/>
      </c>
      <c r="L346" s="590">
        <f t="shared" si="19"/>
      </c>
      <c r="M346" s="591">
        <f t="shared" si="112"/>
      </c>
      <c r="N346" s="592">
        <f t="shared" si="47"/>
      </c>
      <c r="O346" s="592">
        <f t="shared" si="477"/>
      </c>
      <c r="P346" s="591">
        <f t="shared" si="511"/>
      </c>
      <c r="Q346" s="592">
        <f t="shared" si="378"/>
      </c>
      <c r="R346" s="592">
        <f t="shared" si="443"/>
      </c>
      <c r="S346" s="593">
        <f t="shared" si="199"/>
      </c>
      <c r="T346" s="594">
        <f t="shared" si="258"/>
      </c>
      <c r="U346" s="593">
        <f t="shared" si="81"/>
      </c>
      <c r="V346" s="595">
        <f t="shared" si="140"/>
      </c>
      <c r="W346" s="595"/>
      <c r="X346" s="595"/>
      <c r="Y346" s="587">
        <f>SUM(Y341:Y345)</f>
      </c>
      <c r="Z346" s="587">
        <f>SUM(Z341:Z345)</f>
      </c>
      <c r="AA346" s="587">
        <f>SUM(AA341:AA345)</f>
      </c>
      <c r="AB346" s="587">
        <f>SUM(AB341:AB345)</f>
      </c>
      <c r="AC346" s="587">
        <f>SUM(AC341:AC345)</f>
      </c>
      <c r="AD346" s="587">
        <f>SUM(AD341:AD345)</f>
      </c>
      <c r="AE346" s="587">
        <f>SUM(AE341:AE345)</f>
      </c>
      <c r="AF346" s="587">
        <f>SUM(AF341:AF345)</f>
      </c>
      <c r="AG346" s="587">
        <f>SUM(AG341:AG345)</f>
      </c>
      <c r="AI346" s="542"/>
      <c r="AJ346" s="542"/>
      <c r="AK346" s="542"/>
    </row>
    <row r="347">
      <c r="A347" s="557"/>
      <c r="B347" s="607" t="s">
        <v>352</v>
      </c>
      <c r="C347" s="607"/>
      <c r="D347" s="607">
        <f>D340+D346</f>
      </c>
      <c r="E347" s="607">
        <f>E340+E346</f>
      </c>
      <c r="F347" s="607">
        <f>F340+F346</f>
      </c>
      <c r="G347" s="607">
        <f>G340+G346</f>
      </c>
      <c r="H347" s="607">
        <f>H340+H346</f>
      </c>
      <c r="I347" s="608">
        <f t="shared" si="415"/>
      </c>
      <c r="J347" s="608">
        <f t="shared" si="171"/>
      </c>
      <c r="K347" s="651">
        <f t="shared" si="230"/>
      </c>
      <c r="L347" s="610">
        <f t="shared" si="19"/>
      </c>
      <c r="M347" s="611">
        <f t="shared" si="112"/>
      </c>
      <c r="N347" s="612">
        <f t="shared" si="47"/>
      </c>
      <c r="O347" s="612">
        <f t="shared" si="477"/>
      </c>
      <c r="P347" s="611">
        <f t="shared" si="511"/>
      </c>
      <c r="Q347" s="612">
        <f t="shared" si="378"/>
      </c>
      <c r="R347" s="612">
        <f t="shared" si="443"/>
      </c>
      <c r="S347" s="611">
        <f t="shared" si="199"/>
      </c>
      <c r="T347" s="613">
        <f t="shared" si="258"/>
      </c>
      <c r="U347" s="611">
        <f t="shared" si="81"/>
      </c>
      <c r="V347" s="609">
        <f t="shared" si="140"/>
      </c>
      <c r="W347" s="609"/>
      <c r="X347" s="609"/>
      <c r="Y347" s="607">
        <f>Y340+Y346</f>
      </c>
      <c r="Z347" s="607">
        <f>Z340+Z346</f>
      </c>
      <c r="AA347" s="607">
        <f>AA340+AA346</f>
      </c>
      <c r="AB347" s="607">
        <f>AB340+AB346</f>
      </c>
      <c r="AC347" s="607">
        <f>AC340+AC346</f>
      </c>
      <c r="AD347" s="607">
        <f>AD340+AD346</f>
      </c>
      <c r="AE347" s="607">
        <f>AE340+AE346</f>
      </c>
      <c r="AF347" s="607">
        <f>AF340+AF346</f>
      </c>
      <c r="AG347" s="607">
        <f>AG340+AG346</f>
      </c>
      <c r="AI347" s="542"/>
      <c r="AJ347" s="542"/>
      <c r="AK347" s="542"/>
    </row>
    <row r="348">
      <c r="A348" s="538" t="s">
        <v>295</v>
      </c>
      <c r="B348" s="538"/>
      <c r="C348" s="538"/>
      <c r="D348" s="614" t="s">
        <v>296</v>
      </c>
      <c r="E348" s="614"/>
      <c r="F348" s="614"/>
      <c r="G348" s="614"/>
      <c r="H348" s="614"/>
      <c r="I348" s="614"/>
      <c r="J348" s="614"/>
      <c r="K348" s="540" t="s">
        <v>297</v>
      </c>
      <c r="L348" s="540"/>
      <c r="M348" s="540"/>
      <c r="N348" s="540"/>
      <c r="O348" s="540"/>
      <c r="P348" s="540"/>
      <c r="Q348" s="540"/>
      <c r="R348" s="540"/>
      <c r="S348" s="540"/>
      <c r="T348" s="540"/>
      <c r="U348" s="540"/>
      <c r="V348" s="540"/>
      <c r="W348" s="540"/>
      <c r="X348" s="540"/>
      <c r="Y348" s="541" t="s">
        <v>298</v>
      </c>
      <c r="Z348" s="541"/>
      <c r="AA348" s="541"/>
      <c r="AB348" s="541"/>
      <c r="AC348" s="541"/>
      <c r="AD348" s="541"/>
      <c r="AE348" s="541"/>
      <c r="AF348" s="541"/>
      <c r="AG348" s="541"/>
      <c r="AI348" s="542"/>
      <c r="AJ348" s="542"/>
      <c r="AK348" s="542"/>
    </row>
    <row r="349">
      <c r="A349" s="543" t="s">
        <v>299</v>
      </c>
      <c r="B349" s="544" t="s">
        <v>300</v>
      </c>
      <c r="C349" s="544" t="s">
        <v>301</v>
      </c>
      <c r="D349" s="545" t="s">
        <v>302</v>
      </c>
      <c r="E349" s="546" t="s">
        <v>303</v>
      </c>
      <c r="F349" s="546" t="s">
        <v>304</v>
      </c>
      <c r="G349" s="547" t="s">
        <v>305</v>
      </c>
      <c r="H349" s="548" t="s">
        <v>306</v>
      </c>
      <c r="I349" s="630" t="s">
        <v>307</v>
      </c>
      <c r="J349" s="630" t="s">
        <v>308</v>
      </c>
      <c r="K349" s="551" t="s">
        <v>309</v>
      </c>
      <c r="L349" s="540" t="s">
        <v>310</v>
      </c>
      <c r="M349" s="540" t="s">
        <v>311</v>
      </c>
      <c r="N349" s="552" t="s">
        <v>312</v>
      </c>
      <c r="O349" s="552" t="s">
        <v>313</v>
      </c>
      <c r="P349" s="540" t="s">
        <v>314</v>
      </c>
      <c r="Q349" s="552" t="s">
        <v>315</v>
      </c>
      <c r="R349" s="552" t="s">
        <v>316</v>
      </c>
      <c r="S349" s="540" t="s">
        <v>317</v>
      </c>
      <c r="T349" s="552" t="s">
        <v>318</v>
      </c>
      <c r="U349" s="540" t="s">
        <v>319</v>
      </c>
      <c r="V349" s="553" t="s">
        <v>320</v>
      </c>
      <c r="W349" s="553" t="s">
        <v>321</v>
      </c>
      <c r="X349" s="553" t="s">
        <v>322</v>
      </c>
      <c r="Y349" s="618" t="s">
        <v>323</v>
      </c>
      <c r="Z349" s="619" t="s">
        <v>324</v>
      </c>
      <c r="AA349" s="619" t="s">
        <v>325</v>
      </c>
      <c r="AB349" s="619" t="s">
        <v>326</v>
      </c>
      <c r="AC349" s="619" t="s">
        <v>327</v>
      </c>
      <c r="AD349" s="619" t="s">
        <v>328</v>
      </c>
      <c r="AE349" s="555" t="s">
        <v>329</v>
      </c>
      <c r="AF349" s="555" t="s">
        <v>330</v>
      </c>
      <c r="AG349" s="555" t="s">
        <v>331</v>
      </c>
      <c r="AI349" s="542"/>
      <c r="AJ349" s="542"/>
      <c r="AK349" s="542"/>
    </row>
    <row r="350">
      <c r="A350" s="557" t="s">
        <v>376</v>
      </c>
      <c r="B350" s="584" t="s">
        <v>333</v>
      </c>
      <c r="C350" s="559" t="s">
        <v>347</v>
      </c>
      <c r="D350" s="620">
        <f t="shared" ref="D350:D354" si="326">E350+F350</f>
      </c>
      <c r="E350" s="621">
        <v>3833.42</v>
      </c>
      <c r="F350" s="584">
        <v>103.86</v>
      </c>
      <c r="G350" s="573">
        <v>3</v>
      </c>
      <c r="H350" s="641">
        <v>5484</v>
      </c>
      <c r="I350" s="652">
        <f t="shared" ref="I350:I362" si="416">H350/D350</f>
      </c>
      <c r="J350" s="653">
        <f t="shared" ref="J350:J362" si="172">H350/(D350+300*AG350)</f>
      </c>
      <c r="K350" s="634">
        <f t="shared" ref="K350:K362" si="231">(D350/Z350)*1000</f>
      </c>
      <c r="L350" s="564">
        <f t="shared" ref="L350:L362" si="20">AA350/Z350</f>
      </c>
      <c r="M350" s="654">
        <f t="shared" ref="M350:M362" si="113">D350/AB350</f>
      </c>
      <c r="N350" s="566">
        <f t="shared" ref="N350:N362" si="48">AC350/AB350</f>
      </c>
      <c r="O350" s="566">
        <f t="shared" ref="O350:O362" si="478">AD350/AB350</f>
      </c>
      <c r="P350" s="565">
        <f t="shared" ref="P350:P362" si="512">D350/AD350</f>
      </c>
      <c r="Q350" s="566">
        <f t="shared" ref="Q350:Q362" si="379">AE350/AD350</f>
      </c>
      <c r="R350" s="566">
        <f t="shared" ref="R350:R362" si="444">G350/AE350</f>
      </c>
      <c r="S350" s="565">
        <f t="shared" ref="S350:S362" si="200">D350/G350</f>
      </c>
      <c r="T350" s="567">
        <f t="shared" ref="T350:T362" si="259">H350/G350</f>
      </c>
      <c r="U350" s="565">
        <f t="shared" ref="U350:U362" si="82">D350/Y350</f>
      </c>
      <c r="V350" s="568">
        <f t="shared" ref="V350:V362" si="141">AF350*1000/D350</f>
      </c>
      <c r="W350" s="569" t="s">
        <v>335</v>
      </c>
      <c r="X350" s="655" t="s">
        <v>364</v>
      </c>
      <c r="Y350" s="635">
        <v>3</v>
      </c>
      <c r="Z350" s="656">
        <v>14015</v>
      </c>
      <c r="AA350" s="657">
        <v>302</v>
      </c>
      <c r="AB350" s="624">
        <v>407</v>
      </c>
      <c r="AC350" s="625">
        <v>77</v>
      </c>
      <c r="AD350" s="571">
        <v>28</v>
      </c>
      <c r="AE350" s="625">
        <v>6</v>
      </c>
      <c r="AF350" s="571">
        <v>16</v>
      </c>
      <c r="AG350" s="571">
        <v>1</v>
      </c>
      <c r="AI350" s="542"/>
      <c r="AJ350" s="542"/>
      <c r="AK350" s="542"/>
    </row>
    <row r="351">
      <c r="A351" s="557"/>
      <c r="B351" s="584" t="s">
        <v>337</v>
      </c>
      <c r="C351" s="559" t="s">
        <v>347</v>
      </c>
      <c r="D351" s="620">
        <f t="shared" si="326"/>
      </c>
      <c r="E351" s="626">
        <v>3561.71</v>
      </c>
      <c r="F351" s="559">
        <v>335.38</v>
      </c>
      <c r="G351" s="573">
        <v>3</v>
      </c>
      <c r="H351" s="641">
        <v>5004</v>
      </c>
      <c r="I351" s="658">
        <f t="shared" si="416"/>
      </c>
      <c r="J351" s="659">
        <f t="shared" si="172"/>
      </c>
      <c r="K351" s="634">
        <f t="shared" si="231"/>
      </c>
      <c r="L351" s="665">
        <f t="shared" si="20"/>
      </c>
      <c r="M351" s="661">
        <f t="shared" si="113"/>
      </c>
      <c r="N351" s="574">
        <f t="shared" si="48"/>
      </c>
      <c r="O351" s="576">
        <f t="shared" si="478"/>
      </c>
      <c r="P351" s="575">
        <f t="shared" si="512"/>
      </c>
      <c r="Q351" s="576">
        <f t="shared" si="379"/>
      </c>
      <c r="R351" s="576">
        <f t="shared" si="444"/>
      </c>
      <c r="S351" s="577">
        <f t="shared" si="200"/>
      </c>
      <c r="T351" s="617">
        <f t="shared" si="259"/>
      </c>
      <c r="U351" s="579">
        <f t="shared" si="82"/>
      </c>
      <c r="V351" s="580">
        <f t="shared" si="141"/>
      </c>
      <c r="W351" s="581" t="s">
        <v>335</v>
      </c>
      <c r="X351" s="655" t="s">
        <v>364</v>
      </c>
      <c r="Y351" s="624">
        <v>2</v>
      </c>
      <c r="Z351" s="656">
        <v>13135</v>
      </c>
      <c r="AA351" s="572">
        <v>319</v>
      </c>
      <c r="AB351" s="662">
        <v>413</v>
      </c>
      <c r="AC351" s="572">
        <v>72</v>
      </c>
      <c r="AD351" s="572">
        <v>42</v>
      </c>
      <c r="AE351" s="628">
        <v>4</v>
      </c>
      <c r="AF351" s="583">
        <v>10</v>
      </c>
      <c r="AG351" s="571">
        <v>1</v>
      </c>
      <c r="AI351" s="542"/>
      <c r="AJ351" s="542"/>
      <c r="AK351" s="542"/>
    </row>
    <row r="352">
      <c r="A352" s="557"/>
      <c r="B352" s="584" t="s">
        <v>338</v>
      </c>
      <c r="C352" s="559" t="s">
        <v>347</v>
      </c>
      <c r="D352" s="620">
        <f t="shared" si="326"/>
      </c>
      <c r="E352" s="559">
        <v>2348.81</v>
      </c>
      <c r="F352" s="559">
        <v>510.85</v>
      </c>
      <c r="G352" s="561">
        <v>1</v>
      </c>
      <c r="H352" s="631">
        <v>228</v>
      </c>
      <c r="I352" s="658">
        <f t="shared" si="416"/>
      </c>
      <c r="J352" s="659">
        <f t="shared" si="172"/>
      </c>
      <c r="K352" s="666">
        <f t="shared" si="231"/>
      </c>
      <c r="L352" s="667">
        <f t="shared" si="20"/>
      </c>
      <c r="M352" s="668">
        <f t="shared" si="113"/>
      </c>
      <c r="N352" s="576">
        <f t="shared" si="48"/>
      </c>
      <c r="O352" s="576">
        <f t="shared" si="478"/>
      </c>
      <c r="P352" s="575">
        <f t="shared" si="512"/>
      </c>
      <c r="Q352" s="576">
        <f t="shared" si="379"/>
      </c>
      <c r="R352" s="576">
        <f t="shared" si="444"/>
      </c>
      <c r="S352" s="577">
        <f t="shared" si="200"/>
      </c>
      <c r="T352" s="567">
        <f t="shared" si="259"/>
      </c>
      <c r="U352" s="579">
        <f t="shared" si="82"/>
      </c>
      <c r="V352" s="580">
        <f t="shared" si="141"/>
      </c>
      <c r="W352" s="581" t="s">
        <v>335</v>
      </c>
      <c r="X352" s="615" t="s">
        <v>364</v>
      </c>
      <c r="Y352" s="662">
        <v>0</v>
      </c>
      <c r="Z352" s="572">
        <v>9647</v>
      </c>
      <c r="AA352" s="572">
        <v>280</v>
      </c>
      <c r="AB352" s="572">
        <v>393</v>
      </c>
      <c r="AC352" s="572">
        <v>54</v>
      </c>
      <c r="AD352" s="572">
        <v>13</v>
      </c>
      <c r="AE352" s="628">
        <v>2</v>
      </c>
      <c r="AF352" s="583">
        <v>11</v>
      </c>
      <c r="AG352" s="571">
        <v>1</v>
      </c>
      <c r="AI352" s="542"/>
      <c r="AJ352" s="542"/>
      <c r="AK352" s="542"/>
    </row>
    <row r="353">
      <c r="A353" s="557"/>
      <c r="B353" s="584" t="s">
        <v>339</v>
      </c>
      <c r="C353" s="559" t="s">
        <v>347</v>
      </c>
      <c r="D353" s="620">
        <f t="shared" si="326"/>
      </c>
      <c r="E353" s="559">
        <v>1950.7</v>
      </c>
      <c r="F353" s="559">
        <v>309.75</v>
      </c>
      <c r="G353" s="573">
        <v>1</v>
      </c>
      <c r="H353" s="641">
        <v>2268</v>
      </c>
      <c r="I353" s="658">
        <f t="shared" si="416"/>
      </c>
      <c r="J353" s="659">
        <f t="shared" si="172"/>
      </c>
      <c r="K353" s="634">
        <f t="shared" si="231"/>
      </c>
      <c r="L353" s="574">
        <f t="shared" si="20"/>
      </c>
      <c r="M353" s="575">
        <f t="shared" si="113"/>
      </c>
      <c r="N353" s="576">
        <f t="shared" si="48"/>
      </c>
      <c r="O353" s="576">
        <f t="shared" si="478"/>
      </c>
      <c r="P353" s="575">
        <f t="shared" si="512"/>
      </c>
      <c r="Q353" s="576">
        <f t="shared" si="379"/>
      </c>
      <c r="R353" s="576">
        <f t="shared" si="444"/>
      </c>
      <c r="S353" s="577">
        <f t="shared" si="200"/>
      </c>
      <c r="T353" s="617">
        <f t="shared" si="259"/>
      </c>
      <c r="U353" s="579">
        <f t="shared" si="82"/>
      </c>
      <c r="V353" s="580">
        <f t="shared" si="141"/>
      </c>
      <c r="W353" s="581" t="s">
        <v>335</v>
      </c>
      <c r="X353" s="615" t="s">
        <v>364</v>
      </c>
      <c r="Y353" s="572">
        <v>1</v>
      </c>
      <c r="Z353" s="572">
        <v>7780</v>
      </c>
      <c r="AA353" s="572">
        <v>251</v>
      </c>
      <c r="AB353" s="572">
        <v>332</v>
      </c>
      <c r="AC353" s="572">
        <v>49</v>
      </c>
      <c r="AD353" s="572">
        <v>15</v>
      </c>
      <c r="AE353" s="628">
        <v>2</v>
      </c>
      <c r="AF353" s="583">
        <v>12</v>
      </c>
      <c r="AG353" s="571">
        <v>1</v>
      </c>
      <c r="AI353" s="542"/>
      <c r="AJ353" s="542"/>
      <c r="AK353" s="542"/>
    </row>
    <row r="354">
      <c r="A354" s="557"/>
      <c r="B354" s="584" t="s">
        <v>341</v>
      </c>
      <c r="C354" s="559" t="s">
        <v>347</v>
      </c>
      <c r="D354" s="620">
        <f t="shared" si="326"/>
      </c>
      <c r="E354" s="559">
        <v>4550.02</v>
      </c>
      <c r="F354" s="559">
        <v>260.85</v>
      </c>
      <c r="G354" s="573">
        <v>9</v>
      </c>
      <c r="H354" s="641">
        <v>17292</v>
      </c>
      <c r="I354" s="658">
        <f t="shared" si="416"/>
      </c>
      <c r="J354" s="659">
        <f t="shared" si="172"/>
      </c>
      <c r="K354" s="634">
        <f t="shared" si="231"/>
      </c>
      <c r="L354" s="574">
        <f t="shared" si="20"/>
      </c>
      <c r="M354" s="575">
        <f t="shared" si="113"/>
      </c>
      <c r="N354" s="576">
        <f t="shared" si="48"/>
      </c>
      <c r="O354" s="576">
        <f t="shared" si="478"/>
      </c>
      <c r="P354" s="575">
        <f t="shared" si="512"/>
      </c>
      <c r="Q354" s="576">
        <f t="shared" si="379"/>
      </c>
      <c r="R354" s="576">
        <f t="shared" si="444"/>
      </c>
      <c r="S354" s="577">
        <f t="shared" si="200"/>
      </c>
      <c r="T354" s="585">
        <f t="shared" si="259"/>
      </c>
      <c r="U354" s="577">
        <f t="shared" si="82"/>
      </c>
      <c r="V354" s="580">
        <f t="shared" si="141"/>
      </c>
      <c r="W354" s="581" t="s">
        <v>335</v>
      </c>
      <c r="X354" s="615" t="s">
        <v>364</v>
      </c>
      <c r="Y354" s="582">
        <v>8</v>
      </c>
      <c r="Z354" s="582">
        <v>19393</v>
      </c>
      <c r="AA354" s="582">
        <v>520</v>
      </c>
      <c r="AB354" s="582">
        <v>677</v>
      </c>
      <c r="AC354" s="582">
        <v>129</v>
      </c>
      <c r="AD354" s="582">
        <v>21</v>
      </c>
      <c r="AE354" s="583">
        <v>13</v>
      </c>
      <c r="AF354" s="583">
        <v>26</v>
      </c>
      <c r="AG354" s="583">
        <v>1</v>
      </c>
      <c r="AI354" s="542"/>
      <c r="AJ354" s="542"/>
      <c r="AK354" s="542"/>
    </row>
    <row r="355">
      <c r="A355" s="557"/>
      <c r="B355" s="586" t="s">
        <v>340</v>
      </c>
      <c r="C355" s="586"/>
      <c r="D355" s="587">
        <f>SUM(D350:D354)</f>
      </c>
      <c r="E355" s="587">
        <f>SUM(E350:E354)</f>
      </c>
      <c r="F355" s="587">
        <f>SUM(F350:F354)</f>
      </c>
      <c r="G355" s="587">
        <f>SUM(G350:G354)</f>
      </c>
      <c r="H355" s="642">
        <f>SUM(H350:H354)</f>
      </c>
      <c r="I355" s="663">
        <f t="shared" si="416"/>
      </c>
      <c r="J355" s="664">
        <f t="shared" si="172"/>
      </c>
      <c r="K355" s="645">
        <f t="shared" si="231"/>
      </c>
      <c r="L355" s="590">
        <f t="shared" si="20"/>
      </c>
      <c r="M355" s="591">
        <f t="shared" si="113"/>
      </c>
      <c r="N355" s="592">
        <f t="shared" si="48"/>
      </c>
      <c r="O355" s="592">
        <f t="shared" si="478"/>
      </c>
      <c r="P355" s="591">
        <f t="shared" si="512"/>
      </c>
      <c r="Q355" s="592">
        <f t="shared" si="379"/>
      </c>
      <c r="R355" s="592">
        <f t="shared" si="444"/>
      </c>
      <c r="S355" s="593">
        <f t="shared" si="200"/>
      </c>
      <c r="T355" s="594">
        <f t="shared" si="259"/>
      </c>
      <c r="U355" s="593">
        <f t="shared" si="82"/>
      </c>
      <c r="V355" s="595">
        <f t="shared" si="141"/>
      </c>
      <c r="W355" s="595"/>
      <c r="X355" s="595"/>
      <c r="Y355" s="587">
        <f>SUM(Y350:Y354)</f>
      </c>
      <c r="Z355" s="587">
        <f>SUM(Z350:Z354)</f>
      </c>
      <c r="AA355" s="587">
        <f>SUM(AA350:AA354)</f>
      </c>
      <c r="AB355" s="587">
        <f>SUM(AB350:AB354)</f>
      </c>
      <c r="AC355" s="587">
        <f>SUM(AC350:AC354)</f>
      </c>
      <c r="AD355" s="587">
        <f>SUM(AD350:AD354)</f>
      </c>
      <c r="AE355" s="587">
        <f>SUM(AE350:AE354)</f>
      </c>
      <c r="AF355" s="587">
        <f>SUM(AF350:AF354)</f>
      </c>
      <c r="AG355" s="587">
        <f>SUM(AG350:AG354)</f>
      </c>
      <c r="AI355" s="542"/>
      <c r="AJ355" s="542"/>
      <c r="AK355" s="542"/>
    </row>
    <row r="356">
      <c r="A356" s="557"/>
      <c r="B356" s="584" t="s">
        <v>343</v>
      </c>
      <c r="C356" s="559" t="s">
        <v>342</v>
      </c>
      <c r="D356" s="559">
        <f t="shared" ref="D356:D360" si="327">E356+F356</f>
      </c>
      <c r="E356" s="559">
        <v>3384.24</v>
      </c>
      <c r="F356" s="559">
        <v>245.5</v>
      </c>
      <c r="G356" s="573">
        <v>2</v>
      </c>
      <c r="H356" s="641">
        <v>4536</v>
      </c>
      <c r="I356" s="658">
        <f t="shared" si="416"/>
      </c>
      <c r="J356" s="659">
        <f t="shared" si="172"/>
      </c>
      <c r="K356" s="634">
        <f t="shared" si="231"/>
      </c>
      <c r="L356" s="596">
        <f t="shared" si="20"/>
      </c>
      <c r="M356" s="597">
        <f t="shared" si="113"/>
      </c>
      <c r="N356" s="598">
        <f t="shared" si="48"/>
      </c>
      <c r="O356" s="598">
        <f t="shared" si="478"/>
      </c>
      <c r="P356" s="597">
        <f t="shared" si="512"/>
      </c>
      <c r="Q356" s="598">
        <f t="shared" si="379"/>
      </c>
      <c r="R356" s="598">
        <f t="shared" si="444"/>
      </c>
      <c r="S356" s="599">
        <f t="shared" si="200"/>
      </c>
      <c r="T356" s="600">
        <f t="shared" si="259"/>
      </c>
      <c r="U356" s="599">
        <f t="shared" si="82"/>
      </c>
      <c r="V356" s="601">
        <f t="shared" si="141"/>
      </c>
      <c r="W356" s="602" t="s">
        <v>335</v>
      </c>
      <c r="X356" s="615" t="s">
        <v>364</v>
      </c>
      <c r="Y356" s="603">
        <v>1</v>
      </c>
      <c r="Z356" s="603">
        <v>17207</v>
      </c>
      <c r="AA356" s="603">
        <v>426</v>
      </c>
      <c r="AB356" s="603">
        <v>546</v>
      </c>
      <c r="AC356" s="603">
        <v>88</v>
      </c>
      <c r="AD356" s="603">
        <v>8</v>
      </c>
      <c r="AE356" s="604">
        <v>6</v>
      </c>
      <c r="AF356" s="604">
        <v>6</v>
      </c>
      <c r="AG356" s="604">
        <v>1</v>
      </c>
      <c r="AI356" s="542"/>
      <c r="AJ356" s="542"/>
      <c r="AK356" s="542"/>
    </row>
    <row r="357">
      <c r="A357" s="557"/>
      <c r="B357" s="584" t="s">
        <v>344</v>
      </c>
      <c r="C357" s="559" t="s">
        <v>342</v>
      </c>
      <c r="D357" s="559">
        <f t="shared" si="327"/>
      </c>
      <c r="E357" s="559">
        <v>2875.23</v>
      </c>
      <c r="F357" s="559">
        <v>224.08</v>
      </c>
      <c r="G357" s="561">
        <v>2</v>
      </c>
      <c r="H357" s="631">
        <v>2248</v>
      </c>
      <c r="I357" s="658">
        <f t="shared" si="416"/>
      </c>
      <c r="J357" s="659">
        <f t="shared" si="172"/>
      </c>
      <c r="K357" s="634">
        <f t="shared" si="231"/>
      </c>
      <c r="L357" s="596">
        <f t="shared" si="20"/>
      </c>
      <c r="M357" s="597">
        <f t="shared" si="113"/>
      </c>
      <c r="N357" s="598">
        <f t="shared" si="48"/>
      </c>
      <c r="O357" s="598">
        <f t="shared" si="478"/>
      </c>
      <c r="P357" s="597">
        <f t="shared" si="512"/>
      </c>
      <c r="Q357" s="598">
        <f t="shared" si="379"/>
      </c>
      <c r="R357" s="598">
        <f t="shared" si="444"/>
      </c>
      <c r="S357" s="599">
        <f t="shared" si="200"/>
      </c>
      <c r="T357" s="600">
        <f t="shared" si="259"/>
      </c>
      <c r="U357" s="599">
        <f t="shared" si="82"/>
      </c>
      <c r="V357" s="601">
        <f t="shared" si="141"/>
      </c>
      <c r="W357" s="602" t="s">
        <v>335</v>
      </c>
      <c r="X357" s="615" t="s">
        <v>364</v>
      </c>
      <c r="Y357" s="603">
        <v>2</v>
      </c>
      <c r="Z357" s="603">
        <v>11571</v>
      </c>
      <c r="AA357" s="603">
        <v>284</v>
      </c>
      <c r="AB357" s="603">
        <v>387</v>
      </c>
      <c r="AC357" s="603">
        <v>76</v>
      </c>
      <c r="AD357" s="603">
        <v>10</v>
      </c>
      <c r="AE357" s="604">
        <v>5</v>
      </c>
      <c r="AF357" s="604">
        <v>11</v>
      </c>
      <c r="AG357" s="604">
        <v>1</v>
      </c>
      <c r="AI357" s="542"/>
      <c r="AJ357" s="542"/>
      <c r="AK357" s="542"/>
    </row>
    <row r="358">
      <c r="A358" s="557"/>
      <c r="B358" s="584" t="s">
        <v>345</v>
      </c>
      <c r="C358" s="559" t="s">
        <v>342</v>
      </c>
      <c r="D358" s="559">
        <f t="shared" si="327"/>
      </c>
      <c r="E358" s="559">
        <v>3468.3</v>
      </c>
      <c r="F358" s="559">
        <v>427.12</v>
      </c>
      <c r="G358" s="573">
        <v>4</v>
      </c>
      <c r="H358" s="641">
        <v>7752</v>
      </c>
      <c r="I358" s="658">
        <f t="shared" si="416"/>
      </c>
      <c r="J358" s="659">
        <f t="shared" si="172"/>
      </c>
      <c r="K358" s="634">
        <f t="shared" si="231"/>
      </c>
      <c r="L358" s="596">
        <f t="shared" si="20"/>
      </c>
      <c r="M358" s="597">
        <f t="shared" si="113"/>
      </c>
      <c r="N358" s="598">
        <f t="shared" si="48"/>
      </c>
      <c r="O358" s="598">
        <f t="shared" si="478"/>
      </c>
      <c r="P358" s="597">
        <f t="shared" si="512"/>
      </c>
      <c r="Q358" s="598">
        <f t="shared" si="379"/>
      </c>
      <c r="R358" s="598">
        <f t="shared" si="444"/>
      </c>
      <c r="S358" s="599">
        <f t="shared" si="200"/>
      </c>
      <c r="T358" s="600">
        <f t="shared" si="259"/>
      </c>
      <c r="U358" s="599">
        <f t="shared" si="82"/>
      </c>
      <c r="V358" s="601">
        <f t="shared" si="141"/>
      </c>
      <c r="W358" s="602" t="s">
        <v>335</v>
      </c>
      <c r="X358" s="615" t="s">
        <v>364</v>
      </c>
      <c r="Y358" s="603">
        <v>2</v>
      </c>
      <c r="Z358" s="603">
        <v>19147</v>
      </c>
      <c r="AA358" s="603">
        <v>426</v>
      </c>
      <c r="AB358" s="603">
        <v>590</v>
      </c>
      <c r="AC358" s="603">
        <v>93</v>
      </c>
      <c r="AD358" s="603">
        <v>9</v>
      </c>
      <c r="AE358" s="604">
        <v>10</v>
      </c>
      <c r="AF358" s="604">
        <v>21</v>
      </c>
      <c r="AG358" s="604">
        <v>1</v>
      </c>
      <c r="AI358" s="542"/>
      <c r="AJ358" s="542"/>
      <c r="AK358" s="542"/>
    </row>
    <row r="359">
      <c r="A359" s="557"/>
      <c r="B359" s="584" t="s">
        <v>346</v>
      </c>
      <c r="C359" s="559" t="s">
        <v>342</v>
      </c>
      <c r="D359" s="559">
        <f t="shared" si="327"/>
      </c>
      <c r="E359" s="559">
        <v>1671.52</v>
      </c>
      <c r="F359" s="559">
        <v>588.92</v>
      </c>
      <c r="G359" s="561">
        <v>0</v>
      </c>
      <c r="H359" s="631">
        <v>0</v>
      </c>
      <c r="I359" s="658">
        <f t="shared" si="416"/>
      </c>
      <c r="J359" s="659">
        <f t="shared" si="172"/>
      </c>
      <c r="K359" s="634">
        <f t="shared" si="231"/>
      </c>
      <c r="L359" s="596">
        <f t="shared" si="20"/>
      </c>
      <c r="M359" s="597">
        <f t="shared" si="113"/>
      </c>
      <c r="N359" s="598">
        <f t="shared" si="48"/>
      </c>
      <c r="O359" s="598">
        <f t="shared" si="478"/>
      </c>
      <c r="P359" s="597">
        <f t="shared" si="512"/>
      </c>
      <c r="Q359" s="598">
        <f t="shared" si="379"/>
      </c>
      <c r="R359" s="598">
        <f t="shared" si="444"/>
      </c>
      <c r="S359" s="599">
        <f t="shared" si="200"/>
      </c>
      <c r="T359" s="600">
        <f t="shared" si="259"/>
      </c>
      <c r="U359" s="599">
        <f t="shared" si="82"/>
      </c>
      <c r="V359" s="601">
        <f t="shared" si="141"/>
      </c>
      <c r="W359" s="602" t="s">
        <v>335</v>
      </c>
      <c r="X359" s="615" t="s">
        <v>364</v>
      </c>
      <c r="Y359" s="603">
        <v>0</v>
      </c>
      <c r="Z359" s="603">
        <v>5411</v>
      </c>
      <c r="AA359" s="603">
        <v>230</v>
      </c>
      <c r="AB359" s="603">
        <v>320</v>
      </c>
      <c r="AC359" s="603">
        <v>47</v>
      </c>
      <c r="AD359" s="603">
        <v>19</v>
      </c>
      <c r="AE359" s="604">
        <v>4</v>
      </c>
      <c r="AF359" s="604">
        <v>13</v>
      </c>
      <c r="AG359" s="604">
        <v>1</v>
      </c>
      <c r="AI359" s="542"/>
      <c r="AJ359" s="542"/>
      <c r="AK359" s="542"/>
    </row>
    <row r="360">
      <c r="A360" s="557"/>
      <c r="B360" s="584" t="s">
        <v>349</v>
      </c>
      <c r="C360" s="559" t="s">
        <v>342</v>
      </c>
      <c r="D360" s="559">
        <f t="shared" si="327"/>
      </c>
      <c r="E360" s="559">
        <v>893.42</v>
      </c>
      <c r="F360" s="559">
        <v>196.07</v>
      </c>
      <c r="G360" s="573">
        <v>2</v>
      </c>
      <c r="H360" s="641">
        <v>4348</v>
      </c>
      <c r="I360" s="658">
        <f t="shared" si="416"/>
      </c>
      <c r="J360" s="659">
        <f t="shared" si="172"/>
      </c>
      <c r="K360" s="646">
        <f t="shared" si="231"/>
      </c>
      <c r="L360" s="596">
        <f t="shared" si="20"/>
      </c>
      <c r="M360" s="597">
        <f t="shared" si="113"/>
      </c>
      <c r="N360" s="598">
        <f t="shared" si="48"/>
      </c>
      <c r="O360" s="598">
        <f t="shared" si="478"/>
      </c>
      <c r="P360" s="597">
        <f t="shared" si="512"/>
      </c>
      <c r="Q360" s="598">
        <f t="shared" si="379"/>
      </c>
      <c r="R360" s="598">
        <f t="shared" si="444"/>
      </c>
      <c r="S360" s="599">
        <f t="shared" si="200"/>
      </c>
      <c r="T360" s="600">
        <f t="shared" si="259"/>
      </c>
      <c r="U360" s="599">
        <f t="shared" si="82"/>
      </c>
      <c r="V360" s="601">
        <f t="shared" si="141"/>
      </c>
      <c r="W360" s="602" t="s">
        <v>335</v>
      </c>
      <c r="X360" s="615" t="s">
        <v>364</v>
      </c>
      <c r="Y360" s="603">
        <v>2</v>
      </c>
      <c r="Z360" s="604">
        <v>2807</v>
      </c>
      <c r="AA360" s="604">
        <v>122</v>
      </c>
      <c r="AB360" s="604">
        <v>181</v>
      </c>
      <c r="AC360" s="604">
        <v>36</v>
      </c>
      <c r="AD360" s="603">
        <v>12</v>
      </c>
      <c r="AE360" s="604">
        <v>2</v>
      </c>
      <c r="AF360" s="604">
        <v>9</v>
      </c>
      <c r="AG360" s="604">
        <v>1</v>
      </c>
      <c r="AI360" s="542"/>
      <c r="AJ360" s="542"/>
      <c r="AK360" s="542"/>
    </row>
    <row r="361">
      <c r="A361" s="557"/>
      <c r="B361" s="586" t="s">
        <v>340</v>
      </c>
      <c r="C361" s="586"/>
      <c r="D361" s="587">
        <f>SUM(D356:D360)</f>
      </c>
      <c r="E361" s="587">
        <f>SUM(E356:E360)</f>
      </c>
      <c r="F361" s="587">
        <f>SUM(F356:F360)</f>
      </c>
      <c r="G361" s="587">
        <f>SUM(G356:G360)</f>
      </c>
      <c r="H361" s="587">
        <f>SUM(H356:H360)</f>
      </c>
      <c r="I361" s="663">
        <f t="shared" si="416"/>
      </c>
      <c r="J361" s="664">
        <f t="shared" si="172"/>
      </c>
      <c r="K361" s="647">
        <f t="shared" si="231"/>
      </c>
      <c r="L361" s="590">
        <f t="shared" si="20"/>
      </c>
      <c r="M361" s="591">
        <f t="shared" si="113"/>
      </c>
      <c r="N361" s="592">
        <f t="shared" si="48"/>
      </c>
      <c r="O361" s="592">
        <f t="shared" si="478"/>
      </c>
      <c r="P361" s="591">
        <f t="shared" si="512"/>
      </c>
      <c r="Q361" s="592">
        <f t="shared" si="379"/>
      </c>
      <c r="R361" s="592">
        <f t="shared" si="444"/>
      </c>
      <c r="S361" s="593">
        <f t="shared" si="200"/>
      </c>
      <c r="T361" s="594">
        <f t="shared" si="259"/>
      </c>
      <c r="U361" s="593">
        <f t="shared" si="82"/>
      </c>
      <c r="V361" s="595">
        <f t="shared" si="141"/>
      </c>
      <c r="W361" s="595"/>
      <c r="X361" s="595"/>
      <c r="Y361" s="587">
        <f>SUM(Y356:Y360)</f>
      </c>
      <c r="Z361" s="587">
        <f>SUM(Z356:Z360)</f>
      </c>
      <c r="AA361" s="587">
        <f>SUM(AA356:AA360)</f>
      </c>
      <c r="AB361" s="587">
        <f>SUM(AB356:AB360)</f>
      </c>
      <c r="AC361" s="587">
        <f>SUM(AC356:AC360)</f>
      </c>
      <c r="AD361" s="587">
        <f>SUM(AD356:AD360)</f>
      </c>
      <c r="AE361" s="587">
        <f>SUM(AE356:AE360)</f>
      </c>
      <c r="AF361" s="587">
        <f>SUM(AF356:AF360)</f>
      </c>
      <c r="AG361" s="587">
        <f>SUM(AG356:AG360)</f>
      </c>
      <c r="AI361" s="542"/>
      <c r="AJ361" s="542"/>
      <c r="AK361" s="542"/>
    </row>
    <row r="362">
      <c r="A362" s="557"/>
      <c r="B362" s="607" t="s">
        <v>352</v>
      </c>
      <c r="C362" s="607"/>
      <c r="D362" s="607">
        <f>D355+D361</f>
      </c>
      <c r="E362" s="607">
        <f>E355+E361</f>
      </c>
      <c r="F362" s="607">
        <f>F355+F361</f>
      </c>
      <c r="G362" s="607">
        <f>G355+G361</f>
      </c>
      <c r="H362" s="607">
        <f>H355+H361</f>
      </c>
      <c r="I362" s="608">
        <f t="shared" si="416"/>
      </c>
      <c r="J362" s="608">
        <f t="shared" si="172"/>
      </c>
      <c r="K362" s="651">
        <f t="shared" si="231"/>
      </c>
      <c r="L362" s="610">
        <f t="shared" si="20"/>
      </c>
      <c r="M362" s="611">
        <f t="shared" si="113"/>
      </c>
      <c r="N362" s="612">
        <f t="shared" si="48"/>
      </c>
      <c r="O362" s="612">
        <f t="shared" si="478"/>
      </c>
      <c r="P362" s="611">
        <f t="shared" si="512"/>
      </c>
      <c r="Q362" s="612">
        <f t="shared" si="379"/>
      </c>
      <c r="R362" s="612">
        <f t="shared" si="444"/>
      </c>
      <c r="S362" s="611">
        <f t="shared" si="200"/>
      </c>
      <c r="T362" s="613">
        <f t="shared" si="259"/>
      </c>
      <c r="U362" s="611">
        <f t="shared" si="82"/>
      </c>
      <c r="V362" s="609">
        <f t="shared" si="141"/>
      </c>
      <c r="W362" s="609"/>
      <c r="X362" s="609"/>
      <c r="Y362" s="607">
        <f>Y355+Y361</f>
      </c>
      <c r="Z362" s="607">
        <f>Z355+Z361</f>
      </c>
      <c r="AA362" s="607">
        <f>AA355+AA361</f>
      </c>
      <c r="AB362" s="607">
        <f>AB355+AB361</f>
      </c>
      <c r="AC362" s="607">
        <f>AC355+AC361</f>
      </c>
      <c r="AD362" s="607">
        <f>AD355+AD361</f>
      </c>
      <c r="AE362" s="607">
        <f>AE355+AE361</f>
      </c>
      <c r="AF362" s="607">
        <f>AF355+AF361</f>
      </c>
      <c r="AG362" s="607">
        <f>AG355+AG361</f>
      </c>
      <c r="AI362" s="542"/>
      <c r="AJ362" s="542"/>
      <c r="AK362" s="542"/>
    </row>
    <row r="363">
      <c r="A363" s="538" t="s">
        <v>295</v>
      </c>
      <c r="B363" s="538"/>
      <c r="C363" s="538"/>
      <c r="D363" s="614" t="s">
        <v>296</v>
      </c>
      <c r="E363" s="614"/>
      <c r="F363" s="614"/>
      <c r="G363" s="614"/>
      <c r="H363" s="614"/>
      <c r="I363" s="614"/>
      <c r="J363" s="614"/>
      <c r="K363" s="540" t="s">
        <v>297</v>
      </c>
      <c r="L363" s="540"/>
      <c r="M363" s="540"/>
      <c r="N363" s="540"/>
      <c r="O363" s="540"/>
      <c r="P363" s="540"/>
      <c r="Q363" s="540"/>
      <c r="R363" s="540"/>
      <c r="S363" s="540"/>
      <c r="T363" s="540"/>
      <c r="U363" s="540"/>
      <c r="V363" s="540"/>
      <c r="W363" s="540"/>
      <c r="X363" s="540"/>
      <c r="Y363" s="541" t="s">
        <v>298</v>
      </c>
      <c r="Z363" s="541"/>
      <c r="AA363" s="541"/>
      <c r="AB363" s="541"/>
      <c r="AC363" s="541"/>
      <c r="AD363" s="541"/>
      <c r="AE363" s="541"/>
      <c r="AF363" s="541"/>
      <c r="AG363" s="541"/>
      <c r="AI363" s="542"/>
      <c r="AJ363" s="542"/>
      <c r="AK363" s="542"/>
    </row>
    <row r="364">
      <c r="A364" s="543" t="s">
        <v>299</v>
      </c>
      <c r="B364" s="544" t="s">
        <v>300</v>
      </c>
      <c r="C364" s="544" t="s">
        <v>301</v>
      </c>
      <c r="D364" s="545" t="s">
        <v>302</v>
      </c>
      <c r="E364" s="546" t="s">
        <v>303</v>
      </c>
      <c r="F364" s="546" t="s">
        <v>304</v>
      </c>
      <c r="G364" s="547" t="s">
        <v>305</v>
      </c>
      <c r="H364" s="548" t="s">
        <v>306</v>
      </c>
      <c r="I364" s="630" t="s">
        <v>307</v>
      </c>
      <c r="J364" s="630" t="s">
        <v>308</v>
      </c>
      <c r="K364" s="551" t="s">
        <v>309</v>
      </c>
      <c r="L364" s="551" t="s">
        <v>310</v>
      </c>
      <c r="M364" s="551" t="s">
        <v>311</v>
      </c>
      <c r="N364" s="669" t="s">
        <v>312</v>
      </c>
      <c r="O364" s="669" t="s">
        <v>313</v>
      </c>
      <c r="P364" s="551" t="s">
        <v>314</v>
      </c>
      <c r="Q364" s="669" t="s">
        <v>315</v>
      </c>
      <c r="R364" s="669" t="s">
        <v>316</v>
      </c>
      <c r="S364" s="551" t="s">
        <v>317</v>
      </c>
      <c r="T364" s="669" t="s">
        <v>318</v>
      </c>
      <c r="U364" s="551" t="s">
        <v>319</v>
      </c>
      <c r="V364" s="553" t="s">
        <v>320</v>
      </c>
      <c r="W364" s="553" t="s">
        <v>321</v>
      </c>
      <c r="X364" s="553" t="s">
        <v>322</v>
      </c>
      <c r="Y364" s="618" t="s">
        <v>323</v>
      </c>
      <c r="Z364" s="619" t="s">
        <v>324</v>
      </c>
      <c r="AA364" s="619" t="s">
        <v>325</v>
      </c>
      <c r="AB364" s="619" t="s">
        <v>326</v>
      </c>
      <c r="AC364" s="619" t="s">
        <v>327</v>
      </c>
      <c r="AD364" s="619" t="s">
        <v>328</v>
      </c>
      <c r="AE364" s="555" t="s">
        <v>329</v>
      </c>
      <c r="AF364" s="555" t="s">
        <v>330</v>
      </c>
      <c r="AG364" s="555" t="s">
        <v>331</v>
      </c>
      <c r="AI364" s="542"/>
      <c r="AJ364" s="542"/>
      <c r="AK364" s="542"/>
    </row>
    <row r="365">
      <c r="A365" s="557" t="s">
        <v>377</v>
      </c>
      <c r="B365" s="584" t="s">
        <v>333</v>
      </c>
      <c r="C365" s="559" t="s">
        <v>347</v>
      </c>
      <c r="D365" s="620">
        <f t="shared" ref="D365:D369" si="328">E365+F365</f>
      </c>
      <c r="E365" s="621">
        <v>2599.56</v>
      </c>
      <c r="F365" s="584">
        <v>263.55</v>
      </c>
      <c r="G365" s="573">
        <v>3</v>
      </c>
      <c r="H365" s="641">
        <v>5484</v>
      </c>
      <c r="I365" s="652">
        <f t="shared" ref="I365:I380" si="417">H365/D365</f>
      </c>
      <c r="J365" s="670">
        <f t="shared" ref="J365:J380" si="173">H365/(D365+300*AG365)</f>
      </c>
      <c r="K365" s="671">
        <f t="shared" ref="K365:K380" si="232">(D365/Z365)*1000</f>
      </c>
      <c r="L365" s="667">
        <f t="shared" ref="L365:L380" si="21">AA365/Z365</f>
      </c>
      <c r="M365" s="661">
        <f t="shared" ref="M365:M380" si="114">D365/AB365</f>
      </c>
      <c r="N365" s="667">
        <f t="shared" ref="N365:N380" si="49">AC365/AB365</f>
      </c>
      <c r="O365" s="667">
        <f t="shared" ref="O365:O380" si="479">AD365/AB365</f>
      </c>
      <c r="P365" s="661">
        <f t="shared" ref="P365:P380" si="513">D365/AD365</f>
      </c>
      <c r="Q365" s="667">
        <f t="shared" ref="Q365:Q380" si="380">AE365/AD365</f>
      </c>
      <c r="R365" s="667">
        <f t="shared" ref="R365:R380" si="445">G365/AE365</f>
      </c>
      <c r="S365" s="661">
        <f t="shared" ref="S365:S380" si="201">D365/G365</f>
      </c>
      <c r="T365" s="578">
        <f t="shared" ref="T365:T380" si="260">H365/G365</f>
      </c>
      <c r="U365" s="661">
        <f t="shared" ref="U365:U380" si="83">D365/Y365</f>
      </c>
      <c r="V365" s="672">
        <f t="shared" ref="V365:V380" si="142">AF365*1000/D365</f>
      </c>
      <c r="W365" s="569" t="s">
        <v>335</v>
      </c>
      <c r="X365" s="655" t="s">
        <v>364</v>
      </c>
      <c r="Y365" s="635">
        <v>3</v>
      </c>
      <c r="Z365" s="656">
        <v>8682</v>
      </c>
      <c r="AA365" s="657">
        <v>251</v>
      </c>
      <c r="AB365" s="624">
        <v>358</v>
      </c>
      <c r="AC365" s="625">
        <v>68</v>
      </c>
      <c r="AD365" s="571">
        <v>21</v>
      </c>
      <c r="AE365" s="625">
        <v>4</v>
      </c>
      <c r="AF365" s="571">
        <v>22</v>
      </c>
      <c r="AG365" s="571">
        <v>1</v>
      </c>
      <c r="AI365" s="542"/>
      <c r="AJ365" s="542"/>
      <c r="AK365" s="542"/>
    </row>
    <row r="366">
      <c r="A366" s="557"/>
      <c r="B366" s="584" t="s">
        <v>337</v>
      </c>
      <c r="C366" s="559" t="s">
        <v>347</v>
      </c>
      <c r="D366" s="620">
        <f t="shared" si="328"/>
      </c>
      <c r="E366" s="626">
        <v>2149.83</v>
      </c>
      <c r="F366" s="559">
        <v>362.97</v>
      </c>
      <c r="G366" s="561">
        <v>0</v>
      </c>
      <c r="H366" s="631">
        <v>0</v>
      </c>
      <c r="I366" s="658">
        <f t="shared" si="417"/>
      </c>
      <c r="J366" s="562">
        <f t="shared" si="173"/>
      </c>
      <c r="K366" s="671">
        <f t="shared" si="232"/>
      </c>
      <c r="L366" s="667">
        <f t="shared" si="21"/>
      </c>
      <c r="M366" s="661">
        <f t="shared" si="114"/>
      </c>
      <c r="N366" s="667">
        <f t="shared" si="49"/>
      </c>
      <c r="O366" s="667">
        <f t="shared" si="479"/>
      </c>
      <c r="P366" s="661">
        <f t="shared" si="513"/>
      </c>
      <c r="Q366" s="667">
        <f t="shared" si="380"/>
      </c>
      <c r="R366" s="667">
        <f t="shared" si="445"/>
      </c>
      <c r="S366" s="661">
        <f t="shared" si="201"/>
      </c>
      <c r="T366" s="578">
        <f t="shared" si="260"/>
      </c>
      <c r="U366" s="661">
        <f t="shared" si="83"/>
      </c>
      <c r="V366" s="673">
        <f t="shared" si="142"/>
      </c>
      <c r="W366" s="581" t="s">
        <v>335</v>
      </c>
      <c r="X366" s="655" t="s">
        <v>364</v>
      </c>
      <c r="Y366" s="624">
        <v>0</v>
      </c>
      <c r="Z366" s="656">
        <v>7399</v>
      </c>
      <c r="AA366" s="572">
        <v>240</v>
      </c>
      <c r="AB366" s="662">
        <v>358</v>
      </c>
      <c r="AC366" s="572">
        <v>54</v>
      </c>
      <c r="AD366" s="572">
        <v>16</v>
      </c>
      <c r="AE366" s="628">
        <v>2</v>
      </c>
      <c r="AF366" s="583">
        <v>10</v>
      </c>
      <c r="AG366" s="571">
        <v>1</v>
      </c>
      <c r="AI366" s="542"/>
      <c r="AJ366" s="542"/>
      <c r="AK366" s="542"/>
    </row>
    <row r="367">
      <c r="A367" s="557"/>
      <c r="B367" s="584" t="s">
        <v>338</v>
      </c>
      <c r="C367" s="559" t="s">
        <v>347</v>
      </c>
      <c r="D367" s="620">
        <f t="shared" si="328"/>
      </c>
      <c r="E367" s="559">
        <v>1137.13</v>
      </c>
      <c r="F367" s="559">
        <v>259.11</v>
      </c>
      <c r="G367" s="561">
        <v>1</v>
      </c>
      <c r="H367" s="631">
        <v>2268</v>
      </c>
      <c r="I367" s="658">
        <f t="shared" si="417"/>
      </c>
      <c r="J367" s="562">
        <f t="shared" si="173"/>
      </c>
      <c r="K367" s="671">
        <f t="shared" si="232"/>
      </c>
      <c r="L367" s="667">
        <f t="shared" si="21"/>
      </c>
      <c r="M367" s="661">
        <f t="shared" si="114"/>
      </c>
      <c r="N367" s="667">
        <f t="shared" si="49"/>
      </c>
      <c r="O367" s="667">
        <f t="shared" si="479"/>
      </c>
      <c r="P367" s="661">
        <f t="shared" si="513"/>
      </c>
      <c r="Q367" s="667">
        <f t="shared" si="380"/>
      </c>
      <c r="R367" s="667">
        <f t="shared" si="445"/>
      </c>
      <c r="S367" s="661">
        <f t="shared" si="201"/>
      </c>
      <c r="T367" s="578">
        <f t="shared" si="260"/>
      </c>
      <c r="U367" s="661">
        <f t="shared" si="83"/>
      </c>
      <c r="V367" s="673">
        <f t="shared" si="142"/>
      </c>
      <c r="W367" s="581" t="s">
        <v>335</v>
      </c>
      <c r="X367" s="615" t="s">
        <v>364</v>
      </c>
      <c r="Y367" s="662">
        <v>1</v>
      </c>
      <c r="Z367" s="572">
        <v>4312</v>
      </c>
      <c r="AA367" s="572">
        <v>151</v>
      </c>
      <c r="AB367" s="572">
        <v>246</v>
      </c>
      <c r="AC367" s="572">
        <v>30</v>
      </c>
      <c r="AD367" s="572">
        <v>5</v>
      </c>
      <c r="AE367" s="628">
        <v>1</v>
      </c>
      <c r="AF367" s="583">
        <v>9</v>
      </c>
      <c r="AG367" s="571">
        <v>1</v>
      </c>
      <c r="AI367" s="542"/>
      <c r="AJ367" s="542"/>
      <c r="AK367" s="542"/>
    </row>
    <row r="368">
      <c r="A368" s="557"/>
      <c r="B368" s="584" t="s">
        <v>339</v>
      </c>
      <c r="C368" s="559" t="s">
        <v>347</v>
      </c>
      <c r="D368" s="620">
        <f t="shared" si="328"/>
      </c>
      <c r="E368" s="559">
        <v>1312.81</v>
      </c>
      <c r="F368" s="559">
        <v>237.79</v>
      </c>
      <c r="G368" s="573">
        <v>1</v>
      </c>
      <c r="H368" s="641">
        <v>2268</v>
      </c>
      <c r="I368" s="658">
        <f t="shared" si="417"/>
      </c>
      <c r="J368" s="562">
        <f t="shared" si="173"/>
      </c>
      <c r="K368" s="671">
        <f t="shared" si="232"/>
      </c>
      <c r="L368" s="667">
        <f t="shared" si="21"/>
      </c>
      <c r="M368" s="661">
        <f t="shared" si="114"/>
      </c>
      <c r="N368" s="667">
        <f t="shared" si="49"/>
      </c>
      <c r="O368" s="667">
        <f t="shared" si="479"/>
      </c>
      <c r="P368" s="661">
        <f t="shared" si="513"/>
      </c>
      <c r="Q368" s="667">
        <f t="shared" si="380"/>
      </c>
      <c r="R368" s="667">
        <f t="shared" si="445"/>
      </c>
      <c r="S368" s="661">
        <f t="shared" si="201"/>
      </c>
      <c r="T368" s="578">
        <f t="shared" si="260"/>
      </c>
      <c r="U368" s="661">
        <f t="shared" si="83"/>
      </c>
      <c r="V368" s="673">
        <f t="shared" si="142"/>
      </c>
      <c r="W368" s="581" t="s">
        <v>335</v>
      </c>
      <c r="X368" s="615" t="s">
        <v>364</v>
      </c>
      <c r="Y368" s="572">
        <v>1</v>
      </c>
      <c r="Z368" s="572">
        <v>5242</v>
      </c>
      <c r="AA368" s="572">
        <v>237</v>
      </c>
      <c r="AB368" s="572">
        <v>354</v>
      </c>
      <c r="AC368" s="572">
        <v>34</v>
      </c>
      <c r="AD368" s="572">
        <v>4</v>
      </c>
      <c r="AE368" s="628">
        <v>5</v>
      </c>
      <c r="AF368" s="583">
        <v>10</v>
      </c>
      <c r="AG368" s="571">
        <v>1</v>
      </c>
      <c r="AI368" s="542"/>
      <c r="AJ368" s="542"/>
      <c r="AK368" s="542"/>
    </row>
    <row r="369">
      <c r="A369" s="557"/>
      <c r="B369" s="584" t="s">
        <v>341</v>
      </c>
      <c r="C369" s="559" t="s">
        <v>347</v>
      </c>
      <c r="D369" s="620">
        <f t="shared" si="328"/>
      </c>
      <c r="E369" s="559">
        <v>1903.43</v>
      </c>
      <c r="F369" s="559">
        <v>391.93</v>
      </c>
      <c r="G369" s="573">
        <v>2</v>
      </c>
      <c r="H369" s="641">
        <v>4536</v>
      </c>
      <c r="I369" s="658">
        <f t="shared" si="417"/>
      </c>
      <c r="J369" s="659">
        <f t="shared" si="173"/>
      </c>
      <c r="K369" s="674">
        <f t="shared" si="232"/>
      </c>
      <c r="L369" s="574">
        <f t="shared" si="21"/>
      </c>
      <c r="M369" s="575">
        <f t="shared" si="114"/>
      </c>
      <c r="N369" s="576">
        <f t="shared" si="49"/>
      </c>
      <c r="O369" s="576">
        <f t="shared" si="479"/>
      </c>
      <c r="P369" s="575">
        <f t="shared" si="513"/>
      </c>
      <c r="Q369" s="576">
        <f t="shared" si="380"/>
      </c>
      <c r="R369" s="576">
        <f t="shared" si="445"/>
      </c>
      <c r="S369" s="577">
        <f t="shared" si="201"/>
      </c>
      <c r="T369" s="585">
        <f t="shared" si="260"/>
      </c>
      <c r="U369" s="577">
        <f t="shared" si="83"/>
      </c>
      <c r="V369" s="580">
        <f t="shared" si="142"/>
      </c>
      <c r="W369" s="581" t="s">
        <v>335</v>
      </c>
      <c r="X369" s="615" t="s">
        <v>364</v>
      </c>
      <c r="Y369" s="582">
        <v>2</v>
      </c>
      <c r="Z369" s="582">
        <v>8521</v>
      </c>
      <c r="AA369" s="582">
        <v>326</v>
      </c>
      <c r="AB369" s="582">
        <v>428</v>
      </c>
      <c r="AC369" s="582">
        <v>78</v>
      </c>
      <c r="AD369" s="582">
        <v>19</v>
      </c>
      <c r="AE369" s="583">
        <v>7</v>
      </c>
      <c r="AF369" s="583">
        <v>17</v>
      </c>
      <c r="AG369" s="583">
        <v>1</v>
      </c>
      <c r="AI369" s="542"/>
      <c r="AJ369" s="542"/>
      <c r="AK369" s="542"/>
    </row>
    <row r="370">
      <c r="A370" s="557"/>
      <c r="B370" s="586" t="s">
        <v>340</v>
      </c>
      <c r="C370" s="586"/>
      <c r="D370" s="587">
        <f>SUM(D365:D369)</f>
      </c>
      <c r="E370" s="587">
        <f>SUM(E365:E369)</f>
      </c>
      <c r="F370" s="587">
        <f>SUM(F365:F369)</f>
      </c>
      <c r="G370" s="587">
        <f>SUM(G365:G369)</f>
      </c>
      <c r="H370" s="642">
        <f>SUM(H365:H369)</f>
      </c>
      <c r="I370" s="663">
        <f t="shared" si="417"/>
      </c>
      <c r="J370" s="664">
        <f t="shared" si="173"/>
      </c>
      <c r="K370" s="645">
        <f t="shared" si="232"/>
      </c>
      <c r="L370" s="590">
        <f t="shared" si="21"/>
      </c>
      <c r="M370" s="591">
        <f t="shared" si="114"/>
      </c>
      <c r="N370" s="592">
        <f t="shared" si="49"/>
      </c>
      <c r="O370" s="592">
        <f t="shared" si="479"/>
      </c>
      <c r="P370" s="591">
        <f t="shared" si="513"/>
      </c>
      <c r="Q370" s="592">
        <f t="shared" si="380"/>
      </c>
      <c r="R370" s="592">
        <f t="shared" si="445"/>
      </c>
      <c r="S370" s="593">
        <f t="shared" si="201"/>
      </c>
      <c r="T370" s="594">
        <f t="shared" si="260"/>
      </c>
      <c r="U370" s="593">
        <f t="shared" si="83"/>
      </c>
      <c r="V370" s="595">
        <f t="shared" si="142"/>
      </c>
      <c r="W370" s="595"/>
      <c r="X370" s="595"/>
      <c r="Y370" s="587">
        <f>SUM(Y365:Y369)</f>
      </c>
      <c r="Z370" s="587">
        <f>SUM(Z365:Z369)</f>
      </c>
      <c r="AA370" s="587">
        <f>SUM(AA365:AA369)</f>
      </c>
      <c r="AB370" s="587">
        <f>SUM(AB365:AB369)</f>
      </c>
      <c r="AC370" s="587">
        <f>SUM(AC365:AC369)</f>
      </c>
      <c r="AD370" s="587">
        <f>SUM(AD365:AD369)</f>
      </c>
      <c r="AE370" s="587">
        <f>SUM(AE365:AE369)</f>
      </c>
      <c r="AF370" s="587">
        <f>SUM(AF365:AF369)</f>
      </c>
      <c r="AG370" s="587">
        <f>SUM(AG365:AG369)</f>
      </c>
      <c r="AI370" s="542"/>
      <c r="AJ370" s="542"/>
      <c r="AK370" s="542"/>
    </row>
    <row r="371">
      <c r="A371" s="557"/>
      <c r="B371" s="584" t="s">
        <v>343</v>
      </c>
      <c r="C371" s="559" t="s">
        <v>342</v>
      </c>
      <c r="D371" s="559">
        <f t="shared" ref="D371:D375" si="329">E371+F371</f>
      </c>
      <c r="E371" s="559">
        <v>1467.93</v>
      </c>
      <c r="F371" s="559">
        <v>492.82</v>
      </c>
      <c r="G371" s="573">
        <v>3</v>
      </c>
      <c r="H371" s="641">
        <v>6804</v>
      </c>
      <c r="I371" s="658">
        <f t="shared" si="417"/>
      </c>
      <c r="J371" s="659">
        <f t="shared" si="173"/>
      </c>
      <c r="K371" s="634">
        <f t="shared" si="232"/>
      </c>
      <c r="L371" s="596">
        <f t="shared" si="21"/>
      </c>
      <c r="M371" s="597">
        <f t="shared" si="114"/>
      </c>
      <c r="N371" s="598">
        <f t="shared" si="49"/>
      </c>
      <c r="O371" s="598">
        <f t="shared" si="479"/>
      </c>
      <c r="P371" s="597">
        <f t="shared" si="513"/>
      </c>
      <c r="Q371" s="598">
        <f t="shared" si="380"/>
      </c>
      <c r="R371" s="598">
        <f t="shared" si="445"/>
      </c>
      <c r="S371" s="599">
        <f t="shared" si="201"/>
      </c>
      <c r="T371" s="600">
        <f t="shared" si="260"/>
      </c>
      <c r="U371" s="599">
        <f t="shared" si="83"/>
      </c>
      <c r="V371" s="601">
        <f t="shared" si="142"/>
      </c>
      <c r="W371" s="602" t="s">
        <v>335</v>
      </c>
      <c r="X371" s="615" t="s">
        <v>364</v>
      </c>
      <c r="Y371" s="603">
        <v>0</v>
      </c>
      <c r="Z371" s="603">
        <v>6249</v>
      </c>
      <c r="AA371" s="603">
        <v>264</v>
      </c>
      <c r="AB371" s="603">
        <v>426</v>
      </c>
      <c r="AC371" s="603">
        <v>54</v>
      </c>
      <c r="AD371" s="603">
        <v>17</v>
      </c>
      <c r="AE371" s="604">
        <v>3</v>
      </c>
      <c r="AF371" s="604">
        <v>7</v>
      </c>
      <c r="AG371" s="604">
        <v>1</v>
      </c>
      <c r="AI371" s="542"/>
      <c r="AJ371" s="542"/>
      <c r="AK371" s="542"/>
    </row>
    <row r="372">
      <c r="A372" s="557"/>
      <c r="B372" s="584" t="s">
        <v>344</v>
      </c>
      <c r="C372" s="559" t="s">
        <v>342</v>
      </c>
      <c r="D372" s="559">
        <f t="shared" si="329"/>
      </c>
      <c r="E372" s="559">
        <v>1158.81</v>
      </c>
      <c r="F372" s="559">
        <v>414.91</v>
      </c>
      <c r="G372" s="561">
        <v>1</v>
      </c>
      <c r="H372" s="631">
        <v>2268</v>
      </c>
      <c r="I372" s="658">
        <f t="shared" si="417"/>
      </c>
      <c r="J372" s="659">
        <f t="shared" si="173"/>
      </c>
      <c r="K372" s="634">
        <f t="shared" si="232"/>
      </c>
      <c r="L372" s="596">
        <f t="shared" si="21"/>
      </c>
      <c r="M372" s="597">
        <f t="shared" si="114"/>
      </c>
      <c r="N372" s="598">
        <f t="shared" si="49"/>
      </c>
      <c r="O372" s="598">
        <f t="shared" si="479"/>
      </c>
      <c r="P372" s="597">
        <f t="shared" si="513"/>
      </c>
      <c r="Q372" s="598">
        <f t="shared" si="380"/>
      </c>
      <c r="R372" s="598">
        <f t="shared" si="445"/>
      </c>
      <c r="S372" s="599">
        <f t="shared" si="201"/>
      </c>
      <c r="T372" s="600">
        <f t="shared" si="260"/>
      </c>
      <c r="U372" s="599">
        <f t="shared" si="83"/>
      </c>
      <c r="V372" s="601">
        <f t="shared" si="142"/>
      </c>
      <c r="W372" s="602" t="s">
        <v>335</v>
      </c>
      <c r="X372" s="615" t="s">
        <v>364</v>
      </c>
      <c r="Y372" s="603">
        <v>1</v>
      </c>
      <c r="Z372" s="603">
        <v>4536</v>
      </c>
      <c r="AA372" s="603">
        <v>238</v>
      </c>
      <c r="AB372" s="603">
        <v>426</v>
      </c>
      <c r="AC372" s="603">
        <v>58</v>
      </c>
      <c r="AD372" s="603">
        <v>11</v>
      </c>
      <c r="AE372" s="604">
        <v>3</v>
      </c>
      <c r="AF372" s="604">
        <v>11</v>
      </c>
      <c r="AG372" s="604">
        <v>1</v>
      </c>
      <c r="AI372" s="542"/>
      <c r="AJ372" s="542"/>
      <c r="AK372" s="542"/>
    </row>
    <row r="373">
      <c r="A373" s="557"/>
      <c r="B373" s="584" t="s">
        <v>345</v>
      </c>
      <c r="C373" s="559" t="s">
        <v>342</v>
      </c>
      <c r="D373" s="559">
        <f t="shared" si="329"/>
      </c>
      <c r="E373" s="559">
        <v>1402.75</v>
      </c>
      <c r="F373" s="559">
        <v>630.56</v>
      </c>
      <c r="G373" s="573">
        <v>2</v>
      </c>
      <c r="H373" s="641">
        <v>4536</v>
      </c>
      <c r="I373" s="658">
        <f t="shared" si="417"/>
      </c>
      <c r="J373" s="659">
        <f t="shared" si="173"/>
      </c>
      <c r="K373" s="634">
        <f t="shared" si="232"/>
      </c>
      <c r="L373" s="596">
        <f t="shared" si="21"/>
      </c>
      <c r="M373" s="597">
        <f t="shared" si="114"/>
      </c>
      <c r="N373" s="598">
        <f t="shared" si="49"/>
      </c>
      <c r="O373" s="598">
        <f t="shared" si="479"/>
      </c>
      <c r="P373" s="597">
        <f t="shared" si="513"/>
      </c>
      <c r="Q373" s="598">
        <f t="shared" si="380"/>
      </c>
      <c r="R373" s="598">
        <f t="shared" si="445"/>
      </c>
      <c r="S373" s="599">
        <f t="shared" si="201"/>
      </c>
      <c r="T373" s="600">
        <f t="shared" si="260"/>
      </c>
      <c r="U373" s="599">
        <f t="shared" si="83"/>
      </c>
      <c r="V373" s="601">
        <f t="shared" si="142"/>
      </c>
      <c r="W373" s="602" t="s">
        <v>335</v>
      </c>
      <c r="X373" s="615" t="s">
        <v>364</v>
      </c>
      <c r="Y373" s="603">
        <v>1</v>
      </c>
      <c r="Z373" s="603">
        <v>4866</v>
      </c>
      <c r="AA373" s="603">
        <v>225</v>
      </c>
      <c r="AB373" s="603">
        <v>394</v>
      </c>
      <c r="AC373" s="603">
        <v>51</v>
      </c>
      <c r="AD373" s="603">
        <v>20</v>
      </c>
      <c r="AE373" s="604">
        <v>3</v>
      </c>
      <c r="AF373" s="604">
        <v>16</v>
      </c>
      <c r="AG373" s="604">
        <v>1</v>
      </c>
      <c r="AI373" s="542"/>
      <c r="AJ373" s="542"/>
      <c r="AK373" s="542"/>
    </row>
    <row r="374">
      <c r="A374" s="557"/>
      <c r="B374" s="584" t="s">
        <v>346</v>
      </c>
      <c r="C374" s="559" t="s">
        <v>342</v>
      </c>
      <c r="D374" s="559">
        <f t="shared" si="329"/>
      </c>
      <c r="E374" s="559">
        <v>1340.69</v>
      </c>
      <c r="F374" s="559">
        <v>738.58</v>
      </c>
      <c r="G374" s="561">
        <v>3</v>
      </c>
      <c r="H374" s="631">
        <v>6804</v>
      </c>
      <c r="I374" s="658">
        <f t="shared" si="417"/>
      </c>
      <c r="J374" s="659">
        <f t="shared" si="173"/>
      </c>
      <c r="K374" s="634">
        <f t="shared" si="232"/>
      </c>
      <c r="L374" s="596">
        <f t="shared" si="21"/>
      </c>
      <c r="M374" s="597">
        <f t="shared" si="114"/>
      </c>
      <c r="N374" s="598">
        <f t="shared" si="49"/>
      </c>
      <c r="O374" s="598">
        <f t="shared" si="479"/>
      </c>
      <c r="P374" s="597">
        <f t="shared" si="513"/>
      </c>
      <c r="Q374" s="598">
        <f t="shared" si="380"/>
      </c>
      <c r="R374" s="598">
        <f t="shared" si="445"/>
      </c>
      <c r="S374" s="599">
        <f t="shared" si="201"/>
      </c>
      <c r="T374" s="600">
        <f t="shared" si="260"/>
      </c>
      <c r="U374" s="599">
        <f t="shared" si="83"/>
      </c>
      <c r="V374" s="601">
        <f t="shared" si="142"/>
      </c>
      <c r="W374" s="602" t="s">
        <v>335</v>
      </c>
      <c r="X374" s="570" t="s">
        <v>356</v>
      </c>
      <c r="Y374" s="603">
        <v>2</v>
      </c>
      <c r="Z374" s="603">
        <v>5547</v>
      </c>
      <c r="AA374" s="603">
        <v>264</v>
      </c>
      <c r="AB374" s="603">
        <v>437</v>
      </c>
      <c r="AC374" s="603">
        <v>53</v>
      </c>
      <c r="AD374" s="603">
        <v>20</v>
      </c>
      <c r="AE374" s="604">
        <v>4</v>
      </c>
      <c r="AF374" s="604">
        <v>13</v>
      </c>
      <c r="AG374" s="604">
        <v>1</v>
      </c>
      <c r="AI374" s="542"/>
      <c r="AJ374" s="542"/>
      <c r="AK374" s="542"/>
    </row>
    <row r="375">
      <c r="A375" s="557"/>
      <c r="B375" s="584" t="s">
        <v>349</v>
      </c>
      <c r="C375" s="559" t="s">
        <v>342</v>
      </c>
      <c r="D375" s="559">
        <f t="shared" si="329"/>
      </c>
      <c r="E375" s="559">
        <v>1479.41</v>
      </c>
      <c r="F375" s="559">
        <v>883.49</v>
      </c>
      <c r="G375" s="573">
        <v>1</v>
      </c>
      <c r="H375" s="641">
        <v>2268</v>
      </c>
      <c r="I375" s="658">
        <f t="shared" si="417"/>
      </c>
      <c r="J375" s="659">
        <f t="shared" si="173"/>
      </c>
      <c r="K375" s="646">
        <f t="shared" si="232"/>
      </c>
      <c r="L375" s="596">
        <f t="shared" si="21"/>
      </c>
      <c r="M375" s="597">
        <f t="shared" si="114"/>
      </c>
      <c r="N375" s="598">
        <f t="shared" si="49"/>
      </c>
      <c r="O375" s="598">
        <f t="shared" si="479"/>
      </c>
      <c r="P375" s="597">
        <f t="shared" si="513"/>
      </c>
      <c r="Q375" s="598">
        <f t="shared" si="380"/>
      </c>
      <c r="R375" s="598">
        <f t="shared" si="445"/>
      </c>
      <c r="S375" s="599">
        <f t="shared" si="201"/>
      </c>
      <c r="T375" s="600">
        <f t="shared" si="260"/>
      </c>
      <c r="U375" s="599">
        <f t="shared" si="83"/>
      </c>
      <c r="V375" s="601">
        <f t="shared" si="142"/>
      </c>
      <c r="W375" s="602" t="s">
        <v>335</v>
      </c>
      <c r="X375" s="570" t="s">
        <v>356</v>
      </c>
      <c r="Y375" s="603">
        <v>2</v>
      </c>
      <c r="Z375" s="604">
        <v>6143</v>
      </c>
      <c r="AA375" s="604">
        <v>303</v>
      </c>
      <c r="AB375" s="604">
        <v>485</v>
      </c>
      <c r="AC375" s="604">
        <v>52</v>
      </c>
      <c r="AD375" s="603">
        <v>15</v>
      </c>
      <c r="AE375" s="604">
        <v>3</v>
      </c>
      <c r="AF375" s="604">
        <v>9</v>
      </c>
      <c r="AG375" s="604">
        <v>1</v>
      </c>
      <c r="AI375" s="542"/>
      <c r="AJ375" s="542"/>
      <c r="AK375" s="542"/>
    </row>
    <row r="376">
      <c r="A376" s="557"/>
      <c r="B376" s="586" t="s">
        <v>340</v>
      </c>
      <c r="C376" s="586"/>
      <c r="D376" s="587">
        <f>SUM(D371:D375)</f>
      </c>
      <c r="E376" s="587">
        <f>SUM(E371:E375)</f>
      </c>
      <c r="F376" s="587">
        <f>SUM(F371:F375)</f>
      </c>
      <c r="G376" s="587">
        <f>SUM(G371:G375)</f>
      </c>
      <c r="H376" s="587">
        <f>SUM(H371:H375)</f>
      </c>
      <c r="I376" s="663">
        <f t="shared" si="417"/>
      </c>
      <c r="J376" s="664">
        <f t="shared" si="173"/>
      </c>
      <c r="K376" s="647">
        <f t="shared" si="232"/>
      </c>
      <c r="L376" s="590">
        <f t="shared" si="21"/>
      </c>
      <c r="M376" s="591">
        <f t="shared" si="114"/>
      </c>
      <c r="N376" s="592">
        <f t="shared" si="49"/>
      </c>
      <c r="O376" s="592">
        <f t="shared" si="479"/>
      </c>
      <c r="P376" s="591">
        <f t="shared" si="513"/>
      </c>
      <c r="Q376" s="592">
        <f t="shared" si="380"/>
      </c>
      <c r="R376" s="592">
        <f t="shared" si="445"/>
      </c>
      <c r="S376" s="593">
        <f t="shared" si="201"/>
      </c>
      <c r="T376" s="594">
        <f t="shared" si="260"/>
      </c>
      <c r="U376" s="593">
        <f t="shared" si="83"/>
      </c>
      <c r="V376" s="595">
        <f t="shared" si="142"/>
      </c>
      <c r="W376" s="595"/>
      <c r="X376" s="595"/>
      <c r="Y376" s="587">
        <f>SUM(Y371:Y375)</f>
      </c>
      <c r="Z376" s="587">
        <f>SUM(Z371:Z375)</f>
      </c>
      <c r="AA376" s="587">
        <f>SUM(AA371:AA375)</f>
      </c>
      <c r="AB376" s="587">
        <f>SUM(AB371:AB375)</f>
      </c>
      <c r="AC376" s="587">
        <f>SUM(AC371:AC375)</f>
      </c>
      <c r="AD376" s="587">
        <f>SUM(AD371:AD375)</f>
      </c>
      <c r="AE376" s="587">
        <f>SUM(AE371:AE375)</f>
      </c>
      <c r="AF376" s="587">
        <f>SUM(AF371:AF375)</f>
      </c>
      <c r="AG376" s="587">
        <f>SUM(AG371:AG375)</f>
      </c>
      <c r="AI376" s="542"/>
      <c r="AJ376" s="542"/>
      <c r="AK376" s="542"/>
    </row>
    <row customHeight="true" ht="18.452380952380953" r="377">
      <c r="A377" s="557"/>
      <c r="B377" s="558" t="s">
        <v>350</v>
      </c>
      <c r="C377" s="560" t="s">
        <v>378</v>
      </c>
      <c r="D377" s="559">
        <f t="shared" ref="D377:D378" si="330">E377+F377</f>
      </c>
      <c r="E377" s="559">
        <v>1302.8</v>
      </c>
      <c r="F377" s="559">
        <v>670.14</v>
      </c>
      <c r="G377" s="561">
        <v>1</v>
      </c>
      <c r="H377" s="631">
        <v>2268</v>
      </c>
      <c r="I377" s="658">
        <f t="shared" si="417"/>
      </c>
      <c r="J377" s="659">
        <f t="shared" si="173"/>
      </c>
      <c r="K377" s="634">
        <f t="shared" si="232"/>
      </c>
      <c r="L377" s="596">
        <f t="shared" si="21"/>
      </c>
      <c r="M377" s="597">
        <f t="shared" si="114"/>
      </c>
      <c r="N377" s="598">
        <f t="shared" si="49"/>
      </c>
      <c r="O377" s="598">
        <f t="shared" si="479"/>
      </c>
      <c r="P377" s="597">
        <f t="shared" si="513"/>
      </c>
      <c r="Q377" s="598">
        <f t="shared" si="380"/>
      </c>
      <c r="R377" s="598">
        <f t="shared" si="445"/>
      </c>
      <c r="S377" s="599">
        <f t="shared" si="201"/>
      </c>
      <c r="T377" s="600">
        <f t="shared" si="260"/>
      </c>
      <c r="U377" s="599">
        <f t="shared" si="83"/>
      </c>
      <c r="V377" s="601">
        <f t="shared" si="142"/>
      </c>
      <c r="W377" s="602" t="s">
        <v>335</v>
      </c>
      <c r="X377" s="570" t="s">
        <v>356</v>
      </c>
      <c r="Y377" s="603">
        <v>1</v>
      </c>
      <c r="Z377" s="603">
        <v>6132</v>
      </c>
      <c r="AA377" s="603">
        <v>251</v>
      </c>
      <c r="AB377" s="603">
        <v>416</v>
      </c>
      <c r="AC377" s="603">
        <v>53</v>
      </c>
      <c r="AD377" s="603">
        <v>15</v>
      </c>
      <c r="AE377" s="604">
        <v>5</v>
      </c>
      <c r="AF377" s="604">
        <v>6</v>
      </c>
      <c r="AG377" s="604">
        <v>1</v>
      </c>
      <c r="AI377" s="542"/>
      <c r="AJ377" s="542"/>
      <c r="AK377" s="542"/>
    </row>
    <row customHeight="true" ht="18.452380952380953" r="378">
      <c r="A378" s="557"/>
      <c r="B378" s="558" t="s">
        <v>351</v>
      </c>
      <c r="C378" s="560" t="s">
        <v>378</v>
      </c>
      <c r="D378" s="559">
        <f t="shared" si="330"/>
      </c>
      <c r="E378" s="559">
        <v>923.03</v>
      </c>
      <c r="F378" s="559">
        <v>303.71</v>
      </c>
      <c r="G378" s="573">
        <v>2</v>
      </c>
      <c r="H378" s="641">
        <v>4536</v>
      </c>
      <c r="I378" s="658">
        <f t="shared" si="417"/>
      </c>
      <c r="J378" s="659">
        <f t="shared" si="173"/>
      </c>
      <c r="K378" s="646">
        <f t="shared" si="232"/>
      </c>
      <c r="L378" s="596">
        <f t="shared" si="21"/>
      </c>
      <c r="M378" s="597">
        <f t="shared" si="114"/>
      </c>
      <c r="N378" s="598">
        <f t="shared" si="49"/>
      </c>
      <c r="O378" s="598">
        <f t="shared" si="479"/>
      </c>
      <c r="P378" s="597">
        <f t="shared" si="513"/>
      </c>
      <c r="Q378" s="598">
        <f t="shared" si="380"/>
      </c>
      <c r="R378" s="598">
        <f t="shared" si="445"/>
      </c>
      <c r="S378" s="599">
        <f t="shared" si="201"/>
      </c>
      <c r="T378" s="600">
        <f t="shared" si="260"/>
      </c>
      <c r="U378" s="599">
        <f t="shared" si="83"/>
      </c>
      <c r="V378" s="601">
        <f t="shared" si="142"/>
      </c>
      <c r="W378" s="602" t="s">
        <v>335</v>
      </c>
      <c r="X378" s="570" t="s">
        <v>356</v>
      </c>
      <c r="Y378" s="603">
        <v>2</v>
      </c>
      <c r="Z378" s="604">
        <v>4007</v>
      </c>
      <c r="AA378" s="604">
        <v>179</v>
      </c>
      <c r="AB378" s="604">
        <v>303</v>
      </c>
      <c r="AC378" s="604">
        <v>37</v>
      </c>
      <c r="AD378" s="603">
        <v>18</v>
      </c>
      <c r="AE378" s="604">
        <v>5</v>
      </c>
      <c r="AF378" s="604">
        <v>9</v>
      </c>
      <c r="AG378" s="604">
        <v>1</v>
      </c>
      <c r="AI378" s="542"/>
      <c r="AJ378" s="542"/>
      <c r="AK378" s="542"/>
    </row>
    <row customHeight="true" ht="18.452380952380953" r="379">
      <c r="A379" s="557"/>
      <c r="B379" s="586" t="s">
        <v>340</v>
      </c>
      <c r="C379" s="586"/>
      <c r="D379" s="587">
        <f>SUM(D377:D378)</f>
      </c>
      <c r="E379" s="587">
        <f>SUM(E377:E378)</f>
      </c>
      <c r="F379" s="587">
        <f>SUM(F377:F378)</f>
      </c>
      <c r="G379" s="587">
        <f>SUM(G377:G378)</f>
      </c>
      <c r="H379" s="587">
        <f>SUM(H377:H378)</f>
      </c>
      <c r="I379" s="663">
        <f t="shared" si="417"/>
      </c>
      <c r="J379" s="664">
        <f t="shared" si="173"/>
      </c>
      <c r="K379" s="647">
        <f t="shared" si="232"/>
      </c>
      <c r="L379" s="590">
        <f t="shared" si="21"/>
      </c>
      <c r="M379" s="591">
        <f t="shared" si="114"/>
      </c>
      <c r="N379" s="592">
        <f t="shared" si="49"/>
      </c>
      <c r="O379" s="592">
        <f t="shared" si="479"/>
      </c>
      <c r="P379" s="591">
        <f t="shared" si="513"/>
      </c>
      <c r="Q379" s="592">
        <f t="shared" si="380"/>
      </c>
      <c r="R379" s="592">
        <f t="shared" si="445"/>
      </c>
      <c r="S379" s="593">
        <f t="shared" si="201"/>
      </c>
      <c r="T379" s="594">
        <f t="shared" si="260"/>
      </c>
      <c r="U379" s="593">
        <f t="shared" si="83"/>
      </c>
      <c r="V379" s="595">
        <f t="shared" si="142"/>
      </c>
      <c r="W379" s="595"/>
      <c r="X379" s="595"/>
      <c r="Y379" s="587">
        <f>SUM(Y377:Y378)</f>
      </c>
      <c r="Z379" s="587">
        <f>SUM(Z377:Z378)</f>
      </c>
      <c r="AA379" s="587">
        <f>SUM(AA377:AA378)</f>
      </c>
      <c r="AB379" s="587">
        <f>SUM(AB377:AB378)</f>
      </c>
      <c r="AC379" s="587">
        <f>SUM(AC377:AC378)</f>
      </c>
      <c r="AD379" s="587">
        <f>SUM(AD377:AD378)</f>
      </c>
      <c r="AE379" s="587">
        <f>SUM(AE377:AE378)</f>
      </c>
      <c r="AF379" s="587">
        <f>SUM(AF377:AF378)</f>
      </c>
      <c r="AG379" s="587">
        <f>SUM(AG377:AG378)</f>
      </c>
      <c r="AI379" s="542"/>
      <c r="AJ379" s="542"/>
      <c r="AK379" s="542"/>
    </row>
    <row r="380">
      <c r="A380" s="557"/>
      <c r="B380" s="607" t="s">
        <v>352</v>
      </c>
      <c r="C380" s="607"/>
      <c r="D380" s="607">
        <f>D370+D376+D379</f>
      </c>
      <c r="E380" s="607">
        <f>E370+E376+E379</f>
      </c>
      <c r="F380" s="607">
        <f>F370+F376+F379</f>
      </c>
      <c r="G380" s="607">
        <f>G370+G376+G379</f>
      </c>
      <c r="H380" s="607">
        <f>H370+H376+H379</f>
      </c>
      <c r="I380" s="608">
        <f t="shared" si="417"/>
      </c>
      <c r="J380" s="608">
        <f t="shared" si="173"/>
      </c>
      <c r="K380" s="651">
        <f t="shared" si="232"/>
      </c>
      <c r="L380" s="610">
        <f t="shared" si="21"/>
      </c>
      <c r="M380" s="611">
        <f t="shared" si="114"/>
      </c>
      <c r="N380" s="612">
        <f t="shared" si="49"/>
      </c>
      <c r="O380" s="612">
        <f t="shared" si="479"/>
      </c>
      <c r="P380" s="611">
        <f t="shared" si="513"/>
      </c>
      <c r="Q380" s="612">
        <f t="shared" si="380"/>
      </c>
      <c r="R380" s="612">
        <f t="shared" si="445"/>
      </c>
      <c r="S380" s="611">
        <f t="shared" si="201"/>
      </c>
      <c r="T380" s="613">
        <f t="shared" si="260"/>
      </c>
      <c r="U380" s="611">
        <f t="shared" si="83"/>
      </c>
      <c r="V380" s="609">
        <f t="shared" si="142"/>
      </c>
      <c r="W380" s="609"/>
      <c r="X380" s="609"/>
      <c r="Y380" s="607">
        <f>Y370+Y376+Y379</f>
      </c>
      <c r="Z380" s="607">
        <f>Z370+Z376+Z379</f>
      </c>
      <c r="AA380" s="607">
        <f>AA370+AA376+AA379</f>
      </c>
      <c r="AB380" s="607">
        <f>AB370+AB376+AB379</f>
      </c>
      <c r="AC380" s="607">
        <f>AC370+AC376+AC379</f>
      </c>
      <c r="AD380" s="607">
        <f>AD370+AD376+AD379</f>
      </c>
      <c r="AE380" s="607">
        <f>AE370+AE376+AE379</f>
      </c>
      <c r="AF380" s="607">
        <f>AF370+AF376+AF379</f>
      </c>
      <c r="AG380" s="607">
        <f>AG370+AG376+AG379</f>
      </c>
      <c r="AI380" s="542"/>
      <c r="AJ380" s="542"/>
      <c r="AK380" s="542"/>
    </row>
    <row r="381">
      <c r="A381" s="538" t="s">
        <v>295</v>
      </c>
      <c r="B381" s="538"/>
      <c r="C381" s="538"/>
      <c r="D381" s="614" t="s">
        <v>296</v>
      </c>
      <c r="E381" s="614"/>
      <c r="F381" s="614"/>
      <c r="G381" s="614"/>
      <c r="H381" s="614"/>
      <c r="I381" s="614"/>
      <c r="J381" s="614"/>
      <c r="K381" s="540" t="s">
        <v>297</v>
      </c>
      <c r="L381" s="540"/>
      <c r="M381" s="540"/>
      <c r="N381" s="540"/>
      <c r="O381" s="540"/>
      <c r="P381" s="540"/>
      <c r="Q381" s="540"/>
      <c r="R381" s="540"/>
      <c r="S381" s="540"/>
      <c r="T381" s="540"/>
      <c r="U381" s="540"/>
      <c r="V381" s="540"/>
      <c r="W381" s="540"/>
      <c r="X381" s="540"/>
      <c r="Y381" s="541" t="s">
        <v>298</v>
      </c>
      <c r="Z381" s="541"/>
      <c r="AA381" s="541"/>
      <c r="AB381" s="541"/>
      <c r="AC381" s="541"/>
      <c r="AD381" s="541"/>
      <c r="AE381" s="541"/>
      <c r="AF381" s="541"/>
      <c r="AG381" s="541"/>
      <c r="AI381" s="542"/>
      <c r="AJ381" s="542"/>
      <c r="AK381" s="542"/>
    </row>
    <row r="382">
      <c r="A382" s="543" t="s">
        <v>299</v>
      </c>
      <c r="B382" s="544" t="s">
        <v>300</v>
      </c>
      <c r="C382" s="544" t="s">
        <v>301</v>
      </c>
      <c r="D382" s="545" t="s">
        <v>302</v>
      </c>
      <c r="E382" s="546" t="s">
        <v>303</v>
      </c>
      <c r="F382" s="546" t="s">
        <v>304</v>
      </c>
      <c r="G382" s="547" t="s">
        <v>305</v>
      </c>
      <c r="H382" s="548" t="s">
        <v>306</v>
      </c>
      <c r="I382" s="630" t="s">
        <v>307</v>
      </c>
      <c r="J382" s="630" t="s">
        <v>308</v>
      </c>
      <c r="K382" s="551" t="s">
        <v>309</v>
      </c>
      <c r="L382" s="551" t="s">
        <v>310</v>
      </c>
      <c r="M382" s="551" t="s">
        <v>311</v>
      </c>
      <c r="N382" s="669" t="s">
        <v>312</v>
      </c>
      <c r="O382" s="669" t="s">
        <v>313</v>
      </c>
      <c r="P382" s="551" t="s">
        <v>314</v>
      </c>
      <c r="Q382" s="669" t="s">
        <v>315</v>
      </c>
      <c r="R382" s="669" t="s">
        <v>316</v>
      </c>
      <c r="S382" s="551" t="s">
        <v>317</v>
      </c>
      <c r="T382" s="669" t="s">
        <v>318</v>
      </c>
      <c r="U382" s="551" t="s">
        <v>319</v>
      </c>
      <c r="V382" s="553" t="s">
        <v>320</v>
      </c>
      <c r="W382" s="553" t="s">
        <v>321</v>
      </c>
      <c r="X382" s="553" t="s">
        <v>322</v>
      </c>
      <c r="Y382" s="618" t="s">
        <v>323</v>
      </c>
      <c r="Z382" s="619" t="s">
        <v>324</v>
      </c>
      <c r="AA382" s="619" t="s">
        <v>325</v>
      </c>
      <c r="AB382" s="619" t="s">
        <v>326</v>
      </c>
      <c r="AC382" s="619" t="s">
        <v>327</v>
      </c>
      <c r="AD382" s="619" t="s">
        <v>328</v>
      </c>
      <c r="AE382" s="555" t="s">
        <v>329</v>
      </c>
      <c r="AF382" s="555" t="s">
        <v>330</v>
      </c>
      <c r="AG382" s="555" t="s">
        <v>331</v>
      </c>
      <c r="AI382" s="542"/>
      <c r="AJ382" s="542"/>
      <c r="AK382" s="542"/>
    </row>
    <row r="383">
      <c r="A383" s="557" t="s">
        <v>379</v>
      </c>
      <c r="B383" s="584" t="s">
        <v>333</v>
      </c>
      <c r="C383" s="559" t="s">
        <v>342</v>
      </c>
      <c r="D383" s="620">
        <f t="shared" ref="D383:D386" si="331">E383+F383</f>
      </c>
      <c r="E383" s="621">
        <v>4128.12</v>
      </c>
      <c r="F383" s="584">
        <v>379.97</v>
      </c>
      <c r="G383" s="573">
        <v>5</v>
      </c>
      <c r="H383" s="641">
        <v>8141</v>
      </c>
      <c r="I383" s="652">
        <f t="shared" ref="I383:I399" si="418">H383/D383</f>
      </c>
      <c r="J383" s="670">
        <f t="shared" ref="J383:J399" si="174">H383/(D383+300*AG383)</f>
      </c>
      <c r="K383" s="671">
        <f t="shared" ref="K383:K399" si="233">(D383/Z383)*1000</f>
      </c>
      <c r="L383" s="667">
        <f t="shared" ref="L383:L399" si="22">AA383/Z383</f>
      </c>
      <c r="M383" s="661">
        <f t="shared" ref="M383:M399" si="115">D383/AB383</f>
      </c>
      <c r="N383" s="667">
        <f t="shared" ref="N383:N399" si="50">AC383/AB383</f>
      </c>
      <c r="O383" s="667">
        <f t="shared" ref="O383:O399" si="480">AD383/AB383</f>
      </c>
      <c r="P383" s="661">
        <f t="shared" ref="P383:P399" si="514">D383/AD383</f>
      </c>
      <c r="Q383" s="667">
        <f t="shared" ref="Q383:Q399" si="381">AE383/AD383</f>
      </c>
      <c r="R383" s="667">
        <f t="shared" ref="R383:R399" si="446">G383/AE383</f>
      </c>
      <c r="S383" s="661">
        <f t="shared" ref="S383:S399" si="202">D383/G383</f>
      </c>
      <c r="T383" s="578">
        <f t="shared" ref="T383:T399" si="261">H383/G383</f>
      </c>
      <c r="U383" s="661">
        <f t="shared" ref="U383:U399" si="84">D383/Y383</f>
      </c>
      <c r="V383" s="672">
        <f t="shared" ref="V383:V399" si="143">AF383*1000/D383</f>
      </c>
      <c r="W383" s="569" t="s">
        <v>335</v>
      </c>
      <c r="X383" s="622" t="s">
        <v>370</v>
      </c>
      <c r="Y383" s="635">
        <v>4</v>
      </c>
      <c r="Z383" s="656">
        <v>14277</v>
      </c>
      <c r="AA383" s="657">
        <v>344</v>
      </c>
      <c r="AB383" s="624">
        <v>466</v>
      </c>
      <c r="AC383" s="625">
        <v>85</v>
      </c>
      <c r="AD383" s="571">
        <v>39</v>
      </c>
      <c r="AE383" s="625">
        <v>14</v>
      </c>
      <c r="AF383" s="571">
        <v>27</v>
      </c>
      <c r="AG383" s="571">
        <v>1</v>
      </c>
      <c r="AI383" s="542"/>
      <c r="AJ383" s="542"/>
      <c r="AK383" s="542"/>
    </row>
    <row r="384">
      <c r="A384" s="557"/>
      <c r="B384" s="584" t="s">
        <v>337</v>
      </c>
      <c r="C384" s="559" t="s">
        <v>342</v>
      </c>
      <c r="D384" s="620">
        <f t="shared" si="331"/>
      </c>
      <c r="E384" s="626">
        <v>2535.48</v>
      </c>
      <c r="F384" s="559">
        <v>249.11</v>
      </c>
      <c r="G384" s="561">
        <v>0</v>
      </c>
      <c r="H384" s="631">
        <v>0</v>
      </c>
      <c r="I384" s="658">
        <f t="shared" si="418"/>
      </c>
      <c r="J384" s="562">
        <f t="shared" si="174"/>
      </c>
      <c r="K384" s="671">
        <f t="shared" si="233"/>
      </c>
      <c r="L384" s="667">
        <f t="shared" si="22"/>
      </c>
      <c r="M384" s="661">
        <f t="shared" si="115"/>
      </c>
      <c r="N384" s="667">
        <f t="shared" si="50"/>
      </c>
      <c r="O384" s="667">
        <f t="shared" si="480"/>
      </c>
      <c r="P384" s="661">
        <f t="shared" si="514"/>
      </c>
      <c r="Q384" s="667">
        <f t="shared" si="381"/>
      </c>
      <c r="R384" s="667">
        <f t="shared" si="446"/>
      </c>
      <c r="S384" s="661">
        <f t="shared" si="202"/>
      </c>
      <c r="T384" s="578">
        <f t="shared" si="261"/>
      </c>
      <c r="U384" s="661">
        <f t="shared" si="84"/>
      </c>
      <c r="V384" s="673">
        <f t="shared" si="143"/>
      </c>
      <c r="W384" s="581" t="s">
        <v>335</v>
      </c>
      <c r="X384" s="622" t="s">
        <v>370</v>
      </c>
      <c r="Y384" s="624">
        <v>1</v>
      </c>
      <c r="Z384" s="656">
        <v>10229</v>
      </c>
      <c r="AA384" s="572">
        <v>248</v>
      </c>
      <c r="AB384" s="662">
        <v>310</v>
      </c>
      <c r="AC384" s="572">
        <v>64</v>
      </c>
      <c r="AD384" s="572">
        <v>26</v>
      </c>
      <c r="AE384" s="628">
        <v>4</v>
      </c>
      <c r="AF384" s="583">
        <v>14</v>
      </c>
      <c r="AG384" s="571">
        <v>1</v>
      </c>
      <c r="AI384" s="542"/>
      <c r="AJ384" s="542"/>
      <c r="AK384" s="542"/>
    </row>
    <row r="385">
      <c r="A385" s="557"/>
      <c r="B385" s="584" t="s">
        <v>338</v>
      </c>
      <c r="C385" s="559" t="s">
        <v>342</v>
      </c>
      <c r="D385" s="620">
        <f t="shared" si="331"/>
      </c>
      <c r="E385" s="559">
        <v>2391.16</v>
      </c>
      <c r="F385" s="559">
        <v>335.51</v>
      </c>
      <c r="G385" s="561">
        <v>1</v>
      </c>
      <c r="H385" s="631">
        <v>948</v>
      </c>
      <c r="I385" s="658">
        <f t="shared" si="418"/>
      </c>
      <c r="J385" s="562">
        <f t="shared" si="174"/>
      </c>
      <c r="K385" s="671">
        <f t="shared" si="233"/>
      </c>
      <c r="L385" s="667">
        <f t="shared" si="22"/>
      </c>
      <c r="M385" s="661">
        <f t="shared" si="115"/>
      </c>
      <c r="N385" s="667">
        <f t="shared" si="50"/>
      </c>
      <c r="O385" s="667">
        <f t="shared" si="480"/>
      </c>
      <c r="P385" s="661">
        <f t="shared" si="514"/>
      </c>
      <c r="Q385" s="667">
        <f t="shared" si="381"/>
      </c>
      <c r="R385" s="667">
        <f t="shared" si="446"/>
      </c>
      <c r="S385" s="661">
        <f t="shared" si="202"/>
      </c>
      <c r="T385" s="578">
        <f t="shared" si="261"/>
      </c>
      <c r="U385" s="661">
        <f t="shared" si="84"/>
      </c>
      <c r="V385" s="673">
        <f t="shared" si="143"/>
      </c>
      <c r="W385" s="581" t="s">
        <v>335</v>
      </c>
      <c r="X385" s="622" t="s">
        <v>370</v>
      </c>
      <c r="Y385" s="662">
        <v>1</v>
      </c>
      <c r="Z385" s="572">
        <v>7805</v>
      </c>
      <c r="AA385" s="572">
        <v>225</v>
      </c>
      <c r="AB385" s="572">
        <v>311</v>
      </c>
      <c r="AC385" s="572">
        <v>53</v>
      </c>
      <c r="AD385" s="572">
        <v>29</v>
      </c>
      <c r="AE385" s="628">
        <v>6</v>
      </c>
      <c r="AF385" s="583">
        <v>16</v>
      </c>
      <c r="AG385" s="571">
        <v>1</v>
      </c>
      <c r="AI385" s="542"/>
      <c r="AJ385" s="542"/>
      <c r="AK385" s="542"/>
    </row>
    <row r="386">
      <c r="A386" s="557"/>
      <c r="B386" s="584" t="s">
        <v>339</v>
      </c>
      <c r="C386" s="559" t="s">
        <v>342</v>
      </c>
      <c r="D386" s="620">
        <f t="shared" si="331"/>
      </c>
      <c r="E386" s="559">
        <v>2226.73</v>
      </c>
      <c r="F386" s="559">
        <v>286.27</v>
      </c>
      <c r="G386" s="561">
        <v>1</v>
      </c>
      <c r="H386" s="641">
        <v>2268</v>
      </c>
      <c r="I386" s="658">
        <f t="shared" si="418"/>
      </c>
      <c r="J386" s="562">
        <f t="shared" si="174"/>
      </c>
      <c r="K386" s="671">
        <f t="shared" si="233"/>
      </c>
      <c r="L386" s="667">
        <f t="shared" si="22"/>
      </c>
      <c r="M386" s="661">
        <f t="shared" si="115"/>
      </c>
      <c r="N386" s="667">
        <f t="shared" si="50"/>
      </c>
      <c r="O386" s="667">
        <f t="shared" si="480"/>
      </c>
      <c r="P386" s="661">
        <f t="shared" si="514"/>
      </c>
      <c r="Q386" s="667">
        <f t="shared" si="381"/>
      </c>
      <c r="R386" s="667">
        <f t="shared" si="446"/>
      </c>
      <c r="S386" s="661">
        <f t="shared" si="202"/>
      </c>
      <c r="T386" s="578">
        <f t="shared" si="261"/>
      </c>
      <c r="U386" s="661">
        <f t="shared" si="84"/>
      </c>
      <c r="V386" s="673">
        <f t="shared" si="143"/>
      </c>
      <c r="W386" s="581" t="s">
        <v>335</v>
      </c>
      <c r="X386" s="622" t="s">
        <v>370</v>
      </c>
      <c r="Y386" s="572">
        <v>0</v>
      </c>
      <c r="Z386" s="572">
        <v>6678</v>
      </c>
      <c r="AA386" s="572">
        <v>239</v>
      </c>
      <c r="AB386" s="572">
        <v>335</v>
      </c>
      <c r="AC386" s="572">
        <v>49</v>
      </c>
      <c r="AD386" s="572">
        <v>20</v>
      </c>
      <c r="AE386" s="628">
        <v>5</v>
      </c>
      <c r="AF386" s="583">
        <v>14</v>
      </c>
      <c r="AG386" s="571">
        <v>1</v>
      </c>
      <c r="AI386" s="542"/>
      <c r="AJ386" s="542"/>
      <c r="AK386" s="542"/>
    </row>
    <row r="387">
      <c r="A387" s="557"/>
      <c r="B387" s="586" t="s">
        <v>340</v>
      </c>
      <c r="C387" s="586"/>
      <c r="D387" s="587">
        <f>SUM(D383:D386)</f>
      </c>
      <c r="E387" s="587">
        <f>SUM(E383:E386)</f>
      </c>
      <c r="F387" s="587">
        <f>SUM(F383:F386)</f>
      </c>
      <c r="G387" s="587">
        <f>SUM(G383:G386)</f>
      </c>
      <c r="H387" s="642">
        <f>SUM(H383:H386)</f>
      </c>
      <c r="I387" s="663">
        <f t="shared" si="418"/>
      </c>
      <c r="J387" s="664">
        <f t="shared" si="174"/>
      </c>
      <c r="K387" s="645">
        <f t="shared" si="233"/>
      </c>
      <c r="L387" s="590">
        <f t="shared" si="22"/>
      </c>
      <c r="M387" s="591">
        <f t="shared" si="115"/>
      </c>
      <c r="N387" s="592">
        <f t="shared" si="50"/>
      </c>
      <c r="O387" s="592">
        <f t="shared" si="480"/>
      </c>
      <c r="P387" s="591">
        <f t="shared" si="514"/>
      </c>
      <c r="Q387" s="592">
        <f t="shared" si="381"/>
      </c>
      <c r="R387" s="592">
        <f t="shared" si="446"/>
      </c>
      <c r="S387" s="593">
        <f t="shared" si="202"/>
      </c>
      <c r="T387" s="594">
        <f t="shared" si="261"/>
      </c>
      <c r="U387" s="593">
        <f t="shared" si="84"/>
      </c>
      <c r="V387" s="595">
        <f t="shared" si="143"/>
      </c>
      <c r="W387" s="595"/>
      <c r="X387" s="595"/>
      <c r="Y387" s="587">
        <f>SUM(Y383:Y386)</f>
      </c>
      <c r="Z387" s="587">
        <f>SUM(Z383:Z386)</f>
      </c>
      <c r="AA387" s="587">
        <f>SUM(AA383:AA386)</f>
      </c>
      <c r="AB387" s="587">
        <f>SUM(AB383:AB386)</f>
      </c>
      <c r="AC387" s="587">
        <f>SUM(AC383:AC386)</f>
      </c>
      <c r="AD387" s="587">
        <f>SUM(AD383:AD386)</f>
      </c>
      <c r="AE387" s="587">
        <f>SUM(AE383:AE386)</f>
      </c>
      <c r="AF387" s="587">
        <f>SUM(AF383:AF386)</f>
      </c>
      <c r="AG387" s="587">
        <f>SUM(AG383:AG386)</f>
      </c>
      <c r="AI387" s="542"/>
      <c r="AJ387" s="542"/>
      <c r="AK387" s="542"/>
    </row>
    <row customHeight="true" ht="18.452380952380953" r="388">
      <c r="A388" s="557"/>
      <c r="B388" s="584" t="s">
        <v>341</v>
      </c>
      <c r="C388" s="560" t="s">
        <v>380</v>
      </c>
      <c r="D388" s="559">
        <f t="shared" ref="D388:D389" si="332">E388+F388</f>
      </c>
      <c r="E388" s="559">
        <v>2845.93</v>
      </c>
      <c r="F388" s="559">
        <v>206.26</v>
      </c>
      <c r="G388" s="573">
        <v>1</v>
      </c>
      <c r="H388" s="641">
        <v>948</v>
      </c>
      <c r="I388" s="658">
        <f t="shared" si="418"/>
      </c>
      <c r="J388" s="659">
        <f t="shared" si="174"/>
      </c>
      <c r="K388" s="634">
        <f t="shared" si="233"/>
      </c>
      <c r="L388" s="596">
        <f t="shared" si="22"/>
      </c>
      <c r="M388" s="597">
        <f t="shared" si="115"/>
      </c>
      <c r="N388" s="598">
        <f t="shared" si="50"/>
      </c>
      <c r="O388" s="598">
        <f t="shared" si="480"/>
      </c>
      <c r="P388" s="597">
        <f t="shared" si="514"/>
      </c>
      <c r="Q388" s="598">
        <f t="shared" si="381"/>
      </c>
      <c r="R388" s="598">
        <f t="shared" si="446"/>
      </c>
      <c r="S388" s="599">
        <f t="shared" si="202"/>
      </c>
      <c r="T388" s="600">
        <f t="shared" si="261"/>
      </c>
      <c r="U388" s="599">
        <f t="shared" si="84"/>
      </c>
      <c r="V388" s="601">
        <f t="shared" si="143"/>
      </c>
      <c r="W388" s="602" t="s">
        <v>335</v>
      </c>
      <c r="X388" s="570" t="s">
        <v>370</v>
      </c>
      <c r="Y388" s="603">
        <v>2</v>
      </c>
      <c r="Z388" s="603">
        <v>8448</v>
      </c>
      <c r="AA388" s="603">
        <v>349</v>
      </c>
      <c r="AB388" s="603">
        <v>449</v>
      </c>
      <c r="AC388" s="603">
        <v>72</v>
      </c>
      <c r="AD388" s="603">
        <v>38</v>
      </c>
      <c r="AE388" s="604">
        <v>5</v>
      </c>
      <c r="AF388" s="604">
        <v>17</v>
      </c>
      <c r="AG388" s="604">
        <v>1</v>
      </c>
      <c r="AI388" s="542"/>
      <c r="AJ388" s="542"/>
      <c r="AK388" s="542"/>
    </row>
    <row r="389">
      <c r="A389" s="557"/>
      <c r="B389" s="584" t="s">
        <v>343</v>
      </c>
      <c r="C389" s="560" t="s">
        <v>380</v>
      </c>
      <c r="D389" s="559">
        <f t="shared" si="332"/>
      </c>
      <c r="E389" s="559">
        <v>2269.74</v>
      </c>
      <c r="F389" s="559">
        <v>367.96</v>
      </c>
      <c r="G389" s="573">
        <v>3</v>
      </c>
      <c r="H389" s="641">
        <v>5484</v>
      </c>
      <c r="I389" s="658">
        <f t="shared" si="418"/>
      </c>
      <c r="J389" s="659">
        <f t="shared" si="174"/>
      </c>
      <c r="K389" s="634">
        <f t="shared" si="233"/>
      </c>
      <c r="L389" s="596">
        <f t="shared" si="22"/>
      </c>
      <c r="M389" s="597">
        <f t="shared" si="115"/>
      </c>
      <c r="N389" s="598">
        <f t="shared" si="50"/>
      </c>
      <c r="O389" s="598">
        <f t="shared" si="480"/>
      </c>
      <c r="P389" s="597">
        <f t="shared" si="514"/>
      </c>
      <c r="Q389" s="598">
        <f t="shared" si="381"/>
      </c>
      <c r="R389" s="598">
        <f t="shared" si="446"/>
      </c>
      <c r="S389" s="599">
        <f t="shared" si="202"/>
      </c>
      <c r="T389" s="600">
        <f t="shared" si="261"/>
      </c>
      <c r="U389" s="599">
        <f t="shared" si="84"/>
      </c>
      <c r="V389" s="601">
        <f t="shared" si="143"/>
      </c>
      <c r="W389" s="602" t="s">
        <v>335</v>
      </c>
      <c r="X389" s="570" t="s">
        <v>370</v>
      </c>
      <c r="Y389" s="603">
        <v>2</v>
      </c>
      <c r="Z389" s="603">
        <v>7517</v>
      </c>
      <c r="AA389" s="603">
        <v>302</v>
      </c>
      <c r="AB389" s="603">
        <v>413</v>
      </c>
      <c r="AC389" s="603">
        <v>67</v>
      </c>
      <c r="AD389" s="603">
        <v>27</v>
      </c>
      <c r="AE389" s="604">
        <v>5</v>
      </c>
      <c r="AF389" s="604">
        <v>22</v>
      </c>
      <c r="AG389" s="604">
        <v>1</v>
      </c>
      <c r="AI389" s="542"/>
      <c r="AJ389" s="542"/>
      <c r="AK389" s="542"/>
    </row>
    <row customHeight="true" ht="18.452380952380953" r="390">
      <c r="A390" s="557"/>
      <c r="B390" s="586" t="s">
        <v>340</v>
      </c>
      <c r="C390" s="586"/>
      <c r="D390" s="587">
        <f>SUM(D388:D389)</f>
      </c>
      <c r="E390" s="587">
        <f>SUM(E388:E389)</f>
      </c>
      <c r="F390" s="587">
        <f>SUM(F388:F389)</f>
      </c>
      <c r="G390" s="587">
        <f>SUM(G388:G389)</f>
      </c>
      <c r="H390" s="587">
        <f>SUM(H388:H389)</f>
      </c>
      <c r="I390" s="663">
        <f t="shared" si="418"/>
      </c>
      <c r="J390" s="664">
        <f t="shared" si="174"/>
      </c>
      <c r="K390" s="647">
        <f t="shared" si="233"/>
      </c>
      <c r="L390" s="590">
        <f t="shared" si="22"/>
      </c>
      <c r="M390" s="591">
        <f t="shared" si="115"/>
      </c>
      <c r="N390" s="592">
        <f t="shared" si="50"/>
      </c>
      <c r="O390" s="592">
        <f t="shared" si="480"/>
      </c>
      <c r="P390" s="591">
        <f t="shared" si="514"/>
      </c>
      <c r="Q390" s="592">
        <f t="shared" si="381"/>
      </c>
      <c r="R390" s="592">
        <f t="shared" si="446"/>
      </c>
      <c r="S390" s="593">
        <f t="shared" si="202"/>
      </c>
      <c r="T390" s="594">
        <f t="shared" si="261"/>
      </c>
      <c r="U390" s="593">
        <f t="shared" si="84"/>
      </c>
      <c r="V390" s="595">
        <f t="shared" si="143"/>
      </c>
      <c r="W390" s="595"/>
      <c r="X390" s="595"/>
      <c r="Y390" s="587">
        <f>SUM(Y388:Y389)</f>
      </c>
      <c r="Z390" s="587">
        <f>SUM(Z388:Z389)</f>
      </c>
      <c r="AA390" s="587">
        <f>SUM(AA388:AA389)</f>
      </c>
      <c r="AB390" s="587">
        <f>SUM(AB388:AB389)</f>
      </c>
      <c r="AC390" s="587">
        <f>SUM(AC388:AC389)</f>
      </c>
      <c r="AD390" s="587">
        <f>SUM(AD388:AD389)</f>
      </c>
      <c r="AE390" s="587">
        <f>SUM(AE388:AE389)</f>
      </c>
      <c r="AF390" s="587">
        <f>SUM(AF388:AF389)</f>
      </c>
      <c r="AG390" s="587">
        <f>SUM(AG388:AG389)</f>
      </c>
      <c r="AI390" s="542"/>
      <c r="AJ390" s="542"/>
      <c r="AK390" s="542"/>
    </row>
    <row r="391">
      <c r="A391" s="557"/>
      <c r="B391" s="584" t="s">
        <v>344</v>
      </c>
      <c r="C391" s="560" t="s">
        <v>347</v>
      </c>
      <c r="D391" s="559">
        <f t="shared" ref="D391:D394" si="333">E391+F391</f>
      </c>
      <c r="E391" s="559">
        <v>2657.8</v>
      </c>
      <c r="F391" s="559">
        <v>246.16</v>
      </c>
      <c r="G391" s="561">
        <v>1</v>
      </c>
      <c r="H391" s="631">
        <v>2268</v>
      </c>
      <c r="I391" s="658">
        <f t="shared" si="418"/>
      </c>
      <c r="J391" s="659">
        <f t="shared" si="174"/>
      </c>
      <c r="K391" s="634">
        <f t="shared" si="233"/>
      </c>
      <c r="L391" s="596">
        <f t="shared" si="22"/>
      </c>
      <c r="M391" s="597">
        <f t="shared" si="115"/>
      </c>
      <c r="N391" s="598">
        <f t="shared" si="50"/>
      </c>
      <c r="O391" s="598">
        <f t="shared" si="480"/>
      </c>
      <c r="P391" s="597">
        <f t="shared" si="514"/>
      </c>
      <c r="Q391" s="598">
        <f t="shared" si="381"/>
      </c>
      <c r="R391" s="598">
        <f t="shared" si="446"/>
      </c>
      <c r="S391" s="599">
        <f t="shared" si="202"/>
      </c>
      <c r="T391" s="600">
        <f t="shared" si="261"/>
      </c>
      <c r="U391" s="599">
        <f t="shared" si="84"/>
      </c>
      <c r="V391" s="601">
        <f t="shared" si="143"/>
      </c>
      <c r="W391" s="602" t="s">
        <v>335</v>
      </c>
      <c r="X391" s="570" t="s">
        <v>370</v>
      </c>
      <c r="Y391" s="603">
        <v>1</v>
      </c>
      <c r="Z391" s="603">
        <v>8440</v>
      </c>
      <c r="AA391" s="603">
        <v>323</v>
      </c>
      <c r="AB391" s="603">
        <v>426</v>
      </c>
      <c r="AC391" s="603">
        <v>73</v>
      </c>
      <c r="AD391" s="603">
        <v>28</v>
      </c>
      <c r="AE391" s="604">
        <v>6</v>
      </c>
      <c r="AF391" s="604">
        <v>13</v>
      </c>
      <c r="AG391" s="604">
        <v>1</v>
      </c>
      <c r="AI391" s="542"/>
      <c r="AJ391" s="542"/>
      <c r="AK391" s="542"/>
    </row>
    <row r="392">
      <c r="A392" s="557"/>
      <c r="B392" s="584" t="s">
        <v>345</v>
      </c>
      <c r="C392" s="560" t="s">
        <v>347</v>
      </c>
      <c r="D392" s="559">
        <f t="shared" si="333"/>
      </c>
      <c r="E392" s="559">
        <v>1565.01</v>
      </c>
      <c r="F392" s="559">
        <v>430.86</v>
      </c>
      <c r="G392" s="573">
        <v>3</v>
      </c>
      <c r="H392" s="641">
        <v>4164</v>
      </c>
      <c r="I392" s="658">
        <f t="shared" si="418"/>
      </c>
      <c r="J392" s="659">
        <f t="shared" si="174"/>
      </c>
      <c r="K392" s="634">
        <f t="shared" si="233"/>
      </c>
      <c r="L392" s="596">
        <f t="shared" si="22"/>
      </c>
      <c r="M392" s="597">
        <f t="shared" si="115"/>
      </c>
      <c r="N392" s="598">
        <f t="shared" si="50"/>
      </c>
      <c r="O392" s="598">
        <f t="shared" si="480"/>
      </c>
      <c r="P392" s="597">
        <f t="shared" si="514"/>
      </c>
      <c r="Q392" s="598">
        <f t="shared" si="381"/>
      </c>
      <c r="R392" s="598">
        <f t="shared" si="446"/>
      </c>
      <c r="S392" s="599">
        <f t="shared" si="202"/>
      </c>
      <c r="T392" s="600">
        <f t="shared" si="261"/>
      </c>
      <c r="U392" s="599">
        <f t="shared" si="84"/>
      </c>
      <c r="V392" s="601">
        <f t="shared" si="143"/>
      </c>
      <c r="W392" s="602" t="s">
        <v>335</v>
      </c>
      <c r="X392" s="570" t="s">
        <v>370</v>
      </c>
      <c r="Y392" s="603">
        <v>3</v>
      </c>
      <c r="Z392" s="603">
        <v>4814</v>
      </c>
      <c r="AA392" s="603">
        <v>210</v>
      </c>
      <c r="AB392" s="603">
        <v>266</v>
      </c>
      <c r="AC392" s="603">
        <v>47</v>
      </c>
      <c r="AD392" s="603">
        <v>19</v>
      </c>
      <c r="AE392" s="604">
        <v>8</v>
      </c>
      <c r="AF392" s="604">
        <v>11</v>
      </c>
      <c r="AG392" s="604">
        <v>1</v>
      </c>
      <c r="AI392" s="542"/>
      <c r="AJ392" s="542"/>
      <c r="AK392" s="542"/>
    </row>
    <row r="393">
      <c r="A393" s="557"/>
      <c r="B393" s="584" t="s">
        <v>346</v>
      </c>
      <c r="C393" s="560" t="s">
        <v>347</v>
      </c>
      <c r="D393" s="559">
        <f t="shared" si="333"/>
      </c>
      <c r="E393" s="559">
        <v>2453.61</v>
      </c>
      <c r="F393" s="559">
        <v>438.8</v>
      </c>
      <c r="G393" s="561">
        <v>2</v>
      </c>
      <c r="H393" s="631">
        <v>3216</v>
      </c>
      <c r="I393" s="658">
        <f t="shared" si="418"/>
      </c>
      <c r="J393" s="659">
        <f t="shared" si="174"/>
      </c>
      <c r="K393" s="634">
        <f t="shared" si="233"/>
      </c>
      <c r="L393" s="596">
        <f t="shared" si="22"/>
      </c>
      <c r="M393" s="597">
        <f t="shared" si="115"/>
      </c>
      <c r="N393" s="598">
        <f t="shared" si="50"/>
      </c>
      <c r="O393" s="598">
        <f t="shared" si="480"/>
      </c>
      <c r="P393" s="597">
        <f t="shared" si="514"/>
      </c>
      <c r="Q393" s="598">
        <f t="shared" si="381"/>
      </c>
      <c r="R393" s="598">
        <f t="shared" si="446"/>
      </c>
      <c r="S393" s="599">
        <f t="shared" si="202"/>
      </c>
      <c r="T393" s="600">
        <f t="shared" si="261"/>
      </c>
      <c r="U393" s="599">
        <f t="shared" si="84"/>
      </c>
      <c r="V393" s="601">
        <f t="shared" si="143"/>
      </c>
      <c r="W393" s="602" t="s">
        <v>335</v>
      </c>
      <c r="X393" s="570" t="s">
        <v>356</v>
      </c>
      <c r="Y393" s="603">
        <v>1</v>
      </c>
      <c r="Z393" s="603">
        <v>7499</v>
      </c>
      <c r="AA393" s="603">
        <v>285</v>
      </c>
      <c r="AB393" s="603">
        <v>364</v>
      </c>
      <c r="AC393" s="603">
        <v>59</v>
      </c>
      <c r="AD393" s="603">
        <v>39</v>
      </c>
      <c r="AE393" s="604">
        <v>4</v>
      </c>
      <c r="AF393" s="604">
        <v>40</v>
      </c>
      <c r="AG393" s="604">
        <v>1</v>
      </c>
      <c r="AI393" s="542"/>
      <c r="AJ393" s="542"/>
      <c r="AK393" s="542"/>
    </row>
    <row r="394">
      <c r="A394" s="557"/>
      <c r="B394" s="584" t="s">
        <v>349</v>
      </c>
      <c r="C394" s="560" t="s">
        <v>347</v>
      </c>
      <c r="D394" s="559">
        <f t="shared" si="333"/>
      </c>
      <c r="E394" s="559">
        <v>2255.44</v>
      </c>
      <c r="F394" s="559">
        <v>460.81</v>
      </c>
      <c r="G394" s="573">
        <v>5</v>
      </c>
      <c r="H394" s="641">
        <v>10964</v>
      </c>
      <c r="I394" s="658">
        <f t="shared" si="418"/>
      </c>
      <c r="J394" s="659">
        <f t="shared" si="174"/>
      </c>
      <c r="K394" s="646">
        <f t="shared" si="233"/>
      </c>
      <c r="L394" s="596">
        <f t="shared" si="22"/>
      </c>
      <c r="M394" s="597">
        <f t="shared" si="115"/>
      </c>
      <c r="N394" s="598">
        <f t="shared" si="50"/>
      </c>
      <c r="O394" s="598">
        <f t="shared" si="480"/>
      </c>
      <c r="P394" s="597">
        <f t="shared" si="514"/>
      </c>
      <c r="Q394" s="598">
        <f t="shared" si="381"/>
      </c>
      <c r="R394" s="598">
        <f t="shared" si="446"/>
      </c>
      <c r="S394" s="599">
        <f t="shared" si="202"/>
      </c>
      <c r="T394" s="600">
        <f t="shared" si="261"/>
      </c>
      <c r="U394" s="599">
        <f t="shared" si="84"/>
      </c>
      <c r="V394" s="601">
        <f t="shared" si="143"/>
      </c>
      <c r="W394" s="602" t="s">
        <v>335</v>
      </c>
      <c r="X394" s="570" t="s">
        <v>356</v>
      </c>
      <c r="Y394" s="603">
        <v>4</v>
      </c>
      <c r="Z394" s="604">
        <v>8277</v>
      </c>
      <c r="AA394" s="604">
        <v>320</v>
      </c>
      <c r="AB394" s="604">
        <v>396</v>
      </c>
      <c r="AC394" s="604">
        <v>55</v>
      </c>
      <c r="AD394" s="603">
        <v>34</v>
      </c>
      <c r="AE394" s="604">
        <v>8</v>
      </c>
      <c r="AF394" s="604">
        <v>20</v>
      </c>
      <c r="AG394" s="604">
        <v>1</v>
      </c>
      <c r="AI394" s="542"/>
      <c r="AJ394" s="542"/>
      <c r="AK394" s="542"/>
    </row>
    <row r="395">
      <c r="A395" s="557"/>
      <c r="B395" s="586" t="s">
        <v>340</v>
      </c>
      <c r="C395" s="586"/>
      <c r="D395" s="587">
        <f>SUM(D391:D394)</f>
      </c>
      <c r="E395" s="587">
        <f>SUM(E391:E394)</f>
      </c>
      <c r="F395" s="587">
        <f>SUM(F391:F394)</f>
      </c>
      <c r="G395" s="587">
        <f>SUM(G391:G394)</f>
      </c>
      <c r="H395" s="587">
        <f>SUM(H391:H394)</f>
      </c>
      <c r="I395" s="663">
        <f t="shared" si="418"/>
      </c>
      <c r="J395" s="664">
        <f t="shared" si="174"/>
      </c>
      <c r="K395" s="647">
        <f t="shared" si="233"/>
      </c>
      <c r="L395" s="590">
        <f t="shared" si="22"/>
      </c>
      <c r="M395" s="591">
        <f t="shared" si="115"/>
      </c>
      <c r="N395" s="592">
        <f t="shared" si="50"/>
      </c>
      <c r="O395" s="592">
        <f t="shared" si="480"/>
      </c>
      <c r="P395" s="591">
        <f t="shared" si="514"/>
      </c>
      <c r="Q395" s="592">
        <f t="shared" si="381"/>
      </c>
      <c r="R395" s="592">
        <f t="shared" si="446"/>
      </c>
      <c r="S395" s="593">
        <f t="shared" si="202"/>
      </c>
      <c r="T395" s="594">
        <f t="shared" si="261"/>
      </c>
      <c r="U395" s="593">
        <f t="shared" si="84"/>
      </c>
      <c r="V395" s="595">
        <f t="shared" si="143"/>
      </c>
      <c r="W395" s="595"/>
      <c r="X395" s="595"/>
      <c r="Y395" s="587">
        <f>SUM(Y391:Y394)</f>
      </c>
      <c r="Z395" s="587">
        <f>SUM(Z391:Z394)</f>
      </c>
      <c r="AA395" s="587">
        <f>SUM(AA391:AA394)</f>
      </c>
      <c r="AB395" s="587">
        <f>SUM(AB391:AB394)</f>
      </c>
      <c r="AC395" s="587">
        <f>SUM(AC391:AC394)</f>
      </c>
      <c r="AD395" s="587">
        <f>SUM(AD391:AD394)</f>
      </c>
      <c r="AE395" s="587">
        <f>SUM(AE391:AE394)</f>
      </c>
      <c r="AF395" s="587">
        <f>SUM(AF391:AF394)</f>
      </c>
      <c r="AG395" s="587">
        <f>SUM(AG391:AG394)</f>
      </c>
      <c r="AI395" s="542"/>
      <c r="AJ395" s="542"/>
      <c r="AK395" s="542"/>
    </row>
    <row r="396">
      <c r="A396" s="557"/>
      <c r="B396" s="558" t="s">
        <v>350</v>
      </c>
      <c r="C396" s="560" t="s">
        <v>378</v>
      </c>
      <c r="D396" s="559">
        <f t="shared" ref="D396:D397" si="334">E396+F396</f>
      </c>
      <c r="E396" s="559">
        <v>2526.88</v>
      </c>
      <c r="F396" s="559">
        <v>499.53</v>
      </c>
      <c r="G396" s="561">
        <v>1</v>
      </c>
      <c r="H396" s="631">
        <v>948</v>
      </c>
      <c r="I396" s="658">
        <f t="shared" si="418"/>
      </c>
      <c r="J396" s="659">
        <f t="shared" si="174"/>
      </c>
      <c r="K396" s="634">
        <f t="shared" si="233"/>
      </c>
      <c r="L396" s="596">
        <f t="shared" si="22"/>
      </c>
      <c r="M396" s="597">
        <f t="shared" si="115"/>
      </c>
      <c r="N396" s="598">
        <f t="shared" si="50"/>
      </c>
      <c r="O396" s="598">
        <f t="shared" si="480"/>
      </c>
      <c r="P396" s="597">
        <f t="shared" si="514"/>
      </c>
      <c r="Q396" s="598">
        <f t="shared" si="381"/>
      </c>
      <c r="R396" s="598">
        <f t="shared" si="446"/>
      </c>
      <c r="S396" s="599">
        <f t="shared" si="202"/>
      </c>
      <c r="T396" s="600">
        <f t="shared" si="261"/>
      </c>
      <c r="U396" s="599">
        <f t="shared" si="84"/>
      </c>
      <c r="V396" s="601">
        <f t="shared" si="143"/>
      </c>
      <c r="W396" s="602" t="s">
        <v>335</v>
      </c>
      <c r="X396" s="570" t="s">
        <v>356</v>
      </c>
      <c r="Y396" s="603">
        <v>2</v>
      </c>
      <c r="Z396" s="603">
        <v>12335</v>
      </c>
      <c r="AA396" s="603">
        <v>329</v>
      </c>
      <c r="AB396" s="603">
        <v>461</v>
      </c>
      <c r="AC396" s="603">
        <v>71</v>
      </c>
      <c r="AD396" s="603">
        <v>36</v>
      </c>
      <c r="AE396" s="604">
        <v>1</v>
      </c>
      <c r="AF396" s="604">
        <v>25</v>
      </c>
      <c r="AG396" s="604">
        <v>1</v>
      </c>
      <c r="AI396" s="542"/>
      <c r="AJ396" s="542"/>
      <c r="AK396" s="542"/>
    </row>
    <row r="397">
      <c r="A397" s="557"/>
      <c r="B397" s="558" t="s">
        <v>351</v>
      </c>
      <c r="C397" s="560" t="s">
        <v>378</v>
      </c>
      <c r="D397" s="559">
        <f t="shared" si="334"/>
      </c>
      <c r="E397" s="559">
        <v>2257</v>
      </c>
      <c r="F397" s="559">
        <v>335.68</v>
      </c>
      <c r="G397" s="573">
        <v>1</v>
      </c>
      <c r="H397" s="641">
        <v>2268</v>
      </c>
      <c r="I397" s="658">
        <f t="shared" si="418"/>
      </c>
      <c r="J397" s="659">
        <f t="shared" si="174"/>
      </c>
      <c r="K397" s="646">
        <f t="shared" si="233"/>
      </c>
      <c r="L397" s="596">
        <f t="shared" si="22"/>
      </c>
      <c r="M397" s="597">
        <f t="shared" si="115"/>
      </c>
      <c r="N397" s="598">
        <f t="shared" si="50"/>
      </c>
      <c r="O397" s="598">
        <f t="shared" si="480"/>
      </c>
      <c r="P397" s="597">
        <f t="shared" si="514"/>
      </c>
      <c r="Q397" s="598">
        <f t="shared" si="381"/>
      </c>
      <c r="R397" s="598">
        <f t="shared" si="446"/>
      </c>
      <c r="S397" s="599">
        <f t="shared" si="202"/>
      </c>
      <c r="T397" s="600">
        <f t="shared" si="261"/>
      </c>
      <c r="U397" s="599">
        <f t="shared" si="84"/>
      </c>
      <c r="V397" s="601">
        <f t="shared" si="143"/>
      </c>
      <c r="W397" s="602" t="s">
        <v>335</v>
      </c>
      <c r="X397" s="570" t="s">
        <v>356</v>
      </c>
      <c r="Y397" s="603">
        <v>2</v>
      </c>
      <c r="Z397" s="604">
        <v>9798</v>
      </c>
      <c r="AA397" s="604">
        <v>236</v>
      </c>
      <c r="AB397" s="604">
        <v>327</v>
      </c>
      <c r="AC397" s="604">
        <v>47</v>
      </c>
      <c r="AD397" s="603">
        <v>29</v>
      </c>
      <c r="AE397" s="604">
        <v>2</v>
      </c>
      <c r="AF397" s="604">
        <v>17</v>
      </c>
      <c r="AG397" s="604">
        <v>1</v>
      </c>
      <c r="AI397" s="542"/>
      <c r="AJ397" s="542"/>
      <c r="AK397" s="542"/>
    </row>
    <row r="398">
      <c r="A398" s="557"/>
      <c r="B398" s="586" t="s">
        <v>340</v>
      </c>
      <c r="C398" s="586"/>
      <c r="D398" s="587">
        <f>SUM(D396:D397)</f>
      </c>
      <c r="E398" s="587">
        <f>SUM(E396:E397)</f>
      </c>
      <c r="F398" s="587">
        <f>SUM(F396:F397)</f>
      </c>
      <c r="G398" s="587">
        <f>SUM(G396:G397)</f>
      </c>
      <c r="H398" s="587">
        <f>SUM(H396:H397)</f>
      </c>
      <c r="I398" s="663">
        <f t="shared" si="418"/>
      </c>
      <c r="J398" s="664">
        <f t="shared" si="174"/>
      </c>
      <c r="K398" s="647">
        <f t="shared" si="233"/>
      </c>
      <c r="L398" s="590">
        <f t="shared" si="22"/>
      </c>
      <c r="M398" s="591">
        <f t="shared" si="115"/>
      </c>
      <c r="N398" s="592">
        <f t="shared" si="50"/>
      </c>
      <c r="O398" s="592">
        <f t="shared" si="480"/>
      </c>
      <c r="P398" s="591">
        <f t="shared" si="514"/>
      </c>
      <c r="Q398" s="592">
        <f t="shared" si="381"/>
      </c>
      <c r="R398" s="592">
        <f t="shared" si="446"/>
      </c>
      <c r="S398" s="593">
        <f t="shared" si="202"/>
      </c>
      <c r="T398" s="594">
        <f t="shared" si="261"/>
      </c>
      <c r="U398" s="593">
        <f t="shared" si="84"/>
      </c>
      <c r="V398" s="595">
        <f t="shared" si="143"/>
      </c>
      <c r="W398" s="595"/>
      <c r="X398" s="595"/>
      <c r="Y398" s="587">
        <f>SUM(Y396:Y397)</f>
      </c>
      <c r="Z398" s="587">
        <f>SUM(Z396:Z397)</f>
      </c>
      <c r="AA398" s="587">
        <f>SUM(AA396:AA397)</f>
      </c>
      <c r="AB398" s="587">
        <f>SUM(AB396:AB397)</f>
      </c>
      <c r="AC398" s="587">
        <f>SUM(AC396:AC397)</f>
      </c>
      <c r="AD398" s="587">
        <f>SUM(AD396:AD397)</f>
      </c>
      <c r="AE398" s="587">
        <f>SUM(AE396:AE397)</f>
      </c>
      <c r="AF398" s="587">
        <f>SUM(AF396:AF397)</f>
      </c>
      <c r="AG398" s="587">
        <f>SUM(AG396:AG397)</f>
      </c>
      <c r="AI398" s="542"/>
      <c r="AJ398" s="542"/>
      <c r="AK398" s="542"/>
    </row>
    <row r="399">
      <c r="A399" s="557"/>
      <c r="B399" s="607" t="s">
        <v>352</v>
      </c>
      <c r="C399" s="607"/>
      <c r="D399" s="607">
        <f>D387+D395+D398+D390</f>
      </c>
      <c r="E399" s="607">
        <f>E387+E395+E398+E390</f>
      </c>
      <c r="F399" s="607">
        <f>F387+F395+F398+F390</f>
      </c>
      <c r="G399" s="607">
        <f>G387+G395+G398+G390</f>
      </c>
      <c r="H399" s="607">
        <f>H387+H395+H398+H390</f>
      </c>
      <c r="I399" s="608">
        <f t="shared" si="418"/>
      </c>
      <c r="J399" s="608">
        <f t="shared" si="174"/>
      </c>
      <c r="K399" s="651">
        <f t="shared" si="233"/>
      </c>
      <c r="L399" s="610">
        <f t="shared" si="22"/>
      </c>
      <c r="M399" s="611">
        <f t="shared" si="115"/>
      </c>
      <c r="N399" s="612">
        <f t="shared" si="50"/>
      </c>
      <c r="O399" s="612">
        <f t="shared" si="480"/>
      </c>
      <c r="P399" s="611">
        <f t="shared" si="514"/>
      </c>
      <c r="Q399" s="612">
        <f t="shared" si="381"/>
      </c>
      <c r="R399" s="612">
        <f t="shared" si="446"/>
      </c>
      <c r="S399" s="611">
        <f t="shared" si="202"/>
      </c>
      <c r="T399" s="613">
        <f t="shared" si="261"/>
      </c>
      <c r="U399" s="611">
        <f t="shared" si="84"/>
      </c>
      <c r="V399" s="609">
        <f t="shared" si="143"/>
      </c>
      <c r="W399" s="609"/>
      <c r="X399" s="609"/>
      <c r="Y399" s="607">
        <f>Y387+Y395+Y398+Y390</f>
      </c>
      <c r="Z399" s="607">
        <f>Z387+Z395+Z398+Z390</f>
      </c>
      <c r="AA399" s="607">
        <f>AA387+AA395+AA398+AA390</f>
      </c>
      <c r="AB399" s="607">
        <f>AB387+AB395+AB398+AB390</f>
      </c>
      <c r="AC399" s="607">
        <f>AC387+AC395+AC398+AC390</f>
      </c>
      <c r="AD399" s="607">
        <f>AD387+AD395+AD398+AD390</f>
      </c>
      <c r="AE399" s="607">
        <f>AE387+AE395+AE398+AE390</f>
      </c>
      <c r="AF399" s="607">
        <f>AF387+AF395+AF398+AF390</f>
      </c>
      <c r="AG399" s="607">
        <f>AG387+AG395+AG398+AG390</f>
      </c>
      <c r="AI399" s="542"/>
      <c r="AJ399" s="542"/>
      <c r="AK399" s="542"/>
    </row>
    <row r="400">
      <c r="A400" s="538" t="s">
        <v>295</v>
      </c>
      <c r="B400" s="538"/>
      <c r="C400" s="538"/>
      <c r="D400" s="614" t="s">
        <v>296</v>
      </c>
      <c r="E400" s="614"/>
      <c r="F400" s="614"/>
      <c r="G400" s="614"/>
      <c r="H400" s="614"/>
      <c r="I400" s="614"/>
      <c r="J400" s="614"/>
      <c r="K400" s="540" t="s">
        <v>297</v>
      </c>
      <c r="L400" s="540"/>
      <c r="M400" s="540"/>
      <c r="N400" s="540"/>
      <c r="O400" s="540"/>
      <c r="P400" s="540"/>
      <c r="Q400" s="540"/>
      <c r="R400" s="540"/>
      <c r="S400" s="540"/>
      <c r="T400" s="540"/>
      <c r="U400" s="540"/>
      <c r="V400" s="540"/>
      <c r="W400" s="540"/>
      <c r="X400" s="540"/>
      <c r="Y400" s="541" t="s">
        <v>298</v>
      </c>
      <c r="Z400" s="541"/>
      <c r="AA400" s="541"/>
      <c r="AB400" s="541"/>
      <c r="AC400" s="541"/>
      <c r="AD400" s="541"/>
      <c r="AE400" s="541"/>
      <c r="AF400" s="541"/>
      <c r="AG400" s="541"/>
      <c r="AI400" s="542"/>
      <c r="AJ400" s="542"/>
      <c r="AK400" s="542"/>
    </row>
    <row r="401">
      <c r="A401" s="543" t="s">
        <v>299</v>
      </c>
      <c r="B401" s="544" t="s">
        <v>300</v>
      </c>
      <c r="C401" s="544" t="s">
        <v>301</v>
      </c>
      <c r="D401" s="545" t="s">
        <v>302</v>
      </c>
      <c r="E401" s="546" t="s">
        <v>303</v>
      </c>
      <c r="F401" s="546" t="s">
        <v>304</v>
      </c>
      <c r="G401" s="547" t="s">
        <v>305</v>
      </c>
      <c r="H401" s="548" t="s">
        <v>306</v>
      </c>
      <c r="I401" s="630" t="s">
        <v>307</v>
      </c>
      <c r="J401" s="630" t="s">
        <v>308</v>
      </c>
      <c r="K401" s="551" t="s">
        <v>309</v>
      </c>
      <c r="L401" s="551" t="s">
        <v>310</v>
      </c>
      <c r="M401" s="551" t="s">
        <v>311</v>
      </c>
      <c r="N401" s="669" t="s">
        <v>312</v>
      </c>
      <c r="O401" s="669" t="s">
        <v>313</v>
      </c>
      <c r="P401" s="551" t="s">
        <v>314</v>
      </c>
      <c r="Q401" s="669" t="s">
        <v>315</v>
      </c>
      <c r="R401" s="669" t="s">
        <v>316</v>
      </c>
      <c r="S401" s="551" t="s">
        <v>317</v>
      </c>
      <c r="T401" s="669" t="s">
        <v>318</v>
      </c>
      <c r="U401" s="551" t="s">
        <v>319</v>
      </c>
      <c r="V401" s="553" t="s">
        <v>320</v>
      </c>
      <c r="W401" s="553" t="s">
        <v>321</v>
      </c>
      <c r="X401" s="553" t="s">
        <v>322</v>
      </c>
      <c r="Y401" s="618" t="s">
        <v>323</v>
      </c>
      <c r="Z401" s="619" t="s">
        <v>324</v>
      </c>
      <c r="AA401" s="619" t="s">
        <v>325</v>
      </c>
      <c r="AB401" s="619" t="s">
        <v>326</v>
      </c>
      <c r="AC401" s="619" t="s">
        <v>327</v>
      </c>
      <c r="AD401" s="619" t="s">
        <v>328</v>
      </c>
      <c r="AE401" s="555" t="s">
        <v>329</v>
      </c>
      <c r="AF401" s="555" t="s">
        <v>330</v>
      </c>
      <c r="AG401" s="555" t="s">
        <v>331</v>
      </c>
      <c r="AI401" s="542"/>
      <c r="AJ401" s="542"/>
      <c r="AK401" s="542"/>
    </row>
    <row r="402">
      <c r="A402" s="557" t="s">
        <v>381</v>
      </c>
      <c r="B402" s="584" t="s">
        <v>333</v>
      </c>
      <c r="C402" s="560" t="s">
        <v>347</v>
      </c>
      <c r="D402" s="620">
        <f t="shared" ref="D402:D406" si="335">E402+F402</f>
      </c>
      <c r="E402" s="621">
        <v>1550.88</v>
      </c>
      <c r="F402" s="584">
        <v>308.77</v>
      </c>
      <c r="G402" s="573">
        <v>1</v>
      </c>
      <c r="H402" s="641">
        <v>2268</v>
      </c>
      <c r="I402" s="652">
        <f t="shared" ref="I402:I417" si="419">H402/D402</f>
      </c>
      <c r="J402" s="670">
        <f t="shared" ref="J402:J417" si="175">H402/(D402+300*AG402)</f>
      </c>
      <c r="K402" s="671">
        <f t="shared" ref="K402:K417" si="234">(D402/Z402)*1000</f>
      </c>
      <c r="L402" s="667">
        <f t="shared" ref="L402:L417" si="23">AA402/Z402</f>
      </c>
      <c r="M402" s="661">
        <f t="shared" ref="M402:M417" si="116">D402/AB402</f>
      </c>
      <c r="N402" s="675">
        <f t="shared" ref="N402:N417" si="51">AC402/AB402</f>
      </c>
      <c r="O402" s="667">
        <f t="shared" ref="O402:O417" si="481">AD402/AB402</f>
      </c>
      <c r="P402" s="661">
        <f t="shared" ref="P402:P417" si="515">D402/AD402</f>
      </c>
      <c r="Q402" s="667">
        <f t="shared" ref="Q402:Q417" si="382">AE402/AD402</f>
      </c>
      <c r="R402" s="676">
        <f t="shared" ref="R402:R417" si="447">G402/AE402</f>
      </c>
      <c r="S402" s="661">
        <f t="shared" ref="S402:S417" si="203">D402/G402</f>
      </c>
      <c r="T402" s="578">
        <f t="shared" ref="T402:T417" si="262">H402/G402</f>
      </c>
      <c r="U402" s="661">
        <f t="shared" ref="U402:U417" si="85">D402/Y402</f>
      </c>
      <c r="V402" s="672">
        <f t="shared" ref="V402:V417" si="144">AF402*1000/D402</f>
      </c>
      <c r="W402" s="569" t="s">
        <v>335</v>
      </c>
      <c r="X402" s="622" t="s">
        <v>364</v>
      </c>
      <c r="Y402" s="635">
        <v>1</v>
      </c>
      <c r="Z402" s="656">
        <v>5045</v>
      </c>
      <c r="AA402" s="657">
        <v>186</v>
      </c>
      <c r="AB402" s="624">
        <v>259</v>
      </c>
      <c r="AC402" s="625">
        <v>57</v>
      </c>
      <c r="AD402" s="571">
        <v>20</v>
      </c>
      <c r="AE402" s="625">
        <v>3</v>
      </c>
      <c r="AF402" s="571">
        <v>13</v>
      </c>
      <c r="AG402" s="571">
        <v>1</v>
      </c>
      <c r="AI402" s="542"/>
      <c r="AJ402" s="542"/>
      <c r="AK402" s="542"/>
    </row>
    <row r="403">
      <c r="A403" s="557"/>
      <c r="B403" s="584" t="s">
        <v>337</v>
      </c>
      <c r="C403" s="560" t="s">
        <v>347</v>
      </c>
      <c r="D403" s="620">
        <f t="shared" si="335"/>
      </c>
      <c r="E403" s="626">
        <v>933.67</v>
      </c>
      <c r="F403" s="559">
        <v>634.2</v>
      </c>
      <c r="G403" s="561">
        <v>1</v>
      </c>
      <c r="H403" s="631">
        <v>2080</v>
      </c>
      <c r="I403" s="658">
        <f t="shared" si="419"/>
      </c>
      <c r="J403" s="562">
        <f t="shared" si="175"/>
      </c>
      <c r="K403" s="671">
        <f t="shared" si="234"/>
      </c>
      <c r="L403" s="667">
        <f t="shared" si="23"/>
      </c>
      <c r="M403" s="661">
        <f t="shared" si="116"/>
      </c>
      <c r="N403" s="675">
        <f t="shared" si="51"/>
      </c>
      <c r="O403" s="667">
        <f t="shared" si="481"/>
      </c>
      <c r="P403" s="661">
        <f t="shared" si="515"/>
      </c>
      <c r="Q403" s="667">
        <f t="shared" si="382"/>
      </c>
      <c r="R403" s="676">
        <f t="shared" si="447"/>
      </c>
      <c r="S403" s="661">
        <f t="shared" si="203"/>
      </c>
      <c r="T403" s="578">
        <f t="shared" si="262"/>
      </c>
      <c r="U403" s="661">
        <f t="shared" si="85"/>
      </c>
      <c r="V403" s="673">
        <f t="shared" si="144"/>
      </c>
      <c r="W403" s="581" t="s">
        <v>335</v>
      </c>
      <c r="X403" s="622" t="s">
        <v>364</v>
      </c>
      <c r="Y403" s="624">
        <v>1</v>
      </c>
      <c r="Z403" s="656">
        <v>3510</v>
      </c>
      <c r="AA403" s="572">
        <v>220</v>
      </c>
      <c r="AB403" s="662">
        <v>298</v>
      </c>
      <c r="AC403" s="572">
        <v>47</v>
      </c>
      <c r="AD403" s="572">
        <v>15</v>
      </c>
      <c r="AE403" s="628">
        <v>5</v>
      </c>
      <c r="AF403" s="583">
        <v>13</v>
      </c>
      <c r="AG403" s="571">
        <v>1</v>
      </c>
      <c r="AI403" s="542"/>
      <c r="AJ403" s="542"/>
      <c r="AK403" s="542"/>
    </row>
    <row r="404">
      <c r="A404" s="557"/>
      <c r="B404" s="584" t="s">
        <v>338</v>
      </c>
      <c r="C404" s="560" t="s">
        <v>347</v>
      </c>
      <c r="D404" s="620">
        <f t="shared" si="335"/>
      </c>
      <c r="E404" s="559">
        <v>1203.89</v>
      </c>
      <c r="F404" s="559">
        <v>639.48</v>
      </c>
      <c r="G404" s="561">
        <v>1</v>
      </c>
      <c r="H404" s="631">
        <v>2268</v>
      </c>
      <c r="I404" s="658">
        <f t="shared" si="419"/>
      </c>
      <c r="J404" s="562">
        <f t="shared" si="175"/>
      </c>
      <c r="K404" s="671">
        <f t="shared" si="234"/>
      </c>
      <c r="L404" s="667">
        <f t="shared" si="23"/>
      </c>
      <c r="M404" s="661">
        <f t="shared" si="116"/>
      </c>
      <c r="N404" s="667">
        <f t="shared" si="51"/>
      </c>
      <c r="O404" s="677">
        <f t="shared" si="481"/>
      </c>
      <c r="P404" s="678">
        <f t="shared" si="515"/>
      </c>
      <c r="Q404" s="677">
        <f t="shared" si="382"/>
      </c>
      <c r="R404" s="667">
        <f t="shared" si="447"/>
      </c>
      <c r="S404" s="661">
        <f t="shared" si="203"/>
      </c>
      <c r="T404" s="578">
        <f t="shared" si="262"/>
      </c>
      <c r="U404" s="661">
        <f t="shared" si="85"/>
      </c>
      <c r="V404" s="673">
        <f t="shared" si="144"/>
      </c>
      <c r="W404" s="581" t="s">
        <v>335</v>
      </c>
      <c r="X404" s="622" t="s">
        <v>364</v>
      </c>
      <c r="Y404" s="662">
        <v>1</v>
      </c>
      <c r="Z404" s="572">
        <v>4256</v>
      </c>
      <c r="AA404" s="572">
        <v>218</v>
      </c>
      <c r="AB404" s="572">
        <v>286</v>
      </c>
      <c r="AC404" s="572">
        <v>49</v>
      </c>
      <c r="AD404" s="572">
        <v>15</v>
      </c>
      <c r="AE404" s="628">
        <v>2</v>
      </c>
      <c r="AF404" s="583">
        <v>13</v>
      </c>
      <c r="AG404" s="571">
        <v>1</v>
      </c>
      <c r="AI404" s="542"/>
      <c r="AJ404" s="542"/>
      <c r="AK404" s="542"/>
    </row>
    <row r="405">
      <c r="A405" s="557"/>
      <c r="B405" s="584" t="s">
        <v>339</v>
      </c>
      <c r="C405" s="560" t="s">
        <v>347</v>
      </c>
      <c r="D405" s="620">
        <f t="shared" si="335"/>
      </c>
      <c r="E405" s="559">
        <v>878</v>
      </c>
      <c r="F405" s="559">
        <v>782.05</v>
      </c>
      <c r="G405" s="561">
        <v>1</v>
      </c>
      <c r="H405" s="641">
        <v>2268</v>
      </c>
      <c r="I405" s="658">
        <f t="shared" si="419"/>
      </c>
      <c r="J405" s="562">
        <f t="shared" si="175"/>
      </c>
      <c r="K405" s="671">
        <f t="shared" si="234"/>
      </c>
      <c r="L405" s="667">
        <f t="shared" si="23"/>
      </c>
      <c r="M405" s="661">
        <f t="shared" si="116"/>
      </c>
      <c r="N405" s="667">
        <f t="shared" si="51"/>
      </c>
      <c r="O405" s="667">
        <f t="shared" si="481"/>
      </c>
      <c r="P405" s="661">
        <f t="shared" si="515"/>
      </c>
      <c r="Q405" s="667">
        <f t="shared" si="382"/>
      </c>
      <c r="R405" s="667">
        <f t="shared" si="447"/>
      </c>
      <c r="S405" s="661">
        <f t="shared" si="203"/>
      </c>
      <c r="T405" s="578">
        <f t="shared" si="262"/>
      </c>
      <c r="U405" s="661">
        <f t="shared" si="85"/>
      </c>
      <c r="V405" s="673">
        <f t="shared" si="144"/>
      </c>
      <c r="W405" s="581" t="s">
        <v>335</v>
      </c>
      <c r="X405" s="622" t="s">
        <v>364</v>
      </c>
      <c r="Y405" s="572">
        <v>1</v>
      </c>
      <c r="Z405" s="572">
        <v>4979</v>
      </c>
      <c r="AA405" s="572">
        <v>232</v>
      </c>
      <c r="AB405" s="572">
        <v>363</v>
      </c>
      <c r="AC405" s="572">
        <v>44</v>
      </c>
      <c r="AD405" s="572">
        <v>15</v>
      </c>
      <c r="AE405" s="628">
        <v>3</v>
      </c>
      <c r="AF405" s="583">
        <v>7</v>
      </c>
      <c r="AG405" s="571">
        <v>1</v>
      </c>
      <c r="AI405" s="542"/>
      <c r="AJ405" s="542"/>
      <c r="AK405" s="542"/>
    </row>
    <row customHeight="true" ht="18.452380952380953" r="406">
      <c r="A406" s="557"/>
      <c r="B406" s="584" t="s">
        <v>341</v>
      </c>
      <c r="C406" s="560" t="s">
        <v>347</v>
      </c>
      <c r="D406" s="620">
        <f t="shared" si="335"/>
      </c>
      <c r="E406" s="560">
        <v>1877.75</v>
      </c>
      <c r="F406" s="560">
        <v>818.18</v>
      </c>
      <c r="G406" s="561">
        <v>5</v>
      </c>
      <c r="H406" s="641">
        <v>9352</v>
      </c>
      <c r="I406" s="658">
        <f t="shared" si="419"/>
      </c>
      <c r="J406" s="562">
        <f t="shared" si="175"/>
      </c>
      <c r="K406" s="671">
        <f t="shared" si="234"/>
      </c>
      <c r="L406" s="667">
        <f t="shared" si="23"/>
      </c>
      <c r="M406" s="661">
        <f t="shared" si="116"/>
      </c>
      <c r="N406" s="667">
        <f t="shared" si="51"/>
      </c>
      <c r="O406" s="667">
        <f t="shared" si="481"/>
      </c>
      <c r="P406" s="661">
        <f t="shared" si="515"/>
      </c>
      <c r="Q406" s="667">
        <f t="shared" si="382"/>
      </c>
      <c r="R406" s="667">
        <f t="shared" si="447"/>
      </c>
      <c r="S406" s="661">
        <f t="shared" si="203"/>
      </c>
      <c r="T406" s="578">
        <f t="shared" si="262"/>
      </c>
      <c r="U406" s="661">
        <f t="shared" si="85"/>
      </c>
      <c r="V406" s="673">
        <f t="shared" si="144"/>
      </c>
      <c r="W406" s="581" t="s">
        <v>335</v>
      </c>
      <c r="X406" s="622" t="s">
        <v>364</v>
      </c>
      <c r="Y406" s="572">
        <v>5</v>
      </c>
      <c r="Z406" s="572">
        <v>7553</v>
      </c>
      <c r="AA406" s="572">
        <v>328</v>
      </c>
      <c r="AB406" s="572">
        <v>530</v>
      </c>
      <c r="AC406" s="572">
        <v>76</v>
      </c>
      <c r="AD406" s="572">
        <v>34</v>
      </c>
      <c r="AE406" s="628">
        <v>11</v>
      </c>
      <c r="AF406" s="583">
        <v>21</v>
      </c>
      <c r="AG406" s="571">
        <v>1</v>
      </c>
      <c r="AI406" s="542"/>
      <c r="AJ406" s="542"/>
      <c r="AK406" s="542"/>
    </row>
    <row r="407">
      <c r="A407" s="557"/>
      <c r="B407" s="586" t="s">
        <v>340</v>
      </c>
      <c r="C407" s="586"/>
      <c r="D407" s="587">
        <f>SUM(D402:D406)</f>
      </c>
      <c r="E407" s="587">
        <f>SUM(E402:E406)</f>
      </c>
      <c r="F407" s="587">
        <f>SUM(F402:F406)</f>
      </c>
      <c r="G407" s="587">
        <f>SUM(G402:G406)</f>
      </c>
      <c r="H407" s="587">
        <f>SUM(H402:H406)</f>
      </c>
      <c r="I407" s="663">
        <f t="shared" si="419"/>
      </c>
      <c r="J407" s="664">
        <f t="shared" si="175"/>
      </c>
      <c r="K407" s="645">
        <f t="shared" si="234"/>
      </c>
      <c r="L407" s="590">
        <f t="shared" si="23"/>
      </c>
      <c r="M407" s="591">
        <f t="shared" si="116"/>
      </c>
      <c r="N407" s="592">
        <f t="shared" si="51"/>
      </c>
      <c r="O407" s="592">
        <f t="shared" si="481"/>
      </c>
      <c r="P407" s="591">
        <f t="shared" si="515"/>
      </c>
      <c r="Q407" s="592">
        <f t="shared" si="382"/>
      </c>
      <c r="R407" s="592">
        <f t="shared" si="447"/>
      </c>
      <c r="S407" s="593">
        <f t="shared" si="203"/>
      </c>
      <c r="T407" s="594">
        <f t="shared" si="262"/>
      </c>
      <c r="U407" s="593">
        <f t="shared" si="85"/>
      </c>
      <c r="V407" s="595">
        <f t="shared" si="144"/>
      </c>
      <c r="W407" s="595"/>
      <c r="X407" s="595"/>
      <c r="Y407" s="587">
        <f>SUM(Y402:Y406)</f>
      </c>
      <c r="Z407" s="587">
        <f>SUM(Z402:Z406)</f>
      </c>
      <c r="AA407" s="587">
        <f>SUM(AA402:AA406)</f>
      </c>
      <c r="AB407" s="587">
        <f>SUM(AB402:AB406)</f>
      </c>
      <c r="AC407" s="587">
        <f>SUM(AC402:AC406)</f>
      </c>
      <c r="AD407" s="587">
        <f>SUM(AD402:AD406)</f>
      </c>
      <c r="AE407" s="587">
        <f>SUM(AE402:AE406)</f>
      </c>
      <c r="AF407" s="587">
        <f>SUM(AF402:AF406)</f>
      </c>
      <c r="AG407" s="587">
        <f>SUM(AG402:AG406)</f>
      </c>
      <c r="AI407" s="542"/>
      <c r="AJ407" s="542"/>
      <c r="AK407" s="542"/>
    </row>
    <row r="408">
      <c r="A408" s="557"/>
      <c r="B408" s="584" t="s">
        <v>343</v>
      </c>
      <c r="C408" s="560" t="s">
        <v>342</v>
      </c>
      <c r="D408" s="559">
        <f t="shared" ref="D408:D412" si="336">E408+F408</f>
      </c>
      <c r="E408" s="559">
        <v>3280.7</v>
      </c>
      <c r="F408" s="559">
        <v>1119.93</v>
      </c>
      <c r="G408" s="561">
        <v>6</v>
      </c>
      <c r="H408" s="631">
        <v>12288</v>
      </c>
      <c r="I408" s="658">
        <f t="shared" si="419"/>
      </c>
      <c r="J408" s="659">
        <f t="shared" si="175"/>
      </c>
      <c r="K408" s="634">
        <f t="shared" si="234"/>
      </c>
      <c r="L408" s="596">
        <f t="shared" si="23"/>
      </c>
      <c r="M408" s="597">
        <f t="shared" si="116"/>
      </c>
      <c r="N408" s="598">
        <f t="shared" si="51"/>
      </c>
      <c r="O408" s="598">
        <f t="shared" si="481"/>
      </c>
      <c r="P408" s="597">
        <f t="shared" si="515"/>
      </c>
      <c r="Q408" s="598">
        <f t="shared" si="382"/>
      </c>
      <c r="R408" s="598">
        <f t="shared" si="447"/>
      </c>
      <c r="S408" s="599">
        <f t="shared" si="203"/>
      </c>
      <c r="T408" s="600">
        <f t="shared" si="262"/>
      </c>
      <c r="U408" s="599">
        <f t="shared" si="85"/>
      </c>
      <c r="V408" s="601">
        <f t="shared" si="144"/>
      </c>
      <c r="W408" s="602" t="s">
        <v>335</v>
      </c>
      <c r="X408" s="570" t="s">
        <v>364</v>
      </c>
      <c r="Y408" s="603">
        <v>3</v>
      </c>
      <c r="Z408" s="603">
        <v>11463</v>
      </c>
      <c r="AA408" s="603">
        <v>429</v>
      </c>
      <c r="AB408" s="603">
        <v>619</v>
      </c>
      <c r="AC408" s="603">
        <v>101</v>
      </c>
      <c r="AD408" s="603">
        <v>39</v>
      </c>
      <c r="AE408" s="604">
        <v>7</v>
      </c>
      <c r="AF408" s="604">
        <v>19</v>
      </c>
      <c r="AG408" s="604">
        <v>1</v>
      </c>
      <c r="AI408" s="542"/>
      <c r="AJ408" s="542"/>
      <c r="AK408" s="542"/>
    </row>
    <row r="409">
      <c r="A409" s="557"/>
      <c r="B409" s="584" t="s">
        <v>344</v>
      </c>
      <c r="C409" s="560" t="s">
        <v>342</v>
      </c>
      <c r="D409" s="559">
        <f t="shared" si="336"/>
      </c>
      <c r="E409" s="559">
        <v>2935.04</v>
      </c>
      <c r="F409" s="559">
        <v>809.13</v>
      </c>
      <c r="G409" s="573">
        <v>2</v>
      </c>
      <c r="H409" s="641">
        <v>3028</v>
      </c>
      <c r="I409" s="658">
        <f t="shared" si="419"/>
      </c>
      <c r="J409" s="659">
        <f t="shared" si="175"/>
      </c>
      <c r="K409" s="634">
        <f t="shared" si="234"/>
      </c>
      <c r="L409" s="596">
        <f t="shared" si="23"/>
      </c>
      <c r="M409" s="597">
        <f t="shared" si="116"/>
      </c>
      <c r="N409" s="598">
        <f t="shared" si="51"/>
      </c>
      <c r="O409" s="598">
        <f t="shared" si="481"/>
      </c>
      <c r="P409" s="597">
        <f t="shared" si="515"/>
      </c>
      <c r="Q409" s="598">
        <f t="shared" si="382"/>
      </c>
      <c r="R409" s="598">
        <f t="shared" si="447"/>
      </c>
      <c r="S409" s="599">
        <f t="shared" si="203"/>
      </c>
      <c r="T409" s="600">
        <f t="shared" si="262"/>
      </c>
      <c r="U409" s="599">
        <f t="shared" si="85"/>
      </c>
      <c r="V409" s="601">
        <f t="shared" si="144"/>
      </c>
      <c r="W409" s="602" t="s">
        <v>335</v>
      </c>
      <c r="X409" s="570" t="s">
        <v>364</v>
      </c>
      <c r="Y409" s="603">
        <v>3</v>
      </c>
      <c r="Z409" s="603">
        <v>9596</v>
      </c>
      <c r="AA409" s="603">
        <v>333</v>
      </c>
      <c r="AB409" s="603">
        <v>502</v>
      </c>
      <c r="AC409" s="603">
        <v>76</v>
      </c>
      <c r="AD409" s="603">
        <v>20</v>
      </c>
      <c r="AE409" s="604">
        <v>7</v>
      </c>
      <c r="AF409" s="604">
        <v>12</v>
      </c>
      <c r="AG409" s="604">
        <v>1</v>
      </c>
      <c r="AI409" s="542"/>
      <c r="AJ409" s="542"/>
      <c r="AK409" s="542"/>
    </row>
    <row r="410">
      <c r="A410" s="557"/>
      <c r="B410" s="584" t="s">
        <v>345</v>
      </c>
      <c r="C410" s="560" t="s">
        <v>342</v>
      </c>
      <c r="D410" s="559">
        <f t="shared" si="336"/>
      </c>
      <c r="E410" s="559">
        <v>3239.94</v>
      </c>
      <c r="F410" s="559">
        <v>735.86</v>
      </c>
      <c r="G410" s="561">
        <v>6</v>
      </c>
      <c r="H410" s="631">
        <v>10968</v>
      </c>
      <c r="I410" s="658">
        <f t="shared" si="419"/>
      </c>
      <c r="J410" s="659">
        <f t="shared" si="175"/>
      </c>
      <c r="K410" s="634">
        <f t="shared" si="234"/>
      </c>
      <c r="L410" s="596">
        <f t="shared" si="23"/>
      </c>
      <c r="M410" s="597">
        <f t="shared" si="116"/>
      </c>
      <c r="N410" s="598">
        <f t="shared" si="51"/>
      </c>
      <c r="O410" s="598">
        <f t="shared" si="481"/>
      </c>
      <c r="P410" s="597">
        <f t="shared" si="515"/>
      </c>
      <c r="Q410" s="598">
        <f t="shared" si="382"/>
      </c>
      <c r="R410" s="598">
        <f t="shared" si="447"/>
      </c>
      <c r="S410" s="599">
        <f t="shared" si="203"/>
      </c>
      <c r="T410" s="600">
        <f t="shared" si="262"/>
      </c>
      <c r="U410" s="599">
        <f t="shared" si="85"/>
      </c>
      <c r="V410" s="601">
        <f t="shared" si="144"/>
      </c>
      <c r="W410" s="602" t="s">
        <v>335</v>
      </c>
      <c r="X410" s="570" t="s">
        <v>364</v>
      </c>
      <c r="Y410" s="603">
        <v>5</v>
      </c>
      <c r="Z410" s="603">
        <v>11865</v>
      </c>
      <c r="AA410" s="603">
        <v>305</v>
      </c>
      <c r="AB410" s="603">
        <v>458</v>
      </c>
      <c r="AC410" s="603">
        <v>78</v>
      </c>
      <c r="AD410" s="603">
        <v>21</v>
      </c>
      <c r="AE410" s="604">
        <v>8</v>
      </c>
      <c r="AF410" s="604">
        <v>17</v>
      </c>
      <c r="AG410" s="604">
        <v>1</v>
      </c>
      <c r="AI410" s="542"/>
      <c r="AJ410" s="542"/>
      <c r="AK410" s="542"/>
    </row>
    <row r="411">
      <c r="A411" s="557"/>
      <c r="B411" s="584" t="s">
        <v>346</v>
      </c>
      <c r="C411" s="560" t="s">
        <v>342</v>
      </c>
      <c r="D411" s="559">
        <f t="shared" si="336"/>
      </c>
      <c r="E411" s="559">
        <v>3059.29</v>
      </c>
      <c r="F411" s="559">
        <v>500.92</v>
      </c>
      <c r="G411" s="573">
        <v>3</v>
      </c>
      <c r="H411" s="641">
        <v>3605</v>
      </c>
      <c r="I411" s="658">
        <f t="shared" si="419"/>
      </c>
      <c r="J411" s="659">
        <f t="shared" si="175"/>
      </c>
      <c r="K411" s="646">
        <f t="shared" si="234"/>
      </c>
      <c r="L411" s="596">
        <f t="shared" si="23"/>
      </c>
      <c r="M411" s="597">
        <f t="shared" si="116"/>
      </c>
      <c r="N411" s="598">
        <f t="shared" si="51"/>
      </c>
      <c r="O411" s="598">
        <f t="shared" si="481"/>
      </c>
      <c r="P411" s="597">
        <f t="shared" si="515"/>
      </c>
      <c r="Q411" s="598">
        <f t="shared" si="382"/>
      </c>
      <c r="R411" s="598">
        <f t="shared" si="447"/>
      </c>
      <c r="S411" s="599">
        <f t="shared" si="203"/>
      </c>
      <c r="T411" s="600">
        <f t="shared" si="262"/>
      </c>
      <c r="U411" s="599">
        <f t="shared" si="85"/>
      </c>
      <c r="V411" s="601">
        <f t="shared" si="144"/>
      </c>
      <c r="W411" s="602" t="s">
        <v>335</v>
      </c>
      <c r="X411" s="570" t="s">
        <v>356</v>
      </c>
      <c r="Y411" s="603">
        <v>3</v>
      </c>
      <c r="Z411" s="604">
        <v>12537</v>
      </c>
      <c r="AA411" s="604">
        <v>350</v>
      </c>
      <c r="AB411" s="604">
        <v>486</v>
      </c>
      <c r="AC411" s="604">
        <v>71</v>
      </c>
      <c r="AD411" s="603">
        <v>23</v>
      </c>
      <c r="AE411" s="604">
        <v>6</v>
      </c>
      <c r="AF411" s="604">
        <v>12</v>
      </c>
      <c r="AG411" s="604">
        <v>1</v>
      </c>
      <c r="AI411" s="542"/>
      <c r="AJ411" s="542"/>
      <c r="AK411" s="542"/>
    </row>
    <row customHeight="true" ht="18.452380952380953" r="412">
      <c r="A412" s="557"/>
      <c r="B412" s="584" t="s">
        <v>349</v>
      </c>
      <c r="C412" s="560" t="s">
        <v>342</v>
      </c>
      <c r="D412" s="559">
        <f t="shared" si="336"/>
      </c>
      <c r="E412" s="559">
        <v>4411.06</v>
      </c>
      <c r="F412" s="559">
        <v>276.38</v>
      </c>
      <c r="G412" s="573">
        <v>4</v>
      </c>
      <c r="H412" s="641">
        <v>7752</v>
      </c>
      <c r="I412" s="658">
        <f t="shared" si="419"/>
      </c>
      <c r="J412" s="659">
        <f t="shared" si="175"/>
      </c>
      <c r="K412" s="646">
        <f t="shared" si="234"/>
      </c>
      <c r="L412" s="596">
        <f t="shared" si="23"/>
      </c>
      <c r="M412" s="597">
        <f t="shared" si="116"/>
      </c>
      <c r="N412" s="598">
        <f t="shared" si="51"/>
      </c>
      <c r="O412" s="598">
        <f t="shared" si="481"/>
      </c>
      <c r="P412" s="597">
        <f t="shared" si="515"/>
      </c>
      <c r="Q412" s="598">
        <f t="shared" si="382"/>
      </c>
      <c r="R412" s="598">
        <f t="shared" si="447"/>
      </c>
      <c r="S412" s="599">
        <f t="shared" si="203"/>
      </c>
      <c r="T412" s="600">
        <f t="shared" si="262"/>
      </c>
      <c r="U412" s="599">
        <f t="shared" si="85"/>
      </c>
      <c r="V412" s="601">
        <f t="shared" si="144"/>
      </c>
      <c r="W412" s="602" t="s">
        <v>335</v>
      </c>
      <c r="X412" s="570" t="s">
        <v>356</v>
      </c>
      <c r="Y412" s="603">
        <v>3</v>
      </c>
      <c r="Z412" s="604">
        <v>16538</v>
      </c>
      <c r="AA412" s="604">
        <v>411</v>
      </c>
      <c r="AB412" s="604">
        <v>528</v>
      </c>
      <c r="AC412" s="604">
        <v>93</v>
      </c>
      <c r="AD412" s="603">
        <v>15</v>
      </c>
      <c r="AE412" s="604">
        <v>5</v>
      </c>
      <c r="AF412" s="604">
        <v>22</v>
      </c>
      <c r="AG412" s="604">
        <v>1</v>
      </c>
      <c r="AI412" s="542"/>
      <c r="AJ412" s="542"/>
      <c r="AK412" s="542"/>
    </row>
    <row r="413">
      <c r="A413" s="557"/>
      <c r="B413" s="586" t="s">
        <v>340</v>
      </c>
      <c r="C413" s="586"/>
      <c r="D413" s="587">
        <f>SUM(D408:D412)</f>
      </c>
      <c r="E413" s="587">
        <f>SUM(E408:E412)</f>
      </c>
      <c r="F413" s="587">
        <f>SUM(F408:F412)</f>
      </c>
      <c r="G413" s="587">
        <f>SUM(G408:G412)</f>
      </c>
      <c r="H413" s="587">
        <f>SUM(H408:H412)</f>
      </c>
      <c r="I413" s="663">
        <f t="shared" si="419"/>
      </c>
      <c r="J413" s="664">
        <f t="shared" si="175"/>
      </c>
      <c r="K413" s="647">
        <f t="shared" si="234"/>
      </c>
      <c r="L413" s="590">
        <f t="shared" si="23"/>
      </c>
      <c r="M413" s="591">
        <f t="shared" si="116"/>
      </c>
      <c r="N413" s="592">
        <f t="shared" si="51"/>
      </c>
      <c r="O413" s="592">
        <f t="shared" si="481"/>
      </c>
      <c r="P413" s="591">
        <f t="shared" si="515"/>
      </c>
      <c r="Q413" s="592">
        <f t="shared" si="382"/>
      </c>
      <c r="R413" s="592">
        <f t="shared" si="447"/>
      </c>
      <c r="S413" s="593">
        <f t="shared" si="203"/>
      </c>
      <c r="T413" s="594">
        <f t="shared" si="262"/>
      </c>
      <c r="U413" s="593">
        <f t="shared" si="85"/>
      </c>
      <c r="V413" s="595">
        <f t="shared" si="144"/>
      </c>
      <c r="W413" s="595"/>
      <c r="X413" s="595"/>
      <c r="Y413" s="587">
        <f>SUM(Y408:Y412)</f>
      </c>
      <c r="Z413" s="587">
        <f>SUM(Z408:Z412)</f>
      </c>
      <c r="AA413" s="587">
        <f>SUM(AA408:AA412)</f>
      </c>
      <c r="AB413" s="587">
        <f>SUM(AB408:AB412)</f>
      </c>
      <c r="AC413" s="587">
        <f>SUM(AC408:AC412)</f>
      </c>
      <c r="AD413" s="587">
        <f>SUM(AD408:AD412)</f>
      </c>
      <c r="AE413" s="587">
        <f>SUM(AE408:AE412)</f>
      </c>
      <c r="AF413" s="587">
        <f>SUM(AF408:AF412)</f>
      </c>
      <c r="AG413" s="587">
        <f>SUM(AG408:AG412)</f>
      </c>
      <c r="AI413" s="542"/>
      <c r="AJ413" s="542"/>
      <c r="AK413" s="542"/>
    </row>
    <row r="414">
      <c r="A414" s="557"/>
      <c r="B414" s="558" t="s">
        <v>350</v>
      </c>
      <c r="C414" s="560" t="s">
        <v>378</v>
      </c>
      <c r="D414" s="559">
        <f t="shared" ref="D414:D415" si="337">E414+F414</f>
      </c>
      <c r="E414" s="559">
        <v>2086.6</v>
      </c>
      <c r="F414" s="559">
        <v>368.91</v>
      </c>
      <c r="G414" s="561">
        <v>0</v>
      </c>
      <c r="H414" s="631">
        <v>0</v>
      </c>
      <c r="I414" s="658">
        <f t="shared" si="419"/>
      </c>
      <c r="J414" s="659">
        <f t="shared" si="175"/>
      </c>
      <c r="K414" s="634">
        <f t="shared" si="234"/>
      </c>
      <c r="L414" s="596">
        <f t="shared" si="23"/>
      </c>
      <c r="M414" s="597">
        <f t="shared" si="116"/>
      </c>
      <c r="N414" s="598">
        <f t="shared" si="51"/>
      </c>
      <c r="O414" s="598">
        <f t="shared" si="481"/>
      </c>
      <c r="P414" s="597">
        <f t="shared" si="515"/>
      </c>
      <c r="Q414" s="598">
        <f t="shared" si="382"/>
      </c>
      <c r="R414" s="598">
        <f t="shared" si="447"/>
      </c>
      <c r="S414" s="599">
        <f t="shared" si="203"/>
      </c>
      <c r="T414" s="600">
        <f t="shared" si="262"/>
      </c>
      <c r="U414" s="599">
        <f t="shared" si="85"/>
      </c>
      <c r="V414" s="601">
        <f t="shared" si="144"/>
      </c>
      <c r="W414" s="602" t="s">
        <v>335</v>
      </c>
      <c r="X414" s="570" t="s">
        <v>356</v>
      </c>
      <c r="Y414" s="603">
        <v>0</v>
      </c>
      <c r="Z414" s="603">
        <v>9702</v>
      </c>
      <c r="AA414" s="603">
        <v>251</v>
      </c>
      <c r="AB414" s="603">
        <v>343</v>
      </c>
      <c r="AC414" s="603">
        <v>49</v>
      </c>
      <c r="AD414" s="603">
        <v>8</v>
      </c>
      <c r="AE414" s="604">
        <v>1</v>
      </c>
      <c r="AF414" s="604">
        <v>9</v>
      </c>
      <c r="AG414" s="604">
        <v>1</v>
      </c>
      <c r="AI414" s="542"/>
      <c r="AJ414" s="542"/>
      <c r="AK414" s="542"/>
    </row>
    <row r="415">
      <c r="A415" s="557"/>
      <c r="B415" s="558" t="s">
        <v>351</v>
      </c>
      <c r="C415" s="560" t="s">
        <v>378</v>
      </c>
      <c r="D415" s="559">
        <f t="shared" si="337"/>
      </c>
      <c r="E415" s="559">
        <v>1231.27</v>
      </c>
      <c r="F415" s="559">
        <v>260.39</v>
      </c>
      <c r="G415" s="573">
        <v>1</v>
      </c>
      <c r="H415" s="641">
        <v>948</v>
      </c>
      <c r="I415" s="658">
        <f t="shared" si="419"/>
      </c>
      <c r="J415" s="659">
        <f t="shared" si="175"/>
      </c>
      <c r="K415" s="646">
        <f t="shared" si="234"/>
      </c>
      <c r="L415" s="596">
        <f t="shared" si="23"/>
      </c>
      <c r="M415" s="597">
        <f t="shared" si="116"/>
      </c>
      <c r="N415" s="598">
        <f t="shared" si="51"/>
      </c>
      <c r="O415" s="598">
        <f t="shared" si="481"/>
      </c>
      <c r="P415" s="597">
        <f t="shared" si="515"/>
      </c>
      <c r="Q415" s="598">
        <f t="shared" si="382"/>
      </c>
      <c r="R415" s="598">
        <f t="shared" si="447"/>
      </c>
      <c r="S415" s="599">
        <f t="shared" si="203"/>
      </c>
      <c r="T415" s="600">
        <f t="shared" si="262"/>
      </c>
      <c r="U415" s="599">
        <f t="shared" si="85"/>
      </c>
      <c r="V415" s="601">
        <f t="shared" si="144"/>
      </c>
      <c r="W415" s="602" t="s">
        <v>335</v>
      </c>
      <c r="X415" s="570" t="s">
        <v>356</v>
      </c>
      <c r="Y415" s="603">
        <v>0</v>
      </c>
      <c r="Z415" s="604">
        <v>5072</v>
      </c>
      <c r="AA415" s="604">
        <v>149</v>
      </c>
      <c r="AB415" s="604">
        <v>221</v>
      </c>
      <c r="AC415" s="604">
        <v>47</v>
      </c>
      <c r="AD415" s="603">
        <v>4</v>
      </c>
      <c r="AE415" s="604">
        <v>3</v>
      </c>
      <c r="AF415" s="604">
        <v>8</v>
      </c>
      <c r="AG415" s="604">
        <v>1</v>
      </c>
      <c r="AI415" s="542"/>
      <c r="AJ415" s="542"/>
      <c r="AK415" s="542"/>
    </row>
    <row r="416">
      <c r="A416" s="557"/>
      <c r="B416" s="586" t="s">
        <v>340</v>
      </c>
      <c r="C416" s="586"/>
      <c r="D416" s="587">
        <f>SUM(D414:D415)</f>
      </c>
      <c r="E416" s="587">
        <f>SUM(E414:E415)</f>
      </c>
      <c r="F416" s="587">
        <f>SUM(F414:F415)</f>
      </c>
      <c r="G416" s="587">
        <f>SUM(G414:G415)</f>
      </c>
      <c r="H416" s="587">
        <f>SUM(H414:H415)</f>
      </c>
      <c r="I416" s="663">
        <f t="shared" si="419"/>
      </c>
      <c r="J416" s="664">
        <f t="shared" si="175"/>
      </c>
      <c r="K416" s="647">
        <f t="shared" si="234"/>
      </c>
      <c r="L416" s="590">
        <f t="shared" si="23"/>
      </c>
      <c r="M416" s="591">
        <f t="shared" si="116"/>
      </c>
      <c r="N416" s="592">
        <f t="shared" si="51"/>
      </c>
      <c r="O416" s="592">
        <f t="shared" si="481"/>
      </c>
      <c r="P416" s="591">
        <f t="shared" si="515"/>
      </c>
      <c r="Q416" s="592">
        <f t="shared" si="382"/>
      </c>
      <c r="R416" s="592">
        <f t="shared" si="447"/>
      </c>
      <c r="S416" s="593">
        <f t="shared" si="203"/>
      </c>
      <c r="T416" s="594">
        <f t="shared" si="262"/>
      </c>
      <c r="U416" s="593">
        <f t="shared" si="85"/>
      </c>
      <c r="V416" s="595">
        <f t="shared" si="144"/>
      </c>
      <c r="W416" s="595"/>
      <c r="X416" s="595"/>
      <c r="Y416" s="587">
        <f>SUM(Y414:Y415)</f>
      </c>
      <c r="Z416" s="587">
        <f>SUM(Z414:Z415)</f>
      </c>
      <c r="AA416" s="587">
        <f>SUM(AA414:AA415)</f>
      </c>
      <c r="AB416" s="587">
        <f>SUM(AB414:AB415)</f>
      </c>
      <c r="AC416" s="587">
        <f>SUM(AC414:AC415)</f>
      </c>
      <c r="AD416" s="587">
        <f>SUM(AD414:AD415)</f>
      </c>
      <c r="AE416" s="587">
        <f>SUM(AE414:AE415)</f>
      </c>
      <c r="AF416" s="587">
        <f>SUM(AF414:AF415)</f>
      </c>
      <c r="AG416" s="587">
        <f>SUM(AG414:AG415)</f>
      </c>
      <c r="AI416" s="542"/>
      <c r="AJ416" s="542"/>
      <c r="AK416" s="542"/>
    </row>
    <row r="417">
      <c r="A417" s="557"/>
      <c r="B417" s="607" t="s">
        <v>352</v>
      </c>
      <c r="C417" s="607"/>
      <c r="D417" s="607">
        <f>D407+D413+D416</f>
      </c>
      <c r="E417" s="607">
        <f>E407+E413+E416</f>
      </c>
      <c r="F417" s="607">
        <f>F407+F413+F416</f>
      </c>
      <c r="G417" s="607">
        <f>G407+G413+G416</f>
      </c>
      <c r="H417" s="607">
        <f>H407+H413+H416</f>
      </c>
      <c r="I417" s="608">
        <f t="shared" si="419"/>
      </c>
      <c r="J417" s="608">
        <f t="shared" si="175"/>
      </c>
      <c r="K417" s="651">
        <f t="shared" si="234"/>
      </c>
      <c r="L417" s="610">
        <f t="shared" si="23"/>
      </c>
      <c r="M417" s="611">
        <f t="shared" si="116"/>
      </c>
      <c r="N417" s="612">
        <f t="shared" si="51"/>
      </c>
      <c r="O417" s="612">
        <f t="shared" si="481"/>
      </c>
      <c r="P417" s="611">
        <f t="shared" si="515"/>
      </c>
      <c r="Q417" s="612">
        <f t="shared" si="382"/>
      </c>
      <c r="R417" s="612">
        <f t="shared" si="447"/>
      </c>
      <c r="S417" s="611">
        <f t="shared" si="203"/>
      </c>
      <c r="T417" s="613">
        <f t="shared" si="262"/>
      </c>
      <c r="U417" s="611">
        <f t="shared" si="85"/>
      </c>
      <c r="V417" s="609">
        <f t="shared" si="144"/>
      </c>
      <c r="W417" s="609"/>
      <c r="X417" s="609"/>
      <c r="Y417" s="607">
        <f>Y407+Y413+Y416</f>
      </c>
      <c r="Z417" s="607">
        <f>Z407+Z413+Z416</f>
      </c>
      <c r="AA417" s="607">
        <f>AA407+AA413+AA416</f>
      </c>
      <c r="AB417" s="607">
        <f>AB407+AB413+AB416</f>
      </c>
      <c r="AC417" s="607">
        <f>AC407+AC413+AC416</f>
      </c>
      <c r="AD417" s="607">
        <f>AD407+AD413+AD416</f>
      </c>
      <c r="AE417" s="607">
        <f>AE407+AE413+AE416</f>
      </c>
      <c r="AF417" s="607">
        <f>AF407+AF413+AF416</f>
      </c>
      <c r="AG417" s="607">
        <f>AG407+AG413+AG416</f>
      </c>
      <c r="AI417" s="542"/>
      <c r="AJ417" s="542"/>
      <c r="AK417" s="542"/>
    </row>
    <row r="418">
      <c r="A418" s="538" t="s">
        <v>295</v>
      </c>
      <c r="B418" s="538"/>
      <c r="C418" s="538"/>
      <c r="D418" s="614" t="s">
        <v>296</v>
      </c>
      <c r="E418" s="614"/>
      <c r="F418" s="614"/>
      <c r="G418" s="614"/>
      <c r="H418" s="614"/>
      <c r="I418" s="614"/>
      <c r="J418" s="614"/>
      <c r="K418" s="540" t="s">
        <v>297</v>
      </c>
      <c r="L418" s="540"/>
      <c r="M418" s="540"/>
      <c r="N418" s="540"/>
      <c r="O418" s="540"/>
      <c r="P418" s="540"/>
      <c r="Q418" s="540"/>
      <c r="R418" s="540"/>
      <c r="S418" s="540"/>
      <c r="T418" s="540"/>
      <c r="U418" s="540"/>
      <c r="V418" s="540"/>
      <c r="W418" s="540"/>
      <c r="X418" s="540"/>
      <c r="Y418" s="541" t="s">
        <v>298</v>
      </c>
      <c r="Z418" s="541"/>
      <c r="AA418" s="541"/>
      <c r="AB418" s="541"/>
      <c r="AC418" s="541"/>
      <c r="AD418" s="541"/>
      <c r="AE418" s="541"/>
      <c r="AF418" s="541"/>
      <c r="AG418" s="541"/>
      <c r="AI418" s="542"/>
      <c r="AJ418" s="542"/>
      <c r="AK418" s="542"/>
    </row>
    <row r="419">
      <c r="A419" s="543" t="s">
        <v>299</v>
      </c>
      <c r="B419" s="544" t="s">
        <v>300</v>
      </c>
      <c r="C419" s="544" t="s">
        <v>301</v>
      </c>
      <c r="D419" s="545" t="s">
        <v>302</v>
      </c>
      <c r="E419" s="546" t="s">
        <v>303</v>
      </c>
      <c r="F419" s="546" t="s">
        <v>304</v>
      </c>
      <c r="G419" s="547" t="s">
        <v>305</v>
      </c>
      <c r="H419" s="548" t="s">
        <v>306</v>
      </c>
      <c r="I419" s="630" t="s">
        <v>307</v>
      </c>
      <c r="J419" s="630" t="s">
        <v>308</v>
      </c>
      <c r="K419" s="551" t="s">
        <v>309</v>
      </c>
      <c r="L419" s="551" t="s">
        <v>310</v>
      </c>
      <c r="M419" s="551" t="s">
        <v>311</v>
      </c>
      <c r="N419" s="669" t="s">
        <v>312</v>
      </c>
      <c r="O419" s="669" t="s">
        <v>313</v>
      </c>
      <c r="P419" s="551" t="s">
        <v>314</v>
      </c>
      <c r="Q419" s="669" t="s">
        <v>315</v>
      </c>
      <c r="R419" s="669" t="s">
        <v>316</v>
      </c>
      <c r="S419" s="551" t="s">
        <v>317</v>
      </c>
      <c r="T419" s="669" t="s">
        <v>318</v>
      </c>
      <c r="U419" s="551" t="s">
        <v>319</v>
      </c>
      <c r="V419" s="553" t="s">
        <v>320</v>
      </c>
      <c r="W419" s="553" t="s">
        <v>321</v>
      </c>
      <c r="X419" s="553" t="s">
        <v>322</v>
      </c>
      <c r="Y419" s="618" t="s">
        <v>323</v>
      </c>
      <c r="Z419" s="619" t="s">
        <v>324</v>
      </c>
      <c r="AA419" s="619" t="s">
        <v>325</v>
      </c>
      <c r="AB419" s="619" t="s">
        <v>326</v>
      </c>
      <c r="AC419" s="619" t="s">
        <v>327</v>
      </c>
      <c r="AD419" s="619" t="s">
        <v>328</v>
      </c>
      <c r="AE419" s="555" t="s">
        <v>329</v>
      </c>
      <c r="AF419" s="555" t="s">
        <v>330</v>
      </c>
      <c r="AG419" s="555" t="s">
        <v>331</v>
      </c>
      <c r="AI419" s="542"/>
      <c r="AJ419" s="542"/>
      <c r="AK419" s="542"/>
    </row>
    <row r="420">
      <c r="A420" s="557" t="s">
        <v>382</v>
      </c>
      <c r="B420" s="584" t="s">
        <v>333</v>
      </c>
      <c r="C420" s="560" t="s">
        <v>347</v>
      </c>
      <c r="D420" s="620">
        <f t="shared" ref="D420:D423" si="338">E420+F420</f>
      </c>
      <c r="E420" s="621">
        <v>2218.16</v>
      </c>
      <c r="F420" s="584">
        <v>463.83</v>
      </c>
      <c r="G420" s="561">
        <v>0</v>
      </c>
      <c r="H420" s="631">
        <v>0</v>
      </c>
      <c r="I420" s="652">
        <f t="shared" ref="I420:I435" si="420">H420/D420</f>
      </c>
      <c r="J420" s="670">
        <f t="shared" ref="J420:J435" si="176">H420/(D420+300*AG420)</f>
      </c>
      <c r="K420" s="671">
        <f t="shared" ref="K420:K435" si="235">(D420/Z420)*1000</f>
      </c>
      <c r="L420" s="667">
        <f t="shared" ref="L420:L435" si="24">AA420/Z420</f>
      </c>
      <c r="M420" s="661">
        <f t="shared" ref="M420:M435" si="117">D420/AB420</f>
      </c>
      <c r="N420" s="675">
        <f t="shared" ref="N420:N435" si="52">AC420/AB420</f>
      </c>
      <c r="O420" s="667">
        <f t="shared" ref="O420:O435" si="482">AD420/AB420</f>
      </c>
      <c r="P420" s="661">
        <f t="shared" ref="P420:P435" si="516">D420/AD420</f>
      </c>
      <c r="Q420" s="667">
        <f t="shared" ref="Q420:Q435" si="383">AE420/AD420</f>
      </c>
      <c r="R420" s="676">
        <f t="shared" ref="R420:R435" si="448">G420/AE420</f>
      </c>
      <c r="S420" s="661">
        <f t="shared" ref="S420:S435" si="204">D420/G420</f>
      </c>
      <c r="T420" s="578">
        <f t="shared" ref="T420:T435" si="263">H420/G420</f>
      </c>
      <c r="U420" s="661">
        <f t="shared" ref="U420:U435" si="86">D420/Y420</f>
      </c>
      <c r="V420" s="672">
        <f t="shared" ref="V420:V435" si="145">AF420*1000/D420</f>
      </c>
      <c r="W420" s="569" t="s">
        <v>335</v>
      </c>
      <c r="X420" s="622" t="s">
        <v>364</v>
      </c>
      <c r="Y420" s="635">
        <v>0</v>
      </c>
      <c r="Z420" s="656">
        <v>7365</v>
      </c>
      <c r="AA420" s="657">
        <v>275</v>
      </c>
      <c r="AB420" s="624">
        <v>395</v>
      </c>
      <c r="AC420" s="625">
        <v>69</v>
      </c>
      <c r="AD420" s="571">
        <v>19</v>
      </c>
      <c r="AE420" s="625">
        <v>3</v>
      </c>
      <c r="AF420" s="571">
        <v>13</v>
      </c>
      <c r="AG420" s="571">
        <v>1</v>
      </c>
      <c r="AI420" s="542"/>
      <c r="AJ420" s="542"/>
      <c r="AK420" s="542"/>
    </row>
    <row r="421">
      <c r="A421" s="557"/>
      <c r="B421" s="584" t="s">
        <v>337</v>
      </c>
      <c r="C421" s="560" t="s">
        <v>347</v>
      </c>
      <c r="D421" s="620">
        <f t="shared" si="338"/>
      </c>
      <c r="E421" s="626">
        <v>1639.26</v>
      </c>
      <c r="F421" s="559">
        <v>529</v>
      </c>
      <c r="G421" s="561">
        <v>2</v>
      </c>
      <c r="H421" s="631">
        <v>3216</v>
      </c>
      <c r="I421" s="658">
        <f t="shared" si="420"/>
      </c>
      <c r="J421" s="562">
        <f t="shared" si="176"/>
      </c>
      <c r="K421" s="671">
        <f t="shared" si="235"/>
      </c>
      <c r="L421" s="667">
        <f t="shared" si="24"/>
      </c>
      <c r="M421" s="661">
        <f t="shared" si="117"/>
      </c>
      <c r="N421" s="675">
        <f t="shared" si="52"/>
      </c>
      <c r="O421" s="667">
        <f t="shared" si="482"/>
      </c>
      <c r="P421" s="661">
        <f t="shared" si="516"/>
      </c>
      <c r="Q421" s="667">
        <f t="shared" si="383"/>
      </c>
      <c r="R421" s="676">
        <f t="shared" si="448"/>
      </c>
      <c r="S421" s="661">
        <f t="shared" si="204"/>
      </c>
      <c r="T421" s="578">
        <f t="shared" si="263"/>
      </c>
      <c r="U421" s="661">
        <f t="shared" si="86"/>
      </c>
      <c r="V421" s="673">
        <f t="shared" si="145"/>
      </c>
      <c r="W421" s="581" t="s">
        <v>335</v>
      </c>
      <c r="X421" s="622" t="s">
        <v>364</v>
      </c>
      <c r="Y421" s="624">
        <v>1</v>
      </c>
      <c r="Z421" s="656">
        <v>5453</v>
      </c>
      <c r="AA421" s="572">
        <v>246</v>
      </c>
      <c r="AB421" s="662">
        <v>374</v>
      </c>
      <c r="AC421" s="572">
        <v>48</v>
      </c>
      <c r="AD421" s="572">
        <v>11</v>
      </c>
      <c r="AE421" s="628">
        <v>3</v>
      </c>
      <c r="AF421" s="583">
        <v>7</v>
      </c>
      <c r="AG421" s="571">
        <v>1</v>
      </c>
      <c r="AI421" s="542"/>
      <c r="AJ421" s="542"/>
      <c r="AK421" s="542"/>
    </row>
    <row r="422">
      <c r="A422" s="557"/>
      <c r="B422" s="584" t="s">
        <v>338</v>
      </c>
      <c r="C422" s="560" t="s">
        <v>347</v>
      </c>
      <c r="D422" s="620">
        <f t="shared" si="338"/>
      </c>
      <c r="E422" s="559">
        <v>1309.31</v>
      </c>
      <c r="F422" s="559">
        <v>456.57</v>
      </c>
      <c r="G422" s="561">
        <v>0</v>
      </c>
      <c r="H422" s="631">
        <v>0</v>
      </c>
      <c r="I422" s="658">
        <f t="shared" si="420"/>
      </c>
      <c r="J422" s="562">
        <f t="shared" si="176"/>
      </c>
      <c r="K422" s="671">
        <f t="shared" si="235"/>
      </c>
      <c r="L422" s="667">
        <f t="shared" si="24"/>
      </c>
      <c r="M422" s="661">
        <f t="shared" si="117"/>
      </c>
      <c r="N422" s="667">
        <f t="shared" si="52"/>
      </c>
      <c r="O422" s="677">
        <f t="shared" si="482"/>
      </c>
      <c r="P422" s="678">
        <f t="shared" si="516"/>
      </c>
      <c r="Q422" s="677">
        <f t="shared" si="383"/>
      </c>
      <c r="R422" s="667">
        <f t="shared" si="448"/>
      </c>
      <c r="S422" s="661">
        <f t="shared" si="204"/>
      </c>
      <c r="T422" s="578">
        <f t="shared" si="263"/>
      </c>
      <c r="U422" s="661">
        <f t="shared" si="86"/>
      </c>
      <c r="V422" s="673">
        <f t="shared" si="145"/>
      </c>
      <c r="W422" s="581" t="s">
        <v>335</v>
      </c>
      <c r="X422" s="622" t="s">
        <v>364</v>
      </c>
      <c r="Y422" s="662">
        <v>0</v>
      </c>
      <c r="Z422" s="572">
        <v>4346</v>
      </c>
      <c r="AA422" s="572">
        <v>218</v>
      </c>
      <c r="AB422" s="572">
        <v>343</v>
      </c>
      <c r="AC422" s="572">
        <v>42</v>
      </c>
      <c r="AD422" s="572">
        <v>20</v>
      </c>
      <c r="AE422" s="628">
        <v>3</v>
      </c>
      <c r="AF422" s="583">
        <v>9</v>
      </c>
      <c r="AG422" s="571">
        <v>1</v>
      </c>
      <c r="AI422" s="542"/>
      <c r="AJ422" s="542"/>
      <c r="AK422" s="542"/>
    </row>
    <row r="423">
      <c r="A423" s="557"/>
      <c r="B423" s="584" t="s">
        <v>339</v>
      </c>
      <c r="C423" s="560" t="s">
        <v>347</v>
      </c>
      <c r="D423" s="620">
        <f t="shared" si="338"/>
      </c>
      <c r="E423" s="559">
        <v>2356.84</v>
      </c>
      <c r="F423" s="559">
        <v>353.72</v>
      </c>
      <c r="G423" s="561">
        <v>2</v>
      </c>
      <c r="H423" s="641">
        <v>4536</v>
      </c>
      <c r="I423" s="658">
        <f t="shared" si="420"/>
      </c>
      <c r="J423" s="562">
        <f t="shared" si="176"/>
      </c>
      <c r="K423" s="671">
        <f t="shared" si="235"/>
      </c>
      <c r="L423" s="667">
        <f t="shared" si="24"/>
      </c>
      <c r="M423" s="661">
        <f t="shared" si="117"/>
      </c>
      <c r="N423" s="667">
        <f t="shared" si="52"/>
      </c>
      <c r="O423" s="667">
        <f t="shared" si="482"/>
      </c>
      <c r="P423" s="661">
        <f t="shared" si="516"/>
      </c>
      <c r="Q423" s="667">
        <f t="shared" si="383"/>
      </c>
      <c r="R423" s="667">
        <f t="shared" si="448"/>
      </c>
      <c r="S423" s="661">
        <f t="shared" si="204"/>
      </c>
      <c r="T423" s="578">
        <f t="shared" si="263"/>
      </c>
      <c r="U423" s="661">
        <f t="shared" si="86"/>
      </c>
      <c r="V423" s="673">
        <f t="shared" si="145"/>
      </c>
      <c r="W423" s="581" t="s">
        <v>335</v>
      </c>
      <c r="X423" s="622" t="s">
        <v>364</v>
      </c>
      <c r="Y423" s="572">
        <v>2</v>
      </c>
      <c r="Z423" s="572">
        <v>6160</v>
      </c>
      <c r="AA423" s="572">
        <v>280</v>
      </c>
      <c r="AB423" s="572">
        <v>426</v>
      </c>
      <c r="AC423" s="572">
        <v>73</v>
      </c>
      <c r="AD423" s="572">
        <v>31</v>
      </c>
      <c r="AE423" s="628">
        <v>4</v>
      </c>
      <c r="AF423" s="583">
        <v>12</v>
      </c>
      <c r="AG423" s="571">
        <v>1</v>
      </c>
      <c r="AI423" s="542"/>
      <c r="AJ423" s="542"/>
      <c r="AK423" s="542"/>
    </row>
    <row r="424">
      <c r="A424" s="557"/>
      <c r="B424" s="586" t="s">
        <v>340</v>
      </c>
      <c r="C424" s="586"/>
      <c r="D424" s="587">
        <f>SUM(D420:D423)</f>
      </c>
      <c r="E424" s="587">
        <f>SUM(E420:E423)</f>
      </c>
      <c r="F424" s="587">
        <f>SUM(F420:F423)</f>
      </c>
      <c r="G424" s="587">
        <f>SUM(G420:G423)</f>
      </c>
      <c r="H424" s="587">
        <f>SUM(H420:H423)</f>
      </c>
      <c r="I424" s="663">
        <f t="shared" si="420"/>
      </c>
      <c r="J424" s="664">
        <f t="shared" si="176"/>
      </c>
      <c r="K424" s="645">
        <f t="shared" si="235"/>
      </c>
      <c r="L424" s="590">
        <f t="shared" si="24"/>
      </c>
      <c r="M424" s="591">
        <f t="shared" si="117"/>
      </c>
      <c r="N424" s="592">
        <f t="shared" si="52"/>
      </c>
      <c r="O424" s="592">
        <f t="shared" si="482"/>
      </c>
      <c r="P424" s="591">
        <f t="shared" si="516"/>
      </c>
      <c r="Q424" s="592">
        <f t="shared" si="383"/>
      </c>
      <c r="R424" s="592">
        <f t="shared" si="448"/>
      </c>
      <c r="S424" s="593">
        <f t="shared" si="204"/>
      </c>
      <c r="T424" s="594">
        <f t="shared" si="263"/>
      </c>
      <c r="U424" s="593">
        <f t="shared" si="86"/>
      </c>
      <c r="V424" s="595">
        <f t="shared" si="145"/>
      </c>
      <c r="W424" s="595"/>
      <c r="X424" s="595"/>
      <c r="Y424" s="587">
        <f>SUM(Y420:Y423)</f>
      </c>
      <c r="Z424" s="587">
        <f>SUM(Z420:Z423)</f>
      </c>
      <c r="AA424" s="587">
        <f>SUM(AA420:AA423)</f>
      </c>
      <c r="AB424" s="587">
        <f>SUM(AB420:AB423)</f>
      </c>
      <c r="AC424" s="587">
        <f>SUM(AC420:AC423)</f>
      </c>
      <c r="AD424" s="587">
        <f>SUM(AD420:AD423)</f>
      </c>
      <c r="AE424" s="587">
        <f>SUM(AE420:AE423)</f>
      </c>
      <c r="AF424" s="587">
        <f>SUM(AF420:AF423)</f>
      </c>
      <c r="AG424" s="587">
        <f>SUM(AG420:AG423)</f>
      </c>
      <c r="AI424" s="542"/>
      <c r="AJ424" s="542"/>
      <c r="AK424" s="542"/>
    </row>
    <row r="425">
      <c r="A425" s="557"/>
      <c r="B425" s="558" t="s">
        <v>341</v>
      </c>
      <c r="C425" s="560" t="s">
        <v>342</v>
      </c>
      <c r="D425" s="559">
        <f t="shared" ref="D425:D428" si="339">E425+F425</f>
      </c>
      <c r="E425" s="559">
        <v>2223.72</v>
      </c>
      <c r="F425" s="559">
        <v>431.85</v>
      </c>
      <c r="G425" s="561">
        <v>3</v>
      </c>
      <c r="H425" s="631">
        <v>5405</v>
      </c>
      <c r="I425" s="658">
        <f t="shared" si="420"/>
      </c>
      <c r="J425" s="659">
        <f t="shared" si="176"/>
      </c>
      <c r="K425" s="634">
        <f t="shared" si="235"/>
      </c>
      <c r="L425" s="596">
        <f t="shared" si="24"/>
      </c>
      <c r="M425" s="597">
        <f t="shared" si="117"/>
      </c>
      <c r="N425" s="598">
        <f t="shared" si="52"/>
      </c>
      <c r="O425" s="598">
        <f t="shared" si="482"/>
      </c>
      <c r="P425" s="597">
        <f t="shared" si="516"/>
      </c>
      <c r="Q425" s="598">
        <f t="shared" si="383"/>
      </c>
      <c r="R425" s="598">
        <f t="shared" si="448"/>
      </c>
      <c r="S425" s="599">
        <f t="shared" si="204"/>
      </c>
      <c r="T425" s="600">
        <f t="shared" si="263"/>
      </c>
      <c r="U425" s="599">
        <f t="shared" si="86"/>
      </c>
      <c r="V425" s="601">
        <f t="shared" si="145"/>
      </c>
      <c r="W425" s="602" t="s">
        <v>335</v>
      </c>
      <c r="X425" s="570" t="s">
        <v>364</v>
      </c>
      <c r="Y425" s="603">
        <v>3</v>
      </c>
      <c r="Z425" s="603">
        <v>7246</v>
      </c>
      <c r="AA425" s="603">
        <v>276</v>
      </c>
      <c r="AB425" s="603">
        <v>415</v>
      </c>
      <c r="AC425" s="603">
        <v>49</v>
      </c>
      <c r="AD425" s="603">
        <v>27</v>
      </c>
      <c r="AE425" s="604">
        <v>9</v>
      </c>
      <c r="AF425" s="604">
        <v>9</v>
      </c>
      <c r="AG425" s="604">
        <v>1</v>
      </c>
      <c r="AI425" s="542"/>
      <c r="AJ425" s="542"/>
      <c r="AK425" s="542"/>
    </row>
    <row r="426">
      <c r="A426" s="557"/>
      <c r="B426" s="584" t="s">
        <v>343</v>
      </c>
      <c r="C426" s="560" t="s">
        <v>342</v>
      </c>
      <c r="D426" s="559">
        <f t="shared" si="339"/>
      </c>
      <c r="E426" s="559">
        <v>3146.81</v>
      </c>
      <c r="F426" s="559">
        <v>553.83</v>
      </c>
      <c r="G426" s="573">
        <v>5</v>
      </c>
      <c r="H426" s="641">
        <v>11340</v>
      </c>
      <c r="I426" s="658">
        <f t="shared" si="420"/>
      </c>
      <c r="J426" s="659">
        <f t="shared" si="176"/>
      </c>
      <c r="K426" s="634">
        <f t="shared" si="235"/>
      </c>
      <c r="L426" s="596">
        <f t="shared" si="24"/>
      </c>
      <c r="M426" s="597">
        <f t="shared" si="117"/>
      </c>
      <c r="N426" s="598">
        <f t="shared" si="52"/>
      </c>
      <c r="O426" s="598">
        <f t="shared" si="482"/>
      </c>
      <c r="P426" s="597">
        <f t="shared" si="516"/>
      </c>
      <c r="Q426" s="598">
        <f t="shared" si="383"/>
      </c>
      <c r="R426" s="598">
        <f t="shared" si="448"/>
      </c>
      <c r="S426" s="599">
        <f t="shared" si="204"/>
      </c>
      <c r="T426" s="600">
        <f t="shared" si="263"/>
      </c>
      <c r="U426" s="599">
        <f t="shared" si="86"/>
      </c>
      <c r="V426" s="601">
        <f t="shared" si="145"/>
      </c>
      <c r="W426" s="602" t="s">
        <v>335</v>
      </c>
      <c r="X426" s="570" t="s">
        <v>364</v>
      </c>
      <c r="Y426" s="603">
        <v>4</v>
      </c>
      <c r="Z426" s="603">
        <v>10705</v>
      </c>
      <c r="AA426" s="603">
        <v>404</v>
      </c>
      <c r="AB426" s="603">
        <v>573</v>
      </c>
      <c r="AC426" s="603">
        <v>98</v>
      </c>
      <c r="AD426" s="603">
        <v>36</v>
      </c>
      <c r="AE426" s="604">
        <v>10</v>
      </c>
      <c r="AF426" s="604">
        <v>17</v>
      </c>
      <c r="AG426" s="604">
        <v>1</v>
      </c>
      <c r="AI426" s="542"/>
      <c r="AJ426" s="542"/>
      <c r="AK426" s="542"/>
    </row>
    <row r="427">
      <c r="A427" s="557"/>
      <c r="B427" s="584" t="s">
        <v>344</v>
      </c>
      <c r="C427" s="560" t="s">
        <v>342</v>
      </c>
      <c r="D427" s="559">
        <f t="shared" si="339"/>
      </c>
      <c r="E427" s="559">
        <v>2858.24</v>
      </c>
      <c r="F427" s="559">
        <v>258.95</v>
      </c>
      <c r="G427" s="561">
        <v>1</v>
      </c>
      <c r="H427" s="631">
        <v>2268</v>
      </c>
      <c r="I427" s="658">
        <f t="shared" si="420"/>
      </c>
      <c r="J427" s="659">
        <f t="shared" si="176"/>
      </c>
      <c r="K427" s="634">
        <f t="shared" si="235"/>
      </c>
      <c r="L427" s="596">
        <f t="shared" si="24"/>
      </c>
      <c r="M427" s="597">
        <f t="shared" si="117"/>
      </c>
      <c r="N427" s="598">
        <f t="shared" si="52"/>
      </c>
      <c r="O427" s="598">
        <f t="shared" si="482"/>
      </c>
      <c r="P427" s="597">
        <f t="shared" si="516"/>
      </c>
      <c r="Q427" s="598">
        <f t="shared" si="383"/>
      </c>
      <c r="R427" s="598">
        <f t="shared" si="448"/>
      </c>
      <c r="S427" s="599">
        <f t="shared" si="204"/>
      </c>
      <c r="T427" s="600">
        <f t="shared" si="263"/>
      </c>
      <c r="U427" s="599">
        <f t="shared" si="86"/>
      </c>
      <c r="V427" s="601">
        <f t="shared" si="145"/>
      </c>
      <c r="W427" s="602" t="s">
        <v>335</v>
      </c>
      <c r="X427" s="570" t="s">
        <v>364</v>
      </c>
      <c r="Y427" s="603">
        <v>1</v>
      </c>
      <c r="Z427" s="603">
        <v>8889</v>
      </c>
      <c r="AA427" s="603">
        <v>325</v>
      </c>
      <c r="AB427" s="603">
        <v>491</v>
      </c>
      <c r="AC427" s="603">
        <v>74</v>
      </c>
      <c r="AD427" s="603">
        <v>32</v>
      </c>
      <c r="AE427" s="604">
        <v>6</v>
      </c>
      <c r="AF427" s="604">
        <v>12</v>
      </c>
      <c r="AG427" s="604">
        <v>1</v>
      </c>
      <c r="AI427" s="542"/>
      <c r="AJ427" s="542"/>
      <c r="AK427" s="542"/>
    </row>
    <row r="428">
      <c r="A428" s="557"/>
      <c r="B428" s="584" t="s">
        <v>345</v>
      </c>
      <c r="C428" s="560" t="s">
        <v>342</v>
      </c>
      <c r="D428" s="559">
        <f t="shared" si="339"/>
      </c>
      <c r="E428" s="559">
        <v>2424.46</v>
      </c>
      <c r="F428" s="559">
        <v>356.8</v>
      </c>
      <c r="G428" s="573">
        <v>2</v>
      </c>
      <c r="H428" s="641">
        <v>4348</v>
      </c>
      <c r="I428" s="658">
        <f t="shared" si="420"/>
      </c>
      <c r="J428" s="659">
        <f t="shared" si="176"/>
      </c>
      <c r="K428" s="646">
        <f t="shared" si="235"/>
      </c>
      <c r="L428" s="596">
        <f t="shared" si="24"/>
      </c>
      <c r="M428" s="597">
        <f t="shared" si="117"/>
      </c>
      <c r="N428" s="598">
        <f t="shared" si="52"/>
      </c>
      <c r="O428" s="598">
        <f t="shared" si="482"/>
      </c>
      <c r="P428" s="597">
        <f t="shared" si="516"/>
      </c>
      <c r="Q428" s="598">
        <f t="shared" si="383"/>
      </c>
      <c r="R428" s="598">
        <f t="shared" si="448"/>
      </c>
      <c r="S428" s="599">
        <f t="shared" si="204"/>
      </c>
      <c r="T428" s="600">
        <f t="shared" si="263"/>
      </c>
      <c r="U428" s="599">
        <f t="shared" si="86"/>
      </c>
      <c r="V428" s="601">
        <f t="shared" si="145"/>
      </c>
      <c r="W428" s="602" t="s">
        <v>335</v>
      </c>
      <c r="X428" s="570" t="s">
        <v>364</v>
      </c>
      <c r="Y428" s="603">
        <v>2</v>
      </c>
      <c r="Z428" s="604">
        <v>7978</v>
      </c>
      <c r="AA428" s="604">
        <v>297</v>
      </c>
      <c r="AB428" s="604">
        <v>426</v>
      </c>
      <c r="AC428" s="604">
        <v>65</v>
      </c>
      <c r="AD428" s="603">
        <v>26</v>
      </c>
      <c r="AE428" s="604">
        <v>4</v>
      </c>
      <c r="AF428" s="604">
        <v>13</v>
      </c>
      <c r="AG428" s="604">
        <v>1</v>
      </c>
      <c r="AI428" s="542"/>
      <c r="AJ428" s="542"/>
      <c r="AK428" s="542"/>
    </row>
    <row r="429">
      <c r="A429" s="557"/>
      <c r="B429" s="586" t="s">
        <v>340</v>
      </c>
      <c r="C429" s="586"/>
      <c r="D429" s="587">
        <f>SUM(D425:D428)</f>
      </c>
      <c r="E429" s="587">
        <f>SUM(E425:E428)</f>
      </c>
      <c r="F429" s="587">
        <f>SUM(F425:F428)</f>
      </c>
      <c r="G429" s="587">
        <f>SUM(G425:G428)</f>
      </c>
      <c r="H429" s="587">
        <f>SUM(H425:H428)</f>
      </c>
      <c r="I429" s="663">
        <f t="shared" si="420"/>
      </c>
      <c r="J429" s="664">
        <f t="shared" si="176"/>
      </c>
      <c r="K429" s="647">
        <f t="shared" si="235"/>
      </c>
      <c r="L429" s="590">
        <f t="shared" si="24"/>
      </c>
      <c r="M429" s="591">
        <f t="shared" si="117"/>
      </c>
      <c r="N429" s="592">
        <f t="shared" si="52"/>
      </c>
      <c r="O429" s="592">
        <f t="shared" si="482"/>
      </c>
      <c r="P429" s="591">
        <f t="shared" si="516"/>
      </c>
      <c r="Q429" s="592">
        <f t="shared" si="383"/>
      </c>
      <c r="R429" s="592">
        <f t="shared" si="448"/>
      </c>
      <c r="S429" s="593">
        <f t="shared" si="204"/>
      </c>
      <c r="T429" s="594">
        <f t="shared" si="263"/>
      </c>
      <c r="U429" s="593">
        <f t="shared" si="86"/>
      </c>
      <c r="V429" s="595">
        <f t="shared" si="145"/>
      </c>
      <c r="W429" s="595"/>
      <c r="X429" s="595"/>
      <c r="Y429" s="587">
        <f>SUM(Y425:Y428)</f>
      </c>
      <c r="Z429" s="587">
        <f>SUM(Z425:Z428)</f>
      </c>
      <c r="AA429" s="587">
        <f>SUM(AA425:AA428)</f>
      </c>
      <c r="AB429" s="587">
        <f>SUM(AB425:AB428)</f>
      </c>
      <c r="AC429" s="587">
        <f>SUM(AC425:AC428)</f>
      </c>
      <c r="AD429" s="587">
        <f>SUM(AD425:AD428)</f>
      </c>
      <c r="AE429" s="587">
        <f>SUM(AE425:AE428)</f>
      </c>
      <c r="AF429" s="587">
        <f>SUM(AF425:AF428)</f>
      </c>
      <c r="AG429" s="587">
        <f>SUM(AG425:AG428)</f>
      </c>
      <c r="AI429" s="542"/>
      <c r="AJ429" s="542"/>
      <c r="AK429" s="542"/>
    </row>
    <row r="430">
      <c r="A430" s="557"/>
      <c r="B430" s="584" t="s">
        <v>346</v>
      </c>
      <c r="C430" s="560" t="s">
        <v>383</v>
      </c>
      <c r="D430" s="559">
        <f t="shared" ref="D430:D433" si="340">E430+F430</f>
      </c>
      <c r="E430" s="559">
        <v>2901.68</v>
      </c>
      <c r="F430" s="559">
        <v>357.66</v>
      </c>
      <c r="G430" s="561">
        <v>2</v>
      </c>
      <c r="H430" s="631">
        <v>3216</v>
      </c>
      <c r="I430" s="658">
        <f t="shared" si="420"/>
      </c>
      <c r="J430" s="659">
        <f t="shared" si="176"/>
      </c>
      <c r="K430" s="634">
        <f t="shared" si="235"/>
      </c>
      <c r="L430" s="596">
        <f t="shared" si="24"/>
      </c>
      <c r="M430" s="597">
        <f t="shared" si="117"/>
      </c>
      <c r="N430" s="598">
        <f t="shared" si="52"/>
      </c>
      <c r="O430" s="598">
        <f t="shared" si="482"/>
      </c>
      <c r="P430" s="597">
        <f t="shared" si="516"/>
      </c>
      <c r="Q430" s="598">
        <f t="shared" si="383"/>
      </c>
      <c r="R430" s="598">
        <f t="shared" si="448"/>
      </c>
      <c r="S430" s="599">
        <f t="shared" si="204"/>
      </c>
      <c r="T430" s="600">
        <f t="shared" si="263"/>
      </c>
      <c r="U430" s="599">
        <f t="shared" si="86"/>
      </c>
      <c r="V430" s="601">
        <f t="shared" si="145"/>
      </c>
      <c r="W430" s="602" t="s">
        <v>335</v>
      </c>
      <c r="X430" s="570" t="s">
        <v>356</v>
      </c>
      <c r="Y430" s="603">
        <v>2</v>
      </c>
      <c r="Z430" s="603">
        <v>9689</v>
      </c>
      <c r="AA430" s="603">
        <v>311</v>
      </c>
      <c r="AB430" s="603">
        <v>404</v>
      </c>
      <c r="AC430" s="603">
        <v>76</v>
      </c>
      <c r="AD430" s="603">
        <v>39</v>
      </c>
      <c r="AE430" s="604">
        <v>4</v>
      </c>
      <c r="AF430" s="604">
        <v>20</v>
      </c>
      <c r="AG430" s="604">
        <v>1</v>
      </c>
      <c r="AI430" s="542"/>
      <c r="AJ430" s="542"/>
      <c r="AK430" s="542"/>
    </row>
    <row customHeight="true" ht="18.452380952380953" r="431">
      <c r="A431" s="557"/>
      <c r="B431" s="584" t="s">
        <v>349</v>
      </c>
      <c r="C431" s="560" t="s">
        <v>383</v>
      </c>
      <c r="D431" s="559">
        <f t="shared" si="340"/>
      </c>
      <c r="E431" s="559">
        <v>1855.17</v>
      </c>
      <c r="F431" s="559">
        <v>138.39</v>
      </c>
      <c r="G431" s="573">
        <v>2</v>
      </c>
      <c r="H431" s="641">
        <v>3216</v>
      </c>
      <c r="I431" s="658">
        <f t="shared" si="420"/>
      </c>
      <c r="J431" s="659">
        <f t="shared" si="176"/>
      </c>
      <c r="K431" s="634">
        <f t="shared" si="235"/>
      </c>
      <c r="L431" s="596">
        <f t="shared" si="24"/>
      </c>
      <c r="M431" s="597">
        <f t="shared" si="117"/>
      </c>
      <c r="N431" s="598">
        <f t="shared" si="52"/>
      </c>
      <c r="O431" s="598">
        <f t="shared" si="482"/>
      </c>
      <c r="P431" s="597">
        <f t="shared" si="516"/>
      </c>
      <c r="Q431" s="598">
        <f t="shared" si="383"/>
      </c>
      <c r="R431" s="598">
        <f t="shared" si="448"/>
      </c>
      <c r="S431" s="599">
        <f t="shared" si="204"/>
      </c>
      <c r="T431" s="600">
        <f t="shared" si="263"/>
      </c>
      <c r="U431" s="599">
        <f t="shared" si="86"/>
      </c>
      <c r="V431" s="601">
        <f t="shared" si="145"/>
      </c>
      <c r="W431" s="602" t="s">
        <v>335</v>
      </c>
      <c r="X431" s="570" t="s">
        <v>356</v>
      </c>
      <c r="Y431" s="603">
        <v>2</v>
      </c>
      <c r="Z431" s="604">
        <v>6497</v>
      </c>
      <c r="AA431" s="604">
        <v>198</v>
      </c>
      <c r="AB431" s="604">
        <v>291</v>
      </c>
      <c r="AC431" s="604">
        <v>39</v>
      </c>
      <c r="AD431" s="603">
        <v>14</v>
      </c>
      <c r="AE431" s="604">
        <v>2</v>
      </c>
      <c r="AF431" s="604">
        <v>10</v>
      </c>
      <c r="AG431" s="604">
        <v>1</v>
      </c>
      <c r="AI431" s="542"/>
      <c r="AJ431" s="542"/>
      <c r="AK431" s="542"/>
    </row>
    <row customHeight="true" ht="18.452380952380953" r="432">
      <c r="A432" s="557"/>
      <c r="B432" s="558" t="s">
        <v>350</v>
      </c>
      <c r="C432" s="560" t="s">
        <v>383</v>
      </c>
      <c r="D432" s="559">
        <f t="shared" si="340"/>
      </c>
      <c r="E432" s="559">
        <v>2866.4</v>
      </c>
      <c r="F432" s="559">
        <v>551.38</v>
      </c>
      <c r="G432" s="573">
        <v>3</v>
      </c>
      <c r="H432" s="641">
        <v>3684</v>
      </c>
      <c r="I432" s="658">
        <f t="shared" si="420"/>
      </c>
      <c r="J432" s="659">
        <f t="shared" si="176"/>
      </c>
      <c r="K432" s="634">
        <f t="shared" si="235"/>
      </c>
      <c r="L432" s="596">
        <f t="shared" si="24"/>
      </c>
      <c r="M432" s="597">
        <f t="shared" si="117"/>
      </c>
      <c r="N432" s="598">
        <f t="shared" si="52"/>
      </c>
      <c r="O432" s="598">
        <f t="shared" si="482"/>
      </c>
      <c r="P432" s="597">
        <f t="shared" si="516"/>
      </c>
      <c r="Q432" s="598">
        <f t="shared" si="383"/>
      </c>
      <c r="R432" s="598">
        <f t="shared" si="448"/>
      </c>
      <c r="S432" s="599">
        <f t="shared" si="204"/>
      </c>
      <c r="T432" s="600">
        <f t="shared" si="263"/>
      </c>
      <c r="U432" s="599">
        <f t="shared" si="86"/>
      </c>
      <c r="V432" s="601">
        <f t="shared" si="145"/>
      </c>
      <c r="W432" s="602" t="s">
        <v>335</v>
      </c>
      <c r="X432" s="570" t="s">
        <v>356</v>
      </c>
      <c r="Y432" s="603">
        <v>3</v>
      </c>
      <c r="Z432" s="604">
        <v>10308</v>
      </c>
      <c r="AA432" s="604">
        <v>335</v>
      </c>
      <c r="AB432" s="604">
        <v>481</v>
      </c>
      <c r="AC432" s="604">
        <v>80</v>
      </c>
      <c r="AD432" s="603">
        <v>26</v>
      </c>
      <c r="AE432" s="604">
        <v>6</v>
      </c>
      <c r="AF432" s="604">
        <v>20</v>
      </c>
      <c r="AG432" s="604">
        <v>1</v>
      </c>
      <c r="AI432" s="542"/>
      <c r="AJ432" s="542"/>
      <c r="AK432" s="542"/>
    </row>
    <row r="433">
      <c r="A433" s="557"/>
      <c r="B433" s="558" t="s">
        <v>351</v>
      </c>
      <c r="C433" s="560" t="s">
        <v>383</v>
      </c>
      <c r="D433" s="559">
        <f t="shared" si="340"/>
      </c>
      <c r="E433" s="559">
        <v>1862.05</v>
      </c>
      <c r="F433" s="559">
        <v>202.29</v>
      </c>
      <c r="G433" s="573">
        <v>1</v>
      </c>
      <c r="H433" s="641">
        <v>2268</v>
      </c>
      <c r="I433" s="658">
        <f t="shared" si="420"/>
      </c>
      <c r="J433" s="659">
        <f t="shared" si="176"/>
      </c>
      <c r="K433" s="646">
        <f t="shared" si="235"/>
      </c>
      <c r="L433" s="596">
        <f t="shared" si="24"/>
      </c>
      <c r="M433" s="597">
        <f t="shared" si="117"/>
      </c>
      <c r="N433" s="598">
        <f t="shared" si="52"/>
      </c>
      <c r="O433" s="598">
        <f t="shared" si="482"/>
      </c>
      <c r="P433" s="597">
        <f t="shared" si="516"/>
      </c>
      <c r="Q433" s="598">
        <f t="shared" si="383"/>
      </c>
      <c r="R433" s="598">
        <f t="shared" si="448"/>
      </c>
      <c r="S433" s="599">
        <f t="shared" si="204"/>
      </c>
      <c r="T433" s="600">
        <f t="shared" si="263"/>
      </c>
      <c r="U433" s="599">
        <f t="shared" si="86"/>
      </c>
      <c r="V433" s="601">
        <f t="shared" si="145"/>
      </c>
      <c r="W433" s="602" t="s">
        <v>335</v>
      </c>
      <c r="X433" s="570" t="s">
        <v>356</v>
      </c>
      <c r="Y433" s="603">
        <v>1</v>
      </c>
      <c r="Z433" s="604">
        <v>6253</v>
      </c>
      <c r="AA433" s="604">
        <v>221</v>
      </c>
      <c r="AB433" s="604">
        <v>313</v>
      </c>
      <c r="AC433" s="604">
        <v>50</v>
      </c>
      <c r="AD433" s="603">
        <v>13</v>
      </c>
      <c r="AE433" s="604">
        <v>2</v>
      </c>
      <c r="AF433" s="604">
        <v>11</v>
      </c>
      <c r="AG433" s="604">
        <v>1</v>
      </c>
      <c r="AI433" s="542"/>
      <c r="AJ433" s="542"/>
      <c r="AK433" s="542"/>
    </row>
    <row r="434">
      <c r="A434" s="557"/>
      <c r="B434" s="586" t="s">
        <v>340</v>
      </c>
      <c r="C434" s="586"/>
      <c r="D434" s="587">
        <f>SUM(D430:D433)</f>
      </c>
      <c r="E434" s="587">
        <f>SUM(E430:E433)</f>
      </c>
      <c r="F434" s="587">
        <f>SUM(F430:F433)</f>
      </c>
      <c r="G434" s="587">
        <f>SUM(G430:G433)</f>
      </c>
      <c r="H434" s="587">
        <f>SUM(H430:H433)</f>
      </c>
      <c r="I434" s="663">
        <f t="shared" si="420"/>
      </c>
      <c r="J434" s="664">
        <f t="shared" si="176"/>
      </c>
      <c r="K434" s="647">
        <f t="shared" si="235"/>
      </c>
      <c r="L434" s="590">
        <f t="shared" si="24"/>
      </c>
      <c r="M434" s="591">
        <f t="shared" si="117"/>
      </c>
      <c r="N434" s="592">
        <f t="shared" si="52"/>
      </c>
      <c r="O434" s="592">
        <f t="shared" si="482"/>
      </c>
      <c r="P434" s="591">
        <f t="shared" si="516"/>
      </c>
      <c r="Q434" s="592">
        <f t="shared" si="383"/>
      </c>
      <c r="R434" s="592">
        <f t="shared" si="448"/>
      </c>
      <c r="S434" s="593">
        <f t="shared" si="204"/>
      </c>
      <c r="T434" s="594">
        <f t="shared" si="263"/>
      </c>
      <c r="U434" s="593">
        <f t="shared" si="86"/>
      </c>
      <c r="V434" s="595">
        <f t="shared" si="145"/>
      </c>
      <c r="W434" s="595"/>
      <c r="X434" s="595"/>
      <c r="Y434" s="587">
        <f>SUM(Y430:Y433)</f>
      </c>
      <c r="Z434" s="587">
        <f>SUM(Z430:Z433)</f>
      </c>
      <c r="AA434" s="587">
        <f>SUM(AA430:AA433)</f>
      </c>
      <c r="AB434" s="587">
        <f>SUM(AB430:AB433)</f>
      </c>
      <c r="AC434" s="587">
        <f>SUM(AC430:AC433)</f>
      </c>
      <c r="AD434" s="587">
        <f>SUM(AD430:AD433)</f>
      </c>
      <c r="AE434" s="587">
        <f>SUM(AE430:AE433)</f>
      </c>
      <c r="AF434" s="587">
        <f>SUM(AF430:AF433)</f>
      </c>
      <c r="AG434" s="587">
        <f>SUM(AG430:AG433)</f>
      </c>
      <c r="AI434" s="542"/>
      <c r="AJ434" s="542"/>
      <c r="AK434" s="542"/>
    </row>
    <row r="435">
      <c r="A435" s="557"/>
      <c r="B435" s="607" t="s">
        <v>352</v>
      </c>
      <c r="C435" s="607"/>
      <c r="D435" s="607">
        <f>D424+D429+D434</f>
      </c>
      <c r="E435" s="607">
        <f>E424+E429+E434</f>
      </c>
      <c r="F435" s="607">
        <f>F424+F429+F434</f>
      </c>
      <c r="G435" s="607">
        <f>G424+G429+G434</f>
      </c>
      <c r="H435" s="607">
        <f>H424+H429+H434</f>
      </c>
      <c r="I435" s="608">
        <f t="shared" si="420"/>
      </c>
      <c r="J435" s="608">
        <f t="shared" si="176"/>
      </c>
      <c r="K435" s="651">
        <f t="shared" si="235"/>
      </c>
      <c r="L435" s="610">
        <f t="shared" si="24"/>
      </c>
      <c r="M435" s="611">
        <f t="shared" si="117"/>
      </c>
      <c r="N435" s="612">
        <f t="shared" si="52"/>
      </c>
      <c r="O435" s="612">
        <f t="shared" si="482"/>
      </c>
      <c r="P435" s="611">
        <f t="shared" si="516"/>
      </c>
      <c r="Q435" s="612">
        <f t="shared" si="383"/>
      </c>
      <c r="R435" s="612">
        <f t="shared" si="448"/>
      </c>
      <c r="S435" s="611">
        <f t="shared" si="204"/>
      </c>
      <c r="T435" s="613">
        <f t="shared" si="263"/>
      </c>
      <c r="U435" s="611">
        <f t="shared" si="86"/>
      </c>
      <c r="V435" s="609">
        <f t="shared" si="145"/>
      </c>
      <c r="W435" s="609"/>
      <c r="X435" s="609"/>
      <c r="Y435" s="607">
        <f>Y424+Y429+Y434</f>
      </c>
      <c r="Z435" s="607">
        <f>Z424+Z429+Z434</f>
      </c>
      <c r="AA435" s="607">
        <f>AA424+AA429+AA434</f>
      </c>
      <c r="AB435" s="607">
        <f>AB424+AB429+AB434</f>
      </c>
      <c r="AC435" s="607">
        <f>AC424+AC429+AC434</f>
      </c>
      <c r="AD435" s="607">
        <f>AD424+AD429+AD434</f>
      </c>
      <c r="AE435" s="607">
        <f>AE424+AE429+AE434</f>
      </c>
      <c r="AF435" s="607">
        <f>AF424+AF429+AF434</f>
      </c>
      <c r="AG435" s="607">
        <f>AG424+AG429+AG434</f>
      </c>
      <c r="AI435" s="542"/>
      <c r="AJ435" s="542"/>
      <c r="AK435" s="542"/>
    </row>
    <row r="436">
      <c r="A436" s="538" t="s">
        <v>295</v>
      </c>
      <c r="B436" s="538"/>
      <c r="C436" s="538"/>
      <c r="D436" s="614" t="s">
        <v>296</v>
      </c>
      <c r="E436" s="614"/>
      <c r="F436" s="614"/>
      <c r="G436" s="614"/>
      <c r="H436" s="614"/>
      <c r="I436" s="614"/>
      <c r="J436" s="614"/>
      <c r="K436" s="540" t="s">
        <v>297</v>
      </c>
      <c r="L436" s="540"/>
      <c r="M436" s="540"/>
      <c r="N436" s="540"/>
      <c r="O436" s="540"/>
      <c r="P436" s="540"/>
      <c r="Q436" s="540"/>
      <c r="R436" s="540"/>
      <c r="S436" s="540"/>
      <c r="T436" s="540"/>
      <c r="U436" s="540"/>
      <c r="V436" s="540"/>
      <c r="W436" s="540"/>
      <c r="X436" s="540"/>
      <c r="Y436" s="541" t="s">
        <v>298</v>
      </c>
      <c r="Z436" s="541"/>
      <c r="AA436" s="541"/>
      <c r="AB436" s="541"/>
      <c r="AC436" s="541"/>
      <c r="AD436" s="541"/>
      <c r="AE436" s="541"/>
      <c r="AF436" s="541"/>
      <c r="AG436" s="541"/>
      <c r="AI436" s="542"/>
      <c r="AJ436" s="542"/>
      <c r="AK436" s="542"/>
    </row>
    <row r="437">
      <c r="A437" s="543" t="s">
        <v>299</v>
      </c>
      <c r="B437" s="544" t="s">
        <v>300</v>
      </c>
      <c r="C437" s="544" t="s">
        <v>301</v>
      </c>
      <c r="D437" s="545" t="s">
        <v>302</v>
      </c>
      <c r="E437" s="546" t="s">
        <v>303</v>
      </c>
      <c r="F437" s="546" t="s">
        <v>304</v>
      </c>
      <c r="G437" s="547" t="s">
        <v>305</v>
      </c>
      <c r="H437" s="548" t="s">
        <v>306</v>
      </c>
      <c r="I437" s="630" t="s">
        <v>307</v>
      </c>
      <c r="J437" s="630" t="s">
        <v>308</v>
      </c>
      <c r="K437" s="551" t="s">
        <v>309</v>
      </c>
      <c r="L437" s="551" t="s">
        <v>310</v>
      </c>
      <c r="M437" s="551" t="s">
        <v>311</v>
      </c>
      <c r="N437" s="669" t="s">
        <v>312</v>
      </c>
      <c r="O437" s="669" t="s">
        <v>313</v>
      </c>
      <c r="P437" s="551" t="s">
        <v>314</v>
      </c>
      <c r="Q437" s="669" t="s">
        <v>315</v>
      </c>
      <c r="R437" s="669" t="s">
        <v>316</v>
      </c>
      <c r="S437" s="551" t="s">
        <v>317</v>
      </c>
      <c r="T437" s="669" t="s">
        <v>318</v>
      </c>
      <c r="U437" s="551" t="s">
        <v>319</v>
      </c>
      <c r="V437" s="553" t="s">
        <v>320</v>
      </c>
      <c r="W437" s="553" t="s">
        <v>321</v>
      </c>
      <c r="X437" s="553" t="s">
        <v>322</v>
      </c>
      <c r="Y437" s="618" t="s">
        <v>323</v>
      </c>
      <c r="Z437" s="619" t="s">
        <v>324</v>
      </c>
      <c r="AA437" s="619" t="s">
        <v>325</v>
      </c>
      <c r="AB437" s="619" t="s">
        <v>326</v>
      </c>
      <c r="AC437" s="619" t="s">
        <v>327</v>
      </c>
      <c r="AD437" s="619" t="s">
        <v>328</v>
      </c>
      <c r="AE437" s="555" t="s">
        <v>329</v>
      </c>
      <c r="AF437" s="555" t="s">
        <v>330</v>
      </c>
      <c r="AG437" s="555" t="s">
        <v>331</v>
      </c>
      <c r="AI437" s="542"/>
      <c r="AJ437" s="542"/>
      <c r="AK437" s="542"/>
    </row>
    <row r="438">
      <c r="A438" s="557" t="s">
        <v>384</v>
      </c>
      <c r="B438" s="584" t="s">
        <v>333</v>
      </c>
      <c r="C438" s="560" t="s">
        <v>347</v>
      </c>
      <c r="D438" s="620">
        <f t="shared" ref="D438:D441" si="341">E438+F438</f>
      </c>
      <c r="E438" s="621">
        <v>3196.32</v>
      </c>
      <c r="F438" s="584">
        <v>449.37</v>
      </c>
      <c r="G438" s="561">
        <v>4</v>
      </c>
      <c r="H438" s="631">
        <v>5112</v>
      </c>
      <c r="I438" s="652">
        <f t="shared" ref="I438:I453" si="421">H438/D438</f>
      </c>
      <c r="J438" s="670">
        <f t="shared" ref="J438:J453" si="177">H438/(D438+300*AG438)</f>
      </c>
      <c r="K438" s="671">
        <f t="shared" ref="K438:K453" si="236">(D438/Z438)*1000</f>
      </c>
      <c r="L438" s="667">
        <f t="shared" ref="L438:L453" si="25">AA438/Z438</f>
      </c>
      <c r="M438" s="661">
        <f t="shared" ref="M438:M453" si="118">D438/AB438</f>
      </c>
      <c r="N438" s="675">
        <f t="shared" ref="N438:N453" si="53">AC438/AB438</f>
      </c>
      <c r="O438" s="667">
        <f t="shared" ref="O438:O453" si="483">AD438/AB438</f>
      </c>
      <c r="P438" s="661">
        <f t="shared" ref="P438:P453" si="517">D438/AD438</f>
      </c>
      <c r="Q438" s="667">
        <f t="shared" ref="Q438:Q453" si="384">AE438/AD438</f>
      </c>
      <c r="R438" s="676">
        <f t="shared" ref="R438:R453" si="449">G438/AE438</f>
      </c>
      <c r="S438" s="661">
        <f t="shared" ref="S438:S453" si="205">D438/G438</f>
      </c>
      <c r="T438" s="578">
        <f t="shared" ref="T438:T453" si="264">H438/G438</f>
      </c>
      <c r="U438" s="661">
        <f t="shared" ref="U438:U453" si="87">D438/Y438</f>
      </c>
      <c r="V438" s="672">
        <f t="shared" ref="V438:V453" si="146">AF438*1000/D438</f>
      </c>
      <c r="W438" s="569" t="s">
        <v>335</v>
      </c>
      <c r="X438" s="622" t="s">
        <v>364</v>
      </c>
      <c r="Y438" s="635">
        <v>4</v>
      </c>
      <c r="Z438" s="656">
        <v>9597</v>
      </c>
      <c r="AA438" s="657">
        <v>365</v>
      </c>
      <c r="AB438" s="624">
        <v>545</v>
      </c>
      <c r="AC438" s="625">
        <v>89</v>
      </c>
      <c r="AD438" s="571">
        <v>43</v>
      </c>
      <c r="AE438" s="625">
        <v>8</v>
      </c>
      <c r="AF438" s="571">
        <v>22</v>
      </c>
      <c r="AG438" s="571">
        <v>1</v>
      </c>
      <c r="AI438" s="542"/>
      <c r="AJ438" s="542"/>
      <c r="AK438" s="542"/>
    </row>
    <row r="439">
      <c r="A439" s="557"/>
      <c r="B439" s="584" t="s">
        <v>337</v>
      </c>
      <c r="C439" s="560" t="s">
        <v>347</v>
      </c>
      <c r="D439" s="620">
        <f t="shared" si="341"/>
      </c>
      <c r="E439" s="626">
        <v>4379.52</v>
      </c>
      <c r="F439" s="559">
        <v>590.25</v>
      </c>
      <c r="G439" s="561">
        <v>3</v>
      </c>
      <c r="H439" s="631">
        <v>5296</v>
      </c>
      <c r="I439" s="658">
        <f t="shared" si="421"/>
      </c>
      <c r="J439" s="562">
        <f t="shared" si="177"/>
      </c>
      <c r="K439" s="671">
        <f t="shared" si="236"/>
      </c>
      <c r="L439" s="667">
        <f t="shared" si="25"/>
      </c>
      <c r="M439" s="679">
        <f t="shared" si="118"/>
      </c>
      <c r="N439" s="675">
        <f t="shared" si="53"/>
      </c>
      <c r="O439" s="667">
        <f t="shared" si="483"/>
      </c>
      <c r="P439" s="661">
        <f t="shared" si="517"/>
      </c>
      <c r="Q439" s="667">
        <f t="shared" si="384"/>
      </c>
      <c r="R439" s="676">
        <f t="shared" si="449"/>
      </c>
      <c r="S439" s="661">
        <f t="shared" si="205"/>
      </c>
      <c r="T439" s="578">
        <f t="shared" si="264"/>
      </c>
      <c r="U439" s="661">
        <f t="shared" si="87"/>
      </c>
      <c r="V439" s="673">
        <f t="shared" si="146"/>
      </c>
      <c r="W439" s="581" t="s">
        <v>335</v>
      </c>
      <c r="X439" s="622" t="s">
        <v>364</v>
      </c>
      <c r="Y439" s="624">
        <v>2</v>
      </c>
      <c r="Z439" s="656">
        <v>12350</v>
      </c>
      <c r="AA439" s="572">
        <v>483</v>
      </c>
      <c r="AB439" s="662">
        <v>697</v>
      </c>
      <c r="AC439" s="572">
        <v>119</v>
      </c>
      <c r="AD439" s="572">
        <v>59</v>
      </c>
      <c r="AE439" s="628">
        <v>13</v>
      </c>
      <c r="AF439" s="583">
        <v>27</v>
      </c>
      <c r="AG439" s="571">
        <v>1</v>
      </c>
      <c r="AI439" s="542"/>
      <c r="AJ439" s="542"/>
      <c r="AK439" s="542"/>
    </row>
    <row r="440">
      <c r="A440" s="557"/>
      <c r="B440" s="584" t="s">
        <v>338</v>
      </c>
      <c r="C440" s="560" t="s">
        <v>347</v>
      </c>
      <c r="D440" s="620">
        <f t="shared" si="341"/>
      </c>
      <c r="E440" s="559">
        <v>2464.7</v>
      </c>
      <c r="F440" s="559">
        <v>1048.79</v>
      </c>
      <c r="G440" s="561">
        <v>3</v>
      </c>
      <c r="H440" s="631">
        <v>5484</v>
      </c>
      <c r="I440" s="658">
        <f t="shared" si="421"/>
      </c>
      <c r="J440" s="562">
        <f t="shared" si="177"/>
      </c>
      <c r="K440" s="671">
        <f t="shared" si="236"/>
      </c>
      <c r="L440" s="675">
        <f t="shared" si="25"/>
      </c>
      <c r="M440" s="661">
        <f t="shared" si="118"/>
      </c>
      <c r="N440" s="676">
        <f t="shared" si="53"/>
      </c>
      <c r="O440" s="677">
        <f t="shared" si="483"/>
      </c>
      <c r="P440" s="678">
        <f t="shared" si="517"/>
      </c>
      <c r="Q440" s="677">
        <f t="shared" si="384"/>
      </c>
      <c r="R440" s="667">
        <f t="shared" si="449"/>
      </c>
      <c r="S440" s="661">
        <f t="shared" si="205"/>
      </c>
      <c r="T440" s="578">
        <f t="shared" si="264"/>
      </c>
      <c r="U440" s="661">
        <f t="shared" si="87"/>
      </c>
      <c r="V440" s="673">
        <f t="shared" si="146"/>
      </c>
      <c r="W440" s="581" t="s">
        <v>335</v>
      </c>
      <c r="X440" s="622" t="s">
        <v>364</v>
      </c>
      <c r="Y440" s="662">
        <v>4</v>
      </c>
      <c r="Z440" s="572">
        <v>8776</v>
      </c>
      <c r="AA440" s="572">
        <v>365</v>
      </c>
      <c r="AB440" s="572">
        <v>512</v>
      </c>
      <c r="AC440" s="572">
        <v>99</v>
      </c>
      <c r="AD440" s="572">
        <v>33</v>
      </c>
      <c r="AE440" s="628">
        <v>8</v>
      </c>
      <c r="AF440" s="583">
        <v>16</v>
      </c>
      <c r="AG440" s="571">
        <v>1</v>
      </c>
      <c r="AI440" s="542"/>
      <c r="AJ440" s="542"/>
      <c r="AK440" s="542"/>
    </row>
    <row r="441">
      <c r="A441" s="557"/>
      <c r="B441" s="584" t="s">
        <v>339</v>
      </c>
      <c r="C441" s="560" t="s">
        <v>347</v>
      </c>
      <c r="D441" s="620">
        <f t="shared" si="341"/>
      </c>
      <c r="E441" s="559">
        <v>2130.16</v>
      </c>
      <c r="F441" s="559">
        <v>629.19</v>
      </c>
      <c r="G441" s="561">
        <v>2</v>
      </c>
      <c r="H441" s="641">
        <v>3028</v>
      </c>
      <c r="I441" s="658">
        <f t="shared" si="421"/>
      </c>
      <c r="J441" s="562">
        <f t="shared" si="177"/>
      </c>
      <c r="K441" s="671">
        <f t="shared" si="236"/>
      </c>
      <c r="L441" s="667">
        <f t="shared" si="25"/>
      </c>
      <c r="M441" s="678">
        <f t="shared" si="118"/>
      </c>
      <c r="N441" s="667">
        <f t="shared" si="53"/>
      </c>
      <c r="O441" s="667">
        <f t="shared" si="483"/>
      </c>
      <c r="P441" s="661">
        <f t="shared" si="517"/>
      </c>
      <c r="Q441" s="667">
        <f t="shared" si="384"/>
      </c>
      <c r="R441" s="667">
        <f t="shared" si="449"/>
      </c>
      <c r="S441" s="661">
        <f t="shared" si="205"/>
      </c>
      <c r="T441" s="578">
        <f t="shared" si="264"/>
      </c>
      <c r="U441" s="661">
        <f t="shared" si="87"/>
      </c>
      <c r="V441" s="673">
        <f t="shared" si="146"/>
      </c>
      <c r="W441" s="581" t="s">
        <v>335</v>
      </c>
      <c r="X441" s="622" t="s">
        <v>364</v>
      </c>
      <c r="Y441" s="572">
        <v>2</v>
      </c>
      <c r="Z441" s="572">
        <v>11046</v>
      </c>
      <c r="AA441" s="572">
        <v>271</v>
      </c>
      <c r="AB441" s="572">
        <v>534</v>
      </c>
      <c r="AC441" s="572">
        <v>68</v>
      </c>
      <c r="AD441" s="572">
        <v>4</v>
      </c>
      <c r="AE441" s="628">
        <v>5</v>
      </c>
      <c r="AF441" s="583">
        <v>13</v>
      </c>
      <c r="AG441" s="571">
        <v>1</v>
      </c>
      <c r="AI441" s="542"/>
      <c r="AJ441" s="542"/>
      <c r="AK441" s="542"/>
    </row>
    <row r="442">
      <c r="A442" s="557"/>
      <c r="B442" s="586" t="s">
        <v>340</v>
      </c>
      <c r="C442" s="586"/>
      <c r="D442" s="587">
        <f>SUM(D438:D441)</f>
      </c>
      <c r="E442" s="587">
        <f>SUM(E438:E441)</f>
      </c>
      <c r="F442" s="587">
        <f>SUM(F438:F441)</f>
      </c>
      <c r="G442" s="587">
        <f>SUM(G438:G441)</f>
      </c>
      <c r="H442" s="587">
        <f>SUM(H438:H441)</f>
      </c>
      <c r="I442" s="663">
        <f t="shared" si="421"/>
      </c>
      <c r="J442" s="664">
        <f t="shared" si="177"/>
      </c>
      <c r="K442" s="645">
        <f t="shared" si="236"/>
      </c>
      <c r="L442" s="590">
        <f t="shared" si="25"/>
      </c>
      <c r="M442" s="591">
        <f t="shared" si="118"/>
      </c>
      <c r="N442" s="592">
        <f t="shared" si="53"/>
      </c>
      <c r="O442" s="592">
        <f t="shared" si="483"/>
      </c>
      <c r="P442" s="591">
        <f t="shared" si="517"/>
      </c>
      <c r="Q442" s="592">
        <f t="shared" si="384"/>
      </c>
      <c r="R442" s="592">
        <f t="shared" si="449"/>
      </c>
      <c r="S442" s="593">
        <f t="shared" si="205"/>
      </c>
      <c r="T442" s="594">
        <f t="shared" si="264"/>
      </c>
      <c r="U442" s="593">
        <f t="shared" si="87"/>
      </c>
      <c r="V442" s="595">
        <f t="shared" si="146"/>
      </c>
      <c r="W442" s="595"/>
      <c r="X442" s="595"/>
      <c r="Y442" s="587">
        <f>SUM(Y438:Y441)</f>
      </c>
      <c r="Z442" s="587">
        <f>SUM(Z438:Z441)</f>
      </c>
      <c r="AA442" s="587">
        <f>SUM(AA438:AA441)</f>
      </c>
      <c r="AB442" s="587">
        <f>SUM(AB438:AB441)</f>
      </c>
      <c r="AC442" s="587">
        <f>SUM(AC438:AC441)</f>
      </c>
      <c r="AD442" s="587">
        <f>SUM(AD438:AD441)</f>
      </c>
      <c r="AE442" s="587">
        <f>SUM(AE438:AE441)</f>
      </c>
      <c r="AF442" s="587">
        <f>SUM(AF438:AF441)</f>
      </c>
      <c r="AG442" s="587">
        <f>SUM(AG438:AG441)</f>
      </c>
      <c r="AI442" s="542"/>
      <c r="AJ442" s="542"/>
      <c r="AK442" s="542"/>
    </row>
    <row r="443">
      <c r="A443" s="557"/>
      <c r="B443" s="558" t="s">
        <v>341</v>
      </c>
      <c r="C443" s="560" t="s">
        <v>383</v>
      </c>
      <c r="D443" s="559">
        <f t="shared" ref="D443:D446" si="342">E443+F443</f>
      </c>
      <c r="E443" s="559">
        <v>3032.7</v>
      </c>
      <c r="F443" s="559">
        <v>1344.01</v>
      </c>
      <c r="G443" s="561">
        <v>5</v>
      </c>
      <c r="H443" s="631">
        <v>11152</v>
      </c>
      <c r="I443" s="658">
        <f t="shared" si="421"/>
      </c>
      <c r="J443" s="659">
        <f t="shared" si="177"/>
      </c>
      <c r="K443" s="634">
        <f t="shared" si="236"/>
      </c>
      <c r="L443" s="596">
        <f t="shared" si="25"/>
      </c>
      <c r="M443" s="597">
        <f t="shared" si="118"/>
      </c>
      <c r="N443" s="598">
        <f t="shared" si="53"/>
      </c>
      <c r="O443" s="598">
        <f t="shared" si="483"/>
      </c>
      <c r="P443" s="597">
        <f t="shared" si="517"/>
      </c>
      <c r="Q443" s="598">
        <f t="shared" si="384"/>
      </c>
      <c r="R443" s="598">
        <f t="shared" si="449"/>
      </c>
      <c r="S443" s="599">
        <f t="shared" si="205"/>
      </c>
      <c r="T443" s="600">
        <f t="shared" si="264"/>
      </c>
      <c r="U443" s="599">
        <f t="shared" si="87"/>
      </c>
      <c r="V443" s="601">
        <f t="shared" si="146"/>
      </c>
      <c r="W443" s="602" t="s">
        <v>335</v>
      </c>
      <c r="X443" s="570" t="s">
        <v>364</v>
      </c>
      <c r="Y443" s="603">
        <v>5</v>
      </c>
      <c r="Z443" s="603">
        <v>14489</v>
      </c>
      <c r="AA443" s="603">
        <v>577</v>
      </c>
      <c r="AB443" s="603">
        <v>742</v>
      </c>
      <c r="AC443" s="603">
        <v>113</v>
      </c>
      <c r="AD443" s="603">
        <v>41</v>
      </c>
      <c r="AE443" s="604">
        <v>6</v>
      </c>
      <c r="AF443" s="604">
        <v>25</v>
      </c>
      <c r="AG443" s="604">
        <v>1</v>
      </c>
      <c r="AI443" s="542"/>
      <c r="AJ443" s="542"/>
      <c r="AK443" s="542"/>
    </row>
    <row r="444">
      <c r="A444" s="557"/>
      <c r="B444" s="584" t="s">
        <v>343</v>
      </c>
      <c r="C444" s="560" t="s">
        <v>383</v>
      </c>
      <c r="D444" s="559">
        <f t="shared" si="342"/>
      </c>
      <c r="E444" s="559">
        <v>3089.7</v>
      </c>
      <c r="F444" s="559">
        <v>744.11</v>
      </c>
      <c r="G444" s="573">
        <v>1</v>
      </c>
      <c r="H444" s="641">
        <v>2268</v>
      </c>
      <c r="I444" s="658">
        <f t="shared" si="421"/>
      </c>
      <c r="J444" s="659">
        <f t="shared" si="177"/>
      </c>
      <c r="K444" s="634">
        <f t="shared" si="236"/>
      </c>
      <c r="L444" s="596">
        <f t="shared" si="25"/>
      </c>
      <c r="M444" s="597">
        <f t="shared" si="118"/>
      </c>
      <c r="N444" s="598">
        <f t="shared" si="53"/>
      </c>
      <c r="O444" s="598">
        <f t="shared" si="483"/>
      </c>
      <c r="P444" s="597">
        <f t="shared" si="517"/>
      </c>
      <c r="Q444" s="598">
        <f t="shared" si="384"/>
      </c>
      <c r="R444" s="598">
        <f t="shared" si="449"/>
      </c>
      <c r="S444" s="599">
        <f t="shared" si="205"/>
      </c>
      <c r="T444" s="600">
        <f t="shared" si="264"/>
      </c>
      <c r="U444" s="599">
        <f t="shared" si="87"/>
      </c>
      <c r="V444" s="601">
        <f t="shared" si="146"/>
      </c>
      <c r="W444" s="602" t="s">
        <v>335</v>
      </c>
      <c r="X444" s="570" t="s">
        <v>364</v>
      </c>
      <c r="Y444" s="603">
        <v>1</v>
      </c>
      <c r="Z444" s="603">
        <v>13190</v>
      </c>
      <c r="AA444" s="603">
        <v>478</v>
      </c>
      <c r="AB444" s="603">
        <v>717</v>
      </c>
      <c r="AC444" s="603">
        <v>115</v>
      </c>
      <c r="AD444" s="603">
        <v>27</v>
      </c>
      <c r="AE444" s="604">
        <v>5</v>
      </c>
      <c r="AF444" s="604">
        <v>26</v>
      </c>
      <c r="AG444" s="604">
        <v>1</v>
      </c>
      <c r="AI444" s="542"/>
      <c r="AJ444" s="542"/>
      <c r="AK444" s="542"/>
    </row>
    <row r="445">
      <c r="A445" s="557"/>
      <c r="B445" s="584" t="s">
        <v>344</v>
      </c>
      <c r="C445" s="560" t="s">
        <v>383</v>
      </c>
      <c r="D445" s="559">
        <f t="shared" si="342"/>
      </c>
      <c r="E445" s="559">
        <v>2038.79</v>
      </c>
      <c r="F445" s="559">
        <v>732.99</v>
      </c>
      <c r="G445" s="561">
        <v>5</v>
      </c>
      <c r="H445" s="631">
        <v>9832</v>
      </c>
      <c r="I445" s="658">
        <f t="shared" si="421"/>
      </c>
      <c r="J445" s="659">
        <f t="shared" si="177"/>
      </c>
      <c r="K445" s="634">
        <f t="shared" si="236"/>
      </c>
      <c r="L445" s="596">
        <f t="shared" si="25"/>
      </c>
      <c r="M445" s="597">
        <f t="shared" si="118"/>
      </c>
      <c r="N445" s="598">
        <f t="shared" si="53"/>
      </c>
      <c r="O445" s="598">
        <f t="shared" si="483"/>
      </c>
      <c r="P445" s="597">
        <f t="shared" si="517"/>
      </c>
      <c r="Q445" s="598">
        <f t="shared" si="384"/>
      </c>
      <c r="R445" s="598">
        <f t="shared" si="449"/>
      </c>
      <c r="S445" s="599">
        <f t="shared" si="205"/>
      </c>
      <c r="T445" s="600">
        <f t="shared" si="264"/>
      </c>
      <c r="U445" s="599">
        <f t="shared" si="87"/>
      </c>
      <c r="V445" s="601">
        <f t="shared" si="146"/>
      </c>
      <c r="W445" s="602" t="s">
        <v>335</v>
      </c>
      <c r="X445" s="570" t="s">
        <v>364</v>
      </c>
      <c r="Y445" s="603">
        <v>5</v>
      </c>
      <c r="Z445" s="603">
        <v>7850</v>
      </c>
      <c r="AA445" s="603">
        <v>329</v>
      </c>
      <c r="AB445" s="603">
        <v>479</v>
      </c>
      <c r="AC445" s="603">
        <v>81</v>
      </c>
      <c r="AD445" s="603">
        <v>30</v>
      </c>
      <c r="AE445" s="604">
        <v>7</v>
      </c>
      <c r="AF445" s="604">
        <v>22</v>
      </c>
      <c r="AG445" s="604">
        <v>1</v>
      </c>
      <c r="AI445" s="542"/>
      <c r="AJ445" s="542"/>
      <c r="AK445" s="542"/>
    </row>
    <row r="446">
      <c r="A446" s="557"/>
      <c r="B446" s="584" t="s">
        <v>345</v>
      </c>
      <c r="C446" s="560" t="s">
        <v>383</v>
      </c>
      <c r="D446" s="559">
        <f t="shared" si="342"/>
      </c>
      <c r="E446" s="559">
        <v>4668.48</v>
      </c>
      <c r="F446" s="559">
        <v>720.1</v>
      </c>
      <c r="G446" s="573">
        <v>8</v>
      </c>
      <c r="H446" s="641">
        <v>13808</v>
      </c>
      <c r="I446" s="658">
        <f t="shared" si="421"/>
      </c>
      <c r="J446" s="659">
        <f t="shared" si="177"/>
      </c>
      <c r="K446" s="646">
        <f t="shared" si="236"/>
      </c>
      <c r="L446" s="596">
        <f t="shared" si="25"/>
      </c>
      <c r="M446" s="597">
        <f t="shared" si="118"/>
      </c>
      <c r="N446" s="598">
        <f t="shared" si="53"/>
      </c>
      <c r="O446" s="598">
        <f t="shared" si="483"/>
      </c>
      <c r="P446" s="597">
        <f t="shared" si="517"/>
      </c>
      <c r="Q446" s="598">
        <f t="shared" si="384"/>
      </c>
      <c r="R446" s="598">
        <f t="shared" si="449"/>
      </c>
      <c r="S446" s="599">
        <f t="shared" si="205"/>
      </c>
      <c r="T446" s="600">
        <f t="shared" si="264"/>
      </c>
      <c r="U446" s="599">
        <f t="shared" si="87"/>
      </c>
      <c r="V446" s="601">
        <f t="shared" si="146"/>
      </c>
      <c r="W446" s="602" t="s">
        <v>335</v>
      </c>
      <c r="X446" s="570" t="s">
        <v>364</v>
      </c>
      <c r="Y446" s="603">
        <v>7</v>
      </c>
      <c r="Z446" s="604">
        <v>18750</v>
      </c>
      <c r="AA446" s="604">
        <v>604</v>
      </c>
      <c r="AB446" s="604">
        <v>874</v>
      </c>
      <c r="AC446" s="604">
        <v>131</v>
      </c>
      <c r="AD446" s="603">
        <v>50</v>
      </c>
      <c r="AE446" s="604">
        <v>16</v>
      </c>
      <c r="AF446" s="604">
        <v>28</v>
      </c>
      <c r="AG446" s="604">
        <v>1</v>
      </c>
      <c r="AI446" s="542"/>
      <c r="AJ446" s="542"/>
      <c r="AK446" s="542"/>
    </row>
    <row r="447">
      <c r="A447" s="557"/>
      <c r="B447" s="586" t="s">
        <v>340</v>
      </c>
      <c r="C447" s="586"/>
      <c r="D447" s="587">
        <f>SUM(D443:D446)</f>
      </c>
      <c r="E447" s="587">
        <f>SUM(E443:E446)</f>
      </c>
      <c r="F447" s="587">
        <f>SUM(F443:F446)</f>
      </c>
      <c r="G447" s="587">
        <f>SUM(G443:G446)</f>
      </c>
      <c r="H447" s="587">
        <f>SUM(H443:H446)</f>
      </c>
      <c r="I447" s="663">
        <f t="shared" si="421"/>
      </c>
      <c r="J447" s="664">
        <f t="shared" si="177"/>
      </c>
      <c r="K447" s="647">
        <f t="shared" si="236"/>
      </c>
      <c r="L447" s="590">
        <f t="shared" si="25"/>
      </c>
      <c r="M447" s="591">
        <f t="shared" si="118"/>
      </c>
      <c r="N447" s="592">
        <f t="shared" si="53"/>
      </c>
      <c r="O447" s="592">
        <f t="shared" si="483"/>
      </c>
      <c r="P447" s="591">
        <f t="shared" si="517"/>
      </c>
      <c r="Q447" s="592">
        <f t="shared" si="384"/>
      </c>
      <c r="R447" s="592">
        <f t="shared" si="449"/>
      </c>
      <c r="S447" s="593">
        <f t="shared" si="205"/>
      </c>
      <c r="T447" s="594">
        <f t="shared" si="264"/>
      </c>
      <c r="U447" s="593">
        <f t="shared" si="87"/>
      </c>
      <c r="V447" s="595">
        <f t="shared" si="146"/>
      </c>
      <c r="W447" s="595"/>
      <c r="X447" s="595"/>
      <c r="Y447" s="587">
        <f>SUM(Y443:Y446)</f>
      </c>
      <c r="Z447" s="587">
        <f>SUM(Z443:Z446)</f>
      </c>
      <c r="AA447" s="587">
        <f>SUM(AA443:AA446)</f>
      </c>
      <c r="AB447" s="587">
        <f>SUM(AB443:AB446)</f>
      </c>
      <c r="AC447" s="587">
        <f>SUM(AC443:AC446)</f>
      </c>
      <c r="AD447" s="587">
        <f>SUM(AD443:AD446)</f>
      </c>
      <c r="AE447" s="587">
        <f>SUM(AE443:AE446)</f>
      </c>
      <c r="AF447" s="587">
        <f>SUM(AF443:AF446)</f>
      </c>
      <c r="AG447" s="587">
        <f>SUM(AG443:AG446)</f>
      </c>
      <c r="AI447" s="542"/>
      <c r="AJ447" s="542"/>
      <c r="AK447" s="542"/>
    </row>
    <row r="448">
      <c r="A448" s="557"/>
      <c r="B448" s="584" t="s">
        <v>346</v>
      </c>
      <c r="C448" s="560" t="s">
        <v>342</v>
      </c>
      <c r="D448" s="559">
        <f t="shared" ref="D448:D451" si="343">E448+F448</f>
      </c>
      <c r="E448" s="559">
        <v>3243.62</v>
      </c>
      <c r="F448" s="559">
        <v>839.46</v>
      </c>
      <c r="G448" s="561">
        <v>0</v>
      </c>
      <c r="H448" s="631">
        <v>0</v>
      </c>
      <c r="I448" s="658">
        <f t="shared" si="421"/>
      </c>
      <c r="J448" s="659">
        <f t="shared" si="177"/>
      </c>
      <c r="K448" s="634">
        <f t="shared" si="236"/>
      </c>
      <c r="L448" s="596">
        <f t="shared" si="25"/>
      </c>
      <c r="M448" s="597">
        <f t="shared" si="118"/>
      </c>
      <c r="N448" s="598">
        <f t="shared" si="53"/>
      </c>
      <c r="O448" s="598">
        <f t="shared" si="483"/>
      </c>
      <c r="P448" s="597">
        <f t="shared" si="517"/>
      </c>
      <c r="Q448" s="598">
        <f t="shared" si="384"/>
      </c>
      <c r="R448" s="598">
        <f t="shared" si="449"/>
      </c>
      <c r="S448" s="599">
        <f t="shared" si="205"/>
      </c>
      <c r="T448" s="600">
        <f t="shared" si="264"/>
      </c>
      <c r="U448" s="599">
        <f t="shared" si="87"/>
      </c>
      <c r="V448" s="601">
        <f t="shared" si="146"/>
      </c>
      <c r="W448" s="602" t="s">
        <v>335</v>
      </c>
      <c r="X448" s="570" t="s">
        <v>356</v>
      </c>
      <c r="Y448" s="603">
        <v>1</v>
      </c>
      <c r="Z448" s="603">
        <v>17150</v>
      </c>
      <c r="AA448" s="603">
        <v>592</v>
      </c>
      <c r="AB448" s="603">
        <v>904</v>
      </c>
      <c r="AC448" s="603">
        <v>122</v>
      </c>
      <c r="AD448" s="603">
        <v>40</v>
      </c>
      <c r="AE448" s="604">
        <v>2</v>
      </c>
      <c r="AF448" s="604">
        <v>16</v>
      </c>
      <c r="AG448" s="604">
        <v>1</v>
      </c>
      <c r="AI448" s="542"/>
      <c r="AJ448" s="542"/>
      <c r="AK448" s="542"/>
    </row>
    <row r="449">
      <c r="A449" s="557"/>
      <c r="B449" s="584" t="s">
        <v>349</v>
      </c>
      <c r="C449" s="560" t="s">
        <v>342</v>
      </c>
      <c r="D449" s="559">
        <f t="shared" si="343"/>
      </c>
      <c r="E449" s="559">
        <v>2776.47</v>
      </c>
      <c r="F449" s="559">
        <v>889.16</v>
      </c>
      <c r="G449" s="573">
        <v>0</v>
      </c>
      <c r="H449" s="641">
        <v>0</v>
      </c>
      <c r="I449" s="658">
        <f t="shared" si="421"/>
      </c>
      <c r="J449" s="659">
        <f t="shared" si="177"/>
      </c>
      <c r="K449" s="634">
        <f t="shared" si="236"/>
      </c>
      <c r="L449" s="596">
        <f t="shared" si="25"/>
      </c>
      <c r="M449" s="597">
        <f t="shared" si="118"/>
      </c>
      <c r="N449" s="598">
        <f t="shared" si="53"/>
      </c>
      <c r="O449" s="598">
        <f t="shared" si="483"/>
      </c>
      <c r="P449" s="597">
        <f t="shared" si="517"/>
      </c>
      <c r="Q449" s="598">
        <f t="shared" si="384"/>
      </c>
      <c r="R449" s="598">
        <f t="shared" si="449"/>
      </c>
      <c r="S449" s="599">
        <f t="shared" si="205"/>
      </c>
      <c r="T449" s="600">
        <f t="shared" si="264"/>
      </c>
      <c r="U449" s="599">
        <f t="shared" si="87"/>
      </c>
      <c r="V449" s="601">
        <f t="shared" si="146"/>
      </c>
      <c r="W449" s="602" t="s">
        <v>335</v>
      </c>
      <c r="X449" s="570" t="s">
        <v>356</v>
      </c>
      <c r="Y449" s="603">
        <v>0</v>
      </c>
      <c r="Z449" s="604">
        <v>15660</v>
      </c>
      <c r="AA449" s="604">
        <v>478</v>
      </c>
      <c r="AB449" s="604">
        <v>780</v>
      </c>
      <c r="AC449" s="604">
        <v>87</v>
      </c>
      <c r="AD449" s="603">
        <v>27</v>
      </c>
      <c r="AE449" s="604">
        <v>5</v>
      </c>
      <c r="AF449" s="604">
        <v>15</v>
      </c>
      <c r="AG449" s="604">
        <v>1</v>
      </c>
      <c r="AI449" s="542"/>
      <c r="AJ449" s="542"/>
      <c r="AK449" s="542"/>
    </row>
    <row r="450">
      <c r="A450" s="557"/>
      <c r="B450" s="558" t="s">
        <v>350</v>
      </c>
      <c r="C450" s="560" t="s">
        <v>342</v>
      </c>
      <c r="D450" s="559">
        <f t="shared" si="343"/>
      </c>
      <c r="E450" s="559">
        <v>2143.36</v>
      </c>
      <c r="F450" s="559">
        <v>975.28</v>
      </c>
      <c r="G450" s="573">
        <v>2</v>
      </c>
      <c r="H450" s="641">
        <v>4536</v>
      </c>
      <c r="I450" s="658">
        <f t="shared" si="421"/>
      </c>
      <c r="J450" s="659">
        <f t="shared" si="177"/>
      </c>
      <c r="K450" s="634">
        <f t="shared" si="236"/>
      </c>
      <c r="L450" s="596">
        <f t="shared" si="25"/>
      </c>
      <c r="M450" s="597">
        <f t="shared" si="118"/>
      </c>
      <c r="N450" s="598">
        <f t="shared" si="53"/>
      </c>
      <c r="O450" s="598">
        <f t="shared" si="483"/>
      </c>
      <c r="P450" s="597">
        <f t="shared" si="517"/>
      </c>
      <c r="Q450" s="598">
        <f t="shared" si="384"/>
      </c>
      <c r="R450" s="598">
        <f t="shared" si="449"/>
      </c>
      <c r="S450" s="599">
        <f t="shared" si="205"/>
      </c>
      <c r="T450" s="600">
        <f t="shared" si="264"/>
      </c>
      <c r="U450" s="599">
        <f t="shared" si="87"/>
      </c>
      <c r="V450" s="601">
        <f t="shared" si="146"/>
      </c>
      <c r="W450" s="602" t="s">
        <v>335</v>
      </c>
      <c r="X450" s="570" t="s">
        <v>356</v>
      </c>
      <c r="Y450" s="603">
        <v>1</v>
      </c>
      <c r="Z450" s="604">
        <v>17663</v>
      </c>
      <c r="AA450" s="604">
        <v>509</v>
      </c>
      <c r="AB450" s="604">
        <v>821</v>
      </c>
      <c r="AC450" s="604">
        <v>101</v>
      </c>
      <c r="AD450" s="603">
        <v>16</v>
      </c>
      <c r="AE450" s="604">
        <v>5</v>
      </c>
      <c r="AF450" s="604">
        <v>18</v>
      </c>
      <c r="AG450" s="604">
        <v>1</v>
      </c>
      <c r="AI450" s="542"/>
      <c r="AJ450" s="542"/>
      <c r="AK450" s="542"/>
    </row>
    <row r="451">
      <c r="A451" s="557"/>
      <c r="B451" s="558" t="s">
        <v>351</v>
      </c>
      <c r="C451" s="560" t="s">
        <v>342</v>
      </c>
      <c r="D451" s="559">
        <f t="shared" si="343"/>
      </c>
      <c r="E451" s="559">
        <v>1945.93</v>
      </c>
      <c r="F451" s="559">
        <v>262.72</v>
      </c>
      <c r="G451" s="573">
        <v>5</v>
      </c>
      <c r="H451" s="641">
        <v>10020</v>
      </c>
      <c r="I451" s="658">
        <f t="shared" si="421"/>
      </c>
      <c r="J451" s="659">
        <f t="shared" si="177"/>
      </c>
      <c r="K451" s="646">
        <f t="shared" si="236"/>
      </c>
      <c r="L451" s="596">
        <f t="shared" si="25"/>
      </c>
      <c r="M451" s="597">
        <f t="shared" si="118"/>
      </c>
      <c r="N451" s="598">
        <f t="shared" si="53"/>
      </c>
      <c r="O451" s="598">
        <f t="shared" si="483"/>
      </c>
      <c r="P451" s="597">
        <f t="shared" si="517"/>
      </c>
      <c r="Q451" s="598">
        <f t="shared" si="384"/>
      </c>
      <c r="R451" s="598">
        <f t="shared" si="449"/>
      </c>
      <c r="S451" s="599">
        <f t="shared" si="205"/>
      </c>
      <c r="T451" s="600">
        <f t="shared" si="264"/>
      </c>
      <c r="U451" s="599">
        <f t="shared" si="87"/>
      </c>
      <c r="V451" s="601">
        <f t="shared" si="146"/>
      </c>
      <c r="W451" s="602" t="s">
        <v>335</v>
      </c>
      <c r="X451" s="570" t="s">
        <v>356</v>
      </c>
      <c r="Y451" s="604">
        <v>6</v>
      </c>
      <c r="Z451" s="604">
        <v>7260</v>
      </c>
      <c r="AA451" s="604">
        <v>267</v>
      </c>
      <c r="AB451" s="604">
        <v>408</v>
      </c>
      <c r="AC451" s="604">
        <v>61</v>
      </c>
      <c r="AD451" s="603">
        <v>15</v>
      </c>
      <c r="AE451" s="604">
        <v>8</v>
      </c>
      <c r="AF451" s="604">
        <v>18</v>
      </c>
      <c r="AG451" s="604">
        <v>1</v>
      </c>
      <c r="AI451" s="542"/>
      <c r="AJ451" s="542"/>
      <c r="AK451" s="542"/>
    </row>
    <row r="452">
      <c r="A452" s="557"/>
      <c r="B452" s="586" t="s">
        <v>340</v>
      </c>
      <c r="C452" s="586"/>
      <c r="D452" s="587">
        <f>SUM(D448:D451)</f>
      </c>
      <c r="E452" s="587">
        <f>SUM(E448:E451)</f>
      </c>
      <c r="F452" s="587">
        <f>SUM(F448:F451)</f>
      </c>
      <c r="G452" s="587">
        <f>SUM(G448:G451)</f>
      </c>
      <c r="H452" s="587">
        <f>SUM(H448:H451)</f>
      </c>
      <c r="I452" s="663">
        <f t="shared" si="421"/>
      </c>
      <c r="J452" s="664">
        <f t="shared" si="177"/>
      </c>
      <c r="K452" s="647">
        <f t="shared" si="236"/>
      </c>
      <c r="L452" s="590">
        <f t="shared" si="25"/>
      </c>
      <c r="M452" s="591">
        <f t="shared" si="118"/>
      </c>
      <c r="N452" s="592">
        <f t="shared" si="53"/>
      </c>
      <c r="O452" s="592">
        <f t="shared" si="483"/>
      </c>
      <c r="P452" s="591">
        <f t="shared" si="517"/>
      </c>
      <c r="Q452" s="592">
        <f t="shared" si="384"/>
      </c>
      <c r="R452" s="592">
        <f t="shared" si="449"/>
      </c>
      <c r="S452" s="593">
        <f t="shared" si="205"/>
      </c>
      <c r="T452" s="594">
        <f t="shared" si="264"/>
      </c>
      <c r="U452" s="593">
        <f t="shared" si="87"/>
      </c>
      <c r="V452" s="595">
        <f t="shared" si="146"/>
      </c>
      <c r="W452" s="595"/>
      <c r="X452" s="595"/>
      <c r="Y452" s="587">
        <f>SUM(Y448:Y451)</f>
      </c>
      <c r="Z452" s="587">
        <f>SUM(Z448:Z451)</f>
      </c>
      <c r="AA452" s="587">
        <f>SUM(AA448:AA451)</f>
      </c>
      <c r="AB452" s="587">
        <f>SUM(AB448:AB451)</f>
      </c>
      <c r="AC452" s="587">
        <f>SUM(AC448:AC451)</f>
      </c>
      <c r="AD452" s="587">
        <f>SUM(AD448:AD451)</f>
      </c>
      <c r="AE452" s="587">
        <f>SUM(AE448:AE451)</f>
      </c>
      <c r="AF452" s="587">
        <f>SUM(AF448:AF451)</f>
      </c>
      <c r="AG452" s="587">
        <f>SUM(AG448:AG451)</f>
      </c>
      <c r="AI452" s="542"/>
      <c r="AJ452" s="542"/>
      <c r="AK452" s="542"/>
    </row>
    <row r="453">
      <c r="A453" s="557"/>
      <c r="B453" s="607" t="s">
        <v>352</v>
      </c>
      <c r="C453" s="607"/>
      <c r="D453" s="607">
        <f>D442+D447+D452</f>
      </c>
      <c r="E453" s="607">
        <f>E442+E447+E452</f>
      </c>
      <c r="F453" s="607">
        <f>F442+F447+F452</f>
      </c>
      <c r="G453" s="607">
        <f>G442+G447+G452</f>
      </c>
      <c r="H453" s="607">
        <f>H442+H447+H452</f>
      </c>
      <c r="I453" s="608">
        <f t="shared" si="421"/>
      </c>
      <c r="J453" s="608">
        <f t="shared" si="177"/>
      </c>
      <c r="K453" s="651">
        <f t="shared" si="236"/>
      </c>
      <c r="L453" s="610">
        <f t="shared" si="25"/>
      </c>
      <c r="M453" s="611">
        <f t="shared" si="118"/>
      </c>
      <c r="N453" s="612">
        <f t="shared" si="53"/>
      </c>
      <c r="O453" s="612">
        <f t="shared" si="483"/>
      </c>
      <c r="P453" s="611">
        <f t="shared" si="517"/>
      </c>
      <c r="Q453" s="612">
        <f t="shared" si="384"/>
      </c>
      <c r="R453" s="612">
        <f t="shared" si="449"/>
      </c>
      <c r="S453" s="611">
        <f t="shared" si="205"/>
      </c>
      <c r="T453" s="613">
        <f t="shared" si="264"/>
      </c>
      <c r="U453" s="611">
        <f t="shared" si="87"/>
      </c>
      <c r="V453" s="609">
        <f t="shared" si="146"/>
      </c>
      <c r="W453" s="609"/>
      <c r="X453" s="609"/>
      <c r="Y453" s="607">
        <f>Y442+Y447+Y452</f>
      </c>
      <c r="Z453" s="607">
        <f>Z442+Z447+Z452</f>
      </c>
      <c r="AA453" s="607">
        <f>AA442+AA447+AA452</f>
      </c>
      <c r="AB453" s="607">
        <f>AB442+AB447+AB452</f>
      </c>
      <c r="AC453" s="607">
        <f>AC442+AC447+AC452</f>
      </c>
      <c r="AD453" s="607">
        <f>AD442+AD447+AD452</f>
      </c>
      <c r="AE453" s="607">
        <f>AE442+AE447+AE452</f>
      </c>
      <c r="AF453" s="607">
        <f>AF442+AF447+AF452</f>
      </c>
      <c r="AG453" s="607">
        <f>AG442+AG447+AG452</f>
      </c>
      <c r="AI453" s="542"/>
      <c r="AJ453" s="542"/>
      <c r="AK453" s="542"/>
    </row>
    <row r="454">
      <c r="A454" s="538" t="s">
        <v>295</v>
      </c>
      <c r="B454" s="538"/>
      <c r="C454" s="538"/>
      <c r="D454" s="614" t="s">
        <v>296</v>
      </c>
      <c r="E454" s="614"/>
      <c r="F454" s="614"/>
      <c r="G454" s="614"/>
      <c r="H454" s="614"/>
      <c r="I454" s="614"/>
      <c r="J454" s="614"/>
      <c r="K454" s="540" t="s">
        <v>297</v>
      </c>
      <c r="L454" s="540"/>
      <c r="M454" s="540"/>
      <c r="N454" s="540"/>
      <c r="O454" s="540"/>
      <c r="P454" s="540"/>
      <c r="Q454" s="540"/>
      <c r="R454" s="540"/>
      <c r="S454" s="540"/>
      <c r="T454" s="540"/>
      <c r="U454" s="540"/>
      <c r="V454" s="540"/>
      <c r="W454" s="540"/>
      <c r="X454" s="540"/>
      <c r="Y454" s="541" t="s">
        <v>298</v>
      </c>
      <c r="Z454" s="541"/>
      <c r="AA454" s="541"/>
      <c r="AB454" s="541"/>
      <c r="AC454" s="541"/>
      <c r="AD454" s="541"/>
      <c r="AE454" s="541"/>
      <c r="AF454" s="541"/>
      <c r="AG454" s="541"/>
      <c r="AI454" s="542"/>
      <c r="AJ454" s="542"/>
      <c r="AK454" s="542"/>
    </row>
    <row r="455">
      <c r="A455" s="543" t="s">
        <v>299</v>
      </c>
      <c r="B455" s="544" t="s">
        <v>300</v>
      </c>
      <c r="C455" s="544" t="s">
        <v>301</v>
      </c>
      <c r="D455" s="545" t="s">
        <v>302</v>
      </c>
      <c r="E455" s="546" t="s">
        <v>303</v>
      </c>
      <c r="F455" s="546" t="s">
        <v>304</v>
      </c>
      <c r="G455" s="547" t="s">
        <v>305</v>
      </c>
      <c r="H455" s="548" t="s">
        <v>306</v>
      </c>
      <c r="I455" s="630" t="s">
        <v>307</v>
      </c>
      <c r="J455" s="630" t="s">
        <v>308</v>
      </c>
      <c r="K455" s="551" t="s">
        <v>309</v>
      </c>
      <c r="L455" s="551" t="s">
        <v>310</v>
      </c>
      <c r="M455" s="551" t="s">
        <v>311</v>
      </c>
      <c r="N455" s="669" t="s">
        <v>312</v>
      </c>
      <c r="O455" s="669" t="s">
        <v>313</v>
      </c>
      <c r="P455" s="551" t="s">
        <v>314</v>
      </c>
      <c r="Q455" s="669" t="s">
        <v>315</v>
      </c>
      <c r="R455" s="669" t="s">
        <v>316</v>
      </c>
      <c r="S455" s="551" t="s">
        <v>317</v>
      </c>
      <c r="T455" s="669" t="s">
        <v>318</v>
      </c>
      <c r="U455" s="551" t="s">
        <v>319</v>
      </c>
      <c r="V455" s="553" t="s">
        <v>320</v>
      </c>
      <c r="W455" s="553" t="s">
        <v>321</v>
      </c>
      <c r="X455" s="553" t="s">
        <v>322</v>
      </c>
      <c r="Y455" s="618" t="s">
        <v>323</v>
      </c>
      <c r="Z455" s="619" t="s">
        <v>324</v>
      </c>
      <c r="AA455" s="619" t="s">
        <v>325</v>
      </c>
      <c r="AB455" s="619" t="s">
        <v>326</v>
      </c>
      <c r="AC455" s="619" t="s">
        <v>327</v>
      </c>
      <c r="AD455" s="619" t="s">
        <v>328</v>
      </c>
      <c r="AE455" s="555" t="s">
        <v>329</v>
      </c>
      <c r="AF455" s="555" t="s">
        <v>330</v>
      </c>
      <c r="AG455" s="555" t="s">
        <v>331</v>
      </c>
      <c r="AI455" s="542"/>
      <c r="AJ455" s="542"/>
      <c r="AK455" s="542"/>
    </row>
    <row r="456">
      <c r="A456" s="557" t="s">
        <v>385</v>
      </c>
      <c r="B456" s="584" t="s">
        <v>333</v>
      </c>
      <c r="C456" s="560" t="s">
        <v>383</v>
      </c>
      <c r="D456" s="620">
        <f t="shared" ref="D456:D459" si="344">E456+F456</f>
      </c>
      <c r="E456" s="621">
        <v>2946.43</v>
      </c>
      <c r="F456" s="584">
        <v>582.33</v>
      </c>
      <c r="G456" s="561">
        <v>1</v>
      </c>
      <c r="H456" s="631">
        <v>2268</v>
      </c>
      <c r="I456" s="652">
        <f t="shared" ref="I456:I471" si="422">H456/D456</f>
      </c>
      <c r="J456" s="670">
        <f t="shared" ref="J456:J471" si="178">H456/(D456+300*AG456)</f>
      </c>
      <c r="K456" s="671">
        <f t="shared" ref="K456:K471" si="237">(D456/Z456)*1000</f>
      </c>
      <c r="L456" s="667">
        <f t="shared" ref="L456:L471" si="26">AA456/Z456</f>
      </c>
      <c r="M456" s="661">
        <f t="shared" ref="M456:M471" si="119">D456/AB456</f>
      </c>
      <c r="N456" s="675">
        <f t="shared" ref="N456:N471" si="54">AC456/AB456</f>
      </c>
      <c r="O456" s="667">
        <f t="shared" ref="O456:O471" si="484">AD456/AB456</f>
      </c>
      <c r="P456" s="661">
        <f t="shared" ref="P456:P471" si="518">D456/AD456</f>
      </c>
      <c r="Q456" s="667">
        <f t="shared" ref="Q456:Q471" si="385">AE456/AD456</f>
      </c>
      <c r="R456" s="676">
        <f t="shared" ref="R456:R471" si="450">G456/AE456</f>
      </c>
      <c r="S456" s="661">
        <f t="shared" ref="S456:S471" si="206">D456/G456</f>
      </c>
      <c r="T456" s="578">
        <f t="shared" ref="T456:T471" si="265">H456/G456</f>
      </c>
      <c r="U456" s="661">
        <f t="shared" ref="U456:U471" si="88">D456/Y456</f>
      </c>
      <c r="V456" s="672">
        <f t="shared" ref="V456:V471" si="147">AF456*1000/D456</f>
      </c>
      <c r="W456" s="569" t="s">
        <v>335</v>
      </c>
      <c r="X456" s="622" t="s">
        <v>364</v>
      </c>
      <c r="Y456" s="635">
        <v>0</v>
      </c>
      <c r="Z456" s="656">
        <v>13829</v>
      </c>
      <c r="AA456" s="657">
        <v>423</v>
      </c>
      <c r="AB456" s="624">
        <v>610</v>
      </c>
      <c r="AC456" s="625">
        <v>83</v>
      </c>
      <c r="AD456" s="571">
        <v>24</v>
      </c>
      <c r="AE456" s="625">
        <v>2</v>
      </c>
      <c r="AF456" s="571">
        <v>16</v>
      </c>
      <c r="AG456" s="571">
        <v>1</v>
      </c>
      <c r="AI456" s="542"/>
      <c r="AJ456" s="542"/>
      <c r="AK456" s="542"/>
    </row>
    <row r="457">
      <c r="A457" s="557"/>
      <c r="B457" s="584" t="s">
        <v>337</v>
      </c>
      <c r="C457" s="560" t="s">
        <v>383</v>
      </c>
      <c r="D457" s="620">
        <f t="shared" si="344"/>
      </c>
      <c r="E457" s="626">
        <v>1955.24</v>
      </c>
      <c r="F457" s="559">
        <v>461.97</v>
      </c>
      <c r="G457" s="561">
        <v>2</v>
      </c>
      <c r="H457" s="631">
        <v>3216</v>
      </c>
      <c r="I457" s="658">
        <f t="shared" si="422"/>
      </c>
      <c r="J457" s="562">
        <f t="shared" si="178"/>
      </c>
      <c r="K457" s="671">
        <f t="shared" si="237"/>
      </c>
      <c r="L457" s="667">
        <f t="shared" si="26"/>
      </c>
      <c r="M457" s="679">
        <f t="shared" si="119"/>
      </c>
      <c r="N457" s="675">
        <f t="shared" si="54"/>
      </c>
      <c r="O457" s="667">
        <f t="shared" si="484"/>
      </c>
      <c r="P457" s="661">
        <f t="shared" si="518"/>
      </c>
      <c r="Q457" s="667">
        <f t="shared" si="385"/>
      </c>
      <c r="R457" s="676">
        <f t="shared" si="450"/>
      </c>
      <c r="S457" s="661">
        <f t="shared" si="206"/>
      </c>
      <c r="T457" s="578">
        <f t="shared" si="265"/>
      </c>
      <c r="U457" s="661">
        <f t="shared" si="88"/>
      </c>
      <c r="V457" s="673">
        <f t="shared" si="147"/>
      </c>
      <c r="W457" s="581" t="s">
        <v>335</v>
      </c>
      <c r="X457" s="622" t="s">
        <v>364</v>
      </c>
      <c r="Y457" s="624">
        <v>2</v>
      </c>
      <c r="Z457" s="656">
        <v>11515</v>
      </c>
      <c r="AA457" s="572">
        <v>316</v>
      </c>
      <c r="AB457" s="662">
        <v>434</v>
      </c>
      <c r="AC457" s="572">
        <v>62</v>
      </c>
      <c r="AD457" s="572">
        <v>9</v>
      </c>
      <c r="AE457" s="628">
        <v>6</v>
      </c>
      <c r="AF457" s="583">
        <v>9</v>
      </c>
      <c r="AG457" s="571">
        <v>1</v>
      </c>
      <c r="AI457" s="542"/>
      <c r="AJ457" s="542"/>
      <c r="AK457" s="542"/>
    </row>
    <row r="458">
      <c r="A458" s="557"/>
      <c r="B458" s="584" t="s">
        <v>338</v>
      </c>
      <c r="C458" s="560" t="s">
        <v>383</v>
      </c>
      <c r="D458" s="620">
        <f t="shared" si="344"/>
      </c>
      <c r="E458" s="559">
        <v>1543.82</v>
      </c>
      <c r="F458" s="559">
        <v>616.84</v>
      </c>
      <c r="G458" s="561">
        <v>1</v>
      </c>
      <c r="H458" s="631">
        <v>108</v>
      </c>
      <c r="I458" s="658">
        <f t="shared" si="422"/>
      </c>
      <c r="J458" s="562">
        <f t="shared" si="178"/>
      </c>
      <c r="K458" s="671">
        <f t="shared" si="237"/>
      </c>
      <c r="L458" s="675">
        <f t="shared" si="26"/>
      </c>
      <c r="M458" s="661">
        <f t="shared" si="119"/>
      </c>
      <c r="N458" s="676">
        <f t="shared" si="54"/>
      </c>
      <c r="O458" s="677">
        <f t="shared" si="484"/>
      </c>
      <c r="P458" s="678">
        <f t="shared" si="518"/>
      </c>
      <c r="Q458" s="677">
        <f t="shared" si="385"/>
      </c>
      <c r="R458" s="667">
        <f t="shared" si="450"/>
      </c>
      <c r="S458" s="661">
        <f t="shared" si="206"/>
      </c>
      <c r="T458" s="578">
        <f t="shared" si="265"/>
      </c>
      <c r="U458" s="661">
        <f t="shared" si="88"/>
      </c>
      <c r="V458" s="673">
        <f t="shared" si="147"/>
      </c>
      <c r="W458" s="581" t="s">
        <v>335</v>
      </c>
      <c r="X458" s="622" t="s">
        <v>364</v>
      </c>
      <c r="Y458" s="662">
        <v>0</v>
      </c>
      <c r="Z458" s="572">
        <v>10188</v>
      </c>
      <c r="AA458" s="572">
        <v>318</v>
      </c>
      <c r="AB458" s="572">
        <v>512</v>
      </c>
      <c r="AC458" s="572">
        <v>51</v>
      </c>
      <c r="AD458" s="572">
        <v>13</v>
      </c>
      <c r="AE458" s="628">
        <v>7</v>
      </c>
      <c r="AF458" s="583">
        <v>10</v>
      </c>
      <c r="AG458" s="571">
        <v>1</v>
      </c>
      <c r="AI458" s="542"/>
      <c r="AJ458" s="542"/>
      <c r="AK458" s="542"/>
    </row>
    <row r="459">
      <c r="A459" s="557"/>
      <c r="B459" s="584" t="s">
        <v>339</v>
      </c>
      <c r="C459" s="560" t="s">
        <v>383</v>
      </c>
      <c r="D459" s="620">
        <f t="shared" si="344"/>
      </c>
      <c r="E459" s="559">
        <v>851.34</v>
      </c>
      <c r="F459" s="559">
        <v>492.78</v>
      </c>
      <c r="G459" s="561">
        <v>0</v>
      </c>
      <c r="H459" s="631">
        <v>0</v>
      </c>
      <c r="I459" s="658">
        <f t="shared" si="422"/>
      </c>
      <c r="J459" s="562">
        <f t="shared" si="178"/>
      </c>
      <c r="K459" s="671">
        <f t="shared" si="237"/>
      </c>
      <c r="L459" s="667">
        <f t="shared" si="26"/>
      </c>
      <c r="M459" s="678">
        <f t="shared" si="119"/>
      </c>
      <c r="N459" s="667">
        <f t="shared" si="54"/>
      </c>
      <c r="O459" s="667">
        <f t="shared" si="484"/>
      </c>
      <c r="P459" s="661">
        <f t="shared" si="518"/>
      </c>
      <c r="Q459" s="667">
        <f t="shared" si="385"/>
      </c>
      <c r="R459" s="667">
        <f t="shared" si="450"/>
      </c>
      <c r="S459" s="661">
        <f t="shared" si="206"/>
      </c>
      <c r="T459" s="578">
        <f t="shared" si="265"/>
      </c>
      <c r="U459" s="661">
        <f t="shared" si="88"/>
      </c>
      <c r="V459" s="673">
        <f t="shared" si="147"/>
      </c>
      <c r="W459" s="581" t="s">
        <v>335</v>
      </c>
      <c r="X459" s="622" t="s">
        <v>364</v>
      </c>
      <c r="Y459" s="572">
        <v>0</v>
      </c>
      <c r="Z459" s="572">
        <v>5601</v>
      </c>
      <c r="AA459" s="572">
        <v>197</v>
      </c>
      <c r="AB459" s="572">
        <v>328</v>
      </c>
      <c r="AC459" s="572">
        <v>36</v>
      </c>
      <c r="AD459" s="572">
        <v>7</v>
      </c>
      <c r="AE459" s="628">
        <v>1</v>
      </c>
      <c r="AF459" s="583">
        <v>7</v>
      </c>
      <c r="AG459" s="571">
        <v>1</v>
      </c>
      <c r="AI459" s="542"/>
      <c r="AJ459" s="542"/>
      <c r="AK459" s="542"/>
    </row>
    <row r="460">
      <c r="A460" s="557"/>
      <c r="B460" s="586" t="s">
        <v>340</v>
      </c>
      <c r="C460" s="586"/>
      <c r="D460" s="587">
        <f>SUM(D456:D459)</f>
      </c>
      <c r="E460" s="587">
        <f>SUM(E456:E459)</f>
      </c>
      <c r="F460" s="587">
        <f>SUM(F456:F459)</f>
      </c>
      <c r="G460" s="587">
        <f>SUM(G456:G459)</f>
      </c>
      <c r="H460" s="587">
        <f>SUM(H456:H459)</f>
      </c>
      <c r="I460" s="663">
        <f t="shared" si="422"/>
      </c>
      <c r="J460" s="664">
        <f t="shared" si="178"/>
      </c>
      <c r="K460" s="645">
        <f t="shared" si="237"/>
      </c>
      <c r="L460" s="590">
        <f t="shared" si="26"/>
      </c>
      <c r="M460" s="591">
        <f t="shared" si="119"/>
      </c>
      <c r="N460" s="592">
        <f t="shared" si="54"/>
      </c>
      <c r="O460" s="592">
        <f t="shared" si="484"/>
      </c>
      <c r="P460" s="591">
        <f t="shared" si="518"/>
      </c>
      <c r="Q460" s="592">
        <f t="shared" si="385"/>
      </c>
      <c r="R460" s="592">
        <f t="shared" si="450"/>
      </c>
      <c r="S460" s="593">
        <f t="shared" si="206"/>
      </c>
      <c r="T460" s="594">
        <f t="shared" si="265"/>
      </c>
      <c r="U460" s="593">
        <f t="shared" si="88"/>
      </c>
      <c r="V460" s="595">
        <f t="shared" si="147"/>
      </c>
      <c r="W460" s="595"/>
      <c r="X460" s="595"/>
      <c r="Y460" s="587">
        <f>SUM(Y456:Y459)</f>
      </c>
      <c r="Z460" s="587">
        <f>SUM(Z456:Z459)</f>
      </c>
      <c r="AA460" s="587">
        <f>SUM(AA456:AA459)</f>
      </c>
      <c r="AB460" s="587">
        <f>SUM(AB456:AB459)</f>
      </c>
      <c r="AC460" s="587">
        <f>SUM(AC456:AC459)</f>
      </c>
      <c r="AD460" s="587">
        <f>SUM(AD456:AD459)</f>
      </c>
      <c r="AE460" s="587">
        <f>SUM(AE456:AE459)</f>
      </c>
      <c r="AF460" s="587">
        <f>SUM(AF456:AF459)</f>
      </c>
      <c r="AG460" s="587">
        <f>SUM(AG456:AG459)</f>
      </c>
      <c r="AI460" s="542"/>
      <c r="AJ460" s="542"/>
      <c r="AK460" s="542"/>
    </row>
    <row r="461">
      <c r="A461" s="557"/>
      <c r="B461" s="558" t="s">
        <v>341</v>
      </c>
      <c r="C461" s="560" t="s">
        <v>342</v>
      </c>
      <c r="D461" s="559">
        <f t="shared" ref="D461:D464" si="345">E461+F461</f>
      </c>
      <c r="E461" s="559">
        <v>1860.51</v>
      </c>
      <c r="F461" s="559">
        <v>193.7</v>
      </c>
      <c r="G461" s="561">
        <v>0</v>
      </c>
      <c r="H461" s="631">
        <v>0</v>
      </c>
      <c r="I461" s="658">
        <f t="shared" si="422"/>
      </c>
      <c r="J461" s="659">
        <f t="shared" si="178"/>
      </c>
      <c r="K461" s="634">
        <f t="shared" si="237"/>
      </c>
      <c r="L461" s="596">
        <f t="shared" si="26"/>
      </c>
      <c r="M461" s="597">
        <f t="shared" si="119"/>
      </c>
      <c r="N461" s="598">
        <f t="shared" si="54"/>
      </c>
      <c r="O461" s="598">
        <f t="shared" si="484"/>
      </c>
      <c r="P461" s="597">
        <f t="shared" si="518"/>
      </c>
      <c r="Q461" s="598">
        <f t="shared" si="385"/>
      </c>
      <c r="R461" s="598">
        <f t="shared" si="450"/>
      </c>
      <c r="S461" s="599">
        <f t="shared" si="206"/>
      </c>
      <c r="T461" s="600">
        <f t="shared" si="265"/>
      </c>
      <c r="U461" s="599">
        <f t="shared" si="88"/>
      </c>
      <c r="V461" s="601">
        <f t="shared" si="147"/>
      </c>
      <c r="W461" s="602" t="s">
        <v>335</v>
      </c>
      <c r="X461" s="570" t="s">
        <v>364</v>
      </c>
      <c r="Y461" s="603">
        <v>0</v>
      </c>
      <c r="Z461" s="603">
        <v>8604</v>
      </c>
      <c r="AA461" s="603">
        <v>226</v>
      </c>
      <c r="AB461" s="603">
        <v>389</v>
      </c>
      <c r="AC461" s="603">
        <v>58</v>
      </c>
      <c r="AD461" s="603">
        <v>3</v>
      </c>
      <c r="AE461" s="604">
        <v>1</v>
      </c>
      <c r="AF461" s="604">
        <v>10</v>
      </c>
      <c r="AG461" s="604">
        <v>1</v>
      </c>
      <c r="AI461" s="542"/>
      <c r="AJ461" s="542"/>
      <c r="AK461" s="542"/>
    </row>
    <row r="462">
      <c r="A462" s="557"/>
      <c r="B462" s="584" t="s">
        <v>343</v>
      </c>
      <c r="C462" s="560" t="s">
        <v>342</v>
      </c>
      <c r="D462" s="559">
        <f t="shared" si="345"/>
      </c>
      <c r="E462" s="559">
        <v>1932.63</v>
      </c>
      <c r="F462" s="559">
        <v>422.29</v>
      </c>
      <c r="G462" s="573">
        <v>3</v>
      </c>
      <c r="H462" s="641">
        <v>4164</v>
      </c>
      <c r="I462" s="658">
        <f t="shared" si="422"/>
      </c>
      <c r="J462" s="659">
        <f t="shared" si="178"/>
      </c>
      <c r="K462" s="634">
        <f t="shared" si="237"/>
      </c>
      <c r="L462" s="596">
        <f t="shared" si="26"/>
      </c>
      <c r="M462" s="597">
        <f t="shared" si="119"/>
      </c>
      <c r="N462" s="598">
        <f t="shared" si="54"/>
      </c>
      <c r="O462" s="598">
        <f t="shared" si="484"/>
      </c>
      <c r="P462" s="597">
        <f t="shared" si="518"/>
      </c>
      <c r="Q462" s="598">
        <f t="shared" si="385"/>
      </c>
      <c r="R462" s="598">
        <f t="shared" si="450"/>
      </c>
      <c r="S462" s="599">
        <f t="shared" si="206"/>
      </c>
      <c r="T462" s="600">
        <f t="shared" si="265"/>
      </c>
      <c r="U462" s="599">
        <f t="shared" si="88"/>
      </c>
      <c r="V462" s="601">
        <f t="shared" si="147"/>
      </c>
      <c r="W462" s="602" t="s">
        <v>335</v>
      </c>
      <c r="X462" s="570" t="s">
        <v>364</v>
      </c>
      <c r="Y462" s="603">
        <v>3</v>
      </c>
      <c r="Z462" s="603">
        <v>8162</v>
      </c>
      <c r="AA462" s="603">
        <v>272</v>
      </c>
      <c r="AB462" s="603">
        <v>406</v>
      </c>
      <c r="AC462" s="603">
        <v>56</v>
      </c>
      <c r="AD462" s="603">
        <v>12</v>
      </c>
      <c r="AE462" s="604">
        <v>4</v>
      </c>
      <c r="AF462" s="604">
        <v>10</v>
      </c>
      <c r="AG462" s="604">
        <v>1</v>
      </c>
      <c r="AI462" s="542"/>
      <c r="AJ462" s="542"/>
      <c r="AK462" s="542"/>
    </row>
    <row r="463">
      <c r="A463" s="557"/>
      <c r="B463" s="584" t="s">
        <v>344</v>
      </c>
      <c r="C463" s="560" t="s">
        <v>342</v>
      </c>
      <c r="D463" s="559">
        <f t="shared" si="345"/>
      </c>
      <c r="E463" s="559">
        <v>2025.56</v>
      </c>
      <c r="F463" s="559">
        <v>672.95</v>
      </c>
      <c r="G463" s="561">
        <v>2</v>
      </c>
      <c r="H463" s="631">
        <v>4348</v>
      </c>
      <c r="I463" s="658">
        <f t="shared" si="422"/>
      </c>
      <c r="J463" s="659">
        <f t="shared" si="178"/>
      </c>
      <c r="K463" s="634">
        <f t="shared" si="237"/>
      </c>
      <c r="L463" s="596">
        <f t="shared" si="26"/>
      </c>
      <c r="M463" s="597">
        <f t="shared" si="119"/>
      </c>
      <c r="N463" s="598">
        <f t="shared" si="54"/>
      </c>
      <c r="O463" s="598">
        <f t="shared" si="484"/>
      </c>
      <c r="P463" s="597">
        <f t="shared" si="518"/>
      </c>
      <c r="Q463" s="598">
        <f t="shared" si="385"/>
      </c>
      <c r="R463" s="598">
        <f t="shared" si="450"/>
      </c>
      <c r="S463" s="599">
        <f t="shared" si="206"/>
      </c>
      <c r="T463" s="600">
        <f t="shared" si="265"/>
      </c>
      <c r="U463" s="599">
        <f t="shared" si="88"/>
      </c>
      <c r="V463" s="601">
        <f t="shared" si="147"/>
      </c>
      <c r="W463" s="602" t="s">
        <v>335</v>
      </c>
      <c r="X463" s="570" t="s">
        <v>364</v>
      </c>
      <c r="Y463" s="603">
        <v>2</v>
      </c>
      <c r="Z463" s="603">
        <v>8912</v>
      </c>
      <c r="AA463" s="603">
        <v>366</v>
      </c>
      <c r="AB463" s="603">
        <v>510</v>
      </c>
      <c r="AC463" s="603">
        <v>72</v>
      </c>
      <c r="AD463" s="603">
        <v>25</v>
      </c>
      <c r="AE463" s="604">
        <v>6</v>
      </c>
      <c r="AF463" s="604">
        <v>12</v>
      </c>
      <c r="AG463" s="604">
        <v>1</v>
      </c>
      <c r="AI463" s="542"/>
      <c r="AJ463" s="542"/>
      <c r="AK463" s="542"/>
    </row>
    <row r="464">
      <c r="A464" s="557"/>
      <c r="B464" s="584" t="s">
        <v>345</v>
      </c>
      <c r="C464" s="560" t="s">
        <v>342</v>
      </c>
      <c r="D464" s="559">
        <f t="shared" si="345"/>
      </c>
      <c r="E464" s="559">
        <v>1238.08</v>
      </c>
      <c r="F464" s="559">
        <v>500.47</v>
      </c>
      <c r="G464" s="573">
        <v>1</v>
      </c>
      <c r="H464" s="641">
        <v>2268</v>
      </c>
      <c r="I464" s="658">
        <f t="shared" si="422"/>
      </c>
      <c r="J464" s="659">
        <f t="shared" si="178"/>
      </c>
      <c r="K464" s="646">
        <f t="shared" si="237"/>
      </c>
      <c r="L464" s="596">
        <f t="shared" si="26"/>
      </c>
      <c r="M464" s="597">
        <f t="shared" si="119"/>
      </c>
      <c r="N464" s="598">
        <f t="shared" si="54"/>
      </c>
      <c r="O464" s="598">
        <f t="shared" si="484"/>
      </c>
      <c r="P464" s="597">
        <f t="shared" si="518"/>
      </c>
      <c r="Q464" s="598">
        <f t="shared" si="385"/>
      </c>
      <c r="R464" s="598">
        <f t="shared" si="450"/>
      </c>
      <c r="S464" s="599">
        <f t="shared" si="206"/>
      </c>
      <c r="T464" s="600">
        <f t="shared" si="265"/>
      </c>
      <c r="U464" s="599">
        <f t="shared" si="88"/>
      </c>
      <c r="V464" s="601">
        <f t="shared" si="147"/>
      </c>
      <c r="W464" s="602" t="s">
        <v>335</v>
      </c>
      <c r="X464" s="570" t="s">
        <v>364</v>
      </c>
      <c r="Y464" s="603">
        <v>1</v>
      </c>
      <c r="Z464" s="604">
        <v>5113</v>
      </c>
      <c r="AA464" s="604">
        <v>257</v>
      </c>
      <c r="AB464" s="604">
        <v>379</v>
      </c>
      <c r="AC464" s="604">
        <v>51</v>
      </c>
      <c r="AD464" s="603">
        <v>15</v>
      </c>
      <c r="AE464" s="604">
        <v>3</v>
      </c>
      <c r="AF464" s="604">
        <v>16</v>
      </c>
      <c r="AG464" s="604">
        <v>1</v>
      </c>
      <c r="AI464" s="542"/>
      <c r="AJ464" s="542"/>
      <c r="AK464" s="542"/>
    </row>
    <row r="465">
      <c r="A465" s="557"/>
      <c r="B465" s="586" t="s">
        <v>340</v>
      </c>
      <c r="C465" s="586"/>
      <c r="D465" s="587">
        <f>SUM(D461:D464)</f>
      </c>
      <c r="E465" s="587">
        <f>SUM(E461:E464)</f>
      </c>
      <c r="F465" s="587">
        <f>SUM(F461:F464)</f>
      </c>
      <c r="G465" s="587">
        <f>SUM(G461:G464)</f>
      </c>
      <c r="H465" s="587">
        <f>SUM(H461:H464)</f>
      </c>
      <c r="I465" s="663">
        <f t="shared" si="422"/>
      </c>
      <c r="J465" s="664">
        <f t="shared" si="178"/>
      </c>
      <c r="K465" s="647">
        <f t="shared" si="237"/>
      </c>
      <c r="L465" s="590">
        <f t="shared" si="26"/>
      </c>
      <c r="M465" s="591">
        <f t="shared" si="119"/>
      </c>
      <c r="N465" s="592">
        <f t="shared" si="54"/>
      </c>
      <c r="O465" s="592">
        <f t="shared" si="484"/>
      </c>
      <c r="P465" s="591">
        <f t="shared" si="518"/>
      </c>
      <c r="Q465" s="592">
        <f t="shared" si="385"/>
      </c>
      <c r="R465" s="592">
        <f t="shared" si="450"/>
      </c>
      <c r="S465" s="593">
        <f t="shared" si="206"/>
      </c>
      <c r="T465" s="594">
        <f t="shared" si="265"/>
      </c>
      <c r="U465" s="593">
        <f t="shared" si="88"/>
      </c>
      <c r="V465" s="595">
        <f t="shared" si="147"/>
      </c>
      <c r="W465" s="595"/>
      <c r="X465" s="595"/>
      <c r="Y465" s="587">
        <f>SUM(Y461:Y464)</f>
      </c>
      <c r="Z465" s="587">
        <f>SUM(Z461:Z464)</f>
      </c>
      <c r="AA465" s="587">
        <f>SUM(AA461:AA464)</f>
      </c>
      <c r="AB465" s="587">
        <f>SUM(AB461:AB464)</f>
      </c>
      <c r="AC465" s="587">
        <f>SUM(AC461:AC464)</f>
      </c>
      <c r="AD465" s="587">
        <f>SUM(AD461:AD464)</f>
      </c>
      <c r="AE465" s="587">
        <f>SUM(AE461:AE464)</f>
      </c>
      <c r="AF465" s="587">
        <f>SUM(AF461:AF464)</f>
      </c>
      <c r="AG465" s="587">
        <f>SUM(AG461:AG464)</f>
      </c>
      <c r="AI465" s="542"/>
      <c r="AJ465" s="542"/>
      <c r="AK465" s="542"/>
    </row>
    <row r="466">
      <c r="A466" s="557"/>
      <c r="B466" s="584" t="s">
        <v>346</v>
      </c>
      <c r="C466" s="560" t="s">
        <v>347</v>
      </c>
      <c r="D466" s="559">
        <f t="shared" ref="D466:D469" si="346">E466+F466</f>
      </c>
      <c r="E466" s="559">
        <v>2635.41</v>
      </c>
      <c r="F466" s="559">
        <v>372.51</v>
      </c>
      <c r="G466" s="561">
        <v>2</v>
      </c>
      <c r="H466" s="631">
        <v>4536</v>
      </c>
      <c r="I466" s="658">
        <f t="shared" si="422"/>
      </c>
      <c r="J466" s="659">
        <f t="shared" si="178"/>
      </c>
      <c r="K466" s="634">
        <f t="shared" si="237"/>
      </c>
      <c r="L466" s="596">
        <f t="shared" si="26"/>
      </c>
      <c r="M466" s="597">
        <f t="shared" si="119"/>
      </c>
      <c r="N466" s="598">
        <f t="shared" si="54"/>
      </c>
      <c r="O466" s="598">
        <f t="shared" si="484"/>
      </c>
      <c r="P466" s="597">
        <f t="shared" si="518"/>
      </c>
      <c r="Q466" s="598">
        <f t="shared" si="385"/>
      </c>
      <c r="R466" s="598">
        <f t="shared" si="450"/>
      </c>
      <c r="S466" s="599">
        <f t="shared" si="206"/>
      </c>
      <c r="T466" s="600">
        <f t="shared" si="265"/>
      </c>
      <c r="U466" s="599">
        <f t="shared" si="88"/>
      </c>
      <c r="V466" s="601">
        <f t="shared" si="147"/>
      </c>
      <c r="W466" s="602" t="s">
        <v>335</v>
      </c>
      <c r="X466" s="570" t="s">
        <v>356</v>
      </c>
      <c r="Y466" s="603">
        <v>2</v>
      </c>
      <c r="Z466" s="603">
        <v>9561</v>
      </c>
      <c r="AA466" s="603">
        <v>334</v>
      </c>
      <c r="AB466" s="603">
        <v>491</v>
      </c>
      <c r="AC466" s="603">
        <v>55</v>
      </c>
      <c r="AD466" s="603">
        <v>25</v>
      </c>
      <c r="AE466" s="604">
        <v>8</v>
      </c>
      <c r="AF466" s="604">
        <v>12</v>
      </c>
      <c r="AG466" s="604">
        <v>1</v>
      </c>
      <c r="AI466" s="542"/>
      <c r="AJ466" s="542"/>
      <c r="AK466" s="542"/>
    </row>
    <row r="467">
      <c r="A467" s="557"/>
      <c r="B467" s="584" t="s">
        <v>349</v>
      </c>
      <c r="C467" s="560" t="s">
        <v>347</v>
      </c>
      <c r="D467" s="559">
        <f t="shared" si="346"/>
      </c>
      <c r="E467" s="559">
        <v>2334.9</v>
      </c>
      <c r="F467" s="559">
        <v>392.41</v>
      </c>
      <c r="G467" s="573">
        <v>1</v>
      </c>
      <c r="H467" s="641">
        <v>2268</v>
      </c>
      <c r="I467" s="658">
        <f t="shared" si="422"/>
      </c>
      <c r="J467" s="659">
        <f t="shared" si="178"/>
      </c>
      <c r="K467" s="634">
        <f t="shared" si="237"/>
      </c>
      <c r="L467" s="596">
        <f t="shared" si="26"/>
      </c>
      <c r="M467" s="597">
        <f t="shared" si="119"/>
      </c>
      <c r="N467" s="598">
        <f t="shared" si="54"/>
      </c>
      <c r="O467" s="598">
        <f t="shared" si="484"/>
      </c>
      <c r="P467" s="597">
        <f t="shared" si="518"/>
      </c>
      <c r="Q467" s="598">
        <f t="shared" si="385"/>
      </c>
      <c r="R467" s="598">
        <f t="shared" si="450"/>
      </c>
      <c r="S467" s="599">
        <f t="shared" si="206"/>
      </c>
      <c r="T467" s="600">
        <f t="shared" si="265"/>
      </c>
      <c r="U467" s="599">
        <f t="shared" si="88"/>
      </c>
      <c r="V467" s="601">
        <f t="shared" si="147"/>
      </c>
      <c r="W467" s="602" t="s">
        <v>335</v>
      </c>
      <c r="X467" s="570" t="s">
        <v>356</v>
      </c>
      <c r="Y467" s="603">
        <v>1</v>
      </c>
      <c r="Z467" s="604">
        <v>10705</v>
      </c>
      <c r="AA467" s="604">
        <v>333</v>
      </c>
      <c r="AB467" s="604">
        <v>519</v>
      </c>
      <c r="AC467" s="604">
        <v>54</v>
      </c>
      <c r="AD467" s="603">
        <v>18</v>
      </c>
      <c r="AE467" s="604">
        <v>2</v>
      </c>
      <c r="AF467" s="604">
        <v>5</v>
      </c>
      <c r="AG467" s="604">
        <v>1</v>
      </c>
      <c r="AI467" s="542"/>
      <c r="AJ467" s="542"/>
      <c r="AK467" s="542"/>
    </row>
    <row r="468">
      <c r="A468" s="557"/>
      <c r="B468" s="558" t="s">
        <v>350</v>
      </c>
      <c r="C468" s="560" t="s">
        <v>347</v>
      </c>
      <c r="D468" s="559">
        <f t="shared" si="346"/>
      </c>
      <c r="E468" s="559">
        <v>1725.65</v>
      </c>
      <c r="F468" s="559">
        <v>290.04</v>
      </c>
      <c r="G468" s="573">
        <v>0</v>
      </c>
      <c r="H468" s="641">
        <v>0</v>
      </c>
      <c r="I468" s="658">
        <f t="shared" si="422"/>
      </c>
      <c r="J468" s="659">
        <f t="shared" si="178"/>
      </c>
      <c r="K468" s="634">
        <f t="shared" si="237"/>
      </c>
      <c r="L468" s="596">
        <f t="shared" si="26"/>
      </c>
      <c r="M468" s="597">
        <f t="shared" si="119"/>
      </c>
      <c r="N468" s="598">
        <f t="shared" si="54"/>
      </c>
      <c r="O468" s="598">
        <f t="shared" si="484"/>
      </c>
      <c r="P468" s="597">
        <f t="shared" si="518"/>
      </c>
      <c r="Q468" s="598">
        <f t="shared" si="385"/>
      </c>
      <c r="R468" s="598">
        <f t="shared" si="450"/>
      </c>
      <c r="S468" s="599">
        <f t="shared" si="206"/>
      </c>
      <c r="T468" s="600">
        <f t="shared" si="265"/>
      </c>
      <c r="U468" s="599">
        <f t="shared" si="88"/>
      </c>
      <c r="V468" s="601">
        <f t="shared" si="147"/>
      </c>
      <c r="W468" s="602" t="s">
        <v>335</v>
      </c>
      <c r="X468" s="570" t="s">
        <v>356</v>
      </c>
      <c r="Y468" s="603">
        <v>0</v>
      </c>
      <c r="Z468" s="604">
        <v>9312</v>
      </c>
      <c r="AA468" s="604">
        <v>289</v>
      </c>
      <c r="AB468" s="604">
        <v>430</v>
      </c>
      <c r="AC468" s="604">
        <v>68</v>
      </c>
      <c r="AD468" s="603">
        <v>17</v>
      </c>
      <c r="AE468" s="604">
        <v>4</v>
      </c>
      <c r="AF468" s="604">
        <v>5</v>
      </c>
      <c r="AG468" s="604">
        <v>1</v>
      </c>
      <c r="AI468" s="542"/>
      <c r="AJ468" s="542"/>
      <c r="AK468" s="542"/>
    </row>
    <row r="469">
      <c r="A469" s="557"/>
      <c r="B469" s="558" t="s">
        <v>351</v>
      </c>
      <c r="C469" s="560" t="s">
        <v>347</v>
      </c>
      <c r="D469" s="559">
        <f t="shared" si="346"/>
      </c>
      <c r="E469" s="559">
        <v>1275.2</v>
      </c>
      <c r="F469" s="559">
        <v>387.54</v>
      </c>
      <c r="G469" s="573">
        <v>1</v>
      </c>
      <c r="H469" s="641">
        <v>948</v>
      </c>
      <c r="I469" s="658">
        <f t="shared" si="422"/>
      </c>
      <c r="J469" s="659">
        <f t="shared" si="178"/>
      </c>
      <c r="K469" s="646">
        <f t="shared" si="237"/>
      </c>
      <c r="L469" s="596">
        <f t="shared" si="26"/>
      </c>
      <c r="M469" s="597">
        <f t="shared" si="119"/>
      </c>
      <c r="N469" s="598">
        <f t="shared" si="54"/>
      </c>
      <c r="O469" s="598">
        <f t="shared" si="484"/>
      </c>
      <c r="P469" s="597">
        <f t="shared" si="518"/>
      </c>
      <c r="Q469" s="598">
        <f t="shared" si="385"/>
      </c>
      <c r="R469" s="598">
        <f t="shared" si="450"/>
      </c>
      <c r="S469" s="599">
        <f t="shared" si="206"/>
      </c>
      <c r="T469" s="600">
        <f t="shared" si="265"/>
      </c>
      <c r="U469" s="599">
        <f t="shared" si="88"/>
      </c>
      <c r="V469" s="601">
        <f t="shared" si="147"/>
      </c>
      <c r="W469" s="602" t="s">
        <v>335</v>
      </c>
      <c r="X469" s="570" t="s">
        <v>356</v>
      </c>
      <c r="Y469" s="604">
        <v>0</v>
      </c>
      <c r="Z469" s="680">
        <v>7432</v>
      </c>
      <c r="AA469" s="604">
        <v>259</v>
      </c>
      <c r="AB469" s="604">
        <v>383</v>
      </c>
      <c r="AC469" s="604">
        <v>51</v>
      </c>
      <c r="AD469" s="603">
        <v>16</v>
      </c>
      <c r="AE469" s="604">
        <v>1</v>
      </c>
      <c r="AF469" s="604">
        <v>8</v>
      </c>
      <c r="AG469" s="604">
        <v>1</v>
      </c>
      <c r="AI469" s="542"/>
      <c r="AJ469" s="542"/>
      <c r="AK469" s="542"/>
    </row>
    <row r="470">
      <c r="A470" s="557"/>
      <c r="B470" s="586" t="s">
        <v>340</v>
      </c>
      <c r="C470" s="586"/>
      <c r="D470" s="587">
        <f>SUM(D466:D469)</f>
      </c>
      <c r="E470" s="587">
        <f>SUM(E466:E469)</f>
      </c>
      <c r="F470" s="587">
        <f>SUM(F466:F469)</f>
      </c>
      <c r="G470" s="587">
        <f>SUM(G466:G469)</f>
      </c>
      <c r="H470" s="587">
        <f>SUM(H466:H469)</f>
      </c>
      <c r="I470" s="663">
        <f t="shared" si="422"/>
      </c>
      <c r="J470" s="664">
        <f t="shared" si="178"/>
      </c>
      <c r="K470" s="647">
        <f t="shared" si="237"/>
      </c>
      <c r="L470" s="590">
        <f t="shared" si="26"/>
      </c>
      <c r="M470" s="591">
        <f t="shared" si="119"/>
      </c>
      <c r="N470" s="592">
        <f t="shared" si="54"/>
      </c>
      <c r="O470" s="592">
        <f t="shared" si="484"/>
      </c>
      <c r="P470" s="591">
        <f t="shared" si="518"/>
      </c>
      <c r="Q470" s="592">
        <f t="shared" si="385"/>
      </c>
      <c r="R470" s="592">
        <f t="shared" si="450"/>
      </c>
      <c r="S470" s="593">
        <f t="shared" si="206"/>
      </c>
      <c r="T470" s="594">
        <f t="shared" si="265"/>
      </c>
      <c r="U470" s="593">
        <f t="shared" si="88"/>
      </c>
      <c r="V470" s="595">
        <f t="shared" si="147"/>
      </c>
      <c r="W470" s="595"/>
      <c r="X470" s="595"/>
      <c r="Y470" s="587">
        <f>SUM(Y466:Y469)</f>
      </c>
      <c r="Z470" s="587">
        <f>SUM(Z466:Z469)</f>
      </c>
      <c r="AA470" s="587">
        <f>SUM(AA466:AA469)</f>
      </c>
      <c r="AB470" s="587">
        <f>SUM(AB466:AB469)</f>
      </c>
      <c r="AC470" s="587">
        <f>SUM(AC466:AC469)</f>
      </c>
      <c r="AD470" s="587">
        <f>SUM(AD466:AD469)</f>
      </c>
      <c r="AE470" s="587">
        <f>SUM(AE466:AE469)</f>
      </c>
      <c r="AF470" s="587">
        <f>SUM(AF466:AF469)</f>
      </c>
      <c r="AG470" s="587">
        <f>SUM(AG466:AG469)</f>
      </c>
      <c r="AI470" s="542"/>
      <c r="AJ470" s="542"/>
      <c r="AK470" s="542"/>
    </row>
    <row r="471">
      <c r="A471" s="557"/>
      <c r="B471" s="607" t="s">
        <v>352</v>
      </c>
      <c r="C471" s="607"/>
      <c r="D471" s="607">
        <f>D460+D465+D470</f>
      </c>
      <c r="E471" s="607">
        <f>E460+E465+E470</f>
      </c>
      <c r="F471" s="607">
        <f>F460+F465+F470</f>
      </c>
      <c r="G471" s="607">
        <f>G460+G465+G470</f>
      </c>
      <c r="H471" s="607">
        <f>H460+H465+H470</f>
      </c>
      <c r="I471" s="608">
        <f t="shared" si="422"/>
      </c>
      <c r="J471" s="608">
        <f t="shared" si="178"/>
      </c>
      <c r="K471" s="651">
        <f t="shared" si="237"/>
      </c>
      <c r="L471" s="610">
        <f t="shared" si="26"/>
      </c>
      <c r="M471" s="611">
        <f t="shared" si="119"/>
      </c>
      <c r="N471" s="612">
        <f t="shared" si="54"/>
      </c>
      <c r="O471" s="612">
        <f t="shared" si="484"/>
      </c>
      <c r="P471" s="611">
        <f t="shared" si="518"/>
      </c>
      <c r="Q471" s="612">
        <f t="shared" si="385"/>
      </c>
      <c r="R471" s="612">
        <f t="shared" si="450"/>
      </c>
      <c r="S471" s="611">
        <f t="shared" si="206"/>
      </c>
      <c r="T471" s="613">
        <f t="shared" si="265"/>
      </c>
      <c r="U471" s="611">
        <f t="shared" si="88"/>
      </c>
      <c r="V471" s="609">
        <f t="shared" si="147"/>
      </c>
      <c r="W471" s="609"/>
      <c r="X471" s="609"/>
      <c r="Y471" s="607">
        <f>Y460+Y465+Y470</f>
      </c>
      <c r="Z471" s="607">
        <f>Z460+Z465+Z470</f>
      </c>
      <c r="AA471" s="607">
        <f>AA460+AA465+AA470</f>
      </c>
      <c r="AB471" s="607">
        <f>AB460+AB465+AB470</f>
      </c>
      <c r="AC471" s="607">
        <f>AC460+AC465+AC470</f>
      </c>
      <c r="AD471" s="607">
        <f>AD460+AD465+AD470</f>
      </c>
      <c r="AE471" s="607">
        <f>AE460+AE465+AE470</f>
      </c>
      <c r="AF471" s="607">
        <f>AF460+AF465+AF470</f>
      </c>
      <c r="AG471" s="607">
        <f>AG460+AG465+AG470</f>
      </c>
      <c r="AI471" s="542"/>
      <c r="AJ471" s="542"/>
      <c r="AK471" s="542"/>
    </row>
    <row r="472">
      <c r="A472" s="538" t="s">
        <v>295</v>
      </c>
      <c r="B472" s="538"/>
      <c r="C472" s="538"/>
      <c r="D472" s="614" t="s">
        <v>296</v>
      </c>
      <c r="E472" s="614"/>
      <c r="F472" s="614"/>
      <c r="G472" s="614"/>
      <c r="H472" s="614"/>
      <c r="I472" s="614"/>
      <c r="J472" s="614"/>
      <c r="K472" s="540" t="s">
        <v>297</v>
      </c>
      <c r="L472" s="540"/>
      <c r="M472" s="540"/>
      <c r="N472" s="540"/>
      <c r="O472" s="540"/>
      <c r="P472" s="540"/>
      <c r="Q472" s="540"/>
      <c r="R472" s="540"/>
      <c r="S472" s="540"/>
      <c r="T472" s="540"/>
      <c r="U472" s="540"/>
      <c r="V472" s="540"/>
      <c r="W472" s="540"/>
      <c r="X472" s="540"/>
      <c r="Y472" s="541" t="s">
        <v>298</v>
      </c>
      <c r="Z472" s="541"/>
      <c r="AA472" s="541"/>
      <c r="AB472" s="541"/>
      <c r="AC472" s="541"/>
      <c r="AD472" s="541"/>
      <c r="AE472" s="541"/>
      <c r="AF472" s="541"/>
      <c r="AG472" s="541"/>
      <c r="AI472" s="542"/>
      <c r="AJ472" s="542"/>
      <c r="AK472" s="542"/>
    </row>
    <row r="473">
      <c r="A473" s="543" t="s">
        <v>299</v>
      </c>
      <c r="B473" s="544" t="s">
        <v>300</v>
      </c>
      <c r="C473" s="544" t="s">
        <v>301</v>
      </c>
      <c r="D473" s="545" t="s">
        <v>302</v>
      </c>
      <c r="E473" s="546" t="s">
        <v>303</v>
      </c>
      <c r="F473" s="546" t="s">
        <v>304</v>
      </c>
      <c r="G473" s="547" t="s">
        <v>305</v>
      </c>
      <c r="H473" s="548" t="s">
        <v>306</v>
      </c>
      <c r="I473" s="630" t="s">
        <v>307</v>
      </c>
      <c r="J473" s="630" t="s">
        <v>308</v>
      </c>
      <c r="K473" s="551" t="s">
        <v>309</v>
      </c>
      <c r="L473" s="551" t="s">
        <v>310</v>
      </c>
      <c r="M473" s="551" t="s">
        <v>311</v>
      </c>
      <c r="N473" s="669" t="s">
        <v>312</v>
      </c>
      <c r="O473" s="669" t="s">
        <v>313</v>
      </c>
      <c r="P473" s="551" t="s">
        <v>314</v>
      </c>
      <c r="Q473" s="669" t="s">
        <v>315</v>
      </c>
      <c r="R473" s="669" t="s">
        <v>316</v>
      </c>
      <c r="S473" s="551" t="s">
        <v>317</v>
      </c>
      <c r="T473" s="669" t="s">
        <v>318</v>
      </c>
      <c r="U473" s="551" t="s">
        <v>319</v>
      </c>
      <c r="V473" s="553" t="s">
        <v>320</v>
      </c>
      <c r="W473" s="553" t="s">
        <v>321</v>
      </c>
      <c r="X473" s="553" t="s">
        <v>322</v>
      </c>
      <c r="Y473" s="618" t="s">
        <v>323</v>
      </c>
      <c r="Z473" s="619" t="s">
        <v>324</v>
      </c>
      <c r="AA473" s="619" t="s">
        <v>325</v>
      </c>
      <c r="AB473" s="619" t="s">
        <v>326</v>
      </c>
      <c r="AC473" s="619" t="s">
        <v>327</v>
      </c>
      <c r="AD473" s="619" t="s">
        <v>328</v>
      </c>
      <c r="AE473" s="555" t="s">
        <v>329</v>
      </c>
      <c r="AF473" s="555" t="s">
        <v>330</v>
      </c>
      <c r="AG473" s="555" t="s">
        <v>331</v>
      </c>
      <c r="AI473" s="542"/>
      <c r="AJ473" s="542"/>
      <c r="AK473" s="542"/>
    </row>
    <row r="474">
      <c r="A474" s="557" t="s">
        <v>386</v>
      </c>
      <c r="B474" s="584" t="s">
        <v>333</v>
      </c>
      <c r="C474" s="560" t="s">
        <v>347</v>
      </c>
      <c r="D474" s="620">
        <f t="shared" ref="D474:D477" si="347">E474+F474</f>
      </c>
      <c r="E474" s="681">
        <v>2273.37</v>
      </c>
      <c r="F474" s="558">
        <v>430.43</v>
      </c>
      <c r="G474" s="561">
        <v>1</v>
      </c>
      <c r="H474" s="631">
        <v>948</v>
      </c>
      <c r="I474" s="652">
        <f t="shared" ref="I474:I489" si="423">H474/D474</f>
      </c>
      <c r="J474" s="670">
        <f t="shared" ref="J474:J489" si="179">H474/(D474+300*AG474)</f>
      </c>
      <c r="K474" s="671">
        <f t="shared" ref="K474:K489" si="238">(D474/Z474)*1000</f>
      </c>
      <c r="L474" s="667">
        <f t="shared" ref="L474:L489" si="27">AA474/Z474</f>
      </c>
      <c r="M474" s="661">
        <f t="shared" ref="M474:M489" si="120">D474/AB474</f>
      </c>
      <c r="N474" s="675">
        <f t="shared" ref="N474:N489" si="55">AC474/AB474</f>
      </c>
      <c r="O474" s="667">
        <f t="shared" ref="O474:O489" si="485">AD474/AB474</f>
      </c>
      <c r="P474" s="661">
        <f t="shared" ref="P474:P489" si="519">D474/AD474</f>
      </c>
      <c r="Q474" s="667">
        <f t="shared" ref="Q474:Q489" si="386">AE474/AD474</f>
      </c>
      <c r="R474" s="676">
        <f t="shared" ref="R474:R489" si="451">G474/AE474</f>
      </c>
      <c r="S474" s="661">
        <f t="shared" ref="S474:S489" si="207">D474/G474</f>
      </c>
      <c r="T474" s="578">
        <f t="shared" ref="T474:T489" si="266">H474/G474</f>
      </c>
      <c r="U474" s="661">
        <f t="shared" ref="U474:U489" si="89">D474/Y474</f>
      </c>
      <c r="V474" s="672">
        <f t="shared" ref="V474:V489" si="148">AF474*1000/D474</f>
      </c>
      <c r="W474" s="569" t="s">
        <v>335</v>
      </c>
      <c r="X474" s="622" t="s">
        <v>348</v>
      </c>
      <c r="Y474" s="635">
        <v>1</v>
      </c>
      <c r="Z474" s="656">
        <v>9332</v>
      </c>
      <c r="AA474" s="657">
        <v>338</v>
      </c>
      <c r="AB474" s="624">
        <v>467</v>
      </c>
      <c r="AC474" s="625">
        <v>84</v>
      </c>
      <c r="AD474" s="571">
        <v>36</v>
      </c>
      <c r="AE474" s="625">
        <v>2</v>
      </c>
      <c r="AF474" s="571">
        <v>17</v>
      </c>
      <c r="AG474" s="571">
        <v>1</v>
      </c>
      <c r="AI474" s="542"/>
      <c r="AJ474" s="542"/>
      <c r="AK474" s="542"/>
    </row>
    <row r="475">
      <c r="A475" s="557"/>
      <c r="B475" s="584" t="s">
        <v>337</v>
      </c>
      <c r="C475" s="560" t="s">
        <v>347</v>
      </c>
      <c r="D475" s="620">
        <f t="shared" si="347"/>
      </c>
      <c r="E475" s="682">
        <v>2739.45</v>
      </c>
      <c r="F475" s="560">
        <v>550.98</v>
      </c>
      <c r="G475" s="561">
        <v>4</v>
      </c>
      <c r="H475" s="631">
        <v>7752</v>
      </c>
      <c r="I475" s="658">
        <f t="shared" si="423"/>
      </c>
      <c r="J475" s="562">
        <f t="shared" si="179"/>
      </c>
      <c r="K475" s="671">
        <f t="shared" si="238"/>
      </c>
      <c r="L475" s="667">
        <f t="shared" si="27"/>
      </c>
      <c r="M475" s="679">
        <f t="shared" si="120"/>
      </c>
      <c r="N475" s="675">
        <f t="shared" si="55"/>
      </c>
      <c r="O475" s="667">
        <f t="shared" si="485"/>
      </c>
      <c r="P475" s="661">
        <f t="shared" si="519"/>
      </c>
      <c r="Q475" s="667">
        <f t="shared" si="386"/>
      </c>
      <c r="R475" s="676">
        <f t="shared" si="451"/>
      </c>
      <c r="S475" s="661">
        <f t="shared" si="207"/>
      </c>
      <c r="T475" s="578">
        <f t="shared" si="266"/>
      </c>
      <c r="U475" s="661">
        <f t="shared" si="89"/>
      </c>
      <c r="V475" s="673">
        <f t="shared" si="148"/>
      </c>
      <c r="W475" s="581" t="s">
        <v>335</v>
      </c>
      <c r="X475" s="622" t="s">
        <v>348</v>
      </c>
      <c r="Y475" s="639">
        <v>4</v>
      </c>
      <c r="Z475" s="656">
        <v>10552</v>
      </c>
      <c r="AA475" s="572">
        <v>379</v>
      </c>
      <c r="AB475" s="662">
        <v>544</v>
      </c>
      <c r="AC475" s="572">
        <v>97</v>
      </c>
      <c r="AD475" s="572">
        <v>25</v>
      </c>
      <c r="AE475" s="628">
        <v>6</v>
      </c>
      <c r="AF475" s="583">
        <v>24</v>
      </c>
      <c r="AG475" s="571">
        <v>1</v>
      </c>
      <c r="AI475" s="542"/>
      <c r="AJ475" s="542"/>
      <c r="AK475" s="542"/>
    </row>
    <row r="476">
      <c r="A476" s="557"/>
      <c r="B476" s="584" t="s">
        <v>338</v>
      </c>
      <c r="C476" s="560" t="s">
        <v>347</v>
      </c>
      <c r="D476" s="620">
        <f t="shared" si="347"/>
      </c>
      <c r="E476" s="560">
        <v>3029.81</v>
      </c>
      <c r="F476" s="560">
        <v>778.38</v>
      </c>
      <c r="G476" s="561">
        <v>3</v>
      </c>
      <c r="H476" s="631">
        <v>6804</v>
      </c>
      <c r="I476" s="658">
        <f t="shared" si="423"/>
      </c>
      <c r="J476" s="562">
        <f t="shared" si="179"/>
      </c>
      <c r="K476" s="671">
        <f t="shared" si="238"/>
      </c>
      <c r="L476" s="675">
        <f t="shared" si="27"/>
      </c>
      <c r="M476" s="661">
        <f t="shared" si="120"/>
      </c>
      <c r="N476" s="676">
        <f t="shared" si="55"/>
      </c>
      <c r="O476" s="677">
        <f t="shared" si="485"/>
      </c>
      <c r="P476" s="678">
        <f t="shared" si="519"/>
      </c>
      <c r="Q476" s="677">
        <f t="shared" si="386"/>
      </c>
      <c r="R476" s="667">
        <f t="shared" si="451"/>
      </c>
      <c r="S476" s="661">
        <f t="shared" si="207"/>
      </c>
      <c r="T476" s="578">
        <f t="shared" si="266"/>
      </c>
      <c r="U476" s="661">
        <f t="shared" si="89"/>
      </c>
      <c r="V476" s="673">
        <f t="shared" si="148"/>
      </c>
      <c r="W476" s="581" t="s">
        <v>335</v>
      </c>
      <c r="X476" s="622" t="s">
        <v>348</v>
      </c>
      <c r="Y476" s="683">
        <v>3</v>
      </c>
      <c r="Z476" s="572">
        <v>11681</v>
      </c>
      <c r="AA476" s="572">
        <v>390</v>
      </c>
      <c r="AB476" s="572">
        <v>568</v>
      </c>
      <c r="AC476" s="572">
        <v>93</v>
      </c>
      <c r="AD476" s="572">
        <v>3</v>
      </c>
      <c r="AE476" s="628">
        <v>4</v>
      </c>
      <c r="AF476" s="583">
        <v>11</v>
      </c>
      <c r="AG476" s="571">
        <v>1</v>
      </c>
      <c r="AI476" s="542"/>
      <c r="AJ476" s="542"/>
      <c r="AK476" s="542"/>
    </row>
    <row r="477">
      <c r="A477" s="557"/>
      <c r="B477" s="584" t="s">
        <v>339</v>
      </c>
      <c r="C477" s="560" t="s">
        <v>347</v>
      </c>
      <c r="D477" s="620">
        <f t="shared" si="347"/>
      </c>
      <c r="E477" s="560">
        <v>1984.62</v>
      </c>
      <c r="F477" s="560">
        <v>755.5</v>
      </c>
      <c r="G477" s="561">
        <v>0</v>
      </c>
      <c r="H477" s="631">
        <v>0</v>
      </c>
      <c r="I477" s="658">
        <f t="shared" si="423"/>
      </c>
      <c r="J477" s="562">
        <f t="shared" si="179"/>
      </c>
      <c r="K477" s="671">
        <f t="shared" si="238"/>
      </c>
      <c r="L477" s="667">
        <f t="shared" si="27"/>
      </c>
      <c r="M477" s="678">
        <f t="shared" si="120"/>
      </c>
      <c r="N477" s="667">
        <f t="shared" si="55"/>
      </c>
      <c r="O477" s="667">
        <f t="shared" si="485"/>
      </c>
      <c r="P477" s="661">
        <f t="shared" si="519"/>
      </c>
      <c r="Q477" s="667">
        <f t="shared" si="386"/>
      </c>
      <c r="R477" s="667">
        <f t="shared" si="451"/>
      </c>
      <c r="S477" s="661">
        <f t="shared" si="207"/>
      </c>
      <c r="T477" s="578">
        <f t="shared" si="266"/>
      </c>
      <c r="U477" s="661">
        <f t="shared" si="89"/>
      </c>
      <c r="V477" s="673">
        <f t="shared" si="148"/>
      </c>
      <c r="W477" s="581" t="s">
        <v>335</v>
      </c>
      <c r="X477" s="622" t="s">
        <v>348</v>
      </c>
      <c r="Y477" s="571">
        <v>0</v>
      </c>
      <c r="Z477" s="572">
        <v>9122</v>
      </c>
      <c r="AA477" s="572">
        <v>294</v>
      </c>
      <c r="AB477" s="572">
        <v>435</v>
      </c>
      <c r="AC477" s="572">
        <v>63</v>
      </c>
      <c r="AD477" s="572">
        <v>23</v>
      </c>
      <c r="AE477" s="628">
        <v>2</v>
      </c>
      <c r="AF477" s="583">
        <v>14</v>
      </c>
      <c r="AG477" s="571">
        <v>1</v>
      </c>
      <c r="AI477" s="542"/>
      <c r="AJ477" s="542"/>
      <c r="AK477" s="542"/>
    </row>
    <row r="478">
      <c r="A478" s="557"/>
      <c r="B478" s="586" t="s">
        <v>340</v>
      </c>
      <c r="C478" s="586"/>
      <c r="D478" s="587">
        <f>SUM(D474:D477)</f>
      </c>
      <c r="E478" s="587">
        <f>SUM(E474:E477)</f>
      </c>
      <c r="F478" s="587">
        <f>SUM(F474:F477)</f>
      </c>
      <c r="G478" s="587">
        <f>SUM(G474:G477)</f>
      </c>
      <c r="H478" s="587">
        <f>SUM(H474:H477)</f>
      </c>
      <c r="I478" s="663">
        <f t="shared" si="423"/>
      </c>
      <c r="J478" s="664">
        <f t="shared" si="179"/>
      </c>
      <c r="K478" s="645">
        <f t="shared" si="238"/>
      </c>
      <c r="L478" s="590">
        <f t="shared" si="27"/>
      </c>
      <c r="M478" s="591">
        <f t="shared" si="120"/>
      </c>
      <c r="N478" s="592">
        <f t="shared" si="55"/>
      </c>
      <c r="O478" s="592">
        <f t="shared" si="485"/>
      </c>
      <c r="P478" s="591">
        <f t="shared" si="519"/>
      </c>
      <c r="Q478" s="592">
        <f t="shared" si="386"/>
      </c>
      <c r="R478" s="592">
        <f t="shared" si="451"/>
      </c>
      <c r="S478" s="593">
        <f t="shared" si="207"/>
      </c>
      <c r="T478" s="594">
        <f t="shared" si="266"/>
      </c>
      <c r="U478" s="593">
        <f t="shared" si="89"/>
      </c>
      <c r="V478" s="595">
        <f t="shared" si="148"/>
      </c>
      <c r="W478" s="595"/>
      <c r="X478" s="595"/>
      <c r="Y478" s="587">
        <f>SUM(Y474:Y477)</f>
      </c>
      <c r="Z478" s="587">
        <f>SUM(Z474:Z477)</f>
      </c>
      <c r="AA478" s="587">
        <f>SUM(AA474:AA477)</f>
      </c>
      <c r="AB478" s="587">
        <f>SUM(AB474:AB477)</f>
      </c>
      <c r="AC478" s="587">
        <f>SUM(AC474:AC477)</f>
      </c>
      <c r="AD478" s="587">
        <f>SUM(AD474:AD477)</f>
      </c>
      <c r="AE478" s="587">
        <f>SUM(AE474:AE477)</f>
      </c>
      <c r="AF478" s="587">
        <f>SUM(AF474:AF477)</f>
      </c>
      <c r="AG478" s="587">
        <f>SUM(AG474:AG477)</f>
      </c>
      <c r="AI478" s="542"/>
      <c r="AJ478" s="542"/>
      <c r="AK478" s="542"/>
    </row>
    <row r="479">
      <c r="A479" s="557"/>
      <c r="B479" s="558" t="s">
        <v>341</v>
      </c>
      <c r="C479" s="560" t="s">
        <v>342</v>
      </c>
      <c r="D479" s="559">
        <f t="shared" ref="D479:D482" si="348">E479+F479</f>
      </c>
      <c r="E479" s="560">
        <v>1453.51</v>
      </c>
      <c r="F479" s="560">
        <v>244.42</v>
      </c>
      <c r="G479" s="561">
        <v>1</v>
      </c>
      <c r="H479" s="631">
        <v>2268</v>
      </c>
      <c r="I479" s="658">
        <f t="shared" si="423"/>
      </c>
      <c r="J479" s="659">
        <f t="shared" si="179"/>
      </c>
      <c r="K479" s="634">
        <f t="shared" si="238"/>
      </c>
      <c r="L479" s="596">
        <f t="shared" si="27"/>
      </c>
      <c r="M479" s="597">
        <f t="shared" si="120"/>
      </c>
      <c r="N479" s="598">
        <f t="shared" si="55"/>
      </c>
      <c r="O479" s="598">
        <f t="shared" si="485"/>
      </c>
      <c r="P479" s="597">
        <f t="shared" si="519"/>
      </c>
      <c r="Q479" s="598">
        <f t="shared" si="386"/>
      </c>
      <c r="R479" s="598">
        <f t="shared" si="451"/>
      </c>
      <c r="S479" s="599">
        <f t="shared" si="207"/>
      </c>
      <c r="T479" s="600">
        <f t="shared" si="266"/>
      </c>
      <c r="U479" s="599">
        <f t="shared" si="89"/>
      </c>
      <c r="V479" s="601">
        <f t="shared" si="148"/>
      </c>
      <c r="W479" s="602" t="s">
        <v>335</v>
      </c>
      <c r="X479" s="622" t="s">
        <v>348</v>
      </c>
      <c r="Y479" s="604">
        <v>1</v>
      </c>
      <c r="Z479" s="603">
        <v>6906</v>
      </c>
      <c r="AA479" s="603">
        <v>192</v>
      </c>
      <c r="AB479" s="603">
        <v>354</v>
      </c>
      <c r="AC479" s="603">
        <v>41</v>
      </c>
      <c r="AD479" s="603">
        <v>6</v>
      </c>
      <c r="AE479" s="604">
        <v>5</v>
      </c>
      <c r="AF479" s="604">
        <v>9</v>
      </c>
      <c r="AG479" s="604">
        <v>1</v>
      </c>
      <c r="AI479" s="542"/>
      <c r="AJ479" s="542"/>
      <c r="AK479" s="542"/>
    </row>
    <row r="480">
      <c r="A480" s="557"/>
      <c r="B480" s="584" t="s">
        <v>343</v>
      </c>
      <c r="C480" s="560" t="s">
        <v>342</v>
      </c>
      <c r="D480" s="559">
        <f t="shared" si="348"/>
      </c>
      <c r="E480" s="560">
        <v>1328.64</v>
      </c>
      <c r="F480" s="560">
        <v>522.72</v>
      </c>
      <c r="G480" s="573">
        <v>3</v>
      </c>
      <c r="H480" s="641">
        <v>1827.5600000000013</v>
      </c>
      <c r="I480" s="658">
        <f t="shared" si="423"/>
      </c>
      <c r="J480" s="659">
        <f t="shared" si="179"/>
      </c>
      <c r="K480" s="634">
        <f t="shared" si="238"/>
      </c>
      <c r="L480" s="596">
        <f t="shared" si="27"/>
      </c>
      <c r="M480" s="597">
        <f t="shared" si="120"/>
      </c>
      <c r="N480" s="598">
        <f t="shared" si="55"/>
      </c>
      <c r="O480" s="598">
        <f t="shared" si="485"/>
      </c>
      <c r="P480" s="597">
        <f t="shared" si="519"/>
      </c>
      <c r="Q480" s="598">
        <f t="shared" si="386"/>
      </c>
      <c r="R480" s="598">
        <f t="shared" si="451"/>
      </c>
      <c r="S480" s="599">
        <f t="shared" si="207"/>
      </c>
      <c r="T480" s="600">
        <f t="shared" si="266"/>
      </c>
      <c r="U480" s="599">
        <f t="shared" si="89"/>
      </c>
      <c r="V480" s="601">
        <f t="shared" si="148"/>
      </c>
      <c r="W480" s="602" t="s">
        <v>335</v>
      </c>
      <c r="X480" s="622" t="s">
        <v>348</v>
      </c>
      <c r="Y480" s="604">
        <v>1</v>
      </c>
      <c r="Z480" s="603">
        <v>8247</v>
      </c>
      <c r="AA480" s="603">
        <v>308</v>
      </c>
      <c r="AB480" s="603">
        <v>501</v>
      </c>
      <c r="AC480" s="603">
        <v>69</v>
      </c>
      <c r="AD480" s="603">
        <v>14</v>
      </c>
      <c r="AE480" s="604">
        <v>5</v>
      </c>
      <c r="AF480" s="604">
        <v>8</v>
      </c>
      <c r="AG480" s="604">
        <v>1</v>
      </c>
      <c r="AI480" s="542"/>
      <c r="AJ480" s="542"/>
      <c r="AK480" s="542"/>
    </row>
    <row r="481">
      <c r="A481" s="557"/>
      <c r="B481" s="584" t="s">
        <v>344</v>
      </c>
      <c r="C481" s="560" t="s">
        <v>342</v>
      </c>
      <c r="D481" s="559">
        <f t="shared" si="348"/>
      </c>
      <c r="E481" s="560">
        <v>897.4</v>
      </c>
      <c r="F481" s="560">
        <v>392.58</v>
      </c>
      <c r="G481" s="561">
        <v>1</v>
      </c>
      <c r="H481" s="631">
        <v>947.9999999999964</v>
      </c>
      <c r="I481" s="658">
        <f t="shared" si="423"/>
      </c>
      <c r="J481" s="659">
        <f t="shared" si="179"/>
      </c>
      <c r="K481" s="634">
        <f t="shared" si="238"/>
      </c>
      <c r="L481" s="596">
        <f t="shared" si="27"/>
      </c>
      <c r="M481" s="597">
        <f t="shared" si="120"/>
      </c>
      <c r="N481" s="598">
        <f t="shared" si="55"/>
      </c>
      <c r="O481" s="598">
        <f t="shared" si="485"/>
      </c>
      <c r="P481" s="597">
        <f t="shared" si="519"/>
      </c>
      <c r="Q481" s="598">
        <f t="shared" si="386"/>
      </c>
      <c r="R481" s="598">
        <f t="shared" si="451"/>
      </c>
      <c r="S481" s="599">
        <f t="shared" si="207"/>
      </c>
      <c r="T481" s="600">
        <f t="shared" si="266"/>
      </c>
      <c r="U481" s="599">
        <f t="shared" si="89"/>
      </c>
      <c r="V481" s="601">
        <f t="shared" si="148"/>
      </c>
      <c r="W481" s="602" t="s">
        <v>335</v>
      </c>
      <c r="X481" s="622" t="s">
        <v>348</v>
      </c>
      <c r="Y481" s="604">
        <v>1</v>
      </c>
      <c r="Z481" s="603">
        <v>3872</v>
      </c>
      <c r="AA481" s="603">
        <v>184</v>
      </c>
      <c r="AB481" s="603">
        <v>302</v>
      </c>
      <c r="AC481" s="603">
        <v>36</v>
      </c>
      <c r="AD481" s="603">
        <v>12</v>
      </c>
      <c r="AE481" s="604">
        <v>3</v>
      </c>
      <c r="AF481" s="604">
        <v>6</v>
      </c>
      <c r="AG481" s="604">
        <v>1</v>
      </c>
      <c r="AI481" s="542"/>
      <c r="AJ481" s="542"/>
      <c r="AK481" s="542"/>
    </row>
    <row r="482">
      <c r="A482" s="557"/>
      <c r="B482" s="584" t="s">
        <v>345</v>
      </c>
      <c r="C482" s="560" t="s">
        <v>342</v>
      </c>
      <c r="D482" s="559">
        <f t="shared" si="348"/>
      </c>
      <c r="E482" s="559">
        <v>1893.52</v>
      </c>
      <c r="F482" s="559">
        <v>646.36</v>
      </c>
      <c r="G482" s="573">
        <v>2</v>
      </c>
      <c r="H482" s="641">
        <v>3028</v>
      </c>
      <c r="I482" s="658">
        <f t="shared" si="423"/>
      </c>
      <c r="J482" s="659">
        <f t="shared" si="179"/>
      </c>
      <c r="K482" s="646">
        <f t="shared" si="238"/>
      </c>
      <c r="L482" s="596">
        <f t="shared" si="27"/>
      </c>
      <c r="M482" s="597">
        <f t="shared" si="120"/>
      </c>
      <c r="N482" s="598">
        <f t="shared" si="55"/>
      </c>
      <c r="O482" s="598">
        <f t="shared" si="485"/>
      </c>
      <c r="P482" s="597">
        <f t="shared" si="519"/>
      </c>
      <c r="Q482" s="598">
        <f t="shared" si="386"/>
      </c>
      <c r="R482" s="598">
        <f t="shared" si="451"/>
      </c>
      <c r="S482" s="599">
        <f t="shared" si="207"/>
      </c>
      <c r="T482" s="600">
        <f t="shared" si="266"/>
      </c>
      <c r="U482" s="599">
        <f t="shared" si="89"/>
      </c>
      <c r="V482" s="601">
        <f t="shared" si="148"/>
      </c>
      <c r="W482" s="602" t="s">
        <v>335</v>
      </c>
      <c r="X482" s="622" t="s">
        <v>348</v>
      </c>
      <c r="Y482" s="604">
        <v>1</v>
      </c>
      <c r="Z482" s="604">
        <v>6992</v>
      </c>
      <c r="AA482" s="604">
        <v>244</v>
      </c>
      <c r="AB482" s="604">
        <v>414</v>
      </c>
      <c r="AC482" s="604">
        <v>55</v>
      </c>
      <c r="AD482" s="603">
        <v>18</v>
      </c>
      <c r="AE482" s="604">
        <v>4</v>
      </c>
      <c r="AF482" s="604">
        <v>11</v>
      </c>
      <c r="AG482" s="604">
        <v>1</v>
      </c>
      <c r="AI482" s="542"/>
      <c r="AJ482" s="542"/>
      <c r="AK482" s="542"/>
    </row>
    <row r="483">
      <c r="A483" s="557"/>
      <c r="B483" s="586" t="s">
        <v>340</v>
      </c>
      <c r="C483" s="586"/>
      <c r="D483" s="587">
        <f>SUM(D479:D482)</f>
      </c>
      <c r="E483" s="587">
        <f>SUM(E479:E482)</f>
      </c>
      <c r="F483" s="587">
        <f>SUM(F479:F482)</f>
      </c>
      <c r="G483" s="587">
        <f>SUM(G479:G482)</f>
      </c>
      <c r="H483" s="587">
        <f>SUM(H479:H482)</f>
      </c>
      <c r="I483" s="663">
        <f t="shared" si="423"/>
      </c>
      <c r="J483" s="664">
        <f t="shared" si="179"/>
      </c>
      <c r="K483" s="647">
        <f t="shared" si="238"/>
      </c>
      <c r="L483" s="590">
        <f t="shared" si="27"/>
      </c>
      <c r="M483" s="591">
        <f t="shared" si="120"/>
      </c>
      <c r="N483" s="592">
        <f t="shared" si="55"/>
      </c>
      <c r="O483" s="592">
        <f t="shared" si="485"/>
      </c>
      <c r="P483" s="591">
        <f t="shared" si="519"/>
      </c>
      <c r="Q483" s="592">
        <f t="shared" si="386"/>
      </c>
      <c r="R483" s="592">
        <f t="shared" si="451"/>
      </c>
      <c r="S483" s="593">
        <f t="shared" si="207"/>
      </c>
      <c r="T483" s="594">
        <f t="shared" si="266"/>
      </c>
      <c r="U483" s="593">
        <f t="shared" si="89"/>
      </c>
      <c r="V483" s="595">
        <f t="shared" si="148"/>
      </c>
      <c r="W483" s="595"/>
      <c r="X483" s="595"/>
      <c r="Y483" s="587">
        <f>SUM(Y479:Y482)</f>
      </c>
      <c r="Z483" s="587">
        <f>SUM(Z479:Z482)</f>
      </c>
      <c r="AA483" s="587">
        <f>SUM(AA479:AA482)</f>
      </c>
      <c r="AB483" s="587">
        <f>SUM(AB479:AB482)</f>
      </c>
      <c r="AC483" s="587">
        <f>SUM(AC479:AC482)</f>
      </c>
      <c r="AD483" s="587">
        <f>SUM(AD479:AD482)</f>
      </c>
      <c r="AE483" s="587">
        <f>SUM(AE479:AE482)</f>
      </c>
      <c r="AF483" s="587">
        <f>SUM(AF479:AF482)</f>
      </c>
      <c r="AG483" s="587">
        <f>SUM(AG479:AG482)</f>
      </c>
      <c r="AI483" s="542"/>
      <c r="AJ483" s="542"/>
      <c r="AK483" s="542"/>
    </row>
    <row r="484">
      <c r="A484" s="557"/>
      <c r="B484" s="584" t="s">
        <v>346</v>
      </c>
      <c r="C484" s="560" t="s">
        <v>383</v>
      </c>
      <c r="D484" s="559">
        <f t="shared" ref="D484:D487" si="349">E484+F484</f>
      </c>
      <c r="E484" s="559">
        <v>1827.73</v>
      </c>
      <c r="F484" s="559">
        <v>413.11</v>
      </c>
      <c r="G484" s="561">
        <v>1</v>
      </c>
      <c r="H484" s="631">
        <v>2268</v>
      </c>
      <c r="I484" s="658">
        <f t="shared" si="423"/>
      </c>
      <c r="J484" s="659">
        <f t="shared" si="179"/>
      </c>
      <c r="K484" s="634">
        <f t="shared" si="238"/>
      </c>
      <c r="L484" s="596">
        <f t="shared" si="27"/>
      </c>
      <c r="M484" s="597">
        <f t="shared" si="120"/>
      </c>
      <c r="N484" s="598">
        <f t="shared" si="55"/>
      </c>
      <c r="O484" s="598">
        <f t="shared" si="485"/>
      </c>
      <c r="P484" s="597">
        <f t="shared" si="519"/>
      </c>
      <c r="Q484" s="598">
        <f t="shared" si="386"/>
      </c>
      <c r="R484" s="598">
        <f t="shared" si="451"/>
      </c>
      <c r="S484" s="599">
        <f t="shared" si="207"/>
      </c>
      <c r="T484" s="600">
        <f t="shared" si="266"/>
      </c>
      <c r="U484" s="599">
        <f t="shared" si="89"/>
      </c>
      <c r="V484" s="601">
        <f t="shared" si="148"/>
      </c>
      <c r="W484" s="602" t="s">
        <v>335</v>
      </c>
      <c r="X484" s="570" t="s">
        <v>356</v>
      </c>
      <c r="Y484" s="603">
        <v>2</v>
      </c>
      <c r="Z484" s="603">
        <v>8522</v>
      </c>
      <c r="AA484" s="603">
        <v>225</v>
      </c>
      <c r="AB484" s="603">
        <v>360</v>
      </c>
      <c r="AC484" s="603">
        <v>49</v>
      </c>
      <c r="AD484" s="603">
        <v>7</v>
      </c>
      <c r="AE484" s="604">
        <v>3</v>
      </c>
      <c r="AF484" s="604">
        <v>6</v>
      </c>
      <c r="AG484" s="604">
        <v>1</v>
      </c>
      <c r="AI484" s="542"/>
      <c r="AJ484" s="542"/>
      <c r="AK484" s="542"/>
    </row>
    <row r="485">
      <c r="A485" s="557"/>
      <c r="B485" s="584" t="s">
        <v>349</v>
      </c>
      <c r="C485" s="560" t="s">
        <v>383</v>
      </c>
      <c r="D485" s="559">
        <f t="shared" si="349"/>
      </c>
      <c r="E485" s="559">
        <v>4628.37</v>
      </c>
      <c r="F485" s="559">
        <v>833.24</v>
      </c>
      <c r="G485" s="573">
        <v>1</v>
      </c>
      <c r="H485" s="641">
        <v>2268</v>
      </c>
      <c r="I485" s="658">
        <f t="shared" si="423"/>
      </c>
      <c r="J485" s="659">
        <f t="shared" si="179"/>
      </c>
      <c r="K485" s="634">
        <f t="shared" si="238"/>
      </c>
      <c r="L485" s="596">
        <f t="shared" si="27"/>
      </c>
      <c r="M485" s="597">
        <f t="shared" si="120"/>
      </c>
      <c r="N485" s="598">
        <f t="shared" si="55"/>
      </c>
      <c r="O485" s="598">
        <f t="shared" si="485"/>
      </c>
      <c r="P485" s="597">
        <f t="shared" si="519"/>
      </c>
      <c r="Q485" s="598">
        <f t="shared" si="386"/>
      </c>
      <c r="R485" s="598">
        <f t="shared" si="451"/>
      </c>
      <c r="S485" s="599">
        <f t="shared" si="207"/>
      </c>
      <c r="T485" s="600">
        <f t="shared" si="266"/>
      </c>
      <c r="U485" s="599">
        <f t="shared" si="89"/>
      </c>
      <c r="V485" s="601">
        <f t="shared" si="148"/>
      </c>
      <c r="W485" s="602" t="s">
        <v>335</v>
      </c>
      <c r="X485" s="570" t="s">
        <v>356</v>
      </c>
      <c r="Y485" s="603">
        <v>1</v>
      </c>
      <c r="Z485" s="604">
        <v>38012</v>
      </c>
      <c r="AA485" s="604">
        <v>705</v>
      </c>
      <c r="AB485" s="604">
        <v>999</v>
      </c>
      <c r="AC485" s="604">
        <v>130</v>
      </c>
      <c r="AD485" s="603">
        <v>23</v>
      </c>
      <c r="AE485" s="604">
        <v>6</v>
      </c>
      <c r="AF485" s="604">
        <v>37</v>
      </c>
      <c r="AG485" s="604">
        <v>1</v>
      </c>
      <c r="AI485" s="542"/>
      <c r="AJ485" s="542"/>
      <c r="AK485" s="542"/>
    </row>
    <row r="486">
      <c r="A486" s="557"/>
      <c r="B486" s="558" t="s">
        <v>350</v>
      </c>
      <c r="C486" s="560" t="s">
        <v>383</v>
      </c>
      <c r="D486" s="559">
        <f t="shared" si="349"/>
      </c>
      <c r="E486" s="559">
        <v>22924.06</v>
      </c>
      <c r="F486" s="559">
        <v>934.84</v>
      </c>
      <c r="G486" s="573">
        <v>12</v>
      </c>
      <c r="H486" s="641">
        <v>23256</v>
      </c>
      <c r="I486" s="658">
        <f t="shared" si="423"/>
      </c>
      <c r="J486" s="659">
        <f t="shared" si="179"/>
      </c>
      <c r="K486" s="634">
        <f t="shared" si="238"/>
      </c>
      <c r="L486" s="596">
        <f t="shared" si="27"/>
      </c>
      <c r="M486" s="597">
        <f t="shared" si="120"/>
      </c>
      <c r="N486" s="598">
        <f t="shared" si="55"/>
      </c>
      <c r="O486" s="598">
        <f t="shared" si="485"/>
      </c>
      <c r="P486" s="597">
        <f t="shared" si="519"/>
      </c>
      <c r="Q486" s="598">
        <f t="shared" si="386"/>
      </c>
      <c r="R486" s="598">
        <f t="shared" si="451"/>
      </c>
      <c r="S486" s="599">
        <f t="shared" si="207"/>
      </c>
      <c r="T486" s="600">
        <f t="shared" si="266"/>
      </c>
      <c r="U486" s="599">
        <f t="shared" si="89"/>
      </c>
      <c r="V486" s="601">
        <f t="shared" si="148"/>
      </c>
      <c r="W486" s="602" t="s">
        <v>335</v>
      </c>
      <c r="X486" s="570" t="s">
        <v>356</v>
      </c>
      <c r="Y486" s="603">
        <v>10</v>
      </c>
      <c r="Z486" s="604">
        <v>374686</v>
      </c>
      <c r="AA486" s="604">
        <v>4361</v>
      </c>
      <c r="AB486" s="604">
        <v>4711</v>
      </c>
      <c r="AC486" s="604">
        <v>562</v>
      </c>
      <c r="AD486" s="603">
        <v>22</v>
      </c>
      <c r="AE486" s="604">
        <v>17</v>
      </c>
      <c r="AF486" s="604">
        <v>109</v>
      </c>
      <c r="AG486" s="604">
        <v>1</v>
      </c>
      <c r="AI486" s="542"/>
      <c r="AJ486" s="542"/>
      <c r="AK486" s="542"/>
    </row>
    <row r="487">
      <c r="A487" s="557"/>
      <c r="B487" s="558" t="s">
        <v>351</v>
      </c>
      <c r="C487" s="560" t="s">
        <v>383</v>
      </c>
      <c r="D487" s="559">
        <f t="shared" si="349"/>
      </c>
      <c r="E487" s="559">
        <v>941.14</v>
      </c>
      <c r="F487" s="559">
        <v>359.31</v>
      </c>
      <c r="G487" s="573">
        <v>5</v>
      </c>
      <c r="H487" s="641">
        <v>8512</v>
      </c>
      <c r="I487" s="658">
        <f t="shared" si="423"/>
      </c>
      <c r="J487" s="659">
        <f t="shared" si="179"/>
      </c>
      <c r="K487" s="646">
        <f t="shared" si="238"/>
      </c>
      <c r="L487" s="596">
        <f t="shared" si="27"/>
      </c>
      <c r="M487" s="597">
        <f t="shared" si="120"/>
      </c>
      <c r="N487" s="598">
        <f t="shared" si="55"/>
      </c>
      <c r="O487" s="598">
        <f t="shared" si="485"/>
      </c>
      <c r="P487" s="597">
        <f t="shared" si="519"/>
      </c>
      <c r="Q487" s="598">
        <f t="shared" si="386"/>
      </c>
      <c r="R487" s="598">
        <f t="shared" si="451"/>
      </c>
      <c r="S487" s="599">
        <f t="shared" si="207"/>
      </c>
      <c r="T487" s="600">
        <f t="shared" si="266"/>
      </c>
      <c r="U487" s="599">
        <f t="shared" si="89"/>
      </c>
      <c r="V487" s="601">
        <f t="shared" si="148"/>
      </c>
      <c r="W487" s="602" t="s">
        <v>335</v>
      </c>
      <c r="X487" s="570" t="s">
        <v>356</v>
      </c>
      <c r="Y487" s="604">
        <v>4</v>
      </c>
      <c r="Z487" s="604">
        <v>7121</v>
      </c>
      <c r="AA487" s="604">
        <v>203</v>
      </c>
      <c r="AB487" s="604">
        <v>323</v>
      </c>
      <c r="AC487" s="604">
        <v>58</v>
      </c>
      <c r="AD487" s="603">
        <v>11</v>
      </c>
      <c r="AE487" s="604">
        <v>4</v>
      </c>
      <c r="AF487" s="604">
        <v>14</v>
      </c>
      <c r="AG487" s="604">
        <v>1</v>
      </c>
      <c r="AI487" s="542"/>
      <c r="AJ487" s="542"/>
      <c r="AK487" s="542"/>
    </row>
    <row r="488">
      <c r="A488" s="557"/>
      <c r="B488" s="586" t="s">
        <v>340</v>
      </c>
      <c r="C488" s="586"/>
      <c r="D488" s="587">
        <f>SUM(D484:D487)</f>
      </c>
      <c r="E488" s="587">
        <f>SUM(E484:E487)</f>
      </c>
      <c r="F488" s="587">
        <f>SUM(F484:F487)</f>
      </c>
      <c r="G488" s="587">
        <f>SUM(G484:G487)</f>
      </c>
      <c r="H488" s="587">
        <f>SUM(H484:H487)</f>
      </c>
      <c r="I488" s="663">
        <f t="shared" si="423"/>
      </c>
      <c r="J488" s="664">
        <f t="shared" si="179"/>
      </c>
      <c r="K488" s="647">
        <f t="shared" si="238"/>
      </c>
      <c r="L488" s="590">
        <f t="shared" si="27"/>
      </c>
      <c r="M488" s="591">
        <f t="shared" si="120"/>
      </c>
      <c r="N488" s="592">
        <f t="shared" si="55"/>
      </c>
      <c r="O488" s="592">
        <f t="shared" si="485"/>
      </c>
      <c r="P488" s="591">
        <f t="shared" si="519"/>
      </c>
      <c r="Q488" s="592">
        <f t="shared" si="386"/>
      </c>
      <c r="R488" s="592">
        <f t="shared" si="451"/>
      </c>
      <c r="S488" s="593">
        <f t="shared" si="207"/>
      </c>
      <c r="T488" s="594">
        <f t="shared" si="266"/>
      </c>
      <c r="U488" s="593">
        <f t="shared" si="89"/>
      </c>
      <c r="V488" s="595">
        <f t="shared" si="148"/>
      </c>
      <c r="W488" s="595"/>
      <c r="X488" s="595"/>
      <c r="Y488" s="587">
        <f>SUM(Y484:Y487)</f>
      </c>
      <c r="Z488" s="587">
        <f>SUM(Z484:Z487)</f>
      </c>
      <c r="AA488" s="587">
        <f>SUM(AA484:AA487)</f>
      </c>
      <c r="AB488" s="587">
        <f>SUM(AB484:AB487)</f>
      </c>
      <c r="AC488" s="587">
        <f>SUM(AC484:AC487)</f>
      </c>
      <c r="AD488" s="587">
        <f>SUM(AD484:AD487)</f>
      </c>
      <c r="AE488" s="587">
        <f>SUM(AE484:AE487)</f>
      </c>
      <c r="AF488" s="587">
        <f>SUM(AF484:AF487)</f>
      </c>
      <c r="AG488" s="587">
        <f>SUM(AG484:AG487)</f>
      </c>
      <c r="AH488" s="684" t="s">
        <v>387</v>
      </c>
      <c r="AI488" s="685"/>
      <c r="AJ488" s="685"/>
      <c r="AK488" s="685"/>
    </row>
    <row r="489">
      <c r="A489" s="557"/>
      <c r="B489" s="607" t="s">
        <v>352</v>
      </c>
      <c r="C489" s="607"/>
      <c r="D489" s="607">
        <f>D478+D483+D488</f>
      </c>
      <c r="E489" s="607">
        <f>E478+E483+E488</f>
      </c>
      <c r="F489" s="607">
        <f>F478+F483+F488</f>
      </c>
      <c r="G489" s="607">
        <f>G478+G483+G488</f>
      </c>
      <c r="H489" s="607">
        <f>H478+H483+H488</f>
      </c>
      <c r="I489" s="608">
        <f t="shared" si="423"/>
      </c>
      <c r="J489" s="608">
        <f t="shared" si="179"/>
      </c>
      <c r="K489" s="651">
        <f t="shared" si="238"/>
      </c>
      <c r="L489" s="610">
        <f t="shared" si="27"/>
      </c>
      <c r="M489" s="611">
        <f t="shared" si="120"/>
      </c>
      <c r="N489" s="612">
        <f t="shared" si="55"/>
      </c>
      <c r="O489" s="612">
        <f t="shared" si="485"/>
      </c>
      <c r="P489" s="611">
        <f t="shared" si="519"/>
      </c>
      <c r="Q489" s="612">
        <f t="shared" si="386"/>
      </c>
      <c r="R489" s="612">
        <f t="shared" si="451"/>
      </c>
      <c r="S489" s="611">
        <f t="shared" si="207"/>
      </c>
      <c r="T489" s="613">
        <f t="shared" si="266"/>
      </c>
      <c r="U489" s="611">
        <f t="shared" si="89"/>
      </c>
      <c r="V489" s="609">
        <f t="shared" si="148"/>
      </c>
      <c r="W489" s="609"/>
      <c r="X489" s="609"/>
      <c r="Y489" s="607">
        <f>Y478+Y483+Y488</f>
      </c>
      <c r="Z489" s="607">
        <f>Z478+Z483+Z488</f>
      </c>
      <c r="AA489" s="607">
        <f>AA478+AA483+AA488</f>
      </c>
      <c r="AB489" s="607">
        <f>AB478+AB483+AB488</f>
      </c>
      <c r="AC489" s="607">
        <f>AC478+AC483+AC488</f>
      </c>
      <c r="AD489" s="607">
        <f>AD478+AD483+AD488</f>
      </c>
      <c r="AE489" s="607">
        <f>AE478+AE483+AE488</f>
      </c>
      <c r="AF489" s="607">
        <f>AF478+AF483+AF488</f>
      </c>
      <c r="AG489" s="607">
        <f>AG478+AG483+AG488</f>
      </c>
      <c r="AH489" s="684"/>
      <c r="AI489" s="685"/>
      <c r="AJ489" s="685"/>
      <c r="AK489" s="685"/>
    </row>
    <row r="490">
      <c r="A490" s="538" t="s">
        <v>295</v>
      </c>
      <c r="B490" s="538"/>
      <c r="C490" s="538"/>
      <c r="D490" s="539" t="s">
        <v>388</v>
      </c>
      <c r="E490" s="539"/>
      <c r="F490" s="539"/>
      <c r="G490" s="539"/>
      <c r="H490" s="539"/>
      <c r="I490" s="539"/>
      <c r="J490" s="539"/>
      <c r="K490" s="539"/>
      <c r="L490" s="539"/>
      <c r="M490" s="539"/>
      <c r="N490" s="686" t="s">
        <v>389</v>
      </c>
      <c r="O490" s="686"/>
      <c r="P490" s="686"/>
      <c r="Q490" s="686"/>
      <c r="R490" s="686"/>
      <c r="S490" s="686"/>
      <c r="T490" s="686"/>
      <c r="U490" s="686"/>
      <c r="V490" s="686"/>
      <c r="W490" s="686"/>
      <c r="X490" s="686"/>
      <c r="Y490" s="686"/>
      <c r="Z490" s="686"/>
      <c r="AA490" s="686"/>
      <c r="AB490" s="541" t="s">
        <v>298</v>
      </c>
      <c r="AC490" s="541"/>
      <c r="AD490" s="541"/>
      <c r="AE490" s="541"/>
      <c r="AF490" s="541"/>
      <c r="AG490" s="541"/>
      <c r="AH490" s="541"/>
      <c r="AI490" s="541"/>
      <c r="AJ490" s="541"/>
      <c r="AK490" s="542"/>
    </row>
    <row r="491">
      <c r="A491" s="543" t="s">
        <v>299</v>
      </c>
      <c r="B491" s="544" t="s">
        <v>300</v>
      </c>
      <c r="C491" s="544" t="s">
        <v>301</v>
      </c>
      <c r="D491" s="545" t="s">
        <v>302</v>
      </c>
      <c r="E491" s="546" t="s">
        <v>303</v>
      </c>
      <c r="F491" s="687" t="s">
        <v>304</v>
      </c>
      <c r="G491" s="688" t="s">
        <v>390</v>
      </c>
      <c r="H491" s="689" t="s">
        <v>391</v>
      </c>
      <c r="I491" s="690" t="s">
        <v>392</v>
      </c>
      <c r="J491" s="690" t="s">
        <v>393</v>
      </c>
      <c r="K491" s="690" t="s">
        <v>394</v>
      </c>
      <c r="L491" s="630" t="s">
        <v>307</v>
      </c>
      <c r="M491" s="630" t="s">
        <v>308</v>
      </c>
      <c r="N491" s="551" t="s">
        <v>309</v>
      </c>
      <c r="O491" s="551" t="s">
        <v>310</v>
      </c>
      <c r="P491" s="551" t="s">
        <v>311</v>
      </c>
      <c r="Q491" s="669" t="s">
        <v>312</v>
      </c>
      <c r="R491" s="669" t="s">
        <v>313</v>
      </c>
      <c r="S491" s="551" t="s">
        <v>314</v>
      </c>
      <c r="T491" s="669" t="s">
        <v>315</v>
      </c>
      <c r="U491" s="669" t="s">
        <v>316</v>
      </c>
      <c r="V491" s="551" t="s">
        <v>317</v>
      </c>
      <c r="W491" s="669" t="s">
        <v>318</v>
      </c>
      <c r="X491" s="551" t="s">
        <v>319</v>
      </c>
      <c r="Y491" s="553" t="s">
        <v>320</v>
      </c>
      <c r="Z491" s="553" t="s">
        <v>321</v>
      </c>
      <c r="AA491" s="553" t="s">
        <v>322</v>
      </c>
      <c r="AB491" s="618" t="s">
        <v>323</v>
      </c>
      <c r="AC491" s="619" t="s">
        <v>324</v>
      </c>
      <c r="AD491" s="619" t="s">
        <v>325</v>
      </c>
      <c r="AE491" s="619" t="s">
        <v>326</v>
      </c>
      <c r="AF491" s="619" t="s">
        <v>327</v>
      </c>
      <c r="AG491" s="619" t="s">
        <v>328</v>
      </c>
      <c r="AH491" s="555" t="s">
        <v>329</v>
      </c>
      <c r="AI491" s="555" t="s">
        <v>330</v>
      </c>
      <c r="AJ491" s="555" t="s">
        <v>331</v>
      </c>
    </row>
    <row r="492">
      <c r="A492" s="557" t="s">
        <v>395</v>
      </c>
      <c r="B492" s="584" t="s">
        <v>333</v>
      </c>
      <c r="C492" s="560" t="s">
        <v>347</v>
      </c>
      <c r="D492" s="620">
        <f t="shared" ref="D492:D496" si="350">E492+F492</f>
      </c>
      <c r="E492" s="681">
        <v>3210.64</v>
      </c>
      <c r="F492" s="691">
        <v>337.75</v>
      </c>
      <c r="G492" s="692">
        <v>1</v>
      </c>
      <c r="H492" s="693">
        <v>468</v>
      </c>
      <c r="I492" s="694">
        <v>1</v>
      </c>
      <c r="J492" s="695">
        <v>0</v>
      </c>
      <c r="K492" s="696">
        <v>0</v>
      </c>
      <c r="L492" s="697">
        <f t="shared" ref="L492:L507" si="390">H492/D492</f>
      </c>
      <c r="M492" s="698">
        <f t="shared" ref="M492:M507" si="452">H492/(D492+300*AJ492)</f>
      </c>
      <c r="N492" s="699">
        <f t="shared" ref="N492:N507" si="208">(D492/AC492)*1000</f>
      </c>
      <c r="O492" s="667">
        <f t="shared" ref="O492:O507" si="56">AD492/AC492</f>
      </c>
      <c r="P492" s="661">
        <f t="shared" ref="P492:P507" si="267">D492/AE492</f>
      </c>
      <c r="Q492" s="675">
        <f t="shared" ref="Q492:Q507" si="59">AF492/AE492</f>
      </c>
      <c r="R492" s="667">
        <f t="shared" ref="R492:R507" si="486">AG492/AE492</f>
      </c>
      <c r="S492" s="700">
        <f t="shared" ref="S492:S507" si="90">D492/AG492</f>
      </c>
      <c r="T492" s="667">
        <f t="shared" ref="T492:T507" si="387">AH492/AG492</f>
      </c>
      <c r="U492" s="676">
        <f t="shared" ref="U492:U507" si="149">G492/AH492</f>
      </c>
      <c r="V492" s="661">
        <f t="shared" ref="V492:V507" si="489">D492/G492</f>
      </c>
      <c r="W492" s="578">
        <f t="shared" ref="W492:W507" si="520">H492/G492</f>
      </c>
      <c r="X492" s="661">
        <f t="shared" ref="X492:X507" si="393">D492/AB492</f>
      </c>
      <c r="Y492" s="672">
        <f t="shared" ref="Y492:Y507" si="455">AI492*1000/D492</f>
      </c>
      <c r="Z492" s="569" t="s">
        <v>335</v>
      </c>
      <c r="AA492" s="701" t="s">
        <v>364</v>
      </c>
      <c r="AB492" s="702">
        <v>1</v>
      </c>
      <c r="AC492" s="656">
        <v>16124</v>
      </c>
      <c r="AD492" s="703">
        <v>432</v>
      </c>
      <c r="AE492" s="627">
        <v>596</v>
      </c>
      <c r="AF492" s="625">
        <v>101</v>
      </c>
      <c r="AG492" s="571">
        <v>36</v>
      </c>
      <c r="AH492" s="625">
        <v>2</v>
      </c>
      <c r="AI492" s="571">
        <v>17</v>
      </c>
      <c r="AJ492" s="571">
        <v>1</v>
      </c>
    </row>
    <row r="493">
      <c r="A493" s="557"/>
      <c r="B493" s="584" t="s">
        <v>337</v>
      </c>
      <c r="C493" s="560" t="s">
        <v>347</v>
      </c>
      <c r="D493" s="704">
        <f t="shared" si="350"/>
      </c>
      <c r="E493" s="705">
        <v>3011.09</v>
      </c>
      <c r="F493" s="691">
        <v>272.99</v>
      </c>
      <c r="G493" s="692">
        <v>4</v>
      </c>
      <c r="H493" s="631">
        <v>5952</v>
      </c>
      <c r="I493" s="695">
        <v>1</v>
      </c>
      <c r="J493" s="695">
        <v>1</v>
      </c>
      <c r="K493" s="696">
        <v>2</v>
      </c>
      <c r="L493" s="637">
        <f t="shared" si="390"/>
      </c>
      <c r="M493" s="638">
        <f t="shared" si="452"/>
      </c>
      <c r="N493" s="699">
        <f t="shared" si="208"/>
      </c>
      <c r="O493" s="667">
        <f t="shared" si="56"/>
      </c>
      <c r="P493" s="679">
        <f t="shared" si="267"/>
      </c>
      <c r="Q493" s="675">
        <f t="shared" si="59"/>
      </c>
      <c r="R493" s="667">
        <f t="shared" si="486"/>
      </c>
      <c r="S493" s="700">
        <f t="shared" si="90"/>
      </c>
      <c r="T493" s="667">
        <f t="shared" si="387"/>
      </c>
      <c r="U493" s="676">
        <f t="shared" si="149"/>
      </c>
      <c r="V493" s="661">
        <f t="shared" si="489"/>
      </c>
      <c r="W493" s="578">
        <f t="shared" si="520"/>
      </c>
      <c r="X493" s="661">
        <f t="shared" si="393"/>
      </c>
      <c r="Y493" s="673">
        <f t="shared" si="455"/>
      </c>
      <c r="Z493" s="581" t="s">
        <v>335</v>
      </c>
      <c r="AA493" s="701" t="s">
        <v>364</v>
      </c>
      <c r="AB493" s="706">
        <v>4</v>
      </c>
      <c r="AC493" s="656">
        <v>13782</v>
      </c>
      <c r="AD493" s="572">
        <v>379</v>
      </c>
      <c r="AE493" s="662">
        <v>521</v>
      </c>
      <c r="AF493" s="572">
        <v>96</v>
      </c>
      <c r="AG493" s="572">
        <v>22</v>
      </c>
      <c r="AH493" s="628">
        <v>5</v>
      </c>
      <c r="AI493" s="583">
        <v>17</v>
      </c>
      <c r="AJ493" s="571">
        <v>1</v>
      </c>
    </row>
    <row r="494">
      <c r="A494" s="557"/>
      <c r="B494" s="584" t="s">
        <v>338</v>
      </c>
      <c r="C494" s="560" t="s">
        <v>347</v>
      </c>
      <c r="D494" s="620">
        <f t="shared" si="350"/>
      </c>
      <c r="E494" s="560">
        <v>2526.16</v>
      </c>
      <c r="F494" s="560">
        <v>491.5</v>
      </c>
      <c r="G494" s="561">
        <v>1</v>
      </c>
      <c r="H494" s="631">
        <v>2080</v>
      </c>
      <c r="I494" s="695">
        <v>0</v>
      </c>
      <c r="J494" s="695">
        <v>0</v>
      </c>
      <c r="K494" s="696">
        <v>1</v>
      </c>
      <c r="L494" s="637">
        <f t="shared" si="390"/>
      </c>
      <c r="M494" s="638">
        <f t="shared" si="452"/>
      </c>
      <c r="N494" s="699">
        <f t="shared" si="208"/>
      </c>
      <c r="O494" s="675">
        <f t="shared" si="56"/>
      </c>
      <c r="P494" s="661">
        <f t="shared" si="267"/>
      </c>
      <c r="Q494" s="676">
        <f t="shared" si="59"/>
      </c>
      <c r="R494" s="677">
        <f t="shared" si="486"/>
      </c>
      <c r="S494" s="707">
        <f t="shared" si="90"/>
      </c>
      <c r="T494" s="677">
        <f t="shared" si="387"/>
      </c>
      <c r="U494" s="667">
        <f t="shared" si="149"/>
      </c>
      <c r="V494" s="661">
        <f t="shared" si="489"/>
      </c>
      <c r="W494" s="578">
        <f t="shared" si="520"/>
      </c>
      <c r="X494" s="661">
        <f t="shared" si="393"/>
      </c>
      <c r="Y494" s="673">
        <f t="shared" si="455"/>
      </c>
      <c r="Z494" s="581" t="s">
        <v>335</v>
      </c>
      <c r="AA494" s="701" t="s">
        <v>364</v>
      </c>
      <c r="AB494" s="708">
        <v>1</v>
      </c>
      <c r="AC494" s="656">
        <v>13070</v>
      </c>
      <c r="AD494" s="572">
        <v>318</v>
      </c>
      <c r="AE494" s="572">
        <v>457</v>
      </c>
      <c r="AF494" s="572">
        <v>72</v>
      </c>
      <c r="AG494" s="572">
        <v>21</v>
      </c>
      <c r="AH494" s="628">
        <v>4</v>
      </c>
      <c r="AI494" s="583">
        <v>22</v>
      </c>
      <c r="AJ494" s="571">
        <v>1</v>
      </c>
    </row>
    <row r="495">
      <c r="A495" s="557"/>
      <c r="B495" s="584" t="s">
        <v>339</v>
      </c>
      <c r="C495" s="560" t="s">
        <v>347</v>
      </c>
      <c r="D495" s="620">
        <f t="shared" si="350"/>
      </c>
      <c r="E495" s="560">
        <v>2818.74</v>
      </c>
      <c r="F495" s="560">
        <v>778.12</v>
      </c>
      <c r="G495" s="561">
        <v>2</v>
      </c>
      <c r="H495" s="631">
        <v>4348</v>
      </c>
      <c r="I495" s="695">
        <v>0</v>
      </c>
      <c r="J495" s="695">
        <v>0</v>
      </c>
      <c r="K495" s="696">
        <v>2</v>
      </c>
      <c r="L495" s="637">
        <f t="shared" si="390"/>
      </c>
      <c r="M495" s="638">
        <f t="shared" si="452"/>
      </c>
      <c r="N495" s="699">
        <f t="shared" si="208"/>
      </c>
      <c r="O495" s="667">
        <f t="shared" si="56"/>
      </c>
      <c r="P495" s="678">
        <f t="shared" si="267"/>
      </c>
      <c r="Q495" s="667">
        <f t="shared" si="59"/>
      </c>
      <c r="R495" s="667">
        <f t="shared" si="486"/>
      </c>
      <c r="S495" s="661">
        <f t="shared" si="90"/>
      </c>
      <c r="T495" s="667">
        <f t="shared" si="387"/>
      </c>
      <c r="U495" s="667">
        <f t="shared" si="149"/>
      </c>
      <c r="V495" s="661">
        <f t="shared" si="489"/>
      </c>
      <c r="W495" s="578">
        <f t="shared" si="520"/>
      </c>
      <c r="X495" s="661">
        <f t="shared" si="393"/>
      </c>
      <c r="Y495" s="673">
        <f t="shared" si="455"/>
      </c>
      <c r="Z495" s="581" t="s">
        <v>335</v>
      </c>
      <c r="AA495" s="701" t="s">
        <v>364</v>
      </c>
      <c r="AB495" s="625">
        <v>1</v>
      </c>
      <c r="AC495" s="572">
        <v>12879</v>
      </c>
      <c r="AD495" s="572">
        <v>417</v>
      </c>
      <c r="AE495" s="572">
        <v>578</v>
      </c>
      <c r="AF495" s="572">
        <v>74</v>
      </c>
      <c r="AG495" s="572">
        <v>20</v>
      </c>
      <c r="AH495" s="628">
        <v>4</v>
      </c>
      <c r="AI495" s="583">
        <v>19</v>
      </c>
      <c r="AJ495" s="571">
        <v>1</v>
      </c>
    </row>
    <row customHeight="true" ht="18.452380952380953" r="496">
      <c r="A496" s="557"/>
      <c r="B496" s="558" t="s">
        <v>341</v>
      </c>
      <c r="C496" s="560" t="s">
        <v>347</v>
      </c>
      <c r="D496" s="620">
        <f t="shared" si="350"/>
      </c>
      <c r="E496" s="560">
        <v>2458.4</v>
      </c>
      <c r="F496" s="560">
        <v>769.18</v>
      </c>
      <c r="G496" s="561">
        <v>2</v>
      </c>
      <c r="H496" s="631">
        <v>4536</v>
      </c>
      <c r="I496" s="695">
        <v>0</v>
      </c>
      <c r="J496" s="695">
        <v>0</v>
      </c>
      <c r="K496" s="696">
        <v>2</v>
      </c>
      <c r="L496" s="637">
        <f t="shared" si="390"/>
      </c>
      <c r="M496" s="638">
        <f t="shared" si="452"/>
      </c>
      <c r="N496" s="699">
        <f t="shared" si="208"/>
      </c>
      <c r="O496" s="667">
        <f t="shared" si="56"/>
      </c>
      <c r="P496" s="678">
        <f t="shared" si="267"/>
      </c>
      <c r="Q496" s="667">
        <f t="shared" si="59"/>
      </c>
      <c r="R496" s="667">
        <f t="shared" si="486"/>
      </c>
      <c r="S496" s="661">
        <f t="shared" si="90"/>
      </c>
      <c r="T496" s="667">
        <f t="shared" si="387"/>
      </c>
      <c r="U496" s="667">
        <f t="shared" si="149"/>
      </c>
      <c r="V496" s="661">
        <f t="shared" si="489"/>
      </c>
      <c r="W496" s="578">
        <f t="shared" si="520"/>
      </c>
      <c r="X496" s="661">
        <f t="shared" si="393"/>
      </c>
      <c r="Y496" s="673">
        <f t="shared" si="455"/>
      </c>
      <c r="Z496" s="581" t="s">
        <v>335</v>
      </c>
      <c r="AA496" s="701" t="s">
        <v>364</v>
      </c>
      <c r="AB496" s="625">
        <v>2</v>
      </c>
      <c r="AC496" s="572">
        <v>13129</v>
      </c>
      <c r="AD496" s="572">
        <v>416</v>
      </c>
      <c r="AE496" s="572">
        <v>531</v>
      </c>
      <c r="AF496" s="572">
        <v>81</v>
      </c>
      <c r="AG496" s="572">
        <v>19</v>
      </c>
      <c r="AH496" s="628">
        <v>5</v>
      </c>
      <c r="AI496" s="583">
        <v>26</v>
      </c>
      <c r="AJ496" s="571">
        <v>1</v>
      </c>
    </row>
    <row r="497">
      <c r="A497" s="557"/>
      <c r="B497" s="586" t="s">
        <v>340</v>
      </c>
      <c r="C497" s="586"/>
      <c r="D497" s="587">
        <f>SUM(D492:D496)</f>
      </c>
      <c r="E497" s="587">
        <f>SUM(E492:E496)</f>
      </c>
      <c r="F497" s="587">
        <f>SUM(F492:F496)</f>
      </c>
      <c r="G497" s="587">
        <f>SUM(G492:G496)</f>
      </c>
      <c r="H497" s="587">
        <f>SUM(H492:H496)</f>
      </c>
      <c r="I497" s="587">
        <f>SUM(I492:I496)</f>
      </c>
      <c r="J497" s="587">
        <f>SUM(J492:J496)</f>
      </c>
      <c r="K497" s="587">
        <f>SUM(K492:K496)</f>
      </c>
      <c r="L497" s="643">
        <f t="shared" si="390"/>
      </c>
      <c r="M497" s="644">
        <f t="shared" si="452"/>
      </c>
      <c r="N497" s="645">
        <f t="shared" si="208"/>
      </c>
      <c r="O497" s="590">
        <f t="shared" si="56"/>
      </c>
      <c r="P497" s="591">
        <f t="shared" si="267"/>
      </c>
      <c r="Q497" s="592">
        <f t="shared" si="59"/>
      </c>
      <c r="R497" s="592">
        <f t="shared" si="486"/>
      </c>
      <c r="S497" s="591">
        <f t="shared" si="90"/>
      </c>
      <c r="T497" s="592">
        <f t="shared" si="387"/>
      </c>
      <c r="U497" s="592">
        <f t="shared" si="149"/>
      </c>
      <c r="V497" s="593">
        <f t="shared" si="489"/>
      </c>
      <c r="W497" s="594">
        <f t="shared" si="520"/>
      </c>
      <c r="X497" s="593">
        <f t="shared" si="393"/>
      </c>
      <c r="Y497" s="595">
        <f t="shared" si="455"/>
      </c>
      <c r="Z497" s="595"/>
      <c r="AA497" s="709"/>
      <c r="AB497" s="586">
        <f>SUM(AB492:AB496)</f>
      </c>
      <c r="AC497" s="586">
        <f>SUM(AC492:AC496)</f>
      </c>
      <c r="AD497" s="586">
        <f>SUM(AD492:AD496)</f>
      </c>
      <c r="AE497" s="586">
        <f>SUM(AE492:AE496)</f>
      </c>
      <c r="AF497" s="586">
        <f>SUM(AF492:AF496)</f>
      </c>
      <c r="AG497" s="586">
        <f>SUM(AG492:AG496)</f>
      </c>
      <c r="AH497" s="586">
        <f>SUM(AH492:AH496)</f>
      </c>
      <c r="AI497" s="586">
        <f>SUM(AI492:AI496)</f>
      </c>
      <c r="AJ497" s="586">
        <f>SUM(AJ492:AJ496)</f>
      </c>
    </row>
    <row r="498">
      <c r="A498" s="557"/>
      <c r="B498" s="584" t="s">
        <v>343</v>
      </c>
      <c r="C498" s="560" t="s">
        <v>342</v>
      </c>
      <c r="D498" s="559">
        <f t="shared" ref="D498:D502" si="351">E498+F498</f>
      </c>
      <c r="E498" s="560">
        <v>1766.26</v>
      </c>
      <c r="F498" s="560">
        <v>705.67</v>
      </c>
      <c r="G498" s="561">
        <v>2</v>
      </c>
      <c r="H498" s="631">
        <v>2736</v>
      </c>
      <c r="I498" s="695">
        <v>1</v>
      </c>
      <c r="J498" s="695">
        <v>0</v>
      </c>
      <c r="K498" s="696">
        <v>1</v>
      </c>
      <c r="L498" s="637">
        <f t="shared" si="390"/>
      </c>
      <c r="M498" s="638">
        <f t="shared" si="452"/>
      </c>
      <c r="N498" s="634">
        <f t="shared" si="208"/>
      </c>
      <c r="O498" s="596">
        <f t="shared" si="56"/>
      </c>
      <c r="P498" s="597">
        <f t="shared" si="267"/>
      </c>
      <c r="Q498" s="598">
        <f t="shared" si="59"/>
      </c>
      <c r="R498" s="598">
        <f t="shared" si="486"/>
      </c>
      <c r="S498" s="597">
        <f t="shared" si="90"/>
      </c>
      <c r="T498" s="598">
        <f t="shared" si="387"/>
      </c>
      <c r="U498" s="598">
        <f t="shared" si="149"/>
      </c>
      <c r="V498" s="599">
        <f t="shared" si="489"/>
      </c>
      <c r="W498" s="600">
        <f t="shared" si="520"/>
      </c>
      <c r="X498" s="599">
        <f t="shared" si="393"/>
      </c>
      <c r="Y498" s="601">
        <f t="shared" si="455"/>
      </c>
      <c r="Z498" s="602" t="s">
        <v>335</v>
      </c>
      <c r="AA498" s="701" t="s">
        <v>364</v>
      </c>
      <c r="AB498" s="710">
        <v>2</v>
      </c>
      <c r="AC498" s="603">
        <v>7873</v>
      </c>
      <c r="AD498" s="603">
        <v>319</v>
      </c>
      <c r="AE498" s="603">
        <v>448</v>
      </c>
      <c r="AF498" s="603">
        <v>59</v>
      </c>
      <c r="AG498" s="603">
        <v>24</v>
      </c>
      <c r="AH498" s="604">
        <v>4</v>
      </c>
      <c r="AI498" s="604">
        <v>15</v>
      </c>
      <c r="AJ498" s="604">
        <v>1</v>
      </c>
    </row>
    <row r="499">
      <c r="A499" s="557"/>
      <c r="B499" s="584" t="s">
        <v>344</v>
      </c>
      <c r="C499" s="560" t="s">
        <v>342</v>
      </c>
      <c r="D499" s="559">
        <f t="shared" si="351"/>
      </c>
      <c r="E499" s="560">
        <v>1511.55</v>
      </c>
      <c r="F499" s="560">
        <v>783.92</v>
      </c>
      <c r="G499" s="573">
        <v>2</v>
      </c>
      <c r="H499" s="641">
        <v>1896</v>
      </c>
      <c r="I499" s="695">
        <v>0</v>
      </c>
      <c r="J499" s="695">
        <v>2</v>
      </c>
      <c r="K499" s="696">
        <v>0</v>
      </c>
      <c r="L499" s="637">
        <f t="shared" si="390"/>
      </c>
      <c r="M499" s="638">
        <f t="shared" si="452"/>
      </c>
      <c r="N499" s="634">
        <f t="shared" si="208"/>
      </c>
      <c r="O499" s="596">
        <f t="shared" si="56"/>
      </c>
      <c r="P499" s="597">
        <f t="shared" si="267"/>
      </c>
      <c r="Q499" s="598">
        <f t="shared" si="59"/>
      </c>
      <c r="R499" s="598">
        <f t="shared" si="486"/>
      </c>
      <c r="S499" s="597">
        <f t="shared" si="90"/>
      </c>
      <c r="T499" s="598">
        <f t="shared" si="387"/>
      </c>
      <c r="U499" s="598">
        <f t="shared" si="149"/>
      </c>
      <c r="V499" s="599">
        <f t="shared" si="489"/>
      </c>
      <c r="W499" s="600">
        <f t="shared" si="520"/>
      </c>
      <c r="X499" s="599">
        <f t="shared" si="393"/>
      </c>
      <c r="Y499" s="601">
        <f t="shared" si="455"/>
      </c>
      <c r="Z499" s="602" t="s">
        <v>335</v>
      </c>
      <c r="AA499" s="701" t="s">
        <v>364</v>
      </c>
      <c r="AB499" s="710">
        <v>1</v>
      </c>
      <c r="AC499" s="603">
        <v>6849</v>
      </c>
      <c r="AD499" s="603">
        <v>316</v>
      </c>
      <c r="AE499" s="603">
        <v>418</v>
      </c>
      <c r="AF499" s="603">
        <v>61</v>
      </c>
      <c r="AG499" s="603">
        <v>16</v>
      </c>
      <c r="AH499" s="604">
        <v>3</v>
      </c>
      <c r="AI499" s="604">
        <v>13</v>
      </c>
      <c r="AJ499" s="604">
        <v>1</v>
      </c>
    </row>
    <row r="500">
      <c r="A500" s="557"/>
      <c r="B500" s="584" t="s">
        <v>345</v>
      </c>
      <c r="C500" s="560" t="s">
        <v>342</v>
      </c>
      <c r="D500" s="559">
        <f t="shared" si="351"/>
      </c>
      <c r="E500" s="560">
        <v>1327.51</v>
      </c>
      <c r="F500" s="560">
        <v>1251.01</v>
      </c>
      <c r="G500" s="561">
        <v>0</v>
      </c>
      <c r="H500" s="631">
        <v>0</v>
      </c>
      <c r="I500" s="695">
        <v>0</v>
      </c>
      <c r="J500" s="695">
        <v>0</v>
      </c>
      <c r="K500" s="696">
        <v>0</v>
      </c>
      <c r="L500" s="637">
        <f t="shared" si="390"/>
      </c>
      <c r="M500" s="638">
        <f t="shared" si="452"/>
      </c>
      <c r="N500" s="634">
        <f t="shared" si="208"/>
      </c>
      <c r="O500" s="596">
        <f t="shared" si="56"/>
      </c>
      <c r="P500" s="597">
        <f t="shared" si="267"/>
      </c>
      <c r="Q500" s="598">
        <f t="shared" si="59"/>
      </c>
      <c r="R500" s="598">
        <f t="shared" si="486"/>
      </c>
      <c r="S500" s="597">
        <f t="shared" si="90"/>
      </c>
      <c r="T500" s="598">
        <f t="shared" si="387"/>
      </c>
      <c r="U500" s="598">
        <f t="shared" si="149"/>
      </c>
      <c r="V500" s="599">
        <f t="shared" si="489"/>
      </c>
      <c r="W500" s="600">
        <f t="shared" si="520"/>
      </c>
      <c r="X500" s="599">
        <f t="shared" si="393"/>
      </c>
      <c r="Y500" s="601">
        <f t="shared" si="455"/>
      </c>
      <c r="Z500" s="602" t="s">
        <v>335</v>
      </c>
      <c r="AA500" s="701" t="s">
        <v>364</v>
      </c>
      <c r="AB500" s="710">
        <v>1</v>
      </c>
      <c r="AC500" s="603">
        <v>10383</v>
      </c>
      <c r="AD500" s="603">
        <v>391</v>
      </c>
      <c r="AE500" s="603">
        <v>567</v>
      </c>
      <c r="AF500" s="603">
        <v>51</v>
      </c>
      <c r="AG500" s="603">
        <v>23</v>
      </c>
      <c r="AH500" s="604">
        <v>3</v>
      </c>
      <c r="AI500" s="604">
        <v>18</v>
      </c>
      <c r="AJ500" s="604">
        <v>1</v>
      </c>
    </row>
    <row r="501">
      <c r="A501" s="557"/>
      <c r="B501" s="584" t="s">
        <v>346</v>
      </c>
      <c r="C501" s="560" t="s">
        <v>342</v>
      </c>
      <c r="D501" s="559">
        <f t="shared" si="351"/>
      </c>
      <c r="E501" s="559">
        <v>946.72</v>
      </c>
      <c r="F501" s="559">
        <v>1033.63</v>
      </c>
      <c r="G501" s="573">
        <v>1</v>
      </c>
      <c r="H501" s="641">
        <v>2268</v>
      </c>
      <c r="I501" s="695">
        <v>0</v>
      </c>
      <c r="J501" s="695">
        <v>0</v>
      </c>
      <c r="K501" s="696">
        <v>1</v>
      </c>
      <c r="L501" s="637">
        <f t="shared" si="390"/>
      </c>
      <c r="M501" s="638">
        <f t="shared" si="452"/>
      </c>
      <c r="N501" s="646">
        <f t="shared" si="208"/>
      </c>
      <c r="O501" s="596">
        <f t="shared" si="56"/>
      </c>
      <c r="P501" s="597">
        <f t="shared" si="267"/>
      </c>
      <c r="Q501" s="598">
        <f t="shared" si="59"/>
      </c>
      <c r="R501" s="598">
        <f t="shared" si="486"/>
      </c>
      <c r="S501" s="597">
        <f t="shared" si="90"/>
      </c>
      <c r="T501" s="598">
        <f t="shared" si="387"/>
      </c>
      <c r="U501" s="598">
        <f t="shared" si="149"/>
      </c>
      <c r="V501" s="599">
        <f t="shared" si="489"/>
      </c>
      <c r="W501" s="600">
        <f t="shared" si="520"/>
      </c>
      <c r="X501" s="599">
        <f t="shared" si="393"/>
      </c>
      <c r="Y501" s="601">
        <f t="shared" si="455"/>
      </c>
      <c r="Z501" s="602" t="s">
        <v>335</v>
      </c>
      <c r="AA501" s="701" t="s">
        <v>370</v>
      </c>
      <c r="AB501" s="710">
        <v>1</v>
      </c>
      <c r="AC501" s="604">
        <v>6704</v>
      </c>
      <c r="AD501" s="604">
        <v>292</v>
      </c>
      <c r="AE501" s="604">
        <v>435</v>
      </c>
      <c r="AF501" s="604">
        <v>52</v>
      </c>
      <c r="AG501" s="603">
        <v>27</v>
      </c>
      <c r="AH501" s="604">
        <v>2</v>
      </c>
      <c r="AI501" s="604">
        <v>17</v>
      </c>
      <c r="AJ501" s="604">
        <v>1</v>
      </c>
    </row>
    <row customHeight="true" ht="18.452380952380953" r="502">
      <c r="A502" s="557"/>
      <c r="B502" s="584" t="s">
        <v>349</v>
      </c>
      <c r="C502" s="560" t="s">
        <v>342</v>
      </c>
      <c r="D502" s="559">
        <f t="shared" si="351"/>
      </c>
      <c r="E502" s="559">
        <v>1130.5</v>
      </c>
      <c r="F502" s="559">
        <v>773.74</v>
      </c>
      <c r="G502" s="573">
        <v>3</v>
      </c>
      <c r="H502" s="641">
        <v>5004</v>
      </c>
      <c r="I502" s="695">
        <v>1</v>
      </c>
      <c r="J502" s="695">
        <v>0</v>
      </c>
      <c r="K502" s="696">
        <v>2</v>
      </c>
      <c r="L502" s="637">
        <f t="shared" si="390"/>
      </c>
      <c r="M502" s="638">
        <f t="shared" si="452"/>
      </c>
      <c r="N502" s="646">
        <f t="shared" si="208"/>
      </c>
      <c r="O502" s="596">
        <f t="shared" si="56"/>
      </c>
      <c r="P502" s="597">
        <f t="shared" si="267"/>
      </c>
      <c r="Q502" s="598">
        <f t="shared" si="59"/>
      </c>
      <c r="R502" s="598">
        <f t="shared" si="486"/>
      </c>
      <c r="S502" s="597">
        <f t="shared" si="90"/>
      </c>
      <c r="T502" s="598">
        <f t="shared" si="387"/>
      </c>
      <c r="U502" s="598">
        <f t="shared" si="149"/>
      </c>
      <c r="V502" s="599">
        <f t="shared" si="489"/>
      </c>
      <c r="W502" s="600">
        <f t="shared" si="520"/>
      </c>
      <c r="X502" s="599">
        <f t="shared" si="393"/>
      </c>
      <c r="Y502" s="601">
        <f t="shared" si="455"/>
      </c>
      <c r="Z502" s="602" t="s">
        <v>335</v>
      </c>
      <c r="AA502" s="701" t="s">
        <v>370</v>
      </c>
      <c r="AB502" s="710">
        <v>3</v>
      </c>
      <c r="AC502" s="604">
        <v>5659</v>
      </c>
      <c r="AD502" s="604">
        <v>293</v>
      </c>
      <c r="AE502" s="604">
        <v>407</v>
      </c>
      <c r="AF502" s="604">
        <v>54</v>
      </c>
      <c r="AG502" s="603">
        <v>38</v>
      </c>
      <c r="AH502" s="604">
        <v>3</v>
      </c>
      <c r="AI502" s="604">
        <v>23</v>
      </c>
      <c r="AJ502" s="604">
        <v>1</v>
      </c>
    </row>
    <row r="503">
      <c r="A503" s="557"/>
      <c r="B503" s="586" t="s">
        <v>340</v>
      </c>
      <c r="C503" s="586"/>
      <c r="D503" s="587">
        <f>SUM(D498:D502)</f>
      </c>
      <c r="E503" s="587">
        <f>SUM(E498:E502)</f>
      </c>
      <c r="F503" s="587">
        <f>SUM(F498:F502)</f>
      </c>
      <c r="G503" s="587">
        <f>SUM(G498:G502)</f>
      </c>
      <c r="H503" s="587">
        <f>SUM(H498:H502)</f>
      </c>
      <c r="I503" s="587">
        <f>SUM(I498:I502)</f>
      </c>
      <c r="J503" s="587">
        <f>SUM(J498:J502)</f>
      </c>
      <c r="K503" s="587">
        <f>SUM(K498:K502)</f>
      </c>
      <c r="L503" s="643">
        <f t="shared" si="390"/>
      </c>
      <c r="M503" s="644">
        <f t="shared" si="452"/>
      </c>
      <c r="N503" s="647">
        <f t="shared" si="208"/>
      </c>
      <c r="O503" s="590">
        <f t="shared" si="56"/>
      </c>
      <c r="P503" s="591">
        <f t="shared" si="267"/>
      </c>
      <c r="Q503" s="592">
        <f t="shared" si="59"/>
      </c>
      <c r="R503" s="592">
        <f t="shared" si="486"/>
      </c>
      <c r="S503" s="591">
        <f t="shared" si="90"/>
      </c>
      <c r="T503" s="592">
        <f t="shared" si="387"/>
      </c>
      <c r="U503" s="592">
        <f t="shared" si="149"/>
      </c>
      <c r="V503" s="593">
        <f t="shared" si="489"/>
      </c>
      <c r="W503" s="594">
        <f t="shared" si="520"/>
      </c>
      <c r="X503" s="593">
        <f t="shared" si="393"/>
      </c>
      <c r="Y503" s="595">
        <f t="shared" si="455"/>
      </c>
      <c r="Z503" s="595"/>
      <c r="AA503" s="709"/>
      <c r="AB503" s="586">
        <f>SUM(AB498:AB502)</f>
      </c>
      <c r="AC503" s="586">
        <f>SUM(AC498:AC502)</f>
      </c>
      <c r="AD503" s="586">
        <f>SUM(AD498:AD502)</f>
      </c>
      <c r="AE503" s="586">
        <f>SUM(AE498:AE502)</f>
      </c>
      <c r="AF503" s="586">
        <f>SUM(AF498:AF502)</f>
      </c>
      <c r="AG503" s="586">
        <f>SUM(AG498:AG502)</f>
      </c>
      <c r="AH503" s="586">
        <f>SUM(AH498:AH502)</f>
      </c>
      <c r="AI503" s="586">
        <f>SUM(AI498:AI502)</f>
      </c>
      <c r="AJ503" s="586">
        <f>SUM(AJ498:AJ502)</f>
      </c>
    </row>
    <row r="504">
      <c r="A504" s="557"/>
      <c r="B504" s="558" t="s">
        <v>350</v>
      </c>
      <c r="C504" s="560" t="s">
        <v>380</v>
      </c>
      <c r="D504" s="559">
        <f t="shared" ref="D504:D505" si="352">E504+F504</f>
      </c>
      <c r="E504" s="559">
        <v>2250.75</v>
      </c>
      <c r="F504" s="559">
        <v>528.68</v>
      </c>
      <c r="G504" s="561">
        <v>1</v>
      </c>
      <c r="H504" s="641">
        <v>108</v>
      </c>
      <c r="I504" s="695">
        <v>0</v>
      </c>
      <c r="J504" s="695">
        <v>0</v>
      </c>
      <c r="K504" s="696">
        <v>0</v>
      </c>
      <c r="L504" s="637">
        <f t="shared" si="390"/>
      </c>
      <c r="M504" s="638">
        <f t="shared" si="452"/>
      </c>
      <c r="N504" s="634">
        <f t="shared" si="208"/>
      </c>
      <c r="O504" s="596">
        <f t="shared" si="56"/>
      </c>
      <c r="P504" s="597">
        <f t="shared" si="267"/>
      </c>
      <c r="Q504" s="598">
        <f t="shared" si="59"/>
      </c>
      <c r="R504" s="598">
        <f t="shared" si="486"/>
      </c>
      <c r="S504" s="597">
        <f t="shared" si="90"/>
      </c>
      <c r="T504" s="598">
        <f t="shared" si="387"/>
      </c>
      <c r="U504" s="598">
        <f t="shared" si="149"/>
      </c>
      <c r="V504" s="599">
        <f t="shared" si="489"/>
      </c>
      <c r="W504" s="600">
        <f t="shared" si="520"/>
      </c>
      <c r="X504" s="599">
        <f t="shared" si="393"/>
      </c>
      <c r="Y504" s="601">
        <f t="shared" si="455"/>
      </c>
      <c r="Z504" s="602" t="s">
        <v>335</v>
      </c>
      <c r="AA504" s="701" t="s">
        <v>370</v>
      </c>
      <c r="AB504" s="711">
        <v>1</v>
      </c>
      <c r="AC504" s="604">
        <v>8817</v>
      </c>
      <c r="AD504" s="604">
        <v>273</v>
      </c>
      <c r="AE504" s="604">
        <v>390</v>
      </c>
      <c r="AF504" s="604">
        <v>60</v>
      </c>
      <c r="AG504" s="603">
        <v>46</v>
      </c>
      <c r="AH504" s="604">
        <v>5</v>
      </c>
      <c r="AI504" s="604">
        <v>7</v>
      </c>
      <c r="AJ504" s="604">
        <v>1</v>
      </c>
    </row>
    <row r="505">
      <c r="A505" s="557"/>
      <c r="B505" s="558" t="s">
        <v>351</v>
      </c>
      <c r="C505" s="560" t="s">
        <v>380</v>
      </c>
      <c r="D505" s="559">
        <f t="shared" si="352"/>
      </c>
      <c r="E505" s="559">
        <v>1073.08</v>
      </c>
      <c r="F505" s="559">
        <v>143.45</v>
      </c>
      <c r="G505" s="561">
        <v>1</v>
      </c>
      <c r="H505" s="641">
        <v>2268</v>
      </c>
      <c r="I505" s="695">
        <v>0</v>
      </c>
      <c r="J505" s="695">
        <v>0</v>
      </c>
      <c r="K505" s="696">
        <v>1</v>
      </c>
      <c r="L505" s="637">
        <f t="shared" si="390"/>
      </c>
      <c r="M505" s="638">
        <f t="shared" si="452"/>
      </c>
      <c r="N505" s="646">
        <f t="shared" si="208"/>
      </c>
      <c r="O505" s="596">
        <f t="shared" si="56"/>
      </c>
      <c r="P505" s="597">
        <f t="shared" si="267"/>
      </c>
      <c r="Q505" s="598">
        <f t="shared" si="59"/>
      </c>
      <c r="R505" s="598">
        <f t="shared" si="486"/>
      </c>
      <c r="S505" s="597">
        <f t="shared" si="90"/>
      </c>
      <c r="T505" s="598">
        <f t="shared" si="387"/>
      </c>
      <c r="U505" s="598">
        <f t="shared" si="149"/>
      </c>
      <c r="V505" s="599">
        <f t="shared" si="489"/>
      </c>
      <c r="W505" s="600">
        <f t="shared" si="520"/>
      </c>
      <c r="X505" s="599">
        <f t="shared" si="393"/>
      </c>
      <c r="Y505" s="601">
        <f t="shared" si="455"/>
      </c>
      <c r="Z505" s="602" t="s">
        <v>335</v>
      </c>
      <c r="AA505" s="701" t="s">
        <v>370</v>
      </c>
      <c r="AB505" s="710">
        <v>1</v>
      </c>
      <c r="AC505" s="604">
        <v>5016</v>
      </c>
      <c r="AD505" s="604">
        <v>172</v>
      </c>
      <c r="AE505" s="604">
        <v>231</v>
      </c>
      <c r="AF505" s="604">
        <v>38</v>
      </c>
      <c r="AG505" s="603">
        <v>30</v>
      </c>
      <c r="AH505" s="604">
        <v>2</v>
      </c>
      <c r="AI505" s="604">
        <v>11</v>
      </c>
      <c r="AJ505" s="604">
        <v>1</v>
      </c>
    </row>
    <row r="506">
      <c r="A506" s="557"/>
      <c r="B506" s="586" t="s">
        <v>340</v>
      </c>
      <c r="C506" s="586"/>
      <c r="D506" s="587">
        <f>SUM(D504:D505)</f>
      </c>
      <c r="E506" s="587">
        <f>SUM(E504:E505)</f>
      </c>
      <c r="F506" s="587">
        <f>SUM(F504:F505)</f>
      </c>
      <c r="G506" s="587">
        <f>SUM(G504:G505)</f>
      </c>
      <c r="H506" s="642">
        <f>SUM(H504:H505)</f>
      </c>
      <c r="I506" s="642">
        <f>SUM(I504:I505)</f>
      </c>
      <c r="J506" s="642">
        <f>SUM(J504:J505)</f>
      </c>
      <c r="K506" s="642">
        <f>SUM(K504:K505)</f>
      </c>
      <c r="L506" s="643">
        <f t="shared" si="390"/>
      </c>
      <c r="M506" s="644">
        <f t="shared" si="452"/>
      </c>
      <c r="N506" s="647">
        <f t="shared" si="208"/>
      </c>
      <c r="O506" s="590">
        <f t="shared" si="56"/>
      </c>
      <c r="P506" s="591">
        <f t="shared" si="267"/>
      </c>
      <c r="Q506" s="592">
        <f t="shared" si="59"/>
      </c>
      <c r="R506" s="592">
        <f t="shared" si="486"/>
      </c>
      <c r="S506" s="591">
        <f t="shared" si="90"/>
      </c>
      <c r="T506" s="592">
        <f t="shared" si="387"/>
      </c>
      <c r="U506" s="592">
        <f t="shared" si="149"/>
      </c>
      <c r="V506" s="593">
        <f t="shared" si="489"/>
      </c>
      <c r="W506" s="594">
        <f t="shared" si="520"/>
      </c>
      <c r="X506" s="593">
        <f t="shared" si="393"/>
      </c>
      <c r="Y506" s="595">
        <f t="shared" si="455"/>
      </c>
      <c r="Z506" s="595"/>
      <c r="AA506" s="595"/>
      <c r="AB506" s="587">
        <f>SUM(AB504:AB505)</f>
      </c>
      <c r="AC506" s="587">
        <f>SUM(AC504:AC505)</f>
      </c>
      <c r="AD506" s="587">
        <f>SUM(AD504:AD505)</f>
      </c>
      <c r="AE506" s="587">
        <f>SUM(AE504:AE505)</f>
      </c>
      <c r="AF506" s="587">
        <f>SUM(AF504:AF505)</f>
      </c>
      <c r="AG506" s="587">
        <f>SUM(AG504:AG505)</f>
      </c>
      <c r="AH506" s="587">
        <f>SUM(AH504:AH505)</f>
      </c>
      <c r="AI506" s="587">
        <f>SUM(AI504:AI505)</f>
      </c>
      <c r="AJ506" s="587">
        <f>SUM(AJ504:AJ505)</f>
      </c>
      <c r="AK506" s="684" t="s">
        <v>387</v>
      </c>
    </row>
    <row r="507">
      <c r="A507" s="557"/>
      <c r="B507" s="607" t="s">
        <v>352</v>
      </c>
      <c r="C507" s="607"/>
      <c r="D507" s="607">
        <f>D497+D503+D506</f>
      </c>
      <c r="E507" s="607">
        <f>E497+E503+E506</f>
      </c>
      <c r="F507" s="607">
        <f>F497+F503+F506</f>
      </c>
      <c r="G507" s="607">
        <f>G497+G503+G506</f>
      </c>
      <c r="H507" s="648">
        <f>H497+H503+H506</f>
      </c>
      <c r="I507" s="648">
        <f>I497+I503+I506</f>
      </c>
      <c r="J507" s="648">
        <f>J497+J503+J506</f>
      </c>
      <c r="K507" s="648">
        <f>K497+K503+K506</f>
      </c>
      <c r="L507" s="712">
        <f t="shared" si="390"/>
      </c>
      <c r="M507" s="713">
        <f t="shared" si="452"/>
      </c>
      <c r="N507" s="651">
        <f t="shared" si="208"/>
      </c>
      <c r="O507" s="610">
        <f t="shared" si="56"/>
      </c>
      <c r="P507" s="611">
        <f t="shared" si="267"/>
      </c>
      <c r="Q507" s="612">
        <f t="shared" si="59"/>
      </c>
      <c r="R507" s="612">
        <f t="shared" si="486"/>
      </c>
      <c r="S507" s="611">
        <f t="shared" si="90"/>
      </c>
      <c r="T507" s="612">
        <f t="shared" si="387"/>
      </c>
      <c r="U507" s="612">
        <f t="shared" si="149"/>
      </c>
      <c r="V507" s="611">
        <f t="shared" si="489"/>
      </c>
      <c r="W507" s="613">
        <f t="shared" si="520"/>
      </c>
      <c r="X507" s="611">
        <f t="shared" si="393"/>
      </c>
      <c r="Y507" s="609">
        <f t="shared" si="455"/>
      </c>
      <c r="Z507" s="609"/>
      <c r="AA507" s="609"/>
      <c r="AB507" s="607">
        <f>AB497+AB503+AB506</f>
      </c>
      <c r="AC507" s="607">
        <f>AC497+AC503+AC506</f>
      </c>
      <c r="AD507" s="607">
        <f>AD497+AD503+AD506</f>
      </c>
      <c r="AE507" s="607">
        <f>AE497+AE503+AE506</f>
      </c>
      <c r="AF507" s="607">
        <f>AF497+AF503+AF506</f>
      </c>
      <c r="AG507" s="607">
        <f>AG497+AG503+AG506</f>
      </c>
      <c r="AH507" s="607">
        <f>AH497+AH503+AH506</f>
      </c>
      <c r="AI507" s="607">
        <f>AI497+AI503+AI506</f>
      </c>
      <c r="AJ507" s="607">
        <f>AJ497+AJ503+AJ506</f>
      </c>
      <c r="AK507" s="684"/>
    </row>
    <row r="508">
      <c r="A508" s="538" t="s">
        <v>295</v>
      </c>
      <c r="B508" s="538"/>
      <c r="C508" s="538"/>
      <c r="D508" s="539" t="s">
        <v>388</v>
      </c>
      <c r="E508" s="539"/>
      <c r="F508" s="539"/>
      <c r="G508" s="539"/>
      <c r="H508" s="539"/>
      <c r="I508" s="539"/>
      <c r="J508" s="539"/>
      <c r="K508" s="539"/>
      <c r="L508" s="539"/>
      <c r="M508" s="539"/>
      <c r="N508" s="686" t="s">
        <v>389</v>
      </c>
      <c r="O508" s="686"/>
      <c r="P508" s="686"/>
      <c r="Q508" s="686"/>
      <c r="R508" s="686"/>
      <c r="S508" s="686"/>
      <c r="T508" s="686"/>
      <c r="U508" s="686"/>
      <c r="V508" s="686"/>
      <c r="W508" s="686"/>
      <c r="X508" s="686"/>
      <c r="Y508" s="686"/>
      <c r="Z508" s="686"/>
      <c r="AA508" s="686"/>
      <c r="AB508" s="541" t="s">
        <v>298</v>
      </c>
      <c r="AC508" s="541"/>
      <c r="AD508" s="541"/>
      <c r="AE508" s="541"/>
      <c r="AF508" s="541"/>
      <c r="AG508" s="541"/>
      <c r="AH508" s="541"/>
      <c r="AI508" s="541"/>
      <c r="AJ508" s="541"/>
      <c r="AK508" s="714"/>
    </row>
    <row r="509">
      <c r="A509" s="543" t="s">
        <v>299</v>
      </c>
      <c r="B509" s="544" t="s">
        <v>300</v>
      </c>
      <c r="C509" s="544" t="s">
        <v>301</v>
      </c>
      <c r="D509" s="545" t="s">
        <v>302</v>
      </c>
      <c r="E509" s="546" t="s">
        <v>303</v>
      </c>
      <c r="F509" s="687" t="s">
        <v>304</v>
      </c>
      <c r="G509" s="688" t="s">
        <v>390</v>
      </c>
      <c r="H509" s="689" t="s">
        <v>391</v>
      </c>
      <c r="I509" s="690" t="s">
        <v>392</v>
      </c>
      <c r="J509" s="690" t="s">
        <v>393</v>
      </c>
      <c r="K509" s="690" t="s">
        <v>394</v>
      </c>
      <c r="L509" s="630" t="s">
        <v>307</v>
      </c>
      <c r="M509" s="630" t="s">
        <v>308</v>
      </c>
      <c r="N509" s="551" t="s">
        <v>309</v>
      </c>
      <c r="O509" s="551" t="s">
        <v>310</v>
      </c>
      <c r="P509" s="551" t="s">
        <v>311</v>
      </c>
      <c r="Q509" s="669" t="s">
        <v>312</v>
      </c>
      <c r="R509" s="669" t="s">
        <v>313</v>
      </c>
      <c r="S509" s="551" t="s">
        <v>314</v>
      </c>
      <c r="T509" s="669" t="s">
        <v>315</v>
      </c>
      <c r="U509" s="669" t="s">
        <v>316</v>
      </c>
      <c r="V509" s="551" t="s">
        <v>317</v>
      </c>
      <c r="W509" s="669" t="s">
        <v>318</v>
      </c>
      <c r="X509" s="551" t="s">
        <v>319</v>
      </c>
      <c r="Y509" s="553" t="s">
        <v>320</v>
      </c>
      <c r="Z509" s="553" t="s">
        <v>321</v>
      </c>
      <c r="AA509" s="553" t="s">
        <v>322</v>
      </c>
      <c r="AB509" s="618" t="s">
        <v>323</v>
      </c>
      <c r="AC509" s="715" t="s">
        <v>324</v>
      </c>
      <c r="AD509" s="715" t="s">
        <v>325</v>
      </c>
      <c r="AE509" s="715" t="s">
        <v>326</v>
      </c>
      <c r="AF509" s="715" t="s">
        <v>327</v>
      </c>
      <c r="AG509" s="715" t="s">
        <v>328</v>
      </c>
      <c r="AH509" s="616" t="s">
        <v>329</v>
      </c>
      <c r="AI509" s="616" t="s">
        <v>330</v>
      </c>
      <c r="AJ509" s="616" t="s">
        <v>331</v>
      </c>
      <c r="AK509" s="716"/>
    </row>
    <row r="510">
      <c r="A510" s="557" t="s">
        <v>396</v>
      </c>
      <c r="B510" s="584" t="s">
        <v>333</v>
      </c>
      <c r="C510" s="560" t="s">
        <v>347</v>
      </c>
      <c r="D510" s="620">
        <f t="shared" ref="D510:D514" si="353">E510+F510</f>
      </c>
      <c r="E510" s="717">
        <v>2573.07</v>
      </c>
      <c r="F510" s="691">
        <v>284.5</v>
      </c>
      <c r="G510" s="692">
        <v>1</v>
      </c>
      <c r="H510" s="693">
        <v>2268</v>
      </c>
      <c r="I510" s="561">
        <v>0</v>
      </c>
      <c r="J510" s="561">
        <v>0</v>
      </c>
      <c r="K510" s="561">
        <v>1</v>
      </c>
      <c r="L510" s="697">
        <f t="shared" ref="L510:L525" si="391">H510/D510</f>
      </c>
      <c r="M510" s="698">
        <f t="shared" ref="M510:M525" si="453">H510/(D510+300*AJ510)</f>
      </c>
      <c r="N510" s="699">
        <f t="shared" ref="N510:N525" si="209">(D510/AC510)*1000</f>
      </c>
      <c r="O510" s="667">
        <f t="shared" ref="O510:O525" si="57">AD510/AC510</f>
      </c>
      <c r="P510" s="661">
        <f t="shared" ref="P510:P525" si="268">D510/AE510</f>
      </c>
      <c r="Q510" s="675">
        <f t="shared" ref="Q510:Q525" si="60">AF510/AE510</f>
      </c>
      <c r="R510" s="667">
        <f t="shared" ref="R510:R525" si="487">AG510/AE510</f>
      </c>
      <c r="S510" s="700">
        <f t="shared" ref="S510:S525" si="91">D510/AG510</f>
      </c>
      <c r="T510" s="667">
        <f t="shared" ref="T510:T525" si="388">AH510/AG510</f>
      </c>
      <c r="U510" s="676">
        <f t="shared" ref="U510:U525" si="150">G510/AH510</f>
      </c>
      <c r="V510" s="661">
        <f t="shared" ref="V510:V525" si="490">D510/G510</f>
      </c>
      <c r="W510" s="578">
        <f t="shared" ref="W510:W525" si="521">H510/G510</f>
      </c>
      <c r="X510" s="661">
        <f t="shared" ref="X510:X525" si="394">D510/AB510</f>
      </c>
      <c r="Y510" s="672">
        <f t="shared" ref="Y510:Y525" si="456">AI510*1000/D510</f>
      </c>
      <c r="Z510" s="569" t="s">
        <v>335</v>
      </c>
      <c r="AA510" s="701" t="s">
        <v>364</v>
      </c>
      <c r="AB510" s="718">
        <v>1</v>
      </c>
      <c r="AC510" s="584">
        <v>7581</v>
      </c>
      <c r="AD510" s="704">
        <v>258</v>
      </c>
      <c r="AE510" s="719">
        <v>394</v>
      </c>
      <c r="AF510" s="558">
        <v>59</v>
      </c>
      <c r="AG510" s="560">
        <v>25</v>
      </c>
      <c r="AH510" s="558">
        <v>5</v>
      </c>
      <c r="AI510" s="560">
        <v>12</v>
      </c>
      <c r="AJ510" s="560">
        <v>1</v>
      </c>
      <c r="AK510" s="716"/>
    </row>
    <row r="511">
      <c r="A511" s="557"/>
      <c r="B511" s="584" t="s">
        <v>337</v>
      </c>
      <c r="C511" s="560" t="s">
        <v>347</v>
      </c>
      <c r="D511" s="620">
        <f t="shared" si="353"/>
      </c>
      <c r="E511" s="681">
        <v>1861.96</v>
      </c>
      <c r="F511" s="691">
        <v>336.61</v>
      </c>
      <c r="G511" s="692">
        <v>0</v>
      </c>
      <c r="H511" s="692">
        <v>0</v>
      </c>
      <c r="I511" s="692">
        <v>0</v>
      </c>
      <c r="J511" s="692">
        <v>0</v>
      </c>
      <c r="K511" s="692">
        <v>0</v>
      </c>
      <c r="L511" s="637">
        <f t="shared" si="391"/>
      </c>
      <c r="M511" s="638">
        <f t="shared" si="453"/>
      </c>
      <c r="N511" s="699">
        <f t="shared" si="209"/>
      </c>
      <c r="O511" s="667">
        <f t="shared" si="57"/>
      </c>
      <c r="P511" s="679">
        <f t="shared" si="268"/>
      </c>
      <c r="Q511" s="675">
        <f t="shared" si="60"/>
      </c>
      <c r="R511" s="667">
        <f t="shared" si="487"/>
      </c>
      <c r="S511" s="700">
        <f t="shared" si="91"/>
      </c>
      <c r="T511" s="667">
        <f t="shared" si="388"/>
      </c>
      <c r="U511" s="676">
        <f t="shared" si="150"/>
      </c>
      <c r="V511" s="661">
        <f t="shared" si="490"/>
      </c>
      <c r="W511" s="578">
        <f t="shared" si="521"/>
      </c>
      <c r="X511" s="661">
        <f t="shared" si="394"/>
      </c>
      <c r="Y511" s="673">
        <f t="shared" si="456"/>
      </c>
      <c r="Z511" s="581" t="s">
        <v>335</v>
      </c>
      <c r="AA511" s="701" t="s">
        <v>364</v>
      </c>
      <c r="AB511" s="720">
        <v>0</v>
      </c>
      <c r="AC511" s="584">
        <v>5014</v>
      </c>
      <c r="AD511" s="559">
        <v>166</v>
      </c>
      <c r="AE511" s="626">
        <v>250</v>
      </c>
      <c r="AF511" s="559">
        <v>38</v>
      </c>
      <c r="AG511" s="559">
        <v>16</v>
      </c>
      <c r="AH511" s="721">
        <v>1</v>
      </c>
      <c r="AI511" s="722">
        <v>13</v>
      </c>
      <c r="AJ511" s="560">
        <v>1</v>
      </c>
      <c r="AK511" s="716"/>
    </row>
    <row r="512">
      <c r="A512" s="557"/>
      <c r="B512" s="584" t="s">
        <v>338</v>
      </c>
      <c r="C512" s="560" t="s">
        <v>347</v>
      </c>
      <c r="D512" s="620">
        <f t="shared" si="353"/>
      </c>
      <c r="E512" s="682">
        <v>969.95</v>
      </c>
      <c r="F512" s="560">
        <v>215.5</v>
      </c>
      <c r="G512" s="692">
        <v>0</v>
      </c>
      <c r="H512" s="692">
        <v>0</v>
      </c>
      <c r="I512" s="692">
        <v>0</v>
      </c>
      <c r="J512" s="692">
        <v>0</v>
      </c>
      <c r="K512" s="692">
        <v>0</v>
      </c>
      <c r="L512" s="637">
        <f t="shared" si="391"/>
      </c>
      <c r="M512" s="638">
        <f t="shared" si="453"/>
      </c>
      <c r="N512" s="699">
        <f t="shared" si="209"/>
      </c>
      <c r="O512" s="675">
        <f t="shared" si="57"/>
      </c>
      <c r="P512" s="661">
        <f t="shared" si="268"/>
      </c>
      <c r="Q512" s="676">
        <f t="shared" si="60"/>
      </c>
      <c r="R512" s="677">
        <f t="shared" si="487"/>
      </c>
      <c r="S512" s="707">
        <f t="shared" si="91"/>
      </c>
      <c r="T512" s="677">
        <f t="shared" si="388"/>
      </c>
      <c r="U512" s="667">
        <f t="shared" si="150"/>
      </c>
      <c r="V512" s="661">
        <f t="shared" si="490"/>
      </c>
      <c r="W512" s="578">
        <f t="shared" si="521"/>
      </c>
      <c r="X512" s="661">
        <f t="shared" si="394"/>
      </c>
      <c r="Y512" s="673">
        <f t="shared" si="456"/>
      </c>
      <c r="Z512" s="581" t="s">
        <v>335</v>
      </c>
      <c r="AA512" s="701" t="s">
        <v>364</v>
      </c>
      <c r="AB512" s="705">
        <v>0</v>
      </c>
      <c r="AC512" s="584">
        <v>3099</v>
      </c>
      <c r="AD512" s="559">
        <v>125</v>
      </c>
      <c r="AE512" s="559">
        <v>221</v>
      </c>
      <c r="AF512" s="559">
        <v>30</v>
      </c>
      <c r="AG512" s="559">
        <v>11</v>
      </c>
      <c r="AH512" s="721">
        <v>0</v>
      </c>
      <c r="AI512" s="722">
        <v>9</v>
      </c>
      <c r="AJ512" s="560">
        <v>1</v>
      </c>
      <c r="AK512" s="716"/>
    </row>
    <row r="513">
      <c r="A513" s="557"/>
      <c r="B513" s="584" t="s">
        <v>339</v>
      </c>
      <c r="C513" s="560" t="s">
        <v>347</v>
      </c>
      <c r="D513" s="620">
        <f t="shared" si="353"/>
      </c>
      <c r="E513" s="560">
        <v>869.24</v>
      </c>
      <c r="F513" s="560">
        <v>361.15</v>
      </c>
      <c r="G513" s="692">
        <v>1</v>
      </c>
      <c r="H513" s="631">
        <v>468</v>
      </c>
      <c r="I513" s="723">
        <v>1</v>
      </c>
      <c r="J513" s="723">
        <v>0</v>
      </c>
      <c r="K513" s="723">
        <v>0</v>
      </c>
      <c r="L513" s="637">
        <f t="shared" si="391"/>
      </c>
      <c r="M513" s="638">
        <f t="shared" si="453"/>
      </c>
      <c r="N513" s="699">
        <f t="shared" si="209"/>
      </c>
      <c r="O513" s="667">
        <f t="shared" si="57"/>
      </c>
      <c r="P513" s="678">
        <f t="shared" si="268"/>
      </c>
      <c r="Q513" s="667">
        <f t="shared" si="60"/>
      </c>
      <c r="R513" s="667">
        <f t="shared" si="487"/>
      </c>
      <c r="S513" s="661">
        <f t="shared" si="91"/>
      </c>
      <c r="T513" s="667">
        <f t="shared" si="388"/>
      </c>
      <c r="U513" s="667">
        <f t="shared" si="150"/>
      </c>
      <c r="V513" s="661">
        <f t="shared" si="490"/>
      </c>
      <c r="W513" s="578">
        <f t="shared" si="521"/>
      </c>
      <c r="X513" s="661">
        <f t="shared" si="394"/>
      </c>
      <c r="Y513" s="673">
        <f t="shared" si="456"/>
      </c>
      <c r="Z513" s="581" t="s">
        <v>335</v>
      </c>
      <c r="AA513" s="701" t="s">
        <v>364</v>
      </c>
      <c r="AB513" s="558">
        <v>0</v>
      </c>
      <c r="AC513" s="559">
        <v>4459</v>
      </c>
      <c r="AD513" s="559">
        <v>154</v>
      </c>
      <c r="AE513" s="559">
        <v>255</v>
      </c>
      <c r="AF513" s="559">
        <v>37</v>
      </c>
      <c r="AG513" s="559">
        <v>4</v>
      </c>
      <c r="AH513" s="721">
        <v>2</v>
      </c>
      <c r="AI513" s="722">
        <v>11</v>
      </c>
      <c r="AJ513" s="560">
        <v>1</v>
      </c>
      <c r="AK513" s="716"/>
    </row>
    <row r="514">
      <c r="A514" s="557"/>
      <c r="B514" s="558" t="s">
        <v>341</v>
      </c>
      <c r="C514" s="560" t="s">
        <v>347</v>
      </c>
      <c r="D514" s="620">
        <f t="shared" si="353"/>
      </c>
      <c r="E514" s="560">
        <v>959.26</v>
      </c>
      <c r="F514" s="560">
        <v>387.47</v>
      </c>
      <c r="G514" s="561">
        <v>2</v>
      </c>
      <c r="H514" s="631">
        <v>4536</v>
      </c>
      <c r="I514" s="561">
        <v>0</v>
      </c>
      <c r="J514" s="561">
        <v>0</v>
      </c>
      <c r="K514" s="561">
        <v>2</v>
      </c>
      <c r="L514" s="637">
        <f t="shared" si="391"/>
      </c>
      <c r="M514" s="638">
        <f t="shared" si="453"/>
      </c>
      <c r="N514" s="699">
        <f t="shared" si="209"/>
      </c>
      <c r="O514" s="667">
        <f t="shared" si="57"/>
      </c>
      <c r="P514" s="678">
        <f t="shared" si="268"/>
      </c>
      <c r="Q514" s="667">
        <f t="shared" si="60"/>
      </c>
      <c r="R514" s="667">
        <f t="shared" si="487"/>
      </c>
      <c r="S514" s="661">
        <f t="shared" si="91"/>
      </c>
      <c r="T514" s="667">
        <f t="shared" si="388"/>
      </c>
      <c r="U514" s="667">
        <f t="shared" si="150"/>
      </c>
      <c r="V514" s="661">
        <f t="shared" si="490"/>
      </c>
      <c r="W514" s="578">
        <f t="shared" si="521"/>
      </c>
      <c r="X514" s="661">
        <f t="shared" si="394"/>
      </c>
      <c r="Y514" s="673">
        <f t="shared" si="456"/>
      </c>
      <c r="Z514" s="581" t="s">
        <v>335</v>
      </c>
      <c r="AA514" s="701" t="s">
        <v>364</v>
      </c>
      <c r="AB514" s="558">
        <v>1</v>
      </c>
      <c r="AC514" s="559">
        <v>3837</v>
      </c>
      <c r="AD514" s="559">
        <v>158</v>
      </c>
      <c r="AE514" s="559">
        <v>253</v>
      </c>
      <c r="AF514" s="559">
        <v>42</v>
      </c>
      <c r="AG514" s="559">
        <v>14</v>
      </c>
      <c r="AH514" s="721">
        <v>4</v>
      </c>
      <c r="AI514" s="722">
        <v>8</v>
      </c>
      <c r="AJ514" s="560">
        <v>1</v>
      </c>
      <c r="AK514" s="716"/>
    </row>
    <row r="515">
      <c r="A515" s="557"/>
      <c r="B515" s="586" t="s">
        <v>340</v>
      </c>
      <c r="C515" s="586"/>
      <c r="D515" s="587">
        <f>SUM(D510:D514)</f>
      </c>
      <c r="E515" s="587">
        <f>SUM(E510:E514)</f>
      </c>
      <c r="F515" s="587">
        <f>SUM(F510:F514)</f>
      </c>
      <c r="G515" s="587">
        <f>SUM(G510:G514)</f>
      </c>
      <c r="H515" s="587">
        <f>SUM(H510:H514)</f>
      </c>
      <c r="I515" s="587">
        <f>SUM(I510:I514)</f>
      </c>
      <c r="J515" s="587">
        <f>SUM(J510:J514)</f>
      </c>
      <c r="K515" s="587">
        <f>SUM(K510:K514)</f>
      </c>
      <c r="L515" s="643">
        <f t="shared" si="391"/>
      </c>
      <c r="M515" s="644">
        <f t="shared" si="453"/>
      </c>
      <c r="N515" s="645">
        <f t="shared" si="209"/>
      </c>
      <c r="O515" s="590">
        <f t="shared" si="57"/>
      </c>
      <c r="P515" s="591">
        <f t="shared" si="268"/>
      </c>
      <c r="Q515" s="592">
        <f t="shared" si="60"/>
      </c>
      <c r="R515" s="592">
        <f t="shared" si="487"/>
      </c>
      <c r="S515" s="591">
        <f t="shared" si="91"/>
      </c>
      <c r="T515" s="592">
        <f t="shared" si="388"/>
      </c>
      <c r="U515" s="592">
        <f t="shared" si="150"/>
      </c>
      <c r="V515" s="593">
        <f t="shared" si="490"/>
      </c>
      <c r="W515" s="594">
        <f t="shared" si="521"/>
      </c>
      <c r="X515" s="593">
        <f t="shared" si="394"/>
      </c>
      <c r="Y515" s="595">
        <f t="shared" si="456"/>
      </c>
      <c r="Z515" s="595"/>
      <c r="AA515" s="709"/>
      <c r="AB515" s="586">
        <f>SUM(AB510:AB514)</f>
      </c>
      <c r="AC515" s="586">
        <f>SUM(AC510:AC514)</f>
      </c>
      <c r="AD515" s="586">
        <f>SUM(AD510:AD514)</f>
      </c>
      <c r="AE515" s="586">
        <f>SUM(AE510:AE514)</f>
      </c>
      <c r="AF515" s="586">
        <f>SUM(AF510:AF514)</f>
      </c>
      <c r="AG515" s="586">
        <f>SUM(AG510:AG514)</f>
      </c>
      <c r="AH515" s="586">
        <f>SUM(AH510:AH514)</f>
      </c>
      <c r="AI515" s="586">
        <f>SUM(AI510:AI514)</f>
      </c>
      <c r="AJ515" s="586">
        <f>SUM(AJ510:AJ514)</f>
      </c>
      <c r="AK515" s="716"/>
    </row>
    <row r="516">
      <c r="A516" s="557"/>
      <c r="B516" s="584" t="s">
        <v>343</v>
      </c>
      <c r="C516" s="560" t="s">
        <v>342</v>
      </c>
      <c r="D516" s="559">
        <f t="shared" ref="D516:D520" si="354">E516+F516</f>
      </c>
      <c r="E516" s="560">
        <v>1223.29</v>
      </c>
      <c r="F516" s="560">
        <v>409.99</v>
      </c>
      <c r="G516" s="561">
        <v>1</v>
      </c>
      <c r="H516" s="631">
        <v>168</v>
      </c>
      <c r="I516" s="561">
        <v>0</v>
      </c>
      <c r="J516" s="561">
        <v>0</v>
      </c>
      <c r="K516" s="561">
        <v>0</v>
      </c>
      <c r="L516" s="637">
        <f t="shared" si="391"/>
      </c>
      <c r="M516" s="638">
        <f t="shared" si="453"/>
      </c>
      <c r="N516" s="634">
        <f t="shared" si="209"/>
      </c>
      <c r="O516" s="596">
        <f t="shared" si="57"/>
      </c>
      <c r="P516" s="597">
        <f t="shared" si="268"/>
      </c>
      <c r="Q516" s="598">
        <f t="shared" si="60"/>
      </c>
      <c r="R516" s="598">
        <f t="shared" si="487"/>
      </c>
      <c r="S516" s="597">
        <f t="shared" si="91"/>
      </c>
      <c r="T516" s="598">
        <f t="shared" si="388"/>
      </c>
      <c r="U516" s="598">
        <f t="shared" si="150"/>
      </c>
      <c r="V516" s="599">
        <f t="shared" si="490"/>
      </c>
      <c r="W516" s="600">
        <f t="shared" si="521"/>
      </c>
      <c r="X516" s="599">
        <f t="shared" si="394"/>
      </c>
      <c r="Y516" s="601">
        <f t="shared" si="456"/>
      </c>
      <c r="Z516" s="602" t="s">
        <v>335</v>
      </c>
      <c r="AA516" s="701" t="s">
        <v>364</v>
      </c>
      <c r="AB516" s="692">
        <v>1</v>
      </c>
      <c r="AC516" s="573">
        <v>3340</v>
      </c>
      <c r="AD516" s="573">
        <v>136</v>
      </c>
      <c r="AE516" s="573">
        <v>209</v>
      </c>
      <c r="AF516" s="573">
        <v>33</v>
      </c>
      <c r="AG516" s="573">
        <v>22</v>
      </c>
      <c r="AH516" s="561">
        <v>2</v>
      </c>
      <c r="AI516" s="561">
        <v>4</v>
      </c>
      <c r="AJ516" s="561">
        <v>1</v>
      </c>
      <c r="AK516" s="716"/>
    </row>
    <row r="517">
      <c r="A517" s="557"/>
      <c r="B517" s="584" t="s">
        <v>344</v>
      </c>
      <c r="C517" s="560" t="s">
        <v>342</v>
      </c>
      <c r="D517" s="559">
        <f t="shared" si="354"/>
      </c>
      <c r="E517" s="560">
        <v>1140.85</v>
      </c>
      <c r="F517" s="560">
        <v>726.92</v>
      </c>
      <c r="G517" s="561">
        <v>0</v>
      </c>
      <c r="H517" s="561">
        <v>0</v>
      </c>
      <c r="I517" s="561">
        <v>0</v>
      </c>
      <c r="J517" s="561">
        <v>0</v>
      </c>
      <c r="K517" s="561">
        <v>0</v>
      </c>
      <c r="L517" s="637">
        <f t="shared" si="391"/>
      </c>
      <c r="M517" s="638">
        <f t="shared" si="453"/>
      </c>
      <c r="N517" s="634">
        <f t="shared" si="209"/>
      </c>
      <c r="O517" s="596">
        <f t="shared" si="57"/>
      </c>
      <c r="P517" s="597">
        <f t="shared" si="268"/>
      </c>
      <c r="Q517" s="598">
        <f t="shared" si="60"/>
      </c>
      <c r="R517" s="598">
        <f t="shared" si="487"/>
      </c>
      <c r="S517" s="597">
        <f t="shared" si="91"/>
      </c>
      <c r="T517" s="598">
        <f t="shared" si="388"/>
      </c>
      <c r="U517" s="598">
        <f t="shared" si="150"/>
      </c>
      <c r="V517" s="599">
        <f t="shared" si="490"/>
      </c>
      <c r="W517" s="600">
        <f t="shared" si="521"/>
      </c>
      <c r="X517" s="599">
        <f t="shared" si="394"/>
      </c>
      <c r="Y517" s="601">
        <f t="shared" si="456"/>
      </c>
      <c r="Z517" s="602" t="s">
        <v>335</v>
      </c>
      <c r="AA517" s="701" t="s">
        <v>364</v>
      </c>
      <c r="AB517" s="692">
        <v>0</v>
      </c>
      <c r="AC517" s="573">
        <v>5561</v>
      </c>
      <c r="AD517" s="573">
        <v>201</v>
      </c>
      <c r="AE517" s="573">
        <v>297</v>
      </c>
      <c r="AF517" s="573">
        <v>37</v>
      </c>
      <c r="AG517" s="573">
        <v>10</v>
      </c>
      <c r="AH517" s="561">
        <v>1</v>
      </c>
      <c r="AI517" s="561">
        <v>6</v>
      </c>
      <c r="AJ517" s="561">
        <v>1</v>
      </c>
      <c r="AK517" s="716"/>
    </row>
    <row r="518">
      <c r="A518" s="557"/>
      <c r="B518" s="584" t="s">
        <v>345</v>
      </c>
      <c r="C518" s="560" t="s">
        <v>342</v>
      </c>
      <c r="D518" s="559">
        <f t="shared" si="354"/>
      </c>
      <c r="E518" s="560">
        <v>1042.48</v>
      </c>
      <c r="F518" s="560">
        <v>253.47</v>
      </c>
      <c r="G518" s="561">
        <v>1</v>
      </c>
      <c r="H518" s="631">
        <v>2268</v>
      </c>
      <c r="I518" s="723">
        <v>0</v>
      </c>
      <c r="J518" s="723">
        <v>0</v>
      </c>
      <c r="K518" s="724">
        <v>1</v>
      </c>
      <c r="L518" s="637">
        <f t="shared" si="391"/>
      </c>
      <c r="M518" s="638">
        <f t="shared" si="453"/>
      </c>
      <c r="N518" s="634">
        <f t="shared" si="209"/>
      </c>
      <c r="O518" s="596">
        <f t="shared" si="57"/>
      </c>
      <c r="P518" s="597">
        <f t="shared" si="268"/>
      </c>
      <c r="Q518" s="598">
        <f t="shared" si="60"/>
      </c>
      <c r="R518" s="598">
        <f t="shared" si="487"/>
      </c>
      <c r="S518" s="597">
        <f t="shared" si="91"/>
      </c>
      <c r="T518" s="598">
        <f t="shared" si="388"/>
      </c>
      <c r="U518" s="598">
        <f t="shared" si="150"/>
      </c>
      <c r="V518" s="599">
        <f t="shared" si="490"/>
      </c>
      <c r="W518" s="600">
        <f t="shared" si="521"/>
      </c>
      <c r="X518" s="599">
        <f t="shared" si="394"/>
      </c>
      <c r="Y518" s="601">
        <f t="shared" si="456"/>
      </c>
      <c r="Z518" s="602" t="s">
        <v>335</v>
      </c>
      <c r="AA518" s="701" t="s">
        <v>364</v>
      </c>
      <c r="AB518" s="692">
        <v>1</v>
      </c>
      <c r="AC518" s="573">
        <v>3838</v>
      </c>
      <c r="AD518" s="573">
        <v>171</v>
      </c>
      <c r="AE518" s="573">
        <v>253</v>
      </c>
      <c r="AF518" s="573">
        <v>28</v>
      </c>
      <c r="AG518" s="573">
        <v>9</v>
      </c>
      <c r="AH518" s="561">
        <v>2</v>
      </c>
      <c r="AI518" s="561">
        <v>14</v>
      </c>
      <c r="AJ518" s="561">
        <v>1</v>
      </c>
      <c r="AK518" s="716"/>
    </row>
    <row r="519">
      <c r="A519" s="557"/>
      <c r="B519" s="584" t="s">
        <v>346</v>
      </c>
      <c r="C519" s="560" t="s">
        <v>342</v>
      </c>
      <c r="D519" s="559">
        <f t="shared" si="354"/>
      </c>
      <c r="E519" s="559">
        <v>1122.33</v>
      </c>
      <c r="F519" s="559">
        <v>150.28</v>
      </c>
      <c r="G519" s="573">
        <v>1</v>
      </c>
      <c r="H519" s="641">
        <v>948</v>
      </c>
      <c r="I519" s="723">
        <v>0</v>
      </c>
      <c r="J519" s="723">
        <v>1</v>
      </c>
      <c r="K519" s="724">
        <v>0</v>
      </c>
      <c r="L519" s="637">
        <f t="shared" si="391"/>
      </c>
      <c r="M519" s="638">
        <f t="shared" si="453"/>
      </c>
      <c r="N519" s="646">
        <f t="shared" si="209"/>
      </c>
      <c r="O519" s="596">
        <f t="shared" si="57"/>
      </c>
      <c r="P519" s="597">
        <f t="shared" si="268"/>
      </c>
      <c r="Q519" s="598">
        <f t="shared" si="60"/>
      </c>
      <c r="R519" s="598">
        <f t="shared" si="487"/>
      </c>
      <c r="S519" s="597">
        <f t="shared" si="91"/>
      </c>
      <c r="T519" s="598">
        <f t="shared" si="388"/>
      </c>
      <c r="U519" s="598">
        <f t="shared" si="150"/>
      </c>
      <c r="V519" s="599">
        <f t="shared" si="490"/>
      </c>
      <c r="W519" s="600">
        <f t="shared" si="521"/>
      </c>
      <c r="X519" s="599">
        <f t="shared" si="394"/>
      </c>
      <c r="Y519" s="601">
        <f t="shared" si="456"/>
      </c>
      <c r="Z519" s="602" t="s">
        <v>335</v>
      </c>
      <c r="AA519" s="701" t="s">
        <v>364</v>
      </c>
      <c r="AB519" s="692">
        <v>1</v>
      </c>
      <c r="AC519" s="561">
        <v>3771</v>
      </c>
      <c r="AD519" s="561">
        <v>131</v>
      </c>
      <c r="AE519" s="561">
        <v>213</v>
      </c>
      <c r="AF519" s="561">
        <v>33</v>
      </c>
      <c r="AG519" s="573">
        <v>16</v>
      </c>
      <c r="AH519" s="561">
        <v>1</v>
      </c>
      <c r="AI519" s="561">
        <v>12</v>
      </c>
      <c r="AJ519" s="561">
        <v>1</v>
      </c>
      <c r="AK519" s="716"/>
    </row>
    <row r="520">
      <c r="A520" s="557"/>
      <c r="B520" s="584" t="s">
        <v>349</v>
      </c>
      <c r="C520" s="560" t="s">
        <v>342</v>
      </c>
      <c r="D520" s="559">
        <f t="shared" si="354"/>
      </c>
      <c r="E520" s="559">
        <v>747.77</v>
      </c>
      <c r="F520" s="559">
        <v>145.99</v>
      </c>
      <c r="G520" s="561">
        <v>1</v>
      </c>
      <c r="H520" s="641">
        <v>2080</v>
      </c>
      <c r="I520" s="723">
        <v>0</v>
      </c>
      <c r="J520" s="723">
        <v>0</v>
      </c>
      <c r="K520" s="724">
        <v>1</v>
      </c>
      <c r="L520" s="637">
        <f t="shared" si="391"/>
      </c>
      <c r="M520" s="638">
        <f t="shared" si="453"/>
      </c>
      <c r="N520" s="646">
        <f t="shared" si="209"/>
      </c>
      <c r="O520" s="596">
        <f t="shared" si="57"/>
      </c>
      <c r="P520" s="597">
        <f t="shared" si="268"/>
      </c>
      <c r="Q520" s="598">
        <f t="shared" si="60"/>
      </c>
      <c r="R520" s="598">
        <f t="shared" si="487"/>
      </c>
      <c r="S520" s="597">
        <f t="shared" si="91"/>
      </c>
      <c r="T520" s="598">
        <f t="shared" si="388"/>
      </c>
      <c r="U520" s="598">
        <f t="shared" si="150"/>
      </c>
      <c r="V520" s="599">
        <f t="shared" si="490"/>
      </c>
      <c r="W520" s="600">
        <f t="shared" si="521"/>
      </c>
      <c r="X520" s="599">
        <f t="shared" si="394"/>
      </c>
      <c r="Y520" s="601">
        <f t="shared" si="456"/>
      </c>
      <c r="Z520" s="602" t="s">
        <v>335</v>
      </c>
      <c r="AA520" s="701" t="s">
        <v>370</v>
      </c>
      <c r="AB520" s="692">
        <v>1</v>
      </c>
      <c r="AC520" s="561">
        <v>2466</v>
      </c>
      <c r="AD520" s="561">
        <v>86</v>
      </c>
      <c r="AE520" s="561">
        <v>136</v>
      </c>
      <c r="AF520" s="561">
        <v>19</v>
      </c>
      <c r="AG520" s="573">
        <v>11</v>
      </c>
      <c r="AH520" s="561">
        <v>1</v>
      </c>
      <c r="AI520" s="561">
        <v>13</v>
      </c>
      <c r="AJ520" s="561">
        <v>1</v>
      </c>
      <c r="AK520" s="716"/>
    </row>
    <row r="521">
      <c r="A521" s="557"/>
      <c r="B521" s="586" t="s">
        <v>340</v>
      </c>
      <c r="C521" s="586"/>
      <c r="D521" s="587">
        <f>SUM(D516:D520)</f>
      </c>
      <c r="E521" s="587">
        <f>SUM(E516:E520)</f>
      </c>
      <c r="F521" s="587">
        <f>SUM(F516:F520)</f>
      </c>
      <c r="G521" s="587">
        <f>SUM(G516:G520)</f>
      </c>
      <c r="H521" s="587">
        <f>SUM(H516:H520)</f>
      </c>
      <c r="I521" s="587">
        <f>SUM(I516:I520)</f>
      </c>
      <c r="J521" s="587">
        <f>SUM(J516:J520)</f>
      </c>
      <c r="K521" s="587">
        <f>SUM(K516:K520)</f>
      </c>
      <c r="L521" s="643">
        <f t="shared" si="391"/>
      </c>
      <c r="M521" s="644">
        <f t="shared" si="453"/>
      </c>
      <c r="N521" s="647">
        <f t="shared" si="209"/>
      </c>
      <c r="O521" s="590">
        <f t="shared" si="57"/>
      </c>
      <c r="P521" s="591">
        <f t="shared" si="268"/>
      </c>
      <c r="Q521" s="592">
        <f t="shared" si="60"/>
      </c>
      <c r="R521" s="592">
        <f t="shared" si="487"/>
      </c>
      <c r="S521" s="591">
        <f t="shared" si="91"/>
      </c>
      <c r="T521" s="592">
        <f t="shared" si="388"/>
      </c>
      <c r="U521" s="592">
        <f t="shared" si="150"/>
      </c>
      <c r="V521" s="593">
        <f t="shared" si="490"/>
      </c>
      <c r="W521" s="594">
        <f t="shared" si="521"/>
      </c>
      <c r="X521" s="593">
        <f t="shared" si="394"/>
      </c>
      <c r="Y521" s="595">
        <f t="shared" si="456"/>
      </c>
      <c r="Z521" s="595"/>
      <c r="AA521" s="709"/>
      <c r="AB521" s="586">
        <f>SUM(AB516:AB520)</f>
      </c>
      <c r="AC521" s="586">
        <f>SUM(AC516:AC520)</f>
      </c>
      <c r="AD521" s="586">
        <f>SUM(AD516:AD520)</f>
      </c>
      <c r="AE521" s="586">
        <f>SUM(AE516:AE520)</f>
      </c>
      <c r="AF521" s="586">
        <f>SUM(AF516:AF520)</f>
      </c>
      <c r="AG521" s="586">
        <f>SUM(AG516:AG520)</f>
      </c>
      <c r="AH521" s="586">
        <f>SUM(AH516:AH520)</f>
      </c>
      <c r="AI521" s="586">
        <f>SUM(AI516:AI520)</f>
      </c>
      <c r="AJ521" s="586">
        <f>SUM(AJ516:AJ520)</f>
      </c>
      <c r="AK521" s="716"/>
    </row>
    <row r="522">
      <c r="A522" s="557"/>
      <c r="B522" s="558" t="s">
        <v>350</v>
      </c>
      <c r="C522" s="560" t="s">
        <v>380</v>
      </c>
      <c r="D522" s="559">
        <f t="shared" ref="D522:D523" si="355">E522+F522</f>
      </c>
      <c r="E522" s="559">
        <v>832.83</v>
      </c>
      <c r="F522" s="559">
        <v>215.61</v>
      </c>
      <c r="G522" s="561">
        <v>0</v>
      </c>
      <c r="H522" s="631">
        <v>0</v>
      </c>
      <c r="I522" s="723">
        <v>0</v>
      </c>
      <c r="J522" s="723">
        <v>0</v>
      </c>
      <c r="K522" s="724">
        <v>0</v>
      </c>
      <c r="L522" s="637">
        <f t="shared" si="391"/>
      </c>
      <c r="M522" s="638">
        <f t="shared" si="453"/>
      </c>
      <c r="N522" s="634">
        <f t="shared" si="209"/>
      </c>
      <c r="O522" s="596">
        <f t="shared" si="57"/>
      </c>
      <c r="P522" s="597">
        <f t="shared" si="268"/>
      </c>
      <c r="Q522" s="598">
        <f t="shared" si="60"/>
      </c>
      <c r="R522" s="598">
        <f t="shared" si="487"/>
      </c>
      <c r="S522" s="597">
        <f t="shared" si="91"/>
      </c>
      <c r="T522" s="598">
        <f t="shared" si="388"/>
      </c>
      <c r="U522" s="598">
        <f t="shared" si="150"/>
      </c>
      <c r="V522" s="599">
        <f t="shared" si="490"/>
      </c>
      <c r="W522" s="600">
        <f t="shared" si="521"/>
      </c>
      <c r="X522" s="599">
        <f t="shared" si="394"/>
      </c>
      <c r="Y522" s="601">
        <f t="shared" si="456"/>
      </c>
      <c r="Z522" s="602" t="s">
        <v>335</v>
      </c>
      <c r="AA522" s="701" t="s">
        <v>370</v>
      </c>
      <c r="AB522" s="725">
        <v>0</v>
      </c>
      <c r="AC522" s="561">
        <v>2741</v>
      </c>
      <c r="AD522" s="561">
        <v>99</v>
      </c>
      <c r="AE522" s="561">
        <v>153</v>
      </c>
      <c r="AF522" s="561">
        <v>16</v>
      </c>
      <c r="AG522" s="573">
        <v>6</v>
      </c>
      <c r="AH522" s="561">
        <v>0</v>
      </c>
      <c r="AI522" s="561">
        <v>6</v>
      </c>
      <c r="AJ522" s="561">
        <v>1</v>
      </c>
      <c r="AK522" s="716"/>
    </row>
    <row r="523">
      <c r="A523" s="557"/>
      <c r="B523" s="558" t="s">
        <v>351</v>
      </c>
      <c r="C523" s="560" t="s">
        <v>380</v>
      </c>
      <c r="D523" s="559">
        <f t="shared" si="355"/>
      </c>
      <c r="E523" s="559">
        <v>292.7</v>
      </c>
      <c r="F523" s="559">
        <v>229.74</v>
      </c>
      <c r="G523" s="561">
        <v>2</v>
      </c>
      <c r="H523" s="641">
        <v>2736</v>
      </c>
      <c r="I523" s="723">
        <v>1</v>
      </c>
      <c r="J523" s="723">
        <v>0</v>
      </c>
      <c r="K523" s="724">
        <v>1</v>
      </c>
      <c r="L523" s="637">
        <f t="shared" si="391"/>
      </c>
      <c r="M523" s="638">
        <f t="shared" si="453"/>
      </c>
      <c r="N523" s="646">
        <f t="shared" si="209"/>
      </c>
      <c r="O523" s="596">
        <f t="shared" si="57"/>
      </c>
      <c r="P523" s="597">
        <f t="shared" si="268"/>
      </c>
      <c r="Q523" s="598">
        <f t="shared" si="60"/>
      </c>
      <c r="R523" s="598">
        <f t="shared" si="487"/>
      </c>
      <c r="S523" s="597">
        <f t="shared" si="91"/>
      </c>
      <c r="T523" s="598">
        <f t="shared" si="388"/>
      </c>
      <c r="U523" s="598">
        <f t="shared" si="150"/>
      </c>
      <c r="V523" s="599">
        <f t="shared" si="490"/>
      </c>
      <c r="W523" s="600">
        <f t="shared" si="521"/>
      </c>
      <c r="X523" s="599">
        <f t="shared" si="394"/>
      </c>
      <c r="Y523" s="601">
        <f t="shared" si="456"/>
      </c>
      <c r="Z523" s="602" t="s">
        <v>335</v>
      </c>
      <c r="AA523" s="701" t="s">
        <v>370</v>
      </c>
      <c r="AB523" s="692">
        <v>2</v>
      </c>
      <c r="AC523" s="561">
        <v>830</v>
      </c>
      <c r="AD523" s="561">
        <v>387</v>
      </c>
      <c r="AE523" s="561">
        <v>81</v>
      </c>
      <c r="AF523" s="561">
        <v>45</v>
      </c>
      <c r="AG523" s="573">
        <v>8</v>
      </c>
      <c r="AH523" s="561">
        <v>3</v>
      </c>
      <c r="AI523" s="561">
        <v>13</v>
      </c>
      <c r="AJ523" s="561">
        <v>1</v>
      </c>
      <c r="AK523" s="716"/>
    </row>
    <row r="524">
      <c r="A524" s="557"/>
      <c r="B524" s="586" t="s">
        <v>340</v>
      </c>
      <c r="C524" s="586"/>
      <c r="D524" s="587">
        <f>SUM(D522:D523)</f>
      </c>
      <c r="E524" s="587">
        <f>SUM(E522:E523)</f>
      </c>
      <c r="F524" s="587">
        <f>SUM(F522:F523)</f>
      </c>
      <c r="G524" s="587">
        <f>SUM(G522:G523)</f>
      </c>
      <c r="H524" s="642">
        <f>SUM(H522:H523)</f>
      </c>
      <c r="I524" s="642">
        <f>SUM(I522:I523)</f>
      </c>
      <c r="J524" s="642">
        <f>SUM(J522:J523)</f>
      </c>
      <c r="K524" s="642">
        <f>SUM(K522:K523)</f>
      </c>
      <c r="L524" s="643">
        <f t="shared" si="391"/>
      </c>
      <c r="M524" s="644">
        <f t="shared" si="453"/>
      </c>
      <c r="N524" s="647">
        <f t="shared" si="209"/>
      </c>
      <c r="O524" s="590">
        <f t="shared" si="57"/>
      </c>
      <c r="P524" s="591">
        <f t="shared" si="268"/>
      </c>
      <c r="Q524" s="592">
        <f t="shared" si="60"/>
      </c>
      <c r="R524" s="592">
        <f t="shared" si="487"/>
      </c>
      <c r="S524" s="591">
        <f t="shared" si="91"/>
      </c>
      <c r="T524" s="592">
        <f t="shared" si="388"/>
      </c>
      <c r="U524" s="592">
        <f t="shared" si="150"/>
      </c>
      <c r="V524" s="593">
        <f t="shared" si="490"/>
      </c>
      <c r="W524" s="594">
        <f t="shared" si="521"/>
      </c>
      <c r="X524" s="593">
        <f t="shared" si="394"/>
      </c>
      <c r="Y524" s="595">
        <f t="shared" si="456"/>
      </c>
      <c r="Z524" s="595"/>
      <c r="AA524" s="595"/>
      <c r="AB524" s="587">
        <f>SUM(AB522:AB523)</f>
      </c>
      <c r="AC524" s="587">
        <f>SUM(AC522:AC523)</f>
      </c>
      <c r="AD524" s="587">
        <f>SUM(AD522:AD523)</f>
      </c>
      <c r="AE524" s="587">
        <f>SUM(AE522:AE523)</f>
      </c>
      <c r="AF524" s="587">
        <f>SUM(AF522:AF523)</f>
      </c>
      <c r="AG524" s="587">
        <f>SUM(AG522:AG523)</f>
      </c>
      <c r="AH524" s="587">
        <f>SUM(AH522:AH523)</f>
      </c>
      <c r="AI524" s="587">
        <f>SUM(AI522:AI523)</f>
      </c>
      <c r="AJ524" s="587">
        <f>SUM(AJ522:AJ523)</f>
      </c>
      <c r="AK524" s="726" t="s">
        <v>387</v>
      </c>
    </row>
    <row r="525">
      <c r="A525" s="557"/>
      <c r="B525" s="607" t="s">
        <v>352</v>
      </c>
      <c r="C525" s="607"/>
      <c r="D525" s="607">
        <f>D515+D521+D524</f>
      </c>
      <c r="E525" s="607">
        <f>E515+E521+E524</f>
      </c>
      <c r="F525" s="607">
        <f>F515+F521+F524</f>
      </c>
      <c r="G525" s="607">
        <f>G515+G521+G524</f>
      </c>
      <c r="H525" s="648">
        <f>H515+H521+H524</f>
      </c>
      <c r="I525" s="648">
        <f>I515+I521+I524</f>
      </c>
      <c r="J525" s="648">
        <f>J515+J521+J524</f>
      </c>
      <c r="K525" s="648">
        <f>K515+K521+K524</f>
      </c>
      <c r="L525" s="712">
        <f t="shared" si="391"/>
      </c>
      <c r="M525" s="713">
        <f t="shared" si="453"/>
      </c>
      <c r="N525" s="651">
        <f t="shared" si="209"/>
      </c>
      <c r="O525" s="610">
        <f t="shared" si="57"/>
      </c>
      <c r="P525" s="611">
        <f t="shared" si="268"/>
      </c>
      <c r="Q525" s="612">
        <f t="shared" si="60"/>
      </c>
      <c r="R525" s="612">
        <f t="shared" si="487"/>
      </c>
      <c r="S525" s="611">
        <f t="shared" si="91"/>
      </c>
      <c r="T525" s="612">
        <f t="shared" si="388"/>
      </c>
      <c r="U525" s="612">
        <f t="shared" si="150"/>
      </c>
      <c r="V525" s="611">
        <f t="shared" si="490"/>
      </c>
      <c r="W525" s="613">
        <f t="shared" si="521"/>
      </c>
      <c r="X525" s="611">
        <f t="shared" si="394"/>
      </c>
      <c r="Y525" s="609">
        <f t="shared" si="456"/>
      </c>
      <c r="Z525" s="609"/>
      <c r="AA525" s="609"/>
      <c r="AB525" s="607">
        <f>AB515+AB521+AB524</f>
      </c>
      <c r="AC525" s="607">
        <f>AC515+AC521+AC524</f>
      </c>
      <c r="AD525" s="607">
        <f>AD515+AD521+AD524</f>
      </c>
      <c r="AE525" s="607">
        <f>AE515+AE521+AE524</f>
      </c>
      <c r="AF525" s="607">
        <f>AF515+AF521+AF524</f>
      </c>
      <c r="AG525" s="607">
        <f>AG515+AG521+AG524</f>
      </c>
      <c r="AH525" s="607">
        <f>AH515+AH521+AH524</f>
      </c>
      <c r="AI525" s="607">
        <f>AI515+AI521+AI524</f>
      </c>
      <c r="AJ525" s="607">
        <f>AJ515+AJ521+AJ524</f>
      </c>
      <c r="AK525" s="726"/>
    </row>
    <row r="526">
      <c r="A526" s="538" t="s">
        <v>295</v>
      </c>
      <c r="B526" s="538"/>
      <c r="C526" s="538"/>
      <c r="D526" s="539" t="s">
        <v>388</v>
      </c>
      <c r="E526" s="539"/>
      <c r="F526" s="539"/>
      <c r="G526" s="539"/>
      <c r="H526" s="539"/>
      <c r="I526" s="539"/>
      <c r="J526" s="539"/>
      <c r="K526" s="539"/>
      <c r="L526" s="539"/>
      <c r="M526" s="539"/>
      <c r="N526" s="686" t="s">
        <v>389</v>
      </c>
      <c r="O526" s="686"/>
      <c r="P526" s="686"/>
      <c r="Q526" s="686"/>
      <c r="R526" s="686"/>
      <c r="S526" s="686"/>
      <c r="T526" s="686"/>
      <c r="U526" s="686"/>
      <c r="V526" s="686"/>
      <c r="W526" s="686"/>
      <c r="X526" s="686"/>
      <c r="Y526" s="686"/>
      <c r="Z526" s="686"/>
      <c r="AA526" s="686"/>
      <c r="AB526" s="541" t="s">
        <v>298</v>
      </c>
      <c r="AC526" s="541"/>
      <c r="AD526" s="541"/>
      <c r="AE526" s="541"/>
      <c r="AF526" s="541"/>
      <c r="AG526" s="541"/>
      <c r="AH526" s="541"/>
      <c r="AI526" s="541"/>
      <c r="AJ526" s="541"/>
      <c r="AK526" s="714"/>
    </row>
    <row r="527">
      <c r="A527" s="543" t="s">
        <v>299</v>
      </c>
      <c r="B527" s="544" t="s">
        <v>300</v>
      </c>
      <c r="C527" s="544" t="s">
        <v>301</v>
      </c>
      <c r="D527" s="545" t="s">
        <v>302</v>
      </c>
      <c r="E527" s="546" t="s">
        <v>303</v>
      </c>
      <c r="F527" s="687" t="s">
        <v>304</v>
      </c>
      <c r="G527" s="688" t="s">
        <v>390</v>
      </c>
      <c r="H527" s="689" t="s">
        <v>391</v>
      </c>
      <c r="I527" s="690" t="s">
        <v>392</v>
      </c>
      <c r="J527" s="690" t="s">
        <v>393</v>
      </c>
      <c r="K527" s="690" t="s">
        <v>394</v>
      </c>
      <c r="L527" s="630" t="s">
        <v>307</v>
      </c>
      <c r="M527" s="630" t="s">
        <v>308</v>
      </c>
      <c r="N527" s="551" t="s">
        <v>309</v>
      </c>
      <c r="O527" s="551" t="s">
        <v>310</v>
      </c>
      <c r="P527" s="551" t="s">
        <v>311</v>
      </c>
      <c r="Q527" s="669" t="s">
        <v>312</v>
      </c>
      <c r="R527" s="669" t="s">
        <v>313</v>
      </c>
      <c r="S527" s="551" t="s">
        <v>314</v>
      </c>
      <c r="T527" s="669" t="s">
        <v>315</v>
      </c>
      <c r="U527" s="669" t="s">
        <v>316</v>
      </c>
      <c r="V527" s="551" t="s">
        <v>317</v>
      </c>
      <c r="W527" s="669" t="s">
        <v>318</v>
      </c>
      <c r="X527" s="551" t="s">
        <v>319</v>
      </c>
      <c r="Y527" s="553" t="s">
        <v>320</v>
      </c>
      <c r="Z527" s="553" t="s">
        <v>321</v>
      </c>
      <c r="AA527" s="553" t="s">
        <v>322</v>
      </c>
      <c r="AB527" s="618" t="s">
        <v>323</v>
      </c>
      <c r="AC527" s="715" t="s">
        <v>324</v>
      </c>
      <c r="AD527" s="715" t="s">
        <v>325</v>
      </c>
      <c r="AE527" s="715" t="s">
        <v>326</v>
      </c>
      <c r="AF527" s="715" t="s">
        <v>327</v>
      </c>
      <c r="AG527" s="715" t="s">
        <v>328</v>
      </c>
      <c r="AH527" s="616" t="s">
        <v>329</v>
      </c>
      <c r="AI527" s="616" t="s">
        <v>330</v>
      </c>
      <c r="AJ527" s="616" t="s">
        <v>331</v>
      </c>
      <c r="AK527" s="716"/>
    </row>
    <row r="528">
      <c r="A528" s="557" t="s">
        <v>397</v>
      </c>
      <c r="B528" s="584" t="s">
        <v>333</v>
      </c>
      <c r="C528" s="560" t="s">
        <v>342</v>
      </c>
      <c r="D528" s="620">
        <f t="shared" ref="D528:D532" si="356">E528+F528</f>
      </c>
      <c r="E528" s="717">
        <v>1853.83</v>
      </c>
      <c r="F528" s="691">
        <v>377.48</v>
      </c>
      <c r="G528" s="692">
        <v>1</v>
      </c>
      <c r="H528" s="693">
        <v>2268</v>
      </c>
      <c r="I528" s="561">
        <v>0</v>
      </c>
      <c r="J528" s="561">
        <v>0</v>
      </c>
      <c r="K528" s="561">
        <v>1</v>
      </c>
      <c r="L528" s="697">
        <f t="shared" ref="L528:L543" si="392">H528/D528</f>
      </c>
      <c r="M528" s="698">
        <f t="shared" ref="M528:M543" si="454">H528/(D528+300*AJ528)</f>
      </c>
      <c r="N528" s="699">
        <f t="shared" ref="N528:N543" si="210">(D528/AC528)*1000</f>
      </c>
      <c r="O528" s="667">
        <f t="shared" ref="O528:O543" si="58">AD528/AC528</f>
      </c>
      <c r="P528" s="661">
        <f t="shared" ref="P528:P543" si="269">D528/AE528</f>
      </c>
      <c r="Q528" s="675">
        <f t="shared" ref="Q528:Q543" si="61">AF528/AE528</f>
      </c>
      <c r="R528" s="667">
        <f t="shared" ref="R528:R543" si="488">AG528/AE528</f>
      </c>
      <c r="S528" s="700">
        <f t="shared" ref="S528:S543" si="92">D528/AG528</f>
      </c>
      <c r="T528" s="667">
        <f t="shared" ref="T528:T543" si="389">AH528/AG528</f>
      </c>
      <c r="U528" s="676">
        <f t="shared" ref="U528:U543" si="151">G528/AH528</f>
      </c>
      <c r="V528" s="661">
        <f t="shared" ref="V528:V543" si="491">D528/G528</f>
      </c>
      <c r="W528" s="578">
        <f t="shared" ref="W528:W543" si="522">H528/G528</f>
      </c>
      <c r="X528" s="661">
        <f t="shared" ref="X528:X543" si="395">D528/AB528</f>
      </c>
      <c r="Y528" s="672">
        <f t="shared" ref="Y528:Y543" si="457">AI528*1000/D528</f>
      </c>
      <c r="Z528" s="569" t="s">
        <v>335</v>
      </c>
      <c r="AA528" s="701" t="s">
        <v>364</v>
      </c>
      <c r="AB528" s="718">
        <v>1</v>
      </c>
      <c r="AC528" s="584">
        <v>6496</v>
      </c>
      <c r="AD528" s="704">
        <v>272</v>
      </c>
      <c r="AE528" s="719">
        <v>369</v>
      </c>
      <c r="AF528" s="558">
        <v>66</v>
      </c>
      <c r="AG528" s="560">
        <v>20</v>
      </c>
      <c r="AH528" s="558">
        <v>1</v>
      </c>
      <c r="AI528" s="560">
        <v>11</v>
      </c>
      <c r="AJ528" s="560">
        <v>1</v>
      </c>
      <c r="AK528" s="716"/>
    </row>
    <row r="529">
      <c r="A529" s="557"/>
      <c r="B529" s="584" t="s">
        <v>337</v>
      </c>
      <c r="C529" s="560" t="s">
        <v>342</v>
      </c>
      <c r="D529" s="620">
        <f t="shared" si="356"/>
      </c>
      <c r="E529" s="681">
        <v>1616.72</v>
      </c>
      <c r="F529" s="691">
        <v>550.45</v>
      </c>
      <c r="G529" s="692">
        <v>1</v>
      </c>
      <c r="H529" s="692">
        <v>2268</v>
      </c>
      <c r="I529" s="692">
        <v>0</v>
      </c>
      <c r="J529" s="692">
        <v>0</v>
      </c>
      <c r="K529" s="692">
        <v>1</v>
      </c>
      <c r="L529" s="637">
        <f t="shared" si="392"/>
      </c>
      <c r="M529" s="638">
        <f t="shared" si="454"/>
      </c>
      <c r="N529" s="699">
        <f t="shared" si="210"/>
      </c>
      <c r="O529" s="667">
        <f t="shared" si="58"/>
      </c>
      <c r="P529" s="679">
        <f t="shared" si="269"/>
      </c>
      <c r="Q529" s="675">
        <f t="shared" si="61"/>
      </c>
      <c r="R529" s="667">
        <f t="shared" si="488"/>
      </c>
      <c r="S529" s="700">
        <f t="shared" si="92"/>
      </c>
      <c r="T529" s="667">
        <f t="shared" si="389"/>
      </c>
      <c r="U529" s="676">
        <f t="shared" si="151"/>
      </c>
      <c r="V529" s="661">
        <f t="shared" si="491"/>
      </c>
      <c r="W529" s="578">
        <f t="shared" si="522"/>
      </c>
      <c r="X529" s="661">
        <f t="shared" si="395"/>
      </c>
      <c r="Y529" s="673">
        <f t="shared" si="457"/>
      </c>
      <c r="Z529" s="581" t="s">
        <v>335</v>
      </c>
      <c r="AA529" s="701" t="s">
        <v>364</v>
      </c>
      <c r="AB529" s="720">
        <v>1</v>
      </c>
      <c r="AC529" s="584">
        <v>5932</v>
      </c>
      <c r="AD529" s="559">
        <v>217</v>
      </c>
      <c r="AE529" s="626">
        <v>312</v>
      </c>
      <c r="AF529" s="559">
        <v>47</v>
      </c>
      <c r="AG529" s="559">
        <v>28</v>
      </c>
      <c r="AH529" s="721">
        <v>3</v>
      </c>
      <c r="AI529" s="722">
        <v>16</v>
      </c>
      <c r="AJ529" s="560">
        <v>1</v>
      </c>
      <c r="AK529" s="716"/>
    </row>
    <row r="530">
      <c r="A530" s="557"/>
      <c r="B530" s="584" t="s">
        <v>338</v>
      </c>
      <c r="C530" s="560" t="s">
        <v>342</v>
      </c>
      <c r="D530" s="620">
        <f t="shared" si="356"/>
      </c>
      <c r="E530" s="682">
        <v>1301.2</v>
      </c>
      <c r="F530" s="560">
        <v>607.82</v>
      </c>
      <c r="G530" s="692">
        <v>2</v>
      </c>
      <c r="H530" s="692">
        <v>3216</v>
      </c>
      <c r="I530" s="692">
        <v>0</v>
      </c>
      <c r="J530" s="692">
        <v>1</v>
      </c>
      <c r="K530" s="692">
        <v>1</v>
      </c>
      <c r="L530" s="637">
        <f t="shared" si="392"/>
      </c>
      <c r="M530" s="638">
        <f t="shared" si="454"/>
      </c>
      <c r="N530" s="699">
        <f t="shared" si="210"/>
      </c>
      <c r="O530" s="675">
        <f t="shared" si="58"/>
      </c>
      <c r="P530" s="661">
        <f t="shared" si="269"/>
      </c>
      <c r="Q530" s="676">
        <f t="shared" si="61"/>
      </c>
      <c r="R530" s="677">
        <f t="shared" si="488"/>
      </c>
      <c r="S530" s="707">
        <f t="shared" si="92"/>
      </c>
      <c r="T530" s="677">
        <f t="shared" si="389"/>
      </c>
      <c r="U530" s="667">
        <f t="shared" si="151"/>
      </c>
      <c r="V530" s="661">
        <f t="shared" si="491"/>
      </c>
      <c r="W530" s="578">
        <f t="shared" si="522"/>
      </c>
      <c r="X530" s="661">
        <f t="shared" si="395"/>
      </c>
      <c r="Y530" s="673">
        <f t="shared" si="457"/>
      </c>
      <c r="Z530" s="581" t="s">
        <v>335</v>
      </c>
      <c r="AA530" s="701" t="s">
        <v>364</v>
      </c>
      <c r="AB530" s="705">
        <v>1</v>
      </c>
      <c r="AC530" s="584">
        <v>4648</v>
      </c>
      <c r="AD530" s="559">
        <v>194</v>
      </c>
      <c r="AE530" s="559">
        <v>274</v>
      </c>
      <c r="AF530" s="559">
        <v>40</v>
      </c>
      <c r="AG530" s="559">
        <v>21</v>
      </c>
      <c r="AH530" s="721">
        <v>2</v>
      </c>
      <c r="AI530" s="722">
        <v>8</v>
      </c>
      <c r="AJ530" s="560">
        <v>1</v>
      </c>
      <c r="AK530" s="716"/>
    </row>
    <row r="531">
      <c r="A531" s="557"/>
      <c r="B531" s="584" t="s">
        <v>339</v>
      </c>
      <c r="C531" s="560" t="s">
        <v>342</v>
      </c>
      <c r="D531" s="620">
        <f t="shared" si="356"/>
      </c>
      <c r="E531" s="560">
        <v>2106.13</v>
      </c>
      <c r="F531" s="560">
        <v>996.99</v>
      </c>
      <c r="G531" s="692">
        <v>2</v>
      </c>
      <c r="H531" s="631">
        <v>4536</v>
      </c>
      <c r="I531" s="723">
        <v>0</v>
      </c>
      <c r="J531" s="723">
        <v>0</v>
      </c>
      <c r="K531" s="723">
        <v>2</v>
      </c>
      <c r="L531" s="637">
        <f t="shared" si="392"/>
      </c>
      <c r="M531" s="638">
        <f t="shared" si="454"/>
      </c>
      <c r="N531" s="699">
        <f t="shared" si="210"/>
      </c>
      <c r="O531" s="667">
        <f t="shared" si="58"/>
      </c>
      <c r="P531" s="678">
        <f t="shared" si="269"/>
      </c>
      <c r="Q531" s="667">
        <f t="shared" si="61"/>
      </c>
      <c r="R531" s="667">
        <f t="shared" si="488"/>
      </c>
      <c r="S531" s="661">
        <f t="shared" si="92"/>
      </c>
      <c r="T531" s="667">
        <f t="shared" si="389"/>
      </c>
      <c r="U531" s="667">
        <f t="shared" si="151"/>
      </c>
      <c r="V531" s="661">
        <f t="shared" si="491"/>
      </c>
      <c r="W531" s="578">
        <f t="shared" si="522"/>
      </c>
      <c r="X531" s="661">
        <f t="shared" si="395"/>
      </c>
      <c r="Y531" s="673">
        <f t="shared" si="457"/>
      </c>
      <c r="Z531" s="581" t="s">
        <v>335</v>
      </c>
      <c r="AA531" s="701" t="s">
        <v>364</v>
      </c>
      <c r="AB531" s="558">
        <v>2</v>
      </c>
      <c r="AC531" s="559">
        <v>7623</v>
      </c>
      <c r="AD531" s="559">
        <v>315</v>
      </c>
      <c r="AE531" s="559">
        <v>395</v>
      </c>
      <c r="AF531" s="559">
        <v>60</v>
      </c>
      <c r="AG531" s="559">
        <v>29</v>
      </c>
      <c r="AH531" s="721">
        <v>4</v>
      </c>
      <c r="AI531" s="722">
        <v>14</v>
      </c>
      <c r="AJ531" s="560">
        <v>1</v>
      </c>
      <c r="AK531" s="716"/>
    </row>
    <row r="532">
      <c r="A532" s="557"/>
      <c r="B532" s="558" t="s">
        <v>341</v>
      </c>
      <c r="C532" s="560" t="s">
        <v>342</v>
      </c>
      <c r="D532" s="620">
        <f t="shared" si="356"/>
      </c>
      <c r="E532" s="560">
        <v>2133.63</v>
      </c>
      <c r="F532" s="560">
        <v>558.85</v>
      </c>
      <c r="G532" s="561">
        <v>2</v>
      </c>
      <c r="H532" s="631">
        <v>4536</v>
      </c>
      <c r="I532" s="561">
        <v>0</v>
      </c>
      <c r="J532" s="561">
        <v>0</v>
      </c>
      <c r="K532" s="561">
        <v>2</v>
      </c>
      <c r="L532" s="637">
        <f t="shared" si="392"/>
      </c>
      <c r="M532" s="638">
        <f t="shared" si="454"/>
      </c>
      <c r="N532" s="699">
        <f t="shared" si="210"/>
      </c>
      <c r="O532" s="667">
        <f t="shared" si="58"/>
      </c>
      <c r="P532" s="678">
        <f t="shared" si="269"/>
      </c>
      <c r="Q532" s="667">
        <f t="shared" si="61"/>
      </c>
      <c r="R532" s="667">
        <f t="shared" si="488"/>
      </c>
      <c r="S532" s="661">
        <f t="shared" si="92"/>
      </c>
      <c r="T532" s="667">
        <f t="shared" si="389"/>
      </c>
      <c r="U532" s="667">
        <f t="shared" si="151"/>
      </c>
      <c r="V532" s="661">
        <f t="shared" si="491"/>
      </c>
      <c r="W532" s="578">
        <f t="shared" si="522"/>
      </c>
      <c r="X532" s="661">
        <f t="shared" si="395"/>
      </c>
      <c r="Y532" s="673">
        <f t="shared" si="457"/>
      </c>
      <c r="Z532" s="581" t="s">
        <v>335</v>
      </c>
      <c r="AA532" s="701" t="s">
        <v>364</v>
      </c>
      <c r="AB532" s="558">
        <v>2</v>
      </c>
      <c r="AC532" s="559">
        <v>7521</v>
      </c>
      <c r="AD532" s="559">
        <v>283</v>
      </c>
      <c r="AE532" s="559">
        <v>372</v>
      </c>
      <c r="AF532" s="559">
        <v>52</v>
      </c>
      <c r="AG532" s="559">
        <v>31</v>
      </c>
      <c r="AH532" s="721">
        <v>7</v>
      </c>
      <c r="AI532" s="722">
        <v>13</v>
      </c>
      <c r="AJ532" s="560">
        <v>1</v>
      </c>
      <c r="AK532" s="716"/>
    </row>
    <row r="533">
      <c r="A533" s="557"/>
      <c r="B533" s="586" t="s">
        <v>340</v>
      </c>
      <c r="C533" s="586"/>
      <c r="D533" s="587">
        <f>SUM(D528:D532)</f>
      </c>
      <c r="E533" s="587">
        <f>SUM(E528:E532)</f>
      </c>
      <c r="F533" s="587">
        <f>SUM(F528:F532)</f>
      </c>
      <c r="G533" s="587">
        <f>SUM(G528:G532)</f>
      </c>
      <c r="H533" s="587">
        <f>SUM(H528:H532)</f>
      </c>
      <c r="I533" s="587">
        <f>SUM(I528:I532)</f>
      </c>
      <c r="J533" s="587">
        <f>SUM(J528:J532)</f>
      </c>
      <c r="K533" s="587">
        <f>SUM(K528:K532)</f>
      </c>
      <c r="L533" s="643">
        <f t="shared" si="392"/>
      </c>
      <c r="M533" s="644">
        <f t="shared" si="454"/>
      </c>
      <c r="N533" s="645">
        <f t="shared" si="210"/>
      </c>
      <c r="O533" s="590">
        <f t="shared" si="58"/>
      </c>
      <c r="P533" s="591">
        <f t="shared" si="269"/>
      </c>
      <c r="Q533" s="592">
        <f t="shared" si="61"/>
      </c>
      <c r="R533" s="592">
        <f t="shared" si="488"/>
      </c>
      <c r="S533" s="591">
        <f t="shared" si="92"/>
      </c>
      <c r="T533" s="592">
        <f t="shared" si="389"/>
      </c>
      <c r="U533" s="592">
        <f t="shared" si="151"/>
      </c>
      <c r="V533" s="593">
        <f t="shared" si="491"/>
      </c>
      <c r="W533" s="594">
        <f t="shared" si="522"/>
      </c>
      <c r="X533" s="593">
        <f t="shared" si="395"/>
      </c>
      <c r="Y533" s="595">
        <f t="shared" si="457"/>
      </c>
      <c r="Z533" s="595"/>
      <c r="AA533" s="709"/>
      <c r="AB533" s="586">
        <f>SUM(AB528:AB532)</f>
      </c>
      <c r="AC533" s="586">
        <f>SUM(AC528:AC532)</f>
      </c>
      <c r="AD533" s="586">
        <f>SUM(AD528:AD532)</f>
      </c>
      <c r="AE533" s="586">
        <f>SUM(AE528:AE532)</f>
      </c>
      <c r="AF533" s="586">
        <f>SUM(AF528:AF532)</f>
      </c>
      <c r="AG533" s="586">
        <f>SUM(AG528:AG532)</f>
      </c>
      <c r="AH533" s="586">
        <f>SUM(AH528:AH532)</f>
      </c>
      <c r="AI533" s="586">
        <f>SUM(AI528:AI532)</f>
      </c>
      <c r="AJ533" s="586">
        <f>SUM(AJ528:AJ532)</f>
      </c>
      <c r="AK533" s="716"/>
    </row>
    <row r="534">
      <c r="A534" s="557"/>
      <c r="B534" s="584" t="s">
        <v>343</v>
      </c>
      <c r="C534" s="560" t="s">
        <v>347</v>
      </c>
      <c r="D534" s="559">
        <f t="shared" ref="D534:D538" si="357">E534+F534</f>
      </c>
      <c r="E534" s="560">
        <v>1463.38</v>
      </c>
      <c r="F534" s="560">
        <v>498.14</v>
      </c>
      <c r="G534" s="561">
        <v>1</v>
      </c>
      <c r="H534" s="631">
        <v>2268</v>
      </c>
      <c r="I534" s="561">
        <v>0</v>
      </c>
      <c r="J534" s="561">
        <v>0</v>
      </c>
      <c r="K534" s="561">
        <v>1</v>
      </c>
      <c r="L534" s="637">
        <f t="shared" si="392"/>
      </c>
      <c r="M534" s="638">
        <f t="shared" si="454"/>
      </c>
      <c r="N534" s="634">
        <f t="shared" si="210"/>
      </c>
      <c r="O534" s="596">
        <f t="shared" si="58"/>
      </c>
      <c r="P534" s="597">
        <f t="shared" si="269"/>
      </c>
      <c r="Q534" s="598">
        <f t="shared" si="61"/>
      </c>
      <c r="R534" s="598">
        <f t="shared" si="488"/>
      </c>
      <c r="S534" s="597">
        <f t="shared" si="92"/>
      </c>
      <c r="T534" s="598">
        <f t="shared" si="389"/>
      </c>
      <c r="U534" s="598">
        <f t="shared" si="151"/>
      </c>
      <c r="V534" s="599">
        <f t="shared" si="491"/>
      </c>
      <c r="W534" s="600">
        <f t="shared" si="522"/>
      </c>
      <c r="X534" s="599">
        <f t="shared" si="395"/>
      </c>
      <c r="Y534" s="601">
        <f t="shared" si="457"/>
      </c>
      <c r="Z534" s="602" t="s">
        <v>335</v>
      </c>
      <c r="AA534" s="701" t="s">
        <v>364</v>
      </c>
      <c r="AB534" s="692">
        <v>1</v>
      </c>
      <c r="AC534" s="573">
        <v>5157</v>
      </c>
      <c r="AD534" s="573">
        <v>217</v>
      </c>
      <c r="AE534" s="573">
        <v>259</v>
      </c>
      <c r="AF534" s="573">
        <v>29</v>
      </c>
      <c r="AG534" s="573">
        <v>24</v>
      </c>
      <c r="AH534" s="561">
        <v>1</v>
      </c>
      <c r="AI534" s="561">
        <v>3</v>
      </c>
      <c r="AJ534" s="561">
        <v>1</v>
      </c>
      <c r="AK534" s="716"/>
    </row>
    <row r="535">
      <c r="A535" s="557"/>
      <c r="B535" s="584" t="s">
        <v>344</v>
      </c>
      <c r="C535" s="560" t="s">
        <v>347</v>
      </c>
      <c r="D535" s="559">
        <f t="shared" si="357"/>
      </c>
      <c r="E535" s="560">
        <v>884.99</v>
      </c>
      <c r="F535" s="560">
        <v>563.74</v>
      </c>
      <c r="G535" s="561">
        <v>0</v>
      </c>
      <c r="H535" s="561">
        <v>0</v>
      </c>
      <c r="I535" s="561">
        <v>0</v>
      </c>
      <c r="J535" s="561">
        <v>0</v>
      </c>
      <c r="K535" s="561">
        <v>0</v>
      </c>
      <c r="L535" s="637">
        <f t="shared" si="392"/>
      </c>
      <c r="M535" s="638">
        <f t="shared" si="454"/>
      </c>
      <c r="N535" s="634">
        <f t="shared" si="210"/>
      </c>
      <c r="O535" s="596">
        <f t="shared" si="58"/>
      </c>
      <c r="P535" s="597">
        <f t="shared" si="269"/>
      </c>
      <c r="Q535" s="598">
        <f t="shared" si="61"/>
      </c>
      <c r="R535" s="598">
        <f t="shared" si="488"/>
      </c>
      <c r="S535" s="597">
        <f t="shared" si="92"/>
      </c>
      <c r="T535" s="598">
        <f t="shared" si="389"/>
      </c>
      <c r="U535" s="598">
        <f t="shared" si="151"/>
      </c>
      <c r="V535" s="599">
        <f t="shared" si="491"/>
      </c>
      <c r="W535" s="600">
        <f t="shared" si="522"/>
      </c>
      <c r="X535" s="599">
        <f t="shared" si="395"/>
      </c>
      <c r="Y535" s="601">
        <f t="shared" si="457"/>
      </c>
      <c r="Z535" s="602" t="s">
        <v>335</v>
      </c>
      <c r="AA535" s="701" t="s">
        <v>364</v>
      </c>
      <c r="AB535" s="692">
        <v>0</v>
      </c>
      <c r="AC535" s="573">
        <v>3478</v>
      </c>
      <c r="AD535" s="573">
        <v>163</v>
      </c>
      <c r="AE535" s="573">
        <v>212</v>
      </c>
      <c r="AF535" s="573">
        <v>39</v>
      </c>
      <c r="AG535" s="573">
        <v>27</v>
      </c>
      <c r="AH535" s="561">
        <v>3</v>
      </c>
      <c r="AI535" s="561">
        <v>7</v>
      </c>
      <c r="AJ535" s="561">
        <v>1</v>
      </c>
      <c r="AK535" s="716"/>
    </row>
    <row r="536">
      <c r="A536" s="557"/>
      <c r="B536" s="584" t="s">
        <v>345</v>
      </c>
      <c r="C536" s="560" t="s">
        <v>347</v>
      </c>
      <c r="D536" s="559">
        <f t="shared" si="357"/>
      </c>
      <c r="E536" s="560">
        <v>1158.15</v>
      </c>
      <c r="F536" s="560">
        <v>521.96</v>
      </c>
      <c r="G536" s="561">
        <v>2</v>
      </c>
      <c r="H536" s="631">
        <v>4536</v>
      </c>
      <c r="I536" s="723">
        <v>0</v>
      </c>
      <c r="J536" s="723">
        <v>0</v>
      </c>
      <c r="K536" s="724">
        <v>2</v>
      </c>
      <c r="L536" s="637">
        <f t="shared" si="392"/>
      </c>
      <c r="M536" s="638">
        <f t="shared" si="454"/>
      </c>
      <c r="N536" s="634">
        <f t="shared" si="210"/>
      </c>
      <c r="O536" s="596">
        <f t="shared" si="58"/>
      </c>
      <c r="P536" s="597">
        <f t="shared" si="269"/>
      </c>
      <c r="Q536" s="598">
        <f t="shared" si="61"/>
      </c>
      <c r="R536" s="598">
        <f t="shared" si="488"/>
      </c>
      <c r="S536" s="597">
        <f t="shared" si="92"/>
      </c>
      <c r="T536" s="598">
        <f t="shared" si="389"/>
      </c>
      <c r="U536" s="598">
        <f t="shared" si="151"/>
      </c>
      <c r="V536" s="599">
        <f t="shared" si="491"/>
      </c>
      <c r="W536" s="600">
        <f t="shared" si="522"/>
      </c>
      <c r="X536" s="599">
        <f t="shared" si="395"/>
      </c>
      <c r="Y536" s="601">
        <f t="shared" si="457"/>
      </c>
      <c r="Z536" s="602" t="s">
        <v>335</v>
      </c>
      <c r="AA536" s="701" t="s">
        <v>364</v>
      </c>
      <c r="AB536" s="692">
        <v>1</v>
      </c>
      <c r="AC536" s="573">
        <v>2858</v>
      </c>
      <c r="AD536" s="573">
        <v>145</v>
      </c>
      <c r="AE536" s="573">
        <v>179</v>
      </c>
      <c r="AF536" s="573">
        <v>34</v>
      </c>
      <c r="AG536" s="573">
        <v>29</v>
      </c>
      <c r="AH536" s="561">
        <v>2</v>
      </c>
      <c r="AI536" s="561">
        <v>8</v>
      </c>
      <c r="AJ536" s="561">
        <v>1</v>
      </c>
      <c r="AK536" s="716"/>
    </row>
    <row r="537">
      <c r="A537" s="557"/>
      <c r="B537" s="584" t="s">
        <v>346</v>
      </c>
      <c r="C537" s="560" t="s">
        <v>347</v>
      </c>
      <c r="D537" s="559">
        <f t="shared" si="357"/>
      </c>
      <c r="E537" s="559">
        <v>1458.71</v>
      </c>
      <c r="F537" s="559">
        <v>640.12</v>
      </c>
      <c r="G537" s="561">
        <v>0</v>
      </c>
      <c r="H537" s="631">
        <v>0</v>
      </c>
      <c r="I537" s="723">
        <v>0</v>
      </c>
      <c r="J537" s="723">
        <v>0</v>
      </c>
      <c r="K537" s="724">
        <v>0</v>
      </c>
      <c r="L537" s="637">
        <f t="shared" si="392"/>
      </c>
      <c r="M537" s="638">
        <f t="shared" si="454"/>
      </c>
      <c r="N537" s="646">
        <f t="shared" si="210"/>
      </c>
      <c r="O537" s="596">
        <f t="shared" si="58"/>
      </c>
      <c r="P537" s="597">
        <f t="shared" si="269"/>
      </c>
      <c r="Q537" s="598">
        <f t="shared" si="61"/>
      </c>
      <c r="R537" s="598">
        <f t="shared" si="488"/>
      </c>
      <c r="S537" s="597">
        <f t="shared" si="92"/>
      </c>
      <c r="T537" s="598">
        <f t="shared" si="389"/>
      </c>
      <c r="U537" s="598">
        <f t="shared" si="151"/>
      </c>
      <c r="V537" s="599">
        <f t="shared" si="491"/>
      </c>
      <c r="W537" s="600">
        <f t="shared" si="522"/>
      </c>
      <c r="X537" s="599">
        <f t="shared" si="395"/>
      </c>
      <c r="Y537" s="601">
        <f t="shared" si="457"/>
      </c>
      <c r="Z537" s="602" t="s">
        <v>335</v>
      </c>
      <c r="AA537" s="701" t="s">
        <v>336</v>
      </c>
      <c r="AB537" s="692">
        <v>0</v>
      </c>
      <c r="AC537" s="561">
        <v>3460</v>
      </c>
      <c r="AD537" s="561">
        <v>136</v>
      </c>
      <c r="AE537" s="561">
        <v>174</v>
      </c>
      <c r="AF537" s="561">
        <v>37</v>
      </c>
      <c r="AG537" s="573">
        <v>28</v>
      </c>
      <c r="AH537" s="561">
        <v>2</v>
      </c>
      <c r="AI537" s="561">
        <v>12</v>
      </c>
      <c r="AJ537" s="561">
        <v>1</v>
      </c>
      <c r="AK537" s="716"/>
    </row>
    <row r="538">
      <c r="A538" s="557"/>
      <c r="B538" s="584" t="s">
        <v>349</v>
      </c>
      <c r="C538" s="560" t="s">
        <v>347</v>
      </c>
      <c r="D538" s="559">
        <f t="shared" si="357"/>
      </c>
      <c r="E538" s="559">
        <v>1166.84</v>
      </c>
      <c r="F538" s="559">
        <v>489.59</v>
      </c>
      <c r="G538" s="561">
        <v>2</v>
      </c>
      <c r="H538" s="641">
        <v>4536</v>
      </c>
      <c r="I538" s="723">
        <v>0</v>
      </c>
      <c r="J538" s="723">
        <v>0</v>
      </c>
      <c r="K538" s="724">
        <v>2</v>
      </c>
      <c r="L538" s="637">
        <f t="shared" si="392"/>
      </c>
      <c r="M538" s="638">
        <f t="shared" si="454"/>
      </c>
      <c r="N538" s="646">
        <f t="shared" si="210"/>
      </c>
      <c r="O538" s="596">
        <f t="shared" si="58"/>
      </c>
      <c r="P538" s="597">
        <f t="shared" si="269"/>
      </c>
      <c r="Q538" s="598">
        <f t="shared" si="61"/>
      </c>
      <c r="R538" s="598">
        <f t="shared" si="488"/>
      </c>
      <c r="S538" s="597">
        <f t="shared" si="92"/>
      </c>
      <c r="T538" s="598">
        <f t="shared" si="389"/>
      </c>
      <c r="U538" s="598">
        <f t="shared" si="151"/>
      </c>
      <c r="V538" s="599">
        <f t="shared" si="491"/>
      </c>
      <c r="W538" s="600">
        <f t="shared" si="522"/>
      </c>
      <c r="X538" s="599">
        <f t="shared" si="395"/>
      </c>
      <c r="Y538" s="601">
        <f t="shared" si="457"/>
      </c>
      <c r="Z538" s="602" t="s">
        <v>335</v>
      </c>
      <c r="AA538" s="701" t="s">
        <v>336</v>
      </c>
      <c r="AB538" s="692">
        <v>2</v>
      </c>
      <c r="AC538" s="561">
        <v>3457</v>
      </c>
      <c r="AD538" s="561">
        <v>128</v>
      </c>
      <c r="AE538" s="561">
        <v>179</v>
      </c>
      <c r="AF538" s="561">
        <v>32</v>
      </c>
      <c r="AG538" s="573">
        <v>29</v>
      </c>
      <c r="AH538" s="561">
        <v>5</v>
      </c>
      <c r="AI538" s="561">
        <v>10</v>
      </c>
      <c r="AJ538" s="561">
        <v>1</v>
      </c>
      <c r="AK538" s="716"/>
    </row>
    <row r="539">
      <c r="A539" s="557"/>
      <c r="B539" s="586" t="s">
        <v>340</v>
      </c>
      <c r="C539" s="586"/>
      <c r="D539" s="587">
        <f>SUM(D534:D538)</f>
      </c>
      <c r="E539" s="587">
        <f>SUM(E534:E538)</f>
      </c>
      <c r="F539" s="587">
        <f>SUM(F534:F538)</f>
      </c>
      <c r="G539" s="587">
        <f>SUM(G534:G538)</f>
      </c>
      <c r="H539" s="587">
        <f>SUM(H534:H538)</f>
      </c>
      <c r="I539" s="587">
        <f>SUM(I534:I538)</f>
      </c>
      <c r="J539" s="587">
        <f>SUM(J534:J538)</f>
      </c>
      <c r="K539" s="587">
        <f>SUM(K534:K538)</f>
      </c>
      <c r="L539" s="643">
        <f t="shared" si="392"/>
      </c>
      <c r="M539" s="644">
        <f t="shared" si="454"/>
      </c>
      <c r="N539" s="647">
        <f t="shared" si="210"/>
      </c>
      <c r="O539" s="590">
        <f t="shared" si="58"/>
      </c>
      <c r="P539" s="591">
        <f t="shared" si="269"/>
      </c>
      <c r="Q539" s="592">
        <f t="shared" si="61"/>
      </c>
      <c r="R539" s="592">
        <f t="shared" si="488"/>
      </c>
      <c r="S539" s="591">
        <f t="shared" si="92"/>
      </c>
      <c r="T539" s="592">
        <f t="shared" si="389"/>
      </c>
      <c r="U539" s="592">
        <f t="shared" si="151"/>
      </c>
      <c r="V539" s="593">
        <f t="shared" si="491"/>
      </c>
      <c r="W539" s="594">
        <f t="shared" si="522"/>
      </c>
      <c r="X539" s="593">
        <f t="shared" si="395"/>
      </c>
      <c r="Y539" s="595">
        <f t="shared" si="457"/>
      </c>
      <c r="Z539" s="595"/>
      <c r="AA539" s="709"/>
      <c r="AB539" s="586">
        <f>SUM(AB534:AB538)</f>
      </c>
      <c r="AC539" s="586">
        <f>SUM(AC534:AC538)</f>
      </c>
      <c r="AD539" s="586">
        <f>SUM(AD534:AD538)</f>
      </c>
      <c r="AE539" s="586">
        <f>SUM(AE534:AE538)</f>
      </c>
      <c r="AF539" s="586">
        <f>SUM(AF534:AF538)</f>
      </c>
      <c r="AG539" s="586">
        <f>SUM(AG534:AG538)</f>
      </c>
      <c r="AH539" s="586">
        <f>SUM(AH534:AH538)</f>
      </c>
      <c r="AI539" s="586">
        <f>SUM(AI534:AI538)</f>
      </c>
      <c r="AJ539" s="586">
        <f>SUM(AJ534:AJ538)</f>
      </c>
      <c r="AK539" s="716"/>
    </row>
    <row r="540">
      <c r="A540" s="557"/>
      <c r="B540" s="558" t="s">
        <v>350</v>
      </c>
      <c r="C540" s="560" t="s">
        <v>380</v>
      </c>
      <c r="D540" s="559">
        <f t="shared" ref="D540:D541" si="358">E540+F540</f>
      </c>
      <c r="E540" s="559">
        <v>1512.39</v>
      </c>
      <c r="F540" s="559">
        <v>481.16</v>
      </c>
      <c r="G540" s="561">
        <v>0</v>
      </c>
      <c r="H540" s="631">
        <v>0</v>
      </c>
      <c r="I540" s="723">
        <v>0</v>
      </c>
      <c r="J540" s="723">
        <v>0</v>
      </c>
      <c r="K540" s="724">
        <v>0</v>
      </c>
      <c r="L540" s="637">
        <f t="shared" si="392"/>
      </c>
      <c r="M540" s="638">
        <f t="shared" si="454"/>
      </c>
      <c r="N540" s="634">
        <f t="shared" si="210"/>
      </c>
      <c r="O540" s="596">
        <f t="shared" si="58"/>
      </c>
      <c r="P540" s="597">
        <f t="shared" si="269"/>
      </c>
      <c r="Q540" s="598">
        <f t="shared" si="61"/>
      </c>
      <c r="R540" s="598">
        <f t="shared" si="488"/>
      </c>
      <c r="S540" s="597">
        <f t="shared" si="92"/>
      </c>
      <c r="T540" s="598">
        <f t="shared" si="389"/>
      </c>
      <c r="U540" s="598">
        <f t="shared" si="151"/>
      </c>
      <c r="V540" s="599">
        <f t="shared" si="491"/>
      </c>
      <c r="W540" s="600">
        <f t="shared" si="522"/>
      </c>
      <c r="X540" s="599">
        <f t="shared" si="395"/>
      </c>
      <c r="Y540" s="601">
        <f t="shared" si="457"/>
      </c>
      <c r="Z540" s="602" t="s">
        <v>335</v>
      </c>
      <c r="AA540" s="701" t="s">
        <v>336</v>
      </c>
      <c r="AB540" s="725">
        <v>0</v>
      </c>
      <c r="AC540" s="561">
        <v>5039</v>
      </c>
      <c r="AD540" s="561">
        <v>155</v>
      </c>
      <c r="AE540" s="561">
        <v>199</v>
      </c>
      <c r="AF540" s="561">
        <v>26</v>
      </c>
      <c r="AG540" s="573">
        <v>17</v>
      </c>
      <c r="AH540" s="561">
        <v>2</v>
      </c>
      <c r="AI540" s="561">
        <v>7</v>
      </c>
      <c r="AJ540" s="561">
        <v>1</v>
      </c>
      <c r="AK540" s="716"/>
    </row>
    <row r="541">
      <c r="A541" s="557"/>
      <c r="B541" s="558" t="s">
        <v>351</v>
      </c>
      <c r="C541" s="560" t="s">
        <v>380</v>
      </c>
      <c r="D541" s="559">
        <f t="shared" si="358"/>
      </c>
      <c r="E541" s="559">
        <v>750.6</v>
      </c>
      <c r="F541" s="559">
        <v>3</v>
      </c>
      <c r="G541" s="561">
        <v>1</v>
      </c>
      <c r="H541" s="641">
        <v>2268</v>
      </c>
      <c r="I541" s="723">
        <v>0</v>
      </c>
      <c r="J541" s="723">
        <v>0</v>
      </c>
      <c r="K541" s="724">
        <v>1</v>
      </c>
      <c r="L541" s="637">
        <f t="shared" si="392"/>
      </c>
      <c r="M541" s="638">
        <f t="shared" si="454"/>
      </c>
      <c r="N541" s="646">
        <f t="shared" si="210"/>
      </c>
      <c r="O541" s="596">
        <f t="shared" si="58"/>
      </c>
      <c r="P541" s="597">
        <f t="shared" si="269"/>
      </c>
      <c r="Q541" s="598">
        <f t="shared" si="61"/>
      </c>
      <c r="R541" s="598">
        <f t="shared" si="488"/>
      </c>
      <c r="S541" s="597">
        <f t="shared" si="92"/>
      </c>
      <c r="T541" s="598">
        <f t="shared" si="389"/>
      </c>
      <c r="U541" s="598">
        <f t="shared" si="151"/>
      </c>
      <c r="V541" s="599">
        <f t="shared" si="491"/>
      </c>
      <c r="W541" s="600">
        <f t="shared" si="522"/>
      </c>
      <c r="X541" s="599">
        <f t="shared" si="395"/>
      </c>
      <c r="Y541" s="601">
        <f t="shared" si="457"/>
      </c>
      <c r="Z541" s="602" t="s">
        <v>335</v>
      </c>
      <c r="AA541" s="701" t="s">
        <v>336</v>
      </c>
      <c r="AB541" s="692">
        <v>1</v>
      </c>
      <c r="AC541" s="561">
        <v>2551</v>
      </c>
      <c r="AD541" s="561">
        <v>55</v>
      </c>
      <c r="AE541" s="561">
        <v>87</v>
      </c>
      <c r="AF541" s="561">
        <v>12</v>
      </c>
      <c r="AG541" s="573">
        <v>10</v>
      </c>
      <c r="AH541" s="561">
        <v>3</v>
      </c>
      <c r="AI541" s="561">
        <v>4</v>
      </c>
      <c r="AJ541" s="561">
        <v>1</v>
      </c>
      <c r="AK541" s="716"/>
    </row>
    <row r="542">
      <c r="A542" s="557"/>
      <c r="B542" s="586" t="s">
        <v>340</v>
      </c>
      <c r="C542" s="586"/>
      <c r="D542" s="587">
        <f>SUM(D540:D541)</f>
      </c>
      <c r="E542" s="587">
        <f>SUM(E540:E541)</f>
      </c>
      <c r="F542" s="587">
        <f>SUM(F540:F541)</f>
      </c>
      <c r="G542" s="587">
        <f>SUM(G540:G541)</f>
      </c>
      <c r="H542" s="642">
        <f>SUM(H540:H541)</f>
      </c>
      <c r="I542" s="642">
        <f>SUM(I540:I541)</f>
      </c>
      <c r="J542" s="642">
        <f>SUM(J540:J541)</f>
      </c>
      <c r="K542" s="642">
        <f>SUM(K540:K541)</f>
      </c>
      <c r="L542" s="643">
        <f t="shared" si="392"/>
      </c>
      <c r="M542" s="644">
        <f t="shared" si="454"/>
      </c>
      <c r="N542" s="647">
        <f t="shared" si="210"/>
      </c>
      <c r="O542" s="590">
        <f t="shared" si="58"/>
      </c>
      <c r="P542" s="591">
        <f t="shared" si="269"/>
      </c>
      <c r="Q542" s="592">
        <f t="shared" si="61"/>
      </c>
      <c r="R542" s="592">
        <f t="shared" si="488"/>
      </c>
      <c r="S542" s="591">
        <f t="shared" si="92"/>
      </c>
      <c r="T542" s="592">
        <f t="shared" si="389"/>
      </c>
      <c r="U542" s="592">
        <f t="shared" si="151"/>
      </c>
      <c r="V542" s="593">
        <f t="shared" si="491"/>
      </c>
      <c r="W542" s="594">
        <f t="shared" si="522"/>
      </c>
      <c r="X542" s="593">
        <f t="shared" si="395"/>
      </c>
      <c r="Y542" s="595">
        <f t="shared" si="457"/>
      </c>
      <c r="Z542" s="595"/>
      <c r="AA542" s="595"/>
      <c r="AB542" s="587">
        <f>SUM(AB540:AB541)</f>
      </c>
      <c r="AC542" s="587">
        <f>SUM(AC540:AC541)</f>
      </c>
      <c r="AD542" s="587">
        <f>SUM(AD540:AD541)</f>
      </c>
      <c r="AE542" s="587">
        <f>SUM(AE540:AE541)</f>
      </c>
      <c r="AF542" s="587">
        <f>SUM(AF540:AF541)</f>
      </c>
      <c r="AG542" s="587">
        <f>SUM(AG540:AG541)</f>
      </c>
      <c r="AH542" s="587">
        <f>SUM(AH540:AH541)</f>
      </c>
      <c r="AI542" s="587">
        <f>SUM(AI540:AI541)</f>
      </c>
      <c r="AJ542" s="587">
        <f>SUM(AJ540:AJ541)</f>
      </c>
      <c r="AK542" s="726" t="s">
        <v>387</v>
      </c>
    </row>
    <row r="543">
      <c r="A543" s="557"/>
      <c r="B543" s="607" t="s">
        <v>352</v>
      </c>
      <c r="C543" s="607"/>
      <c r="D543" s="607">
        <f>D533+D539+D542</f>
      </c>
      <c r="E543" s="607">
        <f>E533+E539+E542</f>
      </c>
      <c r="F543" s="607">
        <f>F533+F539+F542</f>
      </c>
      <c r="G543" s="607">
        <f>G533+G539+G542</f>
      </c>
      <c r="H543" s="648">
        <f>H533+H539+H542</f>
      </c>
      <c r="I543" s="648">
        <f>I533+I539+I542</f>
      </c>
      <c r="J543" s="648">
        <f>J533+J539+J542</f>
      </c>
      <c r="K543" s="648">
        <f>K533+K539+K542</f>
      </c>
      <c r="L543" s="712">
        <f t="shared" si="392"/>
      </c>
      <c r="M543" s="713">
        <f t="shared" si="454"/>
      </c>
      <c r="N543" s="651">
        <f t="shared" si="210"/>
      </c>
      <c r="O543" s="610">
        <f t="shared" si="58"/>
      </c>
      <c r="P543" s="611">
        <f t="shared" si="269"/>
      </c>
      <c r="Q543" s="612">
        <f t="shared" si="61"/>
      </c>
      <c r="R543" s="612">
        <f t="shared" si="488"/>
      </c>
      <c r="S543" s="611">
        <f t="shared" si="92"/>
      </c>
      <c r="T543" s="612">
        <f t="shared" si="389"/>
      </c>
      <c r="U543" s="612">
        <f t="shared" si="151"/>
      </c>
      <c r="V543" s="611">
        <f t="shared" si="491"/>
      </c>
      <c r="W543" s="613">
        <f t="shared" si="522"/>
      </c>
      <c r="X543" s="611">
        <f t="shared" si="395"/>
      </c>
      <c r="Y543" s="609">
        <f t="shared" si="457"/>
      </c>
      <c r="Z543" s="609"/>
      <c r="AA543" s="609"/>
      <c r="AB543" s="607">
        <f>AB533+AB539+AB542</f>
      </c>
      <c r="AC543" s="607">
        <f>AC533+AC539+AC542</f>
      </c>
      <c r="AD543" s="607">
        <f>AD533+AD539+AD542</f>
      </c>
      <c r="AE543" s="607">
        <f>AE533+AE539+AE542</f>
      </c>
      <c r="AF543" s="607">
        <f>AF533+AF539+AF542</f>
      </c>
      <c r="AG543" s="607">
        <f>AG533+AG539+AG542</f>
      </c>
      <c r="AH543" s="607">
        <f>AH533+AH539+AH542</f>
      </c>
      <c r="AI543" s="607">
        <f>AI533+AI539+AI542</f>
      </c>
      <c r="AJ543" s="607">
        <f>AJ533+AJ539+AJ542</f>
      </c>
      <c r="AK543" s="726"/>
    </row>
    <row r="544">
      <c r="A544" s="727"/>
      <c r="B544" s="727"/>
      <c r="C544" s="727"/>
      <c r="D544" s="727"/>
      <c r="E544" s="727"/>
      <c r="F544" s="727"/>
      <c r="G544" s="727">
        <f>G545-G543</f>
      </c>
      <c r="H544" s="727">
        <f>H545-H543</f>
      </c>
      <c r="I544" s="727"/>
      <c r="J544" s="727"/>
      <c r="K544" s="727"/>
      <c r="L544" s="727"/>
      <c r="M544" s="727"/>
      <c r="N544" s="727"/>
      <c r="O544" s="727"/>
      <c r="P544" s="727"/>
      <c r="Q544" s="727"/>
      <c r="R544" s="727"/>
      <c r="S544" s="727"/>
      <c r="T544" s="727"/>
      <c r="U544" s="727"/>
      <c r="V544" s="727"/>
      <c r="W544" s="727"/>
      <c r="X544" s="727"/>
      <c r="Y544" s="728"/>
      <c r="Z544" s="728"/>
      <c r="AA544" s="728"/>
      <c r="AB544" s="728"/>
      <c r="AC544" s="728"/>
      <c r="AD544" s="728"/>
      <c r="AE544" s="728"/>
      <c r="AF544" s="728"/>
      <c r="AG544" s="728"/>
      <c r="AH544" s="727">
        <f>AH545-AH543</f>
      </c>
      <c r="AI544" s="727">
        <f>AI545-AI543</f>
      </c>
      <c r="AJ544" s="685">
        <v>1</v>
      </c>
      <c r="AK544" s="542"/>
    </row>
    <row r="545">
      <c r="A545" s="727"/>
      <c r="B545" s="727"/>
      <c r="C545" s="727"/>
      <c r="D545" s="727"/>
      <c r="E545" s="727"/>
      <c r="F545" s="727"/>
      <c r="G545" s="727" cm="1">
        <f t="array" ref="G545:G545">IMPORTRANGE("https://meimeiwangluo.feishu.cn/sheets/BdrtsODdph4hLdtnTbAcZQ6Znig","'Sheet1'!C1")</f>
      </c>
      <c r="H545" s="727" cm="1">
        <f t="array" ref="H545:H545">IMPORTRANGE("https://meimeiwangluo.feishu.cn/sheets/BdrtsODdph4hLdtnTbAcZQ6Znig","'Sheet1'!D1")</f>
      </c>
      <c r="I545" s="727"/>
      <c r="J545" s="727"/>
      <c r="K545" s="727"/>
      <c r="L545" s="727"/>
      <c r="M545" s="727"/>
      <c r="N545" s="727"/>
      <c r="O545" s="727"/>
      <c r="P545" s="727"/>
      <c r="Q545" s="727"/>
      <c r="R545" s="727"/>
      <c r="S545" s="727"/>
      <c r="T545" s="727"/>
      <c r="U545" s="727"/>
      <c r="V545" s="727"/>
      <c r="W545" s="727"/>
      <c r="X545" s="727"/>
      <c r="Y545" s="728"/>
      <c r="Z545" s="728"/>
      <c r="AA545" s="728"/>
      <c r="AB545" s="728"/>
      <c r="AC545" s="728"/>
      <c r="AD545" s="728"/>
      <c r="AH545" s="729">
        <v>35</v>
      </c>
      <c r="AI545" s="729">
        <v>113</v>
      </c>
      <c r="AJ545" s="542"/>
      <c r="AK545" s="542"/>
    </row>
    <row r="546">
      <c r="A546" s="727"/>
      <c r="B546" s="727"/>
      <c r="C546" s="730"/>
      <c r="D546" s="727"/>
      <c r="E546" s="729"/>
      <c r="F546" s="727"/>
      <c r="G546" s="727"/>
      <c r="H546" s="727"/>
      <c r="I546" s="727"/>
      <c r="J546" s="727"/>
      <c r="K546" s="727"/>
      <c r="L546" s="727"/>
      <c r="M546" s="727"/>
      <c r="N546" s="727"/>
      <c r="O546" s="727"/>
      <c r="P546" s="727"/>
      <c r="Q546" s="727"/>
      <c r="R546" s="727"/>
      <c r="S546" s="727"/>
      <c r="T546" s="727"/>
      <c r="U546" s="727"/>
      <c r="V546" s="727"/>
      <c r="W546" s="727"/>
      <c r="X546" s="727"/>
      <c r="Y546" s="727"/>
      <c r="Z546" s="727"/>
      <c r="AA546" s="727"/>
      <c r="AB546" s="727"/>
      <c r="AC546" s="727"/>
      <c r="AD546" s="727"/>
      <c r="AE546" s="729"/>
      <c r="AF546" s="729"/>
      <c r="AG546" s="729"/>
      <c r="AI546" s="542"/>
      <c r="AJ546" s="542"/>
      <c r="AK546" s="542"/>
    </row>
    <row r="547">
      <c r="A547" s="727"/>
      <c r="B547" s="727"/>
      <c r="C547" s="727"/>
      <c r="D547" s="727"/>
      <c r="E547" s="727"/>
      <c r="F547" s="727"/>
      <c r="G547" s="727"/>
      <c r="H547" s="727"/>
      <c r="I547" s="727"/>
      <c r="J547" s="727"/>
      <c r="K547" s="727"/>
      <c r="L547" s="727"/>
      <c r="M547" s="727"/>
      <c r="N547" s="727"/>
      <c r="O547" s="727"/>
      <c r="P547" s="727"/>
      <c r="Q547" s="727"/>
      <c r="R547" s="727"/>
      <c r="S547" s="727"/>
      <c r="T547" s="727"/>
      <c r="U547" s="727"/>
      <c r="V547" s="727"/>
      <c r="W547" s="727"/>
      <c r="X547" s="727"/>
      <c r="Y547" s="727"/>
      <c r="Z547" s="727"/>
      <c r="AA547" s="727"/>
      <c r="AB547" s="727"/>
      <c r="AC547" s="727"/>
      <c r="AD547" s="727"/>
      <c r="AE547" s="729"/>
      <c r="AF547" s="729"/>
      <c r="AG547" s="727"/>
      <c r="AI547" s="542"/>
      <c r="AJ547" s="542"/>
      <c r="AK547" s="542"/>
    </row>
    <row r="548">
      <c r="A548" s="727"/>
      <c r="B548" s="727"/>
      <c r="C548" s="727"/>
      <c r="D548" s="727"/>
      <c r="E548" s="727"/>
      <c r="F548" s="727"/>
      <c r="G548" s="727"/>
      <c r="H548" s="727"/>
      <c r="I548" s="727"/>
      <c r="J548" s="727"/>
      <c r="K548" s="727"/>
      <c r="L548" s="727"/>
      <c r="M548" s="727"/>
      <c r="N548" s="727"/>
      <c r="O548" s="727"/>
      <c r="P548" s="727"/>
      <c r="Q548" s="727"/>
      <c r="R548" s="727"/>
      <c r="S548" s="727"/>
      <c r="T548" s="727"/>
      <c r="U548" s="727"/>
      <c r="V548" s="727"/>
      <c r="W548" s="727"/>
      <c r="X548" s="727"/>
      <c r="Y548" s="727"/>
      <c r="Z548" s="727"/>
      <c r="AA548" s="727"/>
      <c r="AB548" s="727"/>
      <c r="AC548" s="727"/>
      <c r="AD548" s="727"/>
      <c r="AE548" s="729"/>
      <c r="AF548" s="729"/>
      <c r="AG548" s="727"/>
      <c r="AI548" s="542"/>
      <c r="AJ548" s="542"/>
      <c r="AK548" s="542"/>
    </row>
    <row r="549">
      <c r="A549" s="727"/>
      <c r="B549" s="727"/>
      <c r="C549" s="727"/>
      <c r="D549" s="727"/>
      <c r="E549" s="727"/>
      <c r="F549" s="727"/>
      <c r="G549" s="727"/>
      <c r="H549" s="727"/>
      <c r="I549" s="727"/>
      <c r="J549" s="727"/>
      <c r="K549" s="727"/>
      <c r="L549" s="727"/>
      <c r="M549" s="727"/>
      <c r="N549" s="727"/>
      <c r="O549" s="727"/>
      <c r="P549" s="727"/>
      <c r="Q549" s="727"/>
      <c r="R549" s="727"/>
      <c r="S549" s="727"/>
      <c r="T549" s="727"/>
      <c r="U549" s="727"/>
      <c r="V549" s="727"/>
      <c r="W549" s="727"/>
      <c r="X549" s="727"/>
      <c r="Y549" s="727"/>
      <c r="Z549" s="727"/>
      <c r="AA549" s="727"/>
      <c r="AB549" s="727"/>
      <c r="AC549" s="727"/>
      <c r="AD549" s="727"/>
      <c r="AE549" s="729"/>
      <c r="AF549" s="729"/>
      <c r="AG549" s="727"/>
      <c r="AI549" s="542"/>
      <c r="AJ549" s="542"/>
      <c r="AK549" s="542"/>
    </row>
    <row r="550">
      <c r="A550" s="727"/>
      <c r="B550" s="727"/>
      <c r="C550" s="727"/>
      <c r="D550" s="727"/>
      <c r="E550" s="727"/>
      <c r="F550" s="727"/>
      <c r="G550" s="727"/>
      <c r="H550" s="727"/>
      <c r="I550" s="727"/>
      <c r="J550" s="727"/>
      <c r="K550" s="727"/>
      <c r="L550" s="727"/>
      <c r="M550" s="727"/>
      <c r="N550" s="727"/>
      <c r="O550" s="727"/>
      <c r="P550" s="727"/>
      <c r="Q550" s="727"/>
      <c r="R550" s="727"/>
      <c r="S550" s="727"/>
      <c r="T550" s="727"/>
      <c r="U550" s="727"/>
      <c r="V550" s="727"/>
      <c r="W550" s="727"/>
      <c r="X550" s="727"/>
      <c r="Y550" s="727"/>
      <c r="Z550" s="727"/>
      <c r="AA550" s="727"/>
      <c r="AB550" s="727"/>
      <c r="AC550" s="727"/>
      <c r="AD550" s="727"/>
      <c r="AE550" s="729"/>
      <c r="AF550" s="729"/>
      <c r="AG550" s="727"/>
      <c r="AI550" s="542"/>
      <c r="AJ550" s="542"/>
      <c r="AK550" s="542"/>
    </row>
    <row r="551">
      <c r="A551" s="727"/>
      <c r="B551" s="727"/>
      <c r="C551" s="727"/>
      <c r="D551" s="727"/>
      <c r="E551" s="727"/>
      <c r="F551" s="727"/>
      <c r="G551" s="727"/>
      <c r="H551" s="727"/>
      <c r="I551" s="727"/>
      <c r="J551" s="727"/>
      <c r="K551" s="727"/>
      <c r="L551" s="727"/>
      <c r="M551" s="727"/>
      <c r="N551" s="727"/>
      <c r="O551" s="727"/>
      <c r="P551" s="727"/>
      <c r="Q551" s="727"/>
      <c r="R551" s="727"/>
      <c r="S551" s="727"/>
      <c r="T551" s="727"/>
      <c r="U551" s="727"/>
      <c r="V551" s="727"/>
      <c r="W551" s="727"/>
      <c r="X551" s="727"/>
      <c r="Y551" s="727"/>
      <c r="Z551" s="727"/>
      <c r="AA551" s="727"/>
      <c r="AB551" s="727"/>
      <c r="AC551" s="727"/>
      <c r="AD551" s="727"/>
      <c r="AE551" s="729"/>
      <c r="AF551" s="729"/>
      <c r="AG551" s="727"/>
      <c r="AI551" s="542"/>
      <c r="AJ551" s="542"/>
      <c r="AK551" s="542"/>
    </row>
    <row r="552">
      <c r="A552" s="727"/>
      <c r="B552" s="727"/>
      <c r="C552" s="727"/>
      <c r="D552" s="727"/>
      <c r="E552" s="727"/>
      <c r="F552" s="727"/>
      <c r="G552" s="727"/>
      <c r="H552" s="727"/>
      <c r="I552" s="727"/>
      <c r="J552" s="727"/>
      <c r="K552" s="727"/>
      <c r="L552" s="727"/>
      <c r="M552" s="727"/>
      <c r="N552" s="727"/>
      <c r="O552" s="727"/>
      <c r="P552" s="727"/>
      <c r="Q552" s="727"/>
      <c r="R552" s="727"/>
      <c r="S552" s="727"/>
      <c r="T552" s="727"/>
      <c r="U552" s="727"/>
      <c r="V552" s="727"/>
      <c r="W552" s="727"/>
      <c r="X552" s="727"/>
      <c r="Y552" s="727"/>
      <c r="Z552" s="727"/>
      <c r="AA552" s="727"/>
      <c r="AB552" s="727"/>
      <c r="AC552" s="727"/>
      <c r="AD552" s="727"/>
      <c r="AE552" s="729"/>
      <c r="AF552" s="729"/>
      <c r="AG552" s="727"/>
      <c r="AI552" s="542"/>
      <c r="AJ552" s="542"/>
      <c r="AK552" s="542"/>
    </row>
    <row r="553">
      <c r="A553" s="727"/>
      <c r="B553" s="727"/>
      <c r="C553" s="727"/>
      <c r="D553" s="727"/>
      <c r="E553" s="727"/>
      <c r="F553" s="727"/>
      <c r="G553" s="727"/>
      <c r="H553" s="727"/>
      <c r="I553" s="727"/>
      <c r="J553" s="727"/>
      <c r="K553" s="727"/>
      <c r="L553" s="727"/>
      <c r="M553" s="727"/>
      <c r="N553" s="727"/>
      <c r="O553" s="727"/>
      <c r="P553" s="727"/>
      <c r="Q553" s="727"/>
      <c r="R553" s="727"/>
      <c r="S553" s="727"/>
      <c r="T553" s="727"/>
      <c r="U553" s="727"/>
      <c r="V553" s="727"/>
      <c r="W553" s="727"/>
      <c r="X553" s="727"/>
      <c r="Y553" s="727"/>
      <c r="Z553" s="727"/>
      <c r="AA553" s="727"/>
      <c r="AB553" s="727"/>
      <c r="AC553" s="727"/>
      <c r="AD553" s="727"/>
      <c r="AE553" s="729"/>
      <c r="AF553" s="729"/>
      <c r="AG553" s="727"/>
      <c r="AI553" s="542"/>
      <c r="AJ553" s="542"/>
      <c r="AK553" s="542"/>
    </row>
    <row r="554">
      <c r="A554" s="727"/>
      <c r="B554" s="727"/>
      <c r="C554" s="727"/>
      <c r="D554" s="727"/>
      <c r="E554" s="727"/>
      <c r="F554" s="727"/>
      <c r="G554" s="727"/>
      <c r="H554" s="727"/>
      <c r="I554" s="727"/>
      <c r="J554" s="727"/>
      <c r="K554" s="727"/>
      <c r="L554" s="727"/>
      <c r="M554" s="727"/>
      <c r="N554" s="727"/>
      <c r="O554" s="727"/>
      <c r="P554" s="727"/>
      <c r="Q554" s="727"/>
      <c r="R554" s="727"/>
      <c r="S554" s="727"/>
      <c r="T554" s="727"/>
      <c r="U554" s="727"/>
      <c r="V554" s="727"/>
      <c r="W554" s="727"/>
      <c r="X554" s="727"/>
      <c r="Y554" s="727"/>
      <c r="Z554" s="727"/>
      <c r="AA554" s="727"/>
      <c r="AB554" s="727"/>
      <c r="AC554" s="727"/>
      <c r="AD554" s="727"/>
      <c r="AE554" s="729"/>
      <c r="AF554" s="729"/>
      <c r="AG554" s="727"/>
      <c r="AI554" s="542"/>
      <c r="AJ554" s="542"/>
      <c r="AK554" s="542"/>
    </row>
    <row r="555">
      <c r="A555" s="727"/>
      <c r="B555" s="727"/>
      <c r="C555" s="727"/>
      <c r="D555" s="727"/>
      <c r="E555" s="727"/>
      <c r="F555" s="727"/>
      <c r="G555" s="727"/>
      <c r="H555" s="727"/>
      <c r="I555" s="727"/>
      <c r="J555" s="727"/>
      <c r="K555" s="727"/>
      <c r="L555" s="727"/>
      <c r="M555" s="727"/>
      <c r="N555" s="727"/>
      <c r="O555" s="727"/>
      <c r="P555" s="727"/>
      <c r="Q555" s="727"/>
      <c r="R555" s="727"/>
      <c r="S555" s="727"/>
      <c r="T555" s="727"/>
      <c r="U555" s="727"/>
      <c r="V555" s="727"/>
      <c r="W555" s="727"/>
      <c r="X555" s="727"/>
      <c r="Y555" s="727"/>
      <c r="Z555" s="727"/>
      <c r="AA555" s="727"/>
      <c r="AB555" s="727"/>
      <c r="AC555" s="727"/>
      <c r="AD555" s="727"/>
      <c r="AE555" s="729"/>
      <c r="AF555" s="729"/>
      <c r="AG555" s="727"/>
      <c r="AI555" s="542"/>
      <c r="AJ555" s="542"/>
      <c r="AK555" s="542"/>
    </row>
    <row r="556">
      <c r="A556" s="727"/>
      <c r="B556" s="727"/>
      <c r="C556" s="727"/>
      <c r="D556" s="727"/>
      <c r="E556" s="727"/>
      <c r="F556" s="727"/>
      <c r="G556" s="727"/>
      <c r="H556" s="727"/>
      <c r="I556" s="727"/>
      <c r="J556" s="727"/>
      <c r="K556" s="727"/>
      <c r="L556" s="727"/>
      <c r="M556" s="727"/>
      <c r="N556" s="727"/>
      <c r="O556" s="727"/>
      <c r="P556" s="727"/>
      <c r="Q556" s="727"/>
      <c r="R556" s="727"/>
      <c r="S556" s="727"/>
      <c r="T556" s="727"/>
      <c r="U556" s="727"/>
      <c r="V556" s="727"/>
      <c r="W556" s="727"/>
      <c r="X556" s="727"/>
      <c r="Y556" s="727"/>
      <c r="Z556" s="727"/>
      <c r="AA556" s="727"/>
      <c r="AB556" s="727"/>
      <c r="AC556" s="727"/>
      <c r="AD556" s="727"/>
      <c r="AE556" s="729"/>
      <c r="AF556" s="729"/>
      <c r="AG556" s="727"/>
      <c r="AI556" s="542"/>
      <c r="AJ556" s="542"/>
      <c r="AK556" s="542"/>
    </row>
    <row r="557">
      <c r="A557" s="727"/>
      <c r="B557" s="727"/>
      <c r="C557" s="727"/>
      <c r="D557" s="727"/>
      <c r="E557" s="727"/>
      <c r="F557" s="727"/>
      <c r="G557" s="727"/>
      <c r="H557" s="727"/>
      <c r="I557" s="727"/>
      <c r="J557" s="727"/>
      <c r="K557" s="727"/>
      <c r="L557" s="727"/>
      <c r="M557" s="727"/>
      <c r="N557" s="727"/>
      <c r="O557" s="727"/>
      <c r="P557" s="727"/>
      <c r="Q557" s="727"/>
      <c r="R557" s="727"/>
      <c r="S557" s="727"/>
      <c r="T557" s="727"/>
      <c r="U557" s="727"/>
      <c r="V557" s="727"/>
      <c r="W557" s="727"/>
      <c r="X557" s="727"/>
      <c r="Y557" s="727"/>
      <c r="Z557" s="727"/>
      <c r="AA557" s="727"/>
      <c r="AB557" s="727"/>
      <c r="AC557" s="727"/>
      <c r="AD557" s="727"/>
      <c r="AE557" s="729"/>
      <c r="AF557" s="729"/>
      <c r="AG557" s="727"/>
      <c r="AI557" s="542"/>
      <c r="AJ557" s="542"/>
      <c r="AK557" s="542"/>
    </row>
    <row r="558">
      <c r="A558" s="727"/>
      <c r="B558" s="727"/>
      <c r="C558" s="727"/>
      <c r="D558" s="727"/>
      <c r="E558" s="727"/>
      <c r="F558" s="727"/>
      <c r="G558" s="727"/>
      <c r="H558" s="727"/>
      <c r="I558" s="727"/>
      <c r="J558" s="727"/>
      <c r="K558" s="727"/>
      <c r="L558" s="727"/>
      <c r="M558" s="727"/>
      <c r="N558" s="727"/>
      <c r="O558" s="727"/>
      <c r="P558" s="727"/>
      <c r="Q558" s="727"/>
      <c r="R558" s="727"/>
      <c r="S558" s="727"/>
      <c r="T558" s="727"/>
      <c r="U558" s="727"/>
      <c r="V558" s="727"/>
      <c r="W558" s="727"/>
      <c r="X558" s="727"/>
      <c r="Y558" s="727"/>
      <c r="Z558" s="727"/>
      <c r="AA558" s="727"/>
      <c r="AB558" s="727"/>
      <c r="AC558" s="727"/>
      <c r="AD558" s="727"/>
      <c r="AE558" s="729"/>
      <c r="AF558" s="729"/>
      <c r="AG558" s="727"/>
      <c r="AI558" s="542"/>
      <c r="AJ558" s="542"/>
      <c r="AK558" s="542"/>
    </row>
    <row r="559">
      <c r="A559" s="727"/>
      <c r="B559" s="727"/>
      <c r="C559" s="727"/>
      <c r="D559" s="727"/>
      <c r="E559" s="727"/>
      <c r="F559" s="727"/>
      <c r="G559" s="727"/>
      <c r="H559" s="727"/>
      <c r="I559" s="727"/>
      <c r="J559" s="727"/>
      <c r="K559" s="727"/>
      <c r="L559" s="727"/>
      <c r="M559" s="727"/>
      <c r="N559" s="727"/>
      <c r="O559" s="727"/>
      <c r="P559" s="727"/>
      <c r="Q559" s="727"/>
      <c r="R559" s="727"/>
      <c r="S559" s="727"/>
      <c r="T559" s="727"/>
      <c r="U559" s="727"/>
      <c r="V559" s="727"/>
      <c r="W559" s="727"/>
      <c r="X559" s="727"/>
      <c r="Y559" s="727"/>
      <c r="Z559" s="727"/>
      <c r="AA559" s="727"/>
      <c r="AB559" s="727"/>
      <c r="AC559" s="727"/>
      <c r="AD559" s="727"/>
      <c r="AE559" s="729"/>
      <c r="AF559" s="729"/>
      <c r="AG559" s="727"/>
      <c r="AI559" s="542"/>
      <c r="AJ559" s="542"/>
      <c r="AK559" s="542"/>
    </row>
    <row r="560">
      <c r="A560" s="727"/>
      <c r="B560" s="727"/>
      <c r="C560" s="727"/>
      <c r="D560" s="727"/>
      <c r="E560" s="727"/>
      <c r="F560" s="727"/>
      <c r="G560" s="727"/>
      <c r="H560" s="727"/>
      <c r="I560" s="727"/>
      <c r="J560" s="727"/>
      <c r="K560" s="727"/>
      <c r="L560" s="727"/>
      <c r="M560" s="727"/>
      <c r="N560" s="727"/>
      <c r="O560" s="727"/>
      <c r="P560" s="727"/>
      <c r="Q560" s="727"/>
      <c r="R560" s="727"/>
      <c r="S560" s="727"/>
      <c r="T560" s="727"/>
      <c r="U560" s="727"/>
      <c r="V560" s="727"/>
      <c r="W560" s="727"/>
      <c r="X560" s="727"/>
      <c r="Y560" s="727"/>
      <c r="Z560" s="727"/>
      <c r="AA560" s="727"/>
      <c r="AB560" s="727"/>
      <c r="AC560" s="727"/>
      <c r="AD560" s="727"/>
      <c r="AE560" s="729"/>
      <c r="AF560" s="729"/>
      <c r="AG560" s="727"/>
      <c r="AI560" s="542"/>
      <c r="AJ560" s="542"/>
      <c r="AK560" s="542"/>
    </row>
    <row r="561">
      <c r="A561" s="727"/>
      <c r="B561" s="727"/>
      <c r="C561" s="727"/>
      <c r="D561" s="727"/>
      <c r="E561" s="727"/>
      <c r="F561" s="727"/>
      <c r="G561" s="727"/>
      <c r="H561" s="727"/>
      <c r="I561" s="727"/>
      <c r="J561" s="727"/>
      <c r="K561" s="727"/>
      <c r="L561" s="727"/>
      <c r="M561" s="727"/>
      <c r="N561" s="727"/>
      <c r="O561" s="727"/>
      <c r="P561" s="727"/>
      <c r="Q561" s="727"/>
      <c r="R561" s="727"/>
      <c r="S561" s="727"/>
      <c r="T561" s="727"/>
      <c r="U561" s="727"/>
      <c r="V561" s="727"/>
      <c r="W561" s="727"/>
      <c r="X561" s="727"/>
      <c r="Y561" s="727"/>
      <c r="Z561" s="727"/>
      <c r="AA561" s="727"/>
      <c r="AB561" s="727"/>
      <c r="AC561" s="727"/>
      <c r="AD561" s="727"/>
      <c r="AE561" s="729"/>
      <c r="AF561" s="729"/>
      <c r="AG561" s="727"/>
      <c r="AI561" s="542"/>
      <c r="AJ561" s="542"/>
      <c r="AK561" s="542"/>
    </row>
    <row r="562">
      <c r="A562" s="727"/>
      <c r="B562" s="727"/>
      <c r="C562" s="727"/>
      <c r="D562" s="727"/>
      <c r="E562" s="727"/>
      <c r="F562" s="727"/>
      <c r="G562" s="727"/>
      <c r="H562" s="727"/>
      <c r="I562" s="727"/>
      <c r="J562" s="727"/>
      <c r="K562" s="727"/>
      <c r="L562" s="727"/>
      <c r="M562" s="727"/>
      <c r="N562" s="727"/>
      <c r="O562" s="727"/>
      <c r="P562" s="727"/>
      <c r="Q562" s="727"/>
      <c r="R562" s="727"/>
      <c r="S562" s="727"/>
      <c r="T562" s="727"/>
      <c r="U562" s="727"/>
      <c r="V562" s="727"/>
      <c r="W562" s="727"/>
      <c r="X562" s="727"/>
      <c r="Y562" s="727"/>
      <c r="Z562" s="727"/>
      <c r="AA562" s="727"/>
      <c r="AB562" s="727"/>
      <c r="AC562" s="727"/>
      <c r="AD562" s="727"/>
      <c r="AE562" s="729"/>
      <c r="AF562" s="729"/>
      <c r="AG562" s="727"/>
      <c r="AI562" s="542"/>
      <c r="AJ562" s="542"/>
      <c r="AK562" s="542"/>
    </row>
    <row r="563">
      <c r="A563" s="727"/>
      <c r="B563" s="727"/>
      <c r="C563" s="727"/>
      <c r="D563" s="727"/>
      <c r="E563" s="727"/>
      <c r="F563" s="727"/>
      <c r="G563" s="727"/>
      <c r="H563" s="727"/>
      <c r="I563" s="727"/>
      <c r="J563" s="727"/>
      <c r="K563" s="727"/>
      <c r="L563" s="727"/>
      <c r="M563" s="727"/>
      <c r="N563" s="727"/>
      <c r="O563" s="727"/>
      <c r="P563" s="727"/>
      <c r="Q563" s="727"/>
      <c r="R563" s="727"/>
      <c r="S563" s="727"/>
      <c r="T563" s="727"/>
      <c r="U563" s="727"/>
      <c r="V563" s="727"/>
      <c r="W563" s="727"/>
      <c r="X563" s="727"/>
      <c r="Y563" s="727"/>
      <c r="Z563" s="727"/>
      <c r="AA563" s="727"/>
      <c r="AB563" s="727"/>
      <c r="AC563" s="727"/>
      <c r="AD563" s="727"/>
      <c r="AE563" s="729"/>
      <c r="AF563" s="729"/>
      <c r="AG563" s="727"/>
      <c r="AI563" s="542"/>
      <c r="AJ563" s="542"/>
      <c r="AK563" s="542"/>
    </row>
    <row r="564">
      <c r="A564" s="727"/>
      <c r="B564" s="727"/>
      <c r="C564" s="727"/>
      <c r="D564" s="727"/>
      <c r="E564" s="727"/>
      <c r="F564" s="727"/>
      <c r="G564" s="727"/>
      <c r="H564" s="727"/>
      <c r="I564" s="727"/>
      <c r="J564" s="727"/>
      <c r="K564" s="727"/>
      <c r="L564" s="727"/>
      <c r="M564" s="727"/>
      <c r="N564" s="727"/>
      <c r="O564" s="727"/>
      <c r="P564" s="727"/>
      <c r="Q564" s="727"/>
      <c r="R564" s="727"/>
      <c r="S564" s="727"/>
      <c r="T564" s="727"/>
      <c r="U564" s="727"/>
      <c r="V564" s="727"/>
      <c r="W564" s="727"/>
      <c r="X564" s="727"/>
      <c r="Y564" s="727"/>
      <c r="Z564" s="727"/>
      <c r="AA564" s="727"/>
      <c r="AB564" s="727"/>
      <c r="AC564" s="727"/>
      <c r="AD564" s="727"/>
      <c r="AE564" s="729"/>
      <c r="AF564" s="729"/>
      <c r="AG564" s="727"/>
      <c r="AI564" s="542"/>
      <c r="AJ564" s="542"/>
      <c r="AK564" s="542"/>
    </row>
    <row r="565">
      <c r="A565" s="727"/>
      <c r="B565" s="727"/>
      <c r="C565" s="727"/>
      <c r="D565" s="727"/>
      <c r="E565" s="727"/>
      <c r="F565" s="727"/>
      <c r="G565" s="727"/>
      <c r="H565" s="727"/>
      <c r="I565" s="727"/>
      <c r="J565" s="727"/>
      <c r="K565" s="727"/>
      <c r="L565" s="727"/>
      <c r="M565" s="727"/>
      <c r="N565" s="727"/>
      <c r="O565" s="727"/>
      <c r="P565" s="727"/>
      <c r="Q565" s="727"/>
      <c r="R565" s="727"/>
      <c r="S565" s="727"/>
      <c r="T565" s="727"/>
      <c r="U565" s="727"/>
      <c r="V565" s="727"/>
      <c r="W565" s="727"/>
      <c r="X565" s="727"/>
      <c r="Y565" s="727"/>
      <c r="Z565" s="727"/>
      <c r="AA565" s="727"/>
      <c r="AB565" s="727"/>
      <c r="AC565" s="727"/>
      <c r="AD565" s="727"/>
      <c r="AE565" s="729"/>
      <c r="AF565" s="729"/>
      <c r="AG565" s="727"/>
      <c r="AI565" s="542"/>
      <c r="AJ565" s="542"/>
      <c r="AK565" s="542"/>
    </row>
    <row r="566">
      <c r="A566" s="727"/>
      <c r="B566" s="727"/>
      <c r="C566" s="727"/>
      <c r="D566" s="727"/>
      <c r="E566" s="727"/>
      <c r="F566" s="727"/>
      <c r="G566" s="727"/>
      <c r="H566" s="727"/>
      <c r="I566" s="727"/>
      <c r="J566" s="727"/>
      <c r="K566" s="727"/>
      <c r="L566" s="727"/>
      <c r="M566" s="727"/>
      <c r="N566" s="727"/>
      <c r="O566" s="727"/>
      <c r="P566" s="727"/>
      <c r="Q566" s="727"/>
      <c r="R566" s="727"/>
      <c r="S566" s="727"/>
      <c r="T566" s="727"/>
      <c r="U566" s="727"/>
      <c r="V566" s="727"/>
      <c r="W566" s="727"/>
      <c r="X566" s="727"/>
      <c r="Y566" s="727"/>
      <c r="Z566" s="727"/>
      <c r="AA566" s="727"/>
      <c r="AB566" s="727"/>
      <c r="AC566" s="727"/>
      <c r="AD566" s="727"/>
      <c r="AE566" s="729"/>
      <c r="AF566" s="729"/>
      <c r="AG566" s="727"/>
      <c r="AI566" s="542"/>
      <c r="AJ566" s="542"/>
      <c r="AK566" s="542"/>
    </row>
    <row r="567">
      <c r="A567" s="727"/>
      <c r="B567" s="727"/>
      <c r="C567" s="727"/>
      <c r="D567" s="727"/>
      <c r="E567" s="727"/>
      <c r="F567" s="727"/>
      <c r="G567" s="727"/>
      <c r="H567" s="727"/>
      <c r="I567" s="727"/>
      <c r="J567" s="727"/>
      <c r="K567" s="727"/>
      <c r="L567" s="727"/>
      <c r="M567" s="727"/>
      <c r="N567" s="727"/>
      <c r="O567" s="727"/>
      <c r="P567" s="727"/>
      <c r="Q567" s="727"/>
      <c r="R567" s="727"/>
      <c r="S567" s="727"/>
      <c r="T567" s="727"/>
      <c r="U567" s="727"/>
      <c r="V567" s="727"/>
      <c r="W567" s="727"/>
      <c r="X567" s="727"/>
      <c r="Y567" s="727"/>
      <c r="Z567" s="727"/>
      <c r="AA567" s="727"/>
      <c r="AB567" s="727"/>
      <c r="AC567" s="727"/>
      <c r="AD567" s="727"/>
      <c r="AE567" s="729"/>
      <c r="AF567" s="729"/>
      <c r="AG567" s="727"/>
      <c r="AI567" s="542"/>
      <c r="AJ567" s="542"/>
      <c r="AK567" s="542"/>
    </row>
    <row r="568">
      <c r="A568" s="727"/>
      <c r="B568" s="727"/>
      <c r="C568" s="727"/>
      <c r="D568" s="727"/>
      <c r="E568" s="727"/>
      <c r="F568" s="727"/>
      <c r="G568" s="727"/>
      <c r="H568" s="727"/>
      <c r="I568" s="727"/>
      <c r="J568" s="727"/>
      <c r="K568" s="727"/>
      <c r="L568" s="727"/>
      <c r="M568" s="727"/>
      <c r="N568" s="727"/>
      <c r="O568" s="727"/>
      <c r="P568" s="727"/>
      <c r="Q568" s="727"/>
      <c r="R568" s="727"/>
      <c r="S568" s="727"/>
      <c r="T568" s="727"/>
      <c r="U568" s="727"/>
      <c r="V568" s="727"/>
      <c r="W568" s="727"/>
      <c r="X568" s="727"/>
      <c r="Y568" s="727"/>
      <c r="Z568" s="727"/>
      <c r="AA568" s="727"/>
      <c r="AB568" s="727"/>
      <c r="AC568" s="727"/>
      <c r="AD568" s="727"/>
      <c r="AE568" s="729"/>
      <c r="AF568" s="729"/>
      <c r="AG568" s="727"/>
      <c r="AI568" s="542"/>
      <c r="AJ568" s="542"/>
      <c r="AK568" s="542"/>
    </row>
    <row r="569">
      <c r="A569" s="727"/>
      <c r="B569" s="727"/>
      <c r="C569" s="727"/>
      <c r="D569" s="727"/>
      <c r="E569" s="727"/>
      <c r="F569" s="727"/>
      <c r="G569" s="727"/>
      <c r="H569" s="727"/>
      <c r="I569" s="727"/>
      <c r="J569" s="727"/>
      <c r="K569" s="727"/>
      <c r="L569" s="727"/>
      <c r="M569" s="727"/>
      <c r="N569" s="727"/>
      <c r="O569" s="727"/>
      <c r="P569" s="727"/>
      <c r="Q569" s="727"/>
      <c r="R569" s="727"/>
      <c r="S569" s="727"/>
      <c r="T569" s="727"/>
      <c r="U569" s="727"/>
      <c r="V569" s="727"/>
      <c r="W569" s="727"/>
      <c r="X569" s="727"/>
      <c r="Y569" s="727"/>
      <c r="Z569" s="727"/>
      <c r="AA569" s="727"/>
      <c r="AB569" s="727"/>
      <c r="AC569" s="727"/>
      <c r="AD569" s="727"/>
      <c r="AE569" s="729"/>
      <c r="AF569" s="729"/>
      <c r="AG569" s="727"/>
      <c r="AI569" s="542"/>
      <c r="AJ569" s="542"/>
      <c r="AK569" s="542"/>
    </row>
    <row r="570">
      <c r="A570" s="727"/>
      <c r="B570" s="727"/>
      <c r="C570" s="727"/>
      <c r="D570" s="727"/>
      <c r="E570" s="727"/>
      <c r="F570" s="727"/>
      <c r="G570" s="727"/>
      <c r="H570" s="727"/>
      <c r="I570" s="727"/>
      <c r="J570" s="727"/>
      <c r="K570" s="727"/>
      <c r="L570" s="727"/>
      <c r="M570" s="727"/>
      <c r="N570" s="727"/>
      <c r="O570" s="727"/>
      <c r="P570" s="727"/>
      <c r="Q570" s="727"/>
      <c r="R570" s="727"/>
      <c r="S570" s="727"/>
      <c r="T570" s="727"/>
      <c r="U570" s="727"/>
      <c r="V570" s="727"/>
      <c r="W570" s="727"/>
      <c r="X570" s="727"/>
      <c r="Y570" s="727"/>
      <c r="Z570" s="727"/>
      <c r="AA570" s="727"/>
      <c r="AB570" s="727"/>
      <c r="AC570" s="727"/>
      <c r="AD570" s="727"/>
      <c r="AE570" s="729"/>
      <c r="AF570" s="729"/>
      <c r="AG570" s="727"/>
      <c r="AI570" s="542"/>
      <c r="AJ570" s="542"/>
      <c r="AK570" s="542"/>
    </row>
    <row r="571">
      <c r="A571" s="727"/>
      <c r="B571" s="727"/>
      <c r="C571" s="727"/>
      <c r="D571" s="727"/>
      <c r="E571" s="727"/>
      <c r="F571" s="727"/>
      <c r="G571" s="727"/>
      <c r="H571" s="727"/>
      <c r="I571" s="727"/>
      <c r="J571" s="727"/>
      <c r="K571" s="727"/>
      <c r="L571" s="727"/>
      <c r="M571" s="727"/>
      <c r="N571" s="727"/>
      <c r="O571" s="727"/>
      <c r="P571" s="727"/>
      <c r="Q571" s="727"/>
      <c r="R571" s="727"/>
      <c r="S571" s="727"/>
      <c r="T571" s="727"/>
      <c r="U571" s="727"/>
      <c r="V571" s="727"/>
      <c r="W571" s="727"/>
      <c r="X571" s="727"/>
      <c r="Y571" s="727"/>
      <c r="Z571" s="727"/>
      <c r="AA571" s="727"/>
      <c r="AB571" s="727"/>
      <c r="AC571" s="727"/>
      <c r="AD571" s="727"/>
      <c r="AE571" s="729"/>
      <c r="AF571" s="729"/>
      <c r="AG571" s="727"/>
      <c r="AI571" s="542"/>
      <c r="AJ571" s="542"/>
      <c r="AK571" s="542"/>
    </row>
    <row r="572">
      <c r="A572" s="727"/>
      <c r="B572" s="727"/>
      <c r="C572" s="727"/>
      <c r="D572" s="727"/>
      <c r="E572" s="727"/>
      <c r="F572" s="727"/>
      <c r="G572" s="727"/>
      <c r="H572" s="727"/>
      <c r="I572" s="727"/>
      <c r="J572" s="727"/>
      <c r="K572" s="727"/>
      <c r="L572" s="727"/>
      <c r="M572" s="727"/>
      <c r="N572" s="727"/>
      <c r="O572" s="727"/>
      <c r="P572" s="727"/>
      <c r="Q572" s="727"/>
      <c r="R572" s="727"/>
      <c r="S572" s="727"/>
      <c r="T572" s="727"/>
      <c r="U572" s="727"/>
      <c r="V572" s="727"/>
      <c r="W572" s="727"/>
      <c r="X572" s="727"/>
      <c r="Y572" s="727"/>
      <c r="Z572" s="727"/>
      <c r="AA572" s="727"/>
      <c r="AB572" s="727"/>
      <c r="AC572" s="727"/>
      <c r="AD572" s="727"/>
      <c r="AE572" s="729"/>
      <c r="AF572" s="729"/>
      <c r="AG572" s="727"/>
      <c r="AI572" s="542"/>
      <c r="AJ572" s="542"/>
      <c r="AK572" s="542"/>
    </row>
    <row r="573">
      <c r="A573" s="727"/>
      <c r="B573" s="727"/>
      <c r="C573" s="727"/>
      <c r="D573" s="727"/>
      <c r="E573" s="727"/>
      <c r="F573" s="727"/>
      <c r="G573" s="727"/>
      <c r="H573" s="727"/>
      <c r="I573" s="727"/>
      <c r="J573" s="727"/>
      <c r="K573" s="727"/>
      <c r="L573" s="727"/>
      <c r="M573" s="727"/>
      <c r="N573" s="727"/>
      <c r="O573" s="727"/>
      <c r="P573" s="727"/>
      <c r="Q573" s="727"/>
      <c r="R573" s="727"/>
      <c r="S573" s="727"/>
      <c r="T573" s="727"/>
      <c r="U573" s="727"/>
      <c r="V573" s="727"/>
      <c r="W573" s="727"/>
      <c r="X573" s="727"/>
      <c r="Y573" s="727"/>
      <c r="Z573" s="727"/>
      <c r="AA573" s="727"/>
      <c r="AB573" s="727"/>
      <c r="AC573" s="727"/>
      <c r="AD573" s="727"/>
      <c r="AE573" s="729"/>
      <c r="AF573" s="729"/>
      <c r="AG573" s="727"/>
      <c r="AI573" s="542"/>
      <c r="AJ573" s="542"/>
      <c r="AK573" s="542"/>
    </row>
    <row r="574">
      <c r="A574" s="727"/>
      <c r="B574" s="727"/>
      <c r="C574" s="727"/>
      <c r="D574" s="727"/>
      <c r="E574" s="727"/>
      <c r="F574" s="727"/>
      <c r="G574" s="727"/>
      <c r="H574" s="727"/>
      <c r="I574" s="727"/>
      <c r="J574" s="727"/>
      <c r="K574" s="727"/>
      <c r="L574" s="727"/>
      <c r="M574" s="727"/>
      <c r="N574" s="727"/>
      <c r="O574" s="727"/>
      <c r="P574" s="727"/>
      <c r="Q574" s="727"/>
      <c r="R574" s="727"/>
      <c r="S574" s="727"/>
      <c r="T574" s="727"/>
      <c r="U574" s="727"/>
      <c r="V574" s="727"/>
      <c r="W574" s="727"/>
      <c r="X574" s="727"/>
      <c r="Y574" s="727"/>
      <c r="Z574" s="727"/>
      <c r="AA574" s="727"/>
      <c r="AB574" s="727"/>
      <c r="AC574" s="727"/>
      <c r="AD574" s="727"/>
      <c r="AE574" s="729"/>
      <c r="AF574" s="729"/>
      <c r="AG574" s="727"/>
      <c r="AI574" s="542"/>
      <c r="AJ574" s="542"/>
      <c r="AK574" s="542"/>
    </row>
    <row r="575">
      <c r="A575" s="727"/>
      <c r="B575" s="727"/>
      <c r="C575" s="727"/>
      <c r="D575" s="727"/>
      <c r="E575" s="727"/>
      <c r="F575" s="727"/>
      <c r="G575" s="727"/>
      <c r="H575" s="727"/>
      <c r="I575" s="727"/>
      <c r="J575" s="727"/>
      <c r="K575" s="727"/>
      <c r="L575" s="727"/>
      <c r="M575" s="727"/>
      <c r="N575" s="727"/>
      <c r="O575" s="727"/>
      <c r="P575" s="727"/>
      <c r="Q575" s="727"/>
      <c r="R575" s="727"/>
      <c r="S575" s="727"/>
      <c r="T575" s="727"/>
      <c r="U575" s="727"/>
      <c r="V575" s="727"/>
      <c r="W575" s="727"/>
      <c r="X575" s="727"/>
      <c r="Y575" s="727"/>
      <c r="Z575" s="727"/>
      <c r="AA575" s="727"/>
      <c r="AB575" s="727"/>
      <c r="AC575" s="727"/>
      <c r="AD575" s="727"/>
      <c r="AE575" s="729"/>
      <c r="AF575" s="729"/>
      <c r="AG575" s="727"/>
      <c r="AI575" s="542"/>
      <c r="AJ575" s="542"/>
      <c r="AK575" s="542"/>
    </row>
    <row r="576">
      <c r="A576" s="727"/>
      <c r="B576" s="727"/>
      <c r="C576" s="727"/>
      <c r="D576" s="727"/>
      <c r="E576" s="727"/>
      <c r="F576" s="727"/>
      <c r="G576" s="727"/>
      <c r="H576" s="727"/>
      <c r="I576" s="727"/>
      <c r="J576" s="727"/>
      <c r="K576" s="727"/>
      <c r="L576" s="727"/>
      <c r="M576" s="727"/>
      <c r="N576" s="727"/>
      <c r="O576" s="727"/>
      <c r="P576" s="727"/>
      <c r="Q576" s="727"/>
      <c r="R576" s="727"/>
      <c r="S576" s="727"/>
      <c r="T576" s="727"/>
      <c r="U576" s="727"/>
      <c r="V576" s="727"/>
      <c r="W576" s="727"/>
      <c r="X576" s="727"/>
      <c r="Y576" s="727"/>
      <c r="Z576" s="727"/>
      <c r="AA576" s="727"/>
      <c r="AB576" s="727"/>
      <c r="AC576" s="727"/>
      <c r="AD576" s="727"/>
      <c r="AE576" s="729"/>
      <c r="AF576" s="729"/>
      <c r="AG576" s="727"/>
      <c r="AI576" s="542"/>
      <c r="AJ576" s="542"/>
      <c r="AK576" s="542"/>
    </row>
    <row r="577">
      <c r="A577" s="727"/>
      <c r="B577" s="727"/>
      <c r="C577" s="727"/>
      <c r="D577" s="727"/>
      <c r="E577" s="727"/>
      <c r="F577" s="727"/>
      <c r="G577" s="727"/>
      <c r="H577" s="727"/>
      <c r="I577" s="727"/>
      <c r="J577" s="727"/>
      <c r="K577" s="727"/>
      <c r="L577" s="727"/>
      <c r="M577" s="727"/>
      <c r="N577" s="727"/>
      <c r="O577" s="727"/>
      <c r="P577" s="727"/>
      <c r="Q577" s="727"/>
      <c r="R577" s="727"/>
      <c r="S577" s="727"/>
      <c r="T577" s="727"/>
      <c r="U577" s="727"/>
      <c r="V577" s="727"/>
      <c r="W577" s="727"/>
      <c r="X577" s="727"/>
      <c r="Y577" s="727"/>
      <c r="Z577" s="727"/>
      <c r="AA577" s="727"/>
      <c r="AB577" s="727"/>
      <c r="AC577" s="727"/>
      <c r="AD577" s="727"/>
      <c r="AE577" s="729"/>
      <c r="AF577" s="729"/>
      <c r="AG577" s="727"/>
      <c r="AI577" s="542"/>
      <c r="AJ577" s="542"/>
      <c r="AK577" s="542"/>
    </row>
    <row r="578">
      <c r="A578" s="727"/>
      <c r="B578" s="727"/>
      <c r="C578" s="727"/>
      <c r="D578" s="727"/>
      <c r="E578" s="727"/>
      <c r="F578" s="727"/>
      <c r="G578" s="727"/>
      <c r="H578" s="727"/>
      <c r="I578" s="727"/>
      <c r="J578" s="727"/>
      <c r="K578" s="727"/>
      <c r="L578" s="727"/>
      <c r="M578" s="727"/>
      <c r="N578" s="727"/>
      <c r="O578" s="727"/>
      <c r="P578" s="727"/>
      <c r="Q578" s="727"/>
      <c r="R578" s="727"/>
      <c r="S578" s="727"/>
      <c r="T578" s="727"/>
      <c r="U578" s="727"/>
      <c r="V578" s="727"/>
      <c r="W578" s="727"/>
      <c r="X578" s="727"/>
      <c r="Y578" s="727"/>
      <c r="Z578" s="727"/>
      <c r="AA578" s="727"/>
      <c r="AB578" s="727"/>
      <c r="AC578" s="727"/>
      <c r="AD578" s="727"/>
      <c r="AE578" s="729"/>
      <c r="AF578" s="729"/>
      <c r="AG578" s="727"/>
      <c r="AI578" s="542"/>
      <c r="AJ578" s="542"/>
      <c r="AK578" s="542"/>
    </row>
    <row r="579">
      <c r="A579" s="727"/>
      <c r="B579" s="727"/>
      <c r="C579" s="727"/>
      <c r="D579" s="727"/>
      <c r="E579" s="727"/>
      <c r="F579" s="727"/>
      <c r="G579" s="727"/>
      <c r="H579" s="727"/>
      <c r="I579" s="727"/>
      <c r="J579" s="727"/>
      <c r="K579" s="727"/>
      <c r="L579" s="727"/>
      <c r="M579" s="727"/>
      <c r="N579" s="727"/>
      <c r="O579" s="727"/>
      <c r="P579" s="727"/>
      <c r="Q579" s="727"/>
      <c r="R579" s="727"/>
      <c r="S579" s="727"/>
      <c r="T579" s="727"/>
      <c r="U579" s="727"/>
      <c r="V579" s="727"/>
      <c r="W579" s="727"/>
      <c r="X579" s="727"/>
      <c r="Y579" s="727"/>
      <c r="Z579" s="727"/>
      <c r="AA579" s="727"/>
      <c r="AB579" s="727"/>
      <c r="AC579" s="727"/>
      <c r="AD579" s="727"/>
      <c r="AE579" s="729"/>
      <c r="AF579" s="729"/>
      <c r="AG579" s="727"/>
      <c r="AI579" s="542"/>
      <c r="AJ579" s="542"/>
      <c r="AK579" s="542"/>
    </row>
    <row r="580">
      <c r="A580" s="727"/>
      <c r="B580" s="727"/>
      <c r="C580" s="727"/>
      <c r="D580" s="727"/>
      <c r="E580" s="727"/>
      <c r="F580" s="727"/>
      <c r="G580" s="727"/>
      <c r="H580" s="727"/>
      <c r="I580" s="727"/>
      <c r="J580" s="727"/>
      <c r="K580" s="727"/>
      <c r="L580" s="727"/>
      <c r="M580" s="727"/>
      <c r="N580" s="727"/>
      <c r="O580" s="727"/>
      <c r="P580" s="727"/>
      <c r="Q580" s="727"/>
      <c r="R580" s="727"/>
      <c r="S580" s="727"/>
      <c r="T580" s="727"/>
      <c r="U580" s="727"/>
      <c r="V580" s="727"/>
      <c r="W580" s="727"/>
      <c r="X580" s="727"/>
      <c r="Y580" s="727"/>
      <c r="Z580" s="727"/>
      <c r="AA580" s="727"/>
      <c r="AB580" s="727"/>
      <c r="AC580" s="727"/>
      <c r="AD580" s="727"/>
      <c r="AE580" s="729"/>
      <c r="AF580" s="729"/>
      <c r="AG580" s="727"/>
      <c r="AI580" s="542"/>
      <c r="AJ580" s="542"/>
      <c r="AK580" s="542"/>
    </row>
    <row r="581">
      <c r="A581" s="727"/>
      <c r="B581" s="727"/>
      <c r="C581" s="727"/>
      <c r="D581" s="727"/>
      <c r="E581" s="727"/>
      <c r="F581" s="727"/>
      <c r="G581" s="727"/>
      <c r="H581" s="727"/>
      <c r="I581" s="727"/>
      <c r="J581" s="727"/>
      <c r="K581" s="727"/>
      <c r="L581" s="727"/>
      <c r="M581" s="727"/>
      <c r="N581" s="727"/>
      <c r="O581" s="727"/>
      <c r="P581" s="727"/>
      <c r="Q581" s="727"/>
      <c r="R581" s="727"/>
      <c r="S581" s="727"/>
      <c r="T581" s="727"/>
      <c r="U581" s="727"/>
      <c r="V581" s="727"/>
      <c r="W581" s="727"/>
      <c r="X581" s="727"/>
      <c r="Y581" s="727"/>
      <c r="Z581" s="727"/>
      <c r="AA581" s="727"/>
      <c r="AB581" s="727"/>
      <c r="AC581" s="727"/>
      <c r="AD581" s="727"/>
      <c r="AE581" s="729"/>
      <c r="AF581" s="729"/>
      <c r="AG581" s="727"/>
      <c r="AI581" s="542"/>
      <c r="AJ581" s="542"/>
      <c r="AK581" s="542"/>
    </row>
    <row r="582">
      <c r="A582" s="727"/>
      <c r="B582" s="727"/>
      <c r="C582" s="727"/>
      <c r="D582" s="727"/>
      <c r="E582" s="727"/>
      <c r="F582" s="727"/>
      <c r="G582" s="727"/>
      <c r="H582" s="727"/>
      <c r="I582" s="727"/>
      <c r="J582" s="727"/>
      <c r="K582" s="727"/>
      <c r="L582" s="727"/>
      <c r="M582" s="727"/>
      <c r="N582" s="727"/>
      <c r="O582" s="727"/>
      <c r="P582" s="727"/>
      <c r="Q582" s="727"/>
      <c r="R582" s="727"/>
      <c r="S582" s="727"/>
      <c r="T582" s="727"/>
      <c r="U582" s="727"/>
      <c r="V582" s="727"/>
      <c r="W582" s="727"/>
      <c r="X582" s="727"/>
      <c r="Y582" s="727"/>
      <c r="Z582" s="727"/>
      <c r="AA582" s="727"/>
      <c r="AB582" s="727"/>
      <c r="AC582" s="727"/>
      <c r="AD582" s="727"/>
      <c r="AE582" s="729"/>
      <c r="AF582" s="729"/>
      <c r="AG582" s="727"/>
      <c r="AI582" s="542"/>
      <c r="AJ582" s="542"/>
      <c r="AK582" s="542"/>
    </row>
    <row r="583">
      <c r="A583" s="727"/>
      <c r="B583" s="727"/>
      <c r="C583" s="727"/>
      <c r="D583" s="727"/>
      <c r="E583" s="727"/>
      <c r="F583" s="727"/>
      <c r="G583" s="727"/>
      <c r="H583" s="727"/>
      <c r="I583" s="727"/>
      <c r="J583" s="727"/>
      <c r="K583" s="727"/>
      <c r="L583" s="727"/>
      <c r="M583" s="727"/>
      <c r="N583" s="727"/>
      <c r="O583" s="727"/>
      <c r="P583" s="727"/>
      <c r="Q583" s="727"/>
      <c r="R583" s="727"/>
      <c r="S583" s="727"/>
      <c r="T583" s="727"/>
      <c r="U583" s="727"/>
      <c r="V583" s="727"/>
      <c r="W583" s="727"/>
      <c r="X583" s="727"/>
      <c r="Y583" s="727"/>
      <c r="Z583" s="727"/>
      <c r="AA583" s="727"/>
      <c r="AB583" s="727"/>
      <c r="AC583" s="727"/>
      <c r="AD583" s="727"/>
      <c r="AE583" s="729"/>
      <c r="AF583" s="729"/>
      <c r="AG583" s="727"/>
      <c r="AI583" s="542"/>
      <c r="AJ583" s="542"/>
      <c r="AK583" s="542"/>
    </row>
    <row r="584">
      <c r="A584" s="727"/>
      <c r="B584" s="727"/>
      <c r="C584" s="727"/>
      <c r="D584" s="727"/>
      <c r="E584" s="727"/>
      <c r="F584" s="727"/>
      <c r="G584" s="727"/>
      <c r="H584" s="727"/>
      <c r="I584" s="727"/>
      <c r="J584" s="727"/>
      <c r="K584" s="727"/>
      <c r="L584" s="727"/>
      <c r="M584" s="727"/>
      <c r="N584" s="727"/>
      <c r="O584" s="727"/>
      <c r="P584" s="727"/>
      <c r="Q584" s="727"/>
      <c r="R584" s="727"/>
      <c r="S584" s="727"/>
      <c r="T584" s="727"/>
      <c r="U584" s="727"/>
      <c r="V584" s="727"/>
      <c r="W584" s="727"/>
      <c r="X584" s="727"/>
      <c r="Y584" s="727"/>
      <c r="Z584" s="727"/>
      <c r="AA584" s="727"/>
      <c r="AB584" s="727"/>
      <c r="AC584" s="727"/>
      <c r="AD584" s="727"/>
      <c r="AE584" s="729"/>
      <c r="AF584" s="729"/>
      <c r="AG584" s="727"/>
      <c r="AI584" s="542"/>
      <c r="AJ584" s="542"/>
      <c r="AK584" s="542"/>
    </row>
    <row r="585">
      <c r="A585" s="727"/>
      <c r="B585" s="727"/>
      <c r="C585" s="727"/>
      <c r="D585" s="727"/>
      <c r="E585" s="727"/>
      <c r="F585" s="727"/>
      <c r="G585" s="727"/>
      <c r="H585" s="727"/>
      <c r="I585" s="727"/>
      <c r="J585" s="727"/>
      <c r="K585" s="727"/>
      <c r="L585" s="727"/>
      <c r="M585" s="727"/>
      <c r="N585" s="727"/>
      <c r="O585" s="727"/>
      <c r="P585" s="727"/>
      <c r="Q585" s="727"/>
      <c r="R585" s="727"/>
      <c r="S585" s="727"/>
      <c r="T585" s="727"/>
      <c r="U585" s="727"/>
      <c r="V585" s="727"/>
      <c r="W585" s="727"/>
      <c r="X585" s="727"/>
      <c r="Y585" s="727"/>
      <c r="Z585" s="727"/>
      <c r="AA585" s="727"/>
      <c r="AB585" s="727"/>
      <c r="AC585" s="727"/>
      <c r="AD585" s="727"/>
      <c r="AE585" s="729"/>
      <c r="AF585" s="729"/>
      <c r="AG585" s="727"/>
      <c r="AI585" s="542"/>
      <c r="AJ585" s="542"/>
      <c r="AK585" s="542"/>
    </row>
    <row r="586">
      <c r="A586" s="727"/>
      <c r="B586" s="727"/>
      <c r="C586" s="727"/>
      <c r="D586" s="727"/>
      <c r="E586" s="727"/>
      <c r="F586" s="727"/>
      <c r="G586" s="727"/>
      <c r="H586" s="727"/>
      <c r="I586" s="727"/>
      <c r="J586" s="727"/>
      <c r="K586" s="727"/>
      <c r="L586" s="727"/>
      <c r="M586" s="727"/>
      <c r="N586" s="727"/>
      <c r="O586" s="727"/>
      <c r="P586" s="727"/>
      <c r="Q586" s="727"/>
      <c r="R586" s="727"/>
      <c r="S586" s="727"/>
      <c r="T586" s="727"/>
      <c r="U586" s="727"/>
      <c r="V586" s="727"/>
      <c r="W586" s="727"/>
      <c r="X586" s="727"/>
      <c r="Y586" s="727"/>
      <c r="Z586" s="727"/>
      <c r="AA586" s="727"/>
      <c r="AB586" s="727"/>
      <c r="AC586" s="727"/>
      <c r="AD586" s="727"/>
      <c r="AE586" s="729"/>
      <c r="AF586" s="729"/>
      <c r="AG586" s="727"/>
      <c r="AI586" s="542"/>
      <c r="AJ586" s="542"/>
      <c r="AK586" s="542"/>
    </row>
    <row r="587">
      <c r="A587" s="727"/>
      <c r="B587" s="727"/>
      <c r="C587" s="727"/>
      <c r="D587" s="727"/>
      <c r="E587" s="727"/>
      <c r="F587" s="727"/>
      <c r="G587" s="727"/>
      <c r="H587" s="727"/>
      <c r="I587" s="727"/>
      <c r="J587" s="727"/>
      <c r="K587" s="727"/>
      <c r="L587" s="727"/>
      <c r="M587" s="727"/>
      <c r="N587" s="727"/>
      <c r="O587" s="727"/>
      <c r="P587" s="727"/>
      <c r="Q587" s="727"/>
      <c r="R587" s="727"/>
      <c r="S587" s="727"/>
      <c r="T587" s="727"/>
      <c r="U587" s="727"/>
      <c r="V587" s="727"/>
      <c r="W587" s="727"/>
      <c r="X587" s="727"/>
      <c r="Y587" s="727"/>
      <c r="Z587" s="727"/>
      <c r="AA587" s="727"/>
      <c r="AB587" s="727"/>
      <c r="AC587" s="727"/>
      <c r="AD587" s="727"/>
      <c r="AE587" s="729"/>
      <c r="AF587" s="729"/>
      <c r="AG587" s="727"/>
      <c r="AI587" s="542"/>
      <c r="AJ587" s="542"/>
      <c r="AK587" s="542"/>
    </row>
    <row r="588">
      <c r="A588" s="727"/>
      <c r="B588" s="727"/>
      <c r="C588" s="727"/>
      <c r="D588" s="727"/>
      <c r="E588" s="727"/>
      <c r="F588" s="727"/>
      <c r="G588" s="727"/>
      <c r="H588" s="727"/>
      <c r="I588" s="727"/>
      <c r="J588" s="727"/>
      <c r="K588" s="727"/>
      <c r="L588" s="727"/>
      <c r="M588" s="727"/>
      <c r="N588" s="727"/>
      <c r="O588" s="727"/>
      <c r="P588" s="727"/>
      <c r="Q588" s="727"/>
      <c r="R588" s="727"/>
      <c r="S588" s="727"/>
      <c r="T588" s="727"/>
      <c r="U588" s="727"/>
      <c r="V588" s="727"/>
      <c r="W588" s="727"/>
      <c r="X588" s="727"/>
      <c r="Y588" s="727"/>
      <c r="Z588" s="727"/>
      <c r="AA588" s="727"/>
      <c r="AB588" s="727"/>
      <c r="AC588" s="727"/>
      <c r="AD588" s="727"/>
      <c r="AE588" s="729"/>
      <c r="AF588" s="729"/>
      <c r="AG588" s="727"/>
      <c r="AI588" s="542"/>
      <c r="AJ588" s="542"/>
      <c r="AK588" s="542"/>
    </row>
    <row r="589">
      <c r="A589" s="727"/>
      <c r="B589" s="727"/>
      <c r="C589" s="727"/>
      <c r="D589" s="727"/>
      <c r="E589" s="727"/>
      <c r="F589" s="727"/>
      <c r="G589" s="727"/>
      <c r="H589" s="727"/>
      <c r="I589" s="727"/>
      <c r="J589" s="727"/>
      <c r="K589" s="727"/>
      <c r="L589" s="727"/>
      <c r="M589" s="727"/>
      <c r="N589" s="727"/>
      <c r="O589" s="727"/>
      <c r="P589" s="727"/>
      <c r="Q589" s="727"/>
      <c r="R589" s="727"/>
      <c r="S589" s="727"/>
      <c r="T589" s="727"/>
      <c r="U589" s="727"/>
      <c r="V589" s="727"/>
      <c r="W589" s="727"/>
      <c r="X589" s="727"/>
      <c r="Y589" s="727"/>
      <c r="Z589" s="727"/>
      <c r="AA589" s="727"/>
      <c r="AB589" s="727"/>
      <c r="AC589" s="727"/>
      <c r="AD589" s="727"/>
      <c r="AE589" s="729"/>
      <c r="AF589" s="729"/>
      <c r="AG589" s="727"/>
      <c r="AI589" s="542"/>
      <c r="AJ589" s="542"/>
      <c r="AK589" s="542"/>
    </row>
    <row r="590">
      <c r="A590" s="727"/>
      <c r="B590" s="727"/>
      <c r="C590" s="727"/>
      <c r="D590" s="727"/>
      <c r="E590" s="727"/>
      <c r="F590" s="727"/>
      <c r="G590" s="727"/>
      <c r="H590" s="727"/>
      <c r="I590" s="727"/>
      <c r="J590" s="727"/>
      <c r="K590" s="727"/>
      <c r="L590" s="727"/>
      <c r="M590" s="727"/>
      <c r="N590" s="727"/>
      <c r="O590" s="727"/>
      <c r="P590" s="727"/>
      <c r="Q590" s="727"/>
      <c r="R590" s="727"/>
      <c r="S590" s="727"/>
      <c r="T590" s="727"/>
      <c r="U590" s="727"/>
      <c r="V590" s="727"/>
      <c r="W590" s="727"/>
      <c r="X590" s="727"/>
      <c r="Y590" s="727"/>
      <c r="Z590" s="727"/>
      <c r="AA590" s="727"/>
      <c r="AB590" s="727"/>
      <c r="AC590" s="727"/>
      <c r="AD590" s="727"/>
      <c r="AE590" s="729"/>
      <c r="AF590" s="729"/>
      <c r="AG590" s="727"/>
      <c r="AI590" s="542"/>
      <c r="AJ590" s="542"/>
      <c r="AK590" s="542"/>
    </row>
    <row r="591">
      <c r="A591" s="727"/>
      <c r="B591" s="727"/>
      <c r="C591" s="727"/>
      <c r="D591" s="727"/>
      <c r="E591" s="727"/>
      <c r="F591" s="727"/>
      <c r="G591" s="727"/>
      <c r="H591" s="727"/>
      <c r="I591" s="727"/>
      <c r="J591" s="727"/>
      <c r="K591" s="727"/>
      <c r="L591" s="727"/>
      <c r="M591" s="727"/>
      <c r="N591" s="727"/>
      <c r="O591" s="727"/>
      <c r="P591" s="727"/>
      <c r="Q591" s="727"/>
      <c r="R591" s="727"/>
      <c r="S591" s="727"/>
      <c r="T591" s="727"/>
      <c r="U591" s="727"/>
      <c r="V591" s="727"/>
      <c r="W591" s="727"/>
      <c r="X591" s="727"/>
      <c r="Y591" s="727"/>
      <c r="Z591" s="727"/>
      <c r="AA591" s="727"/>
      <c r="AB591" s="727"/>
      <c r="AC591" s="727"/>
      <c r="AD591" s="727"/>
      <c r="AE591" s="729"/>
      <c r="AF591" s="729"/>
      <c r="AG591" s="727"/>
      <c r="AI591" s="542"/>
      <c r="AJ591" s="542"/>
      <c r="AK591" s="542"/>
    </row>
    <row r="592">
      <c r="A592" s="727"/>
      <c r="B592" s="727"/>
      <c r="C592" s="727"/>
      <c r="D592" s="727"/>
      <c r="E592" s="727"/>
      <c r="F592" s="727"/>
      <c r="G592" s="727"/>
      <c r="H592" s="727"/>
      <c r="I592" s="727"/>
      <c r="J592" s="727"/>
      <c r="K592" s="727"/>
      <c r="L592" s="727"/>
      <c r="M592" s="727"/>
      <c r="N592" s="727"/>
      <c r="O592" s="727"/>
      <c r="P592" s="727"/>
      <c r="Q592" s="727"/>
      <c r="R592" s="727"/>
      <c r="S592" s="727"/>
      <c r="T592" s="727"/>
      <c r="U592" s="727"/>
      <c r="V592" s="727"/>
      <c r="W592" s="727"/>
      <c r="X592" s="727"/>
      <c r="Y592" s="727"/>
      <c r="Z592" s="727"/>
      <c r="AA592" s="727"/>
      <c r="AB592" s="727"/>
      <c r="AC592" s="727"/>
      <c r="AD592" s="727"/>
      <c r="AE592" s="729"/>
      <c r="AF592" s="729"/>
      <c r="AG592" s="727"/>
      <c r="AI592" s="542"/>
      <c r="AJ592" s="542"/>
      <c r="AK592" s="542"/>
    </row>
    <row r="593">
      <c r="A593" s="727"/>
      <c r="B593" s="727"/>
      <c r="C593" s="727"/>
      <c r="D593" s="727"/>
      <c r="E593" s="727"/>
      <c r="F593" s="727"/>
      <c r="G593" s="727"/>
      <c r="H593" s="727"/>
      <c r="I593" s="727"/>
      <c r="J593" s="727"/>
      <c r="K593" s="727"/>
      <c r="L593" s="727"/>
      <c r="M593" s="727"/>
      <c r="N593" s="727"/>
      <c r="O593" s="727"/>
      <c r="P593" s="727"/>
      <c r="Q593" s="727"/>
      <c r="R593" s="727"/>
      <c r="S593" s="727"/>
      <c r="T593" s="727"/>
      <c r="U593" s="727"/>
      <c r="V593" s="727"/>
      <c r="W593" s="727"/>
      <c r="X593" s="727"/>
      <c r="Y593" s="727"/>
      <c r="Z593" s="727"/>
      <c r="AA593" s="727"/>
      <c r="AB593" s="727"/>
      <c r="AC593" s="727"/>
      <c r="AD593" s="727"/>
      <c r="AE593" s="729"/>
      <c r="AF593" s="729"/>
      <c r="AG593" s="727"/>
      <c r="AI593" s="542"/>
      <c r="AJ593" s="542"/>
      <c r="AK593" s="542"/>
    </row>
    <row r="594">
      <c r="A594" s="727"/>
      <c r="B594" s="727"/>
      <c r="C594" s="727"/>
      <c r="D594" s="727"/>
      <c r="E594" s="727"/>
      <c r="F594" s="727"/>
      <c r="G594" s="727"/>
      <c r="H594" s="727"/>
      <c r="I594" s="727"/>
      <c r="J594" s="727"/>
      <c r="K594" s="727"/>
      <c r="L594" s="727"/>
      <c r="M594" s="727"/>
      <c r="N594" s="727"/>
      <c r="O594" s="727"/>
      <c r="P594" s="727"/>
      <c r="Q594" s="727"/>
      <c r="R594" s="727"/>
      <c r="S594" s="727"/>
      <c r="T594" s="727"/>
      <c r="U594" s="727"/>
      <c r="V594" s="727"/>
      <c r="W594" s="727"/>
      <c r="X594" s="727"/>
      <c r="Y594" s="727"/>
      <c r="Z594" s="727"/>
      <c r="AA594" s="727"/>
      <c r="AB594" s="727"/>
      <c r="AC594" s="727"/>
      <c r="AD594" s="727"/>
      <c r="AE594" s="729"/>
      <c r="AF594" s="729"/>
      <c r="AG594" s="727"/>
      <c r="AI594" s="542"/>
      <c r="AJ594" s="542"/>
      <c r="AK594" s="542"/>
    </row>
    <row r="595">
      <c r="A595" s="727"/>
      <c r="B595" s="727"/>
      <c r="C595" s="727"/>
      <c r="D595" s="727"/>
      <c r="E595" s="727"/>
      <c r="F595" s="727"/>
      <c r="G595" s="727"/>
      <c r="H595" s="727"/>
      <c r="I595" s="727"/>
      <c r="J595" s="727"/>
      <c r="K595" s="727"/>
      <c r="L595" s="727"/>
      <c r="M595" s="727"/>
      <c r="N595" s="727"/>
      <c r="O595" s="727"/>
      <c r="P595" s="727"/>
      <c r="Q595" s="727"/>
      <c r="R595" s="727"/>
      <c r="S595" s="727"/>
      <c r="T595" s="727"/>
      <c r="U595" s="727"/>
      <c r="V595" s="727"/>
      <c r="W595" s="727"/>
      <c r="X595" s="727"/>
      <c r="Y595" s="727"/>
      <c r="Z595" s="727"/>
      <c r="AA595" s="727"/>
      <c r="AB595" s="727"/>
      <c r="AC595" s="727"/>
      <c r="AD595" s="727"/>
      <c r="AE595" s="729"/>
      <c r="AF595" s="729"/>
      <c r="AG595" s="727"/>
      <c r="AI595" s="542"/>
      <c r="AJ595" s="542"/>
      <c r="AK595" s="542"/>
    </row>
    <row r="596">
      <c r="A596" s="727"/>
      <c r="B596" s="727"/>
      <c r="C596" s="727"/>
      <c r="D596" s="727"/>
      <c r="E596" s="727"/>
      <c r="F596" s="727"/>
      <c r="G596" s="727"/>
      <c r="H596" s="727"/>
      <c r="I596" s="727"/>
      <c r="J596" s="727"/>
      <c r="K596" s="727"/>
      <c r="L596" s="727"/>
      <c r="M596" s="727"/>
      <c r="N596" s="727"/>
      <c r="O596" s="727"/>
      <c r="P596" s="727"/>
      <c r="Q596" s="727"/>
      <c r="R596" s="727"/>
      <c r="S596" s="727"/>
      <c r="T596" s="727"/>
      <c r="U596" s="727"/>
      <c r="V596" s="727"/>
      <c r="W596" s="727"/>
      <c r="X596" s="727"/>
      <c r="Y596" s="727"/>
      <c r="Z596" s="727"/>
      <c r="AA596" s="727"/>
      <c r="AB596" s="727"/>
      <c r="AC596" s="727"/>
      <c r="AD596" s="727"/>
      <c r="AE596" s="729"/>
      <c r="AF596" s="729"/>
      <c r="AG596" s="727"/>
      <c r="AI596" s="542"/>
      <c r="AJ596" s="542"/>
      <c r="AK596" s="542"/>
    </row>
    <row r="597">
      <c r="A597" s="727"/>
      <c r="B597" s="727"/>
      <c r="C597" s="727"/>
      <c r="D597" s="727"/>
      <c r="E597" s="727"/>
      <c r="F597" s="727"/>
      <c r="G597" s="727"/>
      <c r="H597" s="727"/>
      <c r="I597" s="727"/>
      <c r="J597" s="727"/>
      <c r="K597" s="727"/>
      <c r="L597" s="727"/>
      <c r="M597" s="727"/>
      <c r="N597" s="727"/>
      <c r="O597" s="727"/>
      <c r="P597" s="727"/>
      <c r="Q597" s="727"/>
      <c r="R597" s="727"/>
      <c r="S597" s="727"/>
      <c r="T597" s="727"/>
      <c r="U597" s="727"/>
      <c r="V597" s="727"/>
      <c r="W597" s="727"/>
      <c r="X597" s="727"/>
      <c r="Y597" s="727"/>
      <c r="Z597" s="727"/>
      <c r="AA597" s="727"/>
      <c r="AB597" s="727"/>
      <c r="AC597" s="727"/>
      <c r="AD597" s="727"/>
      <c r="AE597" s="729"/>
      <c r="AF597" s="729"/>
      <c r="AG597" s="727"/>
      <c r="AI597" s="542"/>
      <c r="AJ597" s="542"/>
      <c r="AK597" s="542"/>
    </row>
    <row r="598">
      <c r="A598" s="727"/>
      <c r="B598" s="727"/>
      <c r="C598" s="727"/>
      <c r="D598" s="727"/>
      <c r="E598" s="727"/>
      <c r="F598" s="727"/>
      <c r="G598" s="727"/>
      <c r="H598" s="727"/>
      <c r="I598" s="727"/>
      <c r="J598" s="727"/>
      <c r="K598" s="727"/>
      <c r="L598" s="727"/>
      <c r="M598" s="727"/>
      <c r="N598" s="727"/>
      <c r="O598" s="727"/>
      <c r="P598" s="727"/>
      <c r="Q598" s="727"/>
      <c r="R598" s="727"/>
      <c r="S598" s="727"/>
      <c r="T598" s="727"/>
      <c r="U598" s="727"/>
      <c r="V598" s="727"/>
      <c r="W598" s="727"/>
      <c r="X598" s="727"/>
      <c r="Y598" s="727"/>
      <c r="Z598" s="727"/>
      <c r="AA598" s="727"/>
      <c r="AB598" s="727"/>
      <c r="AC598" s="727"/>
      <c r="AD598" s="727"/>
      <c r="AE598" s="729"/>
      <c r="AF598" s="729"/>
      <c r="AG598" s="727"/>
      <c r="AI598" s="542"/>
      <c r="AJ598" s="542"/>
      <c r="AK598" s="542"/>
    </row>
    <row r="599">
      <c r="A599" s="727"/>
      <c r="B599" s="727"/>
      <c r="C599" s="727"/>
      <c r="D599" s="727"/>
      <c r="E599" s="727"/>
      <c r="F599" s="727"/>
      <c r="G599" s="727"/>
      <c r="H599" s="727"/>
      <c r="I599" s="727"/>
      <c r="J599" s="727"/>
      <c r="K599" s="727"/>
      <c r="L599" s="727"/>
      <c r="M599" s="727"/>
      <c r="N599" s="727"/>
      <c r="O599" s="727"/>
      <c r="P599" s="727"/>
      <c r="Q599" s="727"/>
      <c r="R599" s="727"/>
      <c r="S599" s="727"/>
      <c r="T599" s="727"/>
      <c r="U599" s="727"/>
      <c r="V599" s="727"/>
      <c r="W599" s="727"/>
      <c r="X599" s="727"/>
      <c r="Y599" s="727"/>
      <c r="Z599" s="727"/>
      <c r="AA599" s="727"/>
      <c r="AB599" s="727"/>
      <c r="AC599" s="727"/>
      <c r="AD599" s="727"/>
      <c r="AE599" s="729"/>
      <c r="AF599" s="729"/>
      <c r="AG599" s="727"/>
      <c r="AI599" s="542"/>
      <c r="AJ599" s="542"/>
      <c r="AK599" s="542"/>
    </row>
    <row r="600">
      <c r="A600" s="727"/>
      <c r="B600" s="727"/>
      <c r="C600" s="727"/>
      <c r="D600" s="727"/>
      <c r="E600" s="727"/>
      <c r="F600" s="727"/>
      <c r="G600" s="727"/>
      <c r="H600" s="727"/>
      <c r="I600" s="727"/>
      <c r="J600" s="727"/>
      <c r="K600" s="727"/>
      <c r="L600" s="727"/>
      <c r="M600" s="727"/>
      <c r="N600" s="727"/>
      <c r="O600" s="727"/>
      <c r="P600" s="727"/>
      <c r="Q600" s="727"/>
      <c r="R600" s="727"/>
      <c r="S600" s="727"/>
      <c r="T600" s="727"/>
      <c r="U600" s="727"/>
      <c r="V600" s="727"/>
      <c r="W600" s="727"/>
      <c r="X600" s="727"/>
      <c r="Y600" s="727"/>
      <c r="Z600" s="727"/>
      <c r="AA600" s="727"/>
      <c r="AB600" s="727"/>
      <c r="AC600" s="727"/>
      <c r="AD600" s="727"/>
      <c r="AE600" s="729"/>
      <c r="AF600" s="729"/>
      <c r="AG600" s="727"/>
      <c r="AI600" s="542"/>
      <c r="AJ600" s="542"/>
      <c r="AK600" s="542"/>
    </row>
    <row r="601">
      <c r="A601" s="727"/>
      <c r="B601" s="727"/>
      <c r="C601" s="727"/>
      <c r="D601" s="727"/>
      <c r="E601" s="727"/>
      <c r="F601" s="727"/>
      <c r="G601" s="727"/>
      <c r="H601" s="727"/>
      <c r="I601" s="727"/>
      <c r="J601" s="727"/>
      <c r="K601" s="727"/>
      <c r="L601" s="727"/>
      <c r="M601" s="727"/>
      <c r="N601" s="727"/>
      <c r="O601" s="727"/>
      <c r="P601" s="727"/>
      <c r="Q601" s="727"/>
      <c r="R601" s="727"/>
      <c r="S601" s="727"/>
      <c r="T601" s="727"/>
      <c r="U601" s="727"/>
      <c r="V601" s="727"/>
      <c r="W601" s="727"/>
      <c r="X601" s="727"/>
      <c r="Y601" s="727"/>
      <c r="Z601" s="727"/>
      <c r="AA601" s="727"/>
      <c r="AB601" s="727"/>
      <c r="AC601" s="727"/>
      <c r="AD601" s="727"/>
      <c r="AE601" s="729"/>
      <c r="AF601" s="729"/>
      <c r="AG601" s="727"/>
      <c r="AI601" s="542"/>
      <c r="AJ601" s="542"/>
      <c r="AK601" s="542"/>
    </row>
    <row r="602">
      <c r="A602" s="727"/>
      <c r="B602" s="727"/>
      <c r="C602" s="727"/>
      <c r="D602" s="727"/>
      <c r="E602" s="727"/>
      <c r="F602" s="727"/>
      <c r="G602" s="727"/>
      <c r="H602" s="727"/>
      <c r="I602" s="727"/>
      <c r="J602" s="727"/>
      <c r="K602" s="727"/>
      <c r="L602" s="727"/>
      <c r="M602" s="727"/>
      <c r="N602" s="727"/>
      <c r="O602" s="727"/>
      <c r="P602" s="727"/>
      <c r="Q602" s="727"/>
      <c r="R602" s="727"/>
      <c r="S602" s="727"/>
      <c r="T602" s="727"/>
      <c r="U602" s="727"/>
      <c r="V602" s="727"/>
      <c r="W602" s="727"/>
      <c r="X602" s="727"/>
      <c r="Y602" s="727"/>
      <c r="Z602" s="727"/>
      <c r="AA602" s="727"/>
      <c r="AB602" s="727"/>
      <c r="AC602" s="727"/>
      <c r="AD602" s="727"/>
      <c r="AE602" s="729"/>
      <c r="AF602" s="729"/>
      <c r="AG602" s="727"/>
      <c r="AI602" s="542"/>
      <c r="AJ602" s="542"/>
      <c r="AK602" s="542"/>
    </row>
    <row r="603">
      <c r="A603" s="727"/>
      <c r="B603" s="727"/>
      <c r="C603" s="727"/>
      <c r="D603" s="727"/>
      <c r="E603" s="727"/>
      <c r="F603" s="727"/>
      <c r="G603" s="727"/>
      <c r="H603" s="727"/>
      <c r="I603" s="727"/>
      <c r="J603" s="727"/>
      <c r="K603" s="727"/>
      <c r="L603" s="727"/>
      <c r="M603" s="727"/>
      <c r="N603" s="727"/>
      <c r="O603" s="727"/>
      <c r="P603" s="727"/>
      <c r="Q603" s="727"/>
      <c r="R603" s="727"/>
      <c r="S603" s="727"/>
      <c r="T603" s="727"/>
      <c r="U603" s="727"/>
      <c r="V603" s="727"/>
      <c r="W603" s="727"/>
      <c r="X603" s="727"/>
      <c r="Y603" s="727"/>
      <c r="Z603" s="727"/>
      <c r="AA603" s="727"/>
      <c r="AB603" s="727"/>
      <c r="AC603" s="727"/>
      <c r="AD603" s="727"/>
      <c r="AE603" s="729"/>
      <c r="AF603" s="729"/>
      <c r="AG603" s="727"/>
      <c r="AI603" s="542"/>
      <c r="AJ603" s="542"/>
      <c r="AK603" s="542"/>
    </row>
    <row r="604">
      <c r="A604" s="727"/>
      <c r="B604" s="727"/>
      <c r="C604" s="727"/>
      <c r="D604" s="727"/>
      <c r="E604" s="727"/>
      <c r="F604" s="727"/>
      <c r="G604" s="727"/>
      <c r="H604" s="727"/>
      <c r="I604" s="727"/>
      <c r="J604" s="727"/>
      <c r="K604" s="727"/>
      <c r="L604" s="727"/>
      <c r="M604" s="727"/>
      <c r="N604" s="727"/>
      <c r="O604" s="727"/>
      <c r="P604" s="727"/>
      <c r="Q604" s="727"/>
      <c r="R604" s="727"/>
      <c r="S604" s="727"/>
      <c r="T604" s="727"/>
      <c r="U604" s="727"/>
      <c r="V604" s="727"/>
      <c r="W604" s="727"/>
      <c r="X604" s="727"/>
      <c r="Y604" s="727"/>
      <c r="Z604" s="727"/>
      <c r="AA604" s="727"/>
      <c r="AB604" s="727"/>
      <c r="AC604" s="727"/>
      <c r="AD604" s="727"/>
      <c r="AE604" s="729"/>
      <c r="AF604" s="729"/>
      <c r="AG604" s="727"/>
      <c r="AI604" s="542"/>
      <c r="AJ604" s="542"/>
      <c r="AK604" s="542"/>
    </row>
    <row r="605">
      <c r="A605" s="727"/>
      <c r="B605" s="727"/>
      <c r="C605" s="727"/>
      <c r="D605" s="727"/>
      <c r="E605" s="727"/>
      <c r="F605" s="727"/>
      <c r="G605" s="727"/>
      <c r="H605" s="727"/>
      <c r="I605" s="727"/>
      <c r="J605" s="727"/>
      <c r="K605" s="727"/>
      <c r="L605" s="727"/>
      <c r="M605" s="727"/>
      <c r="N605" s="727"/>
      <c r="O605" s="727"/>
      <c r="P605" s="727"/>
      <c r="Q605" s="727"/>
      <c r="R605" s="727"/>
      <c r="S605" s="727"/>
      <c r="T605" s="727"/>
      <c r="U605" s="727"/>
      <c r="V605" s="727"/>
      <c r="W605" s="727"/>
      <c r="X605" s="727"/>
      <c r="Y605" s="727"/>
      <c r="Z605" s="727"/>
      <c r="AA605" s="727"/>
      <c r="AB605" s="727"/>
      <c r="AC605" s="727"/>
      <c r="AD605" s="727"/>
      <c r="AE605" s="729"/>
      <c r="AF605" s="729"/>
      <c r="AG605" s="727"/>
      <c r="AI605" s="542"/>
      <c r="AJ605" s="542"/>
      <c r="AK605" s="542"/>
    </row>
    <row r="606">
      <c r="A606" s="727"/>
      <c r="B606" s="727"/>
      <c r="C606" s="727"/>
      <c r="D606" s="727"/>
      <c r="E606" s="727"/>
      <c r="F606" s="727"/>
      <c r="G606" s="727"/>
      <c r="H606" s="727"/>
      <c r="I606" s="727"/>
      <c r="J606" s="727"/>
      <c r="K606" s="727"/>
      <c r="L606" s="727"/>
      <c r="M606" s="727"/>
      <c r="N606" s="727"/>
      <c r="O606" s="727"/>
      <c r="P606" s="727"/>
      <c r="Q606" s="727"/>
      <c r="R606" s="727"/>
      <c r="S606" s="727"/>
      <c r="T606" s="727"/>
      <c r="U606" s="727"/>
      <c r="V606" s="727"/>
      <c r="W606" s="727"/>
      <c r="X606" s="727"/>
      <c r="Y606" s="727"/>
      <c r="Z606" s="727"/>
      <c r="AA606" s="727"/>
      <c r="AB606" s="727"/>
      <c r="AC606" s="727"/>
      <c r="AD606" s="727"/>
      <c r="AE606" s="729"/>
      <c r="AF606" s="729"/>
      <c r="AG606" s="727"/>
      <c r="AI606" s="542"/>
      <c r="AJ606" s="542"/>
      <c r="AK606" s="542"/>
    </row>
    <row r="607">
      <c r="A607" s="727"/>
      <c r="B607" s="727"/>
      <c r="C607" s="727"/>
      <c r="D607" s="727"/>
      <c r="E607" s="727"/>
      <c r="F607" s="727"/>
      <c r="G607" s="727"/>
      <c r="H607" s="727"/>
      <c r="I607" s="727"/>
      <c r="J607" s="727"/>
      <c r="K607" s="727"/>
      <c r="L607" s="727"/>
      <c r="M607" s="727"/>
      <c r="N607" s="727"/>
      <c r="O607" s="727"/>
      <c r="P607" s="727"/>
      <c r="Q607" s="727"/>
      <c r="R607" s="727"/>
      <c r="S607" s="727"/>
      <c r="T607" s="727"/>
      <c r="U607" s="727"/>
      <c r="V607" s="727"/>
      <c r="W607" s="727"/>
      <c r="X607" s="727"/>
      <c r="Y607" s="727"/>
      <c r="Z607" s="727"/>
      <c r="AA607" s="727"/>
      <c r="AB607" s="727"/>
      <c r="AC607" s="727"/>
      <c r="AD607" s="727"/>
      <c r="AE607" s="729"/>
      <c r="AF607" s="729"/>
      <c r="AG607" s="727"/>
      <c r="AI607" s="542"/>
      <c r="AJ607" s="542"/>
      <c r="AK607" s="542"/>
    </row>
    <row r="608">
      <c r="A608" s="727"/>
      <c r="B608" s="727"/>
      <c r="C608" s="727"/>
      <c r="D608" s="727"/>
      <c r="E608" s="727"/>
      <c r="F608" s="727"/>
      <c r="G608" s="727"/>
      <c r="H608" s="727"/>
      <c r="I608" s="727"/>
      <c r="J608" s="727"/>
      <c r="K608" s="727"/>
      <c r="L608" s="727"/>
      <c r="M608" s="727"/>
      <c r="N608" s="727"/>
      <c r="O608" s="727"/>
      <c r="P608" s="727"/>
      <c r="Q608" s="727"/>
      <c r="R608" s="727"/>
      <c r="S608" s="727"/>
      <c r="T608" s="727"/>
      <c r="U608" s="727"/>
      <c r="V608" s="727"/>
      <c r="W608" s="727"/>
      <c r="X608" s="727"/>
      <c r="Y608" s="727"/>
      <c r="Z608" s="727"/>
      <c r="AA608" s="727"/>
      <c r="AB608" s="727"/>
      <c r="AC608" s="727"/>
      <c r="AD608" s="727"/>
      <c r="AE608" s="729"/>
      <c r="AF608" s="729"/>
      <c r="AG608" s="727"/>
      <c r="AI608" s="542"/>
      <c r="AJ608" s="542"/>
      <c r="AK608" s="542"/>
    </row>
    <row r="609">
      <c r="A609" s="727"/>
      <c r="B609" s="727"/>
      <c r="C609" s="727"/>
      <c r="D609" s="727"/>
      <c r="E609" s="727"/>
      <c r="F609" s="727"/>
      <c r="G609" s="727"/>
      <c r="H609" s="727"/>
      <c r="I609" s="727"/>
      <c r="J609" s="727"/>
      <c r="K609" s="727"/>
      <c r="L609" s="727"/>
      <c r="M609" s="727"/>
      <c r="N609" s="727"/>
      <c r="O609" s="727"/>
      <c r="P609" s="727"/>
      <c r="Q609" s="727"/>
      <c r="R609" s="727"/>
      <c r="S609" s="727"/>
      <c r="T609" s="727"/>
      <c r="U609" s="727"/>
      <c r="V609" s="727"/>
      <c r="W609" s="727"/>
      <c r="X609" s="727"/>
      <c r="Y609" s="727"/>
      <c r="Z609" s="727"/>
      <c r="AA609" s="727"/>
      <c r="AB609" s="727"/>
      <c r="AC609" s="727"/>
      <c r="AD609" s="727"/>
      <c r="AE609" s="729"/>
      <c r="AF609" s="729"/>
      <c r="AG609" s="727"/>
      <c r="AI609" s="542"/>
      <c r="AJ609" s="542"/>
      <c r="AK609" s="542"/>
    </row>
    <row r="610">
      <c r="A610" s="727"/>
      <c r="B610" s="727"/>
      <c r="C610" s="727"/>
      <c r="D610" s="727"/>
      <c r="E610" s="727"/>
      <c r="F610" s="727"/>
      <c r="G610" s="727"/>
      <c r="H610" s="727"/>
      <c r="I610" s="727"/>
      <c r="J610" s="727"/>
      <c r="K610" s="727"/>
      <c r="L610" s="727"/>
      <c r="M610" s="727"/>
      <c r="N610" s="727"/>
      <c r="O610" s="727"/>
      <c r="P610" s="727"/>
      <c r="Q610" s="727"/>
      <c r="R610" s="727"/>
      <c r="S610" s="727"/>
      <c r="T610" s="727"/>
      <c r="U610" s="727"/>
      <c r="V610" s="727"/>
      <c r="W610" s="727"/>
      <c r="X610" s="727"/>
      <c r="Y610" s="727"/>
      <c r="Z610" s="727"/>
      <c r="AA610" s="727"/>
      <c r="AB610" s="727"/>
      <c r="AC610" s="727"/>
      <c r="AD610" s="727"/>
      <c r="AE610" s="729"/>
      <c r="AF610" s="729"/>
      <c r="AG610" s="727"/>
      <c r="AI610" s="542"/>
      <c r="AJ610" s="542"/>
      <c r="AK610" s="542"/>
    </row>
    <row r="611">
      <c r="A611" s="727"/>
      <c r="B611" s="727"/>
      <c r="C611" s="727"/>
      <c r="D611" s="727"/>
      <c r="E611" s="727"/>
      <c r="F611" s="727"/>
      <c r="G611" s="727"/>
      <c r="H611" s="727"/>
      <c r="I611" s="727"/>
      <c r="J611" s="727"/>
      <c r="K611" s="727"/>
      <c r="L611" s="727"/>
      <c r="M611" s="727"/>
      <c r="N611" s="727"/>
      <c r="O611" s="727"/>
      <c r="P611" s="727"/>
      <c r="Q611" s="727"/>
      <c r="R611" s="727"/>
      <c r="S611" s="727"/>
      <c r="T611" s="727"/>
      <c r="U611" s="727"/>
      <c r="V611" s="727"/>
      <c r="W611" s="727"/>
      <c r="X611" s="727"/>
      <c r="Y611" s="727"/>
      <c r="Z611" s="727"/>
      <c r="AA611" s="727"/>
      <c r="AB611" s="727"/>
      <c r="AC611" s="727"/>
      <c r="AD611" s="727"/>
      <c r="AE611" s="729"/>
      <c r="AF611" s="729"/>
      <c r="AG611" s="727"/>
      <c r="AI611" s="542"/>
      <c r="AJ611" s="542"/>
      <c r="AK611" s="542"/>
    </row>
    <row r="612">
      <c r="A612" s="727"/>
      <c r="B612" s="727"/>
      <c r="C612" s="727"/>
      <c r="D612" s="727"/>
      <c r="E612" s="727"/>
      <c r="F612" s="727"/>
      <c r="G612" s="727"/>
      <c r="H612" s="727"/>
      <c r="I612" s="727"/>
      <c r="J612" s="727"/>
      <c r="K612" s="727"/>
      <c r="L612" s="727"/>
      <c r="M612" s="727"/>
      <c r="N612" s="727"/>
      <c r="O612" s="727"/>
      <c r="P612" s="727"/>
      <c r="Q612" s="727"/>
      <c r="R612" s="727"/>
      <c r="S612" s="727"/>
      <c r="T612" s="727"/>
      <c r="U612" s="727"/>
      <c r="V612" s="727"/>
      <c r="W612" s="727"/>
      <c r="X612" s="727"/>
      <c r="Y612" s="727"/>
      <c r="Z612" s="727"/>
      <c r="AA612" s="727"/>
      <c r="AB612" s="727"/>
      <c r="AC612" s="727"/>
      <c r="AD612" s="727"/>
      <c r="AE612" s="729"/>
      <c r="AF612" s="729"/>
      <c r="AG612" s="727"/>
      <c r="AI612" s="542"/>
      <c r="AJ612" s="542"/>
      <c r="AK612" s="542"/>
    </row>
    <row r="613">
      <c r="A613" s="727"/>
      <c r="B613" s="727"/>
      <c r="C613" s="727"/>
      <c r="D613" s="727"/>
      <c r="E613" s="727"/>
      <c r="F613" s="727"/>
      <c r="G613" s="727"/>
      <c r="H613" s="727"/>
      <c r="I613" s="727"/>
      <c r="J613" s="727"/>
      <c r="K613" s="727"/>
      <c r="L613" s="727"/>
      <c r="M613" s="727"/>
      <c r="N613" s="727"/>
      <c r="O613" s="727"/>
      <c r="P613" s="727"/>
      <c r="Q613" s="727"/>
      <c r="R613" s="727"/>
      <c r="S613" s="727"/>
      <c r="T613" s="727"/>
      <c r="U613" s="727"/>
      <c r="V613" s="727"/>
      <c r="W613" s="727"/>
      <c r="X613" s="727"/>
      <c r="Y613" s="727"/>
      <c r="Z613" s="727"/>
      <c r="AA613" s="727"/>
      <c r="AB613" s="727"/>
      <c r="AC613" s="727"/>
      <c r="AD613" s="727"/>
      <c r="AE613" s="729"/>
      <c r="AF613" s="729"/>
      <c r="AG613" s="727"/>
      <c r="AI613" s="542"/>
      <c r="AJ613" s="542"/>
      <c r="AK613" s="542"/>
    </row>
    <row r="614">
      <c r="A614" s="727"/>
      <c r="B614" s="727"/>
      <c r="C614" s="727"/>
      <c r="D614" s="727"/>
      <c r="E614" s="727"/>
      <c r="F614" s="727"/>
      <c r="G614" s="727"/>
      <c r="H614" s="727"/>
      <c r="I614" s="727"/>
      <c r="J614" s="727"/>
      <c r="K614" s="727"/>
      <c r="L614" s="727"/>
      <c r="M614" s="727"/>
      <c r="N614" s="727"/>
      <c r="O614" s="727"/>
      <c r="P614" s="727"/>
      <c r="Q614" s="727"/>
      <c r="R614" s="727"/>
      <c r="S614" s="727"/>
      <c r="T614" s="727"/>
      <c r="U614" s="727"/>
      <c r="V614" s="727"/>
      <c r="W614" s="727"/>
      <c r="X614" s="727"/>
      <c r="Y614" s="727"/>
      <c r="Z614" s="727"/>
      <c r="AA614" s="727"/>
      <c r="AB614" s="727"/>
      <c r="AC614" s="727"/>
      <c r="AD614" s="727"/>
      <c r="AE614" s="729"/>
      <c r="AF614" s="729"/>
      <c r="AG614" s="727"/>
      <c r="AI614" s="542"/>
      <c r="AJ614" s="542"/>
      <c r="AK614" s="542"/>
    </row>
    <row r="615">
      <c r="A615" s="727"/>
      <c r="B615" s="727"/>
      <c r="C615" s="727"/>
      <c r="D615" s="727"/>
      <c r="E615" s="727"/>
      <c r="F615" s="727"/>
      <c r="G615" s="727"/>
      <c r="H615" s="727"/>
      <c r="I615" s="727"/>
      <c r="J615" s="727"/>
      <c r="K615" s="727"/>
      <c r="L615" s="727"/>
      <c r="M615" s="727"/>
      <c r="N615" s="727"/>
      <c r="O615" s="727"/>
      <c r="P615" s="727"/>
      <c r="Q615" s="727"/>
      <c r="R615" s="727"/>
      <c r="S615" s="727"/>
      <c r="T615" s="727"/>
      <c r="U615" s="727"/>
      <c r="V615" s="727"/>
      <c r="W615" s="727"/>
      <c r="X615" s="727"/>
      <c r="Y615" s="727"/>
      <c r="Z615" s="727"/>
      <c r="AA615" s="727"/>
      <c r="AB615" s="727"/>
      <c r="AC615" s="727"/>
      <c r="AD615" s="727"/>
      <c r="AE615" s="729"/>
      <c r="AF615" s="729"/>
      <c r="AG615" s="727"/>
      <c r="AI615" s="542"/>
      <c r="AJ615" s="542"/>
      <c r="AK615" s="542"/>
    </row>
    <row r="616">
      <c r="A616" s="727"/>
      <c r="B616" s="727"/>
      <c r="C616" s="727"/>
      <c r="D616" s="727"/>
      <c r="E616" s="727"/>
      <c r="F616" s="727"/>
      <c r="G616" s="727"/>
      <c r="H616" s="727"/>
      <c r="I616" s="727"/>
      <c r="J616" s="727"/>
      <c r="K616" s="727"/>
      <c r="L616" s="727"/>
      <c r="M616" s="727"/>
      <c r="N616" s="727"/>
      <c r="O616" s="727"/>
      <c r="P616" s="727"/>
      <c r="Q616" s="727"/>
      <c r="R616" s="727"/>
      <c r="S616" s="727"/>
      <c r="T616" s="727"/>
      <c r="U616" s="727"/>
      <c r="V616" s="727"/>
      <c r="W616" s="727"/>
      <c r="X616" s="727"/>
      <c r="Y616" s="727"/>
      <c r="Z616" s="727"/>
      <c r="AA616" s="727"/>
      <c r="AB616" s="727"/>
      <c r="AC616" s="727"/>
      <c r="AD616" s="727"/>
      <c r="AE616" s="729"/>
      <c r="AF616" s="729"/>
      <c r="AG616" s="727"/>
      <c r="AI616" s="542"/>
      <c r="AJ616" s="542"/>
      <c r="AK616" s="542"/>
    </row>
    <row r="617">
      <c r="A617" s="727"/>
      <c r="B617" s="727"/>
      <c r="C617" s="727"/>
      <c r="D617" s="727"/>
      <c r="E617" s="727"/>
      <c r="F617" s="727"/>
      <c r="G617" s="727"/>
      <c r="H617" s="727"/>
      <c r="I617" s="727"/>
      <c r="J617" s="727"/>
      <c r="K617" s="727"/>
      <c r="L617" s="727"/>
      <c r="M617" s="727"/>
      <c r="N617" s="727"/>
      <c r="O617" s="727"/>
      <c r="P617" s="727"/>
      <c r="Q617" s="727"/>
      <c r="R617" s="727"/>
      <c r="S617" s="727"/>
      <c r="T617" s="727"/>
      <c r="U617" s="727"/>
      <c r="V617" s="727"/>
      <c r="W617" s="727"/>
      <c r="X617" s="727"/>
      <c r="Y617" s="727"/>
      <c r="Z617" s="727"/>
      <c r="AA617" s="727"/>
      <c r="AB617" s="727"/>
      <c r="AC617" s="727"/>
      <c r="AD617" s="727"/>
      <c r="AE617" s="729"/>
      <c r="AF617" s="729"/>
      <c r="AG617" s="727"/>
      <c r="AI617" s="542"/>
      <c r="AJ617" s="542"/>
      <c r="AK617" s="542"/>
    </row>
    <row r="618">
      <c r="A618" s="727"/>
      <c r="B618" s="727"/>
      <c r="C618" s="727"/>
      <c r="D618" s="727"/>
      <c r="E618" s="727"/>
      <c r="F618" s="727"/>
      <c r="G618" s="727"/>
      <c r="H618" s="727"/>
      <c r="I618" s="727"/>
      <c r="J618" s="727"/>
      <c r="K618" s="727"/>
      <c r="L618" s="727"/>
      <c r="M618" s="727"/>
      <c r="N618" s="727"/>
      <c r="O618" s="727"/>
      <c r="P618" s="727"/>
      <c r="Q618" s="727"/>
      <c r="R618" s="727"/>
      <c r="S618" s="727"/>
      <c r="T618" s="727"/>
      <c r="U618" s="727"/>
      <c r="V618" s="727"/>
      <c r="W618" s="727"/>
      <c r="X618" s="727"/>
      <c r="Y618" s="727"/>
      <c r="Z618" s="727"/>
      <c r="AA618" s="727"/>
      <c r="AB618" s="727"/>
      <c r="AC618" s="727"/>
      <c r="AD618" s="727"/>
      <c r="AE618" s="729"/>
      <c r="AF618" s="729"/>
      <c r="AG618" s="727"/>
      <c r="AI618" s="542"/>
      <c r="AJ618" s="542"/>
      <c r="AK618" s="542"/>
    </row>
    <row r="619">
      <c r="A619" s="727"/>
      <c r="B619" s="727"/>
      <c r="C619" s="727"/>
      <c r="D619" s="727"/>
      <c r="E619" s="727"/>
      <c r="F619" s="727"/>
      <c r="G619" s="727"/>
      <c r="H619" s="727"/>
      <c r="I619" s="727"/>
      <c r="J619" s="727"/>
      <c r="K619" s="727"/>
      <c r="L619" s="727"/>
      <c r="M619" s="727"/>
      <c r="N619" s="727"/>
      <c r="O619" s="727"/>
      <c r="P619" s="727"/>
      <c r="Q619" s="727"/>
      <c r="R619" s="727"/>
      <c r="S619" s="727"/>
      <c r="T619" s="727"/>
      <c r="U619" s="727"/>
      <c r="V619" s="727"/>
      <c r="W619" s="727"/>
      <c r="X619" s="727"/>
      <c r="Y619" s="727"/>
      <c r="Z619" s="727"/>
      <c r="AA619" s="727"/>
      <c r="AB619" s="727"/>
      <c r="AC619" s="727"/>
      <c r="AD619" s="727"/>
      <c r="AE619" s="729"/>
      <c r="AF619" s="729"/>
      <c r="AG619" s="727"/>
      <c r="AI619" s="542"/>
      <c r="AJ619" s="542"/>
      <c r="AK619" s="542"/>
    </row>
    <row r="620">
      <c r="A620" s="727"/>
      <c r="B620" s="727"/>
      <c r="C620" s="727"/>
      <c r="D620" s="727"/>
      <c r="E620" s="727"/>
      <c r="F620" s="727"/>
      <c r="G620" s="727"/>
      <c r="H620" s="727"/>
      <c r="I620" s="727"/>
      <c r="J620" s="727"/>
      <c r="K620" s="727"/>
      <c r="L620" s="727"/>
      <c r="M620" s="727"/>
      <c r="N620" s="727"/>
      <c r="O620" s="727"/>
      <c r="P620" s="727"/>
      <c r="Q620" s="727"/>
      <c r="R620" s="727"/>
      <c r="S620" s="727"/>
      <c r="T620" s="727"/>
      <c r="U620" s="727"/>
      <c r="V620" s="727"/>
      <c r="W620" s="727"/>
      <c r="X620" s="727"/>
      <c r="Y620" s="727"/>
      <c r="Z620" s="727"/>
      <c r="AA620" s="727"/>
      <c r="AB620" s="727"/>
      <c r="AC620" s="727"/>
      <c r="AD620" s="727"/>
      <c r="AE620" s="729"/>
      <c r="AF620" s="729"/>
      <c r="AG620" s="727"/>
      <c r="AI620" s="542"/>
      <c r="AJ620" s="542"/>
      <c r="AK620" s="542"/>
    </row>
    <row r="621">
      <c r="A621" s="727"/>
      <c r="B621" s="727"/>
      <c r="C621" s="727"/>
      <c r="D621" s="727"/>
      <c r="E621" s="727"/>
      <c r="F621" s="727"/>
      <c r="G621" s="727"/>
      <c r="H621" s="727"/>
      <c r="I621" s="727"/>
      <c r="J621" s="727"/>
      <c r="K621" s="727"/>
      <c r="L621" s="727"/>
      <c r="M621" s="727"/>
      <c r="N621" s="727"/>
      <c r="O621" s="727"/>
      <c r="P621" s="727"/>
      <c r="Q621" s="727"/>
      <c r="R621" s="727"/>
      <c r="S621" s="727"/>
      <c r="T621" s="727"/>
      <c r="U621" s="727"/>
      <c r="V621" s="727"/>
      <c r="W621" s="727"/>
      <c r="X621" s="727"/>
      <c r="Y621" s="727"/>
      <c r="Z621" s="727"/>
      <c r="AA621" s="727"/>
      <c r="AB621" s="727"/>
      <c r="AC621" s="727"/>
      <c r="AD621" s="727"/>
      <c r="AE621" s="729"/>
      <c r="AF621" s="729"/>
      <c r="AG621" s="727"/>
      <c r="AI621" s="542"/>
      <c r="AJ621" s="542"/>
      <c r="AK621" s="542"/>
    </row>
    <row r="622">
      <c r="A622" s="727"/>
      <c r="B622" s="727"/>
      <c r="C622" s="727"/>
      <c r="D622" s="727"/>
      <c r="E622" s="727"/>
      <c r="F622" s="727"/>
      <c r="G622" s="727"/>
      <c r="H622" s="727"/>
      <c r="I622" s="727"/>
      <c r="J622" s="727"/>
      <c r="K622" s="727"/>
      <c r="L622" s="727"/>
      <c r="M622" s="727"/>
      <c r="N622" s="727"/>
      <c r="O622" s="727"/>
      <c r="P622" s="727"/>
      <c r="Q622" s="727"/>
      <c r="R622" s="727"/>
      <c r="S622" s="727"/>
      <c r="T622" s="727"/>
      <c r="U622" s="727"/>
      <c r="V622" s="727"/>
      <c r="W622" s="727"/>
      <c r="X622" s="727"/>
      <c r="Y622" s="727"/>
      <c r="Z622" s="727"/>
      <c r="AA622" s="727"/>
      <c r="AB622" s="727"/>
      <c r="AC622" s="727"/>
      <c r="AD622" s="727"/>
      <c r="AE622" s="729"/>
      <c r="AF622" s="729"/>
      <c r="AG622" s="727"/>
      <c r="AI622" s="542"/>
      <c r="AJ622" s="542"/>
      <c r="AK622" s="542"/>
    </row>
    <row r="623">
      <c r="A623" s="727"/>
      <c r="B623" s="727"/>
      <c r="C623" s="727"/>
      <c r="D623" s="727"/>
      <c r="E623" s="727"/>
      <c r="F623" s="727"/>
      <c r="G623" s="727"/>
      <c r="H623" s="727"/>
      <c r="I623" s="727"/>
      <c r="J623" s="727"/>
      <c r="K623" s="727"/>
      <c r="L623" s="727"/>
      <c r="M623" s="727"/>
      <c r="N623" s="727"/>
      <c r="O623" s="727"/>
      <c r="P623" s="727"/>
      <c r="Q623" s="727"/>
      <c r="R623" s="727"/>
      <c r="S623" s="727"/>
      <c r="T623" s="727"/>
      <c r="U623" s="727"/>
      <c r="V623" s="727"/>
      <c r="W623" s="727"/>
      <c r="X623" s="727"/>
      <c r="Y623" s="727"/>
      <c r="Z623" s="727"/>
      <c r="AA623" s="727"/>
      <c r="AB623" s="727"/>
      <c r="AC623" s="727"/>
      <c r="AD623" s="727"/>
      <c r="AE623" s="729"/>
      <c r="AF623" s="729"/>
      <c r="AG623" s="727"/>
      <c r="AI623" s="542"/>
      <c r="AJ623" s="542"/>
      <c r="AK623" s="542"/>
    </row>
    <row r="624">
      <c r="A624" s="727"/>
      <c r="B624" s="727"/>
      <c r="C624" s="727"/>
      <c r="D624" s="727"/>
      <c r="E624" s="727"/>
      <c r="F624" s="727"/>
      <c r="G624" s="727"/>
      <c r="H624" s="727"/>
      <c r="I624" s="727"/>
      <c r="J624" s="727"/>
      <c r="K624" s="727"/>
      <c r="L624" s="727"/>
      <c r="M624" s="727"/>
      <c r="N624" s="727"/>
      <c r="O624" s="727"/>
      <c r="P624" s="727"/>
      <c r="Q624" s="727"/>
      <c r="R624" s="727"/>
      <c r="S624" s="727"/>
      <c r="T624" s="727"/>
      <c r="U624" s="727"/>
      <c r="V624" s="727"/>
      <c r="W624" s="727"/>
      <c r="X624" s="727"/>
      <c r="Y624" s="727"/>
      <c r="Z624" s="727"/>
      <c r="AA624" s="727"/>
      <c r="AB624" s="727"/>
      <c r="AC624" s="727"/>
      <c r="AD624" s="727"/>
      <c r="AE624" s="729"/>
      <c r="AF624" s="729"/>
      <c r="AG624" s="727"/>
      <c r="AI624" s="542"/>
      <c r="AJ624" s="542"/>
      <c r="AK624" s="542"/>
    </row>
    <row r="625">
      <c r="A625" s="727"/>
      <c r="B625" s="727"/>
      <c r="C625" s="727"/>
      <c r="D625" s="727"/>
      <c r="E625" s="727"/>
      <c r="F625" s="727"/>
      <c r="G625" s="727"/>
      <c r="H625" s="727"/>
      <c r="I625" s="727"/>
      <c r="J625" s="727"/>
      <c r="K625" s="727"/>
      <c r="L625" s="727"/>
      <c r="M625" s="727"/>
      <c r="N625" s="727"/>
      <c r="O625" s="727"/>
      <c r="P625" s="727"/>
      <c r="Q625" s="727"/>
      <c r="R625" s="727"/>
      <c r="S625" s="727"/>
      <c r="T625" s="727"/>
      <c r="U625" s="727"/>
      <c r="V625" s="727"/>
      <c r="W625" s="727"/>
      <c r="X625" s="727"/>
      <c r="Y625" s="727"/>
      <c r="Z625" s="727"/>
      <c r="AA625" s="727"/>
      <c r="AB625" s="727"/>
      <c r="AC625" s="727"/>
      <c r="AD625" s="727"/>
      <c r="AE625" s="729"/>
      <c r="AF625" s="729"/>
      <c r="AG625" s="727"/>
      <c r="AI625" s="542"/>
      <c r="AJ625" s="542"/>
      <c r="AK625" s="542"/>
    </row>
  </sheetData>
  <autoFilter ref="B1:C625"/>
  <mergeCells>
    <mergeCell ref="B543:C543"/>
    <mergeCell ref="B542:C542"/>
    <mergeCell ref="AK542:AK543"/>
    <mergeCell ref="B539:C539"/>
    <mergeCell ref="B533:C533"/>
    <mergeCell ref="A528:A543"/>
    <mergeCell ref="AB526:AJ526"/>
    <mergeCell ref="N526:AA526"/>
    <mergeCell ref="A526:C526"/>
    <mergeCell ref="D526:M526"/>
    <mergeCell ref="B525:C525"/>
    <mergeCell ref="B524:C524"/>
    <mergeCell ref="AK524:AK525"/>
    <mergeCell ref="B521:C521"/>
    <mergeCell ref="B515:C515"/>
    <mergeCell ref="A510:A525"/>
    <mergeCell ref="AB508:AJ508"/>
    <mergeCell ref="N508:AA508"/>
    <mergeCell ref="A508:C508"/>
    <mergeCell ref="D508:M508"/>
    <mergeCell ref="AB490:AJ490"/>
    <mergeCell ref="N490:AA490"/>
    <mergeCell ref="D400:J400"/>
    <mergeCell ref="K400:X400"/>
    <mergeCell ref="Y400:AG400"/>
    <mergeCell ref="D381:J381"/>
    <mergeCell ref="K381:X381"/>
    <mergeCell ref="Y381:AG381"/>
    <mergeCell ref="D363:J363"/>
    <mergeCell ref="K363:X363"/>
    <mergeCell ref="Y363:AG363"/>
    <mergeCell ref="D348:J348"/>
    <mergeCell ref="K348:X348"/>
    <mergeCell ref="Y348:AG348"/>
    <mergeCell ref="D333:J333"/>
    <mergeCell ref="K333:X333"/>
    <mergeCell ref="Y333:AG333"/>
    <mergeCell ref="D318:J318"/>
    <mergeCell ref="K318:X318"/>
    <mergeCell ref="Y318:AG318"/>
    <mergeCell ref="D303:J303"/>
    <mergeCell ref="K303:X303"/>
    <mergeCell ref="Y303:AG303"/>
    <mergeCell ref="D270:J270"/>
    <mergeCell ref="K270:X270"/>
    <mergeCell ref="Y270:AG270"/>
    <mergeCell ref="Y234:AG234"/>
    <mergeCell ref="K234:X234"/>
    <mergeCell ref="D234:J234"/>
    <mergeCell ref="Y216:AG216"/>
    <mergeCell ref="K216:X216"/>
    <mergeCell ref="D216:J216"/>
    <mergeCell ref="Y198:AG198"/>
    <mergeCell ref="K198:X198"/>
    <mergeCell ref="D198:J198"/>
    <mergeCell ref="Y180:AG180"/>
    <mergeCell ref="K180:X180"/>
    <mergeCell ref="D180:J180"/>
    <mergeCell ref="Y162:AG162"/>
    <mergeCell ref="K162:X162"/>
    <mergeCell ref="D162:J162"/>
    <mergeCell ref="Y144:AG144"/>
    <mergeCell ref="K144:X144"/>
    <mergeCell ref="D144:J144"/>
    <mergeCell ref="K126:X126"/>
    <mergeCell ref="D126:J126"/>
    <mergeCell ref="Y126:AG126"/>
    <mergeCell ref="K109:X109"/>
    <mergeCell ref="D109:J109"/>
    <mergeCell ref="Y109:AG109"/>
    <mergeCell ref="K91:X91"/>
    <mergeCell ref="D91:J91"/>
    <mergeCell ref="Y91:AG91"/>
    <mergeCell ref="K73:X73"/>
    <mergeCell ref="D73:J73"/>
    <mergeCell ref="Y73:AG73"/>
    <mergeCell ref="K55:X55"/>
    <mergeCell ref="D55:J55"/>
    <mergeCell ref="Y55:AG55"/>
    <mergeCell ref="K37:X37"/>
    <mergeCell ref="D37:J37"/>
    <mergeCell ref="Y37:AG37"/>
    <mergeCell ref="K19:X19"/>
    <mergeCell ref="D19:J19"/>
    <mergeCell ref="Y19:AG19"/>
    <mergeCell ref="K1:X1"/>
    <mergeCell ref="D1:J1"/>
    <mergeCell ref="Y1:AG1"/>
    <mergeCell ref="D252:J252"/>
    <mergeCell ref="K252:X252"/>
    <mergeCell ref="Y252:AG252"/>
    <mergeCell ref="D288:J288"/>
    <mergeCell ref="K288:X288"/>
    <mergeCell ref="Y288:AG288"/>
    <mergeCell ref="D418:J418"/>
    <mergeCell ref="K418:X418"/>
    <mergeCell ref="Y418:AG418"/>
    <mergeCell ref="D436:J436"/>
    <mergeCell ref="K436:X436"/>
    <mergeCell ref="Y436:AG436"/>
    <mergeCell ref="D454:J454"/>
    <mergeCell ref="K454:X454"/>
    <mergeCell ref="Y454:AG454"/>
    <mergeCell ref="D472:J472"/>
    <mergeCell ref="K472:X472"/>
    <mergeCell ref="Y472:AG472"/>
    <mergeCell ref="AH488:AH489"/>
    <mergeCell ref="A490:C490"/>
    <mergeCell ref="B489:C489"/>
    <mergeCell ref="B488:C488"/>
    <mergeCell ref="B483:C483"/>
    <mergeCell ref="B478:C478"/>
    <mergeCell ref="A474:A489"/>
    <mergeCell ref="A472:C472"/>
    <mergeCell ref="B471:C471"/>
    <mergeCell ref="B470:C470"/>
    <mergeCell ref="B465:C465"/>
    <mergeCell ref="B460:C460"/>
    <mergeCell ref="A456:A471"/>
    <mergeCell ref="A454:C454"/>
    <mergeCell ref="B453:C453"/>
    <mergeCell ref="B452:C452"/>
    <mergeCell ref="B447:C447"/>
    <mergeCell ref="B442:C442"/>
    <mergeCell ref="A438:A453"/>
    <mergeCell ref="A436:C436"/>
    <mergeCell ref="A420:A435"/>
    <mergeCell ref="B434:C434"/>
    <mergeCell ref="B435:C435"/>
    <mergeCell ref="B429:C429"/>
    <mergeCell ref="B424:C424"/>
    <mergeCell ref="A418:C418"/>
    <mergeCell ref="A402:A417"/>
    <mergeCell ref="B413:C413"/>
    <mergeCell ref="B416:C416"/>
    <mergeCell ref="B417:C417"/>
    <mergeCell ref="B407:C407"/>
    <mergeCell ref="A290:A302"/>
    <mergeCell ref="B301:C301"/>
    <mergeCell ref="B302:C302"/>
    <mergeCell ref="B295:C295"/>
    <mergeCell ref="A288:C288"/>
    <mergeCell ref="A254:A269"/>
    <mergeCell ref="B259:C259"/>
    <mergeCell ref="B264:C264"/>
    <mergeCell ref="B268:C268"/>
    <mergeCell ref="B269:C269"/>
    <mergeCell ref="A252:C252"/>
    <mergeCell ref="A1:C1"/>
    <mergeCell ref="A3:A18"/>
    <mergeCell ref="B7:C7"/>
    <mergeCell ref="B12:C12"/>
    <mergeCell ref="B17:C17"/>
    <mergeCell ref="B18:C18"/>
    <mergeCell ref="A19:C19"/>
    <mergeCell ref="A21:A36"/>
    <mergeCell ref="B25:C25"/>
    <mergeCell ref="B30:C30"/>
    <mergeCell ref="B35:C35"/>
    <mergeCell ref="B36:C36"/>
    <mergeCell ref="A37:C37"/>
    <mergeCell ref="A39:A54"/>
    <mergeCell ref="B43:C43"/>
    <mergeCell ref="B48:C48"/>
    <mergeCell ref="B53:C53"/>
    <mergeCell ref="B54:C54"/>
    <mergeCell ref="A55:C55"/>
    <mergeCell ref="A57:A72"/>
    <mergeCell ref="B61:C61"/>
    <mergeCell ref="B66:C66"/>
    <mergeCell ref="B71:C71"/>
    <mergeCell ref="B72:C72"/>
    <mergeCell ref="A73:C73"/>
    <mergeCell ref="A75:A90"/>
    <mergeCell ref="B79:C79"/>
    <mergeCell ref="B84:C84"/>
    <mergeCell ref="B89:C89"/>
    <mergeCell ref="B90:C90"/>
    <mergeCell ref="A91:C91"/>
    <mergeCell ref="A93:A108"/>
    <mergeCell ref="B97:C97"/>
    <mergeCell ref="B102:C102"/>
    <mergeCell ref="B107:C107"/>
    <mergeCell ref="B108:C108"/>
    <mergeCell ref="A109:C109"/>
    <mergeCell ref="A111:A125"/>
    <mergeCell ref="B115:C115"/>
    <mergeCell ref="B120:C120"/>
    <mergeCell ref="B124:C124"/>
    <mergeCell ref="B125:C125"/>
    <mergeCell ref="A126:C126"/>
    <mergeCell ref="B132:C132"/>
    <mergeCell ref="B137:C137"/>
    <mergeCell ref="B143:C143"/>
    <mergeCell ref="B142:C142"/>
    <mergeCell ref="A128:A143"/>
    <mergeCell ref="A144:C144"/>
    <mergeCell ref="A146:A161"/>
    <mergeCell ref="B150:C150"/>
    <mergeCell ref="B155:C155"/>
    <mergeCell ref="B160:C160"/>
    <mergeCell ref="B161:C161"/>
    <mergeCell ref="A162:C162"/>
    <mergeCell ref="A164:A179"/>
    <mergeCell ref="B168:C168"/>
    <mergeCell ref="B173:C173"/>
    <mergeCell ref="B178:C178"/>
    <mergeCell ref="B179:C179"/>
    <mergeCell ref="A180:C180"/>
    <mergeCell ref="A182:A197"/>
    <mergeCell ref="B186:C186"/>
    <mergeCell ref="B191:C191"/>
    <mergeCell ref="B196:C196"/>
    <mergeCell ref="B197:C197"/>
    <mergeCell ref="A198:C198"/>
    <mergeCell ref="A200:A215"/>
    <mergeCell ref="B204:C204"/>
    <mergeCell ref="B209:C209"/>
    <mergeCell ref="B214:C214"/>
    <mergeCell ref="B215:C215"/>
    <mergeCell ref="A216:C216"/>
    <mergeCell ref="A218:A233"/>
    <mergeCell ref="B222:C222"/>
    <mergeCell ref="B227:C227"/>
    <mergeCell ref="B232:C232"/>
    <mergeCell ref="B233:C233"/>
    <mergeCell ref="A234:C234"/>
    <mergeCell ref="A236:A251"/>
    <mergeCell ref="B240:C240"/>
    <mergeCell ref="B245:C245"/>
    <mergeCell ref="B250:C250"/>
    <mergeCell ref="B251:C251"/>
    <mergeCell ref="A270:C270"/>
    <mergeCell ref="A272:A287"/>
    <mergeCell ref="B277:C277"/>
    <mergeCell ref="B282:C282"/>
    <mergeCell ref="B286:C286"/>
    <mergeCell ref="B287:C287"/>
    <mergeCell ref="A303:C303"/>
    <mergeCell ref="A305:A317"/>
    <mergeCell ref="B310:C310"/>
    <mergeCell ref="B316:C316"/>
    <mergeCell ref="B317:C317"/>
    <mergeCell ref="A318:C318"/>
    <mergeCell ref="A320:A332"/>
    <mergeCell ref="B325:C325"/>
    <mergeCell ref="B331:C331"/>
    <mergeCell ref="B332:C332"/>
    <mergeCell ref="A333:C333"/>
    <mergeCell ref="A335:A347"/>
    <mergeCell ref="B340:C340"/>
    <mergeCell ref="B346:C346"/>
    <mergeCell ref="B347:C347"/>
    <mergeCell ref="A348:C348"/>
    <mergeCell ref="A350:A362"/>
    <mergeCell ref="B355:C355"/>
    <mergeCell ref="B361:C361"/>
    <mergeCell ref="B362:C362"/>
    <mergeCell ref="A363:C363"/>
    <mergeCell ref="B370:C370"/>
    <mergeCell ref="B376:C376"/>
    <mergeCell ref="B380:C380"/>
    <mergeCell ref="A365:A380"/>
    <mergeCell ref="B379:C379"/>
    <mergeCell ref="A381:C381"/>
    <mergeCell ref="B387:C387"/>
    <mergeCell ref="B399:C399"/>
    <mergeCell ref="B398:C398"/>
    <mergeCell ref="B395:C395"/>
    <mergeCell ref="A383:A399"/>
    <mergeCell ref="B390:C390"/>
    <mergeCell ref="A400:C400"/>
    <mergeCell ref="D490:M490"/>
    <mergeCell ref="B497:C497"/>
    <mergeCell ref="B507:C507"/>
    <mergeCell ref="B506:C506"/>
    <mergeCell ref="B503:C503"/>
    <mergeCell ref="A492:A507"/>
    <mergeCell ref="AK506:AK507"/>
  </mergeCell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33" min="33" style="0" width="11.211267605633802"/>
    <col collapsed="false" customWidth="true" hidden="false" max="3" min="3" style="0" width="12.56338028169014"/>
    <col collapsed="false" customWidth="true" hidden="false" max="4" min="4" style="0" width="11.211267605633802"/>
    <col collapsed="false" customWidth="true" hidden="false" max="5" min="5" style="0" width="12.56338028169014"/>
    <col collapsed="false" customWidth="true" hidden="false" max="10" min="10" style="0" width="11.211267605633802"/>
    <col collapsed="false" customWidth="true" hidden="false" max="32" min="32" style="0" width="11.211267605633802"/>
  </cols>
  <sheetData>
    <row r="1">
      <c r="A1" s="731" t="s">
        <v>398</v>
      </c>
      <c r="B1" s="731"/>
      <c r="C1" s="731"/>
      <c r="D1" s="732" t="s">
        <v>399</v>
      </c>
      <c r="E1" s="732"/>
      <c r="F1" s="732"/>
      <c r="G1" s="732"/>
      <c r="H1" s="732"/>
      <c r="I1" s="733"/>
      <c r="J1" s="733"/>
      <c r="K1" s="734" t="s">
        <v>400</v>
      </c>
      <c r="L1" s="734"/>
      <c r="M1" s="734"/>
      <c r="N1" s="734"/>
      <c r="O1" s="734"/>
      <c r="P1" s="734"/>
      <c r="Q1" s="734"/>
      <c r="R1" s="734"/>
      <c r="S1" s="734"/>
      <c r="T1" s="734"/>
      <c r="U1" s="734"/>
      <c r="V1" s="734"/>
      <c r="W1" s="734"/>
      <c r="X1" s="735" t="s">
        <v>401</v>
      </c>
      <c r="Y1" s="736"/>
      <c r="Z1" s="736"/>
      <c r="AA1" s="736"/>
      <c r="AB1" s="736"/>
      <c r="AC1" s="736"/>
      <c r="AD1" s="736"/>
      <c r="AE1" s="736"/>
      <c r="AF1" s="736"/>
      <c r="AG1" s="736"/>
    </row>
    <row r="2">
      <c r="A2" s="737" t="s">
        <v>402</v>
      </c>
      <c r="B2" s="738" t="s">
        <v>403</v>
      </c>
      <c r="C2" s="738" t="s">
        <v>404</v>
      </c>
      <c r="D2" s="739" t="s">
        <v>405</v>
      </c>
      <c r="E2" s="740" t="s">
        <v>406</v>
      </c>
      <c r="F2" s="740" t="s">
        <v>407</v>
      </c>
      <c r="G2" s="741" t="s">
        <v>408</v>
      </c>
      <c r="H2" s="742" t="s">
        <v>409</v>
      </c>
      <c r="I2" s="743" t="s">
        <v>410</v>
      </c>
      <c r="J2" s="743"/>
      <c r="K2" s="744" t="s">
        <v>411</v>
      </c>
      <c r="L2" s="744" t="s">
        <v>412</v>
      </c>
      <c r="M2" s="745" t="s">
        <v>413</v>
      </c>
      <c r="N2" s="745" t="s">
        <v>414</v>
      </c>
      <c r="O2" s="744" t="s">
        <v>415</v>
      </c>
      <c r="P2" s="745" t="s">
        <v>416</v>
      </c>
      <c r="Q2" s="745" t="s">
        <v>417</v>
      </c>
      <c r="R2" s="744" t="s">
        <v>418</v>
      </c>
      <c r="S2" s="745" t="s">
        <v>419</v>
      </c>
      <c r="T2" s="744" t="s">
        <v>420</v>
      </c>
      <c r="U2" s="746" t="s">
        <v>421</v>
      </c>
      <c r="V2" s="746" t="s">
        <v>422</v>
      </c>
      <c r="W2" s="746" t="s">
        <v>423</v>
      </c>
      <c r="X2" s="747" t="s">
        <v>424</v>
      </c>
      <c r="Y2" s="748" t="s">
        <v>425</v>
      </c>
      <c r="Z2" s="748" t="s">
        <v>426</v>
      </c>
      <c r="AA2" s="748" t="s">
        <v>427</v>
      </c>
      <c r="AB2" s="748" t="s">
        <v>428</v>
      </c>
      <c r="AC2" s="748" t="s">
        <v>429</v>
      </c>
      <c r="AD2" s="748" t="s">
        <v>430</v>
      </c>
      <c r="AE2" s="748" t="s">
        <v>431</v>
      </c>
      <c r="AF2" s="748"/>
      <c r="AG2" s="748"/>
    </row>
    <row r="3">
      <c r="A3" s="749" t="s">
        <v>432</v>
      </c>
      <c r="B3" s="750" t="s">
        <v>433</v>
      </c>
      <c r="C3" s="751" t="s">
        <v>434</v>
      </c>
      <c r="D3" s="751">
        <f t="shared" ref="D3:D6" si="14">E3+F3</f>
      </c>
      <c r="E3" s="751">
        <v>68.47</v>
      </c>
      <c r="F3" s="751">
        <v>373.02</v>
      </c>
      <c r="G3" s="752">
        <v>0</v>
      </c>
      <c r="H3" s="752">
        <v>0</v>
      </c>
      <c r="I3" s="753">
        <f t="shared" ref="I3:I11" si="66">H3/D3</f>
      </c>
      <c r="J3" s="753"/>
      <c r="K3" s="754">
        <f t="shared" ref="K3:K11" si="94">Z3/Y3</f>
      </c>
      <c r="L3" s="755">
        <f t="shared" ref="L3:L11" si="136">D3/AA3</f>
      </c>
      <c r="M3" s="754">
        <f t="shared" ref="M3:M11" si="108">AB3/AA3</f>
      </c>
      <c r="N3" s="754">
        <f t="shared" ref="N3:N11" si="151">AC3/AA3</f>
      </c>
      <c r="O3" s="755">
        <f t="shared" ref="O3:O11" si="178">D3/AC3</f>
      </c>
      <c r="P3" s="754">
        <f t="shared" ref="P3:P11" si="192">AD3/AC3</f>
      </c>
      <c r="Q3" s="754">
        <f t="shared" ref="Q3:Q11" si="0">G3/AD3</f>
      </c>
      <c r="R3" s="755">
        <f t="shared" ref="R3:R11" si="50">D3/G3</f>
      </c>
      <c r="S3" s="756">
        <f t="shared" ref="S3:S11" si="80">H3/G3</f>
      </c>
      <c r="T3" s="755">
        <f t="shared" ref="T3:T11" si="122">D3/X3</f>
      </c>
      <c r="U3" s="757">
        <f t="shared" ref="U3:U11" si="137">AE3*1000/D3</f>
      </c>
      <c r="V3" s="758" t="s">
        <v>435</v>
      </c>
      <c r="W3" s="759" t="s">
        <v>436</v>
      </c>
      <c r="X3" s="760">
        <v>0</v>
      </c>
      <c r="Y3" s="761">
        <v>2292</v>
      </c>
      <c r="Z3" s="761">
        <v>200</v>
      </c>
      <c r="AA3" s="761">
        <v>207</v>
      </c>
      <c r="AB3" s="761">
        <v>10</v>
      </c>
      <c r="AC3" s="761">
        <v>21</v>
      </c>
      <c r="AD3" s="760">
        <v>1</v>
      </c>
      <c r="AE3" s="760">
        <v>10</v>
      </c>
      <c r="AF3" s="760"/>
      <c r="AG3" s="760"/>
    </row>
    <row r="4">
      <c r="A4" s="762"/>
      <c r="B4" s="750" t="s">
        <v>437</v>
      </c>
      <c r="C4" s="751" t="s">
        <v>434</v>
      </c>
      <c r="D4" s="751">
        <f t="shared" si="14"/>
      </c>
      <c r="E4" s="751">
        <v>146.74</v>
      </c>
      <c r="F4" s="751">
        <v>374.15</v>
      </c>
      <c r="G4" s="752">
        <v>0</v>
      </c>
      <c r="H4" s="752">
        <v>0</v>
      </c>
      <c r="I4" s="763">
        <f t="shared" si="66"/>
      </c>
      <c r="J4" s="763"/>
      <c r="K4" s="764">
        <f t="shared" si="94"/>
      </c>
      <c r="L4" s="765">
        <f t="shared" si="136"/>
      </c>
      <c r="M4" s="764">
        <f t="shared" si="108"/>
      </c>
      <c r="N4" s="764">
        <f t="shared" si="151"/>
      </c>
      <c r="O4" s="765">
        <f t="shared" si="178"/>
      </c>
      <c r="P4" s="764">
        <f t="shared" si="192"/>
      </c>
      <c r="Q4" s="764">
        <f t="shared" si="0"/>
      </c>
      <c r="R4" s="766">
        <f t="shared" si="50"/>
      </c>
      <c r="S4" s="767">
        <f t="shared" si="80"/>
      </c>
      <c r="T4" s="766">
        <f t="shared" si="122"/>
      </c>
      <c r="U4" s="768">
        <f t="shared" si="137"/>
      </c>
      <c r="V4" s="769" t="s">
        <v>435</v>
      </c>
      <c r="W4" s="770" t="s">
        <v>436</v>
      </c>
      <c r="X4" s="771">
        <v>0</v>
      </c>
      <c r="Y4" s="772">
        <v>2703</v>
      </c>
      <c r="Z4" s="772">
        <v>318</v>
      </c>
      <c r="AA4" s="772">
        <v>359</v>
      </c>
      <c r="AB4" s="772">
        <v>20</v>
      </c>
      <c r="AC4" s="772">
        <v>21</v>
      </c>
      <c r="AD4" s="771">
        <v>3</v>
      </c>
      <c r="AE4" s="771">
        <v>3</v>
      </c>
      <c r="AF4" s="771"/>
      <c r="AG4" s="771"/>
    </row>
    <row r="5">
      <c r="A5" s="762"/>
      <c r="B5" s="750" t="s">
        <v>438</v>
      </c>
      <c r="C5" s="751" t="s">
        <v>434</v>
      </c>
      <c r="D5" s="751">
        <f t="shared" si="14"/>
      </c>
      <c r="E5" s="751">
        <v>216.34</v>
      </c>
      <c r="F5" s="751">
        <v>532.73</v>
      </c>
      <c r="G5" s="752">
        <v>0</v>
      </c>
      <c r="H5" s="752">
        <v>0</v>
      </c>
      <c r="I5" s="763">
        <f t="shared" si="66"/>
      </c>
      <c r="J5" s="763"/>
      <c r="K5" s="773">
        <f t="shared" si="94"/>
      </c>
      <c r="L5" s="774">
        <f t="shared" si="136"/>
      </c>
      <c r="M5" s="773">
        <f t="shared" si="108"/>
      </c>
      <c r="N5" s="773">
        <f t="shared" si="151"/>
      </c>
      <c r="O5" s="774">
        <f t="shared" si="178"/>
      </c>
      <c r="P5" s="773">
        <f t="shared" si="192"/>
      </c>
      <c r="Q5" s="773">
        <f t="shared" si="0"/>
      </c>
      <c r="R5" s="775">
        <f t="shared" si="50"/>
      </c>
      <c r="S5" s="776">
        <f t="shared" si="80"/>
      </c>
      <c r="T5" s="775">
        <f t="shared" si="122"/>
      </c>
      <c r="U5" s="777">
        <f t="shared" si="137"/>
      </c>
      <c r="V5" s="778" t="s">
        <v>435</v>
      </c>
      <c r="W5" s="779" t="s">
        <v>436</v>
      </c>
      <c r="X5" s="780">
        <v>0</v>
      </c>
      <c r="Y5" s="781">
        <v>3522</v>
      </c>
      <c r="Z5" s="781">
        <v>348</v>
      </c>
      <c r="AA5" s="781">
        <v>408</v>
      </c>
      <c r="AB5" s="781">
        <v>28</v>
      </c>
      <c r="AC5" s="781">
        <v>23</v>
      </c>
      <c r="AD5" s="780">
        <v>1</v>
      </c>
      <c r="AE5" s="780">
        <v>9</v>
      </c>
      <c r="AF5" s="780"/>
      <c r="AG5" s="780"/>
    </row>
    <row r="6">
      <c r="A6" s="762"/>
      <c r="B6" s="750" t="s">
        <v>439</v>
      </c>
      <c r="C6" s="751" t="s">
        <v>434</v>
      </c>
      <c r="D6" s="751">
        <f t="shared" si="14"/>
      </c>
      <c r="E6" s="751">
        <v>705.59</v>
      </c>
      <c r="F6" s="751">
        <v>855.16</v>
      </c>
      <c r="G6" s="752">
        <v>1</v>
      </c>
      <c r="H6" s="752">
        <v>468</v>
      </c>
      <c r="I6" s="763">
        <f t="shared" si="66"/>
      </c>
      <c r="J6" s="763"/>
      <c r="K6" s="773">
        <f t="shared" si="94"/>
      </c>
      <c r="L6" s="774">
        <f t="shared" si="136"/>
      </c>
      <c r="M6" s="773">
        <f t="shared" si="108"/>
      </c>
      <c r="N6" s="773">
        <f t="shared" si="151"/>
      </c>
      <c r="O6" s="774">
        <f t="shared" si="178"/>
      </c>
      <c r="P6" s="773">
        <f t="shared" si="192"/>
      </c>
      <c r="Q6" s="773">
        <f t="shared" si="0"/>
      </c>
      <c r="R6" s="775">
        <f t="shared" si="50"/>
      </c>
      <c r="S6" s="776">
        <f t="shared" si="80"/>
      </c>
      <c r="T6" s="775">
        <f t="shared" si="122"/>
      </c>
      <c r="U6" s="777">
        <f t="shared" si="137"/>
      </c>
      <c r="V6" s="778" t="s">
        <v>435</v>
      </c>
      <c r="W6" s="779" t="s">
        <v>436</v>
      </c>
      <c r="X6" s="780">
        <v>1</v>
      </c>
      <c r="Y6" s="781">
        <v>6077</v>
      </c>
      <c r="Z6" s="781">
        <v>407</v>
      </c>
      <c r="AA6" s="781">
        <v>513</v>
      </c>
      <c r="AB6" s="781">
        <v>53</v>
      </c>
      <c r="AC6" s="781">
        <v>46</v>
      </c>
      <c r="AD6" s="780">
        <v>8</v>
      </c>
      <c r="AE6" s="780">
        <v>28</v>
      </c>
      <c r="AF6" s="780"/>
      <c r="AG6" s="780"/>
    </row>
    <row r="7">
      <c r="A7" s="762"/>
      <c r="B7" s="782" t="s">
        <v>440</v>
      </c>
      <c r="C7" s="782"/>
      <c r="D7" s="783">
        <f>SUM(D3:D6)</f>
      </c>
      <c r="E7" s="783">
        <f>SUM(E3:E6)</f>
      </c>
      <c r="F7" s="783">
        <f>SUM(F3:F6)</f>
      </c>
      <c r="G7" s="783">
        <f>SUM(G3:G6)</f>
      </c>
      <c r="H7" s="783">
        <f>SUM(H3:H6)</f>
      </c>
      <c r="I7" s="784">
        <f t="shared" si="66"/>
      </c>
      <c r="J7" s="784"/>
      <c r="K7" s="785">
        <f t="shared" si="94"/>
      </c>
      <c r="L7" s="786">
        <f t="shared" si="136"/>
      </c>
      <c r="M7" s="785">
        <f t="shared" si="108"/>
      </c>
      <c r="N7" s="785">
        <f t="shared" si="151"/>
      </c>
      <c r="O7" s="786">
        <f t="shared" si="178"/>
      </c>
      <c r="P7" s="785">
        <f t="shared" si="192"/>
      </c>
      <c r="Q7" s="785">
        <f t="shared" si="0"/>
      </c>
      <c r="R7" s="787">
        <f t="shared" si="50"/>
      </c>
      <c r="S7" s="788">
        <f t="shared" si="80"/>
      </c>
      <c r="T7" s="787">
        <f t="shared" si="122"/>
      </c>
      <c r="U7" s="789">
        <f t="shared" si="137"/>
      </c>
      <c r="V7" s="789"/>
      <c r="W7" s="789"/>
      <c r="X7" s="783">
        <f>SUM(X3:X6)</f>
      </c>
      <c r="Y7" s="783">
        <f>SUM(Y3:Y6)</f>
      </c>
      <c r="Z7" s="783">
        <f>SUM(Z3:Z6)</f>
      </c>
      <c r="AA7" s="783">
        <f>SUM(AA3:AA6)</f>
      </c>
      <c r="AB7" s="783">
        <f>SUM(AB3:AB6)</f>
      </c>
      <c r="AC7" s="783">
        <f>SUM(AC3:AC6)</f>
      </c>
      <c r="AD7" s="783">
        <f>SUM(AD3:AD6)</f>
      </c>
      <c r="AE7" s="783">
        <f>SUM(AE3:AE6)</f>
      </c>
      <c r="AF7" s="783"/>
      <c r="AG7" s="783"/>
    </row>
    <row customHeight="true" ht="18.452380952380953" r="8">
      <c r="A8" s="762"/>
      <c r="B8" s="750" t="s">
        <v>441</v>
      </c>
      <c r="C8" s="751" t="s">
        <v>442</v>
      </c>
      <c r="D8" s="751">
        <f t="shared" ref="D8:D9" si="15">E8+F8</f>
      </c>
      <c r="E8" s="751">
        <v>2769.24</v>
      </c>
      <c r="F8" s="751">
        <v>624.52</v>
      </c>
      <c r="G8" s="790">
        <v>1</v>
      </c>
      <c r="H8" s="790">
        <v>2268</v>
      </c>
      <c r="I8" s="763">
        <f t="shared" si="66"/>
      </c>
      <c r="J8" s="763"/>
      <c r="K8" s="773">
        <f t="shared" si="94"/>
      </c>
      <c r="L8" s="774">
        <f t="shared" si="136"/>
      </c>
      <c r="M8" s="773">
        <f t="shared" si="108"/>
      </c>
      <c r="N8" s="773">
        <f t="shared" si="151"/>
      </c>
      <c r="O8" s="774">
        <f t="shared" si="178"/>
      </c>
      <c r="P8" s="773">
        <f t="shared" si="192"/>
      </c>
      <c r="Q8" s="773">
        <f t="shared" si="0"/>
      </c>
      <c r="R8" s="775">
        <f t="shared" si="50"/>
      </c>
      <c r="S8" s="776">
        <f t="shared" si="80"/>
      </c>
      <c r="T8" s="775">
        <f t="shared" si="122"/>
      </c>
      <c r="U8" s="777">
        <f t="shared" si="137"/>
      </c>
      <c r="V8" s="778" t="s">
        <v>435</v>
      </c>
      <c r="W8" s="779" t="s">
        <v>436</v>
      </c>
      <c r="X8" s="780">
        <v>1</v>
      </c>
      <c r="Y8" s="781">
        <v>11365</v>
      </c>
      <c r="Z8" s="781">
        <v>565</v>
      </c>
      <c r="AA8" s="781">
        <v>689</v>
      </c>
      <c r="AB8" s="781">
        <v>85</v>
      </c>
      <c r="AC8" s="781">
        <v>61</v>
      </c>
      <c r="AD8" s="780">
        <v>6</v>
      </c>
      <c r="AE8" s="780">
        <v>28</v>
      </c>
      <c r="AF8" s="780"/>
      <c r="AG8" s="780"/>
    </row>
    <row customHeight="true" ht="18.452380952380953" r="9">
      <c r="A9" s="762"/>
      <c r="B9" s="750" t="s">
        <v>443</v>
      </c>
      <c r="C9" s="751" t="s">
        <v>442</v>
      </c>
      <c r="D9" s="751">
        <f t="shared" si="15"/>
      </c>
      <c r="E9" s="751">
        <v>1921</v>
      </c>
      <c r="F9" s="751">
        <v>262.54</v>
      </c>
      <c r="G9" s="790">
        <v>2</v>
      </c>
      <c r="H9" s="790">
        <v>1896</v>
      </c>
      <c r="I9" s="763">
        <f t="shared" si="66"/>
      </c>
      <c r="J9" s="763"/>
      <c r="K9" s="773">
        <f t="shared" si="94"/>
      </c>
      <c r="L9" s="774">
        <f t="shared" si="136"/>
      </c>
      <c r="M9" s="773">
        <f t="shared" si="108"/>
      </c>
      <c r="N9" s="773">
        <f t="shared" si="151"/>
      </c>
      <c r="O9" s="774">
        <f t="shared" si="178"/>
      </c>
      <c r="P9" s="773">
        <f t="shared" si="192"/>
      </c>
      <c r="Q9" s="773">
        <f t="shared" si="0"/>
      </c>
      <c r="R9" s="775">
        <f t="shared" si="50"/>
      </c>
      <c r="S9" s="776">
        <f t="shared" si="80"/>
      </c>
      <c r="T9" s="775">
        <f t="shared" si="122"/>
      </c>
      <c r="U9" s="777">
        <f t="shared" si="137"/>
      </c>
      <c r="V9" s="778" t="s">
        <v>435</v>
      </c>
      <c r="W9" s="779" t="s">
        <v>436</v>
      </c>
      <c r="X9" s="780">
        <v>2</v>
      </c>
      <c r="Y9" s="781">
        <v>8568</v>
      </c>
      <c r="Z9" s="781">
        <v>335</v>
      </c>
      <c r="AA9" s="781">
        <v>461</v>
      </c>
      <c r="AB9" s="781">
        <v>66</v>
      </c>
      <c r="AC9" s="781">
        <v>44</v>
      </c>
      <c r="AD9" s="780">
        <v>5</v>
      </c>
      <c r="AE9" s="780">
        <v>16</v>
      </c>
      <c r="AF9" s="780"/>
      <c r="AG9" s="780"/>
    </row>
    <row customHeight="true" ht="18.452380952380953" r="10">
      <c r="A10" s="762"/>
      <c r="B10" s="782" t="s">
        <v>440</v>
      </c>
      <c r="C10" s="782"/>
      <c r="D10" s="783">
        <f>SUM(D8:D9)</f>
      </c>
      <c r="E10" s="783">
        <f>SUM(E8:E9)</f>
      </c>
      <c r="F10" s="783">
        <f>SUM(F8:F9)</f>
      </c>
      <c r="G10" s="783">
        <f>SUM(G8:G9)</f>
      </c>
      <c r="H10" s="783">
        <f>SUM(H8:H9)</f>
      </c>
      <c r="I10" s="784">
        <f t="shared" si="66"/>
      </c>
      <c r="J10" s="784"/>
      <c r="K10" s="785">
        <f t="shared" si="94"/>
      </c>
      <c r="L10" s="786">
        <f t="shared" si="136"/>
      </c>
      <c r="M10" s="785">
        <f t="shared" si="108"/>
      </c>
      <c r="N10" s="785">
        <f t="shared" si="151"/>
      </c>
      <c r="O10" s="786">
        <f t="shared" si="178"/>
      </c>
      <c r="P10" s="785">
        <f t="shared" si="192"/>
      </c>
      <c r="Q10" s="785">
        <f t="shared" si="0"/>
      </c>
      <c r="R10" s="787">
        <f t="shared" si="50"/>
      </c>
      <c r="S10" s="788">
        <f t="shared" si="80"/>
      </c>
      <c r="T10" s="787">
        <f t="shared" si="122"/>
      </c>
      <c r="U10" s="789">
        <f t="shared" si="137"/>
      </c>
      <c r="V10" s="789"/>
      <c r="W10" s="789"/>
      <c r="X10" s="783">
        <f>SUM(X8:X9)</f>
      </c>
      <c r="Y10" s="783">
        <f>SUM(Y8:Y9)</f>
      </c>
      <c r="Z10" s="783">
        <f>SUM(Z8:Z9)</f>
      </c>
      <c r="AA10" s="783">
        <f>SUM(AA8:AA9)</f>
      </c>
      <c r="AB10" s="783">
        <f>SUM(AB8:AB9)</f>
      </c>
      <c r="AC10" s="783">
        <f>SUM(AC8:AC9)</f>
      </c>
      <c r="AD10" s="783">
        <f>SUM(AD8:AD9)</f>
      </c>
      <c r="AE10" s="783">
        <f>SUM(AE8:AE9)</f>
      </c>
      <c r="AF10" s="783"/>
      <c r="AG10" s="783"/>
    </row>
    <row r="11">
      <c r="A11" s="762"/>
      <c r="B11" s="791" t="s">
        <v>444</v>
      </c>
      <c r="C11" s="791"/>
      <c r="D11" s="791">
        <f>D7+D10</f>
      </c>
      <c r="E11" s="791">
        <f>E7+E10</f>
      </c>
      <c r="F11" s="791">
        <f>F7+F10</f>
      </c>
      <c r="G11" s="791">
        <f>G7+G10</f>
      </c>
      <c r="H11" s="791">
        <f>H7+H10</f>
      </c>
      <c r="I11" s="792">
        <f t="shared" si="66"/>
      </c>
      <c r="J11" s="792"/>
      <c r="K11" s="793">
        <f t="shared" si="94"/>
      </c>
      <c r="L11" s="794">
        <f t="shared" si="136"/>
      </c>
      <c r="M11" s="795">
        <f t="shared" si="108"/>
      </c>
      <c r="N11" s="795">
        <f t="shared" si="151"/>
      </c>
      <c r="O11" s="794">
        <f t="shared" si="178"/>
      </c>
      <c r="P11" s="795">
        <f t="shared" si="192"/>
      </c>
      <c r="Q11" s="795">
        <f t="shared" si="0"/>
      </c>
      <c r="R11" s="794">
        <f t="shared" si="50"/>
      </c>
      <c r="S11" s="796">
        <f t="shared" si="80"/>
      </c>
      <c r="T11" s="794">
        <f t="shared" si="122"/>
      </c>
      <c r="U11" s="797">
        <f t="shared" si="137"/>
      </c>
      <c r="V11" s="797"/>
      <c r="W11" s="797"/>
      <c r="X11" s="791">
        <f>X7+X10</f>
      </c>
      <c r="Y11" s="791">
        <f>Y7+Y10</f>
      </c>
      <c r="Z11" s="791">
        <f>Z7+Z10</f>
      </c>
      <c r="AA11" s="791">
        <f>AA7+AA10</f>
      </c>
      <c r="AB11" s="791">
        <f>AB7+AB10</f>
      </c>
      <c r="AC11" s="791">
        <f>AC7+AC10</f>
      </c>
      <c r="AD11" s="791">
        <f>AD7+AD10</f>
      </c>
      <c r="AE11" s="791">
        <f>AE7+AE10</f>
      </c>
      <c r="AF11" s="791"/>
      <c r="AG11" s="791"/>
    </row>
    <row r="12">
      <c r="A12" s="731" t="s">
        <v>398</v>
      </c>
      <c r="B12" s="731"/>
      <c r="C12" s="731"/>
      <c r="D12" s="732" t="s">
        <v>399</v>
      </c>
      <c r="E12" s="732"/>
      <c r="F12" s="732"/>
      <c r="G12" s="732"/>
      <c r="H12" s="732"/>
      <c r="I12" s="732"/>
      <c r="J12" s="732"/>
      <c r="K12" s="734" t="s">
        <v>400</v>
      </c>
      <c r="L12" s="734"/>
      <c r="M12" s="734"/>
      <c r="N12" s="734"/>
      <c r="O12" s="734"/>
      <c r="P12" s="734"/>
      <c r="Q12" s="734"/>
      <c r="R12" s="734"/>
      <c r="S12" s="734"/>
      <c r="T12" s="734"/>
      <c r="U12" s="734"/>
      <c r="V12" s="734"/>
      <c r="W12" s="734"/>
      <c r="X12" s="734"/>
      <c r="Y12" s="735" t="s">
        <v>401</v>
      </c>
      <c r="Z12" s="735"/>
      <c r="AA12" s="735"/>
      <c r="AB12" s="735"/>
      <c r="AC12" s="735"/>
      <c r="AD12" s="735"/>
      <c r="AE12" s="735"/>
      <c r="AF12" s="735"/>
      <c r="AG12" s="735"/>
    </row>
    <row r="13">
      <c r="A13" s="737" t="s">
        <v>402</v>
      </c>
      <c r="B13" s="738" t="s">
        <v>403</v>
      </c>
      <c r="C13" s="738" t="s">
        <v>404</v>
      </c>
      <c r="D13" s="739" t="s">
        <v>405</v>
      </c>
      <c r="E13" s="740" t="s">
        <v>406</v>
      </c>
      <c r="F13" s="740" t="s">
        <v>407</v>
      </c>
      <c r="G13" s="741" t="s">
        <v>408</v>
      </c>
      <c r="H13" s="742" t="s">
        <v>409</v>
      </c>
      <c r="I13" s="743" t="s">
        <v>410</v>
      </c>
      <c r="J13" s="743"/>
      <c r="K13" s="798" t="s">
        <v>445</v>
      </c>
      <c r="L13" s="744" t="s">
        <v>411</v>
      </c>
      <c r="M13" s="744" t="s">
        <v>412</v>
      </c>
      <c r="N13" s="745" t="s">
        <v>413</v>
      </c>
      <c r="O13" s="745" t="s">
        <v>414</v>
      </c>
      <c r="P13" s="744" t="s">
        <v>415</v>
      </c>
      <c r="Q13" s="745" t="s">
        <v>416</v>
      </c>
      <c r="R13" s="745" t="s">
        <v>417</v>
      </c>
      <c r="S13" s="744" t="s">
        <v>418</v>
      </c>
      <c r="T13" s="745" t="s">
        <v>419</v>
      </c>
      <c r="U13" s="744" t="s">
        <v>420</v>
      </c>
      <c r="V13" s="746" t="s">
        <v>421</v>
      </c>
      <c r="W13" s="746" t="s">
        <v>422</v>
      </c>
      <c r="X13" s="746" t="s">
        <v>423</v>
      </c>
      <c r="Y13" s="747" t="s">
        <v>424</v>
      </c>
      <c r="Z13" s="748" t="s">
        <v>425</v>
      </c>
      <c r="AA13" s="748" t="s">
        <v>426</v>
      </c>
      <c r="AB13" s="748" t="s">
        <v>427</v>
      </c>
      <c r="AC13" s="748" t="s">
        <v>428</v>
      </c>
      <c r="AD13" s="748" t="s">
        <v>429</v>
      </c>
      <c r="AE13" s="748" t="s">
        <v>430</v>
      </c>
      <c r="AF13" s="748" t="s">
        <v>431</v>
      </c>
      <c r="AG13" s="748"/>
    </row>
    <row r="14">
      <c r="A14" s="749" t="s">
        <v>446</v>
      </c>
      <c r="B14" s="750" t="s">
        <v>433</v>
      </c>
      <c r="C14" s="751" t="s">
        <v>434</v>
      </c>
      <c r="D14" s="751">
        <f t="shared" ref="D14:D17" si="16">E14+F14</f>
      </c>
      <c r="E14" s="799">
        <v>3017.36</v>
      </c>
      <c r="F14" s="799">
        <v>1429.83</v>
      </c>
      <c r="G14" s="752">
        <v>6</v>
      </c>
      <c r="H14" s="752">
        <v>10780</v>
      </c>
      <c r="I14" s="753">
        <f t="shared" ref="I14:I22" si="67">H14/D14</f>
      </c>
      <c r="J14" s="753"/>
      <c r="K14" s="800">
        <f t="shared" ref="K14:K22" si="1">(D14/Z14)*1000</f>
      </c>
      <c r="L14" s="801">
        <f t="shared" ref="L14:L22" si="95">AA14/Z14</f>
      </c>
      <c r="M14" s="755">
        <f t="shared" ref="M14:M22" si="51">D14/AB14</f>
      </c>
      <c r="N14" s="754">
        <f t="shared" ref="N14:N22" si="109">AC14/AB14</f>
      </c>
      <c r="O14" s="754">
        <f t="shared" ref="O14:O22" si="152">AD14/AB14</f>
      </c>
      <c r="P14" s="755">
        <f t="shared" ref="P14:P22" si="81">D14/AD14</f>
      </c>
      <c r="Q14" s="754">
        <f t="shared" ref="Q14:Q22" si="193">AE14/AD14</f>
      </c>
      <c r="R14" s="754">
        <f t="shared" ref="R14:R22" si="123">G14/AE14</f>
      </c>
      <c r="S14" s="755">
        <f t="shared" ref="S14:S22" si="138">D14/G14</f>
      </c>
      <c r="T14" s="756">
        <f t="shared" ref="T14:T22" si="165">H14/G14</f>
      </c>
      <c r="U14" s="755">
        <f t="shared" ref="U14:U22" si="179">D14/Y14</f>
      </c>
      <c r="V14" s="757">
        <f t="shared" ref="V14:V22" si="206">AF14*1000/D14</f>
      </c>
      <c r="W14" s="758" t="s">
        <v>435</v>
      </c>
      <c r="X14" s="759" t="s">
        <v>447</v>
      </c>
      <c r="Y14" s="760">
        <v>6</v>
      </c>
      <c r="Z14" s="761">
        <v>18456</v>
      </c>
      <c r="AA14" s="761">
        <v>639</v>
      </c>
      <c r="AB14" s="761">
        <v>852</v>
      </c>
      <c r="AC14" s="761">
        <v>118</v>
      </c>
      <c r="AD14" s="761">
        <v>77</v>
      </c>
      <c r="AE14" s="760">
        <v>10</v>
      </c>
      <c r="AF14" s="760">
        <v>34</v>
      </c>
      <c r="AG14" s="760"/>
    </row>
    <row r="15">
      <c r="A15" s="762"/>
      <c r="B15" s="750" t="s">
        <v>437</v>
      </c>
      <c r="C15" s="751" t="s">
        <v>434</v>
      </c>
      <c r="D15" s="751">
        <f t="shared" si="16"/>
      </c>
      <c r="E15" s="799">
        <v>4263.71</v>
      </c>
      <c r="F15" s="799">
        <v>1707.84</v>
      </c>
      <c r="G15" s="752">
        <v>4</v>
      </c>
      <c r="H15" s="752">
        <v>5112</v>
      </c>
      <c r="I15" s="753">
        <f t="shared" si="67"/>
      </c>
      <c r="J15" s="753"/>
      <c r="K15" s="800">
        <f t="shared" si="1"/>
      </c>
      <c r="L15" s="802">
        <f t="shared" si="95"/>
      </c>
      <c r="M15" s="765">
        <f t="shared" si="51"/>
      </c>
      <c r="N15" s="764">
        <f t="shared" si="109"/>
      </c>
      <c r="O15" s="764">
        <f t="shared" si="152"/>
      </c>
      <c r="P15" s="765">
        <f t="shared" si="81"/>
      </c>
      <c r="Q15" s="764">
        <f t="shared" si="193"/>
      </c>
      <c r="R15" s="764">
        <f t="shared" si="123"/>
      </c>
      <c r="S15" s="766">
        <f t="shared" si="138"/>
      </c>
      <c r="T15" s="767">
        <f t="shared" si="165"/>
      </c>
      <c r="U15" s="766">
        <f t="shared" si="179"/>
      </c>
      <c r="V15" s="768">
        <f t="shared" si="206"/>
      </c>
      <c r="W15" s="769" t="s">
        <v>435</v>
      </c>
      <c r="X15" s="770" t="s">
        <v>447</v>
      </c>
      <c r="Y15" s="771">
        <v>2</v>
      </c>
      <c r="Z15" s="772">
        <v>17080</v>
      </c>
      <c r="AA15" s="772">
        <v>272</v>
      </c>
      <c r="AB15" s="772">
        <v>311</v>
      </c>
      <c r="AC15" s="772">
        <v>68</v>
      </c>
      <c r="AD15" s="772">
        <v>36</v>
      </c>
      <c r="AE15" s="771">
        <v>7</v>
      </c>
      <c r="AF15" s="771">
        <v>54</v>
      </c>
      <c r="AG15" s="771"/>
    </row>
    <row r="16">
      <c r="A16" s="762"/>
      <c r="B16" s="750" t="s">
        <v>438</v>
      </c>
      <c r="C16" s="751" t="s">
        <v>434</v>
      </c>
      <c r="D16" s="751">
        <f t="shared" si="16"/>
      </c>
      <c r="E16" s="799">
        <v>3343.54</v>
      </c>
      <c r="F16" s="799">
        <v>1413.47</v>
      </c>
      <c r="G16" s="752">
        <v>2</v>
      </c>
      <c r="H16" s="752">
        <v>3028</v>
      </c>
      <c r="I16" s="753">
        <f t="shared" si="67"/>
      </c>
      <c r="J16" s="753"/>
      <c r="K16" s="800">
        <f t="shared" si="1"/>
      </c>
      <c r="L16" s="803">
        <f t="shared" si="95"/>
      </c>
      <c r="M16" s="774">
        <f t="shared" si="51"/>
      </c>
      <c r="N16" s="773">
        <f t="shared" si="109"/>
      </c>
      <c r="O16" s="773">
        <f t="shared" si="152"/>
      </c>
      <c r="P16" s="774">
        <f t="shared" si="81"/>
      </c>
      <c r="Q16" s="773">
        <f t="shared" si="193"/>
      </c>
      <c r="R16" s="773">
        <f t="shared" si="123"/>
      </c>
      <c r="S16" s="775">
        <f t="shared" si="138"/>
      </c>
      <c r="T16" s="776">
        <f t="shared" si="165"/>
      </c>
      <c r="U16" s="775">
        <f t="shared" si="179"/>
      </c>
      <c r="V16" s="777">
        <f t="shared" si="206"/>
      </c>
      <c r="W16" s="778" t="s">
        <v>435</v>
      </c>
      <c r="X16" s="779" t="s">
        <v>447</v>
      </c>
      <c r="Y16" s="780">
        <v>2</v>
      </c>
      <c r="Z16" s="781">
        <v>29096</v>
      </c>
      <c r="AA16" s="781">
        <v>692</v>
      </c>
      <c r="AB16" s="781">
        <v>981</v>
      </c>
      <c r="AC16" s="781">
        <v>113</v>
      </c>
      <c r="AD16" s="781">
        <v>43</v>
      </c>
      <c r="AE16" s="780">
        <v>8</v>
      </c>
      <c r="AF16" s="780">
        <v>25</v>
      </c>
      <c r="AG16" s="780"/>
    </row>
    <row r="17">
      <c r="A17" s="762"/>
      <c r="B17" s="750" t="s">
        <v>439</v>
      </c>
      <c r="C17" s="751" t="s">
        <v>434</v>
      </c>
      <c r="D17" s="751">
        <f t="shared" si="16"/>
      </c>
      <c r="E17" s="799">
        <v>2810.89</v>
      </c>
      <c r="F17" s="799">
        <v>1874.88</v>
      </c>
      <c r="G17" s="752">
        <v>1</v>
      </c>
      <c r="H17" s="752">
        <v>2268</v>
      </c>
      <c r="I17" s="753">
        <f t="shared" si="67"/>
      </c>
      <c r="J17" s="753"/>
      <c r="K17" s="800">
        <f t="shared" si="1"/>
      </c>
      <c r="L17" s="803">
        <f t="shared" si="95"/>
      </c>
      <c r="M17" s="774">
        <f t="shared" si="51"/>
      </c>
      <c r="N17" s="773">
        <f t="shared" si="109"/>
      </c>
      <c r="O17" s="773">
        <f t="shared" si="152"/>
      </c>
      <c r="P17" s="774">
        <f t="shared" si="81"/>
      </c>
      <c r="Q17" s="773">
        <f t="shared" si="193"/>
      </c>
      <c r="R17" s="773">
        <f t="shared" si="123"/>
      </c>
      <c r="S17" s="775">
        <f t="shared" si="138"/>
      </c>
      <c r="T17" s="776">
        <f t="shared" si="165"/>
      </c>
      <c r="U17" s="775">
        <f t="shared" si="179"/>
      </c>
      <c r="V17" s="777">
        <f t="shared" si="206"/>
      </c>
      <c r="W17" s="778" t="s">
        <v>435</v>
      </c>
      <c r="X17" s="779" t="s">
        <v>447</v>
      </c>
      <c r="Y17" s="780">
        <v>1</v>
      </c>
      <c r="Z17" s="781">
        <v>27112</v>
      </c>
      <c r="AA17" s="781">
        <v>904</v>
      </c>
      <c r="AB17" s="781">
        <v>1223</v>
      </c>
      <c r="AC17" s="781">
        <v>123</v>
      </c>
      <c r="AD17" s="781">
        <v>65</v>
      </c>
      <c r="AE17" s="780">
        <v>7</v>
      </c>
      <c r="AF17" s="780">
        <v>33</v>
      </c>
      <c r="AG17" s="780"/>
    </row>
    <row r="18">
      <c r="A18" s="762"/>
      <c r="B18" s="782" t="s">
        <v>440</v>
      </c>
      <c r="C18" s="782"/>
      <c r="D18" s="783">
        <f>SUM(D14:D17)</f>
      </c>
      <c r="E18" s="783">
        <f>SUM(E14:E17)</f>
      </c>
      <c r="F18" s="783">
        <f>SUM(F14:F17)</f>
      </c>
      <c r="G18" s="783">
        <f>SUM(G14:G17)</f>
      </c>
      <c r="H18" s="783">
        <f>SUM(H14:H17)</f>
      </c>
      <c r="I18" s="804">
        <f t="shared" si="67"/>
      </c>
      <c r="J18" s="804"/>
      <c r="K18" s="805">
        <f t="shared" si="1"/>
      </c>
      <c r="L18" s="806">
        <f t="shared" si="95"/>
      </c>
      <c r="M18" s="786">
        <f t="shared" si="51"/>
      </c>
      <c r="N18" s="785">
        <f t="shared" si="109"/>
      </c>
      <c r="O18" s="785">
        <f t="shared" si="152"/>
      </c>
      <c r="P18" s="786">
        <f t="shared" si="81"/>
      </c>
      <c r="Q18" s="785">
        <f t="shared" si="193"/>
      </c>
      <c r="R18" s="785">
        <f t="shared" si="123"/>
      </c>
      <c r="S18" s="787">
        <f t="shared" si="138"/>
      </c>
      <c r="T18" s="788">
        <f t="shared" si="165"/>
      </c>
      <c r="U18" s="787">
        <f t="shared" si="179"/>
      </c>
      <c r="V18" s="789">
        <f t="shared" si="206"/>
      </c>
      <c r="W18" s="789"/>
      <c r="X18" s="789"/>
      <c r="Y18" s="783">
        <f>SUM(Y14:Y17)</f>
      </c>
      <c r="Z18" s="783">
        <f>SUM(Z14:Z17)</f>
      </c>
      <c r="AA18" s="783">
        <f>SUM(AA14:AA17)</f>
      </c>
      <c r="AB18" s="783">
        <f>SUM(AB14:AB17)</f>
      </c>
      <c r="AC18" s="783">
        <f>SUM(AC14:AC17)</f>
      </c>
      <c r="AD18" s="783">
        <f>SUM(AD14:AD17)</f>
      </c>
      <c r="AE18" s="783">
        <f>SUM(AE14:AE17)</f>
      </c>
      <c r="AF18" s="783">
        <f>SUM(AF14:AF17)</f>
      </c>
      <c r="AG18" s="783"/>
    </row>
    <row r="19">
      <c r="A19" s="762"/>
      <c r="B19" s="750" t="s">
        <v>441</v>
      </c>
      <c r="C19" s="751" t="s">
        <v>442</v>
      </c>
      <c r="D19" s="751">
        <f t="shared" ref="D19:D20" si="17">E19+F19</f>
      </c>
      <c r="E19" s="799">
        <v>3011.57</v>
      </c>
      <c r="F19" s="799">
        <v>706.71</v>
      </c>
      <c r="G19" s="790">
        <v>1</v>
      </c>
      <c r="H19" s="790">
        <v>2080</v>
      </c>
      <c r="I19" s="753">
        <f t="shared" si="67"/>
      </c>
      <c r="J19" s="753"/>
      <c r="K19" s="807">
        <f t="shared" si="1"/>
      </c>
      <c r="L19" s="803">
        <f t="shared" si="95"/>
      </c>
      <c r="M19" s="774">
        <f t="shared" si="51"/>
      </c>
      <c r="N19" s="773">
        <f t="shared" si="109"/>
      </c>
      <c r="O19" s="773">
        <f t="shared" si="152"/>
      </c>
      <c r="P19" s="774">
        <f t="shared" si="81"/>
      </c>
      <c r="Q19" s="773">
        <f t="shared" si="193"/>
      </c>
      <c r="R19" s="773">
        <f t="shared" si="123"/>
      </c>
      <c r="S19" s="775">
        <f t="shared" si="138"/>
      </c>
      <c r="T19" s="776">
        <f t="shared" si="165"/>
      </c>
      <c r="U19" s="775">
        <f t="shared" si="179"/>
      </c>
      <c r="V19" s="777">
        <f t="shared" si="206"/>
      </c>
      <c r="W19" s="778" t="s">
        <v>435</v>
      </c>
      <c r="X19" s="779" t="s">
        <v>447</v>
      </c>
      <c r="Y19" s="780">
        <v>1</v>
      </c>
      <c r="Z19" s="781">
        <v>23441</v>
      </c>
      <c r="AA19" s="781">
        <v>455</v>
      </c>
      <c r="AB19" s="781">
        <v>639</v>
      </c>
      <c r="AC19" s="781">
        <v>61</v>
      </c>
      <c r="AD19" s="781">
        <v>15</v>
      </c>
      <c r="AE19" s="780">
        <v>5</v>
      </c>
      <c r="AF19" s="780">
        <v>14</v>
      </c>
      <c r="AG19" s="780"/>
    </row>
    <row r="20">
      <c r="A20" s="762"/>
      <c r="B20" s="750" t="s">
        <v>443</v>
      </c>
      <c r="C20" s="751" t="s">
        <v>442</v>
      </c>
      <c r="D20" s="751">
        <f t="shared" si="17"/>
      </c>
      <c r="E20" s="799">
        <v>2222.92</v>
      </c>
      <c r="F20" s="799">
        <v>428.87</v>
      </c>
      <c r="G20" s="790">
        <v>2</v>
      </c>
      <c r="H20" s="790">
        <v>1896</v>
      </c>
      <c r="I20" s="753">
        <f t="shared" si="67"/>
      </c>
      <c r="J20" s="753"/>
      <c r="K20" s="807">
        <f t="shared" si="1"/>
      </c>
      <c r="L20" s="803">
        <f t="shared" si="95"/>
      </c>
      <c r="M20" s="774">
        <f t="shared" si="51"/>
      </c>
      <c r="N20" s="773">
        <f t="shared" si="109"/>
      </c>
      <c r="O20" s="773">
        <f t="shared" si="152"/>
      </c>
      <c r="P20" s="774">
        <f t="shared" si="81"/>
      </c>
      <c r="Q20" s="773">
        <f t="shared" si="193"/>
      </c>
      <c r="R20" s="773">
        <f t="shared" si="123"/>
      </c>
      <c r="S20" s="775">
        <f t="shared" si="138"/>
      </c>
      <c r="T20" s="776">
        <f t="shared" si="165"/>
      </c>
      <c r="U20" s="775">
        <f t="shared" si="179"/>
      </c>
      <c r="V20" s="777">
        <f t="shared" si="206"/>
      </c>
      <c r="W20" s="778" t="s">
        <v>435</v>
      </c>
      <c r="X20" s="779" t="s">
        <v>447</v>
      </c>
      <c r="Y20" s="780">
        <v>2</v>
      </c>
      <c r="Z20" s="781">
        <v>13225</v>
      </c>
      <c r="AA20" s="781">
        <v>401</v>
      </c>
      <c r="AB20" s="781">
        <v>543</v>
      </c>
      <c r="AC20" s="781">
        <v>64</v>
      </c>
      <c r="AD20" s="781">
        <v>31</v>
      </c>
      <c r="AE20" s="780">
        <v>2</v>
      </c>
      <c r="AF20" s="780">
        <v>13</v>
      </c>
      <c r="AG20" s="780"/>
    </row>
    <row r="21">
      <c r="A21" s="762"/>
      <c r="B21" s="782" t="s">
        <v>440</v>
      </c>
      <c r="C21" s="782"/>
      <c r="D21" s="783">
        <f>SUM(D19:D20)</f>
      </c>
      <c r="E21" s="783">
        <f>SUM(E19:E20)</f>
      </c>
      <c r="F21" s="783">
        <f>SUM(F19:F20)</f>
      </c>
      <c r="G21" s="783">
        <f>SUM(G19:G20)</f>
      </c>
      <c r="H21" s="783">
        <f>SUM(H19:H20)</f>
      </c>
      <c r="I21" s="804">
        <f t="shared" si="67"/>
      </c>
      <c r="J21" s="804"/>
      <c r="K21" s="808">
        <f t="shared" si="1"/>
      </c>
      <c r="L21" s="806">
        <f t="shared" si="95"/>
      </c>
      <c r="M21" s="786">
        <f t="shared" si="51"/>
      </c>
      <c r="N21" s="785">
        <f t="shared" si="109"/>
      </c>
      <c r="O21" s="785">
        <f t="shared" si="152"/>
      </c>
      <c r="P21" s="786">
        <f t="shared" si="81"/>
      </c>
      <c r="Q21" s="785">
        <f t="shared" si="193"/>
      </c>
      <c r="R21" s="785">
        <f t="shared" si="123"/>
      </c>
      <c r="S21" s="787">
        <f t="shared" si="138"/>
      </c>
      <c r="T21" s="788">
        <f t="shared" si="165"/>
      </c>
      <c r="U21" s="787">
        <f t="shared" si="179"/>
      </c>
      <c r="V21" s="789">
        <f t="shared" si="206"/>
      </c>
      <c r="W21" s="789"/>
      <c r="X21" s="789"/>
      <c r="Y21" s="783">
        <f>SUM(Y19:Y20)</f>
      </c>
      <c r="Z21" s="783">
        <f>SUM(Z19:Z20)</f>
      </c>
      <c r="AA21" s="783">
        <f>SUM(AA19:AA20)</f>
      </c>
      <c r="AB21" s="783">
        <f>SUM(AB19:AB20)</f>
      </c>
      <c r="AC21" s="783">
        <f>SUM(AC19:AC20)</f>
      </c>
      <c r="AD21" s="783">
        <f>SUM(AD19:AD20)</f>
      </c>
      <c r="AE21" s="783">
        <f>SUM(AE19:AE20)</f>
      </c>
      <c r="AF21" s="783">
        <f>SUM(AF19:AF20)</f>
      </c>
      <c r="AG21" s="783"/>
    </row>
    <row r="22">
      <c r="A22" s="762"/>
      <c r="B22" s="791" t="s">
        <v>444</v>
      </c>
      <c r="C22" s="791"/>
      <c r="D22" s="791">
        <f>D18+D21</f>
      </c>
      <c r="E22" s="791">
        <f>E18+E21</f>
      </c>
      <c r="F22" s="791">
        <f>F18+F21</f>
      </c>
      <c r="G22" s="791">
        <f>G18+G21</f>
      </c>
      <c r="H22" s="791">
        <f>H18+H21</f>
      </c>
      <c r="I22" s="792">
        <f t="shared" si="67"/>
      </c>
      <c r="J22" s="792"/>
      <c r="K22" s="797">
        <f t="shared" si="1"/>
      </c>
      <c r="L22" s="809">
        <f t="shared" si="95"/>
      </c>
      <c r="M22" s="794">
        <f t="shared" si="51"/>
      </c>
      <c r="N22" s="795">
        <f t="shared" si="109"/>
      </c>
      <c r="O22" s="795">
        <f t="shared" si="152"/>
      </c>
      <c r="P22" s="794">
        <f t="shared" si="81"/>
      </c>
      <c r="Q22" s="795">
        <f t="shared" si="193"/>
      </c>
      <c r="R22" s="795">
        <f t="shared" si="123"/>
      </c>
      <c r="S22" s="794">
        <f t="shared" si="138"/>
      </c>
      <c r="T22" s="796">
        <f t="shared" si="165"/>
      </c>
      <c r="U22" s="794">
        <f t="shared" si="179"/>
      </c>
      <c r="V22" s="797">
        <f t="shared" si="206"/>
      </c>
      <c r="W22" s="797"/>
      <c r="X22" s="797"/>
      <c r="Y22" s="791">
        <f>Y18+Y21</f>
      </c>
      <c r="Z22" s="791">
        <f>Z18+Z21</f>
      </c>
      <c r="AA22" s="791">
        <f>AA18+AA21</f>
      </c>
      <c r="AB22" s="791">
        <f>AB18+AB21</f>
      </c>
      <c r="AC22" s="791">
        <f>AC18+AC21</f>
      </c>
      <c r="AD22" s="791">
        <f>AD18+AD21</f>
      </c>
      <c r="AE22" s="791">
        <f>AE18+AE21</f>
      </c>
      <c r="AF22" s="791">
        <f>AF18+AF21</f>
      </c>
      <c r="AG22" s="791"/>
    </row>
    <row r="23">
      <c r="A23" s="731" t="s">
        <v>398</v>
      </c>
      <c r="B23" s="731"/>
      <c r="C23" s="731"/>
      <c r="D23" s="732" t="s">
        <v>399</v>
      </c>
      <c r="E23" s="732"/>
      <c r="F23" s="732"/>
      <c r="G23" s="732"/>
      <c r="H23" s="732"/>
      <c r="I23" s="732"/>
      <c r="J23" s="732"/>
      <c r="K23" s="734" t="s">
        <v>400</v>
      </c>
      <c r="L23" s="734"/>
      <c r="M23" s="734"/>
      <c r="N23" s="734"/>
      <c r="O23" s="734"/>
      <c r="P23" s="734"/>
      <c r="Q23" s="734"/>
      <c r="R23" s="734"/>
      <c r="S23" s="734"/>
      <c r="T23" s="734"/>
      <c r="U23" s="734"/>
      <c r="V23" s="734"/>
      <c r="W23" s="734"/>
      <c r="X23" s="734"/>
      <c r="Y23" s="735" t="s">
        <v>401</v>
      </c>
      <c r="Z23" s="735"/>
      <c r="AA23" s="735"/>
      <c r="AB23" s="735"/>
      <c r="AC23" s="735"/>
      <c r="AD23" s="735"/>
      <c r="AE23" s="735"/>
      <c r="AF23" s="735"/>
      <c r="AG23" s="735"/>
    </row>
    <row r="24">
      <c r="A24" s="737" t="s">
        <v>402</v>
      </c>
      <c r="B24" s="738" t="s">
        <v>403</v>
      </c>
      <c r="C24" s="738" t="s">
        <v>404</v>
      </c>
      <c r="D24" s="739" t="s">
        <v>405</v>
      </c>
      <c r="E24" s="740" t="s">
        <v>406</v>
      </c>
      <c r="F24" s="740" t="s">
        <v>407</v>
      </c>
      <c r="G24" s="741" t="s">
        <v>408</v>
      </c>
      <c r="H24" s="742" t="s">
        <v>409</v>
      </c>
      <c r="I24" s="743" t="s">
        <v>410</v>
      </c>
      <c r="J24" s="743"/>
      <c r="K24" s="798" t="s">
        <v>445</v>
      </c>
      <c r="L24" s="744" t="s">
        <v>411</v>
      </c>
      <c r="M24" s="744" t="s">
        <v>412</v>
      </c>
      <c r="N24" s="745" t="s">
        <v>413</v>
      </c>
      <c r="O24" s="745" t="s">
        <v>414</v>
      </c>
      <c r="P24" s="744" t="s">
        <v>415</v>
      </c>
      <c r="Q24" s="745" t="s">
        <v>416</v>
      </c>
      <c r="R24" s="745" t="s">
        <v>417</v>
      </c>
      <c r="S24" s="744" t="s">
        <v>418</v>
      </c>
      <c r="T24" s="745" t="s">
        <v>419</v>
      </c>
      <c r="U24" s="744" t="s">
        <v>420</v>
      </c>
      <c r="V24" s="746" t="s">
        <v>421</v>
      </c>
      <c r="W24" s="746" t="s">
        <v>422</v>
      </c>
      <c r="X24" s="746" t="s">
        <v>423</v>
      </c>
      <c r="Y24" s="747" t="s">
        <v>424</v>
      </c>
      <c r="Z24" s="748" t="s">
        <v>425</v>
      </c>
      <c r="AA24" s="748" t="s">
        <v>426</v>
      </c>
      <c r="AB24" s="748" t="s">
        <v>427</v>
      </c>
      <c r="AC24" s="748" t="s">
        <v>428</v>
      </c>
      <c r="AD24" s="748" t="s">
        <v>429</v>
      </c>
      <c r="AE24" s="748" t="s">
        <v>430</v>
      </c>
      <c r="AF24" s="748" t="s">
        <v>431</v>
      </c>
      <c r="AG24" s="748"/>
    </row>
    <row r="25">
      <c r="A25" s="749" t="s">
        <v>448</v>
      </c>
      <c r="B25" s="750" t="s">
        <v>433</v>
      </c>
      <c r="C25" s="751" t="s">
        <v>434</v>
      </c>
      <c r="D25" s="751">
        <f t="shared" ref="D25:D28" si="18">E25+F25</f>
      </c>
      <c r="E25" s="799">
        <v>7655.37</v>
      </c>
      <c r="F25" s="799">
        <v>1877.04</v>
      </c>
      <c r="G25" s="752">
        <v>11</v>
      </c>
      <c r="H25" s="752">
        <v>18348</v>
      </c>
      <c r="I25" s="753">
        <f t="shared" ref="I25:I33" si="68">H25/D25</f>
      </c>
      <c r="J25" s="753"/>
      <c r="K25" s="800">
        <f t="shared" ref="K25:K33" si="2">(D25/Z25)*1000</f>
      </c>
      <c r="L25" s="801">
        <f t="shared" ref="L25:L33" si="96">AA25/Z25</f>
      </c>
      <c r="M25" s="755">
        <f t="shared" ref="M25:M33" si="52">D25/AB25</f>
      </c>
      <c r="N25" s="754">
        <f t="shared" ref="N25:N33" si="110">AC25/AB25</f>
      </c>
      <c r="O25" s="754">
        <f t="shared" ref="O25:O33" si="153">AD25/AB25</f>
      </c>
      <c r="P25" s="755">
        <f t="shared" ref="P25:P33" si="82">D25/AD25</f>
      </c>
      <c r="Q25" s="754">
        <f t="shared" ref="Q25:Q33" si="194">AE25/AD25</f>
      </c>
      <c r="R25" s="754">
        <f t="shared" ref="R25:R33" si="124">G25/AE25</f>
      </c>
      <c r="S25" s="755">
        <f t="shared" ref="S25:S33" si="139">D25/G25</f>
      </c>
      <c r="T25" s="756">
        <f t="shared" ref="T25:T33" si="166">H25/G25</f>
      </c>
      <c r="U25" s="755">
        <f t="shared" ref="U25:U33" si="180">D25/Y25</f>
      </c>
      <c r="V25" s="757">
        <f t="shared" ref="V25:V33" si="207">AF25*1000/D25</f>
      </c>
      <c r="W25" s="758" t="s">
        <v>435</v>
      </c>
      <c r="X25" s="759" t="s">
        <v>447</v>
      </c>
      <c r="Y25" s="760">
        <v>11</v>
      </c>
      <c r="Z25" s="761">
        <v>44999</v>
      </c>
      <c r="AA25" s="761">
        <v>1714</v>
      </c>
      <c r="AB25" s="761">
        <v>2410</v>
      </c>
      <c r="AC25" s="761">
        <v>253</v>
      </c>
      <c r="AD25" s="761">
        <v>128</v>
      </c>
      <c r="AE25" s="760">
        <v>22</v>
      </c>
      <c r="AF25" s="760">
        <v>82</v>
      </c>
      <c r="AG25" s="760"/>
    </row>
    <row r="26">
      <c r="A26" s="749"/>
      <c r="B26" s="750" t="s">
        <v>437</v>
      </c>
      <c r="C26" s="751" t="s">
        <v>434</v>
      </c>
      <c r="D26" s="751">
        <f t="shared" si="18"/>
      </c>
      <c r="E26" s="799">
        <v>10709.49</v>
      </c>
      <c r="F26" s="799">
        <v>2792</v>
      </c>
      <c r="G26" s="752">
        <v>10</v>
      </c>
      <c r="H26" s="752">
        <v>13440</v>
      </c>
      <c r="I26" s="753">
        <f t="shared" si="68"/>
      </c>
      <c r="J26" s="753"/>
      <c r="K26" s="800">
        <f t="shared" si="2"/>
      </c>
      <c r="L26" s="802">
        <f t="shared" si="96"/>
      </c>
      <c r="M26" s="765">
        <f t="shared" si="52"/>
      </c>
      <c r="N26" s="764">
        <f t="shared" si="110"/>
      </c>
      <c r="O26" s="764">
        <f t="shared" si="153"/>
      </c>
      <c r="P26" s="765">
        <f t="shared" si="82"/>
      </c>
      <c r="Q26" s="764">
        <f t="shared" si="194"/>
      </c>
      <c r="R26" s="764">
        <f t="shared" si="124"/>
      </c>
      <c r="S26" s="766">
        <f t="shared" si="139"/>
      </c>
      <c r="T26" s="767">
        <f t="shared" si="166"/>
      </c>
      <c r="U26" s="766">
        <f t="shared" si="180"/>
      </c>
      <c r="V26" s="768">
        <f t="shared" si="207"/>
      </c>
      <c r="W26" s="769" t="s">
        <v>435</v>
      </c>
      <c r="X26" s="770" t="s">
        <v>447</v>
      </c>
      <c r="Y26" s="771">
        <v>9</v>
      </c>
      <c r="Z26" s="772">
        <v>89366</v>
      </c>
      <c r="AA26" s="772">
        <v>2922</v>
      </c>
      <c r="AB26" s="772">
        <v>4389</v>
      </c>
      <c r="AC26" s="772">
        <v>446</v>
      </c>
      <c r="AD26" s="772">
        <v>229</v>
      </c>
      <c r="AE26" s="771">
        <v>21</v>
      </c>
      <c r="AF26" s="771">
        <v>113</v>
      </c>
      <c r="AG26" s="771"/>
    </row>
    <row r="27">
      <c r="A27" s="749"/>
      <c r="B27" s="750" t="s">
        <v>438</v>
      </c>
      <c r="C27" s="751" t="s">
        <v>434</v>
      </c>
      <c r="D27" s="751">
        <f t="shared" si="18"/>
      </c>
      <c r="E27" s="799">
        <v>9184.42</v>
      </c>
      <c r="F27" s="799">
        <v>1940.81</v>
      </c>
      <c r="G27" s="752">
        <v>4</v>
      </c>
      <c r="H27" s="752">
        <v>4632</v>
      </c>
      <c r="I27" s="753">
        <f t="shared" si="68"/>
      </c>
      <c r="J27" s="753"/>
      <c r="K27" s="800">
        <f t="shared" si="2"/>
      </c>
      <c r="L27" s="803">
        <f t="shared" si="96"/>
      </c>
      <c r="M27" s="774">
        <f t="shared" si="52"/>
      </c>
      <c r="N27" s="773">
        <f t="shared" si="110"/>
      </c>
      <c r="O27" s="773">
        <f t="shared" si="153"/>
      </c>
      <c r="P27" s="774">
        <f t="shared" si="82"/>
      </c>
      <c r="Q27" s="773">
        <f t="shared" si="194"/>
      </c>
      <c r="R27" s="773">
        <f t="shared" si="124"/>
      </c>
      <c r="S27" s="775">
        <f t="shared" si="139"/>
      </c>
      <c r="T27" s="776">
        <f t="shared" si="166"/>
      </c>
      <c r="U27" s="775">
        <f t="shared" si="180"/>
      </c>
      <c r="V27" s="777">
        <f t="shared" si="207"/>
      </c>
      <c r="W27" s="778" t="s">
        <v>435</v>
      </c>
      <c r="X27" s="779" t="s">
        <v>447</v>
      </c>
      <c r="Y27" s="780">
        <v>4</v>
      </c>
      <c r="Z27" s="781">
        <v>67090</v>
      </c>
      <c r="AA27" s="781">
        <v>1851</v>
      </c>
      <c r="AB27" s="781">
        <v>2744</v>
      </c>
      <c r="AC27" s="781">
        <v>277</v>
      </c>
      <c r="AD27" s="781">
        <v>162</v>
      </c>
      <c r="AE27" s="780">
        <v>15</v>
      </c>
      <c r="AF27" s="780">
        <v>77</v>
      </c>
      <c r="AG27" s="780"/>
    </row>
    <row r="28">
      <c r="A28" s="749"/>
      <c r="B28" s="750" t="s">
        <v>439</v>
      </c>
      <c r="C28" s="751" t="s">
        <v>434</v>
      </c>
      <c r="D28" s="751">
        <f t="shared" si="18"/>
      </c>
      <c r="E28" s="799">
        <v>4606.36</v>
      </c>
      <c r="F28" s="799">
        <v>1460.38</v>
      </c>
      <c r="G28" s="752">
        <v>3</v>
      </c>
      <c r="H28" s="752">
        <v>2844</v>
      </c>
      <c r="I28" s="753">
        <f t="shared" si="68"/>
      </c>
      <c r="J28" s="753"/>
      <c r="K28" s="800">
        <f t="shared" si="2"/>
      </c>
      <c r="L28" s="803">
        <f t="shared" si="96"/>
      </c>
      <c r="M28" s="774">
        <f t="shared" si="52"/>
      </c>
      <c r="N28" s="773">
        <f t="shared" si="110"/>
      </c>
      <c r="O28" s="773">
        <f t="shared" si="153"/>
      </c>
      <c r="P28" s="774">
        <f t="shared" si="82"/>
      </c>
      <c r="Q28" s="773">
        <f t="shared" si="194"/>
      </c>
      <c r="R28" s="773">
        <f t="shared" si="124"/>
      </c>
      <c r="S28" s="775">
        <f t="shared" si="139"/>
      </c>
      <c r="T28" s="776">
        <f t="shared" si="166"/>
      </c>
      <c r="U28" s="775">
        <f t="shared" si="180"/>
      </c>
      <c r="V28" s="777">
        <f t="shared" si="207"/>
      </c>
      <c r="W28" s="778" t="s">
        <v>435</v>
      </c>
      <c r="X28" s="779" t="s">
        <v>447</v>
      </c>
      <c r="Y28" s="780">
        <v>3</v>
      </c>
      <c r="Z28" s="781">
        <v>32636</v>
      </c>
      <c r="AA28" s="781">
        <v>1088</v>
      </c>
      <c r="AB28" s="781">
        <v>1539</v>
      </c>
      <c r="AC28" s="781">
        <v>187</v>
      </c>
      <c r="AD28" s="781">
        <v>113</v>
      </c>
      <c r="AE28" s="780">
        <v>11</v>
      </c>
      <c r="AF28" s="780">
        <v>48</v>
      </c>
      <c r="AG28" s="780"/>
    </row>
    <row r="29">
      <c r="A29" s="749"/>
      <c r="B29" s="782" t="s">
        <v>440</v>
      </c>
      <c r="C29" s="782"/>
      <c r="D29" s="783">
        <f>SUM(D25:D28)</f>
      </c>
      <c r="E29" s="783">
        <f>SUM(E25:E28)</f>
      </c>
      <c r="F29" s="783">
        <f>SUM(F25:F28)</f>
      </c>
      <c r="G29" s="783">
        <f>SUM(G25:G28)</f>
      </c>
      <c r="H29" s="783">
        <f>SUM(H25:H28)</f>
      </c>
      <c r="I29" s="804">
        <f t="shared" si="68"/>
      </c>
      <c r="J29" s="804"/>
      <c r="K29" s="805">
        <f t="shared" si="2"/>
      </c>
      <c r="L29" s="806">
        <f t="shared" si="96"/>
      </c>
      <c r="M29" s="786">
        <f t="shared" si="52"/>
      </c>
      <c r="N29" s="785">
        <f t="shared" si="110"/>
      </c>
      <c r="O29" s="785">
        <f t="shared" si="153"/>
      </c>
      <c r="P29" s="786">
        <f t="shared" si="82"/>
      </c>
      <c r="Q29" s="785">
        <f t="shared" si="194"/>
      </c>
      <c r="R29" s="785">
        <f t="shared" si="124"/>
      </c>
      <c r="S29" s="787">
        <f t="shared" si="139"/>
      </c>
      <c r="T29" s="788">
        <f t="shared" si="166"/>
      </c>
      <c r="U29" s="787">
        <f t="shared" si="180"/>
      </c>
      <c r="V29" s="789">
        <f t="shared" si="207"/>
      </c>
      <c r="W29" s="789"/>
      <c r="X29" s="789"/>
      <c r="Y29" s="783">
        <f>SUM(Y25:Y28)</f>
      </c>
      <c r="Z29" s="783">
        <f>SUM(Z25:Z28)</f>
      </c>
      <c r="AA29" s="783">
        <f>SUM(AA25:AA28)</f>
      </c>
      <c r="AB29" s="783">
        <f>SUM(AB25:AB28)</f>
      </c>
      <c r="AC29" s="783">
        <f>SUM(AC25:AC28)</f>
      </c>
      <c r="AD29" s="783">
        <f>SUM(AD25:AD28)</f>
      </c>
      <c r="AE29" s="783">
        <f>SUM(AE25:AE28)</f>
      </c>
      <c r="AF29" s="783">
        <f>SUM(AF25:AF28)</f>
      </c>
      <c r="AG29" s="783"/>
    </row>
    <row r="30">
      <c r="A30" s="749"/>
      <c r="B30" s="750" t="s">
        <v>441</v>
      </c>
      <c r="C30" s="751" t="s">
        <v>442</v>
      </c>
      <c r="D30" s="751">
        <f t="shared" ref="D30:D31" si="19">E30+F30</f>
      </c>
      <c r="E30" s="799">
        <v>2618.33</v>
      </c>
      <c r="F30" s="799">
        <v>1283.67</v>
      </c>
      <c r="G30" s="790">
        <v>2</v>
      </c>
      <c r="H30" s="790">
        <v>4536</v>
      </c>
      <c r="I30" s="753">
        <f t="shared" si="68"/>
      </c>
      <c r="J30" s="753"/>
      <c r="K30" s="807">
        <f t="shared" si="2"/>
      </c>
      <c r="L30" s="803">
        <f t="shared" si="96"/>
      </c>
      <c r="M30" s="774">
        <f t="shared" si="52"/>
      </c>
      <c r="N30" s="773">
        <f t="shared" si="110"/>
      </c>
      <c r="O30" s="773">
        <f t="shared" si="153"/>
      </c>
      <c r="P30" s="774">
        <f t="shared" si="82"/>
      </c>
      <c r="Q30" s="773">
        <f t="shared" si="194"/>
      </c>
      <c r="R30" s="773">
        <f t="shared" si="124"/>
      </c>
      <c r="S30" s="775">
        <f t="shared" si="139"/>
      </c>
      <c r="T30" s="776">
        <f t="shared" si="166"/>
      </c>
      <c r="U30" s="775">
        <f t="shared" si="180"/>
      </c>
      <c r="V30" s="777">
        <f t="shared" si="207"/>
      </c>
      <c r="W30" s="778" t="s">
        <v>435</v>
      </c>
      <c r="X30" s="779" t="s">
        <v>447</v>
      </c>
      <c r="Y30" s="780">
        <v>2</v>
      </c>
      <c r="Z30" s="781">
        <v>29827</v>
      </c>
      <c r="AA30" s="781">
        <v>684</v>
      </c>
      <c r="AB30" s="781">
        <v>963</v>
      </c>
      <c r="AC30" s="781">
        <v>131</v>
      </c>
      <c r="AD30" s="781">
        <v>52</v>
      </c>
      <c r="AE30" s="780">
        <v>10</v>
      </c>
      <c r="AF30" s="780">
        <v>34</v>
      </c>
      <c r="AG30" s="780"/>
    </row>
    <row r="31">
      <c r="A31" s="749"/>
      <c r="B31" s="750" t="s">
        <v>443</v>
      </c>
      <c r="C31" s="751" t="s">
        <v>442</v>
      </c>
      <c r="D31" s="751">
        <f t="shared" si="19"/>
      </c>
      <c r="E31" s="799">
        <v>1490.96</v>
      </c>
      <c r="F31" s="799">
        <v>537.23</v>
      </c>
      <c r="G31" s="752">
        <v>0</v>
      </c>
      <c r="H31" s="752">
        <v>0</v>
      </c>
      <c r="I31" s="753">
        <f t="shared" si="68"/>
      </c>
      <c r="J31" s="753"/>
      <c r="K31" s="807">
        <f t="shared" si="2"/>
      </c>
      <c r="L31" s="803">
        <f t="shared" si="96"/>
      </c>
      <c r="M31" s="774">
        <f t="shared" si="52"/>
      </c>
      <c r="N31" s="773">
        <f t="shared" si="110"/>
      </c>
      <c r="O31" s="773">
        <f t="shared" si="153"/>
      </c>
      <c r="P31" s="774">
        <f t="shared" si="82"/>
      </c>
      <c r="Q31" s="773">
        <f t="shared" si="194"/>
      </c>
      <c r="R31" s="773">
        <f t="shared" si="124"/>
      </c>
      <c r="S31" s="775">
        <f t="shared" si="139"/>
      </c>
      <c r="T31" s="776">
        <f t="shared" si="166"/>
      </c>
      <c r="U31" s="775">
        <f t="shared" si="180"/>
      </c>
      <c r="V31" s="777">
        <f t="shared" si="207"/>
      </c>
      <c r="W31" s="778" t="s">
        <v>435</v>
      </c>
      <c r="X31" s="779" t="s">
        <v>447</v>
      </c>
      <c r="Y31" s="780">
        <v>0</v>
      </c>
      <c r="Z31" s="781">
        <v>10558</v>
      </c>
      <c r="AA31" s="781">
        <v>291</v>
      </c>
      <c r="AB31" s="781">
        <v>441</v>
      </c>
      <c r="AC31" s="781">
        <v>58</v>
      </c>
      <c r="AD31" s="781">
        <v>47</v>
      </c>
      <c r="AE31" s="780">
        <v>6</v>
      </c>
      <c r="AF31" s="780">
        <v>11</v>
      </c>
      <c r="AG31" s="780"/>
    </row>
    <row r="32">
      <c r="A32" s="749"/>
      <c r="B32" s="782" t="s">
        <v>440</v>
      </c>
      <c r="C32" s="782"/>
      <c r="D32" s="783">
        <f>SUM(D30:D31)</f>
      </c>
      <c r="E32" s="783">
        <f>SUM(E30:E31)</f>
      </c>
      <c r="F32" s="783">
        <f>SUM(F30:F31)</f>
      </c>
      <c r="G32" s="783">
        <f>SUM(G30:G31)</f>
      </c>
      <c r="H32" s="783">
        <f>SUM(H30:H31)</f>
      </c>
      <c r="I32" s="804">
        <f t="shared" si="68"/>
      </c>
      <c r="J32" s="804"/>
      <c r="K32" s="808">
        <f t="shared" si="2"/>
      </c>
      <c r="L32" s="806">
        <f t="shared" si="96"/>
      </c>
      <c r="M32" s="786">
        <f t="shared" si="52"/>
      </c>
      <c r="N32" s="785">
        <f t="shared" si="110"/>
      </c>
      <c r="O32" s="785">
        <f t="shared" si="153"/>
      </c>
      <c r="P32" s="786">
        <f t="shared" si="82"/>
      </c>
      <c r="Q32" s="785">
        <f t="shared" si="194"/>
      </c>
      <c r="R32" s="785">
        <f t="shared" si="124"/>
      </c>
      <c r="S32" s="787">
        <f t="shared" si="139"/>
      </c>
      <c r="T32" s="788">
        <f t="shared" si="166"/>
      </c>
      <c r="U32" s="787">
        <f t="shared" si="180"/>
      </c>
      <c r="V32" s="789">
        <f t="shared" si="207"/>
      </c>
      <c r="W32" s="789"/>
      <c r="X32" s="789"/>
      <c r="Y32" s="783">
        <f>SUM(Y30:Y31)</f>
      </c>
      <c r="Z32" s="783">
        <f>SUM(Z30:Z31)</f>
      </c>
      <c r="AA32" s="783">
        <f>SUM(AA30:AA31)</f>
      </c>
      <c r="AB32" s="783">
        <f>SUM(AB30:AB31)</f>
      </c>
      <c r="AC32" s="783">
        <f>SUM(AC30:AC31)</f>
      </c>
      <c r="AD32" s="783">
        <f>SUM(AD30:AD31)</f>
      </c>
      <c r="AE32" s="783">
        <f>SUM(AE30:AE31)</f>
      </c>
      <c r="AF32" s="783">
        <f>SUM(AF30:AF31)</f>
      </c>
      <c r="AG32" s="783"/>
    </row>
    <row r="33">
      <c r="A33" s="749"/>
      <c r="B33" s="791" t="s">
        <v>444</v>
      </c>
      <c r="C33" s="791"/>
      <c r="D33" s="791">
        <f>D29+D32</f>
      </c>
      <c r="E33" s="791">
        <f>E29+E32</f>
      </c>
      <c r="F33" s="791">
        <f>F29+F32</f>
      </c>
      <c r="G33" s="791">
        <f>G29+G32</f>
      </c>
      <c r="H33" s="791">
        <f>H29+H32</f>
      </c>
      <c r="I33" s="792">
        <f t="shared" si="68"/>
      </c>
      <c r="J33" s="792"/>
      <c r="K33" s="797">
        <f t="shared" si="2"/>
      </c>
      <c r="L33" s="809">
        <f t="shared" si="96"/>
      </c>
      <c r="M33" s="794">
        <f t="shared" si="52"/>
      </c>
      <c r="N33" s="795">
        <f t="shared" si="110"/>
      </c>
      <c r="O33" s="795">
        <f t="shared" si="153"/>
      </c>
      <c r="P33" s="794">
        <f t="shared" si="82"/>
      </c>
      <c r="Q33" s="795">
        <f t="shared" si="194"/>
      </c>
      <c r="R33" s="795">
        <f t="shared" si="124"/>
      </c>
      <c r="S33" s="794">
        <f t="shared" si="139"/>
      </c>
      <c r="T33" s="796">
        <f t="shared" si="166"/>
      </c>
      <c r="U33" s="794">
        <f t="shared" si="180"/>
      </c>
      <c r="V33" s="797">
        <f t="shared" si="207"/>
      </c>
      <c r="W33" s="797"/>
      <c r="X33" s="797"/>
      <c r="Y33" s="791">
        <f>Y29+Y32</f>
      </c>
      <c r="Z33" s="791">
        <f>Z29+Z32</f>
      </c>
      <c r="AA33" s="791">
        <f>AA29+AA32</f>
      </c>
      <c r="AB33" s="791">
        <f>AB29+AB32</f>
      </c>
      <c r="AC33" s="791">
        <f>AC29+AC32</f>
      </c>
      <c r="AD33" s="791">
        <f>AD29+AD32</f>
      </c>
      <c r="AE33" s="791">
        <f>AE29+AE32</f>
      </c>
      <c r="AF33" s="791">
        <f>AF29+AF32</f>
      </c>
      <c r="AG33" s="791"/>
    </row>
    <row r="34">
      <c r="A34" s="731" t="s">
        <v>398</v>
      </c>
      <c r="B34" s="731"/>
      <c r="C34" s="731"/>
      <c r="D34" s="732" t="s">
        <v>399</v>
      </c>
      <c r="E34" s="732"/>
      <c r="F34" s="732"/>
      <c r="G34" s="732"/>
      <c r="H34" s="732"/>
      <c r="I34" s="732"/>
      <c r="J34" s="732"/>
      <c r="K34" s="734" t="s">
        <v>400</v>
      </c>
      <c r="L34" s="734"/>
      <c r="M34" s="734"/>
      <c r="N34" s="734"/>
      <c r="O34" s="734"/>
      <c r="P34" s="734"/>
      <c r="Q34" s="734"/>
      <c r="R34" s="734"/>
      <c r="S34" s="734"/>
      <c r="T34" s="734"/>
      <c r="U34" s="734"/>
      <c r="V34" s="734"/>
      <c r="W34" s="734"/>
      <c r="X34" s="734"/>
      <c r="Y34" s="735" t="s">
        <v>401</v>
      </c>
      <c r="Z34" s="735"/>
      <c r="AA34" s="735"/>
      <c r="AB34" s="735"/>
      <c r="AC34" s="735"/>
      <c r="AD34" s="735"/>
      <c r="AE34" s="735"/>
      <c r="AF34" s="735"/>
      <c r="AG34" s="735"/>
    </row>
    <row r="35">
      <c r="A35" s="737" t="s">
        <v>402</v>
      </c>
      <c r="B35" s="738" t="s">
        <v>403</v>
      </c>
      <c r="C35" s="738" t="s">
        <v>404</v>
      </c>
      <c r="D35" s="739" t="s">
        <v>405</v>
      </c>
      <c r="E35" s="740" t="s">
        <v>406</v>
      </c>
      <c r="F35" s="740" t="s">
        <v>407</v>
      </c>
      <c r="G35" s="741" t="s">
        <v>408</v>
      </c>
      <c r="H35" s="742" t="s">
        <v>409</v>
      </c>
      <c r="I35" s="743" t="s">
        <v>410</v>
      </c>
      <c r="J35" s="743"/>
      <c r="K35" s="798" t="s">
        <v>445</v>
      </c>
      <c r="L35" s="744" t="s">
        <v>411</v>
      </c>
      <c r="M35" s="744" t="s">
        <v>412</v>
      </c>
      <c r="N35" s="745" t="s">
        <v>413</v>
      </c>
      <c r="O35" s="745" t="s">
        <v>414</v>
      </c>
      <c r="P35" s="744" t="s">
        <v>415</v>
      </c>
      <c r="Q35" s="745" t="s">
        <v>416</v>
      </c>
      <c r="R35" s="745" t="s">
        <v>417</v>
      </c>
      <c r="S35" s="744" t="s">
        <v>418</v>
      </c>
      <c r="T35" s="745" t="s">
        <v>419</v>
      </c>
      <c r="U35" s="744" t="s">
        <v>420</v>
      </c>
      <c r="V35" s="746" t="s">
        <v>421</v>
      </c>
      <c r="W35" s="746" t="s">
        <v>422</v>
      </c>
      <c r="X35" s="746" t="s">
        <v>423</v>
      </c>
      <c r="Y35" s="747" t="s">
        <v>424</v>
      </c>
      <c r="Z35" s="748" t="s">
        <v>425</v>
      </c>
      <c r="AA35" s="748" t="s">
        <v>426</v>
      </c>
      <c r="AB35" s="748" t="s">
        <v>427</v>
      </c>
      <c r="AC35" s="748" t="s">
        <v>428</v>
      </c>
      <c r="AD35" s="748" t="s">
        <v>429</v>
      </c>
      <c r="AE35" s="748" t="s">
        <v>430</v>
      </c>
      <c r="AF35" s="748" t="s">
        <v>431</v>
      </c>
      <c r="AG35" s="748"/>
    </row>
    <row r="36">
      <c r="A36" s="749" t="s">
        <v>449</v>
      </c>
      <c r="B36" s="750" t="s">
        <v>433</v>
      </c>
      <c r="C36" s="751" t="s">
        <v>434</v>
      </c>
      <c r="D36" s="751">
        <f t="shared" ref="D36:D38" si="20">E36+F36</f>
      </c>
      <c r="E36" s="799">
        <v>4449</v>
      </c>
      <c r="F36" s="799">
        <v>1578.56</v>
      </c>
      <c r="G36" s="752">
        <v>3</v>
      </c>
      <c r="H36" s="752">
        <v>4085</v>
      </c>
      <c r="I36" s="753">
        <f t="shared" ref="I36:I44" si="69">H36/D36</f>
      </c>
      <c r="J36" s="753"/>
      <c r="K36" s="800">
        <f t="shared" ref="K36:K44" si="3">(D36/Z36)*1000</f>
      </c>
      <c r="L36" s="801">
        <f t="shared" ref="L36:L44" si="97">AA36/Z36</f>
      </c>
      <c r="M36" s="755">
        <f t="shared" ref="M36:M44" si="53">D36/AB36</f>
      </c>
      <c r="N36" s="754">
        <f t="shared" ref="N36:N44" si="111">AC36/AB36</f>
      </c>
      <c r="O36" s="754">
        <f t="shared" ref="O36:O44" si="154">AD36/AB36</f>
      </c>
      <c r="P36" s="755">
        <f t="shared" ref="P36:P44" si="83">D36/AD36</f>
      </c>
      <c r="Q36" s="754">
        <f t="shared" ref="Q36:Q44" si="195">AE36/AD36</f>
      </c>
      <c r="R36" s="754">
        <f t="shared" ref="R36:R44" si="125">G36/AE36</f>
      </c>
      <c r="S36" s="755">
        <f t="shared" ref="S36:S44" si="140">D36/G36</f>
      </c>
      <c r="T36" s="756">
        <f t="shared" ref="T36:T44" si="167">H36/G36</f>
      </c>
      <c r="U36" s="755">
        <f t="shared" ref="U36:U44" si="181">D36/Y36</f>
      </c>
      <c r="V36" s="757">
        <f t="shared" ref="V36:V44" si="208">AF36*1000/D36</f>
      </c>
      <c r="W36" s="758" t="s">
        <v>435</v>
      </c>
      <c r="X36" s="759" t="s">
        <v>447</v>
      </c>
      <c r="Y36" s="760">
        <v>3</v>
      </c>
      <c r="Z36" s="761">
        <v>26630</v>
      </c>
      <c r="AA36" s="761">
        <v>717</v>
      </c>
      <c r="AB36" s="761">
        <v>1008</v>
      </c>
      <c r="AC36" s="761">
        <v>145</v>
      </c>
      <c r="AD36" s="761">
        <v>66</v>
      </c>
      <c r="AE36" s="760">
        <v>5</v>
      </c>
      <c r="AF36" s="760">
        <v>43</v>
      </c>
      <c r="AG36" s="760"/>
    </row>
    <row r="37">
      <c r="A37" s="749"/>
      <c r="B37" s="750" t="s">
        <v>437</v>
      </c>
      <c r="C37" s="751" t="s">
        <v>434</v>
      </c>
      <c r="D37" s="751">
        <f t="shared" si="20"/>
      </c>
      <c r="E37" s="799">
        <v>2551</v>
      </c>
      <c r="F37" s="799">
        <v>1100.08</v>
      </c>
      <c r="G37" s="752">
        <v>1</v>
      </c>
      <c r="H37" s="752">
        <v>2268</v>
      </c>
      <c r="I37" s="753">
        <f t="shared" si="69"/>
      </c>
      <c r="J37" s="753"/>
      <c r="K37" s="800">
        <f t="shared" si="3"/>
      </c>
      <c r="L37" s="802">
        <f t="shared" si="97"/>
      </c>
      <c r="M37" s="765">
        <f t="shared" si="53"/>
      </c>
      <c r="N37" s="764">
        <f t="shared" si="111"/>
      </c>
      <c r="O37" s="764">
        <f t="shared" si="154"/>
      </c>
      <c r="P37" s="765">
        <f t="shared" si="83"/>
      </c>
      <c r="Q37" s="764">
        <f t="shared" si="195"/>
      </c>
      <c r="R37" s="764">
        <f t="shared" si="125"/>
      </c>
      <c r="S37" s="766">
        <f t="shared" si="140"/>
      </c>
      <c r="T37" s="767">
        <f t="shared" si="167"/>
      </c>
      <c r="U37" s="766">
        <f t="shared" si="181"/>
      </c>
      <c r="V37" s="768">
        <f t="shared" si="208"/>
      </c>
      <c r="W37" s="769" t="s">
        <v>435</v>
      </c>
      <c r="X37" s="770" t="s">
        <v>447</v>
      </c>
      <c r="Y37" s="771">
        <v>1</v>
      </c>
      <c r="Z37" s="772">
        <v>14251</v>
      </c>
      <c r="AA37" s="772">
        <v>490</v>
      </c>
      <c r="AB37" s="772">
        <v>727</v>
      </c>
      <c r="AC37" s="772">
        <v>112</v>
      </c>
      <c r="AD37" s="772">
        <v>61</v>
      </c>
      <c r="AE37" s="771">
        <v>9</v>
      </c>
      <c r="AF37" s="771">
        <v>29</v>
      </c>
      <c r="AG37" s="771"/>
    </row>
    <row r="38">
      <c r="A38" s="749"/>
      <c r="B38" s="750" t="s">
        <v>438</v>
      </c>
      <c r="C38" s="751" t="s">
        <v>434</v>
      </c>
      <c r="D38" s="751">
        <f t="shared" si="20"/>
      </c>
      <c r="E38" s="799">
        <v>1302.9</v>
      </c>
      <c r="F38" s="799">
        <v>1240.25</v>
      </c>
      <c r="G38" s="752">
        <v>1</v>
      </c>
      <c r="H38" s="752">
        <v>948</v>
      </c>
      <c r="I38" s="753">
        <f t="shared" si="69"/>
      </c>
      <c r="J38" s="753"/>
      <c r="K38" s="800">
        <f t="shared" si="3"/>
      </c>
      <c r="L38" s="803">
        <f t="shared" si="97"/>
      </c>
      <c r="M38" s="774">
        <f t="shared" si="53"/>
      </c>
      <c r="N38" s="773">
        <f t="shared" si="111"/>
      </c>
      <c r="O38" s="773">
        <f t="shared" si="154"/>
      </c>
      <c r="P38" s="774">
        <f t="shared" si="83"/>
      </c>
      <c r="Q38" s="773">
        <f t="shared" si="195"/>
      </c>
      <c r="R38" s="773">
        <f t="shared" si="125"/>
      </c>
      <c r="S38" s="775">
        <f t="shared" si="140"/>
      </c>
      <c r="T38" s="776">
        <f t="shared" si="167"/>
      </c>
      <c r="U38" s="775">
        <f t="shared" si="181"/>
      </c>
      <c r="V38" s="777">
        <f t="shared" si="208"/>
      </c>
      <c r="W38" s="778" t="s">
        <v>435</v>
      </c>
      <c r="X38" s="779" t="s">
        <v>447</v>
      </c>
      <c r="Y38" s="780">
        <v>1</v>
      </c>
      <c r="Z38" s="781">
        <v>10546</v>
      </c>
      <c r="AA38" s="781">
        <v>484</v>
      </c>
      <c r="AB38" s="781">
        <v>650</v>
      </c>
      <c r="AC38" s="781">
        <v>98</v>
      </c>
      <c r="AD38" s="781">
        <v>63</v>
      </c>
      <c r="AE38" s="780">
        <v>5</v>
      </c>
      <c r="AF38" s="780">
        <v>32</v>
      </c>
      <c r="AG38" s="780"/>
    </row>
    <row r="39">
      <c r="A39" s="749"/>
      <c r="B39" s="782" t="s">
        <v>440</v>
      </c>
      <c r="C39" s="782"/>
      <c r="D39" s="783">
        <f>SUM(D36:D38)</f>
      </c>
      <c r="E39" s="783">
        <f>SUM(E36:E38)</f>
      </c>
      <c r="F39" s="783">
        <f>SUM(F36:F38)</f>
      </c>
      <c r="G39" s="783">
        <f>SUM(G36:G38)</f>
      </c>
      <c r="H39" s="783">
        <f>SUM(H36:H38)</f>
      </c>
      <c r="I39" s="804">
        <f t="shared" si="69"/>
      </c>
      <c r="J39" s="804"/>
      <c r="K39" s="805">
        <f t="shared" si="3"/>
      </c>
      <c r="L39" s="806">
        <f t="shared" si="97"/>
      </c>
      <c r="M39" s="786">
        <f t="shared" si="53"/>
      </c>
      <c r="N39" s="785">
        <f t="shared" si="111"/>
      </c>
      <c r="O39" s="785">
        <f t="shared" si="154"/>
      </c>
      <c r="P39" s="786">
        <f t="shared" si="83"/>
      </c>
      <c r="Q39" s="785">
        <f t="shared" si="195"/>
      </c>
      <c r="R39" s="785">
        <f t="shared" si="125"/>
      </c>
      <c r="S39" s="787">
        <f t="shared" si="140"/>
      </c>
      <c r="T39" s="788">
        <f t="shared" si="167"/>
      </c>
      <c r="U39" s="787">
        <f t="shared" si="181"/>
      </c>
      <c r="V39" s="789">
        <f t="shared" si="208"/>
      </c>
      <c r="W39" s="789"/>
      <c r="X39" s="789"/>
      <c r="Y39" s="783">
        <f>SUM(Y36:Y38)</f>
      </c>
      <c r="Z39" s="783">
        <f>SUM(Z36:Z38)</f>
      </c>
      <c r="AA39" s="783">
        <f>SUM(AA36:AA38)</f>
      </c>
      <c r="AB39" s="783">
        <f>SUM(AB36:AB38)</f>
      </c>
      <c r="AC39" s="783">
        <f>SUM(AC36:AC38)</f>
      </c>
      <c r="AD39" s="783">
        <f>SUM(AD36:AD38)</f>
      </c>
      <c r="AE39" s="783">
        <f>SUM(AE36:AE38)</f>
      </c>
      <c r="AF39" s="783">
        <f>SUM(AF36:AF38)</f>
      </c>
      <c r="AG39" s="783"/>
    </row>
    <row r="40">
      <c r="A40" s="749"/>
      <c r="B40" s="750" t="s">
        <v>439</v>
      </c>
      <c r="C40" s="751" t="s">
        <v>442</v>
      </c>
      <c r="D40" s="751">
        <f t="shared" ref="D40:D42" si="21">E40+F40</f>
      </c>
      <c r="E40" s="799">
        <v>2858.44</v>
      </c>
      <c r="F40" s="799">
        <v>841.75</v>
      </c>
      <c r="G40" s="752">
        <v>3</v>
      </c>
      <c r="H40" s="752">
        <v>4164</v>
      </c>
      <c r="I40" s="753">
        <f t="shared" si="69"/>
      </c>
      <c r="J40" s="753"/>
      <c r="K40" s="800">
        <f t="shared" si="3"/>
      </c>
      <c r="L40" s="803">
        <f t="shared" si="97"/>
      </c>
      <c r="M40" s="774">
        <f t="shared" si="53"/>
      </c>
      <c r="N40" s="773">
        <f t="shared" si="111"/>
      </c>
      <c r="O40" s="773">
        <f t="shared" si="154"/>
      </c>
      <c r="P40" s="774">
        <f t="shared" si="83"/>
      </c>
      <c r="Q40" s="773">
        <f t="shared" si="195"/>
      </c>
      <c r="R40" s="773">
        <f t="shared" si="125"/>
      </c>
      <c r="S40" s="775">
        <f t="shared" si="140"/>
      </c>
      <c r="T40" s="776">
        <f t="shared" si="167"/>
      </c>
      <c r="U40" s="775">
        <f t="shared" si="181"/>
      </c>
      <c r="V40" s="777">
        <f t="shared" si="208"/>
      </c>
      <c r="W40" s="778" t="s">
        <v>435</v>
      </c>
      <c r="X40" s="779" t="s">
        <v>447</v>
      </c>
      <c r="Y40" s="780">
        <v>3</v>
      </c>
      <c r="Z40" s="781">
        <v>16175</v>
      </c>
      <c r="AA40" s="781">
        <v>509</v>
      </c>
      <c r="AB40" s="781">
        <v>711</v>
      </c>
      <c r="AC40" s="781">
        <v>96</v>
      </c>
      <c r="AD40" s="781">
        <v>47</v>
      </c>
      <c r="AE40" s="780">
        <v>7</v>
      </c>
      <c r="AF40" s="780">
        <v>34</v>
      </c>
      <c r="AG40" s="780"/>
    </row>
    <row r="41">
      <c r="A41" s="749"/>
      <c r="B41" s="750" t="s">
        <v>441</v>
      </c>
      <c r="C41" s="751" t="s">
        <v>442</v>
      </c>
      <c r="D41" s="751">
        <f t="shared" si="21"/>
      </c>
      <c r="E41" s="799">
        <v>2559.18</v>
      </c>
      <c r="F41" s="799">
        <v>1023.68</v>
      </c>
      <c r="G41" s="790">
        <v>1</v>
      </c>
      <c r="H41" s="790">
        <v>948</v>
      </c>
      <c r="I41" s="753">
        <f t="shared" si="69"/>
      </c>
      <c r="J41" s="753"/>
      <c r="K41" s="807">
        <f t="shared" si="3"/>
      </c>
      <c r="L41" s="803">
        <f t="shared" si="97"/>
      </c>
      <c r="M41" s="774">
        <f t="shared" si="53"/>
      </c>
      <c r="N41" s="773">
        <f t="shared" si="111"/>
      </c>
      <c r="O41" s="773">
        <f t="shared" si="154"/>
      </c>
      <c r="P41" s="774">
        <f t="shared" si="83"/>
      </c>
      <c r="Q41" s="773">
        <f t="shared" si="195"/>
      </c>
      <c r="R41" s="773">
        <f t="shared" si="125"/>
      </c>
      <c r="S41" s="775">
        <f t="shared" si="140"/>
      </c>
      <c r="T41" s="776">
        <f t="shared" si="167"/>
      </c>
      <c r="U41" s="775">
        <f t="shared" si="181"/>
      </c>
      <c r="V41" s="777">
        <f t="shared" si="208"/>
      </c>
      <c r="W41" s="778" t="s">
        <v>435</v>
      </c>
      <c r="X41" s="779" t="s">
        <v>447</v>
      </c>
      <c r="Y41" s="780">
        <v>1</v>
      </c>
      <c r="Z41" s="781">
        <v>16910</v>
      </c>
      <c r="AA41" s="781">
        <v>703</v>
      </c>
      <c r="AB41" s="781">
        <v>937</v>
      </c>
      <c r="AC41" s="781">
        <v>105</v>
      </c>
      <c r="AD41" s="781">
        <v>56</v>
      </c>
      <c r="AE41" s="780">
        <v>7</v>
      </c>
      <c r="AF41" s="780">
        <v>72</v>
      </c>
      <c r="AG41" s="780"/>
    </row>
    <row r="42">
      <c r="A42" s="749"/>
      <c r="B42" s="750" t="s">
        <v>443</v>
      </c>
      <c r="C42" s="751" t="s">
        <v>442</v>
      </c>
      <c r="D42" s="751">
        <f t="shared" si="21"/>
      </c>
      <c r="E42" s="799">
        <v>1743.81</v>
      </c>
      <c r="F42" s="799">
        <v>813.72</v>
      </c>
      <c r="G42" s="752">
        <v>7</v>
      </c>
      <c r="H42" s="752">
        <v>11916</v>
      </c>
      <c r="I42" s="753">
        <f t="shared" si="69"/>
      </c>
      <c r="J42" s="753"/>
      <c r="K42" s="807">
        <f t="shared" si="3"/>
      </c>
      <c r="L42" s="803">
        <f t="shared" si="97"/>
      </c>
      <c r="M42" s="774">
        <f t="shared" si="53"/>
      </c>
      <c r="N42" s="773">
        <f t="shared" si="111"/>
      </c>
      <c r="O42" s="773">
        <f t="shared" si="154"/>
      </c>
      <c r="P42" s="774">
        <f t="shared" si="83"/>
      </c>
      <c r="Q42" s="773">
        <f t="shared" si="195"/>
      </c>
      <c r="R42" s="773">
        <f t="shared" si="125"/>
      </c>
      <c r="S42" s="775">
        <f t="shared" si="140"/>
      </c>
      <c r="T42" s="776">
        <f t="shared" si="167"/>
      </c>
      <c r="U42" s="775">
        <f t="shared" si="181"/>
      </c>
      <c r="V42" s="777">
        <f t="shared" si="208"/>
      </c>
      <c r="W42" s="778" t="s">
        <v>435</v>
      </c>
      <c r="X42" s="779" t="s">
        <v>447</v>
      </c>
      <c r="Y42" s="780">
        <v>6</v>
      </c>
      <c r="Z42" s="781">
        <v>10513</v>
      </c>
      <c r="AA42" s="781">
        <v>594</v>
      </c>
      <c r="AB42" s="781">
        <v>722</v>
      </c>
      <c r="AC42" s="781">
        <v>92</v>
      </c>
      <c r="AD42" s="781">
        <v>59</v>
      </c>
      <c r="AE42" s="780">
        <v>10</v>
      </c>
      <c r="AF42" s="780">
        <v>29</v>
      </c>
      <c r="AG42" s="780"/>
    </row>
    <row r="43">
      <c r="A43" s="749"/>
      <c r="B43" s="782" t="s">
        <v>440</v>
      </c>
      <c r="C43" s="782"/>
      <c r="D43" s="783">
        <f>SUM(D40:D42)</f>
      </c>
      <c r="E43" s="783">
        <f>SUM(E40:E42)</f>
      </c>
      <c r="F43" s="783">
        <f>SUM(F40:F42)</f>
      </c>
      <c r="G43" s="783">
        <f>SUM(G40:G42)</f>
      </c>
      <c r="H43" s="783">
        <f>SUM(H40:H42)</f>
      </c>
      <c r="I43" s="804">
        <f t="shared" si="69"/>
      </c>
      <c r="J43" s="804"/>
      <c r="K43" s="808">
        <f t="shared" si="3"/>
      </c>
      <c r="L43" s="806">
        <f t="shared" si="97"/>
      </c>
      <c r="M43" s="786">
        <f t="shared" si="53"/>
      </c>
      <c r="N43" s="785">
        <f t="shared" si="111"/>
      </c>
      <c r="O43" s="785">
        <f t="shared" si="154"/>
      </c>
      <c r="P43" s="786">
        <f t="shared" si="83"/>
      </c>
      <c r="Q43" s="785">
        <f t="shared" si="195"/>
      </c>
      <c r="R43" s="785">
        <f t="shared" si="125"/>
      </c>
      <c r="S43" s="787">
        <f t="shared" si="140"/>
      </c>
      <c r="T43" s="788">
        <f t="shared" si="167"/>
      </c>
      <c r="U43" s="787">
        <f t="shared" si="181"/>
      </c>
      <c r="V43" s="789">
        <f t="shared" si="208"/>
      </c>
      <c r="W43" s="789"/>
      <c r="X43" s="789"/>
      <c r="Y43" s="783">
        <f>SUM(Y40:Y42)</f>
      </c>
      <c r="Z43" s="783">
        <f>SUM(Z40:Z42)</f>
      </c>
      <c r="AA43" s="783">
        <f>SUM(AA40:AA42)</f>
      </c>
      <c r="AB43" s="783">
        <f>SUM(AB40:AB42)</f>
      </c>
      <c r="AC43" s="783">
        <f>SUM(AC40:AC42)</f>
      </c>
      <c r="AD43" s="783">
        <f>SUM(AD40:AD42)</f>
      </c>
      <c r="AE43" s="783">
        <f>SUM(AE40:AE42)</f>
      </c>
      <c r="AF43" s="783">
        <f>SUM(AF40:AF42)</f>
      </c>
      <c r="AG43" s="783"/>
    </row>
    <row r="44">
      <c r="A44" s="749"/>
      <c r="B44" s="791" t="s">
        <v>444</v>
      </c>
      <c r="C44" s="791"/>
      <c r="D44" s="791">
        <f>D39+D43</f>
      </c>
      <c r="E44" s="791">
        <f>E39+E43</f>
      </c>
      <c r="F44" s="791">
        <f>F39+F43</f>
      </c>
      <c r="G44" s="791">
        <f>G39+G43</f>
      </c>
      <c r="H44" s="791">
        <f>H39+H43</f>
      </c>
      <c r="I44" s="792">
        <f t="shared" si="69"/>
      </c>
      <c r="J44" s="792"/>
      <c r="K44" s="797">
        <f t="shared" si="3"/>
      </c>
      <c r="L44" s="809">
        <f t="shared" si="97"/>
      </c>
      <c r="M44" s="794">
        <f t="shared" si="53"/>
      </c>
      <c r="N44" s="795">
        <f t="shared" si="111"/>
      </c>
      <c r="O44" s="795">
        <f t="shared" si="154"/>
      </c>
      <c r="P44" s="794">
        <f t="shared" si="83"/>
      </c>
      <c r="Q44" s="795">
        <f t="shared" si="195"/>
      </c>
      <c r="R44" s="795">
        <f t="shared" si="125"/>
      </c>
      <c r="S44" s="794">
        <f t="shared" si="140"/>
      </c>
      <c r="T44" s="796">
        <f t="shared" si="167"/>
      </c>
      <c r="U44" s="794">
        <f t="shared" si="181"/>
      </c>
      <c r="V44" s="797">
        <f t="shared" si="208"/>
      </c>
      <c r="W44" s="797"/>
      <c r="X44" s="797"/>
      <c r="Y44" s="791">
        <f>Y39+Y43</f>
      </c>
      <c r="Z44" s="791">
        <f>Z39+Z43</f>
      </c>
      <c r="AA44" s="791">
        <f>AA39+AA43</f>
      </c>
      <c r="AB44" s="791">
        <f>AB39+AB43</f>
      </c>
      <c r="AC44" s="791">
        <f>AC39+AC43</f>
      </c>
      <c r="AD44" s="791">
        <f>AD39+AD43</f>
      </c>
      <c r="AE44" s="791">
        <f>AE39+AE43</f>
      </c>
      <c r="AF44" s="791">
        <f>AF39+AF43</f>
      </c>
      <c r="AG44" s="791"/>
    </row>
    <row r="45">
      <c r="A45" s="731" t="s">
        <v>398</v>
      </c>
      <c r="B45" s="731"/>
      <c r="C45" s="731"/>
      <c r="D45" s="732" t="s">
        <v>399</v>
      </c>
      <c r="E45" s="732"/>
      <c r="F45" s="732"/>
      <c r="G45" s="732"/>
      <c r="H45" s="732"/>
      <c r="I45" s="732"/>
      <c r="J45" s="732"/>
      <c r="K45" s="734" t="s">
        <v>400</v>
      </c>
      <c r="L45" s="734"/>
      <c r="M45" s="734"/>
      <c r="N45" s="734"/>
      <c r="O45" s="734"/>
      <c r="P45" s="734"/>
      <c r="Q45" s="734"/>
      <c r="R45" s="734"/>
      <c r="S45" s="734"/>
      <c r="T45" s="734"/>
      <c r="U45" s="734"/>
      <c r="V45" s="734"/>
      <c r="W45" s="734"/>
      <c r="X45" s="734"/>
      <c r="Y45" s="735" t="s">
        <v>401</v>
      </c>
      <c r="Z45" s="735"/>
      <c r="AA45" s="735"/>
      <c r="AB45" s="735"/>
      <c r="AC45" s="735"/>
      <c r="AD45" s="735"/>
      <c r="AE45" s="735"/>
      <c r="AF45" s="735"/>
      <c r="AG45" s="735"/>
    </row>
    <row r="46">
      <c r="A46" s="737" t="s">
        <v>402</v>
      </c>
      <c r="B46" s="738" t="s">
        <v>403</v>
      </c>
      <c r="C46" s="738" t="s">
        <v>404</v>
      </c>
      <c r="D46" s="739" t="s">
        <v>405</v>
      </c>
      <c r="E46" s="740" t="s">
        <v>406</v>
      </c>
      <c r="F46" s="740" t="s">
        <v>407</v>
      </c>
      <c r="G46" s="741" t="s">
        <v>408</v>
      </c>
      <c r="H46" s="742" t="s">
        <v>409</v>
      </c>
      <c r="I46" s="743" t="s">
        <v>410</v>
      </c>
      <c r="J46" s="743"/>
      <c r="K46" s="798" t="s">
        <v>445</v>
      </c>
      <c r="L46" s="744" t="s">
        <v>411</v>
      </c>
      <c r="M46" s="744" t="s">
        <v>412</v>
      </c>
      <c r="N46" s="745" t="s">
        <v>413</v>
      </c>
      <c r="O46" s="745" t="s">
        <v>414</v>
      </c>
      <c r="P46" s="744" t="s">
        <v>415</v>
      </c>
      <c r="Q46" s="745" t="s">
        <v>416</v>
      </c>
      <c r="R46" s="745" t="s">
        <v>417</v>
      </c>
      <c r="S46" s="744" t="s">
        <v>418</v>
      </c>
      <c r="T46" s="745" t="s">
        <v>419</v>
      </c>
      <c r="U46" s="744" t="s">
        <v>420</v>
      </c>
      <c r="V46" s="746" t="s">
        <v>421</v>
      </c>
      <c r="W46" s="746" t="s">
        <v>422</v>
      </c>
      <c r="X46" s="746" t="s">
        <v>423</v>
      </c>
      <c r="Y46" s="747" t="s">
        <v>424</v>
      </c>
      <c r="Z46" s="748" t="s">
        <v>425</v>
      </c>
      <c r="AA46" s="748" t="s">
        <v>426</v>
      </c>
      <c r="AB46" s="748" t="s">
        <v>427</v>
      </c>
      <c r="AC46" s="748" t="s">
        <v>428</v>
      </c>
      <c r="AD46" s="748" t="s">
        <v>429</v>
      </c>
      <c r="AE46" s="748" t="s">
        <v>430</v>
      </c>
      <c r="AF46" s="748" t="s">
        <v>431</v>
      </c>
      <c r="AG46" s="748"/>
    </row>
    <row r="47">
      <c r="A47" s="749" t="s">
        <v>450</v>
      </c>
      <c r="B47" s="750" t="s">
        <v>433</v>
      </c>
      <c r="C47" s="751" t="s">
        <v>434</v>
      </c>
      <c r="D47" s="751">
        <f t="shared" ref="D47:D49" si="22">E47+F47</f>
      </c>
      <c r="E47" s="799">
        <v>3270.26</v>
      </c>
      <c r="F47" s="799">
        <v>1383.73</v>
      </c>
      <c r="G47" s="752">
        <v>4</v>
      </c>
      <c r="H47" s="752">
        <v>3792</v>
      </c>
      <c r="I47" s="753">
        <f t="shared" ref="I47:I57" si="70">H47/D47</f>
      </c>
      <c r="J47" s="753"/>
      <c r="K47" s="800">
        <f t="shared" ref="K47:K57" si="4">(D47/Z47)*1000</f>
      </c>
      <c r="L47" s="801">
        <f t="shared" ref="L47:L57" si="98">AA47/Z47</f>
      </c>
      <c r="M47" s="755">
        <f t="shared" ref="M47:M57" si="54">D47/AB47</f>
      </c>
      <c r="N47" s="754">
        <f t="shared" ref="N47:N57" si="112">AC47/AB47</f>
      </c>
      <c r="O47" s="754">
        <f t="shared" ref="O47:O57" si="155">AD47/AB47</f>
      </c>
      <c r="P47" s="755">
        <f t="shared" ref="P47:P57" si="84">D47/AD47</f>
      </c>
      <c r="Q47" s="754">
        <f t="shared" ref="Q47:Q57" si="196">AE47/AD47</f>
      </c>
      <c r="R47" s="754">
        <f t="shared" ref="R47:R57" si="126">G47/AE47</f>
      </c>
      <c r="S47" s="755">
        <f t="shared" ref="S47:S57" si="141">D47/G47</f>
      </c>
      <c r="T47" s="756">
        <f t="shared" ref="T47:T57" si="168">H47/G47</f>
      </c>
      <c r="U47" s="755">
        <f t="shared" ref="U47:U57" si="182">D47/Y47</f>
      </c>
      <c r="V47" s="757">
        <f t="shared" ref="V47:V57" si="209">AF47*1000/D47</f>
      </c>
      <c r="W47" s="758" t="s">
        <v>435</v>
      </c>
      <c r="X47" s="759" t="s">
        <v>447</v>
      </c>
      <c r="Y47" s="760">
        <v>4</v>
      </c>
      <c r="Z47" s="761">
        <v>21675</v>
      </c>
      <c r="AA47" s="761">
        <v>925</v>
      </c>
      <c r="AB47" s="761">
        <v>1107</v>
      </c>
      <c r="AC47" s="761">
        <v>137</v>
      </c>
      <c r="AD47" s="761">
        <v>75</v>
      </c>
      <c r="AE47" s="760">
        <v>12</v>
      </c>
      <c r="AF47" s="760">
        <v>36</v>
      </c>
      <c r="AG47" s="760"/>
    </row>
    <row r="48">
      <c r="A48" s="749"/>
      <c r="B48" s="750" t="s">
        <v>437</v>
      </c>
      <c r="C48" s="751" t="s">
        <v>434</v>
      </c>
      <c r="D48" s="751">
        <f t="shared" si="22"/>
      </c>
      <c r="E48" s="799">
        <v>2429.74</v>
      </c>
      <c r="F48" s="799">
        <v>1804.11</v>
      </c>
      <c r="G48" s="752">
        <v>4</v>
      </c>
      <c r="H48" s="752">
        <v>5033</v>
      </c>
      <c r="I48" s="753">
        <f t="shared" si="70"/>
      </c>
      <c r="J48" s="753"/>
      <c r="K48" s="800">
        <f t="shared" si="4"/>
      </c>
      <c r="L48" s="802">
        <f t="shared" si="98"/>
      </c>
      <c r="M48" s="765">
        <f t="shared" si="54"/>
      </c>
      <c r="N48" s="764">
        <f t="shared" si="112"/>
      </c>
      <c r="O48" s="764">
        <f t="shared" si="155"/>
      </c>
      <c r="P48" s="765">
        <f t="shared" si="84"/>
      </c>
      <c r="Q48" s="764">
        <f t="shared" si="196"/>
      </c>
      <c r="R48" s="764">
        <f t="shared" si="126"/>
      </c>
      <c r="S48" s="766">
        <f t="shared" si="141"/>
      </c>
      <c r="T48" s="767">
        <f t="shared" si="168"/>
      </c>
      <c r="U48" s="766">
        <f t="shared" si="182"/>
      </c>
      <c r="V48" s="768">
        <f t="shared" si="209"/>
      </c>
      <c r="W48" s="769" t="s">
        <v>435</v>
      </c>
      <c r="X48" s="770" t="s">
        <v>447</v>
      </c>
      <c r="Y48" s="771">
        <v>3</v>
      </c>
      <c r="Z48" s="772">
        <v>18442</v>
      </c>
      <c r="AA48" s="772">
        <v>889</v>
      </c>
      <c r="AB48" s="772">
        <v>1110</v>
      </c>
      <c r="AC48" s="772">
        <v>127</v>
      </c>
      <c r="AD48" s="771">
        <v>83</v>
      </c>
      <c r="AE48" s="771">
        <v>9</v>
      </c>
      <c r="AF48" s="771">
        <v>53</v>
      </c>
      <c r="AG48" s="771"/>
    </row>
    <row r="49">
      <c r="A49" s="749"/>
      <c r="B49" s="750" t="s">
        <v>438</v>
      </c>
      <c r="C49" s="751" t="s">
        <v>434</v>
      </c>
      <c r="D49" s="751">
        <f t="shared" si="22"/>
      </c>
      <c r="E49" s="799">
        <v>3578.08</v>
      </c>
      <c r="F49" s="799">
        <v>1363.58</v>
      </c>
      <c r="G49" s="752">
        <v>4</v>
      </c>
      <c r="H49" s="752">
        <v>6432</v>
      </c>
      <c r="I49" s="753">
        <f t="shared" si="70"/>
      </c>
      <c r="J49" s="753"/>
      <c r="K49" s="800">
        <f t="shared" si="4"/>
      </c>
      <c r="L49" s="803">
        <f t="shared" si="98"/>
      </c>
      <c r="M49" s="774">
        <f t="shared" si="54"/>
      </c>
      <c r="N49" s="773">
        <f t="shared" si="112"/>
      </c>
      <c r="O49" s="773">
        <f t="shared" si="155"/>
      </c>
      <c r="P49" s="774">
        <f t="shared" si="84"/>
      </c>
      <c r="Q49" s="773">
        <f t="shared" si="196"/>
      </c>
      <c r="R49" s="773">
        <f t="shared" si="126"/>
      </c>
      <c r="S49" s="775">
        <f t="shared" si="141"/>
      </c>
      <c r="T49" s="776">
        <f t="shared" si="168"/>
      </c>
      <c r="U49" s="775">
        <f t="shared" si="182"/>
      </c>
      <c r="V49" s="777">
        <f t="shared" si="209"/>
      </c>
      <c r="W49" s="778" t="s">
        <v>435</v>
      </c>
      <c r="X49" s="779" t="s">
        <v>447</v>
      </c>
      <c r="Y49" s="780">
        <v>3</v>
      </c>
      <c r="Z49" s="781">
        <v>24165</v>
      </c>
      <c r="AA49" s="781">
        <v>835</v>
      </c>
      <c r="AB49" s="781">
        <v>992</v>
      </c>
      <c r="AC49" s="781">
        <v>135</v>
      </c>
      <c r="AD49" s="780">
        <v>94</v>
      </c>
      <c r="AE49" s="780">
        <v>10</v>
      </c>
      <c r="AF49" s="780">
        <v>40</v>
      </c>
      <c r="AG49" s="780"/>
    </row>
    <row r="50">
      <c r="A50" s="749"/>
      <c r="B50" s="782" t="s">
        <v>440</v>
      </c>
      <c r="C50" s="782"/>
      <c r="D50" s="783">
        <f>SUM(D47:D49)</f>
      </c>
      <c r="E50" s="783">
        <f>SUM(E47:E49)</f>
      </c>
      <c r="F50" s="783">
        <f>SUM(F47:F49)</f>
      </c>
      <c r="G50" s="783">
        <f>SUM(G47:G49)</f>
      </c>
      <c r="H50" s="783">
        <f>SUM(H47:H49)</f>
      </c>
      <c r="I50" s="804">
        <f t="shared" si="70"/>
      </c>
      <c r="J50" s="804"/>
      <c r="K50" s="805">
        <f t="shared" si="4"/>
      </c>
      <c r="L50" s="806">
        <f t="shared" si="98"/>
      </c>
      <c r="M50" s="786">
        <f t="shared" si="54"/>
      </c>
      <c r="N50" s="785">
        <f t="shared" si="112"/>
      </c>
      <c r="O50" s="785">
        <f t="shared" si="155"/>
      </c>
      <c r="P50" s="786">
        <f t="shared" si="84"/>
      </c>
      <c r="Q50" s="785">
        <f t="shared" si="196"/>
      </c>
      <c r="R50" s="785">
        <f t="shared" si="126"/>
      </c>
      <c r="S50" s="787">
        <f t="shared" si="141"/>
      </c>
      <c r="T50" s="788">
        <f t="shared" si="168"/>
      </c>
      <c r="U50" s="787">
        <f t="shared" si="182"/>
      </c>
      <c r="V50" s="789">
        <f t="shared" si="209"/>
      </c>
      <c r="W50" s="789"/>
      <c r="X50" s="789"/>
      <c r="Y50" s="783">
        <f>SUM(Y47:Y49)</f>
      </c>
      <c r="Z50" s="783">
        <f>SUM(Z47:Z49)</f>
      </c>
      <c r="AA50" s="783">
        <f>SUM(AA47:AA49)</f>
      </c>
      <c r="AB50" s="783">
        <f>SUM(AB47:AB49)</f>
      </c>
      <c r="AC50" s="783">
        <f>SUM(AC47:AC49)</f>
      </c>
      <c r="AD50" s="783">
        <f>SUM(AD47:AD49)</f>
      </c>
      <c r="AE50" s="783">
        <f>SUM(AE47:AE49)</f>
      </c>
      <c r="AF50" s="783">
        <f>SUM(AF47:AF49)</f>
      </c>
      <c r="AG50" s="783"/>
    </row>
    <row r="51">
      <c r="A51" s="749"/>
      <c r="B51" s="750" t="s">
        <v>439</v>
      </c>
      <c r="C51" s="751" t="s">
        <v>442</v>
      </c>
      <c r="D51" s="751">
        <f t="shared" ref="D51:D55" si="23">E51+F51</f>
      </c>
      <c r="E51" s="799">
        <v>2421.92</v>
      </c>
      <c r="F51" s="799">
        <v>1376.53</v>
      </c>
      <c r="G51" s="752">
        <v>1</v>
      </c>
      <c r="H51" s="752">
        <v>2268</v>
      </c>
      <c r="I51" s="753">
        <f t="shared" si="70"/>
      </c>
      <c r="J51" s="753"/>
      <c r="K51" s="800">
        <f t="shared" si="4"/>
      </c>
      <c r="L51" s="803">
        <f t="shared" si="98"/>
      </c>
      <c r="M51" s="774">
        <f t="shared" si="54"/>
      </c>
      <c r="N51" s="773">
        <f t="shared" si="112"/>
      </c>
      <c r="O51" s="773">
        <f t="shared" si="155"/>
      </c>
      <c r="P51" s="774">
        <f t="shared" si="84"/>
      </c>
      <c r="Q51" s="773">
        <f t="shared" si="196"/>
      </c>
      <c r="R51" s="773">
        <f t="shared" si="126"/>
      </c>
      <c r="S51" s="775">
        <f t="shared" si="141"/>
      </c>
      <c r="T51" s="776">
        <f t="shared" si="168"/>
      </c>
      <c r="U51" s="775">
        <f t="shared" si="182"/>
      </c>
      <c r="V51" s="777">
        <f t="shared" si="209"/>
      </c>
      <c r="W51" s="778" t="s">
        <v>435</v>
      </c>
      <c r="X51" s="779" t="s">
        <v>447</v>
      </c>
      <c r="Y51" s="780">
        <v>1</v>
      </c>
      <c r="Z51" s="781">
        <v>19083</v>
      </c>
      <c r="AA51" s="781">
        <v>475</v>
      </c>
      <c r="AB51" s="781">
        <v>623</v>
      </c>
      <c r="AC51" s="781">
        <v>93</v>
      </c>
      <c r="AD51" s="780">
        <v>48</v>
      </c>
      <c r="AE51" s="780">
        <v>6</v>
      </c>
      <c r="AF51" s="780">
        <v>28</v>
      </c>
      <c r="AG51" s="780"/>
    </row>
    <row r="52">
      <c r="A52" s="749"/>
      <c r="B52" s="750" t="s">
        <v>441</v>
      </c>
      <c r="C52" s="751" t="s">
        <v>442</v>
      </c>
      <c r="D52" s="751">
        <f t="shared" si="23"/>
      </c>
      <c r="E52" s="799">
        <v>1474.3</v>
      </c>
      <c r="F52" s="799">
        <v>1077.15</v>
      </c>
      <c r="G52" s="790">
        <v>2</v>
      </c>
      <c r="H52" s="790">
        <v>4536</v>
      </c>
      <c r="I52" s="753">
        <f t="shared" si="70"/>
      </c>
      <c r="J52" s="753"/>
      <c r="K52" s="807">
        <f t="shared" si="4"/>
      </c>
      <c r="L52" s="803">
        <f t="shared" si="98"/>
      </c>
      <c r="M52" s="774">
        <f t="shared" si="54"/>
      </c>
      <c r="N52" s="773">
        <f t="shared" si="112"/>
      </c>
      <c r="O52" s="773">
        <f t="shared" si="155"/>
      </c>
      <c r="P52" s="774">
        <f t="shared" si="84"/>
      </c>
      <c r="Q52" s="773">
        <f t="shared" si="196"/>
      </c>
      <c r="R52" s="773">
        <f t="shared" si="126"/>
      </c>
      <c r="S52" s="775">
        <f t="shared" si="141"/>
      </c>
      <c r="T52" s="776">
        <f t="shared" si="168"/>
      </c>
      <c r="U52" s="775">
        <f t="shared" si="182"/>
      </c>
      <c r="V52" s="777">
        <f t="shared" si="209"/>
      </c>
      <c r="W52" s="778" t="s">
        <v>435</v>
      </c>
      <c r="X52" s="779" t="s">
        <v>447</v>
      </c>
      <c r="Y52" s="780">
        <v>2</v>
      </c>
      <c r="Z52" s="781">
        <v>12002</v>
      </c>
      <c r="AA52" s="781">
        <v>377</v>
      </c>
      <c r="AB52" s="781">
        <v>515</v>
      </c>
      <c r="AC52" s="781">
        <v>55</v>
      </c>
      <c r="AD52" s="781">
        <v>40</v>
      </c>
      <c r="AE52" s="780">
        <v>4</v>
      </c>
      <c r="AF52" s="780">
        <v>22</v>
      </c>
      <c r="AG52" s="780"/>
    </row>
    <row r="53">
      <c r="A53" s="749"/>
      <c r="B53" s="750" t="s">
        <v>443</v>
      </c>
      <c r="C53" s="751" t="s">
        <v>442</v>
      </c>
      <c r="D53" s="751">
        <f t="shared" si="23"/>
      </c>
      <c r="E53" s="799">
        <v>6156.54</v>
      </c>
      <c r="F53" s="799">
        <v>601.36</v>
      </c>
      <c r="G53" s="752">
        <v>6</v>
      </c>
      <c r="H53" s="752">
        <v>9648</v>
      </c>
      <c r="I53" s="753">
        <f t="shared" si="70"/>
      </c>
      <c r="J53" s="753"/>
      <c r="K53" s="807">
        <f t="shared" si="4"/>
      </c>
      <c r="L53" s="803">
        <f t="shared" si="98"/>
      </c>
      <c r="M53" s="774">
        <f t="shared" si="54"/>
      </c>
      <c r="N53" s="773">
        <f t="shared" si="112"/>
      </c>
      <c r="O53" s="773">
        <f t="shared" si="155"/>
      </c>
      <c r="P53" s="774">
        <f t="shared" si="84"/>
      </c>
      <c r="Q53" s="773">
        <f t="shared" si="196"/>
      </c>
      <c r="R53" s="773">
        <f t="shared" si="126"/>
      </c>
      <c r="S53" s="775">
        <f t="shared" si="141"/>
      </c>
      <c r="T53" s="776">
        <f t="shared" si="168"/>
      </c>
      <c r="U53" s="775">
        <f t="shared" si="182"/>
      </c>
      <c r="V53" s="777">
        <f t="shared" si="209"/>
      </c>
      <c r="W53" s="778" t="s">
        <v>435</v>
      </c>
      <c r="X53" s="779" t="s">
        <v>447</v>
      </c>
      <c r="Y53" s="780">
        <v>6</v>
      </c>
      <c r="Z53" s="781">
        <v>39112</v>
      </c>
      <c r="AA53" s="781">
        <v>735</v>
      </c>
      <c r="AB53" s="781">
        <v>820</v>
      </c>
      <c r="AC53" s="781">
        <v>149</v>
      </c>
      <c r="AD53" s="781">
        <v>117</v>
      </c>
      <c r="AE53" s="780">
        <v>16</v>
      </c>
      <c r="AF53" s="780">
        <v>45</v>
      </c>
      <c r="AG53" s="780"/>
    </row>
    <row customHeight="true" ht="18.452380952380953" r="54">
      <c r="A54" s="749"/>
      <c r="B54" s="750" t="s">
        <v>451</v>
      </c>
      <c r="C54" s="751" t="s">
        <v>442</v>
      </c>
      <c r="D54" s="751">
        <f t="shared" si="23"/>
      </c>
      <c r="E54" s="799">
        <v>10206.35</v>
      </c>
      <c r="F54" s="799">
        <v>448.11</v>
      </c>
      <c r="G54" s="752">
        <v>8</v>
      </c>
      <c r="H54" s="752">
        <v>12676</v>
      </c>
      <c r="I54" s="753">
        <f t="shared" si="70"/>
      </c>
      <c r="J54" s="753"/>
      <c r="K54" s="807">
        <f t="shared" si="4"/>
      </c>
      <c r="L54" s="803">
        <f t="shared" si="98"/>
      </c>
      <c r="M54" s="774">
        <f t="shared" si="54"/>
      </c>
      <c r="N54" s="773">
        <f t="shared" si="112"/>
      </c>
      <c r="O54" s="773">
        <f t="shared" si="155"/>
      </c>
      <c r="P54" s="774">
        <f t="shared" si="84"/>
      </c>
      <c r="Q54" s="773">
        <f t="shared" si="196"/>
      </c>
      <c r="R54" s="773">
        <f t="shared" si="126"/>
      </c>
      <c r="S54" s="775">
        <f t="shared" si="141"/>
      </c>
      <c r="T54" s="776">
        <f t="shared" si="168"/>
      </c>
      <c r="U54" s="775">
        <f t="shared" si="182"/>
      </c>
      <c r="V54" s="777">
        <f t="shared" si="209"/>
      </c>
      <c r="W54" s="778" t="s">
        <v>435</v>
      </c>
      <c r="X54" s="779" t="s">
        <v>447</v>
      </c>
      <c r="Y54" s="780">
        <v>8</v>
      </c>
      <c r="Z54" s="781">
        <v>70168</v>
      </c>
      <c r="AA54" s="781">
        <v>1042</v>
      </c>
      <c r="AB54" s="781">
        <v>1113</v>
      </c>
      <c r="AC54" s="781">
        <v>223</v>
      </c>
      <c r="AD54" s="781">
        <v>180</v>
      </c>
      <c r="AE54" s="780">
        <v>16</v>
      </c>
      <c r="AF54" s="780">
        <v>47</v>
      </c>
      <c r="AG54" s="780"/>
    </row>
    <row customHeight="true" ht="18.452380952380953" r="55">
      <c r="A55" s="749"/>
      <c r="B55" s="750" t="s">
        <v>452</v>
      </c>
      <c r="C55" s="751" t="s">
        <v>442</v>
      </c>
      <c r="D55" s="751">
        <f t="shared" si="23"/>
      </c>
      <c r="E55" s="799">
        <v>10121.19</v>
      </c>
      <c r="F55" s="799">
        <v>226.18</v>
      </c>
      <c r="G55" s="752">
        <v>4</v>
      </c>
      <c r="H55" s="752">
        <v>5952</v>
      </c>
      <c r="I55" s="753">
        <f t="shared" si="70"/>
      </c>
      <c r="J55" s="753"/>
      <c r="K55" s="807">
        <f t="shared" si="4"/>
      </c>
      <c r="L55" s="803">
        <f t="shared" si="98"/>
      </c>
      <c r="M55" s="774">
        <f t="shared" si="54"/>
      </c>
      <c r="N55" s="773">
        <f t="shared" si="112"/>
      </c>
      <c r="O55" s="773">
        <f t="shared" si="155"/>
      </c>
      <c r="P55" s="774">
        <f t="shared" si="84"/>
      </c>
      <c r="Q55" s="773">
        <f t="shared" si="196"/>
      </c>
      <c r="R55" s="773">
        <f t="shared" si="126"/>
      </c>
      <c r="S55" s="775">
        <f t="shared" si="141"/>
      </c>
      <c r="T55" s="776">
        <f t="shared" si="168"/>
      </c>
      <c r="U55" s="775">
        <f t="shared" si="182"/>
      </c>
      <c r="V55" s="777">
        <f t="shared" si="209"/>
      </c>
      <c r="W55" s="778" t="s">
        <v>435</v>
      </c>
      <c r="X55" s="779" t="s">
        <v>447</v>
      </c>
      <c r="Y55" s="780">
        <v>4</v>
      </c>
      <c r="Z55" s="781">
        <v>74959</v>
      </c>
      <c r="AA55" s="781">
        <v>997</v>
      </c>
      <c r="AB55" s="781">
        <v>1070</v>
      </c>
      <c r="AC55" s="781">
        <v>202</v>
      </c>
      <c r="AD55" s="781">
        <v>167</v>
      </c>
      <c r="AE55" s="780">
        <v>15</v>
      </c>
      <c r="AF55" s="780">
        <v>58</v>
      </c>
      <c r="AG55" s="780"/>
    </row>
    <row r="56">
      <c r="A56" s="749"/>
      <c r="B56" s="782" t="s">
        <v>440</v>
      </c>
      <c r="C56" s="782"/>
      <c r="D56" s="783">
        <f>SUM(D51:D55)</f>
      </c>
      <c r="E56" s="783">
        <f>SUM(E51:E55)</f>
      </c>
      <c r="F56" s="783">
        <f>SUM(F51:F55)</f>
      </c>
      <c r="G56" s="783">
        <f>SUM(G51:G55)</f>
      </c>
      <c r="H56" s="783">
        <f>SUM(H51:H55)</f>
      </c>
      <c r="I56" s="804">
        <f t="shared" si="70"/>
      </c>
      <c r="J56" s="804"/>
      <c r="K56" s="808">
        <f t="shared" si="4"/>
      </c>
      <c r="L56" s="806">
        <f t="shared" si="98"/>
      </c>
      <c r="M56" s="786">
        <f t="shared" si="54"/>
      </c>
      <c r="N56" s="785">
        <f t="shared" si="112"/>
      </c>
      <c r="O56" s="785">
        <f t="shared" si="155"/>
      </c>
      <c r="P56" s="786">
        <f t="shared" si="84"/>
      </c>
      <c r="Q56" s="785">
        <f t="shared" si="196"/>
      </c>
      <c r="R56" s="785">
        <f t="shared" si="126"/>
      </c>
      <c r="S56" s="787">
        <f t="shared" si="141"/>
      </c>
      <c r="T56" s="788">
        <f t="shared" si="168"/>
      </c>
      <c r="U56" s="787">
        <f t="shared" si="182"/>
      </c>
      <c r="V56" s="789">
        <f t="shared" si="209"/>
      </c>
      <c r="W56" s="789"/>
      <c r="X56" s="789"/>
      <c r="Y56" s="783">
        <f>SUM(Y51:Y55)</f>
      </c>
      <c r="Z56" s="783">
        <f>SUM(Z51:Z55)</f>
      </c>
      <c r="AA56" s="783">
        <f>SUM(AA51:AA55)</f>
      </c>
      <c r="AB56" s="783">
        <f>SUM(AB51:AB55)</f>
      </c>
      <c r="AC56" s="783">
        <f>SUM(AC51:AC55)</f>
      </c>
      <c r="AD56" s="783">
        <f>SUM(AD51:AD55)</f>
      </c>
      <c r="AE56" s="783">
        <f>SUM(AE51:AE55)</f>
      </c>
      <c r="AF56" s="783">
        <f>SUM(AF51:AF55)</f>
      </c>
      <c r="AG56" s="783"/>
    </row>
    <row r="57">
      <c r="A57" s="749"/>
      <c r="B57" s="791" t="s">
        <v>444</v>
      </c>
      <c r="C57" s="791"/>
      <c r="D57" s="791">
        <f>D50+D56</f>
      </c>
      <c r="E57" s="791">
        <f>E50+E56</f>
      </c>
      <c r="F57" s="791">
        <f>F50+F56</f>
      </c>
      <c r="G57" s="791">
        <f>G50+G56</f>
      </c>
      <c r="H57" s="791">
        <f>H50+H56</f>
      </c>
      <c r="I57" s="792">
        <f t="shared" si="70"/>
      </c>
      <c r="J57" s="792"/>
      <c r="K57" s="797">
        <f t="shared" si="4"/>
      </c>
      <c r="L57" s="809">
        <f t="shared" si="98"/>
      </c>
      <c r="M57" s="794">
        <f t="shared" si="54"/>
      </c>
      <c r="N57" s="795">
        <f t="shared" si="112"/>
      </c>
      <c r="O57" s="795">
        <f t="shared" si="155"/>
      </c>
      <c r="P57" s="794">
        <f t="shared" si="84"/>
      </c>
      <c r="Q57" s="795">
        <f t="shared" si="196"/>
      </c>
      <c r="R57" s="795">
        <f t="shared" si="126"/>
      </c>
      <c r="S57" s="794">
        <f t="shared" si="141"/>
      </c>
      <c r="T57" s="796">
        <f t="shared" si="168"/>
      </c>
      <c r="U57" s="794">
        <f t="shared" si="182"/>
      </c>
      <c r="V57" s="797">
        <f t="shared" si="209"/>
      </c>
      <c r="W57" s="797"/>
      <c r="X57" s="797"/>
      <c r="Y57" s="791">
        <f>Y50+Y56</f>
      </c>
      <c r="Z57" s="791">
        <f>Z50+Z56</f>
      </c>
      <c r="AA57" s="791">
        <f>AA50+AA56</f>
      </c>
      <c r="AB57" s="791">
        <f>AB50+AB56</f>
      </c>
      <c r="AC57" s="791">
        <f>AC50+AC56</f>
      </c>
      <c r="AD57" s="791">
        <f>AD50+AD56</f>
      </c>
      <c r="AE57" s="791">
        <f>AE50+AE56</f>
      </c>
      <c r="AF57" s="791">
        <f>AF50+AF56</f>
      </c>
      <c r="AG57" s="791"/>
    </row>
    <row r="58">
      <c r="A58" s="731" t="s">
        <v>398</v>
      </c>
      <c r="B58" s="731"/>
      <c r="C58" s="731"/>
      <c r="D58" s="732" t="s">
        <v>399</v>
      </c>
      <c r="E58" s="732"/>
      <c r="F58" s="732"/>
      <c r="G58" s="732"/>
      <c r="H58" s="732"/>
      <c r="I58" s="732"/>
      <c r="J58" s="732"/>
      <c r="K58" s="734" t="s">
        <v>400</v>
      </c>
      <c r="L58" s="734"/>
      <c r="M58" s="734"/>
      <c r="N58" s="734"/>
      <c r="O58" s="734"/>
      <c r="P58" s="734"/>
      <c r="Q58" s="734"/>
      <c r="R58" s="734"/>
      <c r="S58" s="734"/>
      <c r="T58" s="734"/>
      <c r="U58" s="734"/>
      <c r="V58" s="734"/>
      <c r="W58" s="734"/>
      <c r="X58" s="734"/>
      <c r="Y58" s="735" t="s">
        <v>401</v>
      </c>
      <c r="Z58" s="735"/>
      <c r="AA58" s="735"/>
      <c r="AB58" s="735"/>
      <c r="AC58" s="735"/>
      <c r="AD58" s="735"/>
      <c r="AE58" s="735"/>
      <c r="AF58" s="735"/>
      <c r="AG58" s="735"/>
    </row>
    <row r="59">
      <c r="A59" s="737" t="s">
        <v>402</v>
      </c>
      <c r="B59" s="738" t="s">
        <v>403</v>
      </c>
      <c r="C59" s="738" t="s">
        <v>404</v>
      </c>
      <c r="D59" s="739" t="s">
        <v>405</v>
      </c>
      <c r="E59" s="740" t="s">
        <v>406</v>
      </c>
      <c r="F59" s="740" t="s">
        <v>407</v>
      </c>
      <c r="G59" s="741" t="s">
        <v>408</v>
      </c>
      <c r="H59" s="742" t="s">
        <v>409</v>
      </c>
      <c r="I59" s="743" t="s">
        <v>410</v>
      </c>
      <c r="J59" s="743"/>
      <c r="K59" s="798" t="s">
        <v>445</v>
      </c>
      <c r="L59" s="744" t="s">
        <v>411</v>
      </c>
      <c r="M59" s="744" t="s">
        <v>412</v>
      </c>
      <c r="N59" s="745" t="s">
        <v>413</v>
      </c>
      <c r="O59" s="745" t="s">
        <v>414</v>
      </c>
      <c r="P59" s="744" t="s">
        <v>415</v>
      </c>
      <c r="Q59" s="745" t="s">
        <v>416</v>
      </c>
      <c r="R59" s="745" t="s">
        <v>417</v>
      </c>
      <c r="S59" s="744" t="s">
        <v>418</v>
      </c>
      <c r="T59" s="745" t="s">
        <v>419</v>
      </c>
      <c r="U59" s="744" t="s">
        <v>420</v>
      </c>
      <c r="V59" s="746" t="s">
        <v>421</v>
      </c>
      <c r="W59" s="746" t="s">
        <v>422</v>
      </c>
      <c r="X59" s="746" t="s">
        <v>423</v>
      </c>
      <c r="Y59" s="747" t="s">
        <v>424</v>
      </c>
      <c r="Z59" s="748" t="s">
        <v>425</v>
      </c>
      <c r="AA59" s="748" t="s">
        <v>426</v>
      </c>
      <c r="AB59" s="748" t="s">
        <v>427</v>
      </c>
      <c r="AC59" s="748" t="s">
        <v>428</v>
      </c>
      <c r="AD59" s="748" t="s">
        <v>429</v>
      </c>
      <c r="AE59" s="748" t="s">
        <v>430</v>
      </c>
      <c r="AF59" s="748" t="s">
        <v>431</v>
      </c>
      <c r="AG59" s="748"/>
    </row>
    <row r="60">
      <c r="A60" s="749" t="s">
        <v>453</v>
      </c>
      <c r="B60" s="750" t="s">
        <v>433</v>
      </c>
      <c r="C60" s="751" t="s">
        <v>434</v>
      </c>
      <c r="D60" s="751">
        <f t="shared" ref="D60:D62" si="24">E60+F60</f>
      </c>
      <c r="E60" s="799">
        <v>5185.37</v>
      </c>
      <c r="F60" s="799">
        <v>1398.54</v>
      </c>
      <c r="G60" s="752">
        <v>4</v>
      </c>
      <c r="H60" s="752">
        <v>4632</v>
      </c>
      <c r="I60" s="753">
        <f t="shared" ref="I60:I70" si="71">H60/D60</f>
      </c>
      <c r="J60" s="753"/>
      <c r="K60" s="800">
        <f t="shared" ref="K60:K70" si="5">(D60/Z60)*1000</f>
      </c>
      <c r="L60" s="801">
        <f t="shared" ref="L60:L70" si="99">AA60/Z60</f>
      </c>
      <c r="M60" s="755">
        <f t="shared" ref="M60:M70" si="55">D60/AB60</f>
      </c>
      <c r="N60" s="754">
        <f t="shared" ref="N60:N70" si="113">AC60/AB60</f>
      </c>
      <c r="O60" s="754">
        <f t="shared" ref="O60:O70" si="156">AD60/AB60</f>
      </c>
      <c r="P60" s="755">
        <f t="shared" ref="P60:P70" si="85">D60/AD60</f>
      </c>
      <c r="Q60" s="754">
        <f t="shared" ref="Q60:Q70" si="197">AE60/AD60</f>
      </c>
      <c r="R60" s="754">
        <f t="shared" ref="R60:R70" si="127">G60/AE60</f>
      </c>
      <c r="S60" s="755">
        <f t="shared" ref="S60:S70" si="142">D60/G60</f>
      </c>
      <c r="T60" s="756">
        <f t="shared" ref="T60:T70" si="169">H60/G60</f>
      </c>
      <c r="U60" s="755">
        <f t="shared" ref="U60:U70" si="183">D60/Y60</f>
      </c>
      <c r="V60" s="757">
        <f t="shared" ref="V60:V70" si="210">AF60*1000/D60</f>
      </c>
      <c r="W60" s="758" t="s">
        <v>435</v>
      </c>
      <c r="X60" s="759" t="s">
        <v>447</v>
      </c>
      <c r="Y60" s="760">
        <v>3</v>
      </c>
      <c r="Z60" s="761">
        <v>29841</v>
      </c>
      <c r="AA60" s="761">
        <v>1165</v>
      </c>
      <c r="AB60" s="761">
        <v>1331</v>
      </c>
      <c r="AC60" s="761">
        <v>131</v>
      </c>
      <c r="AD60" s="761">
        <v>79</v>
      </c>
      <c r="AE60" s="760">
        <v>7</v>
      </c>
      <c r="AF60" s="760">
        <v>40</v>
      </c>
      <c r="AG60" s="760"/>
    </row>
    <row r="61">
      <c r="A61" s="749"/>
      <c r="B61" s="750" t="s">
        <v>437</v>
      </c>
      <c r="C61" s="751" t="s">
        <v>434</v>
      </c>
      <c r="D61" s="751">
        <f t="shared" si="24"/>
      </c>
      <c r="E61" s="799">
        <v>4424.33</v>
      </c>
      <c r="F61" s="799">
        <v>967.55</v>
      </c>
      <c r="G61" s="752">
        <v>3</v>
      </c>
      <c r="H61" s="752">
        <v>5484</v>
      </c>
      <c r="I61" s="753">
        <f t="shared" si="71"/>
      </c>
      <c r="J61" s="753"/>
      <c r="K61" s="800">
        <f t="shared" si="5"/>
      </c>
      <c r="L61" s="802">
        <f t="shared" si="99"/>
      </c>
      <c r="M61" s="765">
        <f t="shared" si="55"/>
      </c>
      <c r="N61" s="764">
        <f t="shared" si="113"/>
      </c>
      <c r="O61" s="764">
        <f t="shared" si="156"/>
      </c>
      <c r="P61" s="765">
        <f t="shared" si="85"/>
      </c>
      <c r="Q61" s="764">
        <f t="shared" si="197"/>
      </c>
      <c r="R61" s="764">
        <f t="shared" si="127"/>
      </c>
      <c r="S61" s="766">
        <f t="shared" si="142"/>
      </c>
      <c r="T61" s="767">
        <f t="shared" si="169"/>
      </c>
      <c r="U61" s="766">
        <f t="shared" si="183"/>
      </c>
      <c r="V61" s="768">
        <f t="shared" si="210"/>
      </c>
      <c r="W61" s="769" t="s">
        <v>435</v>
      </c>
      <c r="X61" s="770" t="s">
        <v>447</v>
      </c>
      <c r="Y61" s="771">
        <v>3</v>
      </c>
      <c r="Z61" s="772">
        <v>23752</v>
      </c>
      <c r="AA61" s="772">
        <v>804</v>
      </c>
      <c r="AB61" s="772">
        <v>902</v>
      </c>
      <c r="AC61" s="772">
        <v>111</v>
      </c>
      <c r="AD61" s="771">
        <v>86</v>
      </c>
      <c r="AE61" s="771">
        <v>8</v>
      </c>
      <c r="AF61" s="771">
        <v>26</v>
      </c>
      <c r="AG61" s="771"/>
    </row>
    <row r="62">
      <c r="A62" s="749"/>
      <c r="B62" s="750" t="s">
        <v>438</v>
      </c>
      <c r="C62" s="751" t="s">
        <v>434</v>
      </c>
      <c r="D62" s="751">
        <f t="shared" si="24"/>
      </c>
      <c r="E62" s="799">
        <v>3440.38</v>
      </c>
      <c r="F62" s="799">
        <v>338.93</v>
      </c>
      <c r="G62" s="752">
        <v>2</v>
      </c>
      <c r="H62" s="752">
        <v>1896</v>
      </c>
      <c r="I62" s="753">
        <f t="shared" si="71"/>
      </c>
      <c r="J62" s="753"/>
      <c r="K62" s="800">
        <f t="shared" si="5"/>
      </c>
      <c r="L62" s="803">
        <f t="shared" si="99"/>
      </c>
      <c r="M62" s="774">
        <f t="shared" si="55"/>
      </c>
      <c r="N62" s="773">
        <f t="shared" si="113"/>
      </c>
      <c r="O62" s="773">
        <f t="shared" si="156"/>
      </c>
      <c r="P62" s="774">
        <f t="shared" si="85"/>
      </c>
      <c r="Q62" s="773">
        <f t="shared" si="197"/>
      </c>
      <c r="R62" s="773">
        <f t="shared" si="127"/>
      </c>
      <c r="S62" s="775">
        <f t="shared" si="142"/>
      </c>
      <c r="T62" s="776">
        <f t="shared" si="169"/>
      </c>
      <c r="U62" s="775">
        <f t="shared" si="183"/>
      </c>
      <c r="V62" s="777">
        <f t="shared" si="210"/>
      </c>
      <c r="W62" s="778" t="s">
        <v>435</v>
      </c>
      <c r="X62" s="779" t="s">
        <v>447</v>
      </c>
      <c r="Y62" s="780">
        <v>1</v>
      </c>
      <c r="Z62" s="781">
        <v>12804</v>
      </c>
      <c r="AA62" s="781">
        <v>483</v>
      </c>
      <c r="AB62" s="781">
        <v>559</v>
      </c>
      <c r="AC62" s="781">
        <v>81</v>
      </c>
      <c r="AD62" s="780">
        <v>57</v>
      </c>
      <c r="AE62" s="780">
        <v>4</v>
      </c>
      <c r="AF62" s="780">
        <v>22</v>
      </c>
      <c r="AG62" s="780"/>
    </row>
    <row r="63">
      <c r="A63" s="749"/>
      <c r="B63" s="782" t="s">
        <v>440</v>
      </c>
      <c r="C63" s="782"/>
      <c r="D63" s="783">
        <f>SUM(D60:D62)</f>
      </c>
      <c r="E63" s="783">
        <f>SUM(E60:E62)</f>
      </c>
      <c r="F63" s="783">
        <f>SUM(F60:F62)</f>
      </c>
      <c r="G63" s="783">
        <f>SUM(G60:G62)</f>
      </c>
      <c r="H63" s="783">
        <f>SUM(H60:H62)</f>
      </c>
      <c r="I63" s="804">
        <f t="shared" si="71"/>
      </c>
      <c r="J63" s="804"/>
      <c r="K63" s="805">
        <f t="shared" si="5"/>
      </c>
      <c r="L63" s="806">
        <f t="shared" si="99"/>
      </c>
      <c r="M63" s="786">
        <f t="shared" si="55"/>
      </c>
      <c r="N63" s="785">
        <f t="shared" si="113"/>
      </c>
      <c r="O63" s="785">
        <f t="shared" si="156"/>
      </c>
      <c r="P63" s="786">
        <f t="shared" si="85"/>
      </c>
      <c r="Q63" s="785">
        <f t="shared" si="197"/>
      </c>
      <c r="R63" s="785">
        <f t="shared" si="127"/>
      </c>
      <c r="S63" s="787">
        <f t="shared" si="142"/>
      </c>
      <c r="T63" s="788">
        <f t="shared" si="169"/>
      </c>
      <c r="U63" s="787">
        <f t="shared" si="183"/>
      </c>
      <c r="V63" s="789">
        <f t="shared" si="210"/>
      </c>
      <c r="W63" s="789"/>
      <c r="X63" s="789"/>
      <c r="Y63" s="783">
        <f>SUM(Y60:Y62)</f>
      </c>
      <c r="Z63" s="783">
        <f>SUM(Z60:Z62)</f>
      </c>
      <c r="AA63" s="783">
        <f>SUM(AA60:AA62)</f>
      </c>
      <c r="AB63" s="783">
        <f>SUM(AB60:AB62)</f>
      </c>
      <c r="AC63" s="783">
        <f>SUM(AC60:AC62)</f>
      </c>
      <c r="AD63" s="783">
        <f>SUM(AD60:AD62)</f>
      </c>
      <c r="AE63" s="783">
        <f>SUM(AE60:AE62)</f>
      </c>
      <c r="AF63" s="783">
        <f>SUM(AF60:AF62)</f>
      </c>
      <c r="AG63" s="783"/>
    </row>
    <row r="64">
      <c r="A64" s="749"/>
      <c r="B64" s="750" t="s">
        <v>439</v>
      </c>
      <c r="C64" s="751" t="s">
        <v>442</v>
      </c>
      <c r="D64" s="751">
        <f t="shared" ref="D64:D68" si="25">E64+F64</f>
      </c>
      <c r="E64" s="799">
        <v>4213.58</v>
      </c>
      <c r="F64" s="799">
        <v>1115.65</v>
      </c>
      <c r="G64" s="752">
        <v>5</v>
      </c>
      <c r="H64" s="752">
        <v>9644</v>
      </c>
      <c r="I64" s="753">
        <f t="shared" si="71"/>
      </c>
      <c r="J64" s="753"/>
      <c r="K64" s="800">
        <f t="shared" si="5"/>
      </c>
      <c r="L64" s="803">
        <f t="shared" si="99"/>
      </c>
      <c r="M64" s="774">
        <f t="shared" si="55"/>
      </c>
      <c r="N64" s="773">
        <f t="shared" si="113"/>
      </c>
      <c r="O64" s="773">
        <f t="shared" si="156"/>
      </c>
      <c r="P64" s="774">
        <f t="shared" si="85"/>
      </c>
      <c r="Q64" s="773">
        <f t="shared" si="197"/>
      </c>
      <c r="R64" s="773">
        <f t="shared" si="127"/>
      </c>
      <c r="S64" s="775">
        <f t="shared" si="142"/>
      </c>
      <c r="T64" s="776">
        <f t="shared" si="169"/>
      </c>
      <c r="U64" s="775">
        <f t="shared" si="183"/>
      </c>
      <c r="V64" s="777">
        <f t="shared" si="210"/>
      </c>
      <c r="W64" s="778" t="s">
        <v>435</v>
      </c>
      <c r="X64" s="779" t="s">
        <v>447</v>
      </c>
      <c r="Y64" s="780">
        <v>5</v>
      </c>
      <c r="Z64" s="781">
        <v>25183</v>
      </c>
      <c r="AA64" s="781">
        <v>614</v>
      </c>
      <c r="AB64" s="781">
        <v>668</v>
      </c>
      <c r="AC64" s="781">
        <v>102</v>
      </c>
      <c r="AD64" s="780">
        <v>60</v>
      </c>
      <c r="AE64" s="780">
        <v>9</v>
      </c>
      <c r="AF64" s="780">
        <v>35</v>
      </c>
      <c r="AG64" s="780"/>
    </row>
    <row r="65">
      <c r="A65" s="749"/>
      <c r="B65" s="750" t="s">
        <v>441</v>
      </c>
      <c r="C65" s="751" t="s">
        <v>442</v>
      </c>
      <c r="D65" s="751">
        <f t="shared" si="25"/>
      </c>
      <c r="E65" s="799">
        <v>4092.12</v>
      </c>
      <c r="F65" s="799">
        <v>848.83</v>
      </c>
      <c r="G65" s="790">
        <v>2</v>
      </c>
      <c r="H65" s="790">
        <v>2736</v>
      </c>
      <c r="I65" s="753">
        <f t="shared" si="71"/>
      </c>
      <c r="J65" s="753"/>
      <c r="K65" s="807">
        <f t="shared" si="5"/>
      </c>
      <c r="L65" s="803">
        <f t="shared" si="99"/>
      </c>
      <c r="M65" s="774">
        <f t="shared" si="55"/>
      </c>
      <c r="N65" s="773">
        <f t="shared" si="113"/>
      </c>
      <c r="O65" s="773">
        <f t="shared" si="156"/>
      </c>
      <c r="P65" s="774">
        <f t="shared" si="85"/>
      </c>
      <c r="Q65" s="773">
        <f t="shared" si="197"/>
      </c>
      <c r="R65" s="773">
        <f t="shared" si="127"/>
      </c>
      <c r="S65" s="775">
        <f t="shared" si="142"/>
      </c>
      <c r="T65" s="776">
        <f t="shared" si="169"/>
      </c>
      <c r="U65" s="775">
        <f t="shared" si="183"/>
      </c>
      <c r="V65" s="777">
        <f t="shared" si="210"/>
      </c>
      <c r="W65" s="778" t="s">
        <v>435</v>
      </c>
      <c r="X65" s="779" t="s">
        <v>447</v>
      </c>
      <c r="Y65" s="780">
        <v>1</v>
      </c>
      <c r="Z65" s="781">
        <v>20564</v>
      </c>
      <c r="AA65" s="781">
        <v>606</v>
      </c>
      <c r="AB65" s="781">
        <v>694</v>
      </c>
      <c r="AC65" s="781">
        <v>102</v>
      </c>
      <c r="AD65" s="781">
        <v>73</v>
      </c>
      <c r="AE65" s="780">
        <v>9</v>
      </c>
      <c r="AF65" s="780">
        <v>33</v>
      </c>
      <c r="AG65" s="780"/>
    </row>
    <row r="66">
      <c r="A66" s="749"/>
      <c r="B66" s="750" t="s">
        <v>443</v>
      </c>
      <c r="C66" s="751" t="s">
        <v>442</v>
      </c>
      <c r="D66" s="751">
        <f t="shared" si="25"/>
      </c>
      <c r="E66" s="799">
        <v>3564.42</v>
      </c>
      <c r="F66" s="799">
        <v>618.82</v>
      </c>
      <c r="G66" s="752">
        <v>5</v>
      </c>
      <c r="H66" s="752">
        <v>9832</v>
      </c>
      <c r="I66" s="753">
        <f t="shared" si="71"/>
      </c>
      <c r="J66" s="753"/>
      <c r="K66" s="807">
        <f t="shared" si="5"/>
      </c>
      <c r="L66" s="803">
        <f t="shared" si="99"/>
      </c>
      <c r="M66" s="774">
        <f t="shared" si="55"/>
      </c>
      <c r="N66" s="773">
        <f t="shared" si="113"/>
      </c>
      <c r="O66" s="773">
        <f t="shared" si="156"/>
      </c>
      <c r="P66" s="774">
        <f t="shared" si="85"/>
      </c>
      <c r="Q66" s="773">
        <f t="shared" si="197"/>
      </c>
      <c r="R66" s="773">
        <f t="shared" si="127"/>
      </c>
      <c r="S66" s="775">
        <f t="shared" si="142"/>
      </c>
      <c r="T66" s="776">
        <f t="shared" si="169"/>
      </c>
      <c r="U66" s="775">
        <f t="shared" si="183"/>
      </c>
      <c r="V66" s="777">
        <f t="shared" si="210"/>
      </c>
      <c r="W66" s="778" t="s">
        <v>435</v>
      </c>
      <c r="X66" s="779" t="s">
        <v>447</v>
      </c>
      <c r="Y66" s="780">
        <v>5</v>
      </c>
      <c r="Z66" s="781">
        <v>19047</v>
      </c>
      <c r="AA66" s="781">
        <v>506</v>
      </c>
      <c r="AB66" s="781">
        <v>579</v>
      </c>
      <c r="AC66" s="781">
        <v>89</v>
      </c>
      <c r="AD66" s="781">
        <v>64</v>
      </c>
      <c r="AE66" s="780">
        <v>8</v>
      </c>
      <c r="AF66" s="780">
        <v>23</v>
      </c>
      <c r="AG66" s="780"/>
    </row>
    <row customHeight="true" ht="18.452380952380953" r="67">
      <c r="A67" s="749"/>
      <c r="B67" s="750" t="s">
        <v>451</v>
      </c>
      <c r="C67" s="751" t="s">
        <v>442</v>
      </c>
      <c r="D67" s="751">
        <f t="shared" si="25"/>
      </c>
      <c r="E67" s="799">
        <v>4160.07</v>
      </c>
      <c r="F67" s="799">
        <v>334.53</v>
      </c>
      <c r="G67" s="752">
        <v>3</v>
      </c>
      <c r="H67" s="752">
        <v>6804</v>
      </c>
      <c r="I67" s="753">
        <f t="shared" si="71"/>
      </c>
      <c r="J67" s="753"/>
      <c r="K67" s="807">
        <f t="shared" si="5"/>
      </c>
      <c r="L67" s="803">
        <f t="shared" si="99"/>
      </c>
      <c r="M67" s="774">
        <f t="shared" si="55"/>
      </c>
      <c r="N67" s="773">
        <f t="shared" si="113"/>
      </c>
      <c r="O67" s="773">
        <f t="shared" si="156"/>
      </c>
      <c r="P67" s="774">
        <f t="shared" si="85"/>
      </c>
      <c r="Q67" s="773">
        <f t="shared" si="197"/>
      </c>
      <c r="R67" s="773">
        <f t="shared" si="127"/>
      </c>
      <c r="S67" s="775">
        <f t="shared" si="142"/>
      </c>
      <c r="T67" s="776">
        <f t="shared" si="169"/>
      </c>
      <c r="U67" s="775">
        <f t="shared" si="183"/>
      </c>
      <c r="V67" s="777">
        <f t="shared" si="210"/>
      </c>
      <c r="W67" s="778" t="s">
        <v>435</v>
      </c>
      <c r="X67" s="779" t="s">
        <v>447</v>
      </c>
      <c r="Y67" s="780">
        <v>3</v>
      </c>
      <c r="Z67" s="781">
        <v>22335</v>
      </c>
      <c r="AA67" s="781">
        <v>468</v>
      </c>
      <c r="AB67" s="781">
        <v>499</v>
      </c>
      <c r="AC67" s="781">
        <v>73</v>
      </c>
      <c r="AD67" s="781">
        <v>58</v>
      </c>
      <c r="AE67" s="780">
        <v>8</v>
      </c>
      <c r="AF67" s="780">
        <v>23</v>
      </c>
      <c r="AG67" s="780"/>
    </row>
    <row customHeight="true" ht="18.452380952380953" r="68">
      <c r="A68" s="749"/>
      <c r="B68" s="750" t="s">
        <v>452</v>
      </c>
      <c r="C68" s="751" t="s">
        <v>442</v>
      </c>
      <c r="D68" s="751">
        <f t="shared" si="25"/>
      </c>
      <c r="E68" s="799">
        <v>4057.32</v>
      </c>
      <c r="F68" s="799">
        <v>247.45</v>
      </c>
      <c r="G68" s="752">
        <v>1</v>
      </c>
      <c r="H68" s="752">
        <v>948</v>
      </c>
      <c r="I68" s="753">
        <f t="shared" si="71"/>
      </c>
      <c r="J68" s="753"/>
      <c r="K68" s="807">
        <f t="shared" si="5"/>
      </c>
      <c r="L68" s="803">
        <f t="shared" si="99"/>
      </c>
      <c r="M68" s="774">
        <f t="shared" si="55"/>
      </c>
      <c r="N68" s="773">
        <f t="shared" si="113"/>
      </c>
      <c r="O68" s="773">
        <f t="shared" si="156"/>
      </c>
      <c r="P68" s="774">
        <f t="shared" si="85"/>
      </c>
      <c r="Q68" s="773">
        <f t="shared" si="197"/>
      </c>
      <c r="R68" s="773">
        <f t="shared" si="127"/>
      </c>
      <c r="S68" s="775">
        <f t="shared" si="142"/>
      </c>
      <c r="T68" s="776">
        <f t="shared" si="169"/>
      </c>
      <c r="U68" s="775">
        <f t="shared" si="183"/>
      </c>
      <c r="V68" s="777">
        <f t="shared" si="210"/>
      </c>
      <c r="W68" s="778" t="s">
        <v>435</v>
      </c>
      <c r="X68" s="779" t="s">
        <v>447</v>
      </c>
      <c r="Y68" s="780">
        <v>1</v>
      </c>
      <c r="Z68" s="781">
        <v>24170</v>
      </c>
      <c r="AA68" s="781">
        <v>433</v>
      </c>
      <c r="AB68" s="781">
        <v>456</v>
      </c>
      <c r="AC68" s="781">
        <v>75</v>
      </c>
      <c r="AD68" s="781">
        <v>57</v>
      </c>
      <c r="AE68" s="780">
        <v>5</v>
      </c>
      <c r="AF68" s="780">
        <v>22</v>
      </c>
      <c r="AG68" s="780"/>
    </row>
    <row r="69">
      <c r="A69" s="749"/>
      <c r="B69" s="782" t="s">
        <v>440</v>
      </c>
      <c r="C69" s="782"/>
      <c r="D69" s="783">
        <f>SUM(D64:D68)</f>
      </c>
      <c r="E69" s="783">
        <f>SUM(E64:E68)</f>
      </c>
      <c r="F69" s="783">
        <f>SUM(F64:F68)</f>
      </c>
      <c r="G69" s="783">
        <f>SUM(G64:G68)</f>
      </c>
      <c r="H69" s="783">
        <f>SUM(H64:H68)</f>
      </c>
      <c r="I69" s="804">
        <f t="shared" si="71"/>
      </c>
      <c r="J69" s="804"/>
      <c r="K69" s="808">
        <f t="shared" si="5"/>
      </c>
      <c r="L69" s="806">
        <f t="shared" si="99"/>
      </c>
      <c r="M69" s="786">
        <f t="shared" si="55"/>
      </c>
      <c r="N69" s="785">
        <f t="shared" si="113"/>
      </c>
      <c r="O69" s="785">
        <f t="shared" si="156"/>
      </c>
      <c r="P69" s="786">
        <f t="shared" si="85"/>
      </c>
      <c r="Q69" s="785">
        <f t="shared" si="197"/>
      </c>
      <c r="R69" s="785">
        <f t="shared" si="127"/>
      </c>
      <c r="S69" s="787">
        <f t="shared" si="142"/>
      </c>
      <c r="T69" s="788">
        <f t="shared" si="169"/>
      </c>
      <c r="U69" s="787">
        <f t="shared" si="183"/>
      </c>
      <c r="V69" s="789">
        <f t="shared" si="210"/>
      </c>
      <c r="W69" s="789"/>
      <c r="X69" s="789"/>
      <c r="Y69" s="783">
        <f>SUM(Y64:Y68)</f>
      </c>
      <c r="Z69" s="783">
        <f>SUM(Z64:Z68)</f>
      </c>
      <c r="AA69" s="783">
        <f>SUM(AA64:AA68)</f>
      </c>
      <c r="AB69" s="783">
        <f>SUM(AB64:AB68)</f>
      </c>
      <c r="AC69" s="783">
        <f>SUM(AC64:AC68)</f>
      </c>
      <c r="AD69" s="783">
        <f>SUM(AD64:AD68)</f>
      </c>
      <c r="AE69" s="783">
        <f>SUM(AE64:AE68)</f>
      </c>
      <c r="AF69" s="783">
        <f>SUM(AF64:AF68)</f>
      </c>
      <c r="AG69" s="783"/>
    </row>
    <row r="70">
      <c r="A70" s="749"/>
      <c r="B70" s="791" t="s">
        <v>444</v>
      </c>
      <c r="C70" s="791"/>
      <c r="D70" s="791">
        <f>D63+D69</f>
      </c>
      <c r="E70" s="791">
        <f>E63+E69</f>
      </c>
      <c r="F70" s="791">
        <f>F63+F69</f>
      </c>
      <c r="G70" s="791">
        <f>G63+G69</f>
      </c>
      <c r="H70" s="791">
        <f>H63+H69</f>
      </c>
      <c r="I70" s="792">
        <f t="shared" si="71"/>
      </c>
      <c r="J70" s="792"/>
      <c r="K70" s="797">
        <f t="shared" si="5"/>
      </c>
      <c r="L70" s="809">
        <f t="shared" si="99"/>
      </c>
      <c r="M70" s="794">
        <f t="shared" si="55"/>
      </c>
      <c r="N70" s="795">
        <f t="shared" si="113"/>
      </c>
      <c r="O70" s="795">
        <f t="shared" si="156"/>
      </c>
      <c r="P70" s="794">
        <f t="shared" si="85"/>
      </c>
      <c r="Q70" s="795">
        <f t="shared" si="197"/>
      </c>
      <c r="R70" s="795">
        <f t="shared" si="127"/>
      </c>
      <c r="S70" s="794">
        <f t="shared" si="142"/>
      </c>
      <c r="T70" s="796">
        <f t="shared" si="169"/>
      </c>
      <c r="U70" s="794">
        <f t="shared" si="183"/>
      </c>
      <c r="V70" s="797">
        <f t="shared" si="210"/>
      </c>
      <c r="W70" s="797"/>
      <c r="X70" s="797"/>
      <c r="Y70" s="791">
        <f>Y63+Y69</f>
      </c>
      <c r="Z70" s="791">
        <f>Z63+Z69</f>
      </c>
      <c r="AA70" s="791">
        <f>AA63+AA69</f>
      </c>
      <c r="AB70" s="791">
        <f>AB63+AB69</f>
      </c>
      <c r="AC70" s="791">
        <f>AC63+AC69</f>
      </c>
      <c r="AD70" s="791">
        <f>AD63+AD69</f>
      </c>
      <c r="AE70" s="791">
        <f>AE63+AE69</f>
      </c>
      <c r="AF70" s="791">
        <f>AF63+AF69</f>
      </c>
      <c r="AG70" s="791"/>
    </row>
    <row r="71">
      <c r="A71" s="731" t="s">
        <v>398</v>
      </c>
      <c r="B71" s="731"/>
      <c r="C71" s="731"/>
      <c r="D71" s="732" t="s">
        <v>399</v>
      </c>
      <c r="E71" s="732"/>
      <c r="F71" s="732"/>
      <c r="G71" s="732"/>
      <c r="H71" s="732"/>
      <c r="I71" s="732"/>
      <c r="J71" s="732"/>
      <c r="K71" s="734" t="s">
        <v>400</v>
      </c>
      <c r="L71" s="734"/>
      <c r="M71" s="734"/>
      <c r="N71" s="734"/>
      <c r="O71" s="734"/>
      <c r="P71" s="734"/>
      <c r="Q71" s="734"/>
      <c r="R71" s="734"/>
      <c r="S71" s="734"/>
      <c r="T71" s="734"/>
      <c r="U71" s="734"/>
      <c r="V71" s="734"/>
      <c r="W71" s="734"/>
      <c r="X71" s="734"/>
      <c r="Y71" s="735" t="s">
        <v>401</v>
      </c>
      <c r="Z71" s="735"/>
      <c r="AA71" s="735"/>
      <c r="AB71" s="735"/>
      <c r="AC71" s="735"/>
      <c r="AD71" s="735"/>
      <c r="AE71" s="735"/>
      <c r="AF71" s="735"/>
      <c r="AG71" s="735"/>
    </row>
    <row r="72">
      <c r="A72" s="737" t="s">
        <v>402</v>
      </c>
      <c r="B72" s="738" t="s">
        <v>403</v>
      </c>
      <c r="C72" s="738" t="s">
        <v>404</v>
      </c>
      <c r="D72" s="739" t="s">
        <v>405</v>
      </c>
      <c r="E72" s="740" t="s">
        <v>406</v>
      </c>
      <c r="F72" s="740" t="s">
        <v>407</v>
      </c>
      <c r="G72" s="741" t="s">
        <v>408</v>
      </c>
      <c r="H72" s="742" t="s">
        <v>409</v>
      </c>
      <c r="I72" s="743" t="s">
        <v>410</v>
      </c>
      <c r="J72" s="743"/>
      <c r="K72" s="798" t="s">
        <v>445</v>
      </c>
      <c r="L72" s="744" t="s">
        <v>411</v>
      </c>
      <c r="M72" s="744" t="s">
        <v>412</v>
      </c>
      <c r="N72" s="745" t="s">
        <v>413</v>
      </c>
      <c r="O72" s="745" t="s">
        <v>414</v>
      </c>
      <c r="P72" s="744" t="s">
        <v>415</v>
      </c>
      <c r="Q72" s="745" t="s">
        <v>416</v>
      </c>
      <c r="R72" s="745" t="s">
        <v>417</v>
      </c>
      <c r="S72" s="744" t="s">
        <v>418</v>
      </c>
      <c r="T72" s="745" t="s">
        <v>419</v>
      </c>
      <c r="U72" s="744" t="s">
        <v>420</v>
      </c>
      <c r="V72" s="746" t="s">
        <v>421</v>
      </c>
      <c r="W72" s="746" t="s">
        <v>422</v>
      </c>
      <c r="X72" s="746" t="s">
        <v>423</v>
      </c>
      <c r="Y72" s="747" t="s">
        <v>424</v>
      </c>
      <c r="Z72" s="748" t="s">
        <v>425</v>
      </c>
      <c r="AA72" s="748" t="s">
        <v>426</v>
      </c>
      <c r="AB72" s="748" t="s">
        <v>427</v>
      </c>
      <c r="AC72" s="748" t="s">
        <v>428</v>
      </c>
      <c r="AD72" s="748" t="s">
        <v>429</v>
      </c>
      <c r="AE72" s="748" t="s">
        <v>430</v>
      </c>
      <c r="AF72" s="748" t="s">
        <v>431</v>
      </c>
      <c r="AG72" s="748"/>
    </row>
    <row r="73">
      <c r="A73" s="749" t="s">
        <v>454</v>
      </c>
      <c r="B73" s="750" t="s">
        <v>438</v>
      </c>
      <c r="C73" s="751" t="s">
        <v>434</v>
      </c>
      <c r="D73" s="751">
        <f t="shared" ref="D73:D76" si="26">E73+F73</f>
      </c>
      <c r="E73" s="799">
        <v>4552.04</v>
      </c>
      <c r="F73" s="799">
        <v>867.33</v>
      </c>
      <c r="G73" s="752">
        <v>6</v>
      </c>
      <c r="H73" s="752">
        <v>9168</v>
      </c>
      <c r="I73" s="753">
        <f t="shared" ref="I73:I86" si="72">H73/D73</f>
      </c>
      <c r="J73" s="753"/>
      <c r="K73" s="800">
        <f t="shared" ref="K73:K86" si="6">(D73/Z73)*1000</f>
      </c>
      <c r="L73" s="801">
        <f t="shared" ref="L73:L86" si="100">AA73/Z73</f>
      </c>
      <c r="M73" s="755">
        <f t="shared" ref="M73:M86" si="56">D73/AB73</f>
      </c>
      <c r="N73" s="754">
        <f t="shared" ref="N73:N86" si="114">AC73/AB73</f>
      </c>
      <c r="O73" s="754">
        <f t="shared" ref="O73:O86" si="157">AD73/AB73</f>
      </c>
      <c r="P73" s="755">
        <f t="shared" ref="P73:P86" si="86">D73/AD73</f>
      </c>
      <c r="Q73" s="754">
        <f t="shared" ref="Q73:Q86" si="198">AE73/AD73</f>
      </c>
      <c r="R73" s="754">
        <f t="shared" ref="R73:R86" si="128">G73/AE73</f>
      </c>
      <c r="S73" s="755">
        <f t="shared" ref="S73:S86" si="143">D73/G73</f>
      </c>
      <c r="T73" s="756">
        <f t="shared" ref="T73:T86" si="170">H73/G73</f>
      </c>
      <c r="U73" s="755">
        <f t="shared" ref="U73:U86" si="184">D73/Y73</f>
      </c>
      <c r="V73" s="757">
        <f t="shared" ref="V73:V86" si="211">AF73*1000/D73</f>
      </c>
      <c r="W73" s="758" t="s">
        <v>435</v>
      </c>
      <c r="X73" s="759" t="s">
        <v>447</v>
      </c>
      <c r="Y73" s="760">
        <v>6</v>
      </c>
      <c r="Z73" s="761">
        <v>16302</v>
      </c>
      <c r="AA73" s="761">
        <v>588</v>
      </c>
      <c r="AB73" s="761">
        <v>681</v>
      </c>
      <c r="AC73" s="761">
        <v>110</v>
      </c>
      <c r="AD73" s="761">
        <v>88</v>
      </c>
      <c r="AE73" s="760">
        <v>15</v>
      </c>
      <c r="AF73" s="760">
        <v>41</v>
      </c>
      <c r="AG73" s="760"/>
    </row>
    <row r="74">
      <c r="A74" s="749"/>
      <c r="B74" s="750" t="s">
        <v>439</v>
      </c>
      <c r="C74" s="751" t="s">
        <v>434</v>
      </c>
      <c r="D74" s="751">
        <f t="shared" si="26"/>
      </c>
      <c r="E74" s="799">
        <v>5230.72</v>
      </c>
      <c r="F74" s="799">
        <v>904.16</v>
      </c>
      <c r="G74" s="752">
        <v>4</v>
      </c>
      <c r="H74" s="752">
        <v>7564</v>
      </c>
      <c r="I74" s="753">
        <f t="shared" si="72"/>
      </c>
      <c r="J74" s="753"/>
      <c r="K74" s="800">
        <f t="shared" si="6"/>
      </c>
      <c r="L74" s="802">
        <f t="shared" si="100"/>
      </c>
      <c r="M74" s="765">
        <f t="shared" si="56"/>
      </c>
      <c r="N74" s="764">
        <f t="shared" si="114"/>
      </c>
      <c r="O74" s="764">
        <f t="shared" si="157"/>
      </c>
      <c r="P74" s="765">
        <f t="shared" si="86"/>
      </c>
      <c r="Q74" s="764">
        <f t="shared" si="198"/>
      </c>
      <c r="R74" s="764">
        <f t="shared" si="128"/>
      </c>
      <c r="S74" s="766">
        <f t="shared" si="143"/>
      </c>
      <c r="T74" s="767">
        <f t="shared" si="170"/>
      </c>
      <c r="U74" s="766">
        <f t="shared" si="184"/>
      </c>
      <c r="V74" s="768">
        <f t="shared" si="211"/>
      </c>
      <c r="W74" s="769" t="s">
        <v>435</v>
      </c>
      <c r="X74" s="770" t="s">
        <v>447</v>
      </c>
      <c r="Y74" s="771">
        <v>2</v>
      </c>
      <c r="Z74" s="772">
        <v>19971</v>
      </c>
      <c r="AA74" s="772">
        <v>597</v>
      </c>
      <c r="AB74" s="772">
        <v>683</v>
      </c>
      <c r="AC74" s="772">
        <v>131</v>
      </c>
      <c r="AD74" s="771">
        <v>87</v>
      </c>
      <c r="AE74" s="771">
        <v>11</v>
      </c>
      <c r="AF74" s="771">
        <v>40</v>
      </c>
      <c r="AG74" s="771"/>
    </row>
    <row r="75">
      <c r="A75" s="749"/>
      <c r="B75" s="750" t="s">
        <v>441</v>
      </c>
      <c r="C75" s="751" t="s">
        <v>434</v>
      </c>
      <c r="D75" s="751">
        <f t="shared" si="26"/>
      </c>
      <c r="E75" s="799">
        <v>10231.34</v>
      </c>
      <c r="F75" s="799">
        <v>839.3</v>
      </c>
      <c r="G75" s="752">
        <v>8</v>
      </c>
      <c r="H75" s="752">
        <v>12864</v>
      </c>
      <c r="I75" s="753">
        <f t="shared" si="72"/>
      </c>
      <c r="J75" s="753"/>
      <c r="K75" s="800">
        <f t="shared" si="6"/>
      </c>
      <c r="L75" s="803">
        <f t="shared" si="100"/>
      </c>
      <c r="M75" s="774">
        <f t="shared" si="56"/>
      </c>
      <c r="N75" s="773">
        <f t="shared" si="114"/>
      </c>
      <c r="O75" s="773">
        <f t="shared" si="157"/>
      </c>
      <c r="P75" s="774">
        <f t="shared" si="86"/>
      </c>
      <c r="Q75" s="773">
        <f t="shared" si="198"/>
      </c>
      <c r="R75" s="773">
        <f t="shared" si="128"/>
      </c>
      <c r="S75" s="775">
        <f t="shared" si="143"/>
      </c>
      <c r="T75" s="776">
        <f t="shared" si="170"/>
      </c>
      <c r="U75" s="775">
        <f t="shared" si="184"/>
      </c>
      <c r="V75" s="777">
        <f t="shared" si="211"/>
      </c>
      <c r="W75" s="778" t="s">
        <v>435</v>
      </c>
      <c r="X75" s="779" t="s">
        <v>447</v>
      </c>
      <c r="Y75" s="780">
        <v>6</v>
      </c>
      <c r="Z75" s="781">
        <v>58512</v>
      </c>
      <c r="AA75" s="781">
        <v>1108</v>
      </c>
      <c r="AB75" s="781">
        <v>1234</v>
      </c>
      <c r="AC75" s="781">
        <v>237</v>
      </c>
      <c r="AD75" s="780">
        <v>178</v>
      </c>
      <c r="AE75" s="780">
        <v>20</v>
      </c>
      <c r="AF75" s="780">
        <v>55</v>
      </c>
      <c r="AG75" s="780"/>
    </row>
    <row customHeight="true" ht="18.452380952380953" r="76">
      <c r="A76" s="749"/>
      <c r="B76" s="750" t="s">
        <v>443</v>
      </c>
      <c r="C76" s="751" t="s">
        <v>434</v>
      </c>
      <c r="D76" s="751">
        <f t="shared" si="26"/>
      </c>
      <c r="E76" s="799">
        <v>3855.7</v>
      </c>
      <c r="F76" s="799">
        <v>880.33</v>
      </c>
      <c r="G76" s="752">
        <v>5</v>
      </c>
      <c r="H76" s="752">
        <v>8700</v>
      </c>
      <c r="I76" s="753">
        <f t="shared" si="72"/>
      </c>
      <c r="J76" s="753"/>
      <c r="K76" s="800">
        <f t="shared" si="6"/>
      </c>
      <c r="L76" s="803">
        <f t="shared" si="100"/>
      </c>
      <c r="M76" s="774">
        <f t="shared" si="56"/>
      </c>
      <c r="N76" s="773">
        <f t="shared" si="114"/>
      </c>
      <c r="O76" s="773">
        <f t="shared" si="157"/>
      </c>
      <c r="P76" s="774">
        <f t="shared" si="86"/>
      </c>
      <c r="Q76" s="773">
        <f t="shared" si="198"/>
      </c>
      <c r="R76" s="773">
        <f t="shared" si="128"/>
      </c>
      <c r="S76" s="775">
        <f t="shared" si="143"/>
      </c>
      <c r="T76" s="776">
        <f t="shared" si="170"/>
      </c>
      <c r="U76" s="775">
        <f t="shared" si="184"/>
      </c>
      <c r="V76" s="777">
        <f t="shared" si="211"/>
      </c>
      <c r="W76" s="778" t="s">
        <v>435</v>
      </c>
      <c r="X76" s="779" t="s">
        <v>447</v>
      </c>
      <c r="Y76" s="780">
        <v>4</v>
      </c>
      <c r="Z76" s="781">
        <v>26030</v>
      </c>
      <c r="AA76" s="781">
        <v>656</v>
      </c>
      <c r="AB76" s="781">
        <v>731</v>
      </c>
      <c r="AC76" s="781">
        <v>119</v>
      </c>
      <c r="AD76" s="780">
        <v>101</v>
      </c>
      <c r="AE76" s="780">
        <v>14</v>
      </c>
      <c r="AF76" s="780">
        <v>38</v>
      </c>
      <c r="AG76" s="780"/>
    </row>
    <row r="77">
      <c r="A77" s="749"/>
      <c r="B77" s="782" t="s">
        <v>440</v>
      </c>
      <c r="C77" s="782"/>
      <c r="D77" s="783">
        <f>SUM(D73:D76)</f>
      </c>
      <c r="E77" s="783">
        <f>SUM(E73:E76)</f>
      </c>
      <c r="F77" s="783">
        <f>SUM(F73:F76)</f>
      </c>
      <c r="G77" s="783">
        <f>SUM(G73:G76)</f>
      </c>
      <c r="H77" s="783">
        <f>SUM(H73:H76)</f>
      </c>
      <c r="I77" s="804">
        <f t="shared" si="72"/>
      </c>
      <c r="J77" s="804"/>
      <c r="K77" s="805">
        <f t="shared" si="6"/>
      </c>
      <c r="L77" s="806">
        <f t="shared" si="100"/>
      </c>
      <c r="M77" s="786">
        <f t="shared" si="56"/>
      </c>
      <c r="N77" s="785">
        <f t="shared" si="114"/>
      </c>
      <c r="O77" s="785">
        <f t="shared" si="157"/>
      </c>
      <c r="P77" s="786">
        <f t="shared" si="86"/>
      </c>
      <c r="Q77" s="785">
        <f t="shared" si="198"/>
      </c>
      <c r="R77" s="785">
        <f t="shared" si="128"/>
      </c>
      <c r="S77" s="787">
        <f t="shared" si="143"/>
      </c>
      <c r="T77" s="788">
        <f t="shared" si="170"/>
      </c>
      <c r="U77" s="787">
        <f t="shared" si="184"/>
      </c>
      <c r="V77" s="789">
        <f t="shared" si="211"/>
      </c>
      <c r="W77" s="789"/>
      <c r="X77" s="789"/>
      <c r="Y77" s="783">
        <f>SUM(Y73:Y76)</f>
      </c>
      <c r="Z77" s="783">
        <f>SUM(Z73:Z76)</f>
      </c>
      <c r="AA77" s="783">
        <f>SUM(AA73:AA76)</f>
      </c>
      <c r="AB77" s="783">
        <f>SUM(AB73:AB76)</f>
      </c>
      <c r="AC77" s="783">
        <f>SUM(AC73:AC76)</f>
      </c>
      <c r="AD77" s="783">
        <f>SUM(AD73:AD76)</f>
      </c>
      <c r="AE77" s="783">
        <f>SUM(AE73:AE76)</f>
      </c>
      <c r="AF77" s="783">
        <f>SUM(AF73:AF76)</f>
      </c>
      <c r="AG77" s="783"/>
    </row>
    <row r="78">
      <c r="A78" s="749"/>
      <c r="B78" s="750" t="s">
        <v>451</v>
      </c>
      <c r="C78" s="799" t="s">
        <v>455</v>
      </c>
      <c r="D78" s="751">
        <f t="shared" ref="D78:D79" si="27">E78+F78</f>
      </c>
      <c r="E78" s="799">
        <v>3110.72</v>
      </c>
      <c r="F78" s="799">
        <v>908.25</v>
      </c>
      <c r="G78" s="752">
        <v>3</v>
      </c>
      <c r="H78" s="752">
        <v>2844</v>
      </c>
      <c r="I78" s="753">
        <f t="shared" si="72"/>
      </c>
      <c r="J78" s="753"/>
      <c r="K78" s="800">
        <f t="shared" si="6"/>
      </c>
      <c r="L78" s="803">
        <f t="shared" si="100"/>
      </c>
      <c r="M78" s="774">
        <f t="shared" si="56"/>
      </c>
      <c r="N78" s="773">
        <f t="shared" si="114"/>
      </c>
      <c r="O78" s="773">
        <f t="shared" si="157"/>
      </c>
      <c r="P78" s="774">
        <f t="shared" si="86"/>
      </c>
      <c r="Q78" s="773">
        <f t="shared" si="198"/>
      </c>
      <c r="R78" s="773">
        <f t="shared" si="128"/>
      </c>
      <c r="S78" s="775">
        <f t="shared" si="143"/>
      </c>
      <c r="T78" s="776">
        <f t="shared" si="170"/>
      </c>
      <c r="U78" s="775">
        <f t="shared" si="184"/>
      </c>
      <c r="V78" s="777">
        <f t="shared" si="211"/>
      </c>
      <c r="W78" s="778" t="s">
        <v>435</v>
      </c>
      <c r="X78" s="779" t="s">
        <v>447</v>
      </c>
      <c r="Y78" s="780">
        <v>2</v>
      </c>
      <c r="Z78" s="781">
        <v>13232</v>
      </c>
      <c r="AA78" s="781">
        <v>521</v>
      </c>
      <c r="AB78" s="781">
        <v>612</v>
      </c>
      <c r="AC78" s="781">
        <v>94</v>
      </c>
      <c r="AD78" s="780">
        <v>67</v>
      </c>
      <c r="AE78" s="780">
        <v>5</v>
      </c>
      <c r="AF78" s="780">
        <v>24</v>
      </c>
      <c r="AG78" s="780"/>
    </row>
    <row r="79">
      <c r="A79" s="749"/>
      <c r="B79" s="750" t="s">
        <v>452</v>
      </c>
      <c r="C79" s="751" t="s">
        <v>455</v>
      </c>
      <c r="D79" s="751">
        <f t="shared" si="27"/>
      </c>
      <c r="E79" s="799">
        <v>2493.32</v>
      </c>
      <c r="F79" s="799">
        <v>1380.27</v>
      </c>
      <c r="G79" s="790">
        <v>4</v>
      </c>
      <c r="H79" s="790">
        <v>5472</v>
      </c>
      <c r="I79" s="753">
        <f t="shared" si="72"/>
      </c>
      <c r="J79" s="753"/>
      <c r="K79" s="807">
        <f t="shared" si="6"/>
      </c>
      <c r="L79" s="803">
        <f t="shared" si="100"/>
      </c>
      <c r="M79" s="774">
        <f t="shared" si="56"/>
      </c>
      <c r="N79" s="773">
        <f t="shared" si="114"/>
      </c>
      <c r="O79" s="773">
        <f t="shared" si="157"/>
      </c>
      <c r="P79" s="774">
        <f t="shared" si="86"/>
      </c>
      <c r="Q79" s="773">
        <f t="shared" si="198"/>
      </c>
      <c r="R79" s="773">
        <f t="shared" si="128"/>
      </c>
      <c r="S79" s="775">
        <f t="shared" si="143"/>
      </c>
      <c r="T79" s="776">
        <f t="shared" si="170"/>
      </c>
      <c r="U79" s="775">
        <f t="shared" si="184"/>
      </c>
      <c r="V79" s="777">
        <f t="shared" si="211"/>
      </c>
      <c r="W79" s="778" t="s">
        <v>435</v>
      </c>
      <c r="X79" s="779" t="s">
        <v>447</v>
      </c>
      <c r="Y79" s="780">
        <v>5</v>
      </c>
      <c r="Z79" s="781">
        <v>10754</v>
      </c>
      <c r="AA79" s="781">
        <v>543</v>
      </c>
      <c r="AB79" s="781">
        <v>610</v>
      </c>
      <c r="AC79" s="781">
        <v>82</v>
      </c>
      <c r="AD79" s="781">
        <v>57</v>
      </c>
      <c r="AE79" s="780">
        <v>9</v>
      </c>
      <c r="AF79" s="780">
        <v>26</v>
      </c>
      <c r="AG79" s="780"/>
    </row>
    <row customHeight="true" ht="18.452380952380953" r="80">
      <c r="A80" s="749"/>
      <c r="B80" s="782" t="s">
        <v>440</v>
      </c>
      <c r="C80" s="782"/>
      <c r="D80" s="783">
        <f>SUM(D78:D79)</f>
      </c>
      <c r="E80" s="783">
        <f>SUM(E78:E79)</f>
      </c>
      <c r="F80" s="783">
        <f>SUM(F78:F79)</f>
      </c>
      <c r="G80" s="783">
        <f>SUM(G78:G79)</f>
      </c>
      <c r="H80" s="783">
        <f>SUM(H78:H79)</f>
      </c>
      <c r="I80" s="804">
        <f t="shared" si="72"/>
      </c>
      <c r="J80" s="804"/>
      <c r="K80" s="810">
        <f t="shared" si="6"/>
      </c>
      <c r="L80" s="806">
        <f t="shared" si="100"/>
      </c>
      <c r="M80" s="786">
        <f t="shared" si="56"/>
      </c>
      <c r="N80" s="785">
        <f t="shared" si="114"/>
      </c>
      <c r="O80" s="785">
        <f t="shared" si="157"/>
      </c>
      <c r="P80" s="786">
        <f t="shared" si="86"/>
      </c>
      <c r="Q80" s="785">
        <f t="shared" si="198"/>
      </c>
      <c r="R80" s="785">
        <f t="shared" si="128"/>
      </c>
      <c r="S80" s="787">
        <f t="shared" si="143"/>
      </c>
      <c r="T80" s="788">
        <f t="shared" si="170"/>
      </c>
      <c r="U80" s="787">
        <f t="shared" si="184"/>
      </c>
      <c r="V80" s="789">
        <f t="shared" si="211"/>
      </c>
      <c r="W80" s="789"/>
      <c r="X80" s="789"/>
      <c r="Y80" s="783">
        <f>SUM(Y78:Y79)</f>
      </c>
      <c r="Z80" s="783">
        <f>SUM(Z78:Z79)</f>
      </c>
      <c r="AA80" s="783">
        <f>SUM(AA78:AA79)</f>
      </c>
      <c r="AB80" s="783">
        <f>SUM(AB78:AB79)</f>
      </c>
      <c r="AC80" s="783">
        <f>SUM(AC78:AC79)</f>
      </c>
      <c r="AD80" s="783">
        <f>SUM(AD78:AD79)</f>
      </c>
      <c r="AE80" s="783">
        <f>SUM(AE78:AE79)</f>
      </c>
      <c r="AF80" s="783">
        <f>SUM(AF78:AF79)</f>
      </c>
      <c r="AG80" s="783"/>
    </row>
    <row r="81">
      <c r="A81" s="749"/>
      <c r="B81" s="750" t="s">
        <v>456</v>
      </c>
      <c r="C81" s="751" t="s">
        <v>442</v>
      </c>
      <c r="D81" s="751">
        <f t="shared" ref="D81:D84" si="28">E81+F81</f>
      </c>
      <c r="E81" s="799">
        <v>3313.63</v>
      </c>
      <c r="F81" s="799">
        <v>1581.89</v>
      </c>
      <c r="G81" s="752">
        <v>6</v>
      </c>
      <c r="H81" s="752">
        <v>10968</v>
      </c>
      <c r="I81" s="753">
        <f t="shared" si="72"/>
      </c>
      <c r="J81" s="753"/>
      <c r="K81" s="807">
        <f t="shared" si="6"/>
      </c>
      <c r="L81" s="803">
        <f t="shared" si="100"/>
      </c>
      <c r="M81" s="774">
        <f t="shared" si="56"/>
      </c>
      <c r="N81" s="773">
        <f t="shared" si="114"/>
      </c>
      <c r="O81" s="773">
        <f t="shared" si="157"/>
      </c>
      <c r="P81" s="774">
        <f t="shared" si="86"/>
      </c>
      <c r="Q81" s="773">
        <f t="shared" si="198"/>
      </c>
      <c r="R81" s="773">
        <f t="shared" si="128"/>
      </c>
      <c r="S81" s="775">
        <f t="shared" si="143"/>
      </c>
      <c r="T81" s="776">
        <f t="shared" si="170"/>
      </c>
      <c r="U81" s="775">
        <f t="shared" si="184"/>
      </c>
      <c r="V81" s="777">
        <f t="shared" si="211"/>
      </c>
      <c r="W81" s="778" t="s">
        <v>435</v>
      </c>
      <c r="X81" s="779" t="s">
        <v>447</v>
      </c>
      <c r="Y81" s="780">
        <v>5</v>
      </c>
      <c r="Z81" s="781">
        <v>14023</v>
      </c>
      <c r="AA81" s="781">
        <v>546</v>
      </c>
      <c r="AB81" s="781">
        <v>614</v>
      </c>
      <c r="AC81" s="781">
        <v>92</v>
      </c>
      <c r="AD81" s="781">
        <v>62</v>
      </c>
      <c r="AE81" s="780">
        <v>9</v>
      </c>
      <c r="AF81" s="780">
        <v>32</v>
      </c>
      <c r="AG81" s="780"/>
    </row>
    <row r="82">
      <c r="A82" s="749"/>
      <c r="B82" s="750" t="s">
        <v>457</v>
      </c>
      <c r="C82" s="751" t="s">
        <v>442</v>
      </c>
      <c r="D82" s="751">
        <f t="shared" si="28"/>
      </c>
      <c r="E82" s="799">
        <v>4675.77</v>
      </c>
      <c r="F82" s="799">
        <v>1459.35</v>
      </c>
      <c r="G82" s="752">
        <v>4</v>
      </c>
      <c r="H82" s="752">
        <v>7752</v>
      </c>
      <c r="I82" s="753">
        <f t="shared" si="72"/>
      </c>
      <c r="J82" s="753"/>
      <c r="K82" s="807">
        <f t="shared" si="6"/>
      </c>
      <c r="L82" s="803">
        <f t="shared" si="100"/>
      </c>
      <c r="M82" s="774">
        <f t="shared" si="56"/>
      </c>
      <c r="N82" s="773">
        <f t="shared" si="114"/>
      </c>
      <c r="O82" s="773">
        <f t="shared" si="157"/>
      </c>
      <c r="P82" s="774">
        <f t="shared" si="86"/>
      </c>
      <c r="Q82" s="773">
        <f t="shared" si="198"/>
      </c>
      <c r="R82" s="773">
        <f t="shared" si="128"/>
      </c>
      <c r="S82" s="775">
        <f t="shared" si="143"/>
      </c>
      <c r="T82" s="776">
        <f t="shared" si="170"/>
      </c>
      <c r="U82" s="775">
        <f t="shared" si="184"/>
      </c>
      <c r="V82" s="777">
        <f t="shared" si="211"/>
      </c>
      <c r="W82" s="778" t="s">
        <v>435</v>
      </c>
      <c r="X82" s="779" t="s">
        <v>458</v>
      </c>
      <c r="Y82" s="780">
        <v>4</v>
      </c>
      <c r="Z82" s="781">
        <v>20861</v>
      </c>
      <c r="AA82" s="781">
        <v>696</v>
      </c>
      <c r="AB82" s="781">
        <v>823</v>
      </c>
      <c r="AC82" s="781">
        <v>137</v>
      </c>
      <c r="AD82" s="781">
        <v>78</v>
      </c>
      <c r="AE82" s="780">
        <v>12</v>
      </c>
      <c r="AF82" s="780">
        <v>41</v>
      </c>
      <c r="AG82" s="780"/>
    </row>
    <row r="83">
      <c r="A83" s="749"/>
      <c r="B83" s="750" t="s">
        <v>459</v>
      </c>
      <c r="C83" s="751" t="s">
        <v>442</v>
      </c>
      <c r="D83" s="751">
        <f t="shared" si="28"/>
      </c>
      <c r="E83" s="799">
        <v>6248.89</v>
      </c>
      <c r="F83" s="799">
        <v>1135.54</v>
      </c>
      <c r="G83" s="752">
        <v>6</v>
      </c>
      <c r="H83" s="752">
        <v>8249</v>
      </c>
      <c r="I83" s="753">
        <f t="shared" si="72"/>
      </c>
      <c r="J83" s="753"/>
      <c r="K83" s="807">
        <f t="shared" si="6"/>
      </c>
      <c r="L83" s="803">
        <f t="shared" si="100"/>
      </c>
      <c r="M83" s="774">
        <f t="shared" si="56"/>
      </c>
      <c r="N83" s="773">
        <f t="shared" si="114"/>
      </c>
      <c r="O83" s="773">
        <f t="shared" si="157"/>
      </c>
      <c r="P83" s="774">
        <f t="shared" si="86"/>
      </c>
      <c r="Q83" s="773">
        <f t="shared" si="198"/>
      </c>
      <c r="R83" s="773">
        <f t="shared" si="128"/>
      </c>
      <c r="S83" s="775">
        <f t="shared" si="143"/>
      </c>
      <c r="T83" s="776">
        <f t="shared" si="170"/>
      </c>
      <c r="U83" s="775">
        <f t="shared" si="184"/>
      </c>
      <c r="V83" s="777">
        <f t="shared" si="211"/>
      </c>
      <c r="W83" s="778" t="s">
        <v>435</v>
      </c>
      <c r="X83" s="779" t="s">
        <v>458</v>
      </c>
      <c r="Y83" s="780">
        <v>6</v>
      </c>
      <c r="Z83" s="781">
        <v>39314</v>
      </c>
      <c r="AA83" s="781">
        <v>711</v>
      </c>
      <c r="AB83" s="781">
        <v>892</v>
      </c>
      <c r="AC83" s="781">
        <v>123</v>
      </c>
      <c r="AD83" s="781">
        <v>71</v>
      </c>
      <c r="AE83" s="780">
        <v>12</v>
      </c>
      <c r="AF83" s="780">
        <v>37</v>
      </c>
      <c r="AG83" s="780"/>
    </row>
    <row customHeight="true" ht="18.452380952380953" r="84">
      <c r="A84" s="749"/>
      <c r="B84" s="750" t="s">
        <v>460</v>
      </c>
      <c r="C84" s="751" t="s">
        <v>442</v>
      </c>
      <c r="D84" s="751">
        <f t="shared" si="28"/>
      </c>
      <c r="E84" s="799">
        <v>5773.6</v>
      </c>
      <c r="F84" s="799">
        <v>456.19</v>
      </c>
      <c r="G84" s="752">
        <v>6</v>
      </c>
      <c r="H84" s="752">
        <v>8328</v>
      </c>
      <c r="I84" s="753">
        <f t="shared" si="72"/>
      </c>
      <c r="J84" s="753"/>
      <c r="K84" s="807">
        <f t="shared" si="6"/>
      </c>
      <c r="L84" s="803">
        <f t="shared" si="100"/>
      </c>
      <c r="M84" s="774">
        <f t="shared" si="56"/>
      </c>
      <c r="N84" s="773">
        <f t="shared" si="114"/>
      </c>
      <c r="O84" s="773">
        <f t="shared" si="157"/>
      </c>
      <c r="P84" s="774">
        <f t="shared" si="86"/>
      </c>
      <c r="Q84" s="773">
        <f t="shared" si="198"/>
      </c>
      <c r="R84" s="773">
        <f t="shared" si="128"/>
      </c>
      <c r="S84" s="775">
        <f t="shared" si="143"/>
      </c>
      <c r="T84" s="776">
        <f t="shared" si="170"/>
      </c>
      <c r="U84" s="775">
        <f t="shared" si="184"/>
      </c>
      <c r="V84" s="777">
        <f t="shared" si="211"/>
      </c>
      <c r="W84" s="778" t="s">
        <v>435</v>
      </c>
      <c r="X84" s="779" t="s">
        <v>458</v>
      </c>
      <c r="Y84" s="780">
        <v>5</v>
      </c>
      <c r="Z84" s="781">
        <v>31022</v>
      </c>
      <c r="AA84" s="781">
        <v>479</v>
      </c>
      <c r="AB84" s="781">
        <v>580</v>
      </c>
      <c r="AC84" s="781">
        <v>99</v>
      </c>
      <c r="AD84" s="781">
        <v>61</v>
      </c>
      <c r="AE84" s="780">
        <v>1</v>
      </c>
      <c r="AF84" s="780">
        <v>29</v>
      </c>
      <c r="AG84" s="780"/>
    </row>
    <row r="85">
      <c r="A85" s="749"/>
      <c r="B85" s="782" t="s">
        <v>440</v>
      </c>
      <c r="C85" s="782"/>
      <c r="D85" s="783">
        <f>SUM(D81:D84)</f>
      </c>
      <c r="E85" s="783">
        <f>SUM(E81:E84)</f>
      </c>
      <c r="F85" s="783">
        <f>SUM(F81:F84)</f>
      </c>
      <c r="G85" s="783">
        <f>SUM(G81:G84)</f>
      </c>
      <c r="H85" s="783">
        <f>SUM(H81:H84)</f>
      </c>
      <c r="I85" s="804">
        <f t="shared" si="72"/>
      </c>
      <c r="J85" s="804"/>
      <c r="K85" s="808">
        <f t="shared" si="6"/>
      </c>
      <c r="L85" s="806">
        <f t="shared" si="100"/>
      </c>
      <c r="M85" s="786">
        <f t="shared" si="56"/>
      </c>
      <c r="N85" s="785">
        <f t="shared" si="114"/>
      </c>
      <c r="O85" s="785">
        <f t="shared" si="157"/>
      </c>
      <c r="P85" s="786">
        <f t="shared" si="86"/>
      </c>
      <c r="Q85" s="785">
        <f t="shared" si="198"/>
      </c>
      <c r="R85" s="785">
        <f t="shared" si="128"/>
      </c>
      <c r="S85" s="787">
        <f t="shared" si="143"/>
      </c>
      <c r="T85" s="788">
        <f t="shared" si="170"/>
      </c>
      <c r="U85" s="787">
        <f t="shared" si="184"/>
      </c>
      <c r="V85" s="789">
        <f t="shared" si="211"/>
      </c>
      <c r="W85" s="789"/>
      <c r="X85" s="789"/>
      <c r="Y85" s="783">
        <f>SUM(Y81:Y84)</f>
      </c>
      <c r="Z85" s="783">
        <f>SUM(Z81:Z84)</f>
      </c>
      <c r="AA85" s="783">
        <f>SUM(AA81:AA84)</f>
      </c>
      <c r="AB85" s="783">
        <f>SUM(AB81:AB84)</f>
      </c>
      <c r="AC85" s="783">
        <f>SUM(AC81:AC84)</f>
      </c>
      <c r="AD85" s="783">
        <f>SUM(AD81:AD84)</f>
      </c>
      <c r="AE85" s="783">
        <f>SUM(AE81:AE84)</f>
      </c>
      <c r="AF85" s="783">
        <f>SUM(AF81:AF84)</f>
      </c>
      <c r="AG85" s="783"/>
    </row>
    <row r="86">
      <c r="A86" s="749"/>
      <c r="B86" s="791" t="s">
        <v>444</v>
      </c>
      <c r="C86" s="791"/>
      <c r="D86" s="791">
        <f>D77+D85+D80</f>
      </c>
      <c r="E86" s="791">
        <f>E77+E85+E80</f>
      </c>
      <c r="F86" s="791">
        <f>F77+F85+F80</f>
      </c>
      <c r="G86" s="791">
        <f>G77+G85+G80</f>
      </c>
      <c r="H86" s="791">
        <f>H77+H85+H80</f>
      </c>
      <c r="I86" s="792">
        <f t="shared" si="72"/>
      </c>
      <c r="J86" s="792"/>
      <c r="K86" s="797">
        <f t="shared" si="6"/>
      </c>
      <c r="L86" s="809">
        <f t="shared" si="100"/>
      </c>
      <c r="M86" s="794">
        <f t="shared" si="56"/>
      </c>
      <c r="N86" s="795">
        <f t="shared" si="114"/>
      </c>
      <c r="O86" s="795">
        <f t="shared" si="157"/>
      </c>
      <c r="P86" s="794">
        <f t="shared" si="86"/>
      </c>
      <c r="Q86" s="795">
        <f t="shared" si="198"/>
      </c>
      <c r="R86" s="795">
        <f t="shared" si="128"/>
      </c>
      <c r="S86" s="794">
        <f t="shared" si="143"/>
      </c>
      <c r="T86" s="796">
        <f t="shared" si="170"/>
      </c>
      <c r="U86" s="794">
        <f t="shared" si="184"/>
      </c>
      <c r="V86" s="797">
        <f t="shared" si="211"/>
      </c>
      <c r="W86" s="797"/>
      <c r="X86" s="797"/>
      <c r="Y86" s="791">
        <f>Y77+Y85+Y80</f>
      </c>
      <c r="Z86" s="791">
        <f>Z77+Z85+Z80</f>
      </c>
      <c r="AA86" s="791">
        <f>AA77+AA85+AA80</f>
      </c>
      <c r="AB86" s="791">
        <f>AB77+AB85+AB80</f>
      </c>
      <c r="AC86" s="791">
        <f>AC77+AC85+AC80</f>
      </c>
      <c r="AD86" s="791">
        <f>AD77+AD85+AD80</f>
      </c>
      <c r="AE86" s="791">
        <f>AE77+AE85+AE80</f>
      </c>
      <c r="AF86" s="791">
        <f>AF77+AF85+AF80</f>
      </c>
      <c r="AG86" s="791"/>
    </row>
    <row r="87">
      <c r="A87" s="731" t="s">
        <v>398</v>
      </c>
      <c r="B87" s="731"/>
      <c r="C87" s="731"/>
      <c r="D87" s="732" t="s">
        <v>399</v>
      </c>
      <c r="E87" s="732"/>
      <c r="F87" s="732"/>
      <c r="G87" s="732"/>
      <c r="H87" s="732"/>
      <c r="I87" s="732"/>
      <c r="J87" s="732"/>
      <c r="K87" s="811" t="s">
        <v>400</v>
      </c>
      <c r="L87" s="811"/>
      <c r="M87" s="811"/>
      <c r="N87" s="811"/>
      <c r="O87" s="811"/>
      <c r="P87" s="811"/>
      <c r="Q87" s="811"/>
      <c r="R87" s="811"/>
      <c r="S87" s="811"/>
      <c r="T87" s="811"/>
      <c r="U87" s="811"/>
      <c r="V87" s="811"/>
      <c r="W87" s="811"/>
      <c r="X87" s="811"/>
      <c r="Y87" s="812" t="s">
        <v>401</v>
      </c>
      <c r="Z87" s="812"/>
      <c r="AA87" s="812"/>
      <c r="AB87" s="812"/>
      <c r="AC87" s="812"/>
      <c r="AD87" s="812"/>
      <c r="AE87" s="812"/>
      <c r="AF87" s="812"/>
      <c r="AG87" s="812"/>
    </row>
    <row r="88">
      <c r="A88" s="737" t="s">
        <v>402</v>
      </c>
      <c r="B88" s="738" t="s">
        <v>403</v>
      </c>
      <c r="C88" s="738" t="s">
        <v>404</v>
      </c>
      <c r="D88" s="739" t="s">
        <v>405</v>
      </c>
      <c r="E88" s="740" t="s">
        <v>406</v>
      </c>
      <c r="F88" s="740" t="s">
        <v>407</v>
      </c>
      <c r="G88" s="741" t="s">
        <v>408</v>
      </c>
      <c r="H88" s="742" t="s">
        <v>409</v>
      </c>
      <c r="I88" s="743" t="s">
        <v>410</v>
      </c>
      <c r="J88" s="743"/>
      <c r="K88" s="813" t="s">
        <v>445</v>
      </c>
      <c r="L88" s="811" t="s">
        <v>411</v>
      </c>
      <c r="M88" s="811" t="s">
        <v>412</v>
      </c>
      <c r="N88" s="814" t="s">
        <v>413</v>
      </c>
      <c r="O88" s="814" t="s">
        <v>414</v>
      </c>
      <c r="P88" s="811" t="s">
        <v>415</v>
      </c>
      <c r="Q88" s="814" t="s">
        <v>416</v>
      </c>
      <c r="R88" s="814" t="s">
        <v>417</v>
      </c>
      <c r="S88" s="811" t="s">
        <v>418</v>
      </c>
      <c r="T88" s="814" t="s">
        <v>419</v>
      </c>
      <c r="U88" s="811" t="s">
        <v>420</v>
      </c>
      <c r="V88" s="815" t="s">
        <v>421</v>
      </c>
      <c r="W88" s="815" t="s">
        <v>422</v>
      </c>
      <c r="X88" s="815" t="s">
        <v>423</v>
      </c>
      <c r="Y88" s="816" t="s">
        <v>424</v>
      </c>
      <c r="Z88" s="817" t="s">
        <v>425</v>
      </c>
      <c r="AA88" s="817" t="s">
        <v>426</v>
      </c>
      <c r="AB88" s="817" t="s">
        <v>427</v>
      </c>
      <c r="AC88" s="817" t="s">
        <v>428</v>
      </c>
      <c r="AD88" s="817" t="s">
        <v>429</v>
      </c>
      <c r="AE88" s="817" t="s">
        <v>430</v>
      </c>
      <c r="AF88" s="817" t="s">
        <v>431</v>
      </c>
      <c r="AG88" s="817"/>
    </row>
    <row r="89">
      <c r="A89" s="749" t="s">
        <v>461</v>
      </c>
      <c r="B89" s="818" t="s">
        <v>438</v>
      </c>
      <c r="C89" s="751" t="s">
        <v>434</v>
      </c>
      <c r="D89" s="751">
        <f t="shared" ref="D89:D91" si="29">E89+F89</f>
      </c>
      <c r="E89" s="799">
        <v>5504.18</v>
      </c>
      <c r="F89" s="799">
        <v>1276.41</v>
      </c>
      <c r="G89" s="790">
        <v>4</v>
      </c>
      <c r="H89" s="790">
        <v>6432</v>
      </c>
      <c r="I89" s="753">
        <f t="shared" ref="I89:I100" si="73">H89/D89</f>
      </c>
      <c r="J89" s="753"/>
      <c r="K89" s="819">
        <f t="shared" ref="K89:K100" si="7">(D89/Z89)*1000</f>
      </c>
      <c r="L89" s="820">
        <f t="shared" ref="L89:L100" si="101">AA89/Z89</f>
      </c>
      <c r="M89" s="821">
        <f t="shared" ref="M89:M100" si="57">D89/AB89</f>
      </c>
      <c r="N89" s="822">
        <f t="shared" ref="N89:N100" si="115">AC89/AB89</f>
      </c>
      <c r="O89" s="822">
        <f t="shared" ref="O89:O100" si="158">AD89/AB89</f>
      </c>
      <c r="P89" s="821">
        <f t="shared" ref="P89:P100" si="87">D89/AD89</f>
      </c>
      <c r="Q89" s="822">
        <f t="shared" ref="Q89:Q100" si="199">AE89/AD89</f>
      </c>
      <c r="R89" s="822">
        <f t="shared" ref="R89:R100" si="129">G89/AE89</f>
      </c>
      <c r="S89" s="821">
        <f t="shared" ref="S89:S100" si="144">D89/G89</f>
      </c>
      <c r="T89" s="823">
        <f t="shared" ref="T89:T100" si="171">H89/G89</f>
      </c>
      <c r="U89" s="821">
        <f t="shared" ref="U89:U100" si="185">D89/Y89</f>
      </c>
      <c r="V89" s="824">
        <f t="shared" ref="V89:V100" si="212">AF89*1000/D89</f>
      </c>
      <c r="W89" s="825" t="s">
        <v>435</v>
      </c>
      <c r="X89" s="826" t="s">
        <v>447</v>
      </c>
      <c r="Y89" s="827">
        <v>4</v>
      </c>
      <c r="Z89" s="827">
        <v>25957</v>
      </c>
      <c r="AA89" s="827">
        <v>632</v>
      </c>
      <c r="AB89" s="827">
        <v>854</v>
      </c>
      <c r="AC89" s="827">
        <v>127</v>
      </c>
      <c r="AD89" s="828">
        <v>96</v>
      </c>
      <c r="AE89" s="828">
        <v>13</v>
      </c>
      <c r="AF89" s="828">
        <v>28</v>
      </c>
      <c r="AG89" s="828"/>
    </row>
    <row r="90">
      <c r="A90" s="762"/>
      <c r="B90" s="818" t="s">
        <v>439</v>
      </c>
      <c r="C90" s="751" t="s">
        <v>434</v>
      </c>
      <c r="D90" s="751">
        <f t="shared" si="29"/>
      </c>
      <c r="E90" s="799">
        <v>5596.29</v>
      </c>
      <c r="F90" s="799">
        <v>780.52</v>
      </c>
      <c r="G90" s="790">
        <v>4</v>
      </c>
      <c r="H90" s="790">
        <v>6432</v>
      </c>
      <c r="I90" s="753">
        <f t="shared" si="73"/>
      </c>
      <c r="J90" s="753"/>
      <c r="K90" s="819">
        <f t="shared" si="7"/>
      </c>
      <c r="L90" s="802">
        <f t="shared" si="101"/>
      </c>
      <c r="M90" s="765">
        <f t="shared" si="57"/>
      </c>
      <c r="N90" s="764">
        <f t="shared" si="115"/>
      </c>
      <c r="O90" s="764">
        <f t="shared" si="158"/>
      </c>
      <c r="P90" s="765">
        <f t="shared" si="87"/>
      </c>
      <c r="Q90" s="764">
        <f t="shared" si="199"/>
      </c>
      <c r="R90" s="764">
        <f t="shared" si="129"/>
      </c>
      <c r="S90" s="766">
        <f t="shared" si="144"/>
      </c>
      <c r="T90" s="767">
        <f t="shared" si="171"/>
      </c>
      <c r="U90" s="766">
        <f t="shared" si="185"/>
      </c>
      <c r="V90" s="768">
        <f t="shared" si="212"/>
      </c>
      <c r="W90" s="829" t="s">
        <v>435</v>
      </c>
      <c r="X90" s="830" t="s">
        <v>447</v>
      </c>
      <c r="Y90" s="772">
        <v>4</v>
      </c>
      <c r="Z90" s="772">
        <v>24784</v>
      </c>
      <c r="AA90" s="772">
        <v>553</v>
      </c>
      <c r="AB90" s="772">
        <v>714</v>
      </c>
      <c r="AC90" s="772">
        <v>108</v>
      </c>
      <c r="AD90" s="772">
        <v>75</v>
      </c>
      <c r="AE90" s="772">
        <v>9</v>
      </c>
      <c r="AF90" s="772">
        <v>33</v>
      </c>
      <c r="AG90" s="772"/>
    </row>
    <row r="91">
      <c r="A91" s="762"/>
      <c r="B91" s="818" t="s">
        <v>441</v>
      </c>
      <c r="C91" s="751" t="s">
        <v>434</v>
      </c>
      <c r="D91" s="751">
        <f t="shared" si="29"/>
      </c>
      <c r="E91" s="799">
        <v>4234.19</v>
      </c>
      <c r="F91" s="799">
        <v>712.74</v>
      </c>
      <c r="G91" s="790">
        <v>5</v>
      </c>
      <c r="H91" s="790">
        <v>6060</v>
      </c>
      <c r="I91" s="753">
        <f t="shared" si="73"/>
      </c>
      <c r="J91" s="753"/>
      <c r="K91" s="819">
        <f t="shared" si="7"/>
      </c>
      <c r="L91" s="803">
        <f t="shared" si="101"/>
      </c>
      <c r="M91" s="774">
        <f t="shared" si="57"/>
      </c>
      <c r="N91" s="773">
        <f t="shared" si="115"/>
      </c>
      <c r="O91" s="773">
        <f t="shared" si="158"/>
      </c>
      <c r="P91" s="774">
        <f t="shared" si="87"/>
      </c>
      <c r="Q91" s="773">
        <f t="shared" si="199"/>
      </c>
      <c r="R91" s="773">
        <f t="shared" si="129"/>
      </c>
      <c r="S91" s="775">
        <f t="shared" si="144"/>
      </c>
      <c r="T91" s="776">
        <f t="shared" si="171"/>
      </c>
      <c r="U91" s="775">
        <f t="shared" si="185"/>
      </c>
      <c r="V91" s="777">
        <f t="shared" si="212"/>
      </c>
      <c r="W91" s="831" t="s">
        <v>435</v>
      </c>
      <c r="X91" s="832" t="s">
        <v>447</v>
      </c>
      <c r="Y91" s="781">
        <v>5</v>
      </c>
      <c r="Z91" s="781">
        <v>19828</v>
      </c>
      <c r="AA91" s="781">
        <v>488</v>
      </c>
      <c r="AB91" s="781">
        <v>663</v>
      </c>
      <c r="AC91" s="781">
        <v>88</v>
      </c>
      <c r="AD91" s="781">
        <v>44</v>
      </c>
      <c r="AE91" s="780">
        <v>8</v>
      </c>
      <c r="AF91" s="781">
        <v>28</v>
      </c>
      <c r="AG91" s="781"/>
    </row>
    <row r="92">
      <c r="A92" s="762"/>
      <c r="B92" s="782" t="s">
        <v>440</v>
      </c>
      <c r="C92" s="782"/>
      <c r="D92" s="783">
        <f>SUM(D89:D91)</f>
      </c>
      <c r="E92" s="783">
        <f>SUM(E89:E91)</f>
      </c>
      <c r="F92" s="783">
        <f>SUM(F89:F91)</f>
      </c>
      <c r="G92" s="783">
        <f>SUM(G89:G91)</f>
      </c>
      <c r="H92" s="783">
        <f>SUM(H89:H91)</f>
      </c>
      <c r="I92" s="804">
        <f t="shared" si="73"/>
      </c>
      <c r="J92" s="804"/>
      <c r="K92" s="810">
        <f t="shared" si="7"/>
      </c>
      <c r="L92" s="806">
        <f t="shared" si="101"/>
      </c>
      <c r="M92" s="786">
        <f t="shared" si="57"/>
      </c>
      <c r="N92" s="785">
        <f t="shared" si="115"/>
      </c>
      <c r="O92" s="785">
        <f t="shared" si="158"/>
      </c>
      <c r="P92" s="786">
        <f t="shared" si="87"/>
      </c>
      <c r="Q92" s="785">
        <f t="shared" si="199"/>
      </c>
      <c r="R92" s="785">
        <f t="shared" si="129"/>
      </c>
      <c r="S92" s="787">
        <f t="shared" si="144"/>
      </c>
      <c r="T92" s="788">
        <f t="shared" si="171"/>
      </c>
      <c r="U92" s="787">
        <f t="shared" si="185"/>
      </c>
      <c r="V92" s="789">
        <f t="shared" si="212"/>
      </c>
      <c r="W92" s="789"/>
      <c r="X92" s="789"/>
      <c r="Y92" s="783">
        <f>SUM(Y89:Y91)</f>
      </c>
      <c r="Z92" s="783">
        <f>SUM(Z89:Z91)</f>
      </c>
      <c r="AA92" s="783">
        <f>SUM(AA89:AA91)</f>
      </c>
      <c r="AB92" s="783">
        <f>SUM(AB89:AB91)</f>
      </c>
      <c r="AC92" s="783">
        <f>SUM(AC89:AC91)</f>
      </c>
      <c r="AD92" s="783">
        <f>SUM(AD89:AD91)</f>
      </c>
      <c r="AE92" s="783">
        <f>SUM(AE89:AE91)</f>
      </c>
      <c r="AF92" s="783">
        <f>SUM(AF89:AF91)</f>
      </c>
      <c r="AG92" s="783"/>
    </row>
    <row r="93">
      <c r="A93" s="762"/>
      <c r="B93" s="818" t="s">
        <v>443</v>
      </c>
      <c r="C93" s="751" t="s">
        <v>455</v>
      </c>
      <c r="D93" s="751">
        <f t="shared" ref="D93:D94" si="30">E93+F93</f>
      </c>
      <c r="E93" s="751">
        <v>4980.2</v>
      </c>
      <c r="F93" s="799">
        <v>604.61</v>
      </c>
      <c r="G93" s="790">
        <v>3</v>
      </c>
      <c r="H93" s="790">
        <v>4164</v>
      </c>
      <c r="I93" s="753">
        <f t="shared" si="73"/>
      </c>
      <c r="J93" s="753"/>
      <c r="K93" s="819">
        <f t="shared" si="7"/>
      </c>
      <c r="L93" s="803">
        <f t="shared" si="101"/>
      </c>
      <c r="M93" s="774">
        <f t="shared" si="57"/>
      </c>
      <c r="N93" s="773">
        <f t="shared" si="115"/>
      </c>
      <c r="O93" s="773">
        <f t="shared" si="158"/>
      </c>
      <c r="P93" s="774">
        <f t="shared" si="87"/>
      </c>
      <c r="Q93" s="773">
        <f t="shared" si="199"/>
      </c>
      <c r="R93" s="773">
        <f t="shared" si="129"/>
      </c>
      <c r="S93" s="775">
        <f t="shared" si="144"/>
      </c>
      <c r="T93" s="776">
        <f t="shared" si="171"/>
      </c>
      <c r="U93" s="775">
        <f t="shared" si="185"/>
      </c>
      <c r="V93" s="777">
        <f t="shared" si="212"/>
      </c>
      <c r="W93" s="831" t="s">
        <v>435</v>
      </c>
      <c r="X93" s="832" t="s">
        <v>447</v>
      </c>
      <c r="Y93" s="781">
        <v>3</v>
      </c>
      <c r="Z93" s="781">
        <v>21798</v>
      </c>
      <c r="AA93" s="781">
        <v>557</v>
      </c>
      <c r="AB93" s="781">
        <v>762</v>
      </c>
      <c r="AC93" s="781">
        <v>139</v>
      </c>
      <c r="AD93" s="781">
        <v>66</v>
      </c>
      <c r="AE93" s="781">
        <v>9</v>
      </c>
      <c r="AF93" s="781">
        <v>33</v>
      </c>
      <c r="AG93" s="781"/>
    </row>
    <row r="94">
      <c r="A94" s="762"/>
      <c r="B94" s="818" t="s">
        <v>451</v>
      </c>
      <c r="C94" s="751" t="s">
        <v>455</v>
      </c>
      <c r="D94" s="751">
        <f t="shared" si="30"/>
      </c>
      <c r="E94" s="799">
        <v>4384.59</v>
      </c>
      <c r="F94" s="799">
        <v>536.47</v>
      </c>
      <c r="G94" s="790">
        <v>5</v>
      </c>
      <c r="H94" s="790">
        <v>7301</v>
      </c>
      <c r="I94" s="753">
        <f t="shared" si="73"/>
      </c>
      <c r="J94" s="753"/>
      <c r="K94" s="833">
        <f t="shared" si="7"/>
      </c>
      <c r="L94" s="803">
        <f t="shared" si="101"/>
      </c>
      <c r="M94" s="774">
        <f t="shared" si="57"/>
      </c>
      <c r="N94" s="773">
        <f t="shared" si="115"/>
      </c>
      <c r="O94" s="773">
        <f t="shared" si="158"/>
      </c>
      <c r="P94" s="774">
        <f t="shared" si="87"/>
      </c>
      <c r="Q94" s="773">
        <f t="shared" si="199"/>
      </c>
      <c r="R94" s="773">
        <f t="shared" si="129"/>
      </c>
      <c r="S94" s="775">
        <f t="shared" si="144"/>
      </c>
      <c r="T94" s="776">
        <f t="shared" si="171"/>
      </c>
      <c r="U94" s="775">
        <f t="shared" si="185"/>
      </c>
      <c r="V94" s="777">
        <f t="shared" si="212"/>
      </c>
      <c r="W94" s="831" t="s">
        <v>435</v>
      </c>
      <c r="X94" s="832" t="s">
        <v>447</v>
      </c>
      <c r="Y94" s="781">
        <v>4</v>
      </c>
      <c r="Z94" s="781">
        <v>16545</v>
      </c>
      <c r="AA94" s="781">
        <v>393</v>
      </c>
      <c r="AB94" s="781">
        <v>539</v>
      </c>
      <c r="AC94" s="781">
        <v>87</v>
      </c>
      <c r="AD94" s="781">
        <v>47</v>
      </c>
      <c r="AE94" s="781">
        <v>8</v>
      </c>
      <c r="AF94" s="781">
        <v>22</v>
      </c>
      <c r="AG94" s="781"/>
    </row>
    <row r="95">
      <c r="A95" s="762"/>
      <c r="B95" s="782" t="s">
        <v>440</v>
      </c>
      <c r="C95" s="782"/>
      <c r="D95" s="783">
        <f>SUM(D93:D94)</f>
      </c>
      <c r="E95" s="783">
        <f>SUM(E93:E94)</f>
      </c>
      <c r="F95" s="783">
        <f>SUM(F93:F94)</f>
      </c>
      <c r="G95" s="783">
        <f>SUM(G93:G94)</f>
      </c>
      <c r="H95" s="783">
        <f>SUM(H93:H94)</f>
      </c>
      <c r="I95" s="804">
        <f t="shared" si="73"/>
      </c>
      <c r="J95" s="804"/>
      <c r="K95" s="810">
        <f t="shared" si="7"/>
      </c>
      <c r="L95" s="806">
        <f t="shared" si="101"/>
      </c>
      <c r="M95" s="786">
        <f t="shared" si="57"/>
      </c>
      <c r="N95" s="785">
        <f t="shared" si="115"/>
      </c>
      <c r="O95" s="785">
        <f t="shared" si="158"/>
      </c>
      <c r="P95" s="786">
        <f t="shared" si="87"/>
      </c>
      <c r="Q95" s="785">
        <f t="shared" si="199"/>
      </c>
      <c r="R95" s="785">
        <f t="shared" si="129"/>
      </c>
      <c r="S95" s="787">
        <f t="shared" si="144"/>
      </c>
      <c r="T95" s="788">
        <f t="shared" si="171"/>
      </c>
      <c r="U95" s="787">
        <f t="shared" si="185"/>
      </c>
      <c r="V95" s="789">
        <f t="shared" si="212"/>
      </c>
      <c r="W95" s="789"/>
      <c r="X95" s="789"/>
      <c r="Y95" s="783">
        <f>SUM(Y93:Y94)</f>
      </c>
      <c r="Z95" s="783">
        <f>SUM(Z93:Z94)</f>
      </c>
      <c r="AA95" s="783">
        <f>SUM(AA93:AA94)</f>
      </c>
      <c r="AB95" s="783">
        <f>SUM(AB93:AB94)</f>
      </c>
      <c r="AC95" s="783">
        <f>SUM(AC93:AC94)</f>
      </c>
      <c r="AD95" s="783">
        <f>SUM(AD93:AD94)</f>
      </c>
      <c r="AE95" s="783">
        <f>SUM(AE93:AE94)</f>
      </c>
      <c r="AF95" s="783">
        <f>SUM(AF93:AF94)</f>
      </c>
      <c r="AG95" s="783"/>
    </row>
    <row r="96">
      <c r="A96" s="762"/>
      <c r="B96" s="818" t="s">
        <v>452</v>
      </c>
      <c r="C96" s="751" t="s">
        <v>442</v>
      </c>
      <c r="D96" s="751">
        <f t="shared" ref="D96:D98" si="31">E96+F96</f>
      </c>
      <c r="E96" s="799">
        <v>3843.15</v>
      </c>
      <c r="F96" s="799">
        <v>34.86</v>
      </c>
      <c r="G96" s="790">
        <v>4</v>
      </c>
      <c r="H96" s="790">
        <v>5033</v>
      </c>
      <c r="I96" s="753">
        <f t="shared" si="73"/>
      </c>
      <c r="J96" s="753"/>
      <c r="K96" s="833">
        <f t="shared" si="7"/>
      </c>
      <c r="L96" s="803">
        <f t="shared" si="101"/>
      </c>
      <c r="M96" s="774">
        <f t="shared" si="57"/>
      </c>
      <c r="N96" s="773">
        <f t="shared" si="115"/>
      </c>
      <c r="O96" s="773">
        <f t="shared" si="158"/>
      </c>
      <c r="P96" s="774">
        <f t="shared" si="87"/>
      </c>
      <c r="Q96" s="773">
        <f t="shared" si="199"/>
      </c>
      <c r="R96" s="773">
        <f t="shared" si="129"/>
      </c>
      <c r="S96" s="775">
        <f t="shared" si="144"/>
      </c>
      <c r="T96" s="776">
        <f t="shared" si="171"/>
      </c>
      <c r="U96" s="775">
        <f t="shared" si="185"/>
      </c>
      <c r="V96" s="777">
        <f t="shared" si="212"/>
      </c>
      <c r="W96" s="831" t="s">
        <v>435</v>
      </c>
      <c r="X96" s="832" t="s">
        <v>447</v>
      </c>
      <c r="Y96" s="781">
        <v>3</v>
      </c>
      <c r="Z96" s="781">
        <v>14080</v>
      </c>
      <c r="AA96" s="781">
        <v>319</v>
      </c>
      <c r="AB96" s="781">
        <v>447</v>
      </c>
      <c r="AC96" s="781">
        <v>68</v>
      </c>
      <c r="AD96" s="781">
        <v>47</v>
      </c>
      <c r="AE96" s="781">
        <v>6</v>
      </c>
      <c r="AF96" s="781">
        <v>22</v>
      </c>
      <c r="AG96" s="781"/>
    </row>
    <row r="97">
      <c r="A97" s="762"/>
      <c r="B97" s="818" t="s">
        <v>456</v>
      </c>
      <c r="C97" s="751" t="s">
        <v>442</v>
      </c>
      <c r="D97" s="751">
        <f t="shared" si="31"/>
      </c>
      <c r="E97" s="799">
        <v>4176.17</v>
      </c>
      <c r="F97" s="799">
        <v>0</v>
      </c>
      <c r="G97" s="790">
        <v>2</v>
      </c>
      <c r="H97" s="790">
        <v>3216</v>
      </c>
      <c r="I97" s="753">
        <f t="shared" si="73"/>
      </c>
      <c r="J97" s="753"/>
      <c r="K97" s="833">
        <f t="shared" si="7"/>
      </c>
      <c r="L97" s="803">
        <f t="shared" si="101"/>
      </c>
      <c r="M97" s="774">
        <f t="shared" si="57"/>
      </c>
      <c r="N97" s="773">
        <f t="shared" si="115"/>
      </c>
      <c r="O97" s="773">
        <f t="shared" si="158"/>
      </c>
      <c r="P97" s="774">
        <f t="shared" si="87"/>
      </c>
      <c r="Q97" s="773">
        <f t="shared" si="199"/>
      </c>
      <c r="R97" s="773">
        <f t="shared" si="129"/>
      </c>
      <c r="S97" s="775">
        <f t="shared" si="144"/>
      </c>
      <c r="T97" s="776">
        <f t="shared" si="171"/>
      </c>
      <c r="U97" s="775">
        <f t="shared" si="185"/>
      </c>
      <c r="V97" s="777">
        <f t="shared" si="212"/>
      </c>
      <c r="W97" s="831" t="s">
        <v>435</v>
      </c>
      <c r="X97" s="832" t="s">
        <v>447</v>
      </c>
      <c r="Y97" s="781">
        <v>3</v>
      </c>
      <c r="Z97" s="781">
        <v>16995</v>
      </c>
      <c r="AA97" s="781">
        <v>321</v>
      </c>
      <c r="AB97" s="781">
        <v>410</v>
      </c>
      <c r="AC97" s="781">
        <v>67</v>
      </c>
      <c r="AD97" s="781">
        <v>34</v>
      </c>
      <c r="AE97" s="781">
        <v>8</v>
      </c>
      <c r="AF97" s="781">
        <v>27</v>
      </c>
      <c r="AG97" s="781"/>
    </row>
    <row r="98">
      <c r="A98" s="762"/>
      <c r="B98" s="818" t="s">
        <v>457</v>
      </c>
      <c r="C98" s="751" t="s">
        <v>442</v>
      </c>
      <c r="D98" s="751">
        <f t="shared" si="31"/>
      </c>
      <c r="E98" s="799">
        <v>2609.03</v>
      </c>
      <c r="F98" s="799">
        <v>325.23</v>
      </c>
      <c r="G98" s="790">
        <v>4</v>
      </c>
      <c r="H98" s="790">
        <v>5112</v>
      </c>
      <c r="I98" s="753">
        <f t="shared" si="73"/>
      </c>
      <c r="J98" s="753"/>
      <c r="K98" s="833">
        <f t="shared" si="7"/>
      </c>
      <c r="L98" s="803">
        <f t="shared" si="101"/>
      </c>
      <c r="M98" s="774">
        <f t="shared" si="57"/>
      </c>
      <c r="N98" s="773">
        <f t="shared" si="115"/>
      </c>
      <c r="O98" s="773">
        <f t="shared" si="158"/>
      </c>
      <c r="P98" s="774">
        <f t="shared" si="87"/>
      </c>
      <c r="Q98" s="773">
        <f t="shared" si="199"/>
      </c>
      <c r="R98" s="773">
        <f t="shared" si="129"/>
      </c>
      <c r="S98" s="775">
        <f t="shared" si="144"/>
      </c>
      <c r="T98" s="776">
        <f t="shared" si="171"/>
      </c>
      <c r="U98" s="775">
        <f t="shared" si="185"/>
      </c>
      <c r="V98" s="777">
        <f t="shared" si="212"/>
      </c>
      <c r="W98" s="831" t="s">
        <v>435</v>
      </c>
      <c r="X98" s="832" t="s">
        <v>447</v>
      </c>
      <c r="Y98" s="781">
        <v>3</v>
      </c>
      <c r="Z98" s="781">
        <v>12079</v>
      </c>
      <c r="AA98" s="781">
        <v>274</v>
      </c>
      <c r="AB98" s="781">
        <v>327</v>
      </c>
      <c r="AC98" s="781">
        <v>57</v>
      </c>
      <c r="AD98" s="781">
        <v>30</v>
      </c>
      <c r="AE98" s="781">
        <v>11</v>
      </c>
      <c r="AF98" s="781">
        <v>8</v>
      </c>
      <c r="AG98" s="781"/>
    </row>
    <row r="99">
      <c r="A99" s="762"/>
      <c r="B99" s="782" t="s">
        <v>440</v>
      </c>
      <c r="C99" s="782"/>
      <c r="D99" s="783">
        <f>SUM(D96:D98)</f>
      </c>
      <c r="E99" s="783">
        <f>SUM(E96:E98)</f>
      </c>
      <c r="F99" s="783">
        <f>SUM(F96:F98)</f>
      </c>
      <c r="G99" s="783">
        <f>SUM(G96:G98)</f>
      </c>
      <c r="H99" s="783">
        <f>SUM(H96:H98)</f>
      </c>
      <c r="I99" s="804">
        <f t="shared" si="73"/>
      </c>
      <c r="J99" s="804"/>
      <c r="K99" s="834">
        <f t="shared" si="7"/>
      </c>
      <c r="L99" s="806">
        <f t="shared" si="101"/>
      </c>
      <c r="M99" s="786">
        <f t="shared" si="57"/>
      </c>
      <c r="N99" s="785">
        <f t="shared" si="115"/>
      </c>
      <c r="O99" s="785">
        <f t="shared" si="158"/>
      </c>
      <c r="P99" s="786">
        <f t="shared" si="87"/>
      </c>
      <c r="Q99" s="785">
        <f t="shared" si="199"/>
      </c>
      <c r="R99" s="785">
        <f t="shared" si="129"/>
      </c>
      <c r="S99" s="787">
        <f t="shared" si="144"/>
      </c>
      <c r="T99" s="788">
        <f t="shared" si="171"/>
      </c>
      <c r="U99" s="787">
        <f t="shared" si="185"/>
      </c>
      <c r="V99" s="789">
        <f t="shared" si="212"/>
      </c>
      <c r="W99" s="789"/>
      <c r="X99" s="789"/>
      <c r="Y99" s="783">
        <f>SUM(Y96:Y98)</f>
      </c>
      <c r="Z99" s="783">
        <f>SUM(Z96:Z98)</f>
      </c>
      <c r="AA99" s="783">
        <f>SUM(AA96:AA98)</f>
      </c>
      <c r="AB99" s="783">
        <f>SUM(AB96:AB98)</f>
      </c>
      <c r="AC99" s="783">
        <f>SUM(AC96:AC98)</f>
      </c>
      <c r="AD99" s="783">
        <f>SUM(AD96:AD98)</f>
      </c>
      <c r="AE99" s="783">
        <f>SUM(AE96:AE98)</f>
      </c>
      <c r="AF99" s="783">
        <f>SUM(AF96:AF98)</f>
      </c>
      <c r="AG99" s="783"/>
    </row>
    <row r="100">
      <c r="A100" s="762"/>
      <c r="B100" s="791" t="s">
        <v>444</v>
      </c>
      <c r="C100" s="791"/>
      <c r="D100" s="791">
        <f>D92+D99+D95</f>
      </c>
      <c r="E100" s="791">
        <f>E92+E99+E95</f>
      </c>
      <c r="F100" s="791">
        <f>F92+F99+F95</f>
      </c>
      <c r="G100" s="791">
        <f>G92+G99+G95</f>
      </c>
      <c r="H100" s="791">
        <f>H92+H99+H95</f>
      </c>
      <c r="I100" s="792">
        <f t="shared" si="73"/>
      </c>
      <c r="J100" s="792"/>
      <c r="K100" s="797">
        <f t="shared" si="7"/>
      </c>
      <c r="L100" s="809">
        <f t="shared" si="101"/>
      </c>
      <c r="M100" s="794">
        <f t="shared" si="57"/>
      </c>
      <c r="N100" s="795">
        <f t="shared" si="115"/>
      </c>
      <c r="O100" s="795">
        <f t="shared" si="158"/>
      </c>
      <c r="P100" s="794">
        <f t="shared" si="87"/>
      </c>
      <c r="Q100" s="795">
        <f t="shared" si="199"/>
      </c>
      <c r="R100" s="795">
        <f t="shared" si="129"/>
      </c>
      <c r="S100" s="794">
        <f t="shared" si="144"/>
      </c>
      <c r="T100" s="796">
        <f t="shared" si="171"/>
      </c>
      <c r="U100" s="794">
        <f t="shared" si="185"/>
      </c>
      <c r="V100" s="797">
        <f t="shared" si="212"/>
      </c>
      <c r="W100" s="797"/>
      <c r="X100" s="797"/>
      <c r="Y100" s="791">
        <f>Y92+Y99+Y95</f>
      </c>
      <c r="Z100" s="791">
        <f>Z92+Z99+Z95</f>
      </c>
      <c r="AA100" s="791">
        <f>AA92+AA99+AA95</f>
      </c>
      <c r="AB100" s="791">
        <f>AB92+AB99+AB95</f>
      </c>
      <c r="AC100" s="791">
        <f>AC92+AC99+AC95</f>
      </c>
      <c r="AD100" s="791">
        <f>AD92+AD99+AD95</f>
      </c>
      <c r="AE100" s="791">
        <f>AE92+AE99+AE95</f>
      </c>
      <c r="AF100" s="791">
        <f>AF92+AF99+AF95</f>
      </c>
      <c r="AG100" s="791"/>
    </row>
    <row r="101">
      <c r="A101" s="731" t="s">
        <v>398</v>
      </c>
      <c r="B101" s="731"/>
      <c r="C101" s="731"/>
      <c r="D101" s="732" t="s">
        <v>399</v>
      </c>
      <c r="E101" s="732"/>
      <c r="F101" s="732"/>
      <c r="G101" s="732"/>
      <c r="H101" s="732"/>
      <c r="I101" s="732"/>
      <c r="J101" s="732"/>
      <c r="K101" s="811" t="s">
        <v>400</v>
      </c>
      <c r="L101" s="811"/>
      <c r="M101" s="811"/>
      <c r="N101" s="811"/>
      <c r="O101" s="811"/>
      <c r="P101" s="811"/>
      <c r="Q101" s="811"/>
      <c r="R101" s="811"/>
      <c r="S101" s="811"/>
      <c r="T101" s="811"/>
      <c r="U101" s="811"/>
      <c r="V101" s="811"/>
      <c r="W101" s="811"/>
      <c r="X101" s="811"/>
      <c r="Y101" s="812" t="s">
        <v>401</v>
      </c>
      <c r="Z101" s="812"/>
      <c r="AA101" s="812"/>
      <c r="AB101" s="812"/>
      <c r="AC101" s="812"/>
      <c r="AD101" s="812"/>
      <c r="AE101" s="812"/>
      <c r="AF101" s="812"/>
      <c r="AG101" s="812"/>
    </row>
    <row r="102">
      <c r="A102" s="737" t="s">
        <v>402</v>
      </c>
      <c r="B102" s="738" t="s">
        <v>403</v>
      </c>
      <c r="C102" s="738" t="s">
        <v>404</v>
      </c>
      <c r="D102" s="739" t="s">
        <v>405</v>
      </c>
      <c r="E102" s="740" t="s">
        <v>406</v>
      </c>
      <c r="F102" s="740" t="s">
        <v>407</v>
      </c>
      <c r="G102" s="741" t="s">
        <v>408</v>
      </c>
      <c r="H102" s="742" t="s">
        <v>409</v>
      </c>
      <c r="I102" s="743" t="s">
        <v>410</v>
      </c>
      <c r="J102" s="743"/>
      <c r="K102" s="813" t="s">
        <v>445</v>
      </c>
      <c r="L102" s="811" t="s">
        <v>411</v>
      </c>
      <c r="M102" s="811" t="s">
        <v>412</v>
      </c>
      <c r="N102" s="814" t="s">
        <v>413</v>
      </c>
      <c r="O102" s="814" t="s">
        <v>414</v>
      </c>
      <c r="P102" s="811" t="s">
        <v>415</v>
      </c>
      <c r="Q102" s="814" t="s">
        <v>416</v>
      </c>
      <c r="R102" s="814" t="s">
        <v>417</v>
      </c>
      <c r="S102" s="811" t="s">
        <v>418</v>
      </c>
      <c r="T102" s="814" t="s">
        <v>419</v>
      </c>
      <c r="U102" s="811" t="s">
        <v>420</v>
      </c>
      <c r="V102" s="815" t="s">
        <v>421</v>
      </c>
      <c r="W102" s="815" t="s">
        <v>422</v>
      </c>
      <c r="X102" s="815" t="s">
        <v>423</v>
      </c>
      <c r="Y102" s="816" t="s">
        <v>424</v>
      </c>
      <c r="Z102" s="817" t="s">
        <v>425</v>
      </c>
      <c r="AA102" s="817" t="s">
        <v>426</v>
      </c>
      <c r="AB102" s="817" t="s">
        <v>427</v>
      </c>
      <c r="AC102" s="817" t="s">
        <v>428</v>
      </c>
      <c r="AD102" s="817" t="s">
        <v>429</v>
      </c>
      <c r="AE102" s="817" t="s">
        <v>430</v>
      </c>
      <c r="AF102" s="817" t="s">
        <v>431</v>
      </c>
      <c r="AG102" s="817"/>
    </row>
    <row r="103">
      <c r="A103" s="749" t="s">
        <v>462</v>
      </c>
      <c r="B103" s="750" t="s">
        <v>463</v>
      </c>
      <c r="C103" s="751" t="s">
        <v>434</v>
      </c>
      <c r="D103" s="751">
        <f t="shared" ref="D103:D106" si="32">E103+F103</f>
      </c>
      <c r="E103" s="799">
        <v>8039.93</v>
      </c>
      <c r="F103" s="799">
        <v>1075.89</v>
      </c>
      <c r="G103" s="790">
        <v>9</v>
      </c>
      <c r="H103" s="790">
        <v>15053</v>
      </c>
      <c r="I103" s="753">
        <f t="shared" ref="I103:I118" si="74">H103/D103</f>
      </c>
      <c r="J103" s="753"/>
      <c r="K103" s="819">
        <f t="shared" ref="K103:K118" si="8">(D103/Z103)*1000</f>
      </c>
      <c r="L103" s="820">
        <f t="shared" ref="L103:L118" si="102">AA103/Z103</f>
      </c>
      <c r="M103" s="821">
        <f t="shared" ref="M103:M118" si="58">D103/AB103</f>
      </c>
      <c r="N103" s="822">
        <f t="shared" ref="N103:N118" si="116">AC103/AB103</f>
      </c>
      <c r="O103" s="822">
        <f t="shared" ref="O103:O118" si="159">AD103/AB103</f>
      </c>
      <c r="P103" s="821">
        <f t="shared" ref="P103:P118" si="88">D103/AD103</f>
      </c>
      <c r="Q103" s="822">
        <f t="shared" ref="Q103:Q118" si="200">AE103/AD103</f>
      </c>
      <c r="R103" s="822">
        <f t="shared" ref="R103:R118" si="130">G103/AE103</f>
      </c>
      <c r="S103" s="821">
        <f t="shared" ref="S103:S118" si="145">D103/G103</f>
      </c>
      <c r="T103" s="835">
        <f t="shared" ref="T103:T118" si="172">H103/G103</f>
      </c>
      <c r="U103" s="821">
        <f t="shared" ref="U103:U118" si="186">D103/Y103</f>
      </c>
      <c r="V103" s="824">
        <f t="shared" ref="V103:V118" si="213">AF103*1000/D103</f>
      </c>
      <c r="W103" s="825" t="s">
        <v>435</v>
      </c>
      <c r="X103" s="826" t="s">
        <v>447</v>
      </c>
      <c r="Y103" s="827">
        <v>8</v>
      </c>
      <c r="Z103" s="827">
        <v>31886</v>
      </c>
      <c r="AA103" s="827">
        <v>746</v>
      </c>
      <c r="AB103" s="827">
        <v>991</v>
      </c>
      <c r="AC103" s="827">
        <v>168</v>
      </c>
      <c r="AD103" s="828">
        <v>99</v>
      </c>
      <c r="AE103" s="828">
        <v>18</v>
      </c>
      <c r="AF103" s="828">
        <v>46</v>
      </c>
      <c r="AG103" s="828"/>
    </row>
    <row r="104">
      <c r="A104" s="749"/>
      <c r="B104" s="750" t="s">
        <v>464</v>
      </c>
      <c r="C104" s="751" t="s">
        <v>434</v>
      </c>
      <c r="D104" s="751">
        <f t="shared" si="32"/>
      </c>
      <c r="E104" s="799">
        <v>8651</v>
      </c>
      <c r="F104" s="799">
        <v>731.89</v>
      </c>
      <c r="G104" s="790">
        <v>7</v>
      </c>
      <c r="H104" s="790">
        <v>8757</v>
      </c>
      <c r="I104" s="753">
        <f t="shared" si="74"/>
      </c>
      <c r="J104" s="753"/>
      <c r="K104" s="819">
        <f t="shared" si="8"/>
      </c>
      <c r="L104" s="802">
        <f t="shared" si="102"/>
      </c>
      <c r="M104" s="765">
        <f t="shared" si="58"/>
      </c>
      <c r="N104" s="764">
        <f t="shared" si="116"/>
      </c>
      <c r="O104" s="764">
        <f t="shared" si="159"/>
      </c>
      <c r="P104" s="765">
        <f t="shared" si="88"/>
      </c>
      <c r="Q104" s="764">
        <f t="shared" si="200"/>
      </c>
      <c r="R104" s="764">
        <f t="shared" si="130"/>
      </c>
      <c r="S104" s="766">
        <f t="shared" si="145"/>
      </c>
      <c r="T104" s="756">
        <f t="shared" si="172"/>
      </c>
      <c r="U104" s="836">
        <f t="shared" si="186"/>
      </c>
      <c r="V104" s="768">
        <f t="shared" si="213"/>
      </c>
      <c r="W104" s="829" t="s">
        <v>435</v>
      </c>
      <c r="X104" s="830" t="s">
        <v>447</v>
      </c>
      <c r="Y104" s="772">
        <v>6</v>
      </c>
      <c r="Z104" s="772">
        <v>40936</v>
      </c>
      <c r="AA104" s="772">
        <v>837</v>
      </c>
      <c r="AB104" s="772">
        <v>1196</v>
      </c>
      <c r="AC104" s="772">
        <v>193</v>
      </c>
      <c r="AD104" s="772">
        <v>84</v>
      </c>
      <c r="AE104" s="772">
        <v>18</v>
      </c>
      <c r="AF104" s="772">
        <v>40</v>
      </c>
      <c r="AG104" s="772"/>
    </row>
    <row customHeight="true" ht="18.452380952380953" r="105">
      <c r="A105" s="749"/>
      <c r="B105" s="818" t="s">
        <v>438</v>
      </c>
      <c r="C105" s="751" t="s">
        <v>434</v>
      </c>
      <c r="D105" s="751">
        <f t="shared" si="32"/>
      </c>
      <c r="E105" s="799">
        <v>5527.9</v>
      </c>
      <c r="F105" s="799">
        <v>729.8</v>
      </c>
      <c r="G105" s="790">
        <v>6</v>
      </c>
      <c r="H105" s="790">
        <v>9460</v>
      </c>
      <c r="I105" s="753">
        <f t="shared" si="74"/>
      </c>
      <c r="J105" s="753"/>
      <c r="K105" s="819">
        <f t="shared" si="8"/>
      </c>
      <c r="L105" s="802">
        <f t="shared" si="102"/>
      </c>
      <c r="M105" s="765">
        <f t="shared" si="58"/>
      </c>
      <c r="N105" s="764">
        <f t="shared" si="116"/>
      </c>
      <c r="O105" s="764">
        <f t="shared" si="159"/>
      </c>
      <c r="P105" s="765">
        <f t="shared" si="88"/>
      </c>
      <c r="Q105" s="764">
        <f t="shared" si="200"/>
      </c>
      <c r="R105" s="764">
        <f t="shared" si="130"/>
      </c>
      <c r="S105" s="766">
        <f t="shared" si="145"/>
      </c>
      <c r="T105" s="756">
        <f t="shared" si="172"/>
      </c>
      <c r="U105" s="836">
        <f t="shared" si="186"/>
      </c>
      <c r="V105" s="768">
        <f t="shared" si="213"/>
      </c>
      <c r="W105" s="829" t="s">
        <v>435</v>
      </c>
      <c r="X105" s="830" t="s">
        <v>447</v>
      </c>
      <c r="Y105" s="772">
        <v>6</v>
      </c>
      <c r="Z105" s="772">
        <v>26761</v>
      </c>
      <c r="AA105" s="772">
        <v>537</v>
      </c>
      <c r="AB105" s="772">
        <v>817</v>
      </c>
      <c r="AC105" s="772">
        <v>134</v>
      </c>
      <c r="AD105" s="772">
        <v>64</v>
      </c>
      <c r="AE105" s="772">
        <v>13</v>
      </c>
      <c r="AF105" s="772">
        <v>43</v>
      </c>
      <c r="AG105" s="772"/>
    </row>
    <row r="106">
      <c r="A106" s="749"/>
      <c r="B106" s="818" t="s">
        <v>439</v>
      </c>
      <c r="C106" s="751" t="s">
        <v>434</v>
      </c>
      <c r="D106" s="751">
        <f t="shared" si="32"/>
      </c>
      <c r="E106" s="799">
        <v>5908.78</v>
      </c>
      <c r="F106" s="799">
        <v>1288.97</v>
      </c>
      <c r="G106" s="790">
        <v>2</v>
      </c>
      <c r="H106" s="790">
        <v>2736</v>
      </c>
      <c r="I106" s="753">
        <f t="shared" si="74"/>
      </c>
      <c r="J106" s="753"/>
      <c r="K106" s="819">
        <f t="shared" si="8"/>
      </c>
      <c r="L106" s="802">
        <f t="shared" si="102"/>
      </c>
      <c r="M106" s="765">
        <f t="shared" si="58"/>
      </c>
      <c r="N106" s="764">
        <f t="shared" si="116"/>
      </c>
      <c r="O106" s="764">
        <f t="shared" si="159"/>
      </c>
      <c r="P106" s="765">
        <f t="shared" si="88"/>
      </c>
      <c r="Q106" s="764">
        <f t="shared" si="200"/>
      </c>
      <c r="R106" s="764">
        <f t="shared" si="130"/>
      </c>
      <c r="S106" s="766">
        <f t="shared" si="145"/>
      </c>
      <c r="T106" s="767">
        <f t="shared" si="172"/>
      </c>
      <c r="U106" s="766">
        <f t="shared" si="186"/>
      </c>
      <c r="V106" s="768">
        <f t="shared" si="213"/>
      </c>
      <c r="W106" s="829" t="s">
        <v>435</v>
      </c>
      <c r="X106" s="830" t="s">
        <v>447</v>
      </c>
      <c r="Y106" s="772">
        <v>2</v>
      </c>
      <c r="Z106" s="772">
        <v>27845</v>
      </c>
      <c r="AA106" s="772">
        <v>552</v>
      </c>
      <c r="AB106" s="772">
        <v>771</v>
      </c>
      <c r="AC106" s="772">
        <v>101</v>
      </c>
      <c r="AD106" s="772">
        <v>65</v>
      </c>
      <c r="AE106" s="772">
        <v>8</v>
      </c>
      <c r="AF106" s="772">
        <v>22</v>
      </c>
      <c r="AG106" s="772"/>
    </row>
    <row r="107">
      <c r="A107" s="749"/>
      <c r="B107" s="782" t="s">
        <v>440</v>
      </c>
      <c r="C107" s="782"/>
      <c r="D107" s="783">
        <f>SUM(D103:D106)</f>
      </c>
      <c r="E107" s="783">
        <f>SUM(E103:E106)</f>
      </c>
      <c r="F107" s="783">
        <f>SUM(F103:F106)</f>
      </c>
      <c r="G107" s="783">
        <f>SUM(G103:G106)</f>
      </c>
      <c r="H107" s="783">
        <f>SUM(H103:H106)</f>
      </c>
      <c r="I107" s="804">
        <f t="shared" si="74"/>
      </c>
      <c r="J107" s="804"/>
      <c r="K107" s="810">
        <f t="shared" si="8"/>
      </c>
      <c r="L107" s="806">
        <f t="shared" si="102"/>
      </c>
      <c r="M107" s="786">
        <f t="shared" si="58"/>
      </c>
      <c r="N107" s="785">
        <f t="shared" si="116"/>
      </c>
      <c r="O107" s="785">
        <f t="shared" si="159"/>
      </c>
      <c r="P107" s="786">
        <f t="shared" si="88"/>
      </c>
      <c r="Q107" s="785">
        <f t="shared" si="200"/>
      </c>
      <c r="R107" s="785">
        <f t="shared" si="130"/>
      </c>
      <c r="S107" s="787">
        <f t="shared" si="145"/>
      </c>
      <c r="T107" s="788">
        <f t="shared" si="172"/>
      </c>
      <c r="U107" s="787">
        <f t="shared" si="186"/>
      </c>
      <c r="V107" s="789">
        <f t="shared" si="213"/>
      </c>
      <c r="W107" s="789"/>
      <c r="X107" s="789"/>
      <c r="Y107" s="783">
        <f>SUM(Y103:Y106)</f>
      </c>
      <c r="Z107" s="783">
        <f>SUM(Z103:Z106)</f>
      </c>
      <c r="AA107" s="783">
        <f>SUM(AA103:AA106)</f>
      </c>
      <c r="AB107" s="783">
        <f>SUM(AB103:AB106)</f>
      </c>
      <c r="AC107" s="783">
        <f>SUM(AC103:AC106)</f>
      </c>
      <c r="AD107" s="783">
        <f>SUM(AD103:AD106)</f>
      </c>
      <c r="AE107" s="783">
        <f>SUM(AE103:AE106)</f>
      </c>
      <c r="AF107" s="783">
        <f>SUM(AF103:AF106)</f>
      </c>
      <c r="AG107" s="783"/>
    </row>
    <row r="108">
      <c r="A108" s="749"/>
      <c r="B108" s="818" t="s">
        <v>441</v>
      </c>
      <c r="C108" s="751" t="s">
        <v>455</v>
      </c>
      <c r="D108" s="751">
        <f t="shared" ref="D108:D111" si="33">E108+F108</f>
      </c>
      <c r="E108" s="799">
        <v>4001.38</v>
      </c>
      <c r="F108" s="799">
        <v>834.42</v>
      </c>
      <c r="G108" s="790">
        <v>1</v>
      </c>
      <c r="H108" s="790">
        <v>948</v>
      </c>
      <c r="I108" s="753">
        <f t="shared" si="74"/>
      </c>
      <c r="J108" s="753"/>
      <c r="K108" s="819">
        <f t="shared" si="8"/>
      </c>
      <c r="L108" s="803">
        <f t="shared" si="102"/>
      </c>
      <c r="M108" s="774">
        <f t="shared" si="58"/>
      </c>
      <c r="N108" s="773">
        <f t="shared" si="116"/>
      </c>
      <c r="O108" s="773">
        <f t="shared" si="159"/>
      </c>
      <c r="P108" s="774">
        <f t="shared" si="88"/>
      </c>
      <c r="Q108" s="773">
        <f t="shared" si="200"/>
      </c>
      <c r="R108" s="773">
        <f t="shared" si="130"/>
      </c>
      <c r="S108" s="775">
        <f t="shared" si="145"/>
      </c>
      <c r="T108" s="776">
        <f t="shared" si="172"/>
      </c>
      <c r="U108" s="775">
        <f t="shared" si="186"/>
      </c>
      <c r="V108" s="777">
        <f t="shared" si="213"/>
      </c>
      <c r="W108" s="831" t="s">
        <v>435</v>
      </c>
      <c r="X108" s="832" t="s">
        <v>447</v>
      </c>
      <c r="Y108" s="781">
        <v>1</v>
      </c>
      <c r="Z108" s="781">
        <v>15231</v>
      </c>
      <c r="AA108" s="781">
        <v>370</v>
      </c>
      <c r="AB108" s="781">
        <v>494</v>
      </c>
      <c r="AC108" s="781">
        <v>89</v>
      </c>
      <c r="AD108" s="781">
        <v>59</v>
      </c>
      <c r="AE108" s="781">
        <v>6</v>
      </c>
      <c r="AF108" s="781">
        <v>23</v>
      </c>
      <c r="AG108" s="781"/>
    </row>
    <row customHeight="true" ht="18.452380952380953" r="109">
      <c r="A109" s="749"/>
      <c r="B109" s="818" t="s">
        <v>443</v>
      </c>
      <c r="C109" s="751" t="s">
        <v>455</v>
      </c>
      <c r="D109" s="751">
        <f t="shared" si="33"/>
      </c>
      <c r="E109" s="799">
        <v>3264.98</v>
      </c>
      <c r="F109" s="799">
        <v>750.04</v>
      </c>
      <c r="G109" s="790">
        <v>3</v>
      </c>
      <c r="H109" s="790">
        <v>3684</v>
      </c>
      <c r="I109" s="753">
        <f t="shared" si="74"/>
      </c>
      <c r="J109" s="753"/>
      <c r="K109" s="819">
        <f t="shared" si="8"/>
      </c>
      <c r="L109" s="803">
        <f t="shared" si="102"/>
      </c>
      <c r="M109" s="774">
        <f t="shared" si="58"/>
      </c>
      <c r="N109" s="773">
        <f t="shared" si="116"/>
      </c>
      <c r="O109" s="773">
        <f t="shared" si="159"/>
      </c>
      <c r="P109" s="774">
        <f t="shared" si="88"/>
      </c>
      <c r="Q109" s="773">
        <f t="shared" si="200"/>
      </c>
      <c r="R109" s="773">
        <f t="shared" si="130"/>
      </c>
      <c r="S109" s="775">
        <f t="shared" si="145"/>
      </c>
      <c r="T109" s="776">
        <f t="shared" si="172"/>
      </c>
      <c r="U109" s="775">
        <f t="shared" si="186"/>
      </c>
      <c r="V109" s="777">
        <f t="shared" si="213"/>
      </c>
      <c r="W109" s="831" t="s">
        <v>435</v>
      </c>
      <c r="X109" s="832" t="s">
        <v>447</v>
      </c>
      <c r="Y109" s="781">
        <v>3</v>
      </c>
      <c r="Z109" s="781">
        <v>14393</v>
      </c>
      <c r="AA109" s="781">
        <v>449</v>
      </c>
      <c r="AB109" s="781">
        <v>623</v>
      </c>
      <c r="AC109" s="781">
        <v>89</v>
      </c>
      <c r="AD109" s="781">
        <v>32</v>
      </c>
      <c r="AE109" s="780">
        <v>4</v>
      </c>
      <c r="AF109" s="780">
        <v>20</v>
      </c>
      <c r="AG109" s="780"/>
    </row>
    <row customHeight="true" ht="18.452380952380953" r="110">
      <c r="A110" s="749"/>
      <c r="B110" s="818" t="s">
        <v>451</v>
      </c>
      <c r="C110" s="751" t="s">
        <v>455</v>
      </c>
      <c r="D110" s="751">
        <f t="shared" si="33"/>
      </c>
      <c r="E110" s="751">
        <v>4539.23</v>
      </c>
      <c r="F110" s="799">
        <v>738.19</v>
      </c>
      <c r="G110" s="790">
        <v>11</v>
      </c>
      <c r="H110" s="790">
        <v>13068</v>
      </c>
      <c r="I110" s="753">
        <f t="shared" si="74"/>
      </c>
      <c r="J110" s="753"/>
      <c r="K110" s="819">
        <f t="shared" si="8"/>
      </c>
      <c r="L110" s="803">
        <f t="shared" si="102"/>
      </c>
      <c r="M110" s="774">
        <f t="shared" si="58"/>
      </c>
      <c r="N110" s="773">
        <f t="shared" si="116"/>
      </c>
      <c r="O110" s="773">
        <f t="shared" si="159"/>
      </c>
      <c r="P110" s="774">
        <f t="shared" si="88"/>
      </c>
      <c r="Q110" s="773">
        <f t="shared" si="200"/>
      </c>
      <c r="R110" s="773">
        <f t="shared" si="130"/>
      </c>
      <c r="S110" s="775">
        <f t="shared" si="145"/>
      </c>
      <c r="T110" s="776">
        <f t="shared" si="172"/>
      </c>
      <c r="U110" s="775">
        <f t="shared" si="186"/>
      </c>
      <c r="V110" s="777">
        <f t="shared" si="213"/>
      </c>
      <c r="W110" s="831" t="s">
        <v>435</v>
      </c>
      <c r="X110" s="832" t="s">
        <v>447</v>
      </c>
      <c r="Y110" s="781">
        <v>11</v>
      </c>
      <c r="Z110" s="781">
        <v>12400</v>
      </c>
      <c r="AA110" s="781">
        <v>365</v>
      </c>
      <c r="AB110" s="781">
        <v>483</v>
      </c>
      <c r="AC110" s="781">
        <v>92</v>
      </c>
      <c r="AD110" s="781">
        <v>66</v>
      </c>
      <c r="AE110" s="781">
        <v>13</v>
      </c>
      <c r="AF110" s="781">
        <v>28</v>
      </c>
      <c r="AG110" s="781"/>
    </row>
    <row r="111">
      <c r="A111" s="749"/>
      <c r="B111" s="818" t="s">
        <v>452</v>
      </c>
      <c r="C111" s="751" t="s">
        <v>455</v>
      </c>
      <c r="D111" s="751">
        <f t="shared" si="33"/>
      </c>
      <c r="E111" s="799">
        <v>6995.16</v>
      </c>
      <c r="F111" s="799">
        <v>1428.76</v>
      </c>
      <c r="G111" s="790">
        <v>9</v>
      </c>
      <c r="H111" s="790">
        <v>13332</v>
      </c>
      <c r="I111" s="753">
        <f t="shared" si="74"/>
      </c>
      <c r="J111" s="753"/>
      <c r="K111" s="819">
        <f t="shared" si="8"/>
      </c>
      <c r="L111" s="803">
        <f t="shared" si="102"/>
      </c>
      <c r="M111" s="774">
        <f t="shared" si="58"/>
      </c>
      <c r="N111" s="773">
        <f t="shared" si="116"/>
      </c>
      <c r="O111" s="773">
        <f t="shared" si="159"/>
      </c>
      <c r="P111" s="774">
        <f t="shared" si="88"/>
      </c>
      <c r="Q111" s="773">
        <f t="shared" si="200"/>
      </c>
      <c r="R111" s="773">
        <f t="shared" si="130"/>
      </c>
      <c r="S111" s="775">
        <f t="shared" si="145"/>
      </c>
      <c r="T111" s="776">
        <f t="shared" si="172"/>
      </c>
      <c r="U111" s="775">
        <f t="shared" si="186"/>
      </c>
      <c r="V111" s="777">
        <f t="shared" si="213"/>
      </c>
      <c r="W111" s="831" t="s">
        <v>435</v>
      </c>
      <c r="X111" s="832" t="s">
        <v>447</v>
      </c>
      <c r="Y111" s="781">
        <v>9</v>
      </c>
      <c r="Z111" s="781">
        <v>32620</v>
      </c>
      <c r="AA111" s="781">
        <v>677</v>
      </c>
      <c r="AB111" s="781">
        <v>768</v>
      </c>
      <c r="AC111" s="781">
        <v>157</v>
      </c>
      <c r="AD111" s="781">
        <v>129</v>
      </c>
      <c r="AE111" s="781">
        <v>19</v>
      </c>
      <c r="AF111" s="781">
        <v>45</v>
      </c>
      <c r="AG111" s="781"/>
    </row>
    <row r="112">
      <c r="A112" s="749"/>
      <c r="B112" s="782" t="s">
        <v>440</v>
      </c>
      <c r="C112" s="782"/>
      <c r="D112" s="783">
        <f>SUM(D108:D111)</f>
      </c>
      <c r="E112" s="783">
        <f>SUM(E108:E111)</f>
      </c>
      <c r="F112" s="783">
        <f>SUM(F108:F111)</f>
      </c>
      <c r="G112" s="783">
        <f>SUM(G108:G111)</f>
      </c>
      <c r="H112" s="783">
        <f>SUM(H108:H111)</f>
      </c>
      <c r="I112" s="804">
        <f t="shared" si="74"/>
      </c>
      <c r="J112" s="804"/>
      <c r="K112" s="810">
        <f t="shared" si="8"/>
      </c>
      <c r="L112" s="806">
        <f t="shared" si="102"/>
      </c>
      <c r="M112" s="786">
        <f t="shared" si="58"/>
      </c>
      <c r="N112" s="785">
        <f t="shared" si="116"/>
      </c>
      <c r="O112" s="785">
        <f t="shared" si="159"/>
      </c>
      <c r="P112" s="786">
        <f t="shared" si="88"/>
      </c>
      <c r="Q112" s="785">
        <f t="shared" si="200"/>
      </c>
      <c r="R112" s="785">
        <f t="shared" si="130"/>
      </c>
      <c r="S112" s="787">
        <f t="shared" si="145"/>
      </c>
      <c r="T112" s="788">
        <f t="shared" si="172"/>
      </c>
      <c r="U112" s="787">
        <f t="shared" si="186"/>
      </c>
      <c r="V112" s="789">
        <f t="shared" si="213"/>
      </c>
      <c r="W112" s="789"/>
      <c r="X112" s="789"/>
      <c r="Y112" s="783">
        <f>SUM(Y108:Y111)</f>
      </c>
      <c r="Z112" s="783">
        <f>SUM(Z108:Z111)</f>
      </c>
      <c r="AA112" s="783">
        <f>SUM(AA108:AA111)</f>
      </c>
      <c r="AB112" s="783">
        <f>SUM(AB108:AB111)</f>
      </c>
      <c r="AC112" s="783">
        <f>SUM(AC108:AC111)</f>
      </c>
      <c r="AD112" s="783">
        <f>SUM(AD108:AD111)</f>
      </c>
      <c r="AE112" s="783">
        <f>SUM(AE108:AE111)</f>
      </c>
      <c r="AF112" s="783">
        <f>SUM(AF108:AF111)</f>
      </c>
      <c r="AG112" s="783"/>
    </row>
    <row r="113">
      <c r="A113" s="749"/>
      <c r="B113" s="818" t="s">
        <v>456</v>
      </c>
      <c r="C113" s="751" t="s">
        <v>442</v>
      </c>
      <c r="D113" s="751">
        <f t="shared" ref="D113:D116" si="34">E113+F113</f>
      </c>
      <c r="E113" s="799">
        <v>17027.17</v>
      </c>
      <c r="F113" s="799">
        <v>1100.54</v>
      </c>
      <c r="G113" s="752">
        <v>11</v>
      </c>
      <c r="H113" s="752">
        <v>16172</v>
      </c>
      <c r="I113" s="753">
        <f t="shared" si="74"/>
      </c>
      <c r="J113" s="753"/>
      <c r="K113" s="833">
        <f t="shared" si="8"/>
      </c>
      <c r="L113" s="803">
        <f t="shared" si="102"/>
      </c>
      <c r="M113" s="774">
        <f t="shared" si="58"/>
      </c>
      <c r="N113" s="773">
        <f t="shared" si="116"/>
      </c>
      <c r="O113" s="773">
        <f t="shared" si="159"/>
      </c>
      <c r="P113" s="774">
        <f t="shared" si="88"/>
      </c>
      <c r="Q113" s="773">
        <f t="shared" si="200"/>
      </c>
      <c r="R113" s="773">
        <f t="shared" si="130"/>
      </c>
      <c r="S113" s="775">
        <f t="shared" si="145"/>
      </c>
      <c r="T113" s="776">
        <f t="shared" si="172"/>
      </c>
      <c r="U113" s="775">
        <f t="shared" si="186"/>
      </c>
      <c r="V113" s="777">
        <f t="shared" si="213"/>
      </c>
      <c r="W113" s="831" t="s">
        <v>435</v>
      </c>
      <c r="X113" s="779" t="s">
        <v>465</v>
      </c>
      <c r="Y113" s="781">
        <v>9</v>
      </c>
      <c r="Z113" s="781">
        <v>104791</v>
      </c>
      <c r="AA113" s="781">
        <v>1317</v>
      </c>
      <c r="AB113" s="781">
        <v>1441</v>
      </c>
      <c r="AC113" s="781">
        <v>275</v>
      </c>
      <c r="AD113" s="781">
        <v>184</v>
      </c>
      <c r="AE113" s="780">
        <v>19</v>
      </c>
      <c r="AF113" s="780">
        <v>75</v>
      </c>
      <c r="AG113" s="780"/>
    </row>
    <row r="114">
      <c r="A114" s="749"/>
      <c r="B114" s="818" t="s">
        <v>457</v>
      </c>
      <c r="C114" s="751" t="s">
        <v>442</v>
      </c>
      <c r="D114" s="751">
        <f t="shared" si="34"/>
      </c>
      <c r="E114" s="799">
        <v>5494.03</v>
      </c>
      <c r="F114" s="799">
        <v>316.69</v>
      </c>
      <c r="G114" s="752">
        <v>3</v>
      </c>
      <c r="H114" s="752">
        <v>6804</v>
      </c>
      <c r="I114" s="753">
        <f t="shared" si="74"/>
      </c>
      <c r="J114" s="753"/>
      <c r="K114" s="833">
        <f t="shared" si="8"/>
      </c>
      <c r="L114" s="803">
        <f t="shared" si="102"/>
      </c>
      <c r="M114" s="774">
        <f t="shared" si="58"/>
      </c>
      <c r="N114" s="773">
        <f t="shared" si="116"/>
      </c>
      <c r="O114" s="773">
        <f t="shared" si="159"/>
      </c>
      <c r="P114" s="774">
        <f t="shared" si="88"/>
      </c>
      <c r="Q114" s="773">
        <f t="shared" si="200"/>
      </c>
      <c r="R114" s="773">
        <f t="shared" si="130"/>
      </c>
      <c r="S114" s="775">
        <f t="shared" si="145"/>
      </c>
      <c r="T114" s="776">
        <f t="shared" si="172"/>
      </c>
      <c r="U114" s="775">
        <f t="shared" si="186"/>
      </c>
      <c r="V114" s="777">
        <f t="shared" si="213"/>
      </c>
      <c r="W114" s="831" t="s">
        <v>435</v>
      </c>
      <c r="X114" s="779" t="s">
        <v>465</v>
      </c>
      <c r="Y114" s="781">
        <v>3</v>
      </c>
      <c r="Z114" s="781">
        <v>30060</v>
      </c>
      <c r="AA114" s="781">
        <v>487</v>
      </c>
      <c r="AB114" s="781">
        <v>606</v>
      </c>
      <c r="AC114" s="781">
        <v>113</v>
      </c>
      <c r="AD114" s="781">
        <v>57</v>
      </c>
      <c r="AE114" s="780">
        <v>10</v>
      </c>
      <c r="AF114" s="780">
        <v>29</v>
      </c>
      <c r="AG114" s="780"/>
    </row>
    <row customHeight="true" ht="18.452380952380953" r="115">
      <c r="A115" s="749"/>
      <c r="B115" s="750" t="s">
        <v>459</v>
      </c>
      <c r="C115" s="751" t="s">
        <v>442</v>
      </c>
      <c r="D115" s="751">
        <f t="shared" si="34"/>
      </c>
      <c r="E115" s="799">
        <v>4738.88</v>
      </c>
      <c r="F115" s="799">
        <v>907.94</v>
      </c>
      <c r="G115" s="752">
        <v>5</v>
      </c>
      <c r="H115" s="752">
        <v>8700</v>
      </c>
      <c r="I115" s="753">
        <f t="shared" si="74"/>
      </c>
      <c r="J115" s="753"/>
      <c r="K115" s="833">
        <f t="shared" si="8"/>
      </c>
      <c r="L115" s="803">
        <f t="shared" si="102"/>
      </c>
      <c r="M115" s="774">
        <f t="shared" si="58"/>
      </c>
      <c r="N115" s="773">
        <f t="shared" si="116"/>
      </c>
      <c r="O115" s="773">
        <f t="shared" si="159"/>
      </c>
      <c r="P115" s="774">
        <f t="shared" si="88"/>
      </c>
      <c r="Q115" s="773">
        <f t="shared" si="200"/>
      </c>
      <c r="R115" s="773">
        <f t="shared" si="130"/>
      </c>
      <c r="S115" s="775">
        <f t="shared" si="145"/>
      </c>
      <c r="T115" s="776">
        <f t="shared" si="172"/>
      </c>
      <c r="U115" s="775">
        <f t="shared" si="186"/>
      </c>
      <c r="V115" s="777">
        <f t="shared" si="213"/>
      </c>
      <c r="W115" s="831" t="s">
        <v>435</v>
      </c>
      <c r="X115" s="779" t="s">
        <v>465</v>
      </c>
      <c r="Y115" s="781">
        <v>4</v>
      </c>
      <c r="Z115" s="781">
        <v>32809</v>
      </c>
      <c r="AA115" s="781">
        <v>464</v>
      </c>
      <c r="AB115" s="781">
        <v>591</v>
      </c>
      <c r="AC115" s="781">
        <v>98</v>
      </c>
      <c r="AD115" s="781">
        <v>48</v>
      </c>
      <c r="AE115" s="780">
        <v>12</v>
      </c>
      <c r="AF115" s="780">
        <v>26</v>
      </c>
      <c r="AG115" s="780"/>
    </row>
    <row r="116">
      <c r="A116" s="749"/>
      <c r="B116" s="750" t="s">
        <v>460</v>
      </c>
      <c r="C116" s="751" t="s">
        <v>442</v>
      </c>
      <c r="D116" s="751">
        <f t="shared" si="34"/>
      </c>
      <c r="E116" s="799">
        <v>4650.64</v>
      </c>
      <c r="F116" s="799">
        <v>482.05</v>
      </c>
      <c r="G116" s="752">
        <v>3</v>
      </c>
      <c r="H116" s="752">
        <v>5484</v>
      </c>
      <c r="I116" s="753">
        <f t="shared" si="74"/>
      </c>
      <c r="J116" s="753"/>
      <c r="K116" s="833">
        <f t="shared" si="8"/>
      </c>
      <c r="L116" s="803">
        <f t="shared" si="102"/>
      </c>
      <c r="M116" s="774">
        <f t="shared" si="58"/>
      </c>
      <c r="N116" s="773">
        <f t="shared" si="116"/>
      </c>
      <c r="O116" s="773">
        <f t="shared" si="159"/>
      </c>
      <c r="P116" s="774">
        <f t="shared" si="88"/>
      </c>
      <c r="Q116" s="773">
        <f t="shared" si="200"/>
      </c>
      <c r="R116" s="773">
        <f t="shared" si="130"/>
      </c>
      <c r="S116" s="775">
        <f t="shared" si="145"/>
      </c>
      <c r="T116" s="776">
        <f t="shared" si="172"/>
      </c>
      <c r="U116" s="775">
        <f t="shared" si="186"/>
      </c>
      <c r="V116" s="777">
        <f t="shared" si="213"/>
      </c>
      <c r="W116" s="831" t="s">
        <v>435</v>
      </c>
      <c r="X116" s="779" t="s">
        <v>465</v>
      </c>
      <c r="Y116" s="781">
        <v>3</v>
      </c>
      <c r="Z116" s="781">
        <v>31888</v>
      </c>
      <c r="AA116" s="781">
        <v>513</v>
      </c>
      <c r="AB116" s="781">
        <v>612</v>
      </c>
      <c r="AC116" s="781">
        <v>94</v>
      </c>
      <c r="AD116" s="781">
        <v>32</v>
      </c>
      <c r="AE116" s="780">
        <v>4</v>
      </c>
      <c r="AF116" s="780">
        <v>31</v>
      </c>
      <c r="AG116" s="780"/>
    </row>
    <row r="117">
      <c r="A117" s="749"/>
      <c r="B117" s="782" t="s">
        <v>440</v>
      </c>
      <c r="C117" s="782"/>
      <c r="D117" s="783">
        <f>SUM(D113:D116)</f>
      </c>
      <c r="E117" s="783">
        <f>SUM(E113:E116)</f>
      </c>
      <c r="F117" s="783">
        <f>SUM(F113:F116)</f>
      </c>
      <c r="G117" s="783">
        <f>SUM(G113:G116)</f>
      </c>
      <c r="H117" s="783">
        <f>SUM(H113:H116)</f>
      </c>
      <c r="I117" s="804">
        <f t="shared" si="74"/>
      </c>
      <c r="J117" s="804"/>
      <c r="K117" s="834">
        <f t="shared" si="8"/>
      </c>
      <c r="L117" s="806">
        <f t="shared" si="102"/>
      </c>
      <c r="M117" s="786">
        <f t="shared" si="58"/>
      </c>
      <c r="N117" s="785">
        <f t="shared" si="116"/>
      </c>
      <c r="O117" s="785">
        <f t="shared" si="159"/>
      </c>
      <c r="P117" s="786">
        <f t="shared" si="88"/>
      </c>
      <c r="Q117" s="785">
        <f t="shared" si="200"/>
      </c>
      <c r="R117" s="785">
        <f t="shared" si="130"/>
      </c>
      <c r="S117" s="787">
        <f t="shared" si="145"/>
      </c>
      <c r="T117" s="788">
        <f t="shared" si="172"/>
      </c>
      <c r="U117" s="787">
        <f t="shared" si="186"/>
      </c>
      <c r="V117" s="789">
        <f t="shared" si="213"/>
      </c>
      <c r="W117" s="789"/>
      <c r="X117" s="789"/>
      <c r="Y117" s="783">
        <f>SUM(Y113:Y116)</f>
      </c>
      <c r="Z117" s="783">
        <f>SUM(Z113:Z116)</f>
      </c>
      <c r="AA117" s="783">
        <f>SUM(AA113:AA116)</f>
      </c>
      <c r="AB117" s="783">
        <f>SUM(AB113:AB116)</f>
      </c>
      <c r="AC117" s="783">
        <f>SUM(AC113:AC116)</f>
      </c>
      <c r="AD117" s="783">
        <f>SUM(AD113:AD116)</f>
      </c>
      <c r="AE117" s="783">
        <f>SUM(AE113:AE116)</f>
      </c>
      <c r="AF117" s="783">
        <f>SUM(AF113:AF116)</f>
      </c>
      <c r="AG117" s="783"/>
    </row>
    <row r="118">
      <c r="A118" s="749"/>
      <c r="B118" s="791" t="s">
        <v>444</v>
      </c>
      <c r="C118" s="791"/>
      <c r="D118" s="791">
        <f>D107+D117+D112</f>
      </c>
      <c r="E118" s="791">
        <f>E107+E117+E112</f>
      </c>
      <c r="F118" s="791">
        <f>F107+F117+F112</f>
      </c>
      <c r="G118" s="791">
        <f>G107+G117+G112</f>
      </c>
      <c r="H118" s="791">
        <f>H107+H117+H112</f>
      </c>
      <c r="I118" s="792">
        <f t="shared" si="74"/>
      </c>
      <c r="J118" s="792"/>
      <c r="K118" s="797">
        <f t="shared" si="8"/>
      </c>
      <c r="L118" s="809">
        <f t="shared" si="102"/>
      </c>
      <c r="M118" s="794">
        <f t="shared" si="58"/>
      </c>
      <c r="N118" s="795">
        <f t="shared" si="116"/>
      </c>
      <c r="O118" s="795">
        <f t="shared" si="159"/>
      </c>
      <c r="P118" s="794">
        <f t="shared" si="88"/>
      </c>
      <c r="Q118" s="795">
        <f t="shared" si="200"/>
      </c>
      <c r="R118" s="795">
        <f t="shared" si="130"/>
      </c>
      <c r="S118" s="794">
        <f t="shared" si="145"/>
      </c>
      <c r="T118" s="796">
        <f t="shared" si="172"/>
      </c>
      <c r="U118" s="794">
        <f t="shared" si="186"/>
      </c>
      <c r="V118" s="797">
        <f t="shared" si="213"/>
      </c>
      <c r="W118" s="797"/>
      <c r="X118" s="797"/>
      <c r="Y118" s="791">
        <f>Y107+Y117+Y112</f>
      </c>
      <c r="Z118" s="791">
        <f>Z107+Z117+Z112</f>
      </c>
      <c r="AA118" s="791">
        <f>AA107+AA117+AA112</f>
      </c>
      <c r="AB118" s="791">
        <f>AB107+AB117+AB112</f>
      </c>
      <c r="AC118" s="791">
        <f>AC107+AC117+AC112</f>
      </c>
      <c r="AD118" s="791">
        <f>AD107+AD117+AD112</f>
      </c>
      <c r="AE118" s="791">
        <f>AE107+AE117+AE112</f>
      </c>
      <c r="AF118" s="791">
        <f>AF107+AF117+AF112</f>
      </c>
      <c r="AG118" s="791"/>
    </row>
    <row r="119">
      <c r="A119" s="731" t="s">
        <v>398</v>
      </c>
      <c r="B119" s="731"/>
      <c r="C119" s="731"/>
      <c r="D119" s="732" t="s">
        <v>399</v>
      </c>
      <c r="E119" s="732"/>
      <c r="F119" s="732"/>
      <c r="G119" s="732"/>
      <c r="H119" s="732"/>
      <c r="I119" s="732"/>
      <c r="J119" s="732"/>
      <c r="K119" s="811" t="s">
        <v>400</v>
      </c>
      <c r="L119" s="811"/>
      <c r="M119" s="811"/>
      <c r="N119" s="811"/>
      <c r="O119" s="811"/>
      <c r="P119" s="811"/>
      <c r="Q119" s="811"/>
      <c r="R119" s="811"/>
      <c r="S119" s="811"/>
      <c r="T119" s="811"/>
      <c r="U119" s="811"/>
      <c r="V119" s="811"/>
      <c r="W119" s="811"/>
      <c r="X119" s="811"/>
      <c r="Y119" s="812" t="s">
        <v>401</v>
      </c>
      <c r="Z119" s="812"/>
      <c r="AA119" s="812"/>
      <c r="AB119" s="812"/>
      <c r="AC119" s="812"/>
      <c r="AD119" s="812"/>
      <c r="AE119" s="812"/>
      <c r="AF119" s="812"/>
      <c r="AG119" s="812"/>
    </row>
    <row r="120">
      <c r="A120" s="737" t="s">
        <v>402</v>
      </c>
      <c r="B120" s="738" t="s">
        <v>403</v>
      </c>
      <c r="C120" s="738" t="s">
        <v>404</v>
      </c>
      <c r="D120" s="739" t="s">
        <v>405</v>
      </c>
      <c r="E120" s="740" t="s">
        <v>406</v>
      </c>
      <c r="F120" s="740" t="s">
        <v>407</v>
      </c>
      <c r="G120" s="741" t="s">
        <v>408</v>
      </c>
      <c r="H120" s="742" t="s">
        <v>409</v>
      </c>
      <c r="I120" s="743" t="s">
        <v>410</v>
      </c>
      <c r="J120" s="743"/>
      <c r="K120" s="813" t="s">
        <v>445</v>
      </c>
      <c r="L120" s="811" t="s">
        <v>411</v>
      </c>
      <c r="M120" s="811" t="s">
        <v>412</v>
      </c>
      <c r="N120" s="814" t="s">
        <v>413</v>
      </c>
      <c r="O120" s="814" t="s">
        <v>414</v>
      </c>
      <c r="P120" s="811" t="s">
        <v>415</v>
      </c>
      <c r="Q120" s="814" t="s">
        <v>416</v>
      </c>
      <c r="R120" s="814" t="s">
        <v>417</v>
      </c>
      <c r="S120" s="811" t="s">
        <v>418</v>
      </c>
      <c r="T120" s="814" t="s">
        <v>419</v>
      </c>
      <c r="U120" s="811" t="s">
        <v>420</v>
      </c>
      <c r="V120" s="815" t="s">
        <v>421</v>
      </c>
      <c r="W120" s="815" t="s">
        <v>422</v>
      </c>
      <c r="X120" s="815" t="s">
        <v>423</v>
      </c>
      <c r="Y120" s="816" t="s">
        <v>424</v>
      </c>
      <c r="Z120" s="817" t="s">
        <v>425</v>
      </c>
      <c r="AA120" s="817" t="s">
        <v>426</v>
      </c>
      <c r="AB120" s="817" t="s">
        <v>427</v>
      </c>
      <c r="AC120" s="817" t="s">
        <v>428</v>
      </c>
      <c r="AD120" s="817" t="s">
        <v>429</v>
      </c>
      <c r="AE120" s="817" t="s">
        <v>430</v>
      </c>
      <c r="AF120" s="817" t="s">
        <v>431</v>
      </c>
      <c r="AG120" s="817"/>
    </row>
    <row r="121">
      <c r="A121" s="749" t="s">
        <v>466</v>
      </c>
      <c r="B121" s="750" t="s">
        <v>463</v>
      </c>
      <c r="C121" s="751" t="s">
        <v>434</v>
      </c>
      <c r="D121" s="751">
        <f t="shared" ref="D121:D124" si="35">E121+F121</f>
      </c>
      <c r="E121" s="799">
        <v>3315.65</v>
      </c>
      <c r="F121" s="799">
        <v>704.3</v>
      </c>
      <c r="G121" s="790">
        <v>1</v>
      </c>
      <c r="H121" s="790">
        <v>948</v>
      </c>
      <c r="I121" s="753">
        <f t="shared" ref="I121:I135" si="75">H121/D121</f>
      </c>
      <c r="J121" s="753"/>
      <c r="K121" s="819">
        <f t="shared" ref="K121:K135" si="9">(D121/Z121)*1000</f>
      </c>
      <c r="L121" s="820">
        <f t="shared" ref="L121:L135" si="103">AA121/Z121</f>
      </c>
      <c r="M121" s="821">
        <f t="shared" ref="M121:M135" si="59">D121/AB121</f>
      </c>
      <c r="N121" s="822">
        <f t="shared" ref="N121:N135" si="117">AC121/AB121</f>
      </c>
      <c r="O121" s="822">
        <f t="shared" ref="O121:O135" si="160">AD121/AB121</f>
      </c>
      <c r="P121" s="821">
        <f t="shared" ref="P121:P135" si="89">D121/AD121</f>
      </c>
      <c r="Q121" s="822">
        <f t="shared" ref="Q121:Q135" si="201">AE121/AD121</f>
      </c>
      <c r="R121" s="822">
        <f t="shared" ref="R121:R135" si="131">G121/AE121</f>
      </c>
      <c r="S121" s="821">
        <f t="shared" ref="S121:S135" si="146">D121/G121</f>
      </c>
      <c r="T121" s="835">
        <f t="shared" ref="T121:T135" si="173">H121/G121</f>
      </c>
      <c r="U121" s="821">
        <f t="shared" ref="U121:U135" si="187">D121/Y121</f>
      </c>
      <c r="V121" s="824">
        <f t="shared" ref="V121:V135" si="214">AF121*1000/D121</f>
      </c>
      <c r="W121" s="825" t="s">
        <v>435</v>
      </c>
      <c r="X121" s="826" t="s">
        <v>447</v>
      </c>
      <c r="Y121" s="827">
        <v>1</v>
      </c>
      <c r="Z121" s="827">
        <v>13291</v>
      </c>
      <c r="AA121" s="827">
        <v>389</v>
      </c>
      <c r="AB121" s="827">
        <v>547</v>
      </c>
      <c r="AC121" s="827">
        <v>80</v>
      </c>
      <c r="AD121" s="828">
        <v>47</v>
      </c>
      <c r="AE121" s="828">
        <v>2</v>
      </c>
      <c r="AF121" s="828">
        <v>18</v>
      </c>
      <c r="AG121" s="828"/>
    </row>
    <row r="122">
      <c r="A122" s="749"/>
      <c r="B122" s="750" t="s">
        <v>464</v>
      </c>
      <c r="C122" s="751" t="s">
        <v>434</v>
      </c>
      <c r="D122" s="751">
        <f t="shared" si="35"/>
      </c>
      <c r="E122" s="799">
        <v>2920</v>
      </c>
      <c r="F122" s="799">
        <v>773</v>
      </c>
      <c r="G122" s="752">
        <v>0</v>
      </c>
      <c r="H122" s="752">
        <v>0</v>
      </c>
      <c r="I122" s="753">
        <f t="shared" si="75"/>
      </c>
      <c r="J122" s="753"/>
      <c r="K122" s="819">
        <f t="shared" si="9"/>
      </c>
      <c r="L122" s="802">
        <f t="shared" si="103"/>
      </c>
      <c r="M122" s="765">
        <f t="shared" si="59"/>
      </c>
      <c r="N122" s="764">
        <f t="shared" si="117"/>
      </c>
      <c r="O122" s="764">
        <f t="shared" si="160"/>
      </c>
      <c r="P122" s="765">
        <f t="shared" si="89"/>
      </c>
      <c r="Q122" s="764">
        <f t="shared" si="201"/>
      </c>
      <c r="R122" s="764">
        <f t="shared" si="131"/>
      </c>
      <c r="S122" s="766">
        <f t="shared" si="146"/>
      </c>
      <c r="T122" s="756">
        <f t="shared" si="173"/>
      </c>
      <c r="U122" s="836">
        <f t="shared" si="187"/>
      </c>
      <c r="V122" s="768">
        <f t="shared" si="214"/>
      </c>
      <c r="W122" s="829" t="s">
        <v>435</v>
      </c>
      <c r="X122" s="830" t="s">
        <v>447</v>
      </c>
      <c r="Y122" s="772">
        <v>0</v>
      </c>
      <c r="Z122" s="772">
        <v>12198</v>
      </c>
      <c r="AA122" s="772">
        <v>363</v>
      </c>
      <c r="AB122" s="772">
        <v>449</v>
      </c>
      <c r="AC122" s="772">
        <v>60</v>
      </c>
      <c r="AD122" s="772">
        <v>23</v>
      </c>
      <c r="AE122" s="771">
        <v>3</v>
      </c>
      <c r="AF122" s="771">
        <v>21</v>
      </c>
      <c r="AG122" s="771"/>
    </row>
    <row r="123">
      <c r="A123" s="749"/>
      <c r="B123" s="818" t="s">
        <v>438</v>
      </c>
      <c r="C123" s="751" t="s">
        <v>434</v>
      </c>
      <c r="D123" s="751">
        <f t="shared" si="35"/>
      </c>
      <c r="E123" s="799">
        <v>2938.81</v>
      </c>
      <c r="F123" s="799">
        <v>891.65</v>
      </c>
      <c r="G123" s="790">
        <v>2</v>
      </c>
      <c r="H123" s="790">
        <v>4348</v>
      </c>
      <c r="I123" s="753">
        <f t="shared" si="75"/>
      </c>
      <c r="J123" s="753"/>
      <c r="K123" s="819">
        <f t="shared" si="9"/>
      </c>
      <c r="L123" s="802">
        <f t="shared" si="103"/>
      </c>
      <c r="M123" s="765">
        <f t="shared" si="59"/>
      </c>
      <c r="N123" s="764">
        <f t="shared" si="117"/>
      </c>
      <c r="O123" s="764">
        <f t="shared" si="160"/>
      </c>
      <c r="P123" s="765">
        <f t="shared" si="89"/>
      </c>
      <c r="Q123" s="764">
        <f t="shared" si="201"/>
      </c>
      <c r="R123" s="764">
        <f t="shared" si="131"/>
      </c>
      <c r="S123" s="766">
        <f t="shared" si="146"/>
      </c>
      <c r="T123" s="756">
        <f t="shared" si="173"/>
      </c>
      <c r="U123" s="836">
        <f t="shared" si="187"/>
      </c>
      <c r="V123" s="768">
        <f t="shared" si="214"/>
      </c>
      <c r="W123" s="829" t="s">
        <v>435</v>
      </c>
      <c r="X123" s="830" t="s">
        <v>447</v>
      </c>
      <c r="Y123" s="772">
        <v>1</v>
      </c>
      <c r="Z123" s="772">
        <v>11153</v>
      </c>
      <c r="AA123" s="772">
        <v>372</v>
      </c>
      <c r="AB123" s="772">
        <v>508</v>
      </c>
      <c r="AC123" s="772">
        <v>70</v>
      </c>
      <c r="AD123" s="772">
        <v>39</v>
      </c>
      <c r="AE123" s="771">
        <v>3</v>
      </c>
      <c r="AF123" s="771">
        <v>21</v>
      </c>
      <c r="AG123" s="771"/>
    </row>
    <row r="124">
      <c r="A124" s="749"/>
      <c r="B124" s="818" t="s">
        <v>439</v>
      </c>
      <c r="C124" s="751" t="s">
        <v>434</v>
      </c>
      <c r="D124" s="751">
        <f t="shared" si="35"/>
      </c>
      <c r="E124" s="799">
        <v>2800.25</v>
      </c>
      <c r="F124" s="799">
        <v>614.27</v>
      </c>
      <c r="G124" s="790">
        <v>2</v>
      </c>
      <c r="H124" s="790">
        <v>4536</v>
      </c>
      <c r="I124" s="753">
        <f t="shared" si="75"/>
      </c>
      <c r="J124" s="753"/>
      <c r="K124" s="819">
        <f t="shared" si="9"/>
      </c>
      <c r="L124" s="802">
        <f t="shared" si="103"/>
      </c>
      <c r="M124" s="765">
        <f t="shared" si="59"/>
      </c>
      <c r="N124" s="764">
        <f t="shared" si="117"/>
      </c>
      <c r="O124" s="764">
        <f t="shared" si="160"/>
      </c>
      <c r="P124" s="765">
        <f t="shared" si="89"/>
      </c>
      <c r="Q124" s="764">
        <f t="shared" si="201"/>
      </c>
      <c r="R124" s="764">
        <f t="shared" si="131"/>
      </c>
      <c r="S124" s="766">
        <f t="shared" si="146"/>
      </c>
      <c r="T124" s="767">
        <f t="shared" si="173"/>
      </c>
      <c r="U124" s="766">
        <f t="shared" si="187"/>
      </c>
      <c r="V124" s="768">
        <f t="shared" si="214"/>
      </c>
      <c r="W124" s="829" t="s">
        <v>435</v>
      </c>
      <c r="X124" s="830" t="s">
        <v>447</v>
      </c>
      <c r="Y124" s="772">
        <v>1</v>
      </c>
      <c r="Z124" s="772">
        <v>7917</v>
      </c>
      <c r="AA124" s="772">
        <v>286</v>
      </c>
      <c r="AB124" s="772">
        <v>403</v>
      </c>
      <c r="AC124" s="772">
        <v>76</v>
      </c>
      <c r="AD124" s="772">
        <v>37</v>
      </c>
      <c r="AE124" s="772">
        <v>3</v>
      </c>
      <c r="AF124" s="772">
        <v>31</v>
      </c>
      <c r="AG124" s="772"/>
    </row>
    <row r="125">
      <c r="A125" s="749"/>
      <c r="B125" s="782" t="s">
        <v>440</v>
      </c>
      <c r="C125" s="782"/>
      <c r="D125" s="783">
        <f>SUM(D121:D124)</f>
      </c>
      <c r="E125" s="783">
        <f>SUM(E121:E124)</f>
      </c>
      <c r="F125" s="783">
        <f>SUM(F121:F124)</f>
      </c>
      <c r="G125" s="783">
        <f>SUM(G121:G124)</f>
      </c>
      <c r="H125" s="783">
        <f>SUM(H121:H124)</f>
      </c>
      <c r="I125" s="804">
        <f t="shared" si="75"/>
      </c>
      <c r="J125" s="804"/>
      <c r="K125" s="810">
        <f t="shared" si="9"/>
      </c>
      <c r="L125" s="806">
        <f t="shared" si="103"/>
      </c>
      <c r="M125" s="786">
        <f t="shared" si="59"/>
      </c>
      <c r="N125" s="785">
        <f t="shared" si="117"/>
      </c>
      <c r="O125" s="785">
        <f t="shared" si="160"/>
      </c>
      <c r="P125" s="786">
        <f t="shared" si="89"/>
      </c>
      <c r="Q125" s="785">
        <f t="shared" si="201"/>
      </c>
      <c r="R125" s="785">
        <f t="shared" si="131"/>
      </c>
      <c r="S125" s="787">
        <f t="shared" si="146"/>
      </c>
      <c r="T125" s="788">
        <f t="shared" si="173"/>
      </c>
      <c r="U125" s="787">
        <f t="shared" si="187"/>
      </c>
      <c r="V125" s="789">
        <f t="shared" si="214"/>
      </c>
      <c r="W125" s="789"/>
      <c r="X125" s="789"/>
      <c r="Y125" s="783">
        <f>SUM(Y121:Y124)</f>
      </c>
      <c r="Z125" s="783">
        <f>SUM(Z121:Z124)</f>
      </c>
      <c r="AA125" s="783">
        <f>SUM(AA121:AA124)</f>
      </c>
      <c r="AB125" s="783">
        <f>SUM(AB121:AB124)</f>
      </c>
      <c r="AC125" s="783">
        <f>SUM(AC121:AC124)</f>
      </c>
      <c r="AD125" s="783">
        <f>SUM(AD121:AD124)</f>
      </c>
      <c r="AE125" s="783">
        <f>SUM(AE121:AE124)</f>
      </c>
      <c r="AF125" s="783">
        <f>SUM(AF121:AF124)</f>
      </c>
      <c r="AG125" s="783"/>
    </row>
    <row r="126">
      <c r="A126" s="749"/>
      <c r="B126" s="818" t="s">
        <v>441</v>
      </c>
      <c r="C126" s="751" t="s">
        <v>455</v>
      </c>
      <c r="D126" s="751">
        <f t="shared" ref="D126:D129" si="36">E126+F126</f>
      </c>
      <c r="E126" s="799">
        <v>2863.72</v>
      </c>
      <c r="F126" s="799">
        <v>445.45</v>
      </c>
      <c r="G126" s="790">
        <v>4</v>
      </c>
      <c r="H126" s="790">
        <v>3273</v>
      </c>
      <c r="I126" s="753">
        <f t="shared" si="75"/>
      </c>
      <c r="J126" s="753"/>
      <c r="K126" s="819">
        <f t="shared" si="9"/>
      </c>
      <c r="L126" s="803">
        <f t="shared" si="103"/>
      </c>
      <c r="M126" s="774">
        <f t="shared" si="59"/>
      </c>
      <c r="N126" s="773">
        <f t="shared" si="117"/>
      </c>
      <c r="O126" s="773">
        <f t="shared" si="160"/>
      </c>
      <c r="P126" s="774">
        <f t="shared" si="89"/>
      </c>
      <c r="Q126" s="773">
        <f t="shared" si="201"/>
      </c>
      <c r="R126" s="773">
        <f t="shared" si="131"/>
      </c>
      <c r="S126" s="775">
        <f t="shared" si="146"/>
      </c>
      <c r="T126" s="776">
        <f t="shared" si="173"/>
      </c>
      <c r="U126" s="775">
        <f t="shared" si="187"/>
      </c>
      <c r="V126" s="777">
        <f t="shared" si="214"/>
      </c>
      <c r="W126" s="831" t="s">
        <v>435</v>
      </c>
      <c r="X126" s="832" t="s">
        <v>447</v>
      </c>
      <c r="Y126" s="781">
        <v>2</v>
      </c>
      <c r="Z126" s="781">
        <v>9135</v>
      </c>
      <c r="AA126" s="781">
        <v>294</v>
      </c>
      <c r="AB126" s="781">
        <v>457</v>
      </c>
      <c r="AC126" s="781">
        <v>66</v>
      </c>
      <c r="AD126" s="781">
        <v>42</v>
      </c>
      <c r="AE126" s="781">
        <v>6</v>
      </c>
      <c r="AF126" s="781">
        <v>22</v>
      </c>
      <c r="AG126" s="781"/>
    </row>
    <row r="127">
      <c r="A127" s="749"/>
      <c r="B127" s="818" t="s">
        <v>443</v>
      </c>
      <c r="C127" s="751" t="s">
        <v>455</v>
      </c>
      <c r="D127" s="751">
        <f t="shared" si="36"/>
      </c>
      <c r="E127" s="799">
        <v>3097.13</v>
      </c>
      <c r="F127" s="799">
        <v>386.03</v>
      </c>
      <c r="G127" s="790">
        <v>3</v>
      </c>
      <c r="H127" s="790">
        <v>4085</v>
      </c>
      <c r="I127" s="753">
        <f t="shared" si="75"/>
      </c>
      <c r="J127" s="753"/>
      <c r="K127" s="819">
        <f t="shared" si="9"/>
      </c>
      <c r="L127" s="803">
        <f t="shared" si="103"/>
      </c>
      <c r="M127" s="774">
        <f t="shared" si="59"/>
      </c>
      <c r="N127" s="773">
        <f t="shared" si="117"/>
      </c>
      <c r="O127" s="773">
        <f t="shared" si="160"/>
      </c>
      <c r="P127" s="774">
        <f t="shared" si="89"/>
      </c>
      <c r="Q127" s="773">
        <f t="shared" si="201"/>
      </c>
      <c r="R127" s="773">
        <f t="shared" si="131"/>
      </c>
      <c r="S127" s="775">
        <f t="shared" si="146"/>
      </c>
      <c r="T127" s="776">
        <f t="shared" si="173"/>
      </c>
      <c r="U127" s="775">
        <f t="shared" si="187"/>
      </c>
      <c r="V127" s="777">
        <f t="shared" si="214"/>
      </c>
      <c r="W127" s="831" t="s">
        <v>435</v>
      </c>
      <c r="X127" s="832" t="s">
        <v>447</v>
      </c>
      <c r="Y127" s="781">
        <v>3</v>
      </c>
      <c r="Z127" s="781">
        <v>10436</v>
      </c>
      <c r="AA127" s="781">
        <v>320</v>
      </c>
      <c r="AB127" s="781">
        <v>482</v>
      </c>
      <c r="AC127" s="781">
        <v>75</v>
      </c>
      <c r="AD127" s="781">
        <v>53</v>
      </c>
      <c r="AE127" s="780">
        <v>9</v>
      </c>
      <c r="AF127" s="780">
        <v>23</v>
      </c>
      <c r="AG127" s="780"/>
    </row>
    <row r="128">
      <c r="A128" s="749"/>
      <c r="B128" s="818" t="s">
        <v>451</v>
      </c>
      <c r="C128" s="751" t="s">
        <v>455</v>
      </c>
      <c r="D128" s="751">
        <f t="shared" si="36"/>
      </c>
      <c r="E128" s="799">
        <v>3934.61</v>
      </c>
      <c r="F128" s="799">
        <v>549.7</v>
      </c>
      <c r="G128" s="790">
        <v>8</v>
      </c>
      <c r="H128" s="790">
        <v>8385</v>
      </c>
      <c r="I128" s="753">
        <f t="shared" si="75"/>
      </c>
      <c r="J128" s="753"/>
      <c r="K128" s="819">
        <f t="shared" si="9"/>
      </c>
      <c r="L128" s="803">
        <f t="shared" si="103"/>
      </c>
      <c r="M128" s="774">
        <f t="shared" si="59"/>
      </c>
      <c r="N128" s="773">
        <f t="shared" si="117"/>
      </c>
      <c r="O128" s="773">
        <f t="shared" si="160"/>
      </c>
      <c r="P128" s="774">
        <f t="shared" si="89"/>
      </c>
      <c r="Q128" s="773">
        <f t="shared" si="201"/>
      </c>
      <c r="R128" s="773">
        <f t="shared" si="131"/>
      </c>
      <c r="S128" s="775">
        <f t="shared" si="146"/>
      </c>
      <c r="T128" s="776">
        <f t="shared" si="173"/>
      </c>
      <c r="U128" s="775">
        <f t="shared" si="187"/>
      </c>
      <c r="V128" s="777">
        <f t="shared" si="214"/>
      </c>
      <c r="W128" s="831" t="s">
        <v>435</v>
      </c>
      <c r="X128" s="832" t="s">
        <v>447</v>
      </c>
      <c r="Y128" s="781">
        <v>8</v>
      </c>
      <c r="Z128" s="781">
        <v>11591</v>
      </c>
      <c r="AA128" s="781">
        <v>315</v>
      </c>
      <c r="AB128" s="781">
        <v>394</v>
      </c>
      <c r="AC128" s="781">
        <v>90</v>
      </c>
      <c r="AD128" s="781">
        <v>58</v>
      </c>
      <c r="AE128" s="781">
        <v>10</v>
      </c>
      <c r="AF128" s="781">
        <v>22</v>
      </c>
      <c r="AG128" s="781"/>
    </row>
    <row r="129">
      <c r="A129" s="749"/>
      <c r="B129" s="818" t="s">
        <v>452</v>
      </c>
      <c r="C129" s="751" t="s">
        <v>455</v>
      </c>
      <c r="D129" s="751">
        <f t="shared" si="36"/>
      </c>
      <c r="E129" s="799">
        <v>4067.78</v>
      </c>
      <c r="F129" s="799">
        <v>356.17</v>
      </c>
      <c r="G129" s="790">
        <v>4</v>
      </c>
      <c r="H129" s="790">
        <v>5033</v>
      </c>
      <c r="I129" s="753">
        <f t="shared" si="75"/>
      </c>
      <c r="J129" s="753"/>
      <c r="K129" s="819">
        <f t="shared" si="9"/>
      </c>
      <c r="L129" s="803">
        <f t="shared" si="103"/>
      </c>
      <c r="M129" s="774">
        <f t="shared" si="59"/>
      </c>
      <c r="N129" s="773">
        <f t="shared" si="117"/>
      </c>
      <c r="O129" s="773">
        <f t="shared" si="160"/>
      </c>
      <c r="P129" s="774">
        <f t="shared" si="89"/>
      </c>
      <c r="Q129" s="773">
        <f t="shared" si="201"/>
      </c>
      <c r="R129" s="773">
        <f t="shared" si="131"/>
      </c>
      <c r="S129" s="775">
        <f t="shared" si="146"/>
      </c>
      <c r="T129" s="776">
        <f t="shared" si="173"/>
      </c>
      <c r="U129" s="775">
        <f t="shared" si="187"/>
      </c>
      <c r="V129" s="777">
        <f t="shared" si="214"/>
      </c>
      <c r="W129" s="831" t="s">
        <v>435</v>
      </c>
      <c r="X129" s="832" t="s">
        <v>447</v>
      </c>
      <c r="Y129" s="781">
        <v>2</v>
      </c>
      <c r="Z129" s="781">
        <v>13682</v>
      </c>
      <c r="AA129" s="781">
        <v>279</v>
      </c>
      <c r="AB129" s="781">
        <v>378</v>
      </c>
      <c r="AC129" s="781">
        <v>54</v>
      </c>
      <c r="AD129" s="781">
        <v>44</v>
      </c>
      <c r="AE129" s="781">
        <v>7</v>
      </c>
      <c r="AF129" s="781">
        <v>22</v>
      </c>
      <c r="AG129" s="781"/>
    </row>
    <row r="130">
      <c r="A130" s="749"/>
      <c r="B130" s="782" t="s">
        <v>440</v>
      </c>
      <c r="C130" s="782"/>
      <c r="D130" s="783">
        <f>SUM(D126:D129)</f>
      </c>
      <c r="E130" s="783">
        <f>SUM(E126:E129)</f>
      </c>
      <c r="F130" s="783">
        <f>SUM(F126:F129)</f>
      </c>
      <c r="G130" s="783">
        <f>SUM(G126:G129)</f>
      </c>
      <c r="H130" s="783">
        <f>SUM(H126:H129)</f>
      </c>
      <c r="I130" s="804">
        <f t="shared" si="75"/>
      </c>
      <c r="J130" s="804"/>
      <c r="K130" s="810">
        <f t="shared" si="9"/>
      </c>
      <c r="L130" s="806">
        <f t="shared" si="103"/>
      </c>
      <c r="M130" s="786">
        <f t="shared" si="59"/>
      </c>
      <c r="N130" s="785">
        <f t="shared" si="117"/>
      </c>
      <c r="O130" s="785">
        <f t="shared" si="160"/>
      </c>
      <c r="P130" s="786">
        <f t="shared" si="89"/>
      </c>
      <c r="Q130" s="785">
        <f t="shared" si="201"/>
      </c>
      <c r="R130" s="785">
        <f t="shared" si="131"/>
      </c>
      <c r="S130" s="787">
        <f t="shared" si="146"/>
      </c>
      <c r="T130" s="788">
        <f t="shared" si="173"/>
      </c>
      <c r="U130" s="787">
        <f t="shared" si="187"/>
      </c>
      <c r="V130" s="789">
        <f t="shared" si="214"/>
      </c>
      <c r="W130" s="789"/>
      <c r="X130" s="789"/>
      <c r="Y130" s="783">
        <f>SUM(Y126:Y129)</f>
      </c>
      <c r="Z130" s="783">
        <f>SUM(Z126:Z129)</f>
      </c>
      <c r="AA130" s="783">
        <f>SUM(AA126:AA129)</f>
      </c>
      <c r="AB130" s="783">
        <f>SUM(AB126:AB129)</f>
      </c>
      <c r="AC130" s="783">
        <f>SUM(AC126:AC129)</f>
      </c>
      <c r="AD130" s="783">
        <f>SUM(AD126:AD129)</f>
      </c>
      <c r="AE130" s="783">
        <f>SUM(AE126:AE129)</f>
      </c>
      <c r="AF130" s="783">
        <f>SUM(AF126:AF129)</f>
      </c>
      <c r="AG130" s="783"/>
    </row>
    <row r="131">
      <c r="A131" s="749"/>
      <c r="B131" s="818" t="s">
        <v>456</v>
      </c>
      <c r="C131" s="751" t="s">
        <v>442</v>
      </c>
      <c r="D131" s="751">
        <f t="shared" ref="D131:D133" si="37">E131+F131</f>
      </c>
      <c r="E131" s="799">
        <v>3724.31</v>
      </c>
      <c r="F131" s="799">
        <v>945.47</v>
      </c>
      <c r="G131" s="752">
        <v>1</v>
      </c>
      <c r="H131" s="752">
        <v>2268</v>
      </c>
      <c r="I131" s="753">
        <f t="shared" si="75"/>
      </c>
      <c r="J131" s="753"/>
      <c r="K131" s="833">
        <f t="shared" si="9"/>
      </c>
      <c r="L131" s="803">
        <f t="shared" si="103"/>
      </c>
      <c r="M131" s="774">
        <f t="shared" si="59"/>
      </c>
      <c r="N131" s="773">
        <f t="shared" si="117"/>
      </c>
      <c r="O131" s="773">
        <f t="shared" si="160"/>
      </c>
      <c r="P131" s="774">
        <f t="shared" si="89"/>
      </c>
      <c r="Q131" s="773">
        <f t="shared" si="201"/>
      </c>
      <c r="R131" s="773">
        <f t="shared" si="131"/>
      </c>
      <c r="S131" s="775">
        <f t="shared" si="146"/>
      </c>
      <c r="T131" s="776">
        <f t="shared" si="173"/>
      </c>
      <c r="U131" s="775">
        <f t="shared" si="187"/>
      </c>
      <c r="V131" s="777">
        <f t="shared" si="214"/>
      </c>
      <c r="W131" s="831" t="s">
        <v>435</v>
      </c>
      <c r="X131" s="779" t="s">
        <v>447</v>
      </c>
      <c r="Y131" s="781">
        <v>1</v>
      </c>
      <c r="Z131" s="781">
        <v>17251</v>
      </c>
      <c r="AA131" s="781">
        <v>387</v>
      </c>
      <c r="AB131" s="781">
        <v>537</v>
      </c>
      <c r="AC131" s="781">
        <v>82</v>
      </c>
      <c r="AD131" s="781">
        <v>45</v>
      </c>
      <c r="AE131" s="780">
        <v>5</v>
      </c>
      <c r="AF131" s="780">
        <v>18</v>
      </c>
      <c r="AG131" s="780"/>
    </row>
    <row r="132">
      <c r="A132" s="749"/>
      <c r="B132" s="818" t="s">
        <v>457</v>
      </c>
      <c r="C132" s="751" t="s">
        <v>442</v>
      </c>
      <c r="D132" s="751">
        <f t="shared" si="37"/>
      </c>
      <c r="E132" s="799">
        <v>2279.82</v>
      </c>
      <c r="F132" s="799">
        <v>636.92</v>
      </c>
      <c r="G132" s="752">
        <v>1</v>
      </c>
      <c r="H132" s="752">
        <v>2268</v>
      </c>
      <c r="I132" s="753">
        <f t="shared" si="75"/>
      </c>
      <c r="J132" s="753"/>
      <c r="K132" s="833">
        <f t="shared" si="9"/>
      </c>
      <c r="L132" s="803">
        <f t="shared" si="103"/>
      </c>
      <c r="M132" s="774">
        <f t="shared" si="59"/>
      </c>
      <c r="N132" s="773">
        <f t="shared" si="117"/>
      </c>
      <c r="O132" s="773">
        <f t="shared" si="160"/>
      </c>
      <c r="P132" s="774">
        <f t="shared" si="89"/>
      </c>
      <c r="Q132" s="773">
        <f t="shared" si="201"/>
      </c>
      <c r="R132" s="773">
        <f t="shared" si="131"/>
      </c>
      <c r="S132" s="775">
        <f t="shared" si="146"/>
      </c>
      <c r="T132" s="776">
        <f t="shared" si="173"/>
      </c>
      <c r="U132" s="775">
        <f t="shared" si="187"/>
      </c>
      <c r="V132" s="777">
        <f t="shared" si="214"/>
      </c>
      <c r="W132" s="831" t="s">
        <v>435</v>
      </c>
      <c r="X132" s="779" t="s">
        <v>447</v>
      </c>
      <c r="Y132" s="780">
        <v>1</v>
      </c>
      <c r="Z132" s="781">
        <v>9927</v>
      </c>
      <c r="AA132" s="781">
        <v>279</v>
      </c>
      <c r="AB132" s="781">
        <v>364</v>
      </c>
      <c r="AC132" s="781">
        <v>50</v>
      </c>
      <c r="AD132" s="781">
        <v>37</v>
      </c>
      <c r="AE132" s="780">
        <v>3</v>
      </c>
      <c r="AF132" s="780">
        <v>21</v>
      </c>
      <c r="AG132" s="780"/>
    </row>
    <row r="133">
      <c r="A133" s="749"/>
      <c r="B133" s="750" t="s">
        <v>459</v>
      </c>
      <c r="C133" s="751" t="s">
        <v>442</v>
      </c>
      <c r="D133" s="751">
        <f t="shared" si="37"/>
      </c>
      <c r="E133" s="799">
        <f>2365.43+3.97</f>
      </c>
      <c r="F133" s="799">
        <v>726.65</v>
      </c>
      <c r="G133" s="752">
        <v>2</v>
      </c>
      <c r="H133" s="752">
        <v>3028</v>
      </c>
      <c r="I133" s="753">
        <f t="shared" si="75"/>
      </c>
      <c r="J133" s="753"/>
      <c r="K133" s="833">
        <f t="shared" si="9"/>
      </c>
      <c r="L133" s="803">
        <f t="shared" si="103"/>
      </c>
      <c r="M133" s="774">
        <f t="shared" si="59"/>
      </c>
      <c r="N133" s="773">
        <f t="shared" si="117"/>
      </c>
      <c r="O133" s="773">
        <f t="shared" si="160"/>
      </c>
      <c r="P133" s="774">
        <f t="shared" si="89"/>
      </c>
      <c r="Q133" s="773">
        <f t="shared" si="201"/>
      </c>
      <c r="R133" s="773">
        <f t="shared" si="131"/>
      </c>
      <c r="S133" s="775">
        <f t="shared" si="146"/>
      </c>
      <c r="T133" s="776">
        <f t="shared" si="173"/>
      </c>
      <c r="U133" s="775">
        <f t="shared" si="187"/>
      </c>
      <c r="V133" s="777">
        <f t="shared" si="214"/>
      </c>
      <c r="W133" s="831" t="s">
        <v>435</v>
      </c>
      <c r="X133" s="779" t="s">
        <v>447</v>
      </c>
      <c r="Y133" s="781">
        <v>3</v>
      </c>
      <c r="Z133" s="781">
        <v>12026</v>
      </c>
      <c r="AA133" s="781">
        <v>275</v>
      </c>
      <c r="AB133" s="781">
        <v>366</v>
      </c>
      <c r="AC133" s="781">
        <v>68</v>
      </c>
      <c r="AD133" s="781">
        <v>26</v>
      </c>
      <c r="AE133" s="780">
        <v>5</v>
      </c>
      <c r="AF133" s="780">
        <v>22</v>
      </c>
      <c r="AG133" s="780"/>
    </row>
    <row r="134">
      <c r="A134" s="749"/>
      <c r="B134" s="782" t="s">
        <v>440</v>
      </c>
      <c r="C134" s="782"/>
      <c r="D134" s="783">
        <f>SUM(D131:D133)</f>
      </c>
      <c r="E134" s="783">
        <f>SUM(E131:E133)</f>
      </c>
      <c r="F134" s="783">
        <f>SUM(F131:F133)</f>
      </c>
      <c r="G134" s="783">
        <f>SUM(G131:G133)</f>
      </c>
      <c r="H134" s="783">
        <f>SUM(H131:H133)</f>
      </c>
      <c r="I134" s="804">
        <f t="shared" si="75"/>
      </c>
      <c r="J134" s="804"/>
      <c r="K134" s="834">
        <f t="shared" si="9"/>
      </c>
      <c r="L134" s="806">
        <f t="shared" si="103"/>
      </c>
      <c r="M134" s="786">
        <f t="shared" si="59"/>
      </c>
      <c r="N134" s="785">
        <f t="shared" si="117"/>
      </c>
      <c r="O134" s="785">
        <f t="shared" si="160"/>
      </c>
      <c r="P134" s="786">
        <f t="shared" si="89"/>
      </c>
      <c r="Q134" s="785">
        <f t="shared" si="201"/>
      </c>
      <c r="R134" s="785">
        <f t="shared" si="131"/>
      </c>
      <c r="S134" s="787">
        <f t="shared" si="146"/>
      </c>
      <c r="T134" s="788">
        <f t="shared" si="173"/>
      </c>
      <c r="U134" s="787">
        <f t="shared" si="187"/>
      </c>
      <c r="V134" s="789">
        <f t="shared" si="214"/>
      </c>
      <c r="W134" s="789"/>
      <c r="X134" s="789"/>
      <c r="Y134" s="783">
        <f>SUM(Y131:Y133)</f>
      </c>
      <c r="Z134" s="783">
        <f>SUM(Z131:Z133)</f>
      </c>
      <c r="AA134" s="783">
        <f>SUM(AA131:AA133)</f>
      </c>
      <c r="AB134" s="783">
        <f>SUM(AB131:AB133)</f>
      </c>
      <c r="AC134" s="783">
        <f>SUM(AC131:AC133)</f>
      </c>
      <c r="AD134" s="783">
        <f>SUM(AD131:AD133)</f>
      </c>
      <c r="AE134" s="783">
        <f>SUM(AE131:AE133)</f>
      </c>
      <c r="AF134" s="783">
        <f>SUM(AF131:AF133)</f>
      </c>
      <c r="AG134" s="783"/>
    </row>
    <row r="135">
      <c r="A135" s="749"/>
      <c r="B135" s="791" t="s">
        <v>444</v>
      </c>
      <c r="C135" s="791"/>
      <c r="D135" s="791">
        <f>D125+D134+D130</f>
      </c>
      <c r="E135" s="791">
        <f>E125+E134+E130</f>
      </c>
      <c r="F135" s="791">
        <f>F125+F134+F130</f>
      </c>
      <c r="G135" s="791">
        <f>G125+G134+G130</f>
      </c>
      <c r="H135" s="791">
        <f>H125+H134+H130</f>
      </c>
      <c r="I135" s="792">
        <f t="shared" si="75"/>
      </c>
      <c r="J135" s="792"/>
      <c r="K135" s="797">
        <f t="shared" si="9"/>
      </c>
      <c r="L135" s="809">
        <f t="shared" si="103"/>
      </c>
      <c r="M135" s="794">
        <f t="shared" si="59"/>
      </c>
      <c r="N135" s="795">
        <f t="shared" si="117"/>
      </c>
      <c r="O135" s="795">
        <f t="shared" si="160"/>
      </c>
      <c r="P135" s="794">
        <f t="shared" si="89"/>
      </c>
      <c r="Q135" s="795">
        <f t="shared" si="201"/>
      </c>
      <c r="R135" s="795">
        <f t="shared" si="131"/>
      </c>
      <c r="S135" s="794">
        <f t="shared" si="146"/>
      </c>
      <c r="T135" s="796">
        <f t="shared" si="173"/>
      </c>
      <c r="U135" s="794">
        <f t="shared" si="187"/>
      </c>
      <c r="V135" s="797">
        <f t="shared" si="214"/>
      </c>
      <c r="W135" s="797"/>
      <c r="X135" s="797"/>
      <c r="Y135" s="791">
        <f>Y125+Y134+Y130</f>
      </c>
      <c r="Z135" s="791">
        <f>Z125+Z134+Z130</f>
      </c>
      <c r="AA135" s="791">
        <f>AA125+AA134+AA130</f>
      </c>
      <c r="AB135" s="791">
        <f>AB125+AB134+AB130</f>
      </c>
      <c r="AC135" s="791">
        <f>AC125+AC134+AC130</f>
      </c>
      <c r="AD135" s="791">
        <f>AD125+AD134+AD130</f>
      </c>
      <c r="AE135" s="791">
        <f>AE125+AE134+AE130</f>
      </c>
      <c r="AF135" s="791">
        <f>AF125+AF134+AF130</f>
      </c>
      <c r="AG135" s="791"/>
    </row>
    <row r="136">
      <c r="A136" s="731" t="s">
        <v>398</v>
      </c>
      <c r="B136" s="731"/>
      <c r="C136" s="731"/>
      <c r="D136" s="732" t="s">
        <v>399</v>
      </c>
      <c r="E136" s="732"/>
      <c r="F136" s="732"/>
      <c r="G136" s="732"/>
      <c r="H136" s="732"/>
      <c r="I136" s="732"/>
      <c r="J136" s="732"/>
      <c r="K136" s="811" t="s">
        <v>400</v>
      </c>
      <c r="L136" s="811"/>
      <c r="M136" s="811"/>
      <c r="N136" s="811"/>
      <c r="O136" s="811"/>
      <c r="P136" s="811"/>
      <c r="Q136" s="811"/>
      <c r="R136" s="811"/>
      <c r="S136" s="811"/>
      <c r="T136" s="811"/>
      <c r="U136" s="811"/>
      <c r="V136" s="811"/>
      <c r="W136" s="811"/>
      <c r="X136" s="811"/>
      <c r="Y136" s="812" t="s">
        <v>401</v>
      </c>
      <c r="Z136" s="812"/>
      <c r="AA136" s="812"/>
      <c r="AB136" s="812"/>
      <c r="AC136" s="812"/>
      <c r="AD136" s="812"/>
      <c r="AE136" s="812"/>
      <c r="AF136" s="812"/>
      <c r="AG136" s="812"/>
    </row>
    <row r="137">
      <c r="A137" s="737" t="s">
        <v>402</v>
      </c>
      <c r="B137" s="738" t="s">
        <v>403</v>
      </c>
      <c r="C137" s="738" t="s">
        <v>404</v>
      </c>
      <c r="D137" s="739" t="s">
        <v>405</v>
      </c>
      <c r="E137" s="740" t="s">
        <v>406</v>
      </c>
      <c r="F137" s="740" t="s">
        <v>407</v>
      </c>
      <c r="G137" s="741" t="s">
        <v>408</v>
      </c>
      <c r="H137" s="742" t="s">
        <v>409</v>
      </c>
      <c r="I137" s="743" t="s">
        <v>410</v>
      </c>
      <c r="J137" s="743"/>
      <c r="K137" s="813" t="s">
        <v>445</v>
      </c>
      <c r="L137" s="811" t="s">
        <v>411</v>
      </c>
      <c r="M137" s="811" t="s">
        <v>412</v>
      </c>
      <c r="N137" s="814" t="s">
        <v>413</v>
      </c>
      <c r="O137" s="814" t="s">
        <v>414</v>
      </c>
      <c r="P137" s="811" t="s">
        <v>415</v>
      </c>
      <c r="Q137" s="814" t="s">
        <v>416</v>
      </c>
      <c r="R137" s="814" t="s">
        <v>417</v>
      </c>
      <c r="S137" s="811" t="s">
        <v>418</v>
      </c>
      <c r="T137" s="814" t="s">
        <v>419</v>
      </c>
      <c r="U137" s="811" t="s">
        <v>420</v>
      </c>
      <c r="V137" s="815" t="s">
        <v>421</v>
      </c>
      <c r="W137" s="815" t="s">
        <v>422</v>
      </c>
      <c r="X137" s="815" t="s">
        <v>423</v>
      </c>
      <c r="Y137" s="816" t="s">
        <v>424</v>
      </c>
      <c r="Z137" s="817" t="s">
        <v>425</v>
      </c>
      <c r="AA137" s="817" t="s">
        <v>426</v>
      </c>
      <c r="AB137" s="817" t="s">
        <v>427</v>
      </c>
      <c r="AC137" s="817" t="s">
        <v>428</v>
      </c>
      <c r="AD137" s="817" t="s">
        <v>429</v>
      </c>
      <c r="AE137" s="817" t="s">
        <v>430</v>
      </c>
      <c r="AF137" s="817" t="s">
        <v>431</v>
      </c>
      <c r="AG137" s="817"/>
    </row>
    <row r="138">
      <c r="A138" s="749" t="s">
        <v>467</v>
      </c>
      <c r="B138" s="750" t="s">
        <v>463</v>
      </c>
      <c r="C138" s="751" t="s">
        <v>434</v>
      </c>
      <c r="D138" s="751">
        <f t="shared" ref="D138:D141" si="38">E138+F138</f>
      </c>
      <c r="E138" s="799">
        <v>4154.16</v>
      </c>
      <c r="F138" s="799">
        <v>455.75</v>
      </c>
      <c r="G138" s="790">
        <v>4</v>
      </c>
      <c r="H138" s="790">
        <v>5112</v>
      </c>
      <c r="I138" s="753">
        <f t="shared" ref="I138:I153" si="76">H138/D138</f>
      </c>
      <c r="J138" s="753"/>
      <c r="K138" s="819">
        <f t="shared" ref="K138:K153" si="10">(D138/Z138)*1000</f>
      </c>
      <c r="L138" s="820">
        <f t="shared" ref="L138:L153" si="104">AA138/Z138</f>
      </c>
      <c r="M138" s="821">
        <f t="shared" ref="M138:M153" si="60">D138/AB138</f>
      </c>
      <c r="N138" s="822">
        <f t="shared" ref="N138:N153" si="118">AC138/AB138</f>
      </c>
      <c r="O138" s="822">
        <f t="shared" ref="O138:O153" si="161">AD138/AB138</f>
      </c>
      <c r="P138" s="821">
        <f t="shared" ref="P138:P153" si="90">D138/AD138</f>
      </c>
      <c r="Q138" s="822">
        <f t="shared" ref="Q138:Q153" si="202">AE138/AD138</f>
      </c>
      <c r="R138" s="822">
        <f t="shared" ref="R138:R153" si="132">G138/AE138</f>
      </c>
      <c r="S138" s="821">
        <f t="shared" ref="S138:S153" si="147">D138/G138</f>
      </c>
      <c r="T138" s="835">
        <f t="shared" ref="T138:T153" si="174">H138/G138</f>
      </c>
      <c r="U138" s="821">
        <f t="shared" ref="U138:U153" si="188">D138/Y138</f>
      </c>
      <c r="V138" s="824">
        <f t="shared" ref="V138:V153" si="215">AF138*1000/D138</f>
      </c>
      <c r="W138" s="825" t="s">
        <v>435</v>
      </c>
      <c r="X138" s="826" t="s">
        <v>447</v>
      </c>
      <c r="Y138" s="827">
        <v>3</v>
      </c>
      <c r="Z138" s="827">
        <v>16743</v>
      </c>
      <c r="AA138" s="827">
        <v>428</v>
      </c>
      <c r="AB138" s="827">
        <v>540</v>
      </c>
      <c r="AC138" s="827">
        <v>110</v>
      </c>
      <c r="AD138" s="828">
        <v>48</v>
      </c>
      <c r="AE138" s="828">
        <v>9</v>
      </c>
      <c r="AF138" s="828">
        <v>39</v>
      </c>
      <c r="AG138" s="828"/>
    </row>
    <row r="139">
      <c r="A139" s="749"/>
      <c r="B139" s="750" t="s">
        <v>464</v>
      </c>
      <c r="C139" s="751" t="s">
        <v>434</v>
      </c>
      <c r="D139" s="751">
        <f t="shared" si="38"/>
      </c>
      <c r="E139" s="799">
        <v>4390.95</v>
      </c>
      <c r="F139" s="799">
        <v>548.55</v>
      </c>
      <c r="G139" s="790">
        <v>6</v>
      </c>
      <c r="H139" s="790">
        <v>7769</v>
      </c>
      <c r="I139" s="753">
        <f t="shared" si="76"/>
      </c>
      <c r="J139" s="753"/>
      <c r="K139" s="819">
        <f t="shared" si="10"/>
      </c>
      <c r="L139" s="802">
        <f t="shared" si="104"/>
      </c>
      <c r="M139" s="765">
        <f t="shared" si="60"/>
      </c>
      <c r="N139" s="764">
        <f t="shared" si="118"/>
      </c>
      <c r="O139" s="764">
        <f t="shared" si="161"/>
      </c>
      <c r="P139" s="765">
        <f t="shared" si="90"/>
      </c>
      <c r="Q139" s="764">
        <f t="shared" si="202"/>
      </c>
      <c r="R139" s="764">
        <f t="shared" si="132"/>
      </c>
      <c r="S139" s="766">
        <f t="shared" si="147"/>
      </c>
      <c r="T139" s="756">
        <f t="shared" si="174"/>
      </c>
      <c r="U139" s="836">
        <f t="shared" si="188"/>
      </c>
      <c r="V139" s="768">
        <f t="shared" si="215"/>
      </c>
      <c r="W139" s="829" t="s">
        <v>435</v>
      </c>
      <c r="X139" s="830" t="s">
        <v>447</v>
      </c>
      <c r="Y139" s="772">
        <v>6</v>
      </c>
      <c r="Z139" s="772">
        <v>24640</v>
      </c>
      <c r="AA139" s="772">
        <v>473</v>
      </c>
      <c r="AB139" s="772">
        <v>575</v>
      </c>
      <c r="AC139" s="772">
        <v>113</v>
      </c>
      <c r="AD139" s="772">
        <v>56</v>
      </c>
      <c r="AE139" s="772">
        <v>10</v>
      </c>
      <c r="AF139" s="772">
        <v>22</v>
      </c>
      <c r="AG139" s="772"/>
    </row>
    <row r="140">
      <c r="A140" s="749"/>
      <c r="B140" s="818" t="s">
        <v>438</v>
      </c>
      <c r="C140" s="751" t="s">
        <v>434</v>
      </c>
      <c r="D140" s="751">
        <f t="shared" si="38"/>
      </c>
      <c r="E140" s="799">
        <v>5716.06</v>
      </c>
      <c r="F140" s="799">
        <v>595.66</v>
      </c>
      <c r="G140" s="790">
        <v>7</v>
      </c>
      <c r="H140" s="790">
        <v>11916</v>
      </c>
      <c r="I140" s="753">
        <f t="shared" si="76"/>
      </c>
      <c r="J140" s="753"/>
      <c r="K140" s="819">
        <f t="shared" si="10"/>
      </c>
      <c r="L140" s="802">
        <f t="shared" si="104"/>
      </c>
      <c r="M140" s="765">
        <f t="shared" si="60"/>
      </c>
      <c r="N140" s="764">
        <f t="shared" si="118"/>
      </c>
      <c r="O140" s="764">
        <f t="shared" si="161"/>
      </c>
      <c r="P140" s="765">
        <f t="shared" si="90"/>
      </c>
      <c r="Q140" s="764">
        <f t="shared" si="202"/>
      </c>
      <c r="R140" s="764">
        <f t="shared" si="132"/>
      </c>
      <c r="S140" s="766">
        <f t="shared" si="147"/>
      </c>
      <c r="T140" s="756">
        <f t="shared" si="174"/>
      </c>
      <c r="U140" s="836">
        <f t="shared" si="188"/>
      </c>
      <c r="V140" s="768">
        <f t="shared" si="215"/>
      </c>
      <c r="W140" s="829" t="s">
        <v>435</v>
      </c>
      <c r="X140" s="830" t="s">
        <v>447</v>
      </c>
      <c r="Y140" s="772">
        <v>7</v>
      </c>
      <c r="Z140" s="772">
        <v>34473</v>
      </c>
      <c r="AA140" s="772">
        <v>523</v>
      </c>
      <c r="AB140" s="772">
        <v>588</v>
      </c>
      <c r="AC140" s="772">
        <v>113</v>
      </c>
      <c r="AD140" s="772">
        <v>67</v>
      </c>
      <c r="AE140" s="772">
        <v>15</v>
      </c>
      <c r="AF140" s="772">
        <v>31</v>
      </c>
      <c r="AG140" s="772"/>
    </row>
    <row r="141">
      <c r="A141" s="749"/>
      <c r="B141" s="818" t="s">
        <v>439</v>
      </c>
      <c r="C141" s="751" t="s">
        <v>434</v>
      </c>
      <c r="D141" s="751">
        <f t="shared" si="38"/>
      </c>
      <c r="E141" s="799">
        <v>4904.92</v>
      </c>
      <c r="F141" s="799">
        <v>355.94</v>
      </c>
      <c r="G141" s="790">
        <v>2</v>
      </c>
      <c r="H141" s="790">
        <v>3216</v>
      </c>
      <c r="I141" s="753">
        <f t="shared" si="76"/>
      </c>
      <c r="J141" s="753"/>
      <c r="K141" s="819">
        <f t="shared" si="10"/>
      </c>
      <c r="L141" s="802">
        <f t="shared" si="104"/>
      </c>
      <c r="M141" s="765">
        <f t="shared" si="60"/>
      </c>
      <c r="N141" s="764">
        <f t="shared" si="118"/>
      </c>
      <c r="O141" s="764">
        <f t="shared" si="161"/>
      </c>
      <c r="P141" s="765">
        <f t="shared" si="90"/>
      </c>
      <c r="Q141" s="764">
        <f t="shared" si="202"/>
      </c>
      <c r="R141" s="764">
        <f t="shared" si="132"/>
      </c>
      <c r="S141" s="766">
        <f t="shared" si="147"/>
      </c>
      <c r="T141" s="767">
        <f t="shared" si="174"/>
      </c>
      <c r="U141" s="766">
        <f t="shared" si="188"/>
      </c>
      <c r="V141" s="768">
        <f t="shared" si="215"/>
      </c>
      <c r="W141" s="829" t="s">
        <v>435</v>
      </c>
      <c r="X141" s="830" t="s">
        <v>447</v>
      </c>
      <c r="Y141" s="772">
        <v>2</v>
      </c>
      <c r="Z141" s="772">
        <v>21358</v>
      </c>
      <c r="AA141" s="772">
        <v>332</v>
      </c>
      <c r="AB141" s="772">
        <v>427</v>
      </c>
      <c r="AC141" s="772">
        <v>88</v>
      </c>
      <c r="AD141" s="772">
        <v>67</v>
      </c>
      <c r="AE141" s="772">
        <v>9</v>
      </c>
      <c r="AF141" s="772">
        <v>22</v>
      </c>
      <c r="AG141" s="772"/>
    </row>
    <row r="142">
      <c r="A142" s="749"/>
      <c r="B142" s="782" t="s">
        <v>440</v>
      </c>
      <c r="C142" s="782"/>
      <c r="D142" s="783">
        <f>SUM(D138:D141)</f>
      </c>
      <c r="E142" s="783">
        <f>SUM(E138:E141)</f>
      </c>
      <c r="F142" s="783">
        <f>SUM(F138:F141)</f>
      </c>
      <c r="G142" s="783">
        <f>SUM(G138:G141)</f>
      </c>
      <c r="H142" s="783">
        <f>SUM(H138:H141)</f>
      </c>
      <c r="I142" s="804">
        <f t="shared" si="76"/>
      </c>
      <c r="J142" s="804"/>
      <c r="K142" s="810">
        <f t="shared" si="10"/>
      </c>
      <c r="L142" s="806">
        <f t="shared" si="104"/>
      </c>
      <c r="M142" s="786">
        <f t="shared" si="60"/>
      </c>
      <c r="N142" s="785">
        <f t="shared" si="118"/>
      </c>
      <c r="O142" s="785">
        <f t="shared" si="161"/>
      </c>
      <c r="P142" s="786">
        <f t="shared" si="90"/>
      </c>
      <c r="Q142" s="785">
        <f t="shared" si="202"/>
      </c>
      <c r="R142" s="785">
        <f t="shared" si="132"/>
      </c>
      <c r="S142" s="787">
        <f t="shared" si="147"/>
      </c>
      <c r="T142" s="788">
        <f t="shared" si="174"/>
      </c>
      <c r="U142" s="787">
        <f t="shared" si="188"/>
      </c>
      <c r="V142" s="789">
        <f t="shared" si="215"/>
      </c>
      <c r="W142" s="789"/>
      <c r="X142" s="789"/>
      <c r="Y142" s="783">
        <f>SUM(Y138:Y141)</f>
      </c>
      <c r="Z142" s="783">
        <f>SUM(Z138:Z141)</f>
      </c>
      <c r="AA142" s="783">
        <f>SUM(AA138:AA141)</f>
      </c>
      <c r="AB142" s="783">
        <f>SUM(AB138:AB141)</f>
      </c>
      <c r="AC142" s="783">
        <f>SUM(AC138:AC141)</f>
      </c>
      <c r="AD142" s="783">
        <f>SUM(AD138:AD141)</f>
      </c>
      <c r="AE142" s="783">
        <f>SUM(AE138:AE141)</f>
      </c>
      <c r="AF142" s="783">
        <f>SUM(AF138:AF141)</f>
      </c>
      <c r="AG142" s="783"/>
    </row>
    <row r="143">
      <c r="A143" s="749"/>
      <c r="B143" s="818" t="s">
        <v>441</v>
      </c>
      <c r="C143" s="751" t="s">
        <v>455</v>
      </c>
      <c r="D143" s="751">
        <f t="shared" ref="D143:D146" si="39">E143+F143</f>
      </c>
      <c r="E143" s="799">
        <v>2554.15</v>
      </c>
      <c r="F143" s="799">
        <v>535.38</v>
      </c>
      <c r="G143" s="790">
        <v>3</v>
      </c>
      <c r="H143" s="790">
        <v>5484</v>
      </c>
      <c r="I143" s="753">
        <f t="shared" si="76"/>
      </c>
      <c r="J143" s="753"/>
      <c r="K143" s="819">
        <f t="shared" si="10"/>
      </c>
      <c r="L143" s="803">
        <f t="shared" si="104"/>
      </c>
      <c r="M143" s="774">
        <f t="shared" si="60"/>
      </c>
      <c r="N143" s="773">
        <f t="shared" si="118"/>
      </c>
      <c r="O143" s="773">
        <f t="shared" si="161"/>
      </c>
      <c r="P143" s="774">
        <f t="shared" si="90"/>
      </c>
      <c r="Q143" s="773">
        <f t="shared" si="202"/>
      </c>
      <c r="R143" s="773">
        <f t="shared" si="132"/>
      </c>
      <c r="S143" s="775">
        <f t="shared" si="147"/>
      </c>
      <c r="T143" s="776">
        <f t="shared" si="174"/>
      </c>
      <c r="U143" s="775">
        <f t="shared" si="188"/>
      </c>
      <c r="V143" s="777">
        <f t="shared" si="215"/>
      </c>
      <c r="W143" s="831" t="s">
        <v>435</v>
      </c>
      <c r="X143" s="832" t="s">
        <v>447</v>
      </c>
      <c r="Y143" s="781">
        <v>3</v>
      </c>
      <c r="Z143" s="781">
        <v>11917</v>
      </c>
      <c r="AA143" s="781">
        <v>283</v>
      </c>
      <c r="AB143" s="781">
        <v>359</v>
      </c>
      <c r="AC143" s="781">
        <v>65</v>
      </c>
      <c r="AD143" s="781">
        <v>50</v>
      </c>
      <c r="AE143" s="781">
        <v>8</v>
      </c>
      <c r="AF143" s="781">
        <v>16</v>
      </c>
      <c r="AG143" s="781"/>
    </row>
    <row r="144">
      <c r="A144" s="749"/>
      <c r="B144" s="818" t="s">
        <v>443</v>
      </c>
      <c r="C144" s="751" t="s">
        <v>455</v>
      </c>
      <c r="D144" s="751">
        <f t="shared" si="39"/>
      </c>
      <c r="E144" s="799">
        <v>6025.19</v>
      </c>
      <c r="F144" s="799">
        <v>707.71</v>
      </c>
      <c r="G144" s="790">
        <v>8</v>
      </c>
      <c r="H144" s="790">
        <v>13516</v>
      </c>
      <c r="I144" s="753">
        <f t="shared" si="76"/>
      </c>
      <c r="J144" s="753"/>
      <c r="K144" s="819">
        <f t="shared" si="10"/>
      </c>
      <c r="L144" s="803">
        <f t="shared" si="104"/>
      </c>
      <c r="M144" s="774">
        <f t="shared" si="60"/>
      </c>
      <c r="N144" s="773">
        <f t="shared" si="118"/>
      </c>
      <c r="O144" s="773">
        <f t="shared" si="161"/>
      </c>
      <c r="P144" s="774">
        <f t="shared" si="90"/>
      </c>
      <c r="Q144" s="773">
        <f t="shared" si="202"/>
      </c>
      <c r="R144" s="773">
        <f t="shared" si="132"/>
      </c>
      <c r="S144" s="775">
        <f t="shared" si="147"/>
      </c>
      <c r="T144" s="776">
        <f t="shared" si="174"/>
      </c>
      <c r="U144" s="775">
        <f t="shared" si="188"/>
      </c>
      <c r="V144" s="777">
        <f t="shared" si="215"/>
      </c>
      <c r="W144" s="831" t="s">
        <v>435</v>
      </c>
      <c r="X144" s="832" t="s">
        <v>447</v>
      </c>
      <c r="Y144" s="781">
        <v>8</v>
      </c>
      <c r="Z144" s="781">
        <v>26230</v>
      </c>
      <c r="AA144" s="781">
        <v>597</v>
      </c>
      <c r="AB144" s="781">
        <v>690</v>
      </c>
      <c r="AC144" s="781">
        <v>162</v>
      </c>
      <c r="AD144" s="781">
        <v>110</v>
      </c>
      <c r="AE144" s="780">
        <v>22</v>
      </c>
      <c r="AF144" s="780">
        <v>54</v>
      </c>
      <c r="AG144" s="780"/>
    </row>
    <row r="145">
      <c r="A145" s="749"/>
      <c r="B145" s="818" t="s">
        <v>451</v>
      </c>
      <c r="C145" s="751" t="s">
        <v>455</v>
      </c>
      <c r="D145" s="751">
        <f t="shared" si="39"/>
      </c>
      <c r="E145" s="799">
        <v>4661.34</v>
      </c>
      <c r="F145" s="799">
        <v>875.99</v>
      </c>
      <c r="G145" s="752">
        <v>3</v>
      </c>
      <c r="H145" s="752">
        <v>2844</v>
      </c>
      <c r="I145" s="753">
        <f t="shared" si="76"/>
      </c>
      <c r="J145" s="753"/>
      <c r="K145" s="819">
        <f t="shared" si="10"/>
      </c>
      <c r="L145" s="803">
        <f t="shared" si="104"/>
      </c>
      <c r="M145" s="774">
        <f t="shared" si="60"/>
      </c>
      <c r="N145" s="773">
        <f t="shared" si="118"/>
      </c>
      <c r="O145" s="773">
        <f t="shared" si="161"/>
      </c>
      <c r="P145" s="774">
        <f t="shared" si="90"/>
      </c>
      <c r="Q145" s="773">
        <f t="shared" si="202"/>
      </c>
      <c r="R145" s="773">
        <f t="shared" si="132"/>
      </c>
      <c r="S145" s="775">
        <f t="shared" si="147"/>
      </c>
      <c r="T145" s="776">
        <f t="shared" si="174"/>
      </c>
      <c r="U145" s="775">
        <f t="shared" si="188"/>
      </c>
      <c r="V145" s="777">
        <f t="shared" si="215"/>
      </c>
      <c r="W145" s="831" t="s">
        <v>435</v>
      </c>
      <c r="X145" s="832" t="s">
        <v>447</v>
      </c>
      <c r="Y145" s="781">
        <v>3</v>
      </c>
      <c r="Z145" s="781">
        <v>18977</v>
      </c>
      <c r="AA145" s="781">
        <v>425</v>
      </c>
      <c r="AB145" s="781">
        <v>533</v>
      </c>
      <c r="AC145" s="781">
        <v>111</v>
      </c>
      <c r="AD145" s="781">
        <v>71</v>
      </c>
      <c r="AE145" s="780">
        <v>9</v>
      </c>
      <c r="AF145" s="780">
        <v>32</v>
      </c>
      <c r="AG145" s="780"/>
    </row>
    <row r="146">
      <c r="A146" s="749"/>
      <c r="B146" s="818" t="s">
        <v>452</v>
      </c>
      <c r="C146" s="751" t="s">
        <v>455</v>
      </c>
      <c r="D146" s="751">
        <f t="shared" si="39"/>
      </c>
      <c r="E146" s="799">
        <v>4910.59</v>
      </c>
      <c r="F146" s="799">
        <v>815.78</v>
      </c>
      <c r="G146" s="752">
        <v>6</v>
      </c>
      <c r="H146" s="752">
        <v>9168</v>
      </c>
      <c r="I146" s="753">
        <f t="shared" si="76"/>
      </c>
      <c r="J146" s="753"/>
      <c r="K146" s="819">
        <f t="shared" si="10"/>
      </c>
      <c r="L146" s="803">
        <f t="shared" si="104"/>
      </c>
      <c r="M146" s="774">
        <f t="shared" si="60"/>
      </c>
      <c r="N146" s="773">
        <f t="shared" si="118"/>
      </c>
      <c r="O146" s="773">
        <f t="shared" si="161"/>
      </c>
      <c r="P146" s="774">
        <f t="shared" si="90"/>
      </c>
      <c r="Q146" s="773">
        <f t="shared" si="202"/>
      </c>
      <c r="R146" s="773">
        <f t="shared" si="132"/>
      </c>
      <c r="S146" s="775">
        <f t="shared" si="147"/>
      </c>
      <c r="T146" s="776">
        <f t="shared" si="174"/>
      </c>
      <c r="U146" s="775">
        <f t="shared" si="188"/>
      </c>
      <c r="V146" s="777">
        <f t="shared" si="215"/>
      </c>
      <c r="W146" s="831" t="s">
        <v>435</v>
      </c>
      <c r="X146" s="832" t="s">
        <v>465</v>
      </c>
      <c r="Y146" s="781">
        <v>6</v>
      </c>
      <c r="Z146" s="781">
        <v>17640</v>
      </c>
      <c r="AA146" s="781">
        <v>400</v>
      </c>
      <c r="AB146" s="781">
        <v>491</v>
      </c>
      <c r="AC146" s="781">
        <v>104</v>
      </c>
      <c r="AD146" s="781">
        <v>76</v>
      </c>
      <c r="AE146" s="780">
        <v>12</v>
      </c>
      <c r="AF146" s="780">
        <v>36</v>
      </c>
      <c r="AG146" s="780"/>
    </row>
    <row r="147">
      <c r="A147" s="749"/>
      <c r="B147" s="782" t="s">
        <v>440</v>
      </c>
      <c r="C147" s="782"/>
      <c r="D147" s="783">
        <f>SUM(D143:D146)</f>
      </c>
      <c r="E147" s="783">
        <f>SUM(E143:E146)</f>
      </c>
      <c r="F147" s="783">
        <f>SUM(F143:F146)</f>
      </c>
      <c r="G147" s="783">
        <f>SUM(G143:G146)</f>
      </c>
      <c r="H147" s="783">
        <f>SUM(H143:H146)</f>
      </c>
      <c r="I147" s="804">
        <f t="shared" si="76"/>
      </c>
      <c r="J147" s="804"/>
      <c r="K147" s="810">
        <f t="shared" si="10"/>
      </c>
      <c r="L147" s="806">
        <f t="shared" si="104"/>
      </c>
      <c r="M147" s="786">
        <f t="shared" si="60"/>
      </c>
      <c r="N147" s="785">
        <f t="shared" si="118"/>
      </c>
      <c r="O147" s="785">
        <f t="shared" si="161"/>
      </c>
      <c r="P147" s="786">
        <f t="shared" si="90"/>
      </c>
      <c r="Q147" s="785">
        <f t="shared" si="202"/>
      </c>
      <c r="R147" s="785">
        <f t="shared" si="132"/>
      </c>
      <c r="S147" s="787">
        <f t="shared" si="147"/>
      </c>
      <c r="T147" s="788">
        <f t="shared" si="174"/>
      </c>
      <c r="U147" s="787">
        <f t="shared" si="188"/>
      </c>
      <c r="V147" s="789">
        <f t="shared" si="215"/>
      </c>
      <c r="W147" s="789"/>
      <c r="X147" s="789"/>
      <c r="Y147" s="783">
        <f>SUM(Y143:Y146)</f>
      </c>
      <c r="Z147" s="783">
        <f>SUM(Z143:Z146)</f>
      </c>
      <c r="AA147" s="783">
        <f>SUM(AA143:AA146)</f>
      </c>
      <c r="AB147" s="783">
        <f>SUM(AB143:AB146)</f>
      </c>
      <c r="AC147" s="783">
        <f>SUM(AC143:AC146)</f>
      </c>
      <c r="AD147" s="783">
        <f>SUM(AD143:AD146)</f>
      </c>
      <c r="AE147" s="783">
        <f>SUM(AE143:AE146)</f>
      </c>
      <c r="AF147" s="783">
        <f>SUM(AF143:AF146)</f>
      </c>
      <c r="AG147" s="783"/>
    </row>
    <row r="148">
      <c r="A148" s="749"/>
      <c r="B148" s="818" t="s">
        <v>456</v>
      </c>
      <c r="C148" s="751" t="s">
        <v>442</v>
      </c>
      <c r="D148" s="751">
        <f t="shared" ref="D148:D151" si="40">E148+F148</f>
      </c>
      <c r="E148" s="799">
        <v>4627</v>
      </c>
      <c r="F148" s="799">
        <v>877.94</v>
      </c>
      <c r="G148" s="752">
        <v>0</v>
      </c>
      <c r="H148" s="752">
        <v>0</v>
      </c>
      <c r="I148" s="753">
        <f t="shared" si="76"/>
      </c>
      <c r="J148" s="753"/>
      <c r="K148" s="833">
        <f t="shared" si="10"/>
      </c>
      <c r="L148" s="803">
        <f t="shared" si="104"/>
      </c>
      <c r="M148" s="774">
        <f t="shared" si="60"/>
      </c>
      <c r="N148" s="773">
        <f t="shared" si="118"/>
      </c>
      <c r="O148" s="773">
        <f t="shared" si="161"/>
      </c>
      <c r="P148" s="774">
        <f t="shared" si="90"/>
      </c>
      <c r="Q148" s="773">
        <f t="shared" si="202"/>
      </c>
      <c r="R148" s="773">
        <f t="shared" si="132"/>
      </c>
      <c r="S148" s="775">
        <f t="shared" si="147"/>
      </c>
      <c r="T148" s="776">
        <f t="shared" si="174"/>
      </c>
      <c r="U148" s="775">
        <f t="shared" si="188"/>
      </c>
      <c r="V148" s="777">
        <f t="shared" si="215"/>
      </c>
      <c r="W148" s="831" t="s">
        <v>435</v>
      </c>
      <c r="X148" s="779" t="s">
        <v>465</v>
      </c>
      <c r="Y148" s="781">
        <v>0</v>
      </c>
      <c r="Z148" s="781">
        <v>18384</v>
      </c>
      <c r="AA148" s="781">
        <v>413</v>
      </c>
      <c r="AB148" s="781">
        <v>510</v>
      </c>
      <c r="AC148" s="781">
        <v>96</v>
      </c>
      <c r="AD148" s="781">
        <v>65</v>
      </c>
      <c r="AE148" s="780">
        <v>2</v>
      </c>
      <c r="AF148" s="780">
        <v>32</v>
      </c>
      <c r="AG148" s="780"/>
    </row>
    <row r="149">
      <c r="A149" s="749"/>
      <c r="B149" s="818" t="s">
        <v>457</v>
      </c>
      <c r="C149" s="751" t="s">
        <v>442</v>
      </c>
      <c r="D149" s="751">
        <f t="shared" si="40"/>
      </c>
      <c r="E149" s="799">
        <v>3350.87</v>
      </c>
      <c r="F149" s="799">
        <v>576.77</v>
      </c>
      <c r="G149" s="752">
        <v>3</v>
      </c>
      <c r="H149" s="752">
        <v>5405</v>
      </c>
      <c r="I149" s="753">
        <f t="shared" si="76"/>
      </c>
      <c r="J149" s="753"/>
      <c r="K149" s="833">
        <f t="shared" si="10"/>
      </c>
      <c r="L149" s="803">
        <f t="shared" si="104"/>
      </c>
      <c r="M149" s="774">
        <f t="shared" si="60"/>
      </c>
      <c r="N149" s="773">
        <f t="shared" si="118"/>
      </c>
      <c r="O149" s="773">
        <f t="shared" si="161"/>
      </c>
      <c r="P149" s="774">
        <f t="shared" si="90"/>
      </c>
      <c r="Q149" s="773">
        <f t="shared" si="202"/>
      </c>
      <c r="R149" s="773">
        <f t="shared" si="132"/>
      </c>
      <c r="S149" s="775">
        <f t="shared" si="147"/>
      </c>
      <c r="T149" s="776">
        <f t="shared" si="174"/>
      </c>
      <c r="U149" s="775">
        <f t="shared" si="188"/>
      </c>
      <c r="V149" s="777">
        <f t="shared" si="215"/>
      </c>
      <c r="W149" s="831" t="s">
        <v>435</v>
      </c>
      <c r="X149" s="779" t="s">
        <v>465</v>
      </c>
      <c r="Y149" s="781">
        <v>2</v>
      </c>
      <c r="Z149" s="781">
        <v>13158</v>
      </c>
      <c r="AA149" s="781">
        <v>325</v>
      </c>
      <c r="AB149" s="781">
        <v>412</v>
      </c>
      <c r="AC149" s="781">
        <v>76</v>
      </c>
      <c r="AD149" s="781">
        <v>57</v>
      </c>
      <c r="AE149" s="780">
        <v>5</v>
      </c>
      <c r="AF149" s="780">
        <v>28</v>
      </c>
      <c r="AG149" s="780"/>
    </row>
    <row r="150">
      <c r="A150" s="749"/>
      <c r="B150" s="750" t="s">
        <v>459</v>
      </c>
      <c r="C150" s="751" t="s">
        <v>442</v>
      </c>
      <c r="D150" s="751">
        <f t="shared" si="40"/>
      </c>
      <c r="E150" s="799">
        <v>2756.22</v>
      </c>
      <c r="F150" s="799">
        <v>359.22</v>
      </c>
      <c r="G150" s="752">
        <v>2</v>
      </c>
      <c r="H150" s="752">
        <v>1896</v>
      </c>
      <c r="I150" s="753">
        <f t="shared" si="76"/>
      </c>
      <c r="J150" s="753"/>
      <c r="K150" s="833">
        <f t="shared" si="10"/>
      </c>
      <c r="L150" s="803">
        <f t="shared" si="104"/>
      </c>
      <c r="M150" s="774">
        <f t="shared" si="60"/>
      </c>
      <c r="N150" s="773">
        <f t="shared" si="118"/>
      </c>
      <c r="O150" s="773">
        <f t="shared" si="161"/>
      </c>
      <c r="P150" s="774">
        <f t="shared" si="90"/>
      </c>
      <c r="Q150" s="773">
        <f t="shared" si="202"/>
      </c>
      <c r="R150" s="773">
        <f t="shared" si="132"/>
      </c>
      <c r="S150" s="775">
        <f t="shared" si="147"/>
      </c>
      <c r="T150" s="776">
        <f t="shared" si="174"/>
      </c>
      <c r="U150" s="775">
        <f t="shared" si="188"/>
      </c>
      <c r="V150" s="777">
        <f t="shared" si="215"/>
      </c>
      <c r="W150" s="831" t="s">
        <v>435</v>
      </c>
      <c r="X150" s="779" t="s">
        <v>465</v>
      </c>
      <c r="Y150" s="781">
        <v>2</v>
      </c>
      <c r="Z150" s="781">
        <v>9894</v>
      </c>
      <c r="AA150" s="781">
        <v>298</v>
      </c>
      <c r="AB150" s="781">
        <v>375</v>
      </c>
      <c r="AC150" s="781">
        <v>69</v>
      </c>
      <c r="AD150" s="781">
        <v>46</v>
      </c>
      <c r="AE150" s="780">
        <v>7</v>
      </c>
      <c r="AF150" s="780">
        <v>23</v>
      </c>
      <c r="AG150" s="780"/>
    </row>
    <row r="151">
      <c r="A151" s="749"/>
      <c r="B151" s="750" t="s">
        <v>460</v>
      </c>
      <c r="C151" s="751" t="s">
        <v>442</v>
      </c>
      <c r="D151" s="751">
        <f t="shared" si="40"/>
      </c>
      <c r="E151" s="799">
        <v>1744.73</v>
      </c>
      <c r="F151" s="799">
        <v>552.04</v>
      </c>
      <c r="G151" s="752">
        <v>6</v>
      </c>
      <c r="H151" s="752">
        <v>9460</v>
      </c>
      <c r="I151" s="753">
        <f t="shared" si="76"/>
      </c>
      <c r="J151" s="753"/>
      <c r="K151" s="833">
        <f t="shared" si="10"/>
      </c>
      <c r="L151" s="803">
        <f t="shared" si="104"/>
      </c>
      <c r="M151" s="774">
        <f t="shared" si="60"/>
      </c>
      <c r="N151" s="773">
        <f t="shared" si="118"/>
      </c>
      <c r="O151" s="773">
        <f t="shared" si="161"/>
      </c>
      <c r="P151" s="774">
        <f t="shared" si="90"/>
      </c>
      <c r="Q151" s="773">
        <f t="shared" si="202"/>
      </c>
      <c r="R151" s="773">
        <f t="shared" si="132"/>
      </c>
      <c r="S151" s="775">
        <f t="shared" si="147"/>
      </c>
      <c r="T151" s="776">
        <f t="shared" si="174"/>
      </c>
      <c r="U151" s="775">
        <f t="shared" si="188"/>
      </c>
      <c r="V151" s="777">
        <f t="shared" si="215"/>
      </c>
      <c r="W151" s="831" t="s">
        <v>435</v>
      </c>
      <c r="X151" s="779" t="s">
        <v>465</v>
      </c>
      <c r="Y151" s="781">
        <v>5</v>
      </c>
      <c r="Z151" s="781">
        <v>7321</v>
      </c>
      <c r="AA151" s="781">
        <v>198</v>
      </c>
      <c r="AB151" s="781">
        <v>236</v>
      </c>
      <c r="AC151" s="781">
        <v>45</v>
      </c>
      <c r="AD151" s="781">
        <v>35</v>
      </c>
      <c r="AE151" s="780">
        <v>8</v>
      </c>
      <c r="AF151" s="780">
        <v>11</v>
      </c>
      <c r="AG151" s="780"/>
    </row>
    <row r="152">
      <c r="A152" s="749"/>
      <c r="B152" s="782" t="s">
        <v>440</v>
      </c>
      <c r="C152" s="782"/>
      <c r="D152" s="783">
        <f>SUM(D148:D151)</f>
      </c>
      <c r="E152" s="783">
        <f>SUM(E148:E151)</f>
      </c>
      <c r="F152" s="783">
        <f>SUM(F148:F151)</f>
      </c>
      <c r="G152" s="783">
        <f>SUM(G148:G151)</f>
      </c>
      <c r="H152" s="783">
        <f>SUM(H148:H151)</f>
      </c>
      <c r="I152" s="804">
        <f t="shared" si="76"/>
      </c>
      <c r="J152" s="804"/>
      <c r="K152" s="834">
        <f t="shared" si="10"/>
      </c>
      <c r="L152" s="806">
        <f t="shared" si="104"/>
      </c>
      <c r="M152" s="786">
        <f t="shared" si="60"/>
      </c>
      <c r="N152" s="785">
        <f t="shared" si="118"/>
      </c>
      <c r="O152" s="785">
        <f t="shared" si="161"/>
      </c>
      <c r="P152" s="786">
        <f t="shared" si="90"/>
      </c>
      <c r="Q152" s="785">
        <f t="shared" si="202"/>
      </c>
      <c r="R152" s="785">
        <f t="shared" si="132"/>
      </c>
      <c r="S152" s="787">
        <f t="shared" si="147"/>
      </c>
      <c r="T152" s="788">
        <f t="shared" si="174"/>
      </c>
      <c r="U152" s="787">
        <f t="shared" si="188"/>
      </c>
      <c r="V152" s="789">
        <f t="shared" si="215"/>
      </c>
      <c r="W152" s="789"/>
      <c r="X152" s="789"/>
      <c r="Y152" s="783">
        <f>SUM(Y148:Y151)</f>
      </c>
      <c r="Z152" s="783">
        <f>SUM(Z148:Z151)</f>
      </c>
      <c r="AA152" s="783">
        <f>SUM(AA148:AA151)</f>
      </c>
      <c r="AB152" s="783">
        <f>SUM(AB148:AB151)</f>
      </c>
      <c r="AC152" s="783">
        <f>SUM(AC148:AC151)</f>
      </c>
      <c r="AD152" s="783">
        <f>SUM(AD148:AD151)</f>
      </c>
      <c r="AE152" s="783">
        <f>SUM(AE148:AE151)</f>
      </c>
      <c r="AF152" s="783">
        <f>SUM(AF148:AF151)</f>
      </c>
      <c r="AG152" s="783"/>
    </row>
    <row r="153">
      <c r="A153" s="749"/>
      <c r="B153" s="791" t="s">
        <v>444</v>
      </c>
      <c r="C153" s="791"/>
      <c r="D153" s="791">
        <f>D142+D152+D147</f>
      </c>
      <c r="E153" s="791">
        <f>E142+E152+E147</f>
      </c>
      <c r="F153" s="791">
        <f>F142+F152+F147</f>
      </c>
      <c r="G153" s="791">
        <f>G142+G152+G147</f>
      </c>
      <c r="H153" s="791">
        <f>H142+H152+H147</f>
      </c>
      <c r="I153" s="792">
        <f t="shared" si="76"/>
      </c>
      <c r="J153" s="792"/>
      <c r="K153" s="797">
        <f t="shared" si="10"/>
      </c>
      <c r="L153" s="809">
        <f t="shared" si="104"/>
      </c>
      <c r="M153" s="794">
        <f t="shared" si="60"/>
      </c>
      <c r="N153" s="795">
        <f t="shared" si="118"/>
      </c>
      <c r="O153" s="795">
        <f t="shared" si="161"/>
      </c>
      <c r="P153" s="794">
        <f t="shared" si="90"/>
      </c>
      <c r="Q153" s="795">
        <f t="shared" si="202"/>
      </c>
      <c r="R153" s="795">
        <f t="shared" si="132"/>
      </c>
      <c r="S153" s="794">
        <f t="shared" si="147"/>
      </c>
      <c r="T153" s="796">
        <f t="shared" si="174"/>
      </c>
      <c r="U153" s="794">
        <f t="shared" si="188"/>
      </c>
      <c r="V153" s="797">
        <f t="shared" si="215"/>
      </c>
      <c r="W153" s="797"/>
      <c r="X153" s="797"/>
      <c r="Y153" s="791">
        <f>Y142+Y152+Y147</f>
      </c>
      <c r="Z153" s="791">
        <f>Z142+Z152+Z147</f>
      </c>
      <c r="AA153" s="791">
        <f>AA142+AA152+AA147</f>
      </c>
      <c r="AB153" s="791">
        <f>AB142+AB152+AB147</f>
      </c>
      <c r="AC153" s="791">
        <f>AC142+AC152+AC147</f>
      </c>
      <c r="AD153" s="791">
        <f>AD142+AD152+AD147</f>
      </c>
      <c r="AE153" s="791">
        <f>AE142+AE152+AE147</f>
      </c>
      <c r="AF153" s="791">
        <f>AF142+AF152+AF147</f>
      </c>
      <c r="AG153" s="791"/>
    </row>
    <row r="154">
      <c r="A154" s="731" t="s">
        <v>398</v>
      </c>
      <c r="B154" s="731"/>
      <c r="C154" s="731"/>
      <c r="D154" s="732" t="s">
        <v>399</v>
      </c>
      <c r="E154" s="732"/>
      <c r="F154" s="732"/>
      <c r="G154" s="732"/>
      <c r="H154" s="732"/>
      <c r="I154" s="732"/>
      <c r="J154" s="732"/>
      <c r="K154" s="811" t="s">
        <v>400</v>
      </c>
      <c r="L154" s="811"/>
      <c r="M154" s="811"/>
      <c r="N154" s="811"/>
      <c r="O154" s="811"/>
      <c r="P154" s="811"/>
      <c r="Q154" s="811"/>
      <c r="R154" s="811"/>
      <c r="S154" s="811"/>
      <c r="T154" s="811"/>
      <c r="U154" s="811"/>
      <c r="V154" s="811"/>
      <c r="W154" s="811"/>
      <c r="X154" s="811"/>
      <c r="Y154" s="812" t="s">
        <v>401</v>
      </c>
      <c r="Z154" s="812"/>
      <c r="AA154" s="812"/>
      <c r="AB154" s="812"/>
      <c r="AC154" s="812"/>
      <c r="AD154" s="812"/>
      <c r="AE154" s="812"/>
      <c r="AF154" s="812"/>
      <c r="AG154" s="812"/>
    </row>
    <row r="155">
      <c r="A155" s="737" t="s">
        <v>402</v>
      </c>
      <c r="B155" s="738" t="s">
        <v>403</v>
      </c>
      <c r="C155" s="738" t="s">
        <v>404</v>
      </c>
      <c r="D155" s="739" t="s">
        <v>405</v>
      </c>
      <c r="E155" s="740" t="s">
        <v>406</v>
      </c>
      <c r="F155" s="740" t="s">
        <v>407</v>
      </c>
      <c r="G155" s="741" t="s">
        <v>408</v>
      </c>
      <c r="H155" s="742" t="s">
        <v>409</v>
      </c>
      <c r="I155" s="743" t="s">
        <v>410</v>
      </c>
      <c r="J155" s="743"/>
      <c r="K155" s="813" t="s">
        <v>445</v>
      </c>
      <c r="L155" s="811" t="s">
        <v>411</v>
      </c>
      <c r="M155" s="811" t="s">
        <v>412</v>
      </c>
      <c r="N155" s="814" t="s">
        <v>413</v>
      </c>
      <c r="O155" s="814" t="s">
        <v>414</v>
      </c>
      <c r="P155" s="811" t="s">
        <v>415</v>
      </c>
      <c r="Q155" s="814" t="s">
        <v>416</v>
      </c>
      <c r="R155" s="814" t="s">
        <v>417</v>
      </c>
      <c r="S155" s="811" t="s">
        <v>418</v>
      </c>
      <c r="T155" s="814" t="s">
        <v>419</v>
      </c>
      <c r="U155" s="811" t="s">
        <v>420</v>
      </c>
      <c r="V155" s="815" t="s">
        <v>421</v>
      </c>
      <c r="W155" s="815" t="s">
        <v>422</v>
      </c>
      <c r="X155" s="815" t="s">
        <v>423</v>
      </c>
      <c r="Y155" s="816" t="s">
        <v>424</v>
      </c>
      <c r="Z155" s="817" t="s">
        <v>425</v>
      </c>
      <c r="AA155" s="817" t="s">
        <v>426</v>
      </c>
      <c r="AB155" s="817" t="s">
        <v>427</v>
      </c>
      <c r="AC155" s="817" t="s">
        <v>428</v>
      </c>
      <c r="AD155" s="817" t="s">
        <v>429</v>
      </c>
      <c r="AE155" s="817" t="s">
        <v>430</v>
      </c>
      <c r="AF155" s="817" t="s">
        <v>431</v>
      </c>
      <c r="AG155" s="817"/>
    </row>
    <row r="156">
      <c r="A156" s="749" t="s">
        <v>468</v>
      </c>
      <c r="B156" s="750" t="s">
        <v>463</v>
      </c>
      <c r="C156" s="751" t="s">
        <v>434</v>
      </c>
      <c r="D156" s="751">
        <f t="shared" ref="D156:D159" si="41">E156+F156</f>
      </c>
      <c r="E156" s="799">
        <v>5457.22</v>
      </c>
      <c r="F156" s="799">
        <v>1003.16</v>
      </c>
      <c r="G156" s="790">
        <v>7</v>
      </c>
      <c r="H156" s="790">
        <v>10329</v>
      </c>
      <c r="I156" s="753">
        <f t="shared" ref="I156:I171" si="77">H156/D156</f>
      </c>
      <c r="J156" s="753"/>
      <c r="K156" s="819">
        <f t="shared" ref="K156:K171" si="11">(D156/Z156)*1000</f>
      </c>
      <c r="L156" s="820">
        <f t="shared" ref="L156:L171" si="105">AA156/Z156</f>
      </c>
      <c r="M156" s="821">
        <f t="shared" ref="M156:M171" si="61">D156/AB156</f>
      </c>
      <c r="N156" s="822">
        <f t="shared" ref="N156:N171" si="119">AC156/AB156</f>
      </c>
      <c r="O156" s="822">
        <f t="shared" ref="O156:O171" si="162">AD156/AB156</f>
      </c>
      <c r="P156" s="821">
        <f t="shared" ref="P156:P171" si="91">D156/AD156</f>
      </c>
      <c r="Q156" s="822">
        <f t="shared" ref="Q156:Q171" si="203">AE156/AD156</f>
      </c>
      <c r="R156" s="822">
        <f t="shared" ref="R156:R171" si="133">G156/AE156</f>
      </c>
      <c r="S156" s="821">
        <f t="shared" ref="S156:S171" si="148">D156/G156</f>
      </c>
      <c r="T156" s="835">
        <f t="shared" ref="T156:T171" si="175">H156/G156</f>
      </c>
      <c r="U156" s="821">
        <f t="shared" ref="U156:U171" si="189">D156/Y156</f>
      </c>
      <c r="V156" s="824">
        <f t="shared" ref="V156:V171" si="216">AF156*1000/D156</f>
      </c>
      <c r="W156" s="825" t="s">
        <v>435</v>
      </c>
      <c r="X156" s="826" t="s">
        <v>447</v>
      </c>
      <c r="Y156" s="827">
        <v>7</v>
      </c>
      <c r="Z156" s="827">
        <v>20294</v>
      </c>
      <c r="AA156" s="827">
        <v>605</v>
      </c>
      <c r="AB156" s="827">
        <v>804</v>
      </c>
      <c r="AC156" s="827">
        <v>168</v>
      </c>
      <c r="AD156" s="828">
        <v>104</v>
      </c>
      <c r="AE156" s="828">
        <v>13</v>
      </c>
      <c r="AF156" s="828">
        <v>45</v>
      </c>
      <c r="AG156" s="828"/>
    </row>
    <row r="157">
      <c r="A157" s="749"/>
      <c r="B157" s="750" t="s">
        <v>464</v>
      </c>
      <c r="C157" s="751" t="s">
        <v>434</v>
      </c>
      <c r="D157" s="751">
        <f t="shared" si="41"/>
      </c>
      <c r="E157" s="799">
        <v>4363.71</v>
      </c>
      <c r="F157" s="799">
        <v>1170.95</v>
      </c>
      <c r="G157" s="790">
        <v>8</v>
      </c>
      <c r="H157" s="790">
        <v>10985</v>
      </c>
      <c r="I157" s="753">
        <f t="shared" si="77"/>
      </c>
      <c r="J157" s="753"/>
      <c r="K157" s="819">
        <f t="shared" si="11"/>
      </c>
      <c r="L157" s="802">
        <f t="shared" si="105"/>
      </c>
      <c r="M157" s="765">
        <f t="shared" si="61"/>
      </c>
      <c r="N157" s="764">
        <f t="shared" si="119"/>
      </c>
      <c r="O157" s="764">
        <f t="shared" si="162"/>
      </c>
      <c r="P157" s="765">
        <f t="shared" si="91"/>
      </c>
      <c r="Q157" s="764">
        <f t="shared" si="203"/>
      </c>
      <c r="R157" s="764">
        <f t="shared" si="133"/>
      </c>
      <c r="S157" s="766">
        <f t="shared" si="148"/>
      </c>
      <c r="T157" s="756">
        <f t="shared" si="175"/>
      </c>
      <c r="U157" s="836">
        <f t="shared" si="189"/>
      </c>
      <c r="V157" s="768">
        <f t="shared" si="216"/>
      </c>
      <c r="W157" s="829" t="s">
        <v>435</v>
      </c>
      <c r="X157" s="830" t="s">
        <v>447</v>
      </c>
      <c r="Y157" s="772">
        <v>8</v>
      </c>
      <c r="Z157" s="772">
        <v>18221</v>
      </c>
      <c r="AA157" s="772">
        <v>461</v>
      </c>
      <c r="AB157" s="772">
        <v>727</v>
      </c>
      <c r="AC157" s="772">
        <v>117</v>
      </c>
      <c r="AD157" s="772">
        <v>59</v>
      </c>
      <c r="AE157" s="772">
        <v>13</v>
      </c>
      <c r="AF157" s="772">
        <v>38</v>
      </c>
      <c r="AG157" s="772"/>
    </row>
    <row r="158">
      <c r="A158" s="749"/>
      <c r="B158" s="818" t="s">
        <v>438</v>
      </c>
      <c r="C158" s="751" t="s">
        <v>434</v>
      </c>
      <c r="D158" s="751">
        <f t="shared" si="41"/>
      </c>
      <c r="E158" s="799">
        <v>6039.49</v>
      </c>
      <c r="F158" s="799">
        <v>1557.03</v>
      </c>
      <c r="G158" s="790">
        <v>8</v>
      </c>
      <c r="H158" s="790">
        <v>13704</v>
      </c>
      <c r="I158" s="753">
        <f t="shared" si="77"/>
      </c>
      <c r="J158" s="753"/>
      <c r="K158" s="819">
        <f t="shared" si="11"/>
      </c>
      <c r="L158" s="802">
        <f t="shared" si="105"/>
      </c>
      <c r="M158" s="765">
        <f t="shared" si="61"/>
      </c>
      <c r="N158" s="764">
        <f t="shared" si="119"/>
      </c>
      <c r="O158" s="764">
        <f t="shared" si="162"/>
      </c>
      <c r="P158" s="765">
        <f t="shared" si="91"/>
      </c>
      <c r="Q158" s="764">
        <f t="shared" si="203"/>
      </c>
      <c r="R158" s="764">
        <f t="shared" si="133"/>
      </c>
      <c r="S158" s="766">
        <f t="shared" si="148"/>
      </c>
      <c r="T158" s="756">
        <f t="shared" si="175"/>
      </c>
      <c r="U158" s="836">
        <f t="shared" si="189"/>
      </c>
      <c r="V158" s="768">
        <f t="shared" si="216"/>
      </c>
      <c r="W158" s="829" t="s">
        <v>435</v>
      </c>
      <c r="X158" s="830" t="s">
        <v>447</v>
      </c>
      <c r="Y158" s="772">
        <v>8</v>
      </c>
      <c r="Z158" s="772">
        <v>26485</v>
      </c>
      <c r="AA158" s="772">
        <v>671</v>
      </c>
      <c r="AB158" s="772">
        <v>879</v>
      </c>
      <c r="AC158" s="772">
        <v>180</v>
      </c>
      <c r="AD158" s="772">
        <v>86</v>
      </c>
      <c r="AE158" s="772">
        <v>16</v>
      </c>
      <c r="AF158" s="772">
        <v>41</v>
      </c>
      <c r="AG158" s="772"/>
    </row>
    <row r="159">
      <c r="A159" s="749"/>
      <c r="B159" s="818" t="s">
        <v>439</v>
      </c>
      <c r="C159" s="751" t="s">
        <v>434</v>
      </c>
      <c r="D159" s="751">
        <f t="shared" si="41"/>
      </c>
      <c r="E159" s="799">
        <v>9754.77</v>
      </c>
      <c r="F159" s="799">
        <v>1259.6</v>
      </c>
      <c r="G159" s="790">
        <v>7</v>
      </c>
      <c r="H159" s="790">
        <v>10596</v>
      </c>
      <c r="I159" s="753">
        <f t="shared" si="77"/>
      </c>
      <c r="J159" s="753"/>
      <c r="K159" s="819">
        <f t="shared" si="11"/>
      </c>
      <c r="L159" s="802">
        <f t="shared" si="105"/>
      </c>
      <c r="M159" s="765">
        <f t="shared" si="61"/>
      </c>
      <c r="N159" s="764">
        <f t="shared" si="119"/>
      </c>
      <c r="O159" s="764">
        <f t="shared" si="162"/>
      </c>
      <c r="P159" s="765">
        <f t="shared" si="91"/>
      </c>
      <c r="Q159" s="764">
        <f t="shared" si="203"/>
      </c>
      <c r="R159" s="764">
        <f t="shared" si="133"/>
      </c>
      <c r="S159" s="766">
        <f t="shared" si="148"/>
      </c>
      <c r="T159" s="767">
        <f t="shared" si="175"/>
      </c>
      <c r="U159" s="766">
        <f t="shared" si="189"/>
      </c>
      <c r="V159" s="768">
        <f t="shared" si="216"/>
      </c>
      <c r="W159" s="829" t="s">
        <v>435</v>
      </c>
      <c r="X159" s="830" t="s">
        <v>447</v>
      </c>
      <c r="Y159" s="772">
        <v>7</v>
      </c>
      <c r="Z159" s="772">
        <v>60853</v>
      </c>
      <c r="AA159" s="772">
        <v>1091</v>
      </c>
      <c r="AB159" s="772">
        <v>1301</v>
      </c>
      <c r="AC159" s="772">
        <v>255</v>
      </c>
      <c r="AD159" s="772">
        <v>74</v>
      </c>
      <c r="AE159" s="772">
        <v>21</v>
      </c>
      <c r="AF159" s="772">
        <v>57</v>
      </c>
      <c r="AG159" s="772"/>
    </row>
    <row r="160">
      <c r="A160" s="749"/>
      <c r="B160" s="782" t="s">
        <v>440</v>
      </c>
      <c r="C160" s="782"/>
      <c r="D160" s="783">
        <f>SUM(D156:D159)</f>
      </c>
      <c r="E160" s="783">
        <f>SUM(E156:E159)</f>
      </c>
      <c r="F160" s="783">
        <f>SUM(F156:F159)</f>
      </c>
      <c r="G160" s="783">
        <f>SUM(G156:G159)</f>
      </c>
      <c r="H160" s="783">
        <f>SUM(H156:H159)</f>
      </c>
      <c r="I160" s="804">
        <f t="shared" si="77"/>
      </c>
      <c r="J160" s="804"/>
      <c r="K160" s="810">
        <f t="shared" si="11"/>
      </c>
      <c r="L160" s="806">
        <f t="shared" si="105"/>
      </c>
      <c r="M160" s="786">
        <f t="shared" si="61"/>
      </c>
      <c r="N160" s="785">
        <f t="shared" si="119"/>
      </c>
      <c r="O160" s="785">
        <f t="shared" si="162"/>
      </c>
      <c r="P160" s="786">
        <f t="shared" si="91"/>
      </c>
      <c r="Q160" s="785">
        <f t="shared" si="203"/>
      </c>
      <c r="R160" s="785">
        <f t="shared" si="133"/>
      </c>
      <c r="S160" s="787">
        <f t="shared" si="148"/>
      </c>
      <c r="T160" s="788">
        <f t="shared" si="175"/>
      </c>
      <c r="U160" s="787">
        <f t="shared" si="189"/>
      </c>
      <c r="V160" s="789">
        <f t="shared" si="216"/>
      </c>
      <c r="W160" s="789"/>
      <c r="X160" s="789"/>
      <c r="Y160" s="783">
        <f>SUM(Y156:Y159)</f>
      </c>
      <c r="Z160" s="783">
        <f>SUM(Z156:Z159)</f>
      </c>
      <c r="AA160" s="783">
        <f>SUM(AA156:AA159)</f>
      </c>
      <c r="AB160" s="783">
        <f>SUM(AB156:AB159)</f>
      </c>
      <c r="AC160" s="783">
        <f>SUM(AC156:AC159)</f>
      </c>
      <c r="AD160" s="783">
        <f>SUM(AD156:AD159)</f>
      </c>
      <c r="AE160" s="783">
        <f>SUM(AE156:AE159)</f>
      </c>
      <c r="AF160" s="783">
        <f>SUM(AF156:AF159)</f>
      </c>
      <c r="AG160" s="783"/>
    </row>
    <row r="161">
      <c r="A161" s="749"/>
      <c r="B161" s="818" t="s">
        <v>441</v>
      </c>
      <c r="C161" s="751" t="s">
        <v>455</v>
      </c>
      <c r="D161" s="751">
        <f t="shared" ref="D161:D164" si="42">E161+F161</f>
      </c>
      <c r="E161" s="799">
        <v>8456.06</v>
      </c>
      <c r="F161" s="799">
        <v>1057.11</v>
      </c>
      <c r="G161" s="790">
        <v>5</v>
      </c>
      <c r="H161" s="790">
        <v>8700</v>
      </c>
      <c r="I161" s="753">
        <f t="shared" si="77"/>
      </c>
      <c r="J161" s="753"/>
      <c r="K161" s="819">
        <f t="shared" si="11"/>
      </c>
      <c r="L161" s="803">
        <f t="shared" si="105"/>
      </c>
      <c r="M161" s="774">
        <f t="shared" si="61"/>
      </c>
      <c r="N161" s="773">
        <f t="shared" si="119"/>
      </c>
      <c r="O161" s="773">
        <f t="shared" si="162"/>
      </c>
      <c r="P161" s="774">
        <f t="shared" si="91"/>
      </c>
      <c r="Q161" s="773">
        <f t="shared" si="203"/>
      </c>
      <c r="R161" s="773">
        <f t="shared" si="133"/>
      </c>
      <c r="S161" s="775">
        <f t="shared" si="148"/>
      </c>
      <c r="T161" s="776">
        <f t="shared" si="175"/>
      </c>
      <c r="U161" s="775">
        <f t="shared" si="189"/>
      </c>
      <c r="V161" s="777">
        <f t="shared" si="216"/>
      </c>
      <c r="W161" s="831" t="s">
        <v>435</v>
      </c>
      <c r="X161" s="832" t="s">
        <v>447</v>
      </c>
      <c r="Y161" s="781">
        <v>5</v>
      </c>
      <c r="Z161" s="781">
        <v>56089</v>
      </c>
      <c r="AA161" s="781">
        <v>1046</v>
      </c>
      <c r="AB161" s="781">
        <v>1260</v>
      </c>
      <c r="AC161" s="781">
        <v>216</v>
      </c>
      <c r="AD161" s="781">
        <v>63</v>
      </c>
      <c r="AE161" s="781">
        <v>10</v>
      </c>
      <c r="AF161" s="781">
        <v>32</v>
      </c>
      <c r="AG161" s="781"/>
    </row>
    <row r="162">
      <c r="A162" s="749"/>
      <c r="B162" s="818" t="s">
        <v>443</v>
      </c>
      <c r="C162" s="751" t="s">
        <v>455</v>
      </c>
      <c r="D162" s="751">
        <f t="shared" si="42"/>
      </c>
      <c r="E162" s="799">
        <v>2928.75</v>
      </c>
      <c r="F162" s="799">
        <v>1332.86</v>
      </c>
      <c r="G162" s="790">
        <v>1</v>
      </c>
      <c r="H162" s="790">
        <v>2268</v>
      </c>
      <c r="I162" s="753">
        <f t="shared" si="77"/>
      </c>
      <c r="J162" s="753"/>
      <c r="K162" s="819">
        <f t="shared" si="11"/>
      </c>
      <c r="L162" s="803">
        <f t="shared" si="105"/>
      </c>
      <c r="M162" s="774">
        <f t="shared" si="61"/>
      </c>
      <c r="N162" s="773">
        <f t="shared" si="119"/>
      </c>
      <c r="O162" s="773">
        <f t="shared" si="162"/>
      </c>
      <c r="P162" s="774">
        <f t="shared" si="91"/>
      </c>
      <c r="Q162" s="773">
        <f t="shared" si="203"/>
      </c>
      <c r="R162" s="773">
        <f t="shared" si="133"/>
      </c>
      <c r="S162" s="775">
        <f t="shared" si="148"/>
      </c>
      <c r="T162" s="776">
        <f t="shared" si="175"/>
      </c>
      <c r="U162" s="775">
        <f t="shared" si="189"/>
      </c>
      <c r="V162" s="777">
        <f t="shared" si="216"/>
      </c>
      <c r="W162" s="831" t="s">
        <v>435</v>
      </c>
      <c r="X162" s="832" t="s">
        <v>447</v>
      </c>
      <c r="Y162" s="781">
        <v>0</v>
      </c>
      <c r="Z162" s="781">
        <v>29630</v>
      </c>
      <c r="AA162" s="781">
        <v>635</v>
      </c>
      <c r="AB162" s="781">
        <v>786</v>
      </c>
      <c r="AC162" s="781">
        <v>108</v>
      </c>
      <c r="AD162" s="781">
        <v>34</v>
      </c>
      <c r="AE162" s="780">
        <v>3</v>
      </c>
      <c r="AF162" s="780">
        <v>21</v>
      </c>
      <c r="AG162" s="780"/>
    </row>
    <row r="163">
      <c r="A163" s="749"/>
      <c r="B163" s="818" t="s">
        <v>451</v>
      </c>
      <c r="C163" s="751" t="s">
        <v>455</v>
      </c>
      <c r="D163" s="751">
        <f t="shared" si="42"/>
      </c>
      <c r="E163" s="799">
        <v>2953.07</v>
      </c>
      <c r="F163" s="799">
        <v>1530.59</v>
      </c>
      <c r="G163" s="752">
        <v>4</v>
      </c>
      <c r="H163" s="752">
        <v>7564</v>
      </c>
      <c r="I163" s="753">
        <f t="shared" si="77"/>
      </c>
      <c r="J163" s="753"/>
      <c r="K163" s="819">
        <f t="shared" si="11"/>
      </c>
      <c r="L163" s="803">
        <f t="shared" si="105"/>
      </c>
      <c r="M163" s="774">
        <f t="shared" si="61"/>
      </c>
      <c r="N163" s="773">
        <f t="shared" si="119"/>
      </c>
      <c r="O163" s="773">
        <f t="shared" si="162"/>
      </c>
      <c r="P163" s="774">
        <f t="shared" si="91"/>
      </c>
      <c r="Q163" s="773">
        <f t="shared" si="203"/>
      </c>
      <c r="R163" s="773">
        <f t="shared" si="133"/>
      </c>
      <c r="S163" s="775">
        <f t="shared" si="148"/>
      </c>
      <c r="T163" s="776">
        <f t="shared" si="175"/>
      </c>
      <c r="U163" s="775">
        <f t="shared" si="189"/>
      </c>
      <c r="V163" s="777">
        <f t="shared" si="216"/>
      </c>
      <c r="W163" s="831" t="s">
        <v>435</v>
      </c>
      <c r="X163" s="832" t="s">
        <v>447</v>
      </c>
      <c r="Y163" s="781">
        <v>4</v>
      </c>
      <c r="Z163" s="781">
        <v>17808</v>
      </c>
      <c r="AA163" s="781">
        <v>548</v>
      </c>
      <c r="AB163" s="781">
        <v>707</v>
      </c>
      <c r="AC163" s="781">
        <v>101</v>
      </c>
      <c r="AD163" s="781">
        <v>61</v>
      </c>
      <c r="AE163" s="780">
        <v>6</v>
      </c>
      <c r="AF163" s="780">
        <v>36</v>
      </c>
      <c r="AG163" s="780"/>
    </row>
    <row r="164">
      <c r="A164" s="749"/>
      <c r="B164" s="818" t="s">
        <v>452</v>
      </c>
      <c r="C164" s="751" t="s">
        <v>455</v>
      </c>
      <c r="D164" s="751">
        <f t="shared" si="42"/>
      </c>
      <c r="E164" s="799">
        <v>3553.29</v>
      </c>
      <c r="F164" s="799">
        <v>954.77</v>
      </c>
      <c r="G164" s="752">
        <v>2</v>
      </c>
      <c r="H164" s="752">
        <v>4536</v>
      </c>
      <c r="I164" s="753">
        <f t="shared" si="77"/>
      </c>
      <c r="J164" s="753"/>
      <c r="K164" s="819">
        <f t="shared" si="11"/>
      </c>
      <c r="L164" s="803">
        <f t="shared" si="105"/>
      </c>
      <c r="M164" s="774">
        <f t="shared" si="61"/>
      </c>
      <c r="N164" s="773">
        <f t="shared" si="119"/>
      </c>
      <c r="O164" s="773">
        <f t="shared" si="162"/>
      </c>
      <c r="P164" s="774">
        <f t="shared" si="91"/>
      </c>
      <c r="Q164" s="773">
        <f t="shared" si="203"/>
      </c>
      <c r="R164" s="773">
        <f t="shared" si="133"/>
      </c>
      <c r="S164" s="775">
        <f t="shared" si="148"/>
      </c>
      <c r="T164" s="776">
        <f t="shared" si="175"/>
      </c>
      <c r="U164" s="775">
        <f t="shared" si="189"/>
      </c>
      <c r="V164" s="777">
        <f t="shared" si="216"/>
      </c>
      <c r="W164" s="831" t="s">
        <v>435</v>
      </c>
      <c r="X164" s="832" t="s">
        <v>465</v>
      </c>
      <c r="Y164" s="781">
        <v>1</v>
      </c>
      <c r="Z164" s="781">
        <v>15903</v>
      </c>
      <c r="AA164" s="781">
        <v>415</v>
      </c>
      <c r="AB164" s="781">
        <v>571</v>
      </c>
      <c r="AC164" s="781">
        <v>69</v>
      </c>
      <c r="AD164" s="781">
        <v>62</v>
      </c>
      <c r="AE164" s="780">
        <v>5</v>
      </c>
      <c r="AF164" s="780">
        <v>20</v>
      </c>
      <c r="AG164" s="780"/>
    </row>
    <row r="165">
      <c r="A165" s="749"/>
      <c r="B165" s="782" t="s">
        <v>440</v>
      </c>
      <c r="C165" s="782"/>
      <c r="D165" s="783">
        <f>SUM(D161:D164)</f>
      </c>
      <c r="E165" s="783">
        <f>SUM(E161:E164)</f>
      </c>
      <c r="F165" s="783">
        <f>SUM(F161:F164)</f>
      </c>
      <c r="G165" s="783">
        <f>SUM(G161:G164)</f>
      </c>
      <c r="H165" s="783">
        <f>SUM(H161:H164)</f>
      </c>
      <c r="I165" s="804">
        <f t="shared" si="77"/>
      </c>
      <c r="J165" s="804"/>
      <c r="K165" s="810">
        <f t="shared" si="11"/>
      </c>
      <c r="L165" s="806">
        <f t="shared" si="105"/>
      </c>
      <c r="M165" s="786">
        <f t="shared" si="61"/>
      </c>
      <c r="N165" s="785">
        <f t="shared" si="119"/>
      </c>
      <c r="O165" s="785">
        <f t="shared" si="162"/>
      </c>
      <c r="P165" s="786">
        <f t="shared" si="91"/>
      </c>
      <c r="Q165" s="785">
        <f t="shared" si="203"/>
      </c>
      <c r="R165" s="785">
        <f t="shared" si="133"/>
      </c>
      <c r="S165" s="787">
        <f t="shared" si="148"/>
      </c>
      <c r="T165" s="788">
        <f t="shared" si="175"/>
      </c>
      <c r="U165" s="787">
        <f t="shared" si="189"/>
      </c>
      <c r="V165" s="789">
        <f t="shared" si="216"/>
      </c>
      <c r="W165" s="789"/>
      <c r="X165" s="789"/>
      <c r="Y165" s="783">
        <f>SUM(Y161:Y164)</f>
      </c>
      <c r="Z165" s="783">
        <f>SUM(Z161:Z164)</f>
      </c>
      <c r="AA165" s="783">
        <f>SUM(AA161:AA164)</f>
      </c>
      <c r="AB165" s="783">
        <f>SUM(AB161:AB164)</f>
      </c>
      <c r="AC165" s="783">
        <f>SUM(AC161:AC164)</f>
      </c>
      <c r="AD165" s="783">
        <f>SUM(AD161:AD164)</f>
      </c>
      <c r="AE165" s="783">
        <f>SUM(AE161:AE164)</f>
      </c>
      <c r="AF165" s="783">
        <f>SUM(AF161:AF164)</f>
      </c>
      <c r="AG165" s="783"/>
    </row>
    <row r="166">
      <c r="A166" s="749"/>
      <c r="B166" s="818" t="s">
        <v>456</v>
      </c>
      <c r="C166" s="751" t="s">
        <v>442</v>
      </c>
      <c r="D166" s="751">
        <f t="shared" ref="D166:D169" si="43">E166+F166</f>
      </c>
      <c r="E166" s="799">
        <v>4049.98</v>
      </c>
      <c r="F166" s="799">
        <v>942.05</v>
      </c>
      <c r="G166" s="752">
        <v>2</v>
      </c>
      <c r="H166" s="752">
        <v>4536</v>
      </c>
      <c r="I166" s="753">
        <f t="shared" si="77"/>
      </c>
      <c r="J166" s="753"/>
      <c r="K166" s="833">
        <f t="shared" si="11"/>
      </c>
      <c r="L166" s="803">
        <f t="shared" si="105"/>
      </c>
      <c r="M166" s="774">
        <f t="shared" si="61"/>
      </c>
      <c r="N166" s="773">
        <f t="shared" si="119"/>
      </c>
      <c r="O166" s="773">
        <f t="shared" si="162"/>
      </c>
      <c r="P166" s="774">
        <f t="shared" si="91"/>
      </c>
      <c r="Q166" s="773">
        <f t="shared" si="203"/>
      </c>
      <c r="R166" s="773">
        <f t="shared" si="133"/>
      </c>
      <c r="S166" s="775">
        <f t="shared" si="148"/>
      </c>
      <c r="T166" s="776">
        <f t="shared" si="175"/>
      </c>
      <c r="U166" s="775">
        <f t="shared" si="189"/>
      </c>
      <c r="V166" s="777">
        <f t="shared" si="216"/>
      </c>
      <c r="W166" s="831" t="s">
        <v>435</v>
      </c>
      <c r="X166" s="779" t="s">
        <v>465</v>
      </c>
      <c r="Y166" s="781">
        <v>2</v>
      </c>
      <c r="Z166" s="781">
        <v>24609</v>
      </c>
      <c r="AA166" s="781">
        <v>574</v>
      </c>
      <c r="AB166" s="781">
        <v>764</v>
      </c>
      <c r="AC166" s="781">
        <v>143</v>
      </c>
      <c r="AD166" s="781">
        <v>73</v>
      </c>
      <c r="AE166" s="780">
        <v>7</v>
      </c>
      <c r="AF166" s="780">
        <v>26</v>
      </c>
      <c r="AG166" s="780"/>
    </row>
    <row r="167">
      <c r="A167" s="749"/>
      <c r="B167" s="818" t="s">
        <v>457</v>
      </c>
      <c r="C167" s="751" t="s">
        <v>442</v>
      </c>
      <c r="D167" s="751">
        <f t="shared" si="43"/>
      </c>
      <c r="E167" s="799">
        <v>2491.54</v>
      </c>
      <c r="F167" s="799">
        <v>1138.01</v>
      </c>
      <c r="G167" s="752">
        <v>4</v>
      </c>
      <c r="H167" s="752">
        <v>5112</v>
      </c>
      <c r="I167" s="753">
        <f t="shared" si="77"/>
      </c>
      <c r="J167" s="753"/>
      <c r="K167" s="833">
        <f t="shared" si="11"/>
      </c>
      <c r="L167" s="803">
        <f t="shared" si="105"/>
      </c>
      <c r="M167" s="774">
        <f t="shared" si="61"/>
      </c>
      <c r="N167" s="773">
        <f t="shared" si="119"/>
      </c>
      <c r="O167" s="773">
        <f t="shared" si="162"/>
      </c>
      <c r="P167" s="774">
        <f t="shared" si="91"/>
      </c>
      <c r="Q167" s="773">
        <f t="shared" si="203"/>
      </c>
      <c r="R167" s="773">
        <f t="shared" si="133"/>
      </c>
      <c r="S167" s="775">
        <f t="shared" si="148"/>
      </c>
      <c r="T167" s="776">
        <f t="shared" si="175"/>
      </c>
      <c r="U167" s="775">
        <f t="shared" si="189"/>
      </c>
      <c r="V167" s="777">
        <f t="shared" si="216"/>
      </c>
      <c r="W167" s="831" t="s">
        <v>435</v>
      </c>
      <c r="X167" s="779" t="s">
        <v>465</v>
      </c>
      <c r="Y167" s="781">
        <v>4</v>
      </c>
      <c r="Z167" s="781">
        <v>18513</v>
      </c>
      <c r="AA167" s="781">
        <v>490</v>
      </c>
      <c r="AB167" s="781">
        <v>602</v>
      </c>
      <c r="AC167" s="781">
        <v>95</v>
      </c>
      <c r="AD167" s="781">
        <v>37</v>
      </c>
      <c r="AE167" s="780">
        <v>7</v>
      </c>
      <c r="AF167" s="780">
        <v>26</v>
      </c>
      <c r="AG167" s="780"/>
    </row>
    <row r="168">
      <c r="A168" s="749"/>
      <c r="B168" s="750" t="s">
        <v>459</v>
      </c>
      <c r="C168" s="751" t="s">
        <v>442</v>
      </c>
      <c r="D168" s="751">
        <f t="shared" si="43"/>
      </c>
      <c r="E168" s="799">
        <v>1017.35</v>
      </c>
      <c r="F168" s="799">
        <v>1067.33</v>
      </c>
      <c r="G168" s="752">
        <v>0</v>
      </c>
      <c r="H168" s="752">
        <v>0</v>
      </c>
      <c r="I168" s="753">
        <f t="shared" si="77"/>
      </c>
      <c r="J168" s="753"/>
      <c r="K168" s="833">
        <f t="shared" si="11"/>
      </c>
      <c r="L168" s="803">
        <f t="shared" si="105"/>
      </c>
      <c r="M168" s="774">
        <f t="shared" si="61"/>
      </c>
      <c r="N168" s="773">
        <f t="shared" si="119"/>
      </c>
      <c r="O168" s="773">
        <f t="shared" si="162"/>
      </c>
      <c r="P168" s="774">
        <f t="shared" si="91"/>
      </c>
      <c r="Q168" s="773">
        <f t="shared" si="203"/>
      </c>
      <c r="R168" s="773">
        <f t="shared" si="133"/>
      </c>
      <c r="S168" s="775">
        <f t="shared" si="148"/>
      </c>
      <c r="T168" s="776">
        <f t="shared" si="175"/>
      </c>
      <c r="U168" s="775">
        <f t="shared" si="189"/>
      </c>
      <c r="V168" s="777">
        <f t="shared" si="216"/>
      </c>
      <c r="W168" s="831" t="s">
        <v>435</v>
      </c>
      <c r="X168" s="779" t="s">
        <v>465</v>
      </c>
      <c r="Y168" s="781">
        <v>0</v>
      </c>
      <c r="Z168" s="781">
        <v>7789</v>
      </c>
      <c r="AA168" s="781">
        <v>266</v>
      </c>
      <c r="AB168" s="781">
        <v>359</v>
      </c>
      <c r="AC168" s="781">
        <v>33</v>
      </c>
      <c r="AD168" s="781">
        <v>36</v>
      </c>
      <c r="AE168" s="780">
        <v>2</v>
      </c>
      <c r="AF168" s="780">
        <v>10</v>
      </c>
      <c r="AG168" s="780"/>
    </row>
    <row r="169">
      <c r="A169" s="749"/>
      <c r="B169" s="750" t="s">
        <v>460</v>
      </c>
      <c r="C169" s="751" t="s">
        <v>442</v>
      </c>
      <c r="D169" s="751">
        <f t="shared" si="43"/>
      </c>
      <c r="E169" s="799">
        <v>2575.65</v>
      </c>
      <c r="F169" s="799">
        <v>334.53</v>
      </c>
      <c r="G169" s="752">
        <v>3</v>
      </c>
      <c r="H169" s="752">
        <v>4164</v>
      </c>
      <c r="I169" s="753">
        <f t="shared" si="77"/>
      </c>
      <c r="J169" s="753"/>
      <c r="K169" s="833">
        <f t="shared" si="11"/>
      </c>
      <c r="L169" s="803">
        <f t="shared" si="105"/>
      </c>
      <c r="M169" s="774">
        <f t="shared" si="61"/>
      </c>
      <c r="N169" s="773">
        <f t="shared" si="119"/>
      </c>
      <c r="O169" s="773">
        <f t="shared" si="162"/>
      </c>
      <c r="P169" s="774">
        <f t="shared" si="91"/>
      </c>
      <c r="Q169" s="773">
        <f t="shared" si="203"/>
      </c>
      <c r="R169" s="773">
        <f t="shared" si="133"/>
      </c>
      <c r="S169" s="775">
        <f t="shared" si="148"/>
      </c>
      <c r="T169" s="776">
        <f t="shared" si="175"/>
      </c>
      <c r="U169" s="775">
        <f t="shared" si="189"/>
      </c>
      <c r="V169" s="777">
        <f t="shared" si="216"/>
      </c>
      <c r="W169" s="831" t="s">
        <v>435</v>
      </c>
      <c r="X169" s="779" t="s">
        <v>465</v>
      </c>
      <c r="Y169" s="781">
        <v>3</v>
      </c>
      <c r="Z169" s="781">
        <v>14285</v>
      </c>
      <c r="AA169" s="781">
        <v>336</v>
      </c>
      <c r="AB169" s="781">
        <v>429</v>
      </c>
      <c r="AC169" s="781">
        <v>84</v>
      </c>
      <c r="AD169" s="781">
        <v>45</v>
      </c>
      <c r="AE169" s="780">
        <v>6</v>
      </c>
      <c r="AF169" s="780">
        <v>20</v>
      </c>
      <c r="AG169" s="780"/>
    </row>
    <row r="170">
      <c r="A170" s="749"/>
      <c r="B170" s="782" t="s">
        <v>440</v>
      </c>
      <c r="C170" s="782"/>
      <c r="D170" s="783">
        <f>SUM(D166:D169)</f>
      </c>
      <c r="E170" s="783">
        <f>SUM(E166:E169)</f>
      </c>
      <c r="F170" s="783">
        <f>SUM(F166:F169)</f>
      </c>
      <c r="G170" s="783">
        <f>SUM(G166:G169)</f>
      </c>
      <c r="H170" s="783">
        <f>SUM(H166:H169)</f>
      </c>
      <c r="I170" s="804">
        <f t="shared" si="77"/>
      </c>
      <c r="J170" s="804"/>
      <c r="K170" s="834">
        <f t="shared" si="11"/>
      </c>
      <c r="L170" s="806">
        <f t="shared" si="105"/>
      </c>
      <c r="M170" s="786">
        <f t="shared" si="61"/>
      </c>
      <c r="N170" s="785">
        <f t="shared" si="119"/>
      </c>
      <c r="O170" s="785">
        <f t="shared" si="162"/>
      </c>
      <c r="P170" s="786">
        <f t="shared" si="91"/>
      </c>
      <c r="Q170" s="785">
        <f t="shared" si="203"/>
      </c>
      <c r="R170" s="785">
        <f t="shared" si="133"/>
      </c>
      <c r="S170" s="787">
        <f t="shared" si="148"/>
      </c>
      <c r="T170" s="788">
        <f t="shared" si="175"/>
      </c>
      <c r="U170" s="787">
        <f t="shared" si="189"/>
      </c>
      <c r="V170" s="789">
        <f t="shared" si="216"/>
      </c>
      <c r="W170" s="789"/>
      <c r="X170" s="789"/>
      <c r="Y170" s="783">
        <f>SUM(Y166:Y169)</f>
      </c>
      <c r="Z170" s="783">
        <f>SUM(Z166:Z169)</f>
      </c>
      <c r="AA170" s="783">
        <f>SUM(AA166:AA169)</f>
      </c>
      <c r="AB170" s="783">
        <f>SUM(AB166:AB169)</f>
      </c>
      <c r="AC170" s="783">
        <f>SUM(AC166:AC169)</f>
      </c>
      <c r="AD170" s="783">
        <f>SUM(AD166:AD169)</f>
      </c>
      <c r="AE170" s="783">
        <f>SUM(AE166:AE169)</f>
      </c>
      <c r="AF170" s="783">
        <f>SUM(AF166:AF169)</f>
      </c>
      <c r="AG170" s="783"/>
    </row>
    <row r="171">
      <c r="A171" s="749"/>
      <c r="B171" s="791" t="s">
        <v>444</v>
      </c>
      <c r="C171" s="791"/>
      <c r="D171" s="791">
        <f>D160+D170+D165</f>
      </c>
      <c r="E171" s="791">
        <f>E160+E170+E165</f>
      </c>
      <c r="F171" s="791">
        <f>F160+F170+F165</f>
      </c>
      <c r="G171" s="791">
        <f>G160+G170+G165</f>
      </c>
      <c r="H171" s="791">
        <f>H160+H170+H165</f>
      </c>
      <c r="I171" s="792">
        <f t="shared" si="77"/>
      </c>
      <c r="J171" s="792"/>
      <c r="K171" s="797">
        <f t="shared" si="11"/>
      </c>
      <c r="L171" s="809">
        <f t="shared" si="105"/>
      </c>
      <c r="M171" s="794">
        <f t="shared" si="61"/>
      </c>
      <c r="N171" s="795">
        <f t="shared" si="119"/>
      </c>
      <c r="O171" s="795">
        <f t="shared" si="162"/>
      </c>
      <c r="P171" s="794">
        <f t="shared" si="91"/>
      </c>
      <c r="Q171" s="795">
        <f t="shared" si="203"/>
      </c>
      <c r="R171" s="795">
        <f t="shared" si="133"/>
      </c>
      <c r="S171" s="794">
        <f t="shared" si="148"/>
      </c>
      <c r="T171" s="796">
        <f t="shared" si="175"/>
      </c>
      <c r="U171" s="794">
        <f t="shared" si="189"/>
      </c>
      <c r="V171" s="797">
        <f t="shared" si="216"/>
      </c>
      <c r="W171" s="797"/>
      <c r="X171" s="797"/>
      <c r="Y171" s="791">
        <f>Y160+Y170+Y165</f>
      </c>
      <c r="Z171" s="791">
        <f>Z160+Z170+Z165</f>
      </c>
      <c r="AA171" s="791">
        <f>AA160+AA170+AA165</f>
      </c>
      <c r="AB171" s="791">
        <f>AB160+AB170+AB165</f>
      </c>
      <c r="AC171" s="791">
        <f>AC160+AC170+AC165</f>
      </c>
      <c r="AD171" s="791">
        <f>AD160+AD170+AD165</f>
      </c>
      <c r="AE171" s="791">
        <f>AE160+AE170+AE165</f>
      </c>
      <c r="AF171" s="791">
        <f>AF160+AF170+AF165</f>
      </c>
      <c r="AG171" s="791"/>
    </row>
    <row r="172">
      <c r="A172" s="731" t="s">
        <v>398</v>
      </c>
      <c r="B172" s="731"/>
      <c r="C172" s="731"/>
      <c r="D172" s="837" t="s">
        <v>399</v>
      </c>
      <c r="E172" s="837"/>
      <c r="F172" s="837"/>
      <c r="G172" s="837"/>
      <c r="H172" s="837"/>
      <c r="I172" s="837"/>
      <c r="J172" s="837"/>
      <c r="K172" s="811" t="s">
        <v>400</v>
      </c>
      <c r="L172" s="811"/>
      <c r="M172" s="811"/>
      <c r="N172" s="811"/>
      <c r="O172" s="811"/>
      <c r="P172" s="811"/>
      <c r="Q172" s="811"/>
      <c r="R172" s="811"/>
      <c r="S172" s="811"/>
      <c r="T172" s="811"/>
      <c r="U172" s="811"/>
      <c r="V172" s="811"/>
      <c r="W172" s="811"/>
      <c r="X172" s="811"/>
      <c r="Y172" s="812" t="s">
        <v>401</v>
      </c>
      <c r="Z172" s="812"/>
      <c r="AA172" s="812"/>
      <c r="AB172" s="812"/>
      <c r="AC172" s="812"/>
      <c r="AD172" s="812"/>
      <c r="AE172" s="812"/>
      <c r="AF172" s="812"/>
      <c r="AG172" s="812"/>
    </row>
    <row r="173">
      <c r="A173" s="737" t="s">
        <v>402</v>
      </c>
      <c r="B173" s="738" t="s">
        <v>403</v>
      </c>
      <c r="C173" s="738" t="s">
        <v>404</v>
      </c>
      <c r="D173" s="739" t="s">
        <v>405</v>
      </c>
      <c r="E173" s="740" t="s">
        <v>406</v>
      </c>
      <c r="F173" s="740" t="s">
        <v>407</v>
      </c>
      <c r="G173" s="741" t="s">
        <v>408</v>
      </c>
      <c r="H173" s="742" t="s">
        <v>409</v>
      </c>
      <c r="I173" s="743" t="s">
        <v>410</v>
      </c>
      <c r="J173" s="838" t="s">
        <v>469</v>
      </c>
      <c r="K173" s="813" t="s">
        <v>445</v>
      </c>
      <c r="L173" s="811" t="s">
        <v>411</v>
      </c>
      <c r="M173" s="811" t="s">
        <v>412</v>
      </c>
      <c r="N173" s="814" t="s">
        <v>413</v>
      </c>
      <c r="O173" s="814" t="s">
        <v>414</v>
      </c>
      <c r="P173" s="811" t="s">
        <v>415</v>
      </c>
      <c r="Q173" s="814" t="s">
        <v>416</v>
      </c>
      <c r="R173" s="814" t="s">
        <v>417</v>
      </c>
      <c r="S173" s="811" t="s">
        <v>418</v>
      </c>
      <c r="T173" s="814" t="s">
        <v>419</v>
      </c>
      <c r="U173" s="811" t="s">
        <v>420</v>
      </c>
      <c r="V173" s="815" t="s">
        <v>421</v>
      </c>
      <c r="W173" s="815" t="s">
        <v>422</v>
      </c>
      <c r="X173" s="815" t="s">
        <v>423</v>
      </c>
      <c r="Y173" s="816" t="s">
        <v>424</v>
      </c>
      <c r="Z173" s="817" t="s">
        <v>425</v>
      </c>
      <c r="AA173" s="817" t="s">
        <v>426</v>
      </c>
      <c r="AB173" s="817" t="s">
        <v>427</v>
      </c>
      <c r="AC173" s="817" t="s">
        <v>428</v>
      </c>
      <c r="AD173" s="817" t="s">
        <v>429</v>
      </c>
      <c r="AE173" s="817" t="s">
        <v>430</v>
      </c>
      <c r="AF173" s="817" t="s">
        <v>431</v>
      </c>
      <c r="AG173" s="839" t="s">
        <v>470</v>
      </c>
    </row>
    <row r="174">
      <c r="A174" s="749" t="s">
        <v>471</v>
      </c>
      <c r="B174" s="750" t="s">
        <v>463</v>
      </c>
      <c r="C174" s="751" t="s">
        <v>434</v>
      </c>
      <c r="D174" s="751">
        <f t="shared" ref="D174:D177" si="44">E174+F174</f>
      </c>
      <c r="E174" s="799">
        <v>2707.42</v>
      </c>
      <c r="F174" s="799">
        <v>847.95</v>
      </c>
      <c r="G174" s="752">
        <v>2</v>
      </c>
      <c r="H174" s="790">
        <v>3216</v>
      </c>
      <c r="I174" s="753">
        <f t="shared" ref="I174:I189" si="78">H174/D174</f>
      </c>
      <c r="J174" s="753">
        <f t="shared" ref="J174:J189" si="64">H174/(D174+300*AG174)</f>
      </c>
      <c r="K174" s="819">
        <f t="shared" ref="K174:K189" si="12">(D174/Z174)*1000</f>
      </c>
      <c r="L174" s="820">
        <f t="shared" ref="L174:L189" si="106">AA174/Z174</f>
      </c>
      <c r="M174" s="821">
        <f t="shared" ref="M174:M189" si="62">D174/AB174</f>
      </c>
      <c r="N174" s="822">
        <f t="shared" ref="N174:N189" si="120">AC174/AB174</f>
      </c>
      <c r="O174" s="822">
        <f t="shared" ref="O174:O189" si="163">AD174/AB174</f>
      </c>
      <c r="P174" s="821">
        <f t="shared" ref="P174:P189" si="92">D174/AD174</f>
      </c>
      <c r="Q174" s="822">
        <f t="shared" ref="Q174:Q189" si="204">AE174/AD174</f>
      </c>
      <c r="R174" s="822">
        <f t="shared" ref="R174:R189" si="134">G174/AE174</f>
      </c>
      <c r="S174" s="821">
        <f t="shared" ref="S174:S189" si="149">D174/G174</f>
      </c>
      <c r="T174" s="835">
        <f t="shared" ref="T174:T189" si="176">H174/G174</f>
      </c>
      <c r="U174" s="821">
        <f t="shared" ref="U174:U189" si="190">D174/Y174</f>
      </c>
      <c r="V174" s="824">
        <f t="shared" ref="V174:V189" si="217">AF174*1000/D174</f>
      </c>
      <c r="W174" s="825" t="s">
        <v>435</v>
      </c>
      <c r="X174" s="840" t="s">
        <v>472</v>
      </c>
      <c r="Y174" s="827">
        <v>2</v>
      </c>
      <c r="Z174" s="827">
        <v>14094</v>
      </c>
      <c r="AA174" s="827">
        <v>514</v>
      </c>
      <c r="AB174" s="827">
        <v>677</v>
      </c>
      <c r="AC174" s="827">
        <v>110</v>
      </c>
      <c r="AD174" s="828">
        <v>64</v>
      </c>
      <c r="AE174" s="828">
        <v>5</v>
      </c>
      <c r="AF174" s="828">
        <v>20</v>
      </c>
      <c r="AG174" s="828">
        <v>1</v>
      </c>
    </row>
    <row r="175">
      <c r="A175" s="749"/>
      <c r="B175" s="750" t="s">
        <v>464</v>
      </c>
      <c r="C175" s="751" t="s">
        <v>434</v>
      </c>
      <c r="D175" s="751">
        <f t="shared" si="44"/>
      </c>
      <c r="E175" s="799">
        <v>3125.55</v>
      </c>
      <c r="F175" s="799">
        <v>564.42</v>
      </c>
      <c r="G175" s="790">
        <v>3</v>
      </c>
      <c r="H175" s="790">
        <v>4164</v>
      </c>
      <c r="I175" s="753">
        <f t="shared" si="78"/>
      </c>
      <c r="J175" s="753">
        <f t="shared" si="64"/>
      </c>
      <c r="K175" s="819">
        <f t="shared" si="12"/>
      </c>
      <c r="L175" s="802">
        <f t="shared" si="106"/>
      </c>
      <c r="M175" s="765">
        <f t="shared" si="62"/>
      </c>
      <c r="N175" s="764">
        <f t="shared" si="120"/>
      </c>
      <c r="O175" s="764">
        <f t="shared" si="163"/>
      </c>
      <c r="P175" s="765">
        <f t="shared" si="92"/>
      </c>
      <c r="Q175" s="764">
        <f t="shared" si="204"/>
      </c>
      <c r="R175" s="764">
        <f t="shared" si="134"/>
      </c>
      <c r="S175" s="766">
        <f t="shared" si="149"/>
      </c>
      <c r="T175" s="756">
        <f t="shared" si="176"/>
      </c>
      <c r="U175" s="836">
        <f t="shared" si="190"/>
      </c>
      <c r="V175" s="768">
        <f t="shared" si="217"/>
      </c>
      <c r="W175" s="829" t="s">
        <v>435</v>
      </c>
      <c r="X175" s="840" t="s">
        <v>472</v>
      </c>
      <c r="Y175" s="772">
        <v>3</v>
      </c>
      <c r="Z175" s="772">
        <v>12946</v>
      </c>
      <c r="AA175" s="772">
        <v>450</v>
      </c>
      <c r="AB175" s="772">
        <v>571</v>
      </c>
      <c r="AC175" s="772">
        <v>91</v>
      </c>
      <c r="AD175" s="772">
        <v>61</v>
      </c>
      <c r="AE175" s="771">
        <v>4</v>
      </c>
      <c r="AF175" s="771">
        <v>19</v>
      </c>
      <c r="AG175" s="771">
        <v>1</v>
      </c>
    </row>
    <row r="176">
      <c r="A176" s="749"/>
      <c r="B176" s="818" t="s">
        <v>438</v>
      </c>
      <c r="C176" s="751" t="s">
        <v>434</v>
      </c>
      <c r="D176" s="751">
        <f t="shared" si="44"/>
      </c>
      <c r="E176" s="799">
        <v>3283.81</v>
      </c>
      <c r="F176" s="799">
        <v>707.09</v>
      </c>
      <c r="G176" s="790">
        <v>5</v>
      </c>
      <c r="H176" s="790">
        <v>8324</v>
      </c>
      <c r="I176" s="753">
        <f t="shared" si="78"/>
      </c>
      <c r="J176" s="753">
        <f t="shared" si="64"/>
      </c>
      <c r="K176" s="819">
        <f t="shared" si="12"/>
      </c>
      <c r="L176" s="802">
        <f t="shared" si="106"/>
      </c>
      <c r="M176" s="765">
        <f t="shared" si="62"/>
      </c>
      <c r="N176" s="764">
        <f t="shared" si="120"/>
      </c>
      <c r="O176" s="764">
        <f t="shared" si="163"/>
      </c>
      <c r="P176" s="765">
        <f t="shared" si="92"/>
      </c>
      <c r="Q176" s="764">
        <f t="shared" si="204"/>
      </c>
      <c r="R176" s="764">
        <f t="shared" si="134"/>
      </c>
      <c r="S176" s="766">
        <f t="shared" si="149"/>
      </c>
      <c r="T176" s="756">
        <f t="shared" si="176"/>
      </c>
      <c r="U176" s="836">
        <f t="shared" si="190"/>
      </c>
      <c r="V176" s="768">
        <f t="shared" si="217"/>
      </c>
      <c r="W176" s="829" t="s">
        <v>435</v>
      </c>
      <c r="X176" s="840" t="s">
        <v>472</v>
      </c>
      <c r="Y176" s="772">
        <v>5</v>
      </c>
      <c r="Z176" s="772">
        <v>14531</v>
      </c>
      <c r="AA176" s="772">
        <v>443</v>
      </c>
      <c r="AB176" s="772">
        <v>538</v>
      </c>
      <c r="AC176" s="772">
        <v>98</v>
      </c>
      <c r="AD176" s="772">
        <v>59</v>
      </c>
      <c r="AE176" s="771">
        <v>9</v>
      </c>
      <c r="AF176" s="771">
        <v>29</v>
      </c>
      <c r="AG176" s="771">
        <v>1</v>
      </c>
    </row>
    <row r="177">
      <c r="A177" s="749"/>
      <c r="B177" s="818" t="s">
        <v>439</v>
      </c>
      <c r="C177" s="751" t="s">
        <v>434</v>
      </c>
      <c r="D177" s="751">
        <f t="shared" si="44"/>
      </c>
      <c r="E177" s="799">
        <v>2830.83</v>
      </c>
      <c r="F177" s="799">
        <v>1032.32</v>
      </c>
      <c r="G177" s="790">
        <v>5</v>
      </c>
      <c r="H177" s="790">
        <v>8220</v>
      </c>
      <c r="I177" s="753">
        <f t="shared" si="78"/>
      </c>
      <c r="J177" s="753">
        <f t="shared" si="64"/>
      </c>
      <c r="K177" s="819">
        <f t="shared" si="12"/>
      </c>
      <c r="L177" s="802">
        <f t="shared" si="106"/>
      </c>
      <c r="M177" s="765">
        <f t="shared" si="62"/>
      </c>
      <c r="N177" s="764">
        <f t="shared" si="120"/>
      </c>
      <c r="O177" s="764">
        <f t="shared" si="163"/>
      </c>
      <c r="P177" s="765">
        <f t="shared" si="92"/>
      </c>
      <c r="Q177" s="764">
        <f t="shared" si="204"/>
      </c>
      <c r="R177" s="764">
        <f t="shared" si="134"/>
      </c>
      <c r="S177" s="766">
        <f t="shared" si="149"/>
      </c>
      <c r="T177" s="767">
        <f t="shared" si="176"/>
      </c>
      <c r="U177" s="766">
        <f t="shared" si="190"/>
      </c>
      <c r="V177" s="768">
        <f t="shared" si="217"/>
      </c>
      <c r="W177" s="829" t="s">
        <v>435</v>
      </c>
      <c r="X177" s="840" t="s">
        <v>472</v>
      </c>
      <c r="Y177" s="772">
        <v>4</v>
      </c>
      <c r="Z177" s="772">
        <v>15370</v>
      </c>
      <c r="AA177" s="772">
        <v>624</v>
      </c>
      <c r="AB177" s="772">
        <v>738</v>
      </c>
      <c r="AC177" s="772">
        <v>112</v>
      </c>
      <c r="AD177" s="772">
        <v>75</v>
      </c>
      <c r="AE177" s="772">
        <v>8</v>
      </c>
      <c r="AF177" s="772">
        <v>29</v>
      </c>
      <c r="AG177" s="771">
        <v>1</v>
      </c>
    </row>
    <row r="178">
      <c r="A178" s="749"/>
      <c r="B178" s="782" t="s">
        <v>440</v>
      </c>
      <c r="C178" s="782"/>
      <c r="D178" s="783">
        <f>SUM(D174:D177)</f>
      </c>
      <c r="E178" s="783">
        <f>SUM(E174:E177)</f>
      </c>
      <c r="F178" s="783">
        <f>SUM(F174:F177)</f>
      </c>
      <c r="G178" s="783">
        <f>SUM(G174:G177)</f>
      </c>
      <c r="H178" s="783">
        <f>SUM(H174:H177)</f>
      </c>
      <c r="I178" s="804">
        <f t="shared" si="78"/>
      </c>
      <c r="J178" s="804">
        <f t="shared" si="64"/>
      </c>
      <c r="K178" s="810">
        <f t="shared" si="12"/>
      </c>
      <c r="L178" s="806">
        <f t="shared" si="106"/>
      </c>
      <c r="M178" s="786">
        <f t="shared" si="62"/>
      </c>
      <c r="N178" s="785">
        <f t="shared" si="120"/>
      </c>
      <c r="O178" s="785">
        <f t="shared" si="163"/>
      </c>
      <c r="P178" s="786">
        <f t="shared" si="92"/>
      </c>
      <c r="Q178" s="785">
        <f t="shared" si="204"/>
      </c>
      <c r="R178" s="785">
        <f t="shared" si="134"/>
      </c>
      <c r="S178" s="787">
        <f t="shared" si="149"/>
      </c>
      <c r="T178" s="788">
        <f t="shared" si="176"/>
      </c>
      <c r="U178" s="787">
        <f t="shared" si="190"/>
      </c>
      <c r="V178" s="789">
        <f t="shared" si="217"/>
      </c>
      <c r="W178" s="789"/>
      <c r="X178" s="789"/>
      <c r="Y178" s="783">
        <f>SUM(Y174:Y177)</f>
      </c>
      <c r="Z178" s="783">
        <f>SUM(Z174:Z177)</f>
      </c>
      <c r="AA178" s="783">
        <f>SUM(AA174:AA177)</f>
      </c>
      <c r="AB178" s="783">
        <f>SUM(AB174:AB177)</f>
      </c>
      <c r="AC178" s="783">
        <f>SUM(AC174:AC177)</f>
      </c>
      <c r="AD178" s="783">
        <f>SUM(AD174:AD177)</f>
      </c>
      <c r="AE178" s="783">
        <f>SUM(AE174:AE177)</f>
      </c>
      <c r="AF178" s="783">
        <f>SUM(AF174:AF177)</f>
      </c>
      <c r="AG178" s="783">
        <f>SUM(AG174:AG177)</f>
      </c>
    </row>
    <row r="179">
      <c r="A179" s="749"/>
      <c r="B179" s="818" t="s">
        <v>441</v>
      </c>
      <c r="C179" s="751" t="s">
        <v>455</v>
      </c>
      <c r="D179" s="751">
        <f t="shared" ref="D179:D182" si="45">E179+F179</f>
      </c>
      <c r="E179" s="799">
        <v>3346.18</v>
      </c>
      <c r="F179" s="799">
        <v>1276.85</v>
      </c>
      <c r="G179" s="790">
        <v>4</v>
      </c>
      <c r="H179" s="790">
        <v>6432</v>
      </c>
      <c r="I179" s="753">
        <f t="shared" si="78"/>
      </c>
      <c r="J179" s="753">
        <f t="shared" si="64"/>
      </c>
      <c r="K179" s="819">
        <f t="shared" si="12"/>
      </c>
      <c r="L179" s="803">
        <f t="shared" si="106"/>
      </c>
      <c r="M179" s="774">
        <f t="shared" si="62"/>
      </c>
      <c r="N179" s="773">
        <f t="shared" si="120"/>
      </c>
      <c r="O179" s="773">
        <f t="shared" si="163"/>
      </c>
      <c r="P179" s="774">
        <f t="shared" si="92"/>
      </c>
      <c r="Q179" s="773">
        <f t="shared" si="204"/>
      </c>
      <c r="R179" s="773">
        <f t="shared" si="134"/>
      </c>
      <c r="S179" s="775">
        <f t="shared" si="149"/>
      </c>
      <c r="T179" s="776">
        <f t="shared" si="176"/>
      </c>
      <c r="U179" s="775">
        <f t="shared" si="190"/>
      </c>
      <c r="V179" s="777">
        <f t="shared" si="217"/>
      </c>
      <c r="W179" s="831" t="s">
        <v>435</v>
      </c>
      <c r="X179" s="840" t="s">
        <v>472</v>
      </c>
      <c r="Y179" s="781">
        <v>4</v>
      </c>
      <c r="Z179" s="781">
        <v>19826</v>
      </c>
      <c r="AA179" s="781">
        <v>728</v>
      </c>
      <c r="AB179" s="781">
        <v>870</v>
      </c>
      <c r="AC179" s="781">
        <v>104</v>
      </c>
      <c r="AD179" s="781">
        <v>66</v>
      </c>
      <c r="AE179" s="781">
        <v>5</v>
      </c>
      <c r="AF179" s="781">
        <v>24</v>
      </c>
      <c r="AG179" s="780">
        <v>1</v>
      </c>
    </row>
    <row r="180">
      <c r="A180" s="749"/>
      <c r="B180" s="818" t="s">
        <v>443</v>
      </c>
      <c r="C180" s="751" t="s">
        <v>455</v>
      </c>
      <c r="D180" s="751">
        <f t="shared" si="45"/>
      </c>
      <c r="E180" s="799">
        <v>3917.05</v>
      </c>
      <c r="F180" s="799">
        <v>1324.64</v>
      </c>
      <c r="G180" s="790">
        <v>4</v>
      </c>
      <c r="H180" s="790">
        <v>6432</v>
      </c>
      <c r="I180" s="753">
        <f t="shared" si="78"/>
      </c>
      <c r="J180" s="753">
        <f t="shared" si="64"/>
      </c>
      <c r="K180" s="819">
        <f t="shared" si="12"/>
      </c>
      <c r="L180" s="803">
        <f t="shared" si="106"/>
      </c>
      <c r="M180" s="774">
        <f t="shared" si="62"/>
      </c>
      <c r="N180" s="773">
        <f t="shared" si="120"/>
      </c>
      <c r="O180" s="773">
        <f t="shared" si="163"/>
      </c>
      <c r="P180" s="774">
        <f t="shared" si="92"/>
      </c>
      <c r="Q180" s="773">
        <f t="shared" si="204"/>
      </c>
      <c r="R180" s="773">
        <f t="shared" si="134"/>
      </c>
      <c r="S180" s="775">
        <f t="shared" si="149"/>
      </c>
      <c r="T180" s="776">
        <f t="shared" si="176"/>
      </c>
      <c r="U180" s="775">
        <f t="shared" si="190"/>
      </c>
      <c r="V180" s="777">
        <f t="shared" si="217"/>
      </c>
      <c r="W180" s="831" t="s">
        <v>435</v>
      </c>
      <c r="X180" s="840" t="s">
        <v>472</v>
      </c>
      <c r="Y180" s="781">
        <v>4</v>
      </c>
      <c r="Z180" s="781">
        <v>19516</v>
      </c>
      <c r="AA180" s="781">
        <v>730</v>
      </c>
      <c r="AB180" s="781">
        <v>831</v>
      </c>
      <c r="AC180" s="781">
        <v>138</v>
      </c>
      <c r="AD180" s="781">
        <v>91</v>
      </c>
      <c r="AE180" s="780">
        <v>9</v>
      </c>
      <c r="AF180" s="780">
        <v>30</v>
      </c>
      <c r="AG180" s="780">
        <v>1</v>
      </c>
    </row>
    <row r="181">
      <c r="A181" s="749"/>
      <c r="B181" s="818" t="s">
        <v>451</v>
      </c>
      <c r="C181" s="751" t="s">
        <v>455</v>
      </c>
      <c r="D181" s="751">
        <f t="shared" si="45"/>
      </c>
      <c r="E181" s="799">
        <v>3283.36</v>
      </c>
      <c r="F181" s="799">
        <v>1239.42</v>
      </c>
      <c r="G181" s="752">
        <v>4</v>
      </c>
      <c r="H181" s="752">
        <v>7752</v>
      </c>
      <c r="I181" s="753">
        <f t="shared" si="78"/>
      </c>
      <c r="J181" s="753">
        <f t="shared" si="64"/>
      </c>
      <c r="K181" s="819">
        <f t="shared" si="12"/>
      </c>
      <c r="L181" s="803">
        <f t="shared" si="106"/>
      </c>
      <c r="M181" s="774">
        <f t="shared" si="62"/>
      </c>
      <c r="N181" s="773">
        <f t="shared" si="120"/>
      </c>
      <c r="O181" s="773">
        <f t="shared" si="163"/>
      </c>
      <c r="P181" s="774">
        <f t="shared" si="92"/>
      </c>
      <c r="Q181" s="773">
        <f t="shared" si="204"/>
      </c>
      <c r="R181" s="773">
        <f t="shared" si="134"/>
      </c>
      <c r="S181" s="775">
        <f t="shared" si="149"/>
      </c>
      <c r="T181" s="776">
        <f t="shared" si="176"/>
      </c>
      <c r="U181" s="775">
        <f t="shared" si="190"/>
      </c>
      <c r="V181" s="777">
        <f t="shared" si="217"/>
      </c>
      <c r="W181" s="831" t="s">
        <v>435</v>
      </c>
      <c r="X181" s="840" t="s">
        <v>472</v>
      </c>
      <c r="Y181" s="781">
        <v>3</v>
      </c>
      <c r="Z181" s="781">
        <v>14865</v>
      </c>
      <c r="AA181" s="781">
        <v>554</v>
      </c>
      <c r="AB181" s="781">
        <v>649</v>
      </c>
      <c r="AC181" s="781">
        <v>116</v>
      </c>
      <c r="AD181" s="781">
        <v>68</v>
      </c>
      <c r="AE181" s="780">
        <v>6</v>
      </c>
      <c r="AF181" s="780">
        <v>26</v>
      </c>
      <c r="AG181" s="780">
        <v>1</v>
      </c>
    </row>
    <row r="182">
      <c r="A182" s="749"/>
      <c r="B182" s="818" t="s">
        <v>452</v>
      </c>
      <c r="C182" s="751" t="s">
        <v>455</v>
      </c>
      <c r="D182" s="751">
        <f t="shared" si="45"/>
      </c>
      <c r="E182" s="799">
        <v>3261.91</v>
      </c>
      <c r="F182" s="799">
        <v>1284.29</v>
      </c>
      <c r="G182" s="752">
        <v>6</v>
      </c>
      <c r="H182" s="752">
        <v>7008</v>
      </c>
      <c r="I182" s="753">
        <f t="shared" si="78"/>
      </c>
      <c r="J182" s="753">
        <f t="shared" si="64"/>
      </c>
      <c r="K182" s="819">
        <f t="shared" si="12"/>
      </c>
      <c r="L182" s="803">
        <f t="shared" si="106"/>
      </c>
      <c r="M182" s="774">
        <f t="shared" si="62"/>
      </c>
      <c r="N182" s="773">
        <f t="shared" si="120"/>
      </c>
      <c r="O182" s="773">
        <f t="shared" si="163"/>
      </c>
      <c r="P182" s="774">
        <f t="shared" si="92"/>
      </c>
      <c r="Q182" s="773">
        <f t="shared" si="204"/>
      </c>
      <c r="R182" s="773">
        <f t="shared" si="134"/>
      </c>
      <c r="S182" s="775">
        <f t="shared" si="149"/>
      </c>
      <c r="T182" s="776">
        <f t="shared" si="176"/>
      </c>
      <c r="U182" s="775">
        <f t="shared" si="190"/>
      </c>
      <c r="V182" s="777">
        <f t="shared" si="217"/>
      </c>
      <c r="W182" s="831" t="s">
        <v>435</v>
      </c>
      <c r="X182" s="840" t="s">
        <v>472</v>
      </c>
      <c r="Y182" s="781">
        <v>6</v>
      </c>
      <c r="Z182" s="781">
        <v>14539</v>
      </c>
      <c r="AA182" s="781">
        <v>525</v>
      </c>
      <c r="AB182" s="781">
        <v>613</v>
      </c>
      <c r="AC182" s="781">
        <v>123</v>
      </c>
      <c r="AD182" s="781">
        <v>66</v>
      </c>
      <c r="AE182" s="780">
        <v>10</v>
      </c>
      <c r="AF182" s="780">
        <v>32</v>
      </c>
      <c r="AG182" s="780">
        <v>1</v>
      </c>
    </row>
    <row r="183">
      <c r="A183" s="749"/>
      <c r="B183" s="782" t="s">
        <v>440</v>
      </c>
      <c r="C183" s="782"/>
      <c r="D183" s="783">
        <f>SUM(D179:D182)</f>
      </c>
      <c r="E183" s="783">
        <f>SUM(E179:E182)</f>
      </c>
      <c r="F183" s="783">
        <f>SUM(F179:F182)</f>
      </c>
      <c r="G183" s="783">
        <f>SUM(G179:G182)</f>
      </c>
      <c r="H183" s="783">
        <f>SUM(H179:H182)</f>
      </c>
      <c r="I183" s="804">
        <f t="shared" si="78"/>
      </c>
      <c r="J183" s="804">
        <f t="shared" si="64"/>
      </c>
      <c r="K183" s="810">
        <f t="shared" si="12"/>
      </c>
      <c r="L183" s="806">
        <f t="shared" si="106"/>
      </c>
      <c r="M183" s="786">
        <f t="shared" si="62"/>
      </c>
      <c r="N183" s="785">
        <f t="shared" si="120"/>
      </c>
      <c r="O183" s="785">
        <f t="shared" si="163"/>
      </c>
      <c r="P183" s="786">
        <f t="shared" si="92"/>
      </c>
      <c r="Q183" s="785">
        <f t="shared" si="204"/>
      </c>
      <c r="R183" s="785">
        <f t="shared" si="134"/>
      </c>
      <c r="S183" s="787">
        <f t="shared" si="149"/>
      </c>
      <c r="T183" s="788">
        <f t="shared" si="176"/>
      </c>
      <c r="U183" s="787">
        <f t="shared" si="190"/>
      </c>
      <c r="V183" s="789">
        <f t="shared" si="217"/>
      </c>
      <c r="W183" s="789"/>
      <c r="X183" s="789"/>
      <c r="Y183" s="783">
        <f>SUM(Y179:Y182)</f>
      </c>
      <c r="Z183" s="783">
        <f>SUM(Z179:Z182)</f>
      </c>
      <c r="AA183" s="783">
        <f>SUM(AA179:AA182)</f>
      </c>
      <c r="AB183" s="783">
        <f>SUM(AB179:AB182)</f>
      </c>
      <c r="AC183" s="783">
        <f>SUM(AC179:AC182)</f>
      </c>
      <c r="AD183" s="783">
        <f>SUM(AD179:AD182)</f>
      </c>
      <c r="AE183" s="783">
        <f>SUM(AE179:AE182)</f>
      </c>
      <c r="AF183" s="783">
        <f>SUM(AF179:AF182)</f>
      </c>
      <c r="AG183" s="783">
        <f>SUM(AG179:AG182)</f>
      </c>
    </row>
    <row r="184">
      <c r="A184" s="749"/>
      <c r="B184" s="818" t="s">
        <v>456</v>
      </c>
      <c r="C184" s="751" t="s">
        <v>442</v>
      </c>
      <c r="D184" s="751">
        <f t="shared" ref="D184:D187" si="46">E184+F184</f>
      </c>
      <c r="E184" s="799">
        <v>3295.47</v>
      </c>
      <c r="F184" s="799">
        <v>1395.7</v>
      </c>
      <c r="G184" s="752">
        <v>3</v>
      </c>
      <c r="H184" s="752">
        <v>5296</v>
      </c>
      <c r="I184" s="753">
        <f t="shared" si="78"/>
      </c>
      <c r="J184" s="753">
        <f t="shared" si="64"/>
      </c>
      <c r="K184" s="833">
        <f t="shared" si="12"/>
      </c>
      <c r="L184" s="803">
        <f t="shared" si="106"/>
      </c>
      <c r="M184" s="774">
        <f t="shared" si="62"/>
      </c>
      <c r="N184" s="773">
        <f t="shared" si="120"/>
      </c>
      <c r="O184" s="773">
        <f t="shared" si="163"/>
      </c>
      <c r="P184" s="774">
        <f t="shared" si="92"/>
      </c>
      <c r="Q184" s="773">
        <f t="shared" si="204"/>
      </c>
      <c r="R184" s="773">
        <f t="shared" si="134"/>
      </c>
      <c r="S184" s="775">
        <f t="shared" si="149"/>
      </c>
      <c r="T184" s="776">
        <f t="shared" si="176"/>
      </c>
      <c r="U184" s="775">
        <f t="shared" si="190"/>
      </c>
      <c r="V184" s="777">
        <f t="shared" si="217"/>
      </c>
      <c r="W184" s="831" t="s">
        <v>435</v>
      </c>
      <c r="X184" s="826" t="s">
        <v>447</v>
      </c>
      <c r="Y184" s="781">
        <v>3</v>
      </c>
      <c r="Z184" s="781">
        <v>19452</v>
      </c>
      <c r="AA184" s="781">
        <v>687</v>
      </c>
      <c r="AB184" s="781">
        <v>771</v>
      </c>
      <c r="AC184" s="781">
        <v>105</v>
      </c>
      <c r="AD184" s="781">
        <v>91</v>
      </c>
      <c r="AE184" s="780">
        <v>8</v>
      </c>
      <c r="AF184" s="780">
        <v>21</v>
      </c>
      <c r="AG184" s="780">
        <v>1</v>
      </c>
    </row>
    <row r="185">
      <c r="A185" s="749"/>
      <c r="B185" s="818" t="s">
        <v>457</v>
      </c>
      <c r="C185" s="751" t="s">
        <v>442</v>
      </c>
      <c r="D185" s="751">
        <f t="shared" si="46"/>
      </c>
      <c r="E185" s="799">
        <v>2943.02</v>
      </c>
      <c r="F185" s="799">
        <v>1186.09</v>
      </c>
      <c r="G185" s="752">
        <v>4</v>
      </c>
      <c r="H185" s="752">
        <v>6432</v>
      </c>
      <c r="I185" s="753">
        <f t="shared" si="78"/>
      </c>
      <c r="J185" s="753">
        <f t="shared" si="64"/>
      </c>
      <c r="K185" s="833">
        <f t="shared" si="12"/>
      </c>
      <c r="L185" s="803">
        <f t="shared" si="106"/>
      </c>
      <c r="M185" s="774">
        <f t="shared" si="62"/>
      </c>
      <c r="N185" s="773">
        <f t="shared" si="120"/>
      </c>
      <c r="O185" s="773">
        <f t="shared" si="163"/>
      </c>
      <c r="P185" s="774">
        <f t="shared" si="92"/>
      </c>
      <c r="Q185" s="773">
        <f t="shared" si="204"/>
      </c>
      <c r="R185" s="773">
        <f t="shared" si="134"/>
      </c>
      <c r="S185" s="775">
        <f t="shared" si="149"/>
      </c>
      <c r="T185" s="776">
        <f t="shared" si="176"/>
      </c>
      <c r="U185" s="775">
        <f t="shared" si="190"/>
      </c>
      <c r="V185" s="777">
        <f t="shared" si="217"/>
      </c>
      <c r="W185" s="831" t="s">
        <v>435</v>
      </c>
      <c r="X185" s="830" t="s">
        <v>447</v>
      </c>
      <c r="Y185" s="781">
        <v>4</v>
      </c>
      <c r="Z185" s="781">
        <v>18951</v>
      </c>
      <c r="AA185" s="781">
        <v>572</v>
      </c>
      <c r="AB185" s="781">
        <v>661</v>
      </c>
      <c r="AC185" s="781">
        <v>81</v>
      </c>
      <c r="AD185" s="781">
        <v>56</v>
      </c>
      <c r="AE185" s="780">
        <v>8</v>
      </c>
      <c r="AF185" s="780">
        <v>21</v>
      </c>
      <c r="AG185" s="780">
        <v>1</v>
      </c>
    </row>
    <row r="186">
      <c r="A186" s="749"/>
      <c r="B186" s="750" t="s">
        <v>459</v>
      </c>
      <c r="C186" s="751" t="s">
        <v>442</v>
      </c>
      <c r="D186" s="751">
        <f t="shared" si="46"/>
      </c>
      <c r="E186" s="799">
        <v>3296.41</v>
      </c>
      <c r="F186" s="799">
        <v>925.94</v>
      </c>
      <c r="G186" s="752">
        <v>5</v>
      </c>
      <c r="H186" s="752">
        <v>10020</v>
      </c>
      <c r="I186" s="753">
        <f t="shared" si="78"/>
      </c>
      <c r="J186" s="753">
        <f t="shared" si="64"/>
      </c>
      <c r="K186" s="833">
        <f t="shared" si="12"/>
      </c>
      <c r="L186" s="803">
        <f t="shared" si="106"/>
      </c>
      <c r="M186" s="774">
        <f t="shared" si="62"/>
      </c>
      <c r="N186" s="773">
        <f t="shared" si="120"/>
      </c>
      <c r="O186" s="773">
        <f t="shared" si="163"/>
      </c>
      <c r="P186" s="774">
        <f t="shared" si="92"/>
      </c>
      <c r="Q186" s="773">
        <f t="shared" si="204"/>
      </c>
      <c r="R186" s="773">
        <f t="shared" si="134"/>
      </c>
      <c r="S186" s="775">
        <f t="shared" si="149"/>
      </c>
      <c r="T186" s="776">
        <f t="shared" si="176"/>
      </c>
      <c r="U186" s="775">
        <f t="shared" si="190"/>
      </c>
      <c r="V186" s="777">
        <f t="shared" si="217"/>
      </c>
      <c r="W186" s="831" t="s">
        <v>435</v>
      </c>
      <c r="X186" s="830" t="s">
        <v>447</v>
      </c>
      <c r="Y186" s="781">
        <v>5</v>
      </c>
      <c r="Z186" s="781">
        <v>19894</v>
      </c>
      <c r="AA186" s="781">
        <v>595</v>
      </c>
      <c r="AB186" s="781">
        <v>705</v>
      </c>
      <c r="AC186" s="781">
        <v>109</v>
      </c>
      <c r="AD186" s="780">
        <v>63</v>
      </c>
      <c r="AE186" s="780">
        <v>11</v>
      </c>
      <c r="AF186" s="780">
        <v>25</v>
      </c>
      <c r="AG186" s="780">
        <v>1</v>
      </c>
    </row>
    <row r="187">
      <c r="A187" s="749"/>
      <c r="B187" s="750" t="s">
        <v>460</v>
      </c>
      <c r="C187" s="751" t="s">
        <v>442</v>
      </c>
      <c r="D187" s="751">
        <f t="shared" si="46"/>
      </c>
      <c r="E187" s="799">
        <v>2638.11</v>
      </c>
      <c r="F187" s="799">
        <v>622.55</v>
      </c>
      <c r="G187" s="752">
        <v>0</v>
      </c>
      <c r="H187" s="752">
        <v>0</v>
      </c>
      <c r="I187" s="753">
        <f t="shared" si="78"/>
      </c>
      <c r="J187" s="753">
        <f t="shared" si="64"/>
      </c>
      <c r="K187" s="833">
        <f t="shared" si="12"/>
      </c>
      <c r="L187" s="803">
        <f t="shared" si="106"/>
      </c>
      <c r="M187" s="774">
        <f t="shared" si="62"/>
      </c>
      <c r="N187" s="773">
        <f t="shared" si="120"/>
      </c>
      <c r="O187" s="773">
        <f t="shared" si="163"/>
      </c>
      <c r="P187" s="774">
        <f t="shared" si="92"/>
      </c>
      <c r="Q187" s="773">
        <f t="shared" si="204"/>
      </c>
      <c r="R187" s="773">
        <f t="shared" si="134"/>
      </c>
      <c r="S187" s="775">
        <f t="shared" si="149"/>
      </c>
      <c r="T187" s="776">
        <f t="shared" si="176"/>
      </c>
      <c r="U187" s="775">
        <f t="shared" si="190"/>
      </c>
      <c r="V187" s="777">
        <f t="shared" si="217"/>
      </c>
      <c r="W187" s="831" t="s">
        <v>435</v>
      </c>
      <c r="X187" s="830" t="s">
        <v>447</v>
      </c>
      <c r="Y187" s="781">
        <v>0</v>
      </c>
      <c r="Z187" s="781">
        <v>15945</v>
      </c>
      <c r="AA187" s="781">
        <v>444</v>
      </c>
      <c r="AB187" s="781">
        <v>525</v>
      </c>
      <c r="AC187" s="781">
        <v>56</v>
      </c>
      <c r="AD187" s="781">
        <v>27</v>
      </c>
      <c r="AE187" s="780">
        <v>1</v>
      </c>
      <c r="AF187" s="780">
        <v>7</v>
      </c>
      <c r="AG187" s="780">
        <v>1</v>
      </c>
    </row>
    <row r="188">
      <c r="A188" s="749"/>
      <c r="B188" s="782" t="s">
        <v>440</v>
      </c>
      <c r="C188" s="782"/>
      <c r="D188" s="783">
        <f>SUM(D184:D187)</f>
      </c>
      <c r="E188" s="783">
        <f>SUM(E184:E187)</f>
      </c>
      <c r="F188" s="783">
        <f>SUM(F184:F187)</f>
      </c>
      <c r="G188" s="783">
        <f>SUM(G184:G187)</f>
      </c>
      <c r="H188" s="783">
        <f>SUM(H184:H187)</f>
      </c>
      <c r="I188" s="804">
        <f t="shared" si="78"/>
      </c>
      <c r="J188" s="804">
        <f t="shared" si="64"/>
      </c>
      <c r="K188" s="834">
        <f t="shared" si="12"/>
      </c>
      <c r="L188" s="806">
        <f t="shared" si="106"/>
      </c>
      <c r="M188" s="786">
        <f t="shared" si="62"/>
      </c>
      <c r="N188" s="785">
        <f t="shared" si="120"/>
      </c>
      <c r="O188" s="785">
        <f t="shared" si="163"/>
      </c>
      <c r="P188" s="786">
        <f t="shared" si="92"/>
      </c>
      <c r="Q188" s="785">
        <f t="shared" si="204"/>
      </c>
      <c r="R188" s="785">
        <f t="shared" si="134"/>
      </c>
      <c r="S188" s="787">
        <f t="shared" si="149"/>
      </c>
      <c r="T188" s="788">
        <f t="shared" si="176"/>
      </c>
      <c r="U188" s="787">
        <f t="shared" si="190"/>
      </c>
      <c r="V188" s="789">
        <f t="shared" si="217"/>
      </c>
      <c r="W188" s="789"/>
      <c r="X188" s="789"/>
      <c r="Y188" s="783">
        <f>SUM(Y184:Y187)</f>
      </c>
      <c r="Z188" s="783">
        <f>SUM(Z184:Z187)</f>
      </c>
      <c r="AA188" s="783">
        <f>SUM(AA184:AA187)</f>
      </c>
      <c r="AB188" s="783">
        <f>SUM(AB184:AB187)</f>
      </c>
      <c r="AC188" s="783">
        <f>SUM(AC184:AC187)</f>
      </c>
      <c r="AD188" s="783">
        <f>SUM(AD184:AD187)</f>
      </c>
      <c r="AE188" s="783">
        <f>SUM(AE184:AE187)</f>
      </c>
      <c r="AF188" s="783">
        <f>SUM(AF184:AF187)</f>
      </c>
      <c r="AG188" s="783">
        <f>SUM(AG184:AG187)</f>
      </c>
    </row>
    <row r="189">
      <c r="A189" s="749"/>
      <c r="B189" s="791" t="s">
        <v>444</v>
      </c>
      <c r="C189" s="791"/>
      <c r="D189" s="791">
        <f>D178+D188+D183</f>
      </c>
      <c r="E189" s="791">
        <f>E178+E188+E183</f>
      </c>
      <c r="F189" s="791">
        <f>F178+F188+F183</f>
      </c>
      <c r="G189" s="791">
        <f>G178+G188+G183</f>
      </c>
      <c r="H189" s="791">
        <f>H178+H188+H183</f>
      </c>
      <c r="I189" s="792">
        <f t="shared" si="78"/>
      </c>
      <c r="J189" s="792">
        <f t="shared" si="64"/>
      </c>
      <c r="K189" s="797">
        <f t="shared" si="12"/>
      </c>
      <c r="L189" s="809">
        <f t="shared" si="106"/>
      </c>
      <c r="M189" s="794">
        <f t="shared" si="62"/>
      </c>
      <c r="N189" s="795">
        <f t="shared" si="120"/>
      </c>
      <c r="O189" s="795">
        <f t="shared" si="163"/>
      </c>
      <c r="P189" s="794">
        <f t="shared" si="92"/>
      </c>
      <c r="Q189" s="795">
        <f t="shared" si="204"/>
      </c>
      <c r="R189" s="795">
        <f t="shared" si="134"/>
      </c>
      <c r="S189" s="794">
        <f t="shared" si="149"/>
      </c>
      <c r="T189" s="796">
        <f t="shared" si="176"/>
      </c>
      <c r="U189" s="794">
        <f t="shared" si="190"/>
      </c>
      <c r="V189" s="797">
        <f t="shared" si="217"/>
      </c>
      <c r="W189" s="797"/>
      <c r="X189" s="797"/>
      <c r="Y189" s="791">
        <f>Y178+Y188+Y183</f>
      </c>
      <c r="Z189" s="791">
        <f>Z178+Z188+Z183</f>
      </c>
      <c r="AA189" s="791">
        <f>AA178+AA188+AA183</f>
      </c>
      <c r="AB189" s="791">
        <f>AB178+AB188+AB183</f>
      </c>
      <c r="AC189" s="791">
        <f>AC178+AC188+AC183</f>
      </c>
      <c r="AD189" s="791">
        <f>AD178+AD188+AD183</f>
      </c>
      <c r="AE189" s="791">
        <f>AE178+AE188+AE183</f>
      </c>
      <c r="AF189" s="791">
        <f>AF178+AF188+AF183</f>
      </c>
      <c r="AG189" s="791">
        <f>AG178+AG188+AG183</f>
      </c>
    </row>
    <row r="190">
      <c r="A190" s="731" t="s">
        <v>398</v>
      </c>
      <c r="B190" s="731"/>
      <c r="C190" s="731"/>
      <c r="D190" s="837" t="s">
        <v>399</v>
      </c>
      <c r="E190" s="837"/>
      <c r="F190" s="837"/>
      <c r="G190" s="837"/>
      <c r="H190" s="837"/>
      <c r="I190" s="837"/>
      <c r="J190" s="837"/>
      <c r="K190" s="811" t="s">
        <v>400</v>
      </c>
      <c r="L190" s="811"/>
      <c r="M190" s="811"/>
      <c r="N190" s="811"/>
      <c r="O190" s="811"/>
      <c r="P190" s="811"/>
      <c r="Q190" s="811"/>
      <c r="R190" s="811"/>
      <c r="S190" s="811"/>
      <c r="T190" s="811"/>
      <c r="U190" s="811"/>
      <c r="V190" s="811"/>
      <c r="W190" s="811"/>
      <c r="X190" s="811"/>
      <c r="Y190" s="812" t="s">
        <v>401</v>
      </c>
      <c r="Z190" s="812"/>
      <c r="AA190" s="812"/>
      <c r="AB190" s="812"/>
      <c r="AC190" s="812"/>
      <c r="AD190" s="812"/>
      <c r="AE190" s="812"/>
      <c r="AF190" s="812"/>
      <c r="AG190" s="812"/>
    </row>
    <row r="191">
      <c r="A191" s="737" t="s">
        <v>402</v>
      </c>
      <c r="B191" s="738" t="s">
        <v>403</v>
      </c>
      <c r="C191" s="738" t="s">
        <v>404</v>
      </c>
      <c r="D191" s="739" t="s">
        <v>405</v>
      </c>
      <c r="E191" s="740" t="s">
        <v>406</v>
      </c>
      <c r="F191" s="740" t="s">
        <v>407</v>
      </c>
      <c r="G191" s="741" t="s">
        <v>408</v>
      </c>
      <c r="H191" s="742" t="s">
        <v>409</v>
      </c>
      <c r="I191" s="743" t="s">
        <v>410</v>
      </c>
      <c r="J191" s="838" t="s">
        <v>469</v>
      </c>
      <c r="K191" s="813" t="s">
        <v>445</v>
      </c>
      <c r="L191" s="811" t="s">
        <v>411</v>
      </c>
      <c r="M191" s="811" t="s">
        <v>412</v>
      </c>
      <c r="N191" s="814" t="s">
        <v>413</v>
      </c>
      <c r="O191" s="814" t="s">
        <v>414</v>
      </c>
      <c r="P191" s="811" t="s">
        <v>415</v>
      </c>
      <c r="Q191" s="814" t="s">
        <v>416</v>
      </c>
      <c r="R191" s="814" t="s">
        <v>417</v>
      </c>
      <c r="S191" s="811" t="s">
        <v>418</v>
      </c>
      <c r="T191" s="814" t="s">
        <v>419</v>
      </c>
      <c r="U191" s="811" t="s">
        <v>420</v>
      </c>
      <c r="V191" s="815" t="s">
        <v>421</v>
      </c>
      <c r="W191" s="815" t="s">
        <v>422</v>
      </c>
      <c r="X191" s="815" t="s">
        <v>423</v>
      </c>
      <c r="Y191" s="816" t="s">
        <v>424</v>
      </c>
      <c r="Z191" s="817" t="s">
        <v>425</v>
      </c>
      <c r="AA191" s="817" t="s">
        <v>426</v>
      </c>
      <c r="AB191" s="817" t="s">
        <v>427</v>
      </c>
      <c r="AC191" s="817" t="s">
        <v>428</v>
      </c>
      <c r="AD191" s="817" t="s">
        <v>429</v>
      </c>
      <c r="AE191" s="817" t="s">
        <v>430</v>
      </c>
      <c r="AF191" s="817" t="s">
        <v>431</v>
      </c>
      <c r="AG191" s="839" t="s">
        <v>470</v>
      </c>
    </row>
    <row r="192">
      <c r="A192" s="749" t="s">
        <v>473</v>
      </c>
      <c r="B192" s="750" t="s">
        <v>463</v>
      </c>
      <c r="C192" s="751" t="s">
        <v>434</v>
      </c>
      <c r="D192" s="751">
        <f t="shared" ref="D192:D195" si="47">E192+F192</f>
      </c>
      <c r="E192" s="799">
        <v>2980.44</v>
      </c>
      <c r="F192" s="799">
        <v>1157.82</v>
      </c>
      <c r="G192" s="752">
        <v>0</v>
      </c>
      <c r="H192" s="752">
        <v>0</v>
      </c>
      <c r="I192" s="753">
        <f t="shared" ref="I192:I207" si="79">H192/D192</f>
      </c>
      <c r="J192" s="753">
        <f t="shared" ref="J192:J207" si="65">H192/(D192+300*AG192)</f>
      </c>
      <c r="K192" s="819">
        <f t="shared" ref="K192:K207" si="13">(D192/Z192)*1000</f>
      </c>
      <c r="L192" s="820">
        <f t="shared" ref="L192:L207" si="107">AA192/Z192</f>
      </c>
      <c r="M192" s="821">
        <f t="shared" ref="M192:M207" si="63">D192/AB192</f>
      </c>
      <c r="N192" s="822">
        <f t="shared" ref="N192:N207" si="121">AC192/AB192</f>
      </c>
      <c r="O192" s="822">
        <f t="shared" ref="O192:O207" si="164">AD192/AB192</f>
      </c>
      <c r="P192" s="821">
        <f t="shared" ref="P192:P207" si="93">D192/AD192</f>
      </c>
      <c r="Q192" s="822">
        <f t="shared" ref="Q192:Q207" si="205">AE192/AD192</f>
      </c>
      <c r="R192" s="822">
        <f t="shared" ref="R192:R207" si="135">G192/AE192</f>
      </c>
      <c r="S192" s="821">
        <f t="shared" ref="S192:S207" si="150">D192/G192</f>
      </c>
      <c r="T192" s="835">
        <f t="shared" ref="T192:T207" si="177">H192/G192</f>
      </c>
      <c r="U192" s="821">
        <f t="shared" ref="U192:U207" si="191">D192/Y192</f>
      </c>
      <c r="V192" s="824">
        <f t="shared" ref="V192:V207" si="218">AF192*1000/D192</f>
      </c>
      <c r="W192" s="825" t="s">
        <v>435</v>
      </c>
      <c r="X192" s="840" t="s">
        <v>472</v>
      </c>
      <c r="Y192" s="827">
        <v>0</v>
      </c>
      <c r="Z192" s="827">
        <v>14642</v>
      </c>
      <c r="AA192" s="827">
        <v>598</v>
      </c>
      <c r="AB192" s="827">
        <v>713</v>
      </c>
      <c r="AC192" s="827">
        <v>99</v>
      </c>
      <c r="AD192" s="828">
        <v>72</v>
      </c>
      <c r="AE192" s="828">
        <v>4</v>
      </c>
      <c r="AF192" s="828">
        <v>25</v>
      </c>
      <c r="AG192" s="828">
        <v>1</v>
      </c>
    </row>
    <row r="193">
      <c r="A193" s="749"/>
      <c r="B193" s="750" t="s">
        <v>464</v>
      </c>
      <c r="C193" s="751" t="s">
        <v>434</v>
      </c>
      <c r="D193" s="751">
        <f t="shared" si="47"/>
      </c>
      <c r="E193" s="799">
        <v>2681.69</v>
      </c>
      <c r="F193" s="799">
        <v>639.91</v>
      </c>
      <c r="G193" s="790">
        <v>2</v>
      </c>
      <c r="H193" s="790">
        <v>3216</v>
      </c>
      <c r="I193" s="753">
        <f t="shared" si="79"/>
      </c>
      <c r="J193" s="753">
        <f t="shared" si="65"/>
      </c>
      <c r="K193" s="819">
        <f t="shared" si="13"/>
      </c>
      <c r="L193" s="802">
        <f t="shared" si="107"/>
      </c>
      <c r="M193" s="765">
        <f t="shared" si="63"/>
      </c>
      <c r="N193" s="764">
        <f t="shared" si="121"/>
      </c>
      <c r="O193" s="764">
        <f t="shared" si="164"/>
      </c>
      <c r="P193" s="765">
        <f t="shared" si="93"/>
      </c>
      <c r="Q193" s="764">
        <f t="shared" si="205"/>
      </c>
      <c r="R193" s="764">
        <f t="shared" si="135"/>
      </c>
      <c r="S193" s="766">
        <f t="shared" si="150"/>
      </c>
      <c r="T193" s="756">
        <f t="shared" si="177"/>
      </c>
      <c r="U193" s="836">
        <f t="shared" si="191"/>
      </c>
      <c r="V193" s="768">
        <f t="shared" si="218"/>
      </c>
      <c r="W193" s="829" t="s">
        <v>435</v>
      </c>
      <c r="X193" s="840" t="s">
        <v>472</v>
      </c>
      <c r="Y193" s="772">
        <v>2</v>
      </c>
      <c r="Z193" s="772">
        <v>10472</v>
      </c>
      <c r="AA193" s="772">
        <v>397</v>
      </c>
      <c r="AB193" s="772">
        <v>480</v>
      </c>
      <c r="AC193" s="772">
        <v>69</v>
      </c>
      <c r="AD193" s="772">
        <v>59</v>
      </c>
      <c r="AE193" s="771">
        <v>5</v>
      </c>
      <c r="AF193" s="771">
        <v>12</v>
      </c>
      <c r="AG193" s="771">
        <v>1</v>
      </c>
    </row>
    <row r="194">
      <c r="A194" s="749"/>
      <c r="B194" s="818" t="s">
        <v>438</v>
      </c>
      <c r="C194" s="751" t="s">
        <v>434</v>
      </c>
      <c r="D194" s="751">
        <f t="shared" si="47"/>
      </c>
      <c r="E194" s="799">
        <v>1397.43</v>
      </c>
      <c r="F194" s="799">
        <v>1466.86</v>
      </c>
      <c r="G194" s="790">
        <v>4</v>
      </c>
      <c r="H194" s="790">
        <v>7752</v>
      </c>
      <c r="I194" s="753">
        <f t="shared" si="79"/>
      </c>
      <c r="J194" s="753">
        <f t="shared" si="65"/>
      </c>
      <c r="K194" s="819">
        <f t="shared" si="13"/>
      </c>
      <c r="L194" s="802">
        <f t="shared" si="107"/>
      </c>
      <c r="M194" s="765">
        <f t="shared" si="63"/>
      </c>
      <c r="N194" s="764">
        <f t="shared" si="121"/>
      </c>
      <c r="O194" s="764">
        <f t="shared" si="164"/>
      </c>
      <c r="P194" s="765">
        <f t="shared" si="93"/>
      </c>
      <c r="Q194" s="764">
        <f t="shared" si="205"/>
      </c>
      <c r="R194" s="764">
        <f t="shared" si="135"/>
      </c>
      <c r="S194" s="766">
        <f t="shared" si="150"/>
      </c>
      <c r="T194" s="756">
        <f t="shared" si="177"/>
      </c>
      <c r="U194" s="836">
        <f t="shared" si="191"/>
      </c>
      <c r="V194" s="768">
        <f t="shared" si="218"/>
      </c>
      <c r="W194" s="829" t="s">
        <v>435</v>
      </c>
      <c r="X194" s="840" t="s">
        <v>472</v>
      </c>
      <c r="Y194" s="771">
        <v>4</v>
      </c>
      <c r="Z194" s="772">
        <v>13613</v>
      </c>
      <c r="AA194" s="772">
        <v>483</v>
      </c>
      <c r="AB194" s="772">
        <v>645</v>
      </c>
      <c r="AC194" s="772">
        <v>83</v>
      </c>
      <c r="AD194" s="772">
        <v>25</v>
      </c>
      <c r="AE194" s="771">
        <v>6</v>
      </c>
      <c r="AF194" s="771">
        <v>17</v>
      </c>
      <c r="AG194" s="771">
        <v>1</v>
      </c>
    </row>
    <row r="195">
      <c r="A195" s="749"/>
      <c r="B195" s="818" t="s">
        <v>439</v>
      </c>
      <c r="C195" s="751" t="s">
        <v>434</v>
      </c>
      <c r="D195" s="751">
        <f t="shared" si="47"/>
      </c>
      <c r="E195" s="799">
        <v>1648.82</v>
      </c>
      <c r="F195" s="799">
        <v>1456</v>
      </c>
      <c r="G195" s="790">
        <v>2</v>
      </c>
      <c r="H195" s="790">
        <v>4536</v>
      </c>
      <c r="I195" s="753">
        <f t="shared" si="79"/>
      </c>
      <c r="J195" s="753">
        <f t="shared" si="65"/>
      </c>
      <c r="K195" s="819">
        <f t="shared" si="13"/>
      </c>
      <c r="L195" s="802">
        <f t="shared" si="107"/>
      </c>
      <c r="M195" s="765">
        <f t="shared" si="63"/>
      </c>
      <c r="N195" s="764">
        <f t="shared" si="121"/>
      </c>
      <c r="O195" s="764">
        <f t="shared" si="164"/>
      </c>
      <c r="P195" s="765">
        <f t="shared" si="93"/>
      </c>
      <c r="Q195" s="764">
        <f t="shared" si="205"/>
      </c>
      <c r="R195" s="764">
        <f t="shared" si="135"/>
      </c>
      <c r="S195" s="766">
        <f t="shared" si="150"/>
      </c>
      <c r="T195" s="767">
        <f t="shared" si="177"/>
      </c>
      <c r="U195" s="766">
        <f t="shared" si="191"/>
      </c>
      <c r="V195" s="768">
        <f t="shared" si="218"/>
      </c>
      <c r="W195" s="829" t="s">
        <v>435</v>
      </c>
      <c r="X195" s="840" t="s">
        <v>472</v>
      </c>
      <c r="Y195" s="772">
        <v>0</v>
      </c>
      <c r="Z195" s="772">
        <v>11814</v>
      </c>
      <c r="AA195" s="772">
        <v>435</v>
      </c>
      <c r="AB195" s="772">
        <v>614</v>
      </c>
      <c r="AC195" s="772">
        <v>81</v>
      </c>
      <c r="AD195" s="772">
        <v>34</v>
      </c>
      <c r="AE195" s="771">
        <v>4</v>
      </c>
      <c r="AF195" s="771">
        <v>21</v>
      </c>
      <c r="AG195" s="771">
        <v>1</v>
      </c>
    </row>
    <row r="196">
      <c r="A196" s="749"/>
      <c r="B196" s="782" t="s">
        <v>440</v>
      </c>
      <c r="C196" s="782"/>
      <c r="D196" s="783">
        <f>SUM(D192:D195)</f>
      </c>
      <c r="E196" s="783">
        <f>SUM(E192:E195)</f>
      </c>
      <c r="F196" s="783">
        <f>SUM(F192:F195)</f>
      </c>
      <c r="G196" s="783">
        <f>SUM(G192:G195)</f>
      </c>
      <c r="H196" s="783">
        <f>SUM(H192:H195)</f>
      </c>
      <c r="I196" s="804">
        <f t="shared" si="79"/>
      </c>
      <c r="J196" s="804">
        <f t="shared" si="65"/>
      </c>
      <c r="K196" s="810">
        <f t="shared" si="13"/>
      </c>
      <c r="L196" s="806">
        <f t="shared" si="107"/>
      </c>
      <c r="M196" s="786">
        <f t="shared" si="63"/>
      </c>
      <c r="N196" s="785">
        <f t="shared" si="121"/>
      </c>
      <c r="O196" s="785">
        <f t="shared" si="164"/>
      </c>
      <c r="P196" s="786">
        <f t="shared" si="93"/>
      </c>
      <c r="Q196" s="785">
        <f t="shared" si="205"/>
      </c>
      <c r="R196" s="785">
        <f t="shared" si="135"/>
      </c>
      <c r="S196" s="787">
        <f t="shared" si="150"/>
      </c>
      <c r="T196" s="788">
        <f t="shared" si="177"/>
      </c>
      <c r="U196" s="787">
        <f t="shared" si="191"/>
      </c>
      <c r="V196" s="789">
        <f t="shared" si="218"/>
      </c>
      <c r="W196" s="789"/>
      <c r="X196" s="789"/>
      <c r="Y196" s="783">
        <f>SUM(Y192:Y195)</f>
      </c>
      <c r="Z196" s="783">
        <f>SUM(Z192:Z195)</f>
      </c>
      <c r="AA196" s="783">
        <f>SUM(AA192:AA195)</f>
      </c>
      <c r="AB196" s="783">
        <f>SUM(AB192:AB195)</f>
      </c>
      <c r="AC196" s="783">
        <f>SUM(AC192:AC195)</f>
      </c>
      <c r="AD196" s="783">
        <f>SUM(AD192:AD195)</f>
      </c>
      <c r="AE196" s="783">
        <f>SUM(AE192:AE195)</f>
      </c>
      <c r="AF196" s="783">
        <f>SUM(AF192:AF195)</f>
      </c>
      <c r="AG196" s="783">
        <f>SUM(AG192:AG195)</f>
      </c>
    </row>
    <row r="197">
      <c r="A197" s="749"/>
      <c r="B197" s="818" t="s">
        <v>441</v>
      </c>
      <c r="C197" s="751" t="s">
        <v>442</v>
      </c>
      <c r="D197" s="751">
        <f t="shared" ref="D197:D200" si="48">E197+F197</f>
      </c>
      <c r="E197" s="799">
        <v>2330.43</v>
      </c>
      <c r="F197" s="799">
        <v>885.71</v>
      </c>
      <c r="G197" s="790">
        <v>4</v>
      </c>
      <c r="H197" s="790">
        <v>7564</v>
      </c>
      <c r="I197" s="753">
        <f t="shared" si="79"/>
      </c>
      <c r="J197" s="753">
        <f t="shared" si="65"/>
      </c>
      <c r="K197" s="819">
        <f t="shared" si="13"/>
      </c>
      <c r="L197" s="803">
        <f t="shared" si="107"/>
      </c>
      <c r="M197" s="774">
        <f t="shared" si="63"/>
      </c>
      <c r="N197" s="773">
        <f t="shared" si="121"/>
      </c>
      <c r="O197" s="773">
        <f t="shared" si="164"/>
      </c>
      <c r="P197" s="774">
        <f t="shared" si="93"/>
      </c>
      <c r="Q197" s="773">
        <f t="shared" si="205"/>
      </c>
      <c r="R197" s="773">
        <f t="shared" si="135"/>
      </c>
      <c r="S197" s="775">
        <f t="shared" si="150"/>
      </c>
      <c r="T197" s="776">
        <f t="shared" si="177"/>
      </c>
      <c r="U197" s="775">
        <f t="shared" si="191"/>
      </c>
      <c r="V197" s="777">
        <f t="shared" si="218"/>
      </c>
      <c r="W197" s="831" t="s">
        <v>435</v>
      </c>
      <c r="X197" s="840" t="s">
        <v>472</v>
      </c>
      <c r="Y197" s="781">
        <v>4</v>
      </c>
      <c r="Z197" s="781">
        <v>10604</v>
      </c>
      <c r="AA197" s="781">
        <v>378</v>
      </c>
      <c r="AB197" s="781">
        <v>567</v>
      </c>
      <c r="AC197" s="781">
        <v>87</v>
      </c>
      <c r="AD197" s="781">
        <v>49</v>
      </c>
      <c r="AE197" s="781">
        <v>9</v>
      </c>
      <c r="AF197" s="780">
        <v>20</v>
      </c>
      <c r="AG197" s="780">
        <v>1</v>
      </c>
    </row>
    <row r="198">
      <c r="A198" s="749"/>
      <c r="B198" s="818" t="s">
        <v>443</v>
      </c>
      <c r="C198" s="751" t="s">
        <v>442</v>
      </c>
      <c r="D198" s="751">
        <f t="shared" si="48"/>
      </c>
      <c r="E198" s="799">
        <v>2593.38</v>
      </c>
      <c r="F198" s="799">
        <v>1277.51</v>
      </c>
      <c r="G198" s="790">
        <v>7</v>
      </c>
      <c r="H198" s="790">
        <v>12756</v>
      </c>
      <c r="I198" s="753">
        <f t="shared" si="79"/>
      </c>
      <c r="J198" s="753">
        <f t="shared" si="65"/>
      </c>
      <c r="K198" s="819">
        <f t="shared" si="13"/>
      </c>
      <c r="L198" s="803">
        <f t="shared" si="107"/>
      </c>
      <c r="M198" s="774">
        <f t="shared" si="63"/>
      </c>
      <c r="N198" s="773">
        <f t="shared" si="121"/>
      </c>
      <c r="O198" s="773">
        <f t="shared" si="164"/>
      </c>
      <c r="P198" s="774">
        <f t="shared" si="93"/>
      </c>
      <c r="Q198" s="773">
        <f t="shared" si="205"/>
      </c>
      <c r="R198" s="773">
        <f t="shared" si="135"/>
      </c>
      <c r="S198" s="775">
        <f t="shared" si="150"/>
      </c>
      <c r="T198" s="776">
        <f t="shared" si="177"/>
      </c>
      <c r="U198" s="775">
        <f t="shared" si="191"/>
      </c>
      <c r="V198" s="777">
        <f t="shared" si="218"/>
      </c>
      <c r="W198" s="831" t="s">
        <v>435</v>
      </c>
      <c r="X198" s="840" t="s">
        <v>472</v>
      </c>
      <c r="Y198" s="781">
        <v>7</v>
      </c>
      <c r="Z198" s="781">
        <v>15517</v>
      </c>
      <c r="AA198" s="781">
        <v>597</v>
      </c>
      <c r="AB198" s="781">
        <v>782</v>
      </c>
      <c r="AC198" s="781">
        <v>123</v>
      </c>
      <c r="AD198" s="781">
        <v>67</v>
      </c>
      <c r="AE198" s="780">
        <v>8</v>
      </c>
      <c r="AF198" s="780">
        <v>32</v>
      </c>
      <c r="AG198" s="780">
        <v>1</v>
      </c>
    </row>
    <row r="199">
      <c r="A199" s="749"/>
      <c r="B199" s="818" t="s">
        <v>451</v>
      </c>
      <c r="C199" s="751" t="s">
        <v>442</v>
      </c>
      <c r="D199" s="751">
        <f t="shared" si="48"/>
      </c>
      <c r="E199" s="799">
        <v>2227.22</v>
      </c>
      <c r="F199" s="799">
        <v>1039.56</v>
      </c>
      <c r="G199" s="752">
        <v>1</v>
      </c>
      <c r="H199" s="752">
        <v>948</v>
      </c>
      <c r="I199" s="753">
        <f t="shared" si="79"/>
      </c>
      <c r="J199" s="753">
        <f t="shared" si="65"/>
      </c>
      <c r="K199" s="819">
        <f t="shared" si="13"/>
      </c>
      <c r="L199" s="803">
        <f t="shared" si="107"/>
      </c>
      <c r="M199" s="774">
        <f t="shared" si="63"/>
      </c>
      <c r="N199" s="773">
        <f t="shared" si="121"/>
      </c>
      <c r="O199" s="773">
        <f t="shared" si="164"/>
      </c>
      <c r="P199" s="774">
        <f t="shared" si="93"/>
      </c>
      <c r="Q199" s="773">
        <f t="shared" si="205"/>
      </c>
      <c r="R199" s="773">
        <f t="shared" si="135"/>
      </c>
      <c r="S199" s="775">
        <f t="shared" si="150"/>
      </c>
      <c r="T199" s="776">
        <f t="shared" si="177"/>
      </c>
      <c r="U199" s="775">
        <f t="shared" si="191"/>
      </c>
      <c r="V199" s="777">
        <f t="shared" si="218"/>
      </c>
      <c r="W199" s="831" t="s">
        <v>435</v>
      </c>
      <c r="X199" s="840" t="s">
        <v>472</v>
      </c>
      <c r="Y199" s="781">
        <v>1</v>
      </c>
      <c r="Z199" s="781">
        <v>13804</v>
      </c>
      <c r="AA199" s="781">
        <v>463</v>
      </c>
      <c r="AB199" s="781">
        <v>608</v>
      </c>
      <c r="AC199" s="781">
        <v>96</v>
      </c>
      <c r="AD199" s="781">
        <v>50</v>
      </c>
      <c r="AE199" s="780">
        <v>5</v>
      </c>
      <c r="AF199" s="780">
        <v>26</v>
      </c>
      <c r="AG199" s="780">
        <v>1</v>
      </c>
    </row>
    <row r="200">
      <c r="A200" s="749"/>
      <c r="B200" s="818" t="s">
        <v>452</v>
      </c>
      <c r="C200" s="751" t="s">
        <v>442</v>
      </c>
      <c r="D200" s="751">
        <f t="shared" si="48"/>
      </c>
      <c r="E200" s="799">
        <v>3048.26</v>
      </c>
      <c r="F200" s="799">
        <v>999.01</v>
      </c>
      <c r="G200" s="752">
        <v>4</v>
      </c>
      <c r="H200" s="752">
        <v>7752</v>
      </c>
      <c r="I200" s="753">
        <f t="shared" si="79"/>
      </c>
      <c r="J200" s="753">
        <f t="shared" si="65"/>
      </c>
      <c r="K200" s="819">
        <f t="shared" si="13"/>
      </c>
      <c r="L200" s="803">
        <f t="shared" si="107"/>
      </c>
      <c r="M200" s="774">
        <f t="shared" si="63"/>
      </c>
      <c r="N200" s="773">
        <f t="shared" si="121"/>
      </c>
      <c r="O200" s="773">
        <f t="shared" si="164"/>
      </c>
      <c r="P200" s="774">
        <f t="shared" si="93"/>
      </c>
      <c r="Q200" s="773">
        <f t="shared" si="205"/>
      </c>
      <c r="R200" s="773">
        <f t="shared" si="135"/>
      </c>
      <c r="S200" s="775">
        <f t="shared" si="150"/>
      </c>
      <c r="T200" s="776">
        <f t="shared" si="177"/>
      </c>
      <c r="U200" s="775">
        <f t="shared" si="191"/>
      </c>
      <c r="V200" s="777">
        <f t="shared" si="218"/>
      </c>
      <c r="W200" s="831" t="s">
        <v>435</v>
      </c>
      <c r="X200" s="840" t="s">
        <v>472</v>
      </c>
      <c r="Y200" s="781">
        <v>4</v>
      </c>
      <c r="Z200" s="781">
        <v>14972</v>
      </c>
      <c r="AA200" s="781">
        <v>385</v>
      </c>
      <c r="AB200" s="781">
        <v>560</v>
      </c>
      <c r="AC200" s="781">
        <v>107</v>
      </c>
      <c r="AD200" s="781">
        <v>49</v>
      </c>
      <c r="AE200" s="780">
        <v>11</v>
      </c>
      <c r="AF200" s="780">
        <v>24</v>
      </c>
      <c r="AG200" s="780">
        <v>1</v>
      </c>
    </row>
    <row r="201">
      <c r="A201" s="749"/>
      <c r="B201" s="782" t="s">
        <v>440</v>
      </c>
      <c r="C201" s="782"/>
      <c r="D201" s="783">
        <f>SUM(D197:D200)</f>
      </c>
      <c r="E201" s="783">
        <f>SUM(E197:E200)</f>
      </c>
      <c r="F201" s="783">
        <f>SUM(F197:F200)</f>
      </c>
      <c r="G201" s="783">
        <f>SUM(G197:G200)</f>
      </c>
      <c r="H201" s="783">
        <f>SUM(H197:H200)</f>
      </c>
      <c r="I201" s="804">
        <f t="shared" si="79"/>
      </c>
      <c r="J201" s="804">
        <f t="shared" si="65"/>
      </c>
      <c r="K201" s="810">
        <f t="shared" si="13"/>
      </c>
      <c r="L201" s="806">
        <f t="shared" si="107"/>
      </c>
      <c r="M201" s="786">
        <f t="shared" si="63"/>
      </c>
      <c r="N201" s="785">
        <f t="shared" si="121"/>
      </c>
      <c r="O201" s="785">
        <f t="shared" si="164"/>
      </c>
      <c r="P201" s="786">
        <f t="shared" si="93"/>
      </c>
      <c r="Q201" s="785">
        <f t="shared" si="205"/>
      </c>
      <c r="R201" s="785">
        <f t="shared" si="135"/>
      </c>
      <c r="S201" s="787">
        <f t="shared" si="150"/>
      </c>
      <c r="T201" s="788">
        <f t="shared" si="177"/>
      </c>
      <c r="U201" s="787">
        <f t="shared" si="191"/>
      </c>
      <c r="V201" s="789">
        <f t="shared" si="218"/>
      </c>
      <c r="W201" s="789"/>
      <c r="X201" s="789"/>
      <c r="Y201" s="783">
        <f>SUM(Y197:Y200)</f>
      </c>
      <c r="Z201" s="783">
        <f>SUM(Z197:Z200)</f>
      </c>
      <c r="AA201" s="783">
        <f>SUM(AA197:AA200)</f>
      </c>
      <c r="AB201" s="783">
        <f>SUM(AB197:AB200)</f>
      </c>
      <c r="AC201" s="783">
        <f>SUM(AC197:AC200)</f>
      </c>
      <c r="AD201" s="783">
        <f>SUM(AD197:AD200)</f>
      </c>
      <c r="AE201" s="783">
        <f>SUM(AE197:AE200)</f>
      </c>
      <c r="AF201" s="783">
        <f>SUM(AF197:AF200)</f>
      </c>
      <c r="AG201" s="783">
        <f>SUM(AG197:AG200)</f>
      </c>
    </row>
    <row r="202">
      <c r="A202" s="749"/>
      <c r="B202" s="818" t="s">
        <v>456</v>
      </c>
      <c r="C202" s="751" t="s">
        <v>455</v>
      </c>
      <c r="D202" s="751">
        <f t="shared" ref="D202:D205" si="49">E202+F202</f>
      </c>
      <c r="E202" s="799">
        <v>2926.98</v>
      </c>
      <c r="F202" s="799">
        <v>749.07</v>
      </c>
      <c r="G202" s="752">
        <v>4</v>
      </c>
      <c r="H202" s="752">
        <v>7752</v>
      </c>
      <c r="I202" s="753">
        <f t="shared" si="79"/>
      </c>
      <c r="J202" s="753">
        <f t="shared" si="65"/>
      </c>
      <c r="K202" s="833">
        <f t="shared" si="13"/>
      </c>
      <c r="L202" s="803">
        <f t="shared" si="107"/>
      </c>
      <c r="M202" s="774">
        <f t="shared" si="63"/>
      </c>
      <c r="N202" s="773">
        <f t="shared" si="121"/>
      </c>
      <c r="O202" s="773">
        <f t="shared" si="164"/>
      </c>
      <c r="P202" s="774">
        <f t="shared" si="93"/>
      </c>
      <c r="Q202" s="773">
        <f t="shared" si="205"/>
      </c>
      <c r="R202" s="773">
        <f t="shared" si="135"/>
      </c>
      <c r="S202" s="775">
        <f t="shared" si="150"/>
      </c>
      <c r="T202" s="776">
        <f t="shared" si="177"/>
      </c>
      <c r="U202" s="775">
        <f t="shared" si="191"/>
      </c>
      <c r="V202" s="777">
        <f t="shared" si="218"/>
      </c>
      <c r="W202" s="831" t="s">
        <v>435</v>
      </c>
      <c r="X202" s="826" t="s">
        <v>447</v>
      </c>
      <c r="Y202" s="781">
        <v>4</v>
      </c>
      <c r="Z202" s="781">
        <v>14392</v>
      </c>
      <c r="AA202" s="781">
        <v>370</v>
      </c>
      <c r="AB202" s="781">
        <v>520</v>
      </c>
      <c r="AC202" s="781">
        <v>95</v>
      </c>
      <c r="AD202" s="781">
        <v>43</v>
      </c>
      <c r="AE202" s="780">
        <v>8</v>
      </c>
      <c r="AF202" s="780">
        <v>17</v>
      </c>
      <c r="AG202" s="780">
        <v>1</v>
      </c>
    </row>
    <row r="203">
      <c r="A203" s="749"/>
      <c r="B203" s="818" t="s">
        <v>457</v>
      </c>
      <c r="C203" s="751" t="s">
        <v>455</v>
      </c>
      <c r="D203" s="751">
        <f t="shared" si="49"/>
      </c>
      <c r="E203" s="799">
        <v>3067.88</v>
      </c>
      <c r="F203" s="799">
        <v>843.21</v>
      </c>
      <c r="G203" s="752">
        <v>3</v>
      </c>
      <c r="H203" s="752">
        <v>5484</v>
      </c>
      <c r="I203" s="753">
        <f t="shared" si="79"/>
      </c>
      <c r="J203" s="753">
        <f t="shared" si="65"/>
      </c>
      <c r="K203" s="833">
        <f t="shared" si="13"/>
      </c>
      <c r="L203" s="803">
        <f t="shared" si="107"/>
      </c>
      <c r="M203" s="774">
        <f t="shared" si="63"/>
      </c>
      <c r="N203" s="773">
        <f t="shared" si="121"/>
      </c>
      <c r="O203" s="773">
        <f t="shared" si="164"/>
      </c>
      <c r="P203" s="774">
        <f t="shared" si="93"/>
      </c>
      <c r="Q203" s="773">
        <f t="shared" si="205"/>
      </c>
      <c r="R203" s="773">
        <f t="shared" si="135"/>
      </c>
      <c r="S203" s="775">
        <f t="shared" si="150"/>
      </c>
      <c r="T203" s="776">
        <f t="shared" si="177"/>
      </c>
      <c r="U203" s="775">
        <f t="shared" si="191"/>
      </c>
      <c r="V203" s="777">
        <f t="shared" si="218"/>
      </c>
      <c r="W203" s="831" t="s">
        <v>435</v>
      </c>
      <c r="X203" s="830" t="s">
        <v>447</v>
      </c>
      <c r="Y203" s="781">
        <v>3</v>
      </c>
      <c r="Z203" s="781">
        <v>18978</v>
      </c>
      <c r="AA203" s="781">
        <v>459</v>
      </c>
      <c r="AB203" s="781">
        <v>633</v>
      </c>
      <c r="AC203" s="781">
        <v>81</v>
      </c>
      <c r="AD203" s="780">
        <v>53</v>
      </c>
      <c r="AE203" s="780">
        <v>9</v>
      </c>
      <c r="AF203" s="780">
        <v>13</v>
      </c>
      <c r="AG203" s="780">
        <v>1</v>
      </c>
    </row>
    <row r="204">
      <c r="A204" s="749"/>
      <c r="B204" s="750" t="s">
        <v>459</v>
      </c>
      <c r="C204" s="751" t="s">
        <v>455</v>
      </c>
      <c r="D204" s="751">
        <f t="shared" si="49"/>
      </c>
      <c r="E204" s="799">
        <v>2450.19</v>
      </c>
      <c r="F204" s="799">
        <v>718.82</v>
      </c>
      <c r="G204" s="752">
        <v>3</v>
      </c>
      <c r="H204" s="752">
        <v>1985</v>
      </c>
      <c r="I204" s="753">
        <f t="shared" si="79"/>
      </c>
      <c r="J204" s="753">
        <f t="shared" si="65"/>
      </c>
      <c r="K204" s="833">
        <f t="shared" si="13"/>
      </c>
      <c r="L204" s="803">
        <f t="shared" si="107"/>
      </c>
      <c r="M204" s="774">
        <f t="shared" si="63"/>
      </c>
      <c r="N204" s="773">
        <f t="shared" si="121"/>
      </c>
      <c r="O204" s="773">
        <f t="shared" si="164"/>
      </c>
      <c r="P204" s="774">
        <f t="shared" si="93"/>
      </c>
      <c r="Q204" s="773">
        <f t="shared" si="205"/>
      </c>
      <c r="R204" s="773">
        <f t="shared" si="135"/>
      </c>
      <c r="S204" s="775">
        <f t="shared" si="150"/>
      </c>
      <c r="T204" s="776">
        <f t="shared" si="177"/>
      </c>
      <c r="U204" s="775">
        <f t="shared" si="191"/>
      </c>
      <c r="V204" s="777">
        <f t="shared" si="218"/>
      </c>
      <c r="W204" s="831" t="s">
        <v>435</v>
      </c>
      <c r="X204" s="830" t="s">
        <v>447</v>
      </c>
      <c r="Y204" s="781">
        <v>2</v>
      </c>
      <c r="Z204" s="781">
        <v>15240</v>
      </c>
      <c r="AA204" s="781">
        <v>380</v>
      </c>
      <c r="AB204" s="781">
        <v>548</v>
      </c>
      <c r="AC204" s="781">
        <v>72</v>
      </c>
      <c r="AD204" s="780">
        <v>46</v>
      </c>
      <c r="AE204" s="780">
        <v>3</v>
      </c>
      <c r="AF204" s="780">
        <v>11</v>
      </c>
      <c r="AG204" s="780">
        <v>1</v>
      </c>
    </row>
    <row r="205">
      <c r="A205" s="749"/>
      <c r="B205" s="750" t="s">
        <v>460</v>
      </c>
      <c r="C205" s="751" t="s">
        <v>455</v>
      </c>
      <c r="D205" s="751">
        <f t="shared" si="49"/>
      </c>
      <c r="E205" s="799">
        <v>2353.04</v>
      </c>
      <c r="F205" s="799">
        <v>349.63</v>
      </c>
      <c r="G205" s="752">
        <v>3</v>
      </c>
      <c r="H205" s="752">
        <v>6804</v>
      </c>
      <c r="I205" s="753">
        <f t="shared" si="79"/>
      </c>
      <c r="J205" s="753">
        <f t="shared" si="65"/>
      </c>
      <c r="K205" s="833">
        <f t="shared" si="13"/>
      </c>
      <c r="L205" s="803">
        <f t="shared" si="107"/>
      </c>
      <c r="M205" s="774">
        <f t="shared" si="63"/>
      </c>
      <c r="N205" s="773">
        <f t="shared" si="121"/>
      </c>
      <c r="O205" s="773">
        <f t="shared" si="164"/>
      </c>
      <c r="P205" s="774">
        <f t="shared" si="93"/>
      </c>
      <c r="Q205" s="773">
        <f t="shared" si="205"/>
      </c>
      <c r="R205" s="773">
        <f t="shared" si="135"/>
      </c>
      <c r="S205" s="775">
        <f t="shared" si="150"/>
      </c>
      <c r="T205" s="776">
        <f t="shared" si="177"/>
      </c>
      <c r="U205" s="775">
        <f t="shared" si="191"/>
      </c>
      <c r="V205" s="777">
        <f t="shared" si="218"/>
      </c>
      <c r="W205" s="831" t="s">
        <v>435</v>
      </c>
      <c r="X205" s="830" t="s">
        <v>447</v>
      </c>
      <c r="Y205" s="781">
        <v>2</v>
      </c>
      <c r="Z205" s="781">
        <v>12830</v>
      </c>
      <c r="AA205" s="781">
        <v>319</v>
      </c>
      <c r="AB205" s="781">
        <v>413</v>
      </c>
      <c r="AC205" s="781">
        <v>89</v>
      </c>
      <c r="AD205" s="781">
        <v>37</v>
      </c>
      <c r="AE205" s="780">
        <v>6</v>
      </c>
      <c r="AF205" s="780">
        <v>21</v>
      </c>
      <c r="AG205" s="780">
        <v>1</v>
      </c>
    </row>
    <row r="206">
      <c r="A206" s="749"/>
      <c r="B206" s="782" t="s">
        <v>440</v>
      </c>
      <c r="C206" s="782"/>
      <c r="D206" s="783">
        <f>SUM(D202:D205)</f>
      </c>
      <c r="E206" s="783">
        <f>SUM(E202:E205)</f>
      </c>
      <c r="F206" s="783">
        <f>SUM(F202:F205)</f>
      </c>
      <c r="G206" s="783">
        <f>SUM(G202:G205)</f>
      </c>
      <c r="H206" s="783">
        <f>SUM(H202:H205)</f>
      </c>
      <c r="I206" s="804">
        <f t="shared" si="79"/>
      </c>
      <c r="J206" s="804">
        <f t="shared" si="65"/>
      </c>
      <c r="K206" s="834">
        <f t="shared" si="13"/>
      </c>
      <c r="L206" s="806">
        <f t="shared" si="107"/>
      </c>
      <c r="M206" s="786">
        <f t="shared" si="63"/>
      </c>
      <c r="N206" s="785">
        <f t="shared" si="121"/>
      </c>
      <c r="O206" s="785">
        <f t="shared" si="164"/>
      </c>
      <c r="P206" s="786">
        <f t="shared" si="93"/>
      </c>
      <c r="Q206" s="785">
        <f t="shared" si="205"/>
      </c>
      <c r="R206" s="785">
        <f t="shared" si="135"/>
      </c>
      <c r="S206" s="787">
        <f t="shared" si="150"/>
      </c>
      <c r="T206" s="788">
        <f t="shared" si="177"/>
      </c>
      <c r="U206" s="787">
        <f t="shared" si="191"/>
      </c>
      <c r="V206" s="789">
        <f t="shared" si="218"/>
      </c>
      <c r="W206" s="789"/>
      <c r="X206" s="789"/>
      <c r="Y206" s="783">
        <f>SUM(Y202:Y205)</f>
      </c>
      <c r="Z206" s="783">
        <f>SUM(Z202:Z205)</f>
      </c>
      <c r="AA206" s="783">
        <f>SUM(AA202:AA205)</f>
      </c>
      <c r="AB206" s="783">
        <f>SUM(AB202:AB205)</f>
      </c>
      <c r="AC206" s="783">
        <f>SUM(AC202:AC205)</f>
      </c>
      <c r="AD206" s="783">
        <f>SUM(AD202:AD205)</f>
      </c>
      <c r="AE206" s="783">
        <f>SUM(AE202:AE205)</f>
      </c>
      <c r="AF206" s="783">
        <f>SUM(AF202:AF205)</f>
      </c>
      <c r="AG206" s="783">
        <f>SUM(AG202:AG205)</f>
      </c>
    </row>
    <row r="207">
      <c r="A207" s="749"/>
      <c r="B207" s="791" t="s">
        <v>444</v>
      </c>
      <c r="C207" s="791"/>
      <c r="D207" s="791">
        <f>D196+D206+D201</f>
      </c>
      <c r="E207" s="791">
        <f>E196+E206+E201</f>
      </c>
      <c r="F207" s="791">
        <f>F196+F206+F201</f>
      </c>
      <c r="G207" s="791">
        <f>G196+G206+G201</f>
      </c>
      <c r="H207" s="791">
        <f>H196+H206+H201</f>
      </c>
      <c r="I207" s="792">
        <f t="shared" si="79"/>
      </c>
      <c r="J207" s="792">
        <f t="shared" si="65"/>
      </c>
      <c r="K207" s="797">
        <f t="shared" si="13"/>
      </c>
      <c r="L207" s="809">
        <f t="shared" si="107"/>
      </c>
      <c r="M207" s="794">
        <f t="shared" si="63"/>
      </c>
      <c r="N207" s="795">
        <f t="shared" si="121"/>
      </c>
      <c r="O207" s="795">
        <f t="shared" si="164"/>
      </c>
      <c r="P207" s="794">
        <f t="shared" si="93"/>
      </c>
      <c r="Q207" s="795">
        <f t="shared" si="205"/>
      </c>
      <c r="R207" s="795">
        <f t="shared" si="135"/>
      </c>
      <c r="S207" s="794">
        <f t="shared" si="150"/>
      </c>
      <c r="T207" s="796">
        <f t="shared" si="177"/>
      </c>
      <c r="U207" s="794">
        <f t="shared" si="191"/>
      </c>
      <c r="V207" s="797">
        <f t="shared" si="218"/>
      </c>
      <c r="W207" s="797"/>
      <c r="X207" s="797"/>
      <c r="Y207" s="791">
        <f>Y196+Y206+Y201</f>
      </c>
      <c r="Z207" s="791">
        <f>Z196+Z206+Z201</f>
      </c>
      <c r="AA207" s="791">
        <f>AA196+AA206+AA201</f>
      </c>
      <c r="AB207" s="791">
        <f>AB196+AB206+AB201</f>
      </c>
      <c r="AC207" s="791">
        <f>AC196+AC206+AC201</f>
      </c>
      <c r="AD207" s="791">
        <f>AD196+AD206+AD201</f>
      </c>
      <c r="AE207" s="791">
        <f>AE196+AE206+AE201</f>
      </c>
      <c r="AF207" s="791">
        <f>AF196+AF206+AF201</f>
      </c>
      <c r="AG207" s="791">
        <f>AG196+AG206+AG201</f>
      </c>
    </row>
    <row r="208">
      <c r="A208" s="841"/>
      <c r="B208" s="841"/>
      <c r="C208" s="841"/>
      <c r="D208" s="841"/>
      <c r="E208" s="841"/>
      <c r="F208" s="841"/>
      <c r="G208" s="841">
        <f>G209-G207</f>
      </c>
      <c r="H208" s="841">
        <f>H209-H207</f>
      </c>
      <c r="I208" s="841"/>
      <c r="J208" s="841"/>
      <c r="K208" s="841"/>
      <c r="L208" s="841"/>
      <c r="M208" s="841"/>
      <c r="N208" s="841"/>
      <c r="O208" s="841"/>
      <c r="P208" s="841"/>
      <c r="Q208" s="841"/>
      <c r="R208" s="841"/>
      <c r="S208" s="841"/>
      <c r="T208" s="841"/>
      <c r="U208" s="841"/>
      <c r="V208" s="841"/>
      <c r="W208" s="841"/>
      <c r="X208" s="841"/>
      <c r="Y208" s="841"/>
      <c r="Z208" s="841"/>
      <c r="AA208" s="841"/>
      <c r="AB208" s="841"/>
      <c r="AC208" s="841"/>
      <c r="AD208" s="841"/>
      <c r="AE208" s="841">
        <f>AE209-AE207</f>
      </c>
      <c r="AF208" s="841">
        <f>AF209-AF194-AF195-AF201-AF206</f>
      </c>
      <c r="AG208" s="841"/>
    </row>
    <row r="209">
      <c r="A209" s="841"/>
      <c r="B209" s="841"/>
      <c r="C209" s="841"/>
      <c r="D209" s="841"/>
      <c r="E209" s="841"/>
      <c r="F209" s="841"/>
      <c r="G209" s="841" cm="1">
        <f t="array" ref="G209:G209">IMPORTRANGE("https://meimeiwangluo.feishu.cn/sheets/BdrtsODdph4hLdtnTbAcZQ6Znig","'Sheet1'!C1")</f>
      </c>
      <c r="H209" s="841" cm="1">
        <f t="array" ref="H209:H209">IMPORTRANGE("https://meimeiwangluo.feishu.cn/sheets/BdrtsODdph4hLdtnTbAcZQ6Znig","'Sheet1'!D1")</f>
      </c>
      <c r="I209" s="841"/>
      <c r="J209" s="841"/>
      <c r="K209" s="841"/>
      <c r="L209" s="841"/>
      <c r="M209" s="841"/>
      <c r="N209" s="841"/>
      <c r="O209" s="841"/>
      <c r="P209" s="841"/>
      <c r="Q209" s="841"/>
      <c r="R209" s="841"/>
      <c r="S209" s="841"/>
      <c r="T209" s="841"/>
      <c r="U209" s="841"/>
      <c r="V209" s="841"/>
      <c r="W209" s="841"/>
      <c r="X209" s="841"/>
      <c r="Y209" s="841"/>
      <c r="Z209" s="841"/>
      <c r="AA209" s="841"/>
      <c r="AB209" s="841"/>
      <c r="AC209" s="841"/>
      <c r="AD209" s="841"/>
      <c r="AE209" s="842">
        <v>78</v>
      </c>
      <c r="AF209" s="842">
        <v>202</v>
      </c>
      <c r="AG209" s="842"/>
    </row>
  </sheetData>
  <mergeCells>
    <mergeCell ref="A154:C154"/>
    <mergeCell ref="D154:I154"/>
    <mergeCell ref="Y154:AF154"/>
    <mergeCell ref="K154:X154"/>
    <mergeCell ref="B207:C207"/>
    <mergeCell ref="B206:C206"/>
    <mergeCell ref="B201:C201"/>
    <mergeCell ref="B196:C196"/>
    <mergeCell ref="A192:A207"/>
    <mergeCell ref="Y190:AG190"/>
    <mergeCell ref="D190:J190"/>
    <mergeCell ref="K190:X190"/>
    <mergeCell ref="A190:C190"/>
    <mergeCell ref="Y172:AG172"/>
    <mergeCell ref="D172:J172"/>
    <mergeCell ref="K172:X172"/>
    <mergeCell ref="B189:C189"/>
    <mergeCell ref="B188:C188"/>
    <mergeCell ref="B183:C183"/>
    <mergeCell ref="B178:C178"/>
    <mergeCell ref="A174:A189"/>
    <mergeCell ref="A172:C172"/>
    <mergeCell ref="A156:A171"/>
    <mergeCell ref="B160:C160"/>
    <mergeCell ref="B165:C165"/>
    <mergeCell ref="B170:C170"/>
    <mergeCell ref="B171:C171"/>
    <mergeCell ref="K136:X136"/>
    <mergeCell ref="Y136:AF136"/>
    <mergeCell ref="Y58:AF58"/>
    <mergeCell ref="K58:X58"/>
    <mergeCell ref="Y45:AF45"/>
    <mergeCell ref="K45:X45"/>
    <mergeCell ref="Y34:AF34"/>
    <mergeCell ref="K34:X34"/>
    <mergeCell ref="Y23:AF23"/>
    <mergeCell ref="K23:X23"/>
    <mergeCell ref="Y12:AF12"/>
    <mergeCell ref="K12:X12"/>
    <mergeCell ref="K1:W1"/>
    <mergeCell ref="X1:AE1"/>
    <mergeCell ref="Y71:AF71"/>
    <mergeCell ref="K71:X71"/>
    <mergeCell ref="K87:X87"/>
    <mergeCell ref="Y87:AF87"/>
    <mergeCell ref="K101:X101"/>
    <mergeCell ref="Y101:AF101"/>
    <mergeCell ref="K119:X119"/>
    <mergeCell ref="Y119:AF119"/>
    <mergeCell ref="B135:C135"/>
    <mergeCell ref="B134:C134"/>
    <mergeCell ref="B130:C130"/>
    <mergeCell ref="B125:C125"/>
    <mergeCell ref="A121:A135"/>
    <mergeCell ref="D119:I119"/>
    <mergeCell ref="A119:C119"/>
    <mergeCell ref="A103:A118"/>
    <mergeCell ref="B117:C117"/>
    <mergeCell ref="B118:C118"/>
    <mergeCell ref="B112:C112"/>
    <mergeCell ref="B107:C107"/>
    <mergeCell ref="D101:I101"/>
    <mergeCell ref="A101:C101"/>
    <mergeCell ref="B100:C100"/>
    <mergeCell ref="B99:C99"/>
    <mergeCell ref="B95:C95"/>
    <mergeCell ref="B92:C92"/>
    <mergeCell ref="A89:A100"/>
    <mergeCell ref="D87:I87"/>
    <mergeCell ref="A87:C87"/>
    <mergeCell ref="A73:A86"/>
    <mergeCell ref="B85:C85"/>
    <mergeCell ref="B86:C86"/>
    <mergeCell ref="B77:C77"/>
    <mergeCell ref="B80:C80"/>
    <mergeCell ref="A71:C71"/>
    <mergeCell ref="D71:I71"/>
    <mergeCell ref="A60:A70"/>
    <mergeCell ref="B69:C69"/>
    <mergeCell ref="B70:C70"/>
    <mergeCell ref="A14:A22"/>
    <mergeCell ref="B21:C21"/>
    <mergeCell ref="B22:C22"/>
    <mergeCell ref="A12:C12"/>
    <mergeCell ref="D12:I12"/>
    <mergeCell ref="B18:C18"/>
    <mergeCell ref="A3:A11"/>
    <mergeCell ref="B10:C10"/>
    <mergeCell ref="B11:C11"/>
    <mergeCell ref="A1:C1"/>
    <mergeCell ref="D1:I1"/>
    <mergeCell ref="B7:C7"/>
    <mergeCell ref="A23:C23"/>
    <mergeCell ref="D23:I23"/>
    <mergeCell ref="A25:A33"/>
    <mergeCell ref="B29:C29"/>
    <mergeCell ref="B32:C32"/>
    <mergeCell ref="B33:C33"/>
    <mergeCell ref="A34:C34"/>
    <mergeCell ref="D34:I34"/>
    <mergeCell ref="A36:A44"/>
    <mergeCell ref="B43:C43"/>
    <mergeCell ref="B44:C44"/>
    <mergeCell ref="B39:C39"/>
    <mergeCell ref="A45:C45"/>
    <mergeCell ref="D45:I45"/>
    <mergeCell ref="B50:C50"/>
    <mergeCell ref="A47:A57"/>
    <mergeCell ref="B56:C56"/>
    <mergeCell ref="B57:C57"/>
    <mergeCell ref="A58:C58"/>
    <mergeCell ref="D58:I58"/>
    <mergeCell ref="B63:C63"/>
    <mergeCell ref="D136:I136"/>
    <mergeCell ref="A136:C136"/>
    <mergeCell ref="A138:A153"/>
    <mergeCell ref="B142:C142"/>
    <mergeCell ref="B147:C147"/>
    <mergeCell ref="B152:C152"/>
    <mergeCell ref="B153:C153"/>
  </mergeCell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" min="2" style="0" width="11.211267605633802"/>
  </cols>
  <sheetData>
    <row r="1">
      <c r="A1" s="843" t="s">
        <v>474</v>
      </c>
      <c r="B1" s="844" t="s">
        <v>475</v>
      </c>
      <c r="C1" s="844" t="s">
        <v>476</v>
      </c>
      <c r="D1" s="844" t="s">
        <v>477</v>
      </c>
    </row>
    <row r="2">
      <c r="A2" s="843"/>
      <c r="B2" s="843">
        <v>26</v>
      </c>
      <c r="C2" s="843">
        <v>62</v>
      </c>
      <c r="D2" s="845">
        <f>B2/C2</f>
      </c>
    </row>
    <row r="3">
      <c r="A3" s="846">
        <v>10.5</v>
      </c>
      <c r="B3" t="s">
        <v>475</v>
      </c>
      <c r="C3" t="s">
        <v>476</v>
      </c>
      <c r="D3" t="s">
        <v>477</v>
      </c>
    </row>
    <row r="4">
      <c r="A4" s="847"/>
      <c r="B4">
        <v>26</v>
      </c>
      <c r="C4">
        <v>131</v>
      </c>
      <c r="D4" s="845">
        <f>B4/C4</f>
      </c>
    </row>
    <row r="5">
      <c r="A5" s="846">
        <v>10.4</v>
      </c>
      <c r="B5" t="s">
        <v>475</v>
      </c>
      <c r="C5" t="s">
        <v>476</v>
      </c>
      <c r="D5" t="s">
        <v>477</v>
      </c>
    </row>
    <row r="6">
      <c r="A6" s="846"/>
      <c r="B6">
        <v>38</v>
      </c>
      <c r="C6">
        <v>152</v>
      </c>
      <c r="D6" s="845">
        <f>B6/C6</f>
      </c>
    </row>
    <row r="7">
      <c r="A7" s="846">
        <v>10.3</v>
      </c>
      <c r="B7" t="s">
        <v>475</v>
      </c>
      <c r="C7" t="s">
        <v>476</v>
      </c>
      <c r="D7" t="s">
        <v>477</v>
      </c>
    </row>
    <row r="8">
      <c r="A8" s="847"/>
      <c r="B8" s="843">
        <v>64</v>
      </c>
      <c r="C8" s="843">
        <v>257</v>
      </c>
      <c r="D8" s="845">
        <f>B8/C8</f>
      </c>
    </row>
    <row r="9">
      <c r="A9" s="846">
        <v>10.2</v>
      </c>
      <c r="B9" t="s">
        <v>475</v>
      </c>
      <c r="C9" t="s">
        <v>476</v>
      </c>
      <c r="D9" t="s">
        <v>477</v>
      </c>
    </row>
    <row r="10">
      <c r="A10" s="846"/>
      <c r="B10" s="843">
        <v>41</v>
      </c>
      <c r="C10" s="843">
        <v>190</v>
      </c>
      <c r="D10" s="845">
        <f>B10/C10</f>
      </c>
      <c r="F10" s="848" t="s">
        <v>478</v>
      </c>
      <c r="G10" s="848" t="s">
        <v>479</v>
      </c>
    </row>
    <row r="11">
      <c r="A11" s="846">
        <v>10.1</v>
      </c>
      <c r="B11" t="s">
        <v>475</v>
      </c>
      <c r="C11" t="s">
        <v>476</v>
      </c>
      <c r="D11" t="s">
        <v>477</v>
      </c>
      <c r="E11" s="848">
        <v>10.6</v>
      </c>
      <c r="F11" s="849">
        <v>1811</v>
      </c>
      <c r="G11">
        <v>154</v>
      </c>
    </row>
    <row r="12">
      <c r="A12" s="847"/>
      <c r="B12">
        <v>33</v>
      </c>
      <c r="C12">
        <v>146</v>
      </c>
      <c r="D12" s="845">
        <f>B12/C12</f>
      </c>
      <c r="E12" s="848">
        <v>10.5</v>
      </c>
      <c r="F12" s="849">
        <v>24039</v>
      </c>
      <c r="G12" s="849">
        <v>1742</v>
      </c>
    </row>
    <row r="13">
      <c r="E13" s="848">
        <v>10.4</v>
      </c>
      <c r="F13" s="849">
        <v>24316</v>
      </c>
      <c r="G13" s="849">
        <v>1223</v>
      </c>
    </row>
    <row r="14">
      <c r="E14" s="848">
        <v>10.3</v>
      </c>
      <c r="F14" s="849">
        <v>29912</v>
      </c>
      <c r="G14" s="849">
        <v>1066</v>
      </c>
    </row>
    <row r="15">
      <c r="C15" s="843"/>
      <c r="D15" s="843"/>
      <c r="E15" s="848">
        <v>10.2</v>
      </c>
      <c r="F15" s="849">
        <v>38656</v>
      </c>
      <c r="G15" s="849">
        <v>1925</v>
      </c>
    </row>
    <row r="16">
      <c r="C16" s="843"/>
      <c r="D16" s="843"/>
      <c r="E16" s="848">
        <v>10.1</v>
      </c>
      <c r="F16" s="849">
        <v>28284</v>
      </c>
      <c r="G16" s="849">
        <v>1024</v>
      </c>
    </row>
    <row r="17">
      <c r="C17" s="843"/>
      <c r="D17" s="843"/>
      <c r="F17" s="849">
        <v>147018</v>
      </c>
      <c r="G17">
        <v>7134</v>
      </c>
      <c r="H17" s="850">
        <f>G17/F17</f>
      </c>
    </row>
  </sheetData>
  <mergeCells>
    <mergeCell ref="A11:A12"/>
    <mergeCell ref="A9:A10"/>
    <mergeCell ref="A7:A8"/>
    <mergeCell ref="A5:A6"/>
    <mergeCell ref="A3:A4"/>
    <mergeCell ref="A1:A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