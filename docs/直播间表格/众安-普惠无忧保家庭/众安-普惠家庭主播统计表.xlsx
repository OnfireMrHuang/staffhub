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6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8"/>
    <sheet name="2026.7" sheetId="5" r:id="rId10"/>
    <sheet name="2026.6" sheetId="6" r:id="rId12"/>
    <sheet name="Sheet6" sheetId="7" r:id="rId14"/>
  </sheets>
  <calcPr calcMode="auto"/>
  <pivotCaches>
    <pivotCache cacheId="1" r:id="rId7"/>
    <pivotCache cacheId="2" r:id="rId9"/>
    <pivotCache cacheId="3" r:id="rId11"/>
    <pivotCache cacheId="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<sst xmlns="http://schemas.openxmlformats.org/spreadsheetml/2006/main" count="380" uniqueCount="380">
  <si>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</si>
  <si>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</si>
  <si>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</si>
  <si>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</si>
  <si>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</si>
  <si>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</si>
  <si>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总保单数量</t>
  </si>
  <si>
    <t xml:space="preserve">夫妻版保单</t>
  </si>
  <si>
    <t xml:space="preserve">夫妻版保费</t>
  </si>
  <si>
    <t xml:space="preserve">小家庭版保单</t>
  </si>
  <si>
    <t xml:space="preserve">小家庭版保费</t>
  </si>
  <si>
    <t xml:space="preserve">全家版保单</t>
  </si>
  <si>
    <t xml:space="preserve">全家版保费</t>
  </si>
  <si>
    <t xml:space="preserve">总年化保费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</si>
  <si>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</si>
  <si>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</si>
  <si>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</si>
  <si>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</si>
  <si>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</si>
  <si>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</si>
  <si>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夫妻版占比</t>
  </si>
  <si>
    <t xml:space="preserve">小家庭版占比</t>
  </si>
  <si>
    <t xml:space="preserve">全家版占比</t>
  </si>
  <si>
    <t xml:space="preserve">2026.10.1</t>
  </si>
  <si>
    <t xml:space="preserve">宋博阳</t>
  </si>
  <si>
    <t xml:space="preserve">08:00-12:00</t>
  </si>
  <si>
    <t xml:space="preserve">代文聪双</t>
  </si>
  <si>
    <t xml:space="preserve">左璐筠</t>
  </si>
  <si>
    <t xml:space="preserve">12:00-16:00</t>
  </si>
  <si>
    <t xml:space="preserve">总计</t>
  </si>
  <si>
    <t xml:space="preserve">2026.10.2</t>
  </si>
  <si>
    <t xml:space="preserve">2026.10.3</t>
  </si>
  <si>
    <t xml:space="preserve">2026.10.4</t>
  </si>
  <si>
    <t xml:space="preserve">2026.10.5</t>
  </si>
  <si>
    <t xml:space="preserve">2026.10.6</t>
  </si>
  <si>
    <t xml:space="preserve">王浩博</t>
  </si>
  <si>
    <t xml:space="preserve">2026.10.7</t>
  </si>
  <si>
    <t xml:space="preserve">王浩博双</t>
  </si>
  <si>
    <t xml:space="preserve">2026.10.8</t>
  </si>
  <si>
    <t xml:space="preserve">12:00-17:00</t>
  </si>
  <si>
    <t xml:space="preserve">2026.10.9</t>
  </si>
  <si>
    <t xml:space="preserve">2026.10.10</t>
  </si>
  <si>
    <t xml:space="preserve">2026.10.11</t>
  </si>
  <si>
    <t xml:space="preserve">王紫鑫</t>
  </si>
  <si>
    <t xml:space="preserve">16:00-19:00</t>
  </si>
  <si>
    <t xml:space="preserve">武周帅双</t>
  </si>
  <si>
    <t xml:space="preserve">2026.10.12</t>
  </si>
  <si>
    <t xml:space="preserve">张津津</t>
  </si>
  <si>
    <t xml:space="preserve">2026.10.13</t>
  </si>
  <si>
    <t xml:space="preserve">2026.10.14</t>
  </si>
  <si>
    <t xml:space="preserve">16:00-18:00</t>
  </si>
  <si>
    <t xml:space="preserve">2026.10.15</t>
  </si>
  <si>
    <t xml:space="preserve">李哲双</t>
  </si>
  <si>
    <t xml:space="preserve">2026.10.16</t>
  </si>
  <si>
    <t xml:space="preserve">2026.10.17</t>
  </si>
  <si>
    <t xml:space="preserve">2026.10.18</t>
  </si>
  <si>
    <t xml:space="preserve">2026.10.19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</si>
  <si>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</si>
  <si>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</si>
  <si>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</si>
  <si>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</si>
  <si>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</si>
  <si>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总保单数量</t>
  </si>
  <si>
    <t xml:space="preserve">夫妻版保单</t>
  </si>
  <si>
    <t xml:space="preserve">夫妻版保费</t>
  </si>
  <si>
    <t xml:space="preserve">小家庭版保单</t>
  </si>
  <si>
    <t xml:space="preserve">小家庭版保费</t>
  </si>
  <si>
    <t xml:space="preserve">全家版保单</t>
  </si>
  <si>
    <t xml:space="preserve">全家版保费</t>
  </si>
  <si>
    <t xml:space="preserve">总年化保费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</si>
  <si>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</si>
  <si>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</si>
  <si>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</si>
  <si>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</si>
  <si>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</si>
  <si>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</si>
  <si>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夫妻版占比</t>
  </si>
  <si>
    <t xml:space="preserve">小家庭版占比</t>
  </si>
  <si>
    <t xml:space="preserve">全家版占比</t>
  </si>
  <si>
    <t xml:space="preserve">2026.9.1</t>
  </si>
  <si>
    <t xml:space="preserve">宋博阳</t>
  </si>
  <si>
    <t xml:space="preserve">08:00-12:00</t>
  </si>
  <si>
    <t xml:space="preserve">李哲双</t>
  </si>
  <si>
    <t xml:space="preserve">左璐筠</t>
  </si>
  <si>
    <t xml:space="preserve">12:00-15:00</t>
  </si>
  <si>
    <t xml:space="preserve">总计</t>
  </si>
  <si>
    <t xml:space="preserve">2026.9.2</t>
  </si>
  <si>
    <t xml:space="preserve">08:00-13:00</t>
  </si>
  <si>
    <t xml:space="preserve">刘欣瑶</t>
  </si>
  <si>
    <t xml:space="preserve">13:00-14:00</t>
  </si>
  <si>
    <t xml:space="preserve">2026.9.3</t>
  </si>
  <si>
    <t xml:space="preserve">12:00-16:00</t>
  </si>
  <si>
    <t xml:space="preserve">魏迪双</t>
  </si>
  <si>
    <t xml:space="preserve">2026.9.4</t>
  </si>
  <si>
    <t xml:space="preserve">2026.9.5</t>
  </si>
  <si>
    <t xml:space="preserve">12:00-13:00</t>
  </si>
  <si>
    <t xml:space="preserve">代文聪双</t>
  </si>
  <si>
    <t xml:space="preserve">2026.9.6</t>
  </si>
  <si>
    <t xml:space="preserve">沈静</t>
  </si>
  <si>
    <t xml:space="preserve">2026.9.7</t>
  </si>
  <si>
    <t xml:space="preserve">2026.9.8</t>
  </si>
  <si>
    <t xml:space="preserve">10:00-15:00</t>
  </si>
  <si>
    <t xml:space="preserve">2026.9.9</t>
  </si>
  <si>
    <t xml:space="preserve">08:00-11:00</t>
  </si>
  <si>
    <t xml:space="preserve">11:00-13:00</t>
  </si>
  <si>
    <t xml:space="preserve">2026.9.10</t>
  </si>
  <si>
    <t xml:space="preserve">2026.9.11</t>
  </si>
  <si>
    <t xml:space="preserve">闫小姗双</t>
  </si>
  <si>
    <t xml:space="preserve">13:00-16:00</t>
  </si>
  <si>
    <t xml:space="preserve">2026.9.12</t>
  </si>
  <si>
    <t xml:space="preserve">15:00-18:00</t>
  </si>
  <si>
    <t xml:space="preserve">袁雨萌</t>
  </si>
  <si>
    <t xml:space="preserve">2026.9.13</t>
  </si>
  <si>
    <t xml:space="preserve">王浩博双</t>
  </si>
  <si>
    <t xml:space="preserve">2026.9.14</t>
  </si>
  <si>
    <t xml:space="preserve">2026.9.15</t>
  </si>
  <si>
    <t xml:space="preserve">2026.9.16</t>
  </si>
  <si>
    <t xml:space="preserve">2026.9.17</t>
  </si>
  <si>
    <t xml:space="preserve">2026.9.18</t>
  </si>
  <si>
    <t xml:space="preserve">2026.9.19</t>
  </si>
  <si>
    <t xml:space="preserve">2026.9.20</t>
  </si>
  <si>
    <t xml:space="preserve">12:00-14:00</t>
  </si>
  <si>
    <t xml:space="preserve">2026.9.21</t>
  </si>
  <si>
    <t xml:space="preserve">2026.9.23</t>
  </si>
  <si>
    <t xml:space="preserve">13:00-18:00</t>
  </si>
  <si>
    <t xml:space="preserve">董柯言双</t>
  </si>
  <si>
    <t xml:space="preserve">2026.9.24</t>
  </si>
  <si>
    <t xml:space="preserve">2026.9.25</t>
  </si>
  <si>
    <t xml:space="preserve">武周帅双</t>
  </si>
  <si>
    <t xml:space="preserve">2026.9.26</t>
  </si>
  <si>
    <t xml:space="preserve">2026.9.27</t>
  </si>
  <si>
    <t xml:space="preserve">2026.9.28</t>
  </si>
  <si>
    <t xml:space="preserve">2026.9.29</t>
  </si>
  <si>
    <t xml:space="preserve">2026.9.30</t>
  </si>
  <si>
    <t xml:space="preserve">求和项:助播时长</t>
  </si>
  <si>
    <t xml:space="preserve">袁雨萌双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</si>
  <si>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</si>
  <si>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</si>
  <si>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</si>
  <si>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</si>
  <si>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</si>
  <si>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总保单数量</t>
  </si>
  <si>
    <t xml:space="preserve">夫妻版保单</t>
  </si>
  <si>
    <t xml:space="preserve">小家庭版保单</t>
  </si>
  <si>
    <t xml:space="preserve">全家版保单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</si>
  <si>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</si>
  <si>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</si>
  <si>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</si>
  <si>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</si>
  <si>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</si>
  <si>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</si>
  <si>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</si>
  <si>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夫妻版占比</t>
  </si>
  <si>
    <t xml:space="preserve">小家庭版占比</t>
  </si>
  <si>
    <t xml:space="preserve">全家版占比</t>
  </si>
  <si>
    <t xml:space="preserve">2026.8.1</t>
  </si>
  <si>
    <t xml:space="preserve">熊巍宇</t>
  </si>
  <si>
    <t xml:space="preserve">08:00-13:00</t>
  </si>
  <si>
    <t xml:space="preserve">代文聪</t>
  </si>
  <si>
    <t xml:space="preserve">宋博阳</t>
  </si>
  <si>
    <t xml:space="preserve">13:00-18:00</t>
  </si>
  <si>
    <t xml:space="preserve">董柯言双</t>
  </si>
  <si>
    <t xml:space="preserve">岳彤</t>
  </si>
  <si>
    <t xml:space="preserve">18:00-20:00</t>
  </si>
  <si>
    <t xml:space="preserve">总计</t>
  </si>
  <si>
    <t xml:space="preserve">2026.8.2</t>
  </si>
  <si>
    <t xml:space="preserve">董柯言</t>
  </si>
  <si>
    <t xml:space="preserve">2026.8.3</t>
  </si>
  <si>
    <t xml:space="preserve">13:00-15:00</t>
  </si>
  <si>
    <t xml:space="preserve">15:00-20:00</t>
  </si>
  <si>
    <t xml:space="preserve">2026.8.4</t>
  </si>
  <si>
    <t xml:space="preserve">13:00-17:00</t>
  </si>
  <si>
    <t xml:space="preserve">17:00-20:00</t>
  </si>
  <si>
    <t xml:space="preserve">2026.8.5</t>
  </si>
  <si>
    <t xml:space="preserve">2026.8.6</t>
  </si>
  <si>
    <t xml:space="preserve">2026.8.7</t>
  </si>
  <si>
    <t xml:space="preserve">王浩博</t>
  </si>
  <si>
    <t xml:space="preserve">2026.8.8</t>
  </si>
  <si>
    <t xml:space="preserve">13:00-16:00</t>
  </si>
  <si>
    <t xml:space="preserve">16:00-20:00</t>
  </si>
  <si>
    <t xml:space="preserve">2026.8.9</t>
  </si>
  <si>
    <t xml:space="preserve">08:00-12:00</t>
  </si>
  <si>
    <t xml:space="preserve">12:00-17:00</t>
  </si>
  <si>
    <t xml:space="preserve">武周帅双</t>
  </si>
  <si>
    <t xml:space="preserve">2026.8.10</t>
  </si>
  <si>
    <t xml:space="preserve">武周帅</t>
  </si>
  <si>
    <t xml:space="preserve">2026.8.11</t>
  </si>
  <si>
    <t xml:space="preserve">2026.8.12</t>
  </si>
  <si>
    <t xml:space="preserve">12:00-16:00</t>
  </si>
  <si>
    <t xml:space="preserve">2026.8.13</t>
  </si>
  <si>
    <t xml:space="preserve">2026.8.14</t>
  </si>
  <si>
    <t xml:space="preserve">2026.8.15</t>
  </si>
  <si>
    <t xml:space="preserve">2026.8.16</t>
  </si>
  <si>
    <t xml:space="preserve">09:00-14:00</t>
  </si>
  <si>
    <t xml:space="preserve">14:00-19:00</t>
  </si>
  <si>
    <t xml:space="preserve">2026.8.17</t>
  </si>
  <si>
    <t xml:space="preserve">刘园园</t>
  </si>
  <si>
    <t xml:space="preserve">2026.8.18</t>
  </si>
  <si>
    <t xml:space="preserve">2026.8.19</t>
  </si>
  <si>
    <t xml:space="preserve">沈静</t>
  </si>
  <si>
    <t xml:space="preserve">2026.8.20</t>
  </si>
  <si>
    <t xml:space="preserve">2026.8.21</t>
  </si>
  <si>
    <t xml:space="preserve">2026.8.22</t>
  </si>
  <si>
    <t xml:space="preserve">2026.8.23</t>
  </si>
  <si>
    <t xml:space="preserve">2026.8.24</t>
  </si>
  <si>
    <t xml:space="preserve">2026.8.25</t>
  </si>
  <si>
    <t xml:space="preserve">左璐筠</t>
  </si>
  <si>
    <t xml:space="preserve">2026.8.26</t>
  </si>
  <si>
    <t xml:space="preserve">13:00-14:00</t>
  </si>
  <si>
    <t xml:space="preserve">2026.8.27</t>
  </si>
  <si>
    <t xml:space="preserve">2026.8.28</t>
  </si>
  <si>
    <t xml:space="preserve">李哲双</t>
  </si>
  <si>
    <t xml:space="preserve">2026.8.29</t>
  </si>
  <si>
    <t xml:space="preserve">2026.8.30</t>
  </si>
  <si>
    <t xml:space="preserve">魏迪双</t>
  </si>
  <si>
    <t xml:space="preserve">2026.8.31</t>
  </si>
  <si>
    <t xml:space="preserve">12:00-13:00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</si>
  <si>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</si>
  <si>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</si>
  <si>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</si>
  <si>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</si>
  <si>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</si>
  <si>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</si>
  <si>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</si>
  <si>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</si>
  <si>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</si>
  <si>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</si>
  <si>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</si>
  <si>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</si>
  <si>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</si>
  <si>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2026.7.1</t>
  </si>
  <si>
    <t xml:space="preserve">刘园园</t>
  </si>
  <si>
    <t xml:space="preserve">08:00-12:00</t>
  </si>
  <si>
    <t xml:space="preserve">李哲双</t>
  </si>
  <si>
    <t xml:space="preserve">熊巍宇</t>
  </si>
  <si>
    <t xml:space="preserve">12:00-16:00</t>
  </si>
  <si>
    <t xml:space="preserve">魏迪双</t>
  </si>
  <si>
    <t xml:space="preserve">宋博阳</t>
  </si>
  <si>
    <t xml:space="preserve">16:00-20:00</t>
  </si>
  <si>
    <t xml:space="preserve">总计</t>
  </si>
  <si>
    <t xml:space="preserve">2026.7.2</t>
  </si>
  <si>
    <t xml:space="preserve">2026.7.3</t>
  </si>
  <si>
    <t xml:space="preserve">2026.7.4</t>
  </si>
  <si>
    <t xml:space="preserve">何彩樱双</t>
  </si>
  <si>
    <t xml:space="preserve">王学伟双</t>
  </si>
  <si>
    <t xml:space="preserve">2026.7.5</t>
  </si>
  <si>
    <t xml:space="preserve">2026.7.6</t>
  </si>
  <si>
    <t xml:space="preserve">2026.7.7</t>
  </si>
  <si>
    <t xml:space="preserve">16:00-19:00</t>
  </si>
  <si>
    <t xml:space="preserve">2026.7.8</t>
  </si>
  <si>
    <t xml:space="preserve">2026.7.9</t>
  </si>
  <si>
    <t xml:space="preserve">2026.7.10</t>
  </si>
  <si>
    <t xml:space="preserve">代文聪</t>
  </si>
  <si>
    <t xml:space="preserve">2026.7.11</t>
  </si>
  <si>
    <t xml:space="preserve">2026.7.12</t>
  </si>
  <si>
    <t xml:space="preserve">2026.7.13</t>
  </si>
  <si>
    <t xml:space="preserve">2026.7.14</t>
  </si>
  <si>
    <t xml:space="preserve">2026.7.15</t>
  </si>
  <si>
    <t xml:space="preserve">08:00-13:00</t>
  </si>
  <si>
    <t xml:space="preserve">王浩博双</t>
  </si>
  <si>
    <t xml:space="preserve">13:00-17:00</t>
  </si>
  <si>
    <t xml:space="preserve">17:00-20:00</t>
  </si>
  <si>
    <t xml:space="preserve">2026.7.16</t>
  </si>
  <si>
    <t xml:space="preserve">2026.7.17</t>
  </si>
  <si>
    <t xml:space="preserve">13:00-18:00</t>
  </si>
  <si>
    <t xml:space="preserve">2026.7.18</t>
  </si>
  <si>
    <t xml:space="preserve">2026.7.19</t>
  </si>
  <si>
    <t xml:space="preserve">2026.7.20</t>
  </si>
  <si>
    <t xml:space="preserve">2026.7.21</t>
  </si>
  <si>
    <t xml:space="preserve">2026.7.22</t>
  </si>
  <si>
    <t xml:space="preserve">蒲奕西</t>
  </si>
  <si>
    <t xml:space="preserve">18:00-20:00</t>
  </si>
  <si>
    <t xml:space="preserve">2026.7.23</t>
  </si>
  <si>
    <t xml:space="preserve">岳彤</t>
  </si>
  <si>
    <t xml:space="preserve">12:00-14:00</t>
  </si>
  <si>
    <t xml:space="preserve">14:00-18:00</t>
  </si>
  <si>
    <t xml:space="preserve">2026.7.24</t>
  </si>
  <si>
    <t xml:space="preserve">2026.7.25</t>
  </si>
  <si>
    <t xml:space="preserve">尹小雨</t>
  </si>
  <si>
    <t xml:space="preserve">何彩樱</t>
  </si>
  <si>
    <t xml:space="preserve">2026.7.26</t>
  </si>
  <si>
    <t xml:space="preserve">2026.7.27</t>
  </si>
  <si>
    <t xml:space="preserve">2026.7.28</t>
  </si>
  <si>
    <t xml:space="preserve">总保单数量</t>
  </si>
  <si>
    <t xml:space="preserve">夫妻版保单</t>
  </si>
  <si>
    <t xml:space="preserve">小家庭版保单</t>
  </si>
  <si>
    <t xml:space="preserve">全家版保单</t>
  </si>
  <si>
    <t xml:space="preserve">夫妻版占比</t>
  </si>
  <si>
    <t xml:space="preserve">小家庭版占比</t>
  </si>
  <si>
    <t xml:space="preserve">全家版占比</t>
  </si>
  <si>
    <t xml:space="preserve">2026.7.29</t>
  </si>
  <si>
    <t xml:space="preserve">2026.7.30</t>
  </si>
  <si>
    <t xml:space="preserve">2026.7.31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</si>
  <si>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</si>
  <si>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</si>
  <si>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</si>
  <si>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</si>
  <si>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</si>
  <si>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</si>
  <si>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</si>
  <si>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</si>
  <si>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</si>
  <si>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</si>
  <si>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</si>
  <si>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</si>
  <si>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</si>
  <si>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2026.6.17</t>
  </si>
  <si>
    <t xml:space="preserve">刘园园</t>
  </si>
  <si>
    <t xml:space="preserve">08:00-12:00</t>
  </si>
  <si>
    <t xml:space="preserve">董柯言</t>
  </si>
  <si>
    <t xml:space="preserve">熊巍宇</t>
  </si>
  <si>
    <t xml:space="preserve">12:00-14:00</t>
  </si>
  <si>
    <t xml:space="preserve">2026.6.18</t>
  </si>
  <si>
    <t xml:space="preserve">何彩樱双</t>
  </si>
  <si>
    <t xml:space="preserve">2026.6.19</t>
  </si>
  <si>
    <t xml:space="preserve">何彩樱</t>
  </si>
  <si>
    <t xml:space="preserve">2026.6.20</t>
  </si>
  <si>
    <t xml:space="preserve">08:00-11:00</t>
  </si>
  <si>
    <t xml:space="preserve">11:00-14:00</t>
  </si>
  <si>
    <t xml:space="preserve">2026.6.21</t>
  </si>
  <si>
    <t xml:space="preserve">11:00-16:00</t>
  </si>
  <si>
    <t xml:space="preserve">2026.6.22</t>
  </si>
  <si>
    <t xml:space="preserve">2026.6.23</t>
  </si>
  <si>
    <t xml:space="preserve">10:00-14:00</t>
  </si>
  <si>
    <t xml:space="preserve">宋博阳</t>
  </si>
  <si>
    <t xml:space="preserve">14:00-16:00</t>
  </si>
  <si>
    <t xml:space="preserve">魏迪双</t>
  </si>
  <si>
    <t xml:space="preserve">16:00-20:00</t>
  </si>
  <si>
    <t xml:space="preserve">2026.6.24</t>
  </si>
  <si>
    <t xml:space="preserve">10:00-13:00</t>
  </si>
  <si>
    <t xml:space="preserve">13:00-15:00</t>
  </si>
  <si>
    <t xml:space="preserve">15:00-18:00</t>
  </si>
  <si>
    <t xml:space="preserve">2026.6.25</t>
  </si>
  <si>
    <t xml:space="preserve">12:00-16:00</t>
  </si>
  <si>
    <t xml:space="preserve">郭斯元</t>
  </si>
  <si>
    <t xml:space="preserve">2026.6.26</t>
  </si>
  <si>
    <t xml:space="preserve">16:00-19:00</t>
  </si>
  <si>
    <t xml:space="preserve">2026.6.27</t>
  </si>
  <si>
    <t xml:space="preserve">郭斯元双</t>
  </si>
  <si>
    <t xml:space="preserve">2026.6.28</t>
  </si>
  <si>
    <t xml:space="preserve">2026.6.29</t>
  </si>
  <si>
    <t xml:space="preserve">李哲</t>
  </si>
  <si>
    <t xml:space="preserve">2026.6.30</t>
  </si>
  <si>
    <t xml:space="preserve">李哲双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</si>
  <si>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</si>
  <si>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</si>
  <si>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</si>
  <si>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</si>
  <si>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</si>
  <si>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</si>
  <si>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总保单数量</t>
  </si>
  <si>
    <t xml:space="preserve">夫妻版保单</t>
  </si>
  <si>
    <t xml:space="preserve">夫妻版保费</t>
  </si>
  <si>
    <t xml:space="preserve">小家庭版保单</t>
  </si>
  <si>
    <t xml:space="preserve">小家庭版保费</t>
  </si>
  <si>
    <t xml:space="preserve">全家版保单</t>
  </si>
  <si>
    <t xml:space="preserve">全家版保费</t>
  </si>
  <si>
    <t xml:space="preserve">总年化保费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</si>
  <si>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</si>
  <si>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</si>
  <si>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</si>
  <si>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</si>
  <si>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</si>
  <si>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</si>
  <si>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夫妻版占比</t>
  </si>
  <si>
    <t xml:space="preserve">小家庭版占比</t>
  </si>
  <si>
    <t xml:space="preserve">全家版占比</t>
  </si>
  <si>
    <t xml:space="preserve">2026.9.28</t>
  </si>
  <si>
    <t xml:space="preserve">宋博阳</t>
  </si>
  <si>
    <t xml:space="preserve">08:00-12:00</t>
  </si>
  <si>
    <t xml:space="preserve">代文聪双</t>
  </si>
  <si>
    <t xml:space="preserve">左璐筠</t>
  </si>
  <si>
    <t xml:space="preserve">12:00-16:00</t>
  </si>
  <si>
    <t xml:space="preserve">总计</t>
  </si>
  <si>
    <t xml:space="preserve">2026.9.29</t>
  </si>
  <si>
    <t xml:space="preserve">2026.9.30</t>
  </si>
  <si>
    <t xml:space="preserve">2026.10.1</t>
  </si>
  <si>
    <t xml:space="preserve">2026.10.2</t>
  </si>
  <si>
    <t xml:space="preserve">2026.10.3</t>
  </si>
  <si>
    <t xml:space="preserve">2026.10.4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</si>
</sst>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7">
    <numFmt numFmtId="164" formatCode="yyyy/MM/dd"/>
    <numFmt numFmtId="165" formatCode="0.00_);[Red](0.00)"/>
    <numFmt numFmtId="166" formatCode="#,##0.00"/>
    <numFmt numFmtId="167" formatCode="0.00"/>
    <numFmt numFmtId="168" formatCode="0.00%"/>
    <numFmt numFmtId="169" formatCode="0.00_);[Red]\(0.00\)"/>
    <numFmt numFmtId="170" formatCode="yyyy/MM/dd"/>
    <numFmt numFmtId="171" formatCode="0.00_);[Red](0.00)"/>
    <numFmt numFmtId="172" formatCode="#,##0.00"/>
    <numFmt numFmtId="173" formatCode="0.00"/>
    <numFmt numFmtId="174" formatCode="0.00%"/>
    <numFmt numFmtId="175" formatCode="0.00_);[Red]\(0.00\)"/>
    <numFmt numFmtId="176" formatCode="#,##0"/>
    <numFmt numFmtId="177" formatCode="yyyy/MM/dd"/>
    <numFmt numFmtId="178" formatCode="0.00_);[Red](0.00)"/>
    <numFmt numFmtId="179" formatCode="#,##0.00"/>
    <numFmt numFmtId="180" formatCode="0.00"/>
    <numFmt numFmtId="181" formatCode="0.00%"/>
    <numFmt numFmtId="182" formatCode="0.00_);[Red]\(0.00\)"/>
    <numFmt numFmtId="183" formatCode="yyyy/MM/dd"/>
    <numFmt numFmtId="184" formatCode="0.00_);[Red](0.00)"/>
    <numFmt numFmtId="185" formatCode="#,##0.00"/>
    <numFmt numFmtId="186" formatCode="0.00"/>
    <numFmt numFmtId="187" formatCode="0.00_);[Red]\(0.00\)"/>
    <numFmt numFmtId="188" formatCode="0.00%"/>
    <numFmt numFmtId="189" formatCode="yyyy/MM/dd"/>
    <numFmt numFmtId="190" formatCode="0.00_);[Red](0.00)"/>
    <numFmt numFmtId="191" formatCode="#,##0.00"/>
    <numFmt numFmtId="192" formatCode="0.00"/>
    <numFmt numFmtId="193" formatCode="0.00_);[Red]\(0.00\)"/>
    <numFmt numFmtId="194" formatCode="0.000"/>
    <numFmt numFmtId="195" formatCode="yyyy/MM/dd"/>
    <numFmt numFmtId="196" formatCode="0.00_);[Red](0.00)"/>
    <numFmt numFmtId="197" formatCode="#,##0.00"/>
    <numFmt numFmtId="198" formatCode="0.00"/>
    <numFmt numFmtId="199" formatCode="0.00%"/>
    <numFmt numFmtId="200" formatCode="0.00_);[Red]\(0.00\)"/>
  </numFmts>
  <fonts count="12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F1114"/>
      <name val="Calibri"/>
      <family val="2"/>
      <scheme val="minor"/>
    </font>
    <font>
      <b val="true"/>
      <sz val="10"/>
      <color rgb="FFDE3C36"/>
      <name val="Calibri"/>
      <family val="2"/>
      <scheme val="minor"/>
    </font>
    <font>
      <b val="true"/>
      <sz val="14"/>
      <color rgb="FFDE3C36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sz val="9"/>
      <color rgb="FF31343B"/>
      <name val="PingFang SC"/>
      <family val="2"/>
    </font>
    <font>
      <sz val="9"/>
      <color rgb="FF31343B"/>
      <name val="Noto Sans SC"/>
      <family val="2"/>
    </font>
    <font>
      <sz val="11"/>
      <color rgb="FF8F959E"/>
      <name val="Calibri"/>
      <family val="2"/>
      <scheme val="minor"/>
    </font>
    <font>
      <sz val="10"/>
      <color rgb="FFF54A45"/>
      <name val="Calibri"/>
      <family val="2"/>
      <scheme val="minor"/>
    </font>
  </fonts>
  <fills count="2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FFFFF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</fills>
  <borders count="5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false" applyFont="true" applyNumberFormat="true" applyProtection="false" borderId="2" fillId="0" fontId="2" numFmtId="164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true" applyFont="true" applyNumberFormat="false" applyProtection="false" borderId="2" fillId="3" fontId="3" numFmtId="0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false" applyFont="true" applyNumberFormat="true" applyProtection="false" borderId="1" fillId="0" fontId="2" numFmtId="167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8" xfId="0">
      <alignment horizontal="center" vertical="center"/>
    </xf>
    <xf applyAlignment="true" applyBorder="false" applyFill="true" applyFont="true" applyNumberFormat="true" applyProtection="false" borderId="6" fillId="4" fontId="1" numFmtId="164" xfId="0">
      <alignment horizontal="center" vertical="center"/>
    </xf>
    <xf applyAlignment="true" applyBorder="false" applyFill="true" applyFont="true" applyNumberFormat="false" applyProtection="false" borderId="6" fillId="5" fontId="4" numFmtId="0" xfId="0">
      <alignment horizontal="center" vertical="center"/>
    </xf>
    <xf applyAlignment="true" applyBorder="false" applyFill="true" applyFont="true" applyNumberFormat="false" applyProtection="false" borderId="1" fillId="5" fontId="4" numFmtId="0" xfId="0">
      <alignment horizontal="center" vertical="center"/>
    </xf>
    <xf applyAlignment="true" applyBorder="false" applyFill="true" applyFont="true" applyNumberFormat="false" applyProtection="false" borderId="7" fillId="5" fontId="4" numFmtId="0" xfId="0">
      <alignment horizontal="center" vertical="center"/>
    </xf>
    <xf applyAlignment="true" applyBorder="false" applyFill="true" applyFont="true" applyNumberFormat="true" applyProtection="false" borderId="1" fillId="5" fontId="4" numFmtId="166" xfId="0">
      <alignment horizontal="center" vertical="center"/>
    </xf>
    <xf applyAlignment="true" applyBorder="false" applyFill="true" applyFont="true" applyNumberFormat="true" applyProtection="false" borderId="1" fillId="5" fontId="4" numFmtId="167" xfId="0">
      <alignment horizontal="center" vertical="center"/>
    </xf>
    <xf applyAlignment="true" applyBorder="false" applyFill="true" applyFont="true" applyNumberFormat="true" applyProtection="false" borderId="4" fillId="5" fontId="4" numFmtId="167" xfId="0">
      <alignment horizontal="center" vertical="center"/>
    </xf>
    <xf applyAlignment="true" applyBorder="false" applyFill="true" applyFont="true" applyNumberFormat="true" applyProtection="false" borderId="2" fillId="5" fontId="4" numFmtId="169" xfId="0">
      <alignment horizontal="center" vertical="center"/>
    </xf>
    <xf applyAlignment="true" applyBorder="false" applyFill="true" applyFont="true" applyNumberFormat="true" applyProtection="false" borderId="7" fillId="5" fontId="4" numFmtId="168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true" applyFont="true" applyNumberFormat="false" applyProtection="false" borderId="9" fillId="3" fontId="3" numFmtId="0" xfId="0">
      <alignment horizontal="center" vertical="center"/>
    </xf>
    <xf applyAlignment="true" applyBorder="false" applyFill="true" applyFont="true" applyNumberFormat="false" applyProtection="false" borderId="10" fillId="5" fontId="4" numFmtId="0" xfId="0">
      <alignment horizontal="center" vertical="center"/>
    </xf>
    <xf applyAlignment="true" applyBorder="false" applyFill="true" applyFont="true" applyNumberFormat="false" applyProtection="false" borderId="2" fillId="5" fontId="4" numFmtId="0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true" applyFont="true" applyNumberFormat="false" applyProtection="false" borderId="6" fillId="5" fontId="4" numFmtId="0" xfId="0">
      <alignment horizontal="center" vertical="center"/>
    </xf>
    <xf applyAlignment="true" applyBorder="false" applyFill="true" applyFont="true" applyNumberFormat="true" applyProtection="false" borderId="6" fillId="5" fontId="4" numFmtId="166" xfId="0">
      <alignment horizontal="center" vertical="center"/>
    </xf>
    <xf applyAlignment="true" applyBorder="false" applyFill="true" applyFont="true" applyNumberFormat="true" applyProtection="false" borderId="6" fillId="5" fontId="4" numFmtId="167" xfId="0">
      <alignment horizontal="center" vertical="center"/>
    </xf>
    <xf applyAlignment="true" applyBorder="false" applyFill="true" applyFont="true" applyNumberFormat="true" applyProtection="false" borderId="12" fillId="5" fontId="4" numFmtId="167" xfId="0">
      <alignment horizontal="center" vertical="center"/>
    </xf>
    <xf applyAlignment="true" applyBorder="false" applyFill="true" applyFont="true" applyNumberFormat="true" applyProtection="false" borderId="11" fillId="5" fontId="4" numFmtId="169" xfId="0">
      <alignment horizontal="center" vertical="center"/>
    </xf>
    <xf applyAlignment="true" applyBorder="false" applyFill="true" applyFont="true" applyNumberFormat="false" applyProtection="false" borderId="7" fillId="5" fontId="5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true" applyProtection="false" borderId="13" fillId="6" fontId="1" numFmtId="170" xfId="0">
      <alignment horizontal="center" vertical="center"/>
    </xf>
    <xf applyAlignment="true" applyBorder="false" applyFill="true" applyFont="true" applyNumberFormat="false" applyProtection="false" borderId="13" fillId="6" fontId="1" numFmtId="0" xfId="0">
      <alignment horizontal="center" vertical="center"/>
    </xf>
    <xf applyAlignment="true" applyBorder="false" applyFill="true" applyFont="true" applyNumberFormat="false" applyProtection="false" borderId="13" fillId="6" fontId="1" numFmtId="0" xfId="0">
      <alignment horizontal="center" vertical="center"/>
    </xf>
    <xf applyAlignment="true" applyBorder="false" applyFill="true" applyFont="true" applyNumberFormat="true" applyProtection="false" borderId="13" fillId="6" fontId="1" numFmtId="171" xfId="0">
      <alignment horizontal="center" vertical="center"/>
    </xf>
    <xf applyAlignment="true" applyBorder="false" applyFill="false" applyFont="true" applyNumberFormat="true" applyProtection="false" borderId="14" fillId="0" fontId="2" numFmtId="170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true" applyProtection="false" borderId="13" fillId="0" fontId="2" numFmtId="172" xfId="0">
      <alignment horizontal="center" vertical="center"/>
    </xf>
    <xf applyAlignment="true" applyBorder="false" applyFill="false" applyFont="true" applyNumberFormat="true" applyProtection="false" borderId="13" fillId="0" fontId="2" numFmtId="173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true" applyProtection="false" borderId="13" fillId="0" fontId="2" numFmtId="174" xfId="0">
      <alignment horizontal="center" vertical="center"/>
    </xf>
    <xf applyAlignment="true" applyBorder="false" applyFill="true" applyFont="true" applyNumberFormat="true" applyProtection="false" borderId="13" fillId="7" fontId="1" numFmtId="170" xfId="0">
      <alignment horizontal="center" vertical="center"/>
    </xf>
    <xf applyAlignment="true" applyBorder="false" applyFill="true" applyFont="true" applyNumberFormat="false" applyProtection="false" borderId="17" fillId="8" fontId="4" numFmtId="0" xfId="0">
      <alignment horizontal="center" vertical="center"/>
    </xf>
    <xf applyAlignment="true" applyBorder="false" applyFill="true" applyFont="true" applyNumberFormat="false" applyProtection="false" borderId="13" fillId="8" fontId="4" numFmtId="0" xfId="0">
      <alignment horizontal="center" vertical="center"/>
    </xf>
    <xf applyAlignment="true" applyBorder="false" applyFill="true" applyFont="true" applyNumberFormat="true" applyProtection="false" borderId="13" fillId="8" fontId="4" numFmtId="172" xfId="0">
      <alignment horizontal="center" vertical="center"/>
    </xf>
    <xf applyAlignment="true" applyBorder="false" applyFill="true" applyFont="true" applyNumberFormat="true" applyProtection="false" borderId="13" fillId="8" fontId="4" numFmtId="173" xfId="0">
      <alignment horizontal="center" vertical="center"/>
    </xf>
    <xf applyAlignment="true" applyBorder="false" applyFill="true" applyFont="true" applyNumberFormat="true" applyProtection="false" borderId="14" fillId="8" fontId="4" numFmtId="173" xfId="0">
      <alignment horizontal="center" vertical="center"/>
    </xf>
    <xf applyAlignment="true" applyBorder="false" applyFill="true" applyFont="true" applyNumberFormat="true" applyProtection="false" borderId="18" fillId="8" fontId="4" numFmtId="175" xfId="0">
      <alignment horizontal="center" vertical="center"/>
    </xf>
    <xf applyAlignment="true" applyBorder="false" applyFill="true" applyFont="true" applyNumberFormat="false" applyProtection="false" borderId="19" fillId="8" fontId="4" numFmtId="0" xfId="0">
      <alignment horizontal="center" vertical="center"/>
    </xf>
    <xf applyAlignment="true" applyBorder="false" applyFill="true" applyFont="true" applyNumberFormat="true" applyProtection="false" borderId="19" fillId="8" fontId="4" numFmtId="174" xfId="0">
      <alignment horizontal="center" vertical="center"/>
    </xf>
    <xf applyAlignment="true" applyBorder="false" applyFill="true" applyFont="true" applyNumberFormat="true" applyProtection="false" borderId="18" fillId="7" fontId="1" numFmtId="170" xfId="0">
      <alignment horizontal="center" vertical="center"/>
    </xf>
    <xf applyAlignment="true" applyBorder="false" applyFill="true" applyFont="true" applyNumberFormat="false" applyProtection="false" borderId="19" fillId="8" fontId="4" numFmtId="0" xfId="0">
      <alignment horizontal="center" vertical="center"/>
    </xf>
    <xf applyAlignment="true" applyBorder="false" applyFill="true" applyFont="true" applyNumberFormat="false" applyProtection="false" borderId="16" fillId="8" fontId="4" numFmtId="0" xfId="0">
      <alignment horizontal="center" vertical="center"/>
    </xf>
    <xf applyAlignment="true" applyBorder="false" applyFill="false" applyFont="true" applyNumberFormat="true" applyProtection="false" borderId="18" fillId="0" fontId="2" numFmtId="170" xfId="0">
      <alignment horizontal="center" vertical="center"/>
    </xf>
    <xf applyAlignment="true" applyBorder="false" applyFill="true" applyFont="true" applyNumberFormat="false" applyProtection="false" borderId="0" fillId="9" fontId="3" numFmtId="0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true" applyFont="true" applyNumberFormat="false" applyProtection="false" borderId="18" fillId="9" fontId="3" numFmtId="0" xfId="0">
      <alignment horizontal="center" vertical="center"/>
    </xf>
    <xf applyAlignment="true" applyBorder="false" applyFill="true" applyFont="true" applyNumberFormat="true" applyProtection="false" borderId="17" fillId="7" fontId="1" numFmtId="170" xfId="0">
      <alignment horizontal="center" vertical="center"/>
    </xf>
    <xf applyAlignment="true" applyBorder="false" applyFill="true" applyFont="true" applyNumberFormat="false" applyProtection="false" borderId="17" fillId="8" fontId="4" numFmtId="0" xfId="0">
      <alignment horizontal="center" vertical="center"/>
    </xf>
    <xf applyAlignment="true" applyBorder="false" applyFill="true" applyFont="true" applyNumberFormat="false" applyProtection="false" borderId="18" fillId="9" fontId="3" numFmtId="0" xfId="0">
      <alignment horizontal="center" vertical="center"/>
    </xf>
    <xf applyAlignment="true" applyBorder="false" applyFill="true" applyFont="true" applyNumberFormat="false" applyProtection="false" borderId="0" fillId="9" fontId="3" numFmtId="0" xfId="0">
      <alignment horizontal="center" vertical="center"/>
    </xf>
    <xf applyAlignment="true" applyBorder="false" applyFill="true" applyFont="true" applyNumberFormat="false" applyProtection="false" borderId="20" fillId="9" fontId="3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18" fillId="0" fontId="2" numFmtId="0" xfId="0">
      <alignment horizontal="center" vertical="center"/>
    </xf>
    <xf applyAlignment="true" applyBorder="false" applyFill="false" applyFont="true" applyNumberFormat="false" applyProtection="false" borderId="18" fillId="0" fontId="2" numFmtId="0" xfId="0">
      <alignment horizontal="center" vertical="center"/>
    </xf>
    <xf applyAlignment="true" applyBorder="false" applyFill="true" applyFont="true" applyNumberFormat="false" applyProtection="false" borderId="15" fillId="10" fontId="2" numFmtId="0" xfId="0">
      <alignment horizontal="center" vertical="center"/>
    </xf>
    <xf applyAlignment="true" applyBorder="false" applyFill="true" applyFont="true" applyNumberFormat="true" applyProtection="false" borderId="18" fillId="9" fontId="3" numFmtId="176" xfId="0">
      <alignment horizontal="center" vertical="center"/>
    </xf>
    <xf applyAlignment="true" applyBorder="false" applyFill="false" applyFont="true" applyNumberFormat="true" applyProtection="false" borderId="14" fillId="0" fontId="2" numFmtId="173" xfId="0">
      <alignment horizontal="center" vertical="center"/>
    </xf>
    <xf applyAlignment="true" applyBorder="false" applyFill="false" applyFont="true" applyNumberFormat="false" applyProtection="false" borderId="13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0" fillId="9" fontId="8" numFmtId="0" xfId="0">
      <alignment horizontal="right" vertical="center" wrapText="true"/>
    </xf>
    <xf applyAlignment="true" applyBorder="false" applyFill="true" applyFont="true" applyNumberFormat="false" applyProtection="false" borderId="0" fillId="9" fontId="9" numFmtId="0" xfId="0">
      <alignment horizontal="right" vertical="center" wrapText="true"/>
    </xf>
    <xf applyAlignment="true" applyBorder="false" applyFill="true" applyFont="true" applyNumberFormat="true" applyProtection="false" borderId="0" fillId="11" fontId="10" numFmtId="172" xfId="0">
      <alignment vertical="center"/>
    </xf>
    <xf applyAlignment="true" applyBorder="false" applyFill="true" applyFont="true" applyNumberFormat="true" applyProtection="false" borderId="21" fillId="12" fontId="1" numFmtId="177" xfId="0">
      <alignment horizontal="center" vertical="center"/>
    </xf>
    <xf applyAlignment="true" applyBorder="false" applyFill="true" applyFont="true" applyNumberFormat="false" applyProtection="false" borderId="21" fillId="12" fontId="1" numFmtId="0" xfId="0">
      <alignment horizontal="center" vertical="center"/>
    </xf>
    <xf applyAlignment="true" applyBorder="false" applyFill="true" applyFont="true" applyNumberFormat="false" applyProtection="false" borderId="21" fillId="12" fontId="1" numFmtId="0" xfId="0">
      <alignment horizontal="center" vertical="center"/>
    </xf>
    <xf applyAlignment="true" applyBorder="false" applyFill="true" applyFont="true" applyNumberFormat="true" applyProtection="false" borderId="21" fillId="12" fontId="1" numFmtId="178" xfId="0">
      <alignment horizontal="center" vertical="center"/>
    </xf>
    <xf applyAlignment="true" applyBorder="false" applyFill="false" applyFont="true" applyNumberFormat="true" applyProtection="false" borderId="22" fillId="0" fontId="2" numFmtId="177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false" applyFont="true" applyNumberFormat="false" applyProtection="false" borderId="23" fillId="0" fontId="2" numFmtId="0" xfId="0">
      <alignment horizontal="center" vertical="center"/>
    </xf>
    <xf applyAlignment="true" applyBorder="false" applyFill="false" applyFont="true" applyNumberFormat="true" applyProtection="false" borderId="21" fillId="0" fontId="2" numFmtId="179" xfId="0">
      <alignment horizontal="center" vertical="center"/>
    </xf>
    <xf applyAlignment="true" applyBorder="false" applyFill="false" applyFont="true" applyNumberFormat="true" applyProtection="false" borderId="21" fillId="0" fontId="2" numFmtId="180" xfId="0">
      <alignment horizontal="center" vertical="center"/>
    </xf>
    <xf applyAlignment="true" applyBorder="false" applyFill="false" applyFont="true" applyNumberFormat="false" applyProtection="false" borderId="24" fillId="0" fontId="2" numFmtId="0" xfId="0">
      <alignment horizontal="center" vertical="center"/>
    </xf>
    <xf applyAlignment="true" applyBorder="false" applyFill="false" applyFont="true" applyNumberFormat="true" applyProtection="false" borderId="21" fillId="0" fontId="2" numFmtId="181" xfId="0">
      <alignment horizontal="center" vertical="center"/>
    </xf>
    <xf applyAlignment="true" applyBorder="false" applyFill="false" applyFont="true" applyNumberFormat="true" applyProtection="false" borderId="22" fillId="0" fontId="2" numFmtId="180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horizontal="center" vertical="center"/>
    </xf>
    <xf applyAlignment="true" applyBorder="false" applyFill="true" applyFont="true" applyNumberFormat="true" applyProtection="false" borderId="21" fillId="13" fontId="1" numFmtId="177" xfId="0">
      <alignment horizontal="center" vertical="center"/>
    </xf>
    <xf applyAlignment="true" applyBorder="false" applyFill="true" applyFont="true" applyNumberFormat="false" applyProtection="false" borderId="26" fillId="14" fontId="4" numFmtId="0" xfId="0">
      <alignment horizontal="center" vertical="center"/>
    </xf>
    <xf applyAlignment="true" applyBorder="false" applyFill="true" applyFont="true" applyNumberFormat="false" applyProtection="false" borderId="21" fillId="14" fontId="4" numFmtId="0" xfId="0">
      <alignment horizontal="center" vertical="center"/>
    </xf>
    <xf applyAlignment="true" applyBorder="false" applyFill="true" applyFont="true" applyNumberFormat="true" applyProtection="false" borderId="21" fillId="14" fontId="4" numFmtId="179" xfId="0">
      <alignment horizontal="center" vertical="center"/>
    </xf>
    <xf applyAlignment="true" applyBorder="false" applyFill="true" applyFont="true" applyNumberFormat="true" applyProtection="false" borderId="21" fillId="14" fontId="4" numFmtId="180" xfId="0">
      <alignment horizontal="center" vertical="center"/>
    </xf>
    <xf applyAlignment="true" applyBorder="false" applyFill="true" applyFont="true" applyNumberFormat="true" applyProtection="false" borderId="22" fillId="14" fontId="4" numFmtId="180" xfId="0">
      <alignment horizontal="center" vertical="center"/>
    </xf>
    <xf applyAlignment="true" applyBorder="false" applyFill="true" applyFont="true" applyNumberFormat="true" applyProtection="false" borderId="27" fillId="14" fontId="4" numFmtId="182" xfId="0">
      <alignment horizontal="center" vertical="center"/>
    </xf>
    <xf applyAlignment="true" applyBorder="false" applyFill="true" applyFont="true" applyNumberFormat="false" applyProtection="false" borderId="28" fillId="14" fontId="4" numFmtId="0" xfId="0">
      <alignment horizontal="center" vertical="center"/>
    </xf>
    <xf applyAlignment="true" applyBorder="false" applyFill="true" applyFont="true" applyNumberFormat="true" applyProtection="false" borderId="28" fillId="14" fontId="4" numFmtId="181" xfId="0">
      <alignment horizontal="center" vertical="center"/>
    </xf>
    <xf applyAlignment="true" applyBorder="false" applyFill="false" applyFont="true" applyNumberFormat="true" applyProtection="false" borderId="0" fillId="0" fontId="6" numFmtId="181" xfId="0">
      <alignment vertical="center"/>
    </xf>
    <xf applyAlignment="true" applyBorder="false" applyFill="false" applyFont="true" applyNumberFormat="true" applyProtection="false" borderId="24" fillId="0" fontId="2" numFmtId="180" xfId="0">
      <alignment horizontal="center" vertical="center"/>
    </xf>
    <xf applyAlignment="true" applyBorder="false" applyFill="false" applyFont="true" applyNumberFormat="true" applyProtection="false" borderId="22" fillId="0" fontId="2" numFmtId="179" xfId="0">
      <alignment horizontal="center" vertical="center"/>
    </xf>
    <xf applyAlignment="true" applyBorder="false" applyFill="false" applyFont="true" applyNumberFormat="true" applyProtection="false" borderId="27" fillId="0" fontId="2" numFmtId="180" xfId="0">
      <alignment horizontal="center" vertical="center"/>
    </xf>
    <xf applyAlignment="true" applyBorder="false" applyFill="false" applyFont="true" applyNumberFormat="false" applyProtection="false" borderId="27" fillId="0" fontId="2" numFmtId="0" xfId="0">
      <alignment horizontal="center" vertical="center"/>
    </xf>
    <xf applyAlignment="true" applyBorder="false" applyFill="false" applyFont="true" applyNumberFormat="true" applyProtection="false" borderId="23" fillId="0" fontId="2" numFmtId="181" xfId="0">
      <alignment horizontal="center" vertical="center"/>
    </xf>
    <xf applyAlignment="true" applyBorder="false" applyFill="false" applyFont="true" applyNumberFormat="false" applyProtection="false" borderId="27" fillId="0" fontId="6" numFmtId="0" xfId="0">
      <alignment vertical="center"/>
    </xf>
    <xf applyAlignment="true" applyBorder="false" applyFill="true" applyFont="true" applyNumberFormat="true" applyProtection="false" borderId="29" fillId="14" fontId="4" numFmtId="180" xfId="0">
      <alignment horizontal="center" vertical="center"/>
    </xf>
    <xf applyAlignment="true" applyBorder="false" applyFill="true" applyFont="true" applyNumberFormat="true" applyProtection="false" borderId="30" fillId="14" fontId="4" numFmtId="182" xfId="0">
      <alignment horizontal="center" vertical="center"/>
    </xf>
    <xf applyAlignment="true" applyBorder="false" applyFill="true" applyFont="true" applyNumberFormat="false" applyProtection="false" borderId="0" fillId="15" fontId="6" numFmtId="0" xfId="0">
      <alignment vertical="center"/>
    </xf>
    <xf applyAlignment="true" applyBorder="false" applyFill="false" applyFont="true" applyNumberFormat="false" applyProtection="false" borderId="21" fillId="0" fontId="11" numFmtId="0" xfId="0">
      <alignment horizontal="center" vertical="center"/>
    </xf>
    <xf applyAlignment="true" applyBorder="false" applyFill="false" applyFont="true" applyNumberFormat="false" applyProtection="false" borderId="21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true" applyProtection="false" borderId="31" fillId="16" fontId="1" numFmtId="183" xfId="0">
      <alignment horizontal="center" vertical="center"/>
    </xf>
    <xf applyAlignment="true" applyBorder="false" applyFill="true" applyFont="true" applyNumberFormat="false" applyProtection="false" borderId="31" fillId="16" fontId="1" numFmtId="0" xfId="0">
      <alignment horizontal="center" vertical="center"/>
    </xf>
    <xf applyAlignment="true" applyBorder="false" applyFill="true" applyFont="true" applyNumberFormat="true" applyProtection="false" borderId="31" fillId="16" fontId="1" numFmtId="184" xfId="0">
      <alignment horizontal="center" vertical="center"/>
    </xf>
    <xf applyAlignment="true" applyBorder="false" applyFill="false" applyFont="true" applyNumberFormat="true" applyProtection="false" borderId="32" fillId="0" fontId="2" numFmtId="183" xfId="0">
      <alignment horizontal="center" vertical="center"/>
    </xf>
    <xf applyAlignment="true" applyBorder="false" applyFill="false" applyFont="true" applyNumberFormat="false" applyProtection="false" borderId="31" fillId="0" fontId="2" numFmtId="0" xfId="0">
      <alignment horizontal="center" vertical="center"/>
    </xf>
    <xf applyAlignment="true" applyBorder="false" applyFill="false" applyFont="true" applyNumberFormat="false" applyProtection="false" borderId="33" fillId="0" fontId="2" numFmtId="0" xfId="0">
      <alignment horizontal="center" vertical="center"/>
    </xf>
    <xf applyAlignment="true" applyBorder="false" applyFill="false" applyFont="true" applyNumberFormat="true" applyProtection="false" borderId="33" fillId="0" fontId="2" numFmtId="185" xfId="0">
      <alignment horizontal="center" vertical="center"/>
    </xf>
    <xf applyAlignment="true" applyBorder="false" applyFill="false" applyFont="true" applyNumberFormat="true" applyProtection="false" borderId="31" fillId="0" fontId="2" numFmtId="185" xfId="0">
      <alignment horizontal="center" vertical="center"/>
    </xf>
    <xf applyAlignment="true" applyBorder="false" applyFill="false" applyFont="true" applyNumberFormat="true" applyProtection="false" borderId="31" fillId="0" fontId="2" numFmtId="186" xfId="0">
      <alignment horizontal="center" vertical="center"/>
    </xf>
    <xf applyAlignment="true" applyBorder="false" applyFill="false" applyFont="true" applyNumberFormat="false" applyProtection="false" borderId="34" fillId="0" fontId="2" numFmtId="0" xfId="0">
      <alignment horizontal="center" vertical="center"/>
    </xf>
    <xf applyAlignment="true" applyBorder="false" applyFill="true" applyFont="true" applyNumberFormat="true" applyProtection="false" borderId="31" fillId="17" fontId="1" numFmtId="183" xfId="0">
      <alignment horizontal="center" vertical="center"/>
    </xf>
    <xf applyAlignment="true" applyBorder="false" applyFill="true" applyFont="true" applyNumberFormat="false" applyProtection="false" borderId="35" fillId="18" fontId="4" numFmtId="0" xfId="0">
      <alignment horizontal="center" vertical="center"/>
    </xf>
    <xf applyAlignment="true" applyBorder="false" applyFill="true" applyFont="true" applyNumberFormat="false" applyProtection="false" borderId="31" fillId="18" fontId="4" numFmtId="0" xfId="0">
      <alignment horizontal="center" vertical="center"/>
    </xf>
    <xf applyAlignment="true" applyBorder="false" applyFill="true" applyFont="true" applyNumberFormat="true" applyProtection="false" borderId="31" fillId="18" fontId="4" numFmtId="185" xfId="0">
      <alignment horizontal="center" vertical="center"/>
    </xf>
    <xf applyAlignment="true" applyBorder="false" applyFill="true" applyFont="true" applyNumberFormat="true" applyProtection="false" borderId="31" fillId="18" fontId="4" numFmtId="186" xfId="0">
      <alignment horizontal="center" vertical="center"/>
    </xf>
    <xf applyAlignment="true" applyBorder="false" applyFill="true" applyFont="true" applyNumberFormat="true" applyProtection="false" borderId="35" fillId="18" fontId="4" numFmtId="187" xfId="0">
      <alignment horizontal="center" vertical="center"/>
    </xf>
    <xf applyAlignment="true" applyBorder="false" applyFill="true" applyFont="true" applyNumberFormat="false" applyProtection="false" borderId="35" fillId="18" fontId="4" numFmtId="0" xfId="0">
      <alignment horizontal="center" vertical="center"/>
    </xf>
    <xf applyAlignment="true" applyBorder="false" applyFill="false" applyFont="true" applyNumberFormat="false" applyProtection="false" borderId="31" fillId="0" fontId="7" numFmtId="0" xfId="0">
      <alignment horizontal="center" vertical="center"/>
    </xf>
    <xf applyAlignment="true" applyBorder="false" applyFill="false" applyFont="true" applyNumberFormat="true" applyProtection="false" borderId="32" fillId="0" fontId="2" numFmtId="186" xfId="0">
      <alignment horizontal="center" vertical="center"/>
    </xf>
    <xf applyAlignment="true" applyBorder="false" applyFill="false" applyFont="true" applyNumberFormat="false" applyProtection="false" borderId="36" fillId="0" fontId="2" numFmtId="0" xfId="0">
      <alignment horizontal="center" vertical="center"/>
    </xf>
    <xf applyAlignment="true" applyBorder="false" applyFill="true" applyFont="true" applyNumberFormat="true" applyProtection="false" borderId="32" fillId="18" fontId="4" numFmtId="186" xfId="0">
      <alignment horizontal="center" vertical="center"/>
    </xf>
    <xf applyAlignment="true" applyBorder="false" applyFill="true" applyFont="true" applyNumberFormat="true" applyProtection="false" borderId="37" fillId="18" fontId="4" numFmtId="187" xfId="0">
      <alignment horizontal="center" vertical="center"/>
    </xf>
    <xf applyAlignment="true" applyBorder="false" applyFill="true" applyFont="true" applyNumberFormat="false" applyProtection="false" borderId="38" fillId="18" fontId="4" numFmtId="0" xfId="0">
      <alignment horizontal="center" vertical="center"/>
    </xf>
    <xf applyAlignment="true" applyBorder="false" applyFill="true" applyFont="true" applyNumberFormat="false" applyProtection="false" borderId="31" fillId="16" fontId="1" numFmtId="0" xfId="0">
      <alignment horizontal="center" vertical="center"/>
    </xf>
    <xf applyAlignment="true" applyBorder="false" applyFill="false" applyFont="true" applyNumberFormat="true" applyProtection="false" borderId="31" fillId="0" fontId="2" numFmtId="188" xfId="0">
      <alignment horizontal="center" vertical="center"/>
    </xf>
    <xf applyAlignment="true" applyBorder="false" applyFill="true" applyFont="true" applyNumberFormat="true" applyProtection="false" borderId="38" fillId="18" fontId="4" numFmtId="188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true" applyProtection="false" borderId="39" fillId="19" fontId="1" numFmtId="189" xfId="0">
      <alignment horizontal="center" vertical="center"/>
    </xf>
    <xf applyAlignment="true" applyBorder="false" applyFill="true" applyFont="true" applyNumberFormat="false" applyProtection="false" borderId="39" fillId="19" fontId="1" numFmtId="0" xfId="0">
      <alignment horizontal="center" vertical="center"/>
    </xf>
    <xf applyAlignment="true" applyBorder="false" applyFill="true" applyFont="true" applyNumberFormat="true" applyProtection="false" borderId="39" fillId="19" fontId="1" numFmtId="19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40" fillId="0" fontId="2" numFmtId="189" xfId="0">
      <alignment horizontal="center" vertical="center"/>
    </xf>
    <xf applyAlignment="true" applyBorder="false" applyFill="false" applyFont="true" applyNumberFormat="false" applyProtection="false" borderId="39" fillId="0" fontId="2" numFmtId="0" xfId="0">
      <alignment horizontal="center" vertical="center"/>
    </xf>
    <xf applyAlignment="true" applyBorder="false" applyFill="false" applyFont="true" applyNumberFormat="false" applyProtection="false" borderId="41" fillId="0" fontId="2" numFmtId="0" xfId="0">
      <alignment horizontal="center" vertical="center"/>
    </xf>
    <xf applyAlignment="true" applyBorder="false" applyFill="false" applyFont="true" applyNumberFormat="true" applyProtection="false" borderId="41" fillId="0" fontId="2" numFmtId="191" xfId="0">
      <alignment horizontal="center" vertical="center"/>
    </xf>
    <xf applyAlignment="true" applyBorder="false" applyFill="false" applyFont="true" applyNumberFormat="true" applyProtection="false" borderId="39" fillId="0" fontId="2" numFmtId="191" xfId="0">
      <alignment horizontal="center" vertical="center"/>
    </xf>
    <xf applyAlignment="true" applyBorder="false" applyFill="false" applyFont="true" applyNumberFormat="true" applyProtection="false" borderId="39" fillId="0" fontId="2" numFmtId="192" xfId="0">
      <alignment horizontal="center" vertical="center"/>
    </xf>
    <xf applyAlignment="true" applyBorder="false" applyFill="false" applyFont="true" applyNumberFormat="false" applyProtection="false" borderId="42" fillId="0" fontId="2" numFmtId="0" xfId="0">
      <alignment horizontal="center" vertical="center"/>
    </xf>
    <xf applyAlignment="true" applyBorder="false" applyFill="false" applyFont="true" applyNumberFormat="true" applyProtection="false" borderId="40" fillId="0" fontId="2" numFmtId="189" xfId="0">
      <alignment horizontal="center" vertical="center"/>
    </xf>
    <xf applyAlignment="true" applyBorder="false" applyFill="false" applyFont="true" applyNumberFormat="false" applyProtection="false" borderId="39" fillId="0" fontId="2" numFmtId="0" xfId="0">
      <alignment horizontal="center" vertical="center"/>
    </xf>
    <xf applyAlignment="true" applyBorder="false" applyFill="true" applyFont="true" applyNumberFormat="true" applyProtection="false" borderId="39" fillId="20" fontId="1" numFmtId="189" xfId="0">
      <alignment horizontal="center" vertical="center"/>
    </xf>
    <xf applyAlignment="true" applyBorder="false" applyFill="true" applyFont="true" applyNumberFormat="false" applyProtection="false" borderId="43" fillId="21" fontId="4" numFmtId="0" xfId="0">
      <alignment horizontal="center" vertical="center"/>
    </xf>
    <xf applyAlignment="true" applyBorder="false" applyFill="true" applyFont="true" applyNumberFormat="false" applyProtection="false" borderId="39" fillId="21" fontId="4" numFmtId="0" xfId="0">
      <alignment horizontal="center" vertical="center"/>
    </xf>
    <xf applyAlignment="true" applyBorder="false" applyFill="true" applyFont="true" applyNumberFormat="false" applyProtection="false" borderId="41" fillId="21" fontId="4" numFmtId="0" xfId="0">
      <alignment horizontal="center" vertical="center"/>
    </xf>
    <xf applyAlignment="true" applyBorder="false" applyFill="true" applyFont="true" applyNumberFormat="true" applyProtection="false" borderId="39" fillId="21" fontId="4" numFmtId="191" xfId="0">
      <alignment horizontal="center" vertical="center"/>
    </xf>
    <xf applyAlignment="true" applyBorder="false" applyFill="true" applyFont="true" applyNumberFormat="true" applyProtection="false" borderId="39" fillId="21" fontId="4" numFmtId="192" xfId="0">
      <alignment horizontal="center" vertical="center"/>
    </xf>
    <xf applyAlignment="true" applyBorder="false" applyFill="true" applyFont="true" applyNumberFormat="true" applyProtection="false" borderId="43" fillId="21" fontId="4" numFmtId="193" xfId="0">
      <alignment horizontal="center" vertical="center"/>
    </xf>
    <xf applyAlignment="true" applyBorder="false" applyFill="true" applyFont="true" applyNumberFormat="true" applyProtection="false" borderId="39" fillId="20" fontId="1" numFmtId="189" xfId="0">
      <alignment horizontal="center" vertical="center"/>
    </xf>
    <xf applyAlignment="true" applyBorder="false" applyFill="false" applyFont="true" applyNumberFormat="false" applyProtection="false" borderId="41" fillId="0" fontId="2" numFmtId="0" xfId="0">
      <alignment horizontal="center" vertical="center"/>
    </xf>
    <xf applyAlignment="true" applyBorder="false" applyFill="false" applyFont="true" applyNumberFormat="false" applyProtection="false" borderId="39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true" applyProtection="false" borderId="0" fillId="0" fontId="6" numFmtId="194" xfId="0">
      <alignment horizontal="center" vertical="center"/>
    </xf>
    <xf applyAlignment="true" applyBorder="false" applyFill="true" applyFont="true" applyNumberFormat="true" applyProtection="false" borderId="44" fillId="22" fontId="1" numFmtId="195" xfId="0">
      <alignment horizontal="center" vertical="center"/>
    </xf>
    <xf applyAlignment="true" applyBorder="false" applyFill="true" applyFont="true" applyNumberFormat="false" applyProtection="false" borderId="44" fillId="22" fontId="1" numFmtId="0" xfId="0">
      <alignment horizontal="center" vertical="center"/>
    </xf>
    <xf applyAlignment="true" applyBorder="false" applyFill="true" applyFont="true" applyNumberFormat="false" applyProtection="false" borderId="44" fillId="22" fontId="1" numFmtId="0" xfId="0">
      <alignment horizontal="center" vertical="center"/>
    </xf>
    <xf applyAlignment="true" applyBorder="false" applyFill="true" applyFont="true" applyNumberFormat="true" applyProtection="false" borderId="44" fillId="22" fontId="1" numFmtId="196" xfId="0">
      <alignment horizontal="center" vertical="center"/>
    </xf>
    <xf applyAlignment="true" applyBorder="false" applyFill="false" applyFont="true" applyNumberFormat="true" applyProtection="false" borderId="45" fillId="0" fontId="2" numFmtId="195" xfId="0">
      <alignment horizontal="center" vertical="center"/>
    </xf>
    <xf applyAlignment="true" applyBorder="false" applyFill="false" applyFont="true" applyNumberFormat="false" applyProtection="false" borderId="46" fillId="0" fontId="2" numFmtId="0" xfId="0">
      <alignment horizontal="center" vertical="center"/>
    </xf>
    <xf applyAlignment="true" applyBorder="false" applyFill="false" applyFont="true" applyNumberFormat="false" applyProtection="false" borderId="44" fillId="0" fontId="2" numFmtId="0" xfId="0">
      <alignment horizontal="center" vertical="center"/>
    </xf>
    <xf applyAlignment="true" applyBorder="false" applyFill="false" applyFont="true" applyNumberFormat="false" applyProtection="false" borderId="47" fillId="0" fontId="2" numFmtId="0" xfId="0">
      <alignment horizontal="center" vertical="center"/>
    </xf>
    <xf applyAlignment="true" applyBorder="false" applyFill="false" applyFont="true" applyNumberFormat="false" applyProtection="false" borderId="45" fillId="0" fontId="2" numFmtId="0" xfId="0">
      <alignment horizontal="center" vertical="center"/>
    </xf>
    <xf applyAlignment="true" applyBorder="false" applyFill="true" applyFont="true" applyNumberFormat="false" applyProtection="false" borderId="45" fillId="23" fontId="3" numFmtId="0" xfId="0">
      <alignment horizontal="center" vertical="center"/>
    </xf>
    <xf applyAlignment="true" applyBorder="false" applyFill="false" applyFont="true" applyNumberFormat="true" applyProtection="false" borderId="44" fillId="0" fontId="2" numFmtId="197" xfId="0">
      <alignment horizontal="center" vertical="center"/>
    </xf>
    <xf applyAlignment="true" applyBorder="false" applyFill="false" applyFont="true" applyNumberFormat="true" applyProtection="false" borderId="44" fillId="0" fontId="2" numFmtId="198" xfId="0">
      <alignment horizontal="center" vertical="center"/>
    </xf>
    <xf applyAlignment="true" applyBorder="false" applyFill="false" applyFont="true" applyNumberFormat="false" applyProtection="false" borderId="48" fillId="0" fontId="2" numFmtId="0" xfId="0">
      <alignment horizontal="center" vertical="center"/>
    </xf>
    <xf applyAlignment="true" applyBorder="false" applyFill="false" applyFont="true" applyNumberFormat="true" applyProtection="false" borderId="44" fillId="0" fontId="2" numFmtId="199" xfId="0">
      <alignment horizontal="center" vertical="center"/>
    </xf>
    <xf applyAlignment="true" applyBorder="false" applyFill="true" applyFont="true" applyNumberFormat="true" applyProtection="false" borderId="49" fillId="24" fontId="1" numFmtId="195" xfId="0">
      <alignment horizontal="center" vertical="center"/>
    </xf>
    <xf applyAlignment="true" applyBorder="false" applyFill="true" applyFont="true" applyNumberFormat="false" applyProtection="false" borderId="49" fillId="25" fontId="4" numFmtId="0" xfId="0">
      <alignment horizontal="center" vertical="center"/>
    </xf>
    <xf applyAlignment="true" applyBorder="false" applyFill="true" applyFont="true" applyNumberFormat="false" applyProtection="false" borderId="44" fillId="25" fontId="4" numFmtId="0" xfId="0">
      <alignment horizontal="center" vertical="center"/>
    </xf>
    <xf applyAlignment="true" applyBorder="false" applyFill="true" applyFont="true" applyNumberFormat="false" applyProtection="false" borderId="50" fillId="25" fontId="4" numFmtId="0" xfId="0">
      <alignment horizontal="center" vertical="center"/>
    </xf>
    <xf applyAlignment="true" applyBorder="false" applyFill="true" applyFont="true" applyNumberFormat="true" applyProtection="false" borderId="44" fillId="25" fontId="4" numFmtId="197" xfId="0">
      <alignment horizontal="center" vertical="center"/>
    </xf>
    <xf applyAlignment="true" applyBorder="false" applyFill="true" applyFont="true" applyNumberFormat="true" applyProtection="false" borderId="44" fillId="25" fontId="4" numFmtId="198" xfId="0">
      <alignment horizontal="center" vertical="center"/>
    </xf>
    <xf applyAlignment="true" applyBorder="false" applyFill="true" applyFont="true" applyNumberFormat="true" applyProtection="false" borderId="47" fillId="25" fontId="4" numFmtId="198" xfId="0">
      <alignment horizontal="center" vertical="center"/>
    </xf>
    <xf applyAlignment="true" applyBorder="false" applyFill="true" applyFont="true" applyNumberFormat="true" applyProtection="false" borderId="45" fillId="25" fontId="4" numFmtId="200" xfId="0">
      <alignment horizontal="center" vertical="center"/>
    </xf>
    <xf applyAlignment="true" applyBorder="false" applyFill="true" applyFont="true" applyNumberFormat="true" applyProtection="false" borderId="50" fillId="25" fontId="4" numFmtId="199" xfId="0">
      <alignment horizontal="center" vertical="center"/>
    </xf>
    <xf applyAlignment="true" applyBorder="false" applyFill="false" applyFont="true" applyNumberFormat="false" applyProtection="false" borderId="44" fillId="0" fontId="7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Relationship Id="rId8" Target="worksheets/sheet4.xml" Type="http://schemas.openxmlformats.org/officeDocument/2006/relationships/worksheet"></Relationship><Relationship Id="rId9" Target="/xl/pivotCache/pivotCacheDefinition2.xml" Type="http://schemas.openxmlformats.org/officeDocument/2006/relationships/pivotCacheDefinition"></Relationship><Relationship Id="rId10" Target="worksheets/sheet5.xml" Type="http://schemas.openxmlformats.org/officeDocument/2006/relationships/worksheet"></Relationship><Relationship Id="rId11" Target="/xl/pivotCache/pivotCacheDefinition3.xml" Type="http://schemas.openxmlformats.org/officeDocument/2006/relationships/pivotCacheDefinition"></Relationship><Relationship Id="rId12" Target="worksheets/sheet6.xml" Type="http://schemas.openxmlformats.org/officeDocument/2006/relationships/worksheet"></Relationship><Relationship Id="rId13" Target="/xl/pivotCache/pivotCacheDefinition4.xml" Type="http://schemas.openxmlformats.org/officeDocument/2006/relationships/pivotCacheDefinition"></Relationship><Relationship Id="rId14" Target="worksheets/sheet7.xml" Type="http://schemas.openxmlformats.org/officeDocument/2006/relationships/worksheet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V$85" sheet="2026.9"/>
  </cacheSource>
  <cacheFields count="22">
    <cacheField name="日期" numFmtId="0">
      <sharedItems count="0"/>
    </cacheField>
    <cacheField name="主播" numFmtId="0">
      <sharedItems containsBlank="true" count="6">
        <s v="宋博阳"/>
        <s v="左璐筠"/>
        <s v="总计"/>
        <s v="刘欣瑶"/>
        <s v="沈静"/>
        <m/>
      </sharedItems>
    </cacheField>
    <cacheField name="直播时段" numFmtId="0">
      <sharedItems containsBlank="true" count="0"/>
    </cacheField>
    <cacheField name="直播时长" numFmtId="0">
      <sharedItems containsString="false" containsBlank="true" containsNumber="true" containsInteger="true" minValue="1" maxValue="8" count="9">
        <n v="4"/>
        <n v="3"/>
        <n v="7"/>
        <n v="5"/>
        <n v="1"/>
        <n v="6"/>
        <n v="8"/>
        <n v="2"/>
        <m/>
      </sharedItems>
    </cacheField>
    <cacheField name="订单数" numFmtId="0">
      <sharedItems containsString="false" containsBlank="true" containsNumber="true" containsInteger="true" minValue="0" maxValue="88" count="0"/>
    </cacheField>
    <cacheField name="总保单数量" numFmtId="0">
      <sharedItems containsString="false" containsBlank="true" containsNumber="true" containsInteger="true" minValue="0" maxValue="32" count="0"/>
    </cacheField>
    <cacheField name="夫妻版保单" numFmtId="0">
      <sharedItems containsString="false" containsBlank="true" containsNumber="true" containsInteger="true" minValue="0" maxValue="4" count="0"/>
    </cacheField>
    <cacheField name="夫妻版保费" numFmtId="0">
      <sharedItems containsString="false" containsBlank="true" containsNumber="true" containsInteger="true" minValue="0" maxValue="1872" count="0"/>
    </cacheField>
    <cacheField name="小家庭版保单" numFmtId="0">
      <sharedItems containsString="false" containsBlank="true" containsNumber="true" containsInteger="true" minValue="0" maxValue="7" count="0"/>
    </cacheField>
    <cacheField name="小家庭版保费" numFmtId="0">
      <sharedItems containsString="false" containsBlank="true" containsNumber="true" containsInteger="true" minValue="0" maxValue="7505" count="0"/>
    </cacheField>
    <cacheField name="全家版保单" numFmtId="0">
      <sharedItems containsString="false" containsBlank="true" containsNumber="true" containsInteger="true" minValue="0" maxValue="22" count="0"/>
    </cacheField>
    <cacheField name="全家版保费" numFmtId="0">
      <sharedItems containsString="false" containsBlank="true" containsNumber="true" containsInteger="true" minValue="0" maxValue="49896" count="0"/>
    </cacheField>
    <cacheField name="总年化保费" numFmtId="0">
      <sharedItems containsString="false" containsBlank="true" containsNumber="true" minValue="0" maxValue="57302" count="79">
        <n v="14368"/>
        <n v="10488"/>
        <n v="24856"/>
        <n v="19852"/>
        <n v="0"/>
        <n v="30432"/>
        <n v="16745"/>
        <n v="47177"/>
        <n v="15968"/>
        <n v="2548"/>
        <n v="18516"/>
        <n v="19694"/>
        <n v="2080"/>
        <n v="21774"/>
        <n v="20897"/>
        <n v="2835"/>
        <n v="23732"/>
        <n v="20908"/>
        <n v="2268"/>
        <n v="23176"/>
        <n v="46850"/>
        <n v="7673"/>
        <n v="7752"/>
        <n v="15425"/>
        <n v="35728"/>
        <n v="4348"/>
        <n v="40076"/>
        <n v="29484"/>
        <n v="13704"/>
        <n v="43188"/>
        <n v="18269"/>
        <n v="25208"/>
        <n v="43477"/>
        <n v="24760"/>
        <n v="12756"/>
        <n v="18348"/>
        <n v="468"/>
        <n v="18816"/>
        <n v="14076"/>
        <n v="15688"/>
        <n v="29764"/>
        <n v="24182"/>
        <n v="27741"/>
        <n v="51923"/>
        <n v="33648"/>
        <n v="20467.68"/>
        <n v="54115.68"/>
        <n v="21417"/>
        <n v="35885"/>
        <n v="57302"/>
        <n v="22308"/>
        <n v="6432"/>
        <n v="28740"/>
        <n v="25500"/>
        <n v="6804"/>
        <n v="32304"/>
        <n v="19149"/>
        <m/>
        <n v="17121"/>
        <n v="17584"/>
        <n v="34705"/>
        <n v="17601"/>
        <n v="31376"/>
        <n v="48977"/>
        <n v="12328"/>
        <n v="22776"/>
        <n v="35104"/>
        <n v="10020"/>
        <n v="4536"/>
        <n v="14556"/>
        <n v="20469"/>
        <n v="16185"/>
        <n v="36654"/>
        <n v="21936"/>
        <n v="30996"/>
        <n v="52932"/>
        <n v="12556"/>
        <n v="20040"/>
        <n v="32596"/>
      </sharedItems>
    </cacheField>
    <cacheField name="投流消耗" numFmtId="0">
      <sharedItems containsString="false" containsBlank="true" containsNumber="true" minValue="1105.46" maxValue="32676.75" count="80">
        <n v="11485.22"/>
        <n v="7395.260000000001"/>
        <n v="18880.48"/>
        <n v="13766.65"/>
        <n v="1105.46"/>
        <n v="14872.11"/>
        <n v="14524.66"/>
        <n v="12002.359999999999"/>
        <n v="26527.019999999997"/>
        <n v="13814.03"/>
        <n v="2338.99"/>
        <n v="16153.02"/>
        <n v="13610.939999999999"/>
        <n v="2968.36"/>
        <n v="16579.3"/>
        <n v="13405.24"/>
        <n v="3327.6600000000003"/>
        <n v="16732.9"/>
        <n v="14191.190000000002"/>
        <n v="2497.05"/>
        <n v="16688.24"/>
        <n v="26130.22"/>
        <n v="9440.6"/>
        <n v="6498.6"/>
        <n v="15939.2"/>
        <n v="17792.139999999996"/>
        <n v="3918.75"/>
        <n v="21710.889999999996"/>
        <n v="17137.05"/>
        <n v="8666.78"/>
        <n v="25803.83"/>
        <n v="12747.7"/>
        <n v="12811.05"/>
        <n v="25558.75"/>
        <n v="17293.65"/>
        <n v="12456.3"/>
        <n v="12757.419999999998"/>
        <n v="2831.65"/>
        <n v="15589.069999999998"/>
        <n v="13210.35"/>
        <n v="9534.58"/>
        <n v="22744.93"/>
        <n v="13953.55"/>
        <n v="16930.62"/>
        <n v="30884.17"/>
        <n v="17963.600000000002"/>
        <n v="14713.15"/>
        <n v="32676.75"/>
        <n v="13595.34"/>
        <n v="17865.010000000002"/>
        <n v="31460.350000000002"/>
        <n v="13578.33"/>
        <n v="7322.16"/>
        <n v="20900.489999999998"/>
        <n v="13313.849999999999"/>
        <n v="6144.72"/>
        <n v="19458.57"/>
        <n v="16530.29"/>
        <m/>
        <n v="10892.960000000001"/>
        <n v="12882.85"/>
        <n v="23775.81"/>
        <n v="12937.53"/>
        <n v="15053.16"/>
        <n v="27990.690000000002"/>
        <n v="12486.789999999997"/>
        <n v="13471.66"/>
        <n v="25958.449999999997"/>
        <n v="13067.18"/>
        <n v="5597.75"/>
        <n v="18664.93"/>
        <n v="12756.97"/>
        <n v="11524.670000000002"/>
        <n v="24281.64"/>
        <n v="13164.82"/>
        <n v="16112.36"/>
        <n v="29277.18"/>
        <n v="13780.18"/>
        <n v="13250.18"/>
        <n v="27030.36"/>
      </sharedItems>
    </cacheField>
    <cacheField name="ROI" numFmtId="0">
      <sharedItems containsString="false" containsBlank="true" containsNumber="true" minValue="0" maxValue="2.095195343643156" count="0"/>
    </cacheField>
    <cacheField name="单均" numFmtId="0">
      <sharedItems containsBlank="true" containsMixedTypes="true" containsNumber="true" minValue="468" maxValue="2268" count="0"/>
    </cacheField>
    <cacheField name="保单成本" numFmtId="0">
      <sharedItems containsBlank="true" containsMixedTypes="true" containsNumber="true" minValue="887.5899999999999" maxValue="2968.36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2" maxValue="8" count="0"/>
    </cacheField>
    <cacheField name="夫妻版占比" numFmtId="0">
      <sharedItems containsMixedTypes="true" containsNumber="true" minValue="0" maxValue="1" count="0"/>
    </cacheField>
    <cacheField name="小家庭版占比" numFmtId="0">
      <sharedItems containsMixedTypes="true" containsNumber="true" minValue="0" maxValue="0.5" count="0"/>
    </cacheField>
    <cacheField name="全家版占比" numFmtId="0">
      <sharedItems containsMixedTypes="true" containsNumber="true" minValue="0" maxValue="1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S$111" sheet="2026.8"/>
  </cacheSource>
  <cacheFields count="19">
    <cacheField name="日期" numFmtId="0">
      <sharedItems count="0"/>
    </cacheField>
    <cacheField name="主播" numFmtId="0">
      <sharedItems count="7">
        <s v="熊巍宇"/>
        <s v="宋博阳"/>
        <s v="岳彤"/>
        <s v="总计"/>
        <s v="刘园园"/>
        <s v="沈静"/>
        <s v="左璐筠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0.75" maxValue="12" count="16">
        <n v="5"/>
        <n v="2"/>
        <n v="12"/>
        <n v="4"/>
        <n v="3"/>
        <n v="10"/>
        <n v="3.75"/>
        <n v="11.75"/>
        <n v="9"/>
        <n v="8"/>
        <n v="0.75"/>
        <n v="5.75"/>
        <n v="1"/>
        <n v="6"/>
        <n v="2.5"/>
        <n v="3.5"/>
      </sharedItems>
    </cacheField>
    <cacheField name="订单数" numFmtId="0">
      <sharedItems containsSemiMixedTypes="false" containsString="false" containsNumber="true" containsInteger="true" minValue="0" maxValue="73" count="0"/>
    </cacheField>
    <cacheField name="总保单数量" numFmtId="0">
      <sharedItems containsSemiMixedTypes="false" containsString="false" containsNumber="true" containsInteger="true" minValue="0" maxValue="38" count="0"/>
    </cacheField>
    <cacheField name="夫妻版保单" numFmtId="0">
      <sharedItems containsSemiMixedTypes="false" containsString="false" containsNumber="true" containsInteger="true" minValue="0" maxValue="6" count="0"/>
    </cacheField>
    <cacheField name="小家庭版保单" numFmtId="0">
      <sharedItems containsSemiMixedTypes="false" containsString="false" containsNumber="true" containsInteger="true" minValue="0" maxValue="11" count="0"/>
    </cacheField>
    <cacheField name="全家版保单" numFmtId="0">
      <sharedItems containsSemiMixedTypes="false" containsString="false" containsNumber="true" containsInteger="true" minValue="0" maxValue="25" count="0"/>
    </cacheField>
    <cacheField name="年化保费" numFmtId="0">
      <sharedItems containsSemiMixedTypes="false" containsString="false" containsNumber="true" minValue="0" maxValue="64521.600000000006" count="0"/>
    </cacheField>
    <cacheField name="投流消耗" numFmtId="0">
      <sharedItems containsSemiMixedTypes="false" containsString="false" containsNumber="true" minValue="1283.21" maxValue="48704.79" count="0"/>
    </cacheField>
    <cacheField name="ROI" numFmtId="0">
      <sharedItems containsSemiMixedTypes="false" containsString="false" containsNumber="true" minValue="0" maxValue="2.2872216876265057" count="0"/>
    </cacheField>
    <cacheField name="单均" numFmtId="0">
      <sharedItems containsMixedTypes="true" containsNumber="true" minValue="1068" maxValue="2742" count="0"/>
    </cacheField>
    <cacheField name="保单成本" numFmtId="0">
      <sharedItems containsMixedTypes="true" containsNumber="true" minValue="793.078947368421" maxValue="5062.015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12" count="0"/>
    </cacheField>
    <cacheField name="夫妻版占比" numFmtId="0">
      <sharedItems containsMixedTypes="true" containsNumber="true" minValue="0" maxValue="0.6666666666666666" count="0"/>
    </cacheField>
    <cacheField name="小家庭版占比" numFmtId="0">
      <sharedItems containsMixedTypes="true" containsNumber="true" minValue="0" maxValue="0.6" count="0"/>
    </cacheField>
    <cacheField name="全家版占比" numFmtId="0">
      <sharedItems containsMixedTypes="true" containsNumber="true" minValue="0.3076923076923077" maxValue="1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S$122" sheet="2026.7"/>
  </cacheSource>
  <cacheFields count="19">
    <cacheField name="日期" numFmtId="0">
      <sharedItems count="0"/>
    </cacheField>
    <cacheField name="主播" numFmtId="0">
      <sharedItems count="8">
        <s v="刘园园"/>
        <s v="熊巍宇"/>
        <s v="宋博阳"/>
        <s v="总计"/>
        <s v="蒲奕西"/>
        <s v="岳彤"/>
        <s v="尹小雨"/>
        <s v="主播"/>
      </sharedItems>
    </cacheField>
    <cacheField name="直播时段" numFmtId="0">
      <sharedItems containsBlank="true" count="0"/>
    </cacheField>
    <cacheField name="直播时长" numFmtId="0">
      <sharedItems containsMixedTypes="true" containsNumber="true" minValue="2" maxValue="12" count="11">
        <n v="4"/>
        <n v="12"/>
        <n v="3"/>
        <n v="11"/>
        <n v="5"/>
        <n v="10"/>
        <n v="2"/>
        <n v="3.5"/>
        <n v="11.5"/>
        <s v="直播时长"/>
        <n v="9"/>
      </sharedItems>
    </cacheField>
    <cacheField name="订单数" numFmtId="0">
      <sharedItems containsMixedTypes="true" containsNumber="true" containsInteger="true" minValue="2" maxValue="132" count="0"/>
    </cacheField>
    <cacheField name="保单数量" numFmtId="0">
      <sharedItems containsMixedTypes="true" containsNumber="true" containsInteger="true" minValue="0" maxValue="61" count="0"/>
    </cacheField>
    <cacheField name="G列" numFmtId="0">
      <sharedItems containsBlank="true" containsMixedTypes="true" containsNumber="true" containsInteger="true" minValue="0" maxValue="4" count="0"/>
    </cacheField>
    <cacheField name="H列" numFmtId="0">
      <sharedItems containsBlank="true" containsMixedTypes="true" containsNumber="true" containsInteger="true" minValue="0" maxValue="3" count="0"/>
    </cacheField>
    <cacheField name="I列" numFmtId="0">
      <sharedItems containsBlank="true" containsMixedTypes="true" containsNumber="true" containsInteger="true" minValue="1" maxValue="13" count="0"/>
    </cacheField>
    <cacheField name="年化保费" numFmtId="0">
      <sharedItems containsMixedTypes="true" containsNumber="true" minValue="0" maxValue="119293" count="0"/>
    </cacheField>
    <cacheField name="投流消耗" numFmtId="0">
      <sharedItems containsMixedTypes="true" containsNumber="true" minValue="1570.88" maxValue="62430.03" count="0"/>
    </cacheField>
    <cacheField name="ROI" numFmtId="0">
      <sharedItems containsMixedTypes="true" containsNumber="true" minValue="0" maxValue="2.293750648107851" count="0"/>
    </cacheField>
    <cacheField name="单均" numFmtId="0">
      <sharedItems containsMixedTypes="true" containsNumber="true" minValue="948" maxValue="2268" count="0"/>
    </cacheField>
    <cacheField name="保单成本" numFmtId="0">
      <sharedItems containsMixedTypes="true" containsNumber="true" minValue="644.5889473684211" maxValue="3947.1699999999996" count="0"/>
    </cacheField>
    <cacheField name="助播" numFmtId="0">
      <sharedItems containsBlank="true" count="0"/>
    </cacheField>
    <cacheField name="助播时长" numFmtId="0">
      <sharedItems containsBlank="true" containsMixedTypes="true" containsNumber="true" minValue="1" maxValue="12" count="0"/>
    </cacheField>
    <cacheField name="Q列" numFmtId="0">
      <sharedItems containsBlank="true" containsMixedTypes="true" containsNumber="true" minValue="0" maxValue="0.5" count="0"/>
    </cacheField>
    <cacheField name="R列" numFmtId="0">
      <sharedItems containsBlank="true" containsMixedTypes="true" containsNumber="true" minValue="0" maxValue="0.25" count="0"/>
    </cacheField>
    <cacheField name="S列" numFmtId="0">
      <sharedItems containsBlank="true" containsMixedTypes="true" containsNumber="true" minValue="0.5" maxValue="1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M$51" sheet="2026.6"/>
  </cacheSource>
  <cacheFields count="13">
    <cacheField name="日期" numFmtId="0">
      <sharedItems count="0"/>
    </cacheField>
    <cacheField name="主播" numFmtId="0">
      <sharedItems containsBlank="true" count="4">
        <s v="刘园园"/>
        <s v="熊巍宇"/>
        <m/>
        <s v="宋博阳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12" count="11">
        <n v="4"/>
        <n v="2"/>
        <n v="6"/>
        <n v="3"/>
        <n v="5"/>
        <n v="8"/>
        <n v="10"/>
        <n v="12"/>
        <n v="11"/>
        <n v="3.5"/>
        <n v="3.75"/>
      </sharedItems>
    </cacheField>
    <cacheField name="订单数" numFmtId="0">
      <sharedItems containsSemiMixedTypes="false" containsString="false" containsNumber="true" containsInteger="true" minValue="7" maxValue="144" count="0"/>
    </cacheField>
    <cacheField name="保单数量" numFmtId="0">
      <sharedItems containsSemiMixedTypes="false" containsString="false" containsNumber="true" containsInteger="true" minValue="1" maxValue="70" count="0"/>
    </cacheField>
    <cacheField name="年化保费" numFmtId="0">
      <sharedItems containsSemiMixedTypes="false" containsString="false" containsNumber="true" containsInteger="true" minValue="468" maxValue="104198" count="50">
        <n v="468"/>
        <n v="4164"/>
        <n v="4632"/>
        <n v="21188"/>
        <n v="3976"/>
        <n v="25164"/>
        <n v="39264"/>
        <n v="4536"/>
        <n v="43800"/>
        <n v="7301"/>
        <n v="17028"/>
        <n v="24329"/>
        <n v="15257"/>
        <n v="35080"/>
        <n v="50337"/>
        <n v="12012"/>
        <n v="29964"/>
        <n v="41976"/>
        <n v="38296"/>
        <n v="8316"/>
        <n v="35297"/>
        <n v="81909"/>
        <n v="18924"/>
        <n v="11465"/>
        <n v="13361"/>
        <n v="43750"/>
        <n v="36006"/>
        <n v="31032"/>
        <n v="37160"/>
        <n v="104198"/>
        <n v="9832"/>
        <n v="20776"/>
        <n v="7564"/>
        <n v="38172"/>
        <n v="28013"/>
        <n v="31012"/>
        <n v="16761"/>
        <n v="75786"/>
        <n v="45614"/>
        <n v="23068"/>
        <n v="13812"/>
        <n v="82494"/>
        <n v="23924"/>
        <n v="27624"/>
        <n v="21748"/>
        <n v="73296"/>
        <n v="15504"/>
        <n v="29020"/>
        <n v="22025"/>
        <n v="66549"/>
      </sharedItems>
    </cacheField>
    <cacheField name="投流消耗" numFmtId="0">
      <sharedItems containsSemiMixedTypes="false" containsString="false" containsNumber="true" minValue="3272.2" maxValue="89224.26000000001" count="50">
        <n v="3272.2"/>
        <n v="5577.299999999999"/>
        <n v="8849.5"/>
        <n v="19861.520000000004"/>
        <n v="6370.07"/>
        <n v="26231.590000000004"/>
        <n v="40225.87"/>
        <n v="5930.1900000000005"/>
        <n v="46156.060000000005"/>
        <n v="12221.789999999999"/>
        <n v="9840.579999999998"/>
        <n v="22062.369999999995"/>
        <n v="13829.5"/>
        <n v="34109.630000000005"/>
        <n v="47939.130000000005"/>
        <n v="15755.1"/>
        <n v="23252.79"/>
        <n v="39007.89"/>
        <n v="27360.92"/>
        <n v="7892.5599999999995"/>
        <n v="24644.86"/>
        <n v="59898.34"/>
        <n v="18104.329999999998"/>
        <n v="10505.869999999999"/>
        <n v="10988.44"/>
        <n v="39598.64"/>
        <n v="31954.16"/>
        <n v="22552.16"/>
        <n v="34717.94"/>
        <n v="89224.26000000001"/>
        <n v="14957.93"/>
        <n v="15700.59"/>
        <n v="10682.57"/>
        <n v="41341.09"/>
        <n v="21121.99"/>
        <n v="21086.13"/>
        <n v="14844.79"/>
        <n v="57052.91"/>
        <n v="30605.93"/>
        <n v="22766.5"/>
        <n v="13616.44"/>
        <n v="66988.87"/>
        <n v="15099.39"/>
        <n v="18933.7"/>
        <n v="16303.289999999999"/>
        <n v="50336.38"/>
        <n v="13428.970000000001"/>
        <n v="14401.080000000002"/>
        <n v="13458.820000000002"/>
        <n v="41288.87"/>
      </sharedItems>
    </cacheField>
    <cacheField name="ROI" numFmtId="0">
      <sharedItems containsSemiMixedTypes="false" containsString="false" containsNumber="true" minValue="0.143023042601308" maxValue="2.0151266432795314" count="0"/>
    </cacheField>
    <cacheField name="单均" numFmtId="0">
      <sharedItems containsSemiMixedTypes="false" containsString="false" containsNumber="true" minValue="468" maxValue="2268" count="0"/>
    </cacheField>
    <cacheField name="保单成本" numFmtId="0">
      <sharedItems containsSemiMixedTypes="false" containsString="false" containsNumber="true" minValue="826.3468421052631" maxValue="3272.2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12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E$91:$H$96" firstHeaderRow="1" firstDataRow="1" firstDataCol="1"/>
  <pivotFields count="22">
    <pivotField compact="false" outline="false" showAll="false"/>
    <pivotField axis="axisRow" compact="false" outline="false" showAll="false">
      <items count="7">
        <item x="0"/>
        <item x="1"/>
        <item h="true" x="2"/>
        <item x="3"/>
        <item x="4"/>
        <item h="true" x="5"/>
        <item t="default"/>
      </items>
    </pivotField>
    <pivotField compact="false" outline="false" showAll="false"/>
    <pivotField dataField="true" compact="false" outline="false" showAll="false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dataField="true" compact="false" outline="false" showAll="false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总年化保费" fld="12" subtotal="sum"/>
    <dataField name="求和项:投流消耗" fld="1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D$120:$E$127" firstHeaderRow="1" firstDataRow="1" firstDataCol="1"/>
  <pivotFields count="19">
    <pivotField compact="false" outline="false" showAll="false"/>
    <pivotField axis="axisRow" compact="false" outline="false" showAll="false">
      <items count="8">
        <item x="0"/>
        <item x="1"/>
        <item x="2"/>
        <item h="true" x="3"/>
        <item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126:$D$133" firstHeaderRow="1" firstDataRow="1" firstDataCol="1"/>
  <pivotFields count="19">
    <pivotField compact="false" outline="false" showAll="false"/>
    <pivotField axis="axisRow" compact="false" outline="false" showAll="false">
      <items count="9">
        <item x="0"/>
        <item x="1"/>
        <item x="2"/>
        <item h="true" x="3"/>
        <item x="4"/>
        <item x="5"/>
        <item x="6"/>
        <item h="true" x="7"/>
        <item t="default"/>
      </items>
    </pivotField>
    <pivotField compact="false" outline="false" showAll="false"/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C$65:$F$69" firstHeaderRow="1" firstDataRow="1" firstDataCol="1"/>
  <pivotFields count="13">
    <pivotField compact="false" outline="false" showAll="false"/>
    <pivotField axis="axisRow" compact="false" outline="false" showAll="false">
      <items count="5">
        <item x="0"/>
        <item x="1"/>
        <item h="true" x="2"/>
        <item x="3"/>
        <item t="default"/>
      </items>
    </pivotField>
    <pivotField compact="false" outline="false" showAll="false"/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true" compact="false" outline="false" showAll="false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6" subtotal="sum"/>
    <dataField name="求和项:投流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6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2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2" t="s">
        <v>19</v>
      </c>
      <c r="T1" s="3" t="s">
        <v>20</v>
      </c>
      <c r="U1" s="3" t="s">
        <v>21</v>
      </c>
      <c r="V1" s="3" t="s">
        <v>22</v>
      </c>
    </row>
    <row hidden="true" r="2">
      <c r="A2" s="5" t="s">
        <v>23</v>
      </c>
      <c r="B2" s="6" t="s">
        <v>24</v>
      </c>
      <c r="C2" s="7" t="s">
        <v>25</v>
      </c>
      <c r="D2" s="7">
        <v>4</v>
      </c>
      <c r="E2" s="7">
        <v>19</v>
      </c>
      <c r="F2" s="7">
        <v>9</v>
      </c>
      <c r="G2" s="8">
        <v>1</v>
      </c>
      <c r="H2" s="9">
        <f t="shared" ref="H2:H3" si="16">39*12*G2</f>
      </c>
      <c r="I2" s="6">
        <v>0</v>
      </c>
      <c r="J2" s="7">
        <f>79*12*I2</f>
      </c>
      <c r="K2" s="8">
        <v>8</v>
      </c>
      <c r="L2" s="10">
        <f t="shared" ref="L2:L3" si="47">189*12*K2</f>
      </c>
      <c r="M2" s="6">
        <f t="shared" ref="M2:M3" si="0">L2+J2+H2</f>
      </c>
      <c r="N2" s="6">
        <v>12943.69</v>
      </c>
      <c r="O2" s="11">
        <f t="shared" ref="O2:O67" si="30">M2/N2</f>
      </c>
      <c r="P2" s="11">
        <f t="shared" ref="P2:P67" si="43">M2/F2</f>
      </c>
      <c r="Q2" s="12">
        <f t="shared" ref="Q2:Q67" si="56">N2/F2</f>
      </c>
      <c r="R2" s="13" t="s">
        <v>26</v>
      </c>
      <c r="S2" s="7">
        <v>8</v>
      </c>
      <c r="T2" s="14">
        <f t="shared" ref="T2:T67" si="15">G2/F2</f>
      </c>
      <c r="U2" s="14">
        <f t="shared" ref="U2:U67" si="31">I2/F2</f>
      </c>
      <c r="V2" s="14">
        <f t="shared" ref="V2:V67" si="44">K2/F2</f>
      </c>
    </row>
    <row hidden="true" r="3">
      <c r="A3" s="5" t="s">
        <v>23</v>
      </c>
      <c r="B3" s="6" t="s">
        <v>27</v>
      </c>
      <c r="C3" s="7" t="s">
        <v>28</v>
      </c>
      <c r="D3" s="7">
        <v>4</v>
      </c>
      <c r="E3" s="7">
        <v>28</v>
      </c>
      <c r="F3" s="7">
        <v>12</v>
      </c>
      <c r="G3" s="8">
        <v>0</v>
      </c>
      <c r="H3" s="9">
        <f t="shared" si="16"/>
      </c>
      <c r="I3" s="6">
        <v>4</v>
      </c>
      <c r="J3" s="7">
        <f>79*12*I3-79</f>
      </c>
      <c r="K3" s="8">
        <v>8</v>
      </c>
      <c r="L3" s="10">
        <f t="shared" si="47"/>
      </c>
      <c r="M3" s="6">
        <f t="shared" si="0"/>
      </c>
      <c r="N3" s="6">
        <v>11145.220000000001</v>
      </c>
      <c r="O3" s="11">
        <f t="shared" si="30"/>
      </c>
      <c r="P3" s="11">
        <f t="shared" si="43"/>
      </c>
      <c r="Q3" s="12">
        <f t="shared" si="56"/>
      </c>
      <c r="R3" s="13"/>
      <c r="S3" s="7"/>
      <c r="T3" s="14">
        <f t="shared" si="15"/>
      </c>
      <c r="U3" s="14">
        <f t="shared" si="31"/>
      </c>
      <c r="V3" s="14">
        <f t="shared" si="44"/>
      </c>
    </row>
    <row hidden="true" r="4">
      <c r="A4" s="15" t="s">
        <v>23</v>
      </c>
      <c r="B4" s="16" t="s">
        <v>29</v>
      </c>
      <c r="C4" s="17"/>
      <c r="D4" s="18">
        <f>SUM(D2:D3)</f>
      </c>
      <c r="E4" s="18">
        <f>SUM(E2:E3)</f>
      </c>
      <c r="F4" s="18">
        <f>SUM(F2:F3)</f>
      </c>
      <c r="G4" s="18">
        <f>SUM(G2:G3)</f>
      </c>
      <c r="H4" s="18">
        <f>SUM(H2:H3)</f>
      </c>
      <c r="I4" s="18">
        <f>SUM(I2:I3)</f>
      </c>
      <c r="J4" s="18">
        <f>SUM(J2:J3)</f>
      </c>
      <c r="K4" s="18">
        <f>SUM(K2:K3)</f>
      </c>
      <c r="L4" s="18">
        <f>SUM(L2:L3)</f>
      </c>
      <c r="M4" s="18">
        <f>SUM(M2:M3)</f>
      </c>
      <c r="N4" s="18">
        <f>SUM(N2:N3)</f>
      </c>
      <c r="O4" s="19">
        <f t="shared" si="30"/>
      </c>
      <c r="P4" s="20">
        <f t="shared" si="43"/>
      </c>
      <c r="Q4" s="21">
        <f t="shared" si="56"/>
      </c>
      <c r="R4" s="22"/>
      <c r="S4" s="18">
        <f>SUM(S2:S3)</f>
      </c>
      <c r="T4" s="23">
        <f t="shared" si="15"/>
      </c>
      <c r="U4" s="23">
        <f t="shared" si="31"/>
      </c>
      <c r="V4" s="23">
        <f t="shared" si="44"/>
      </c>
    </row>
    <row hidden="true" r="5">
      <c r="A5" s="5" t="s">
        <v>30</v>
      </c>
      <c r="B5" s="6" t="s">
        <v>24</v>
      </c>
      <c r="C5" s="7" t="s">
        <v>25</v>
      </c>
      <c r="D5" s="7">
        <v>4</v>
      </c>
      <c r="E5" s="7">
        <v>43</v>
      </c>
      <c r="F5" s="7">
        <v>19</v>
      </c>
      <c r="G5" s="8">
        <v>0</v>
      </c>
      <c r="H5" s="9">
        <f t="shared" ref="H5:H6" si="17">39*12*G5</f>
      </c>
      <c r="I5" s="6">
        <v>2</v>
      </c>
      <c r="J5" s="7">
        <f t="shared" ref="J5:J6" si="32">79*12*I5</f>
      </c>
      <c r="K5" s="8">
        <v>17</v>
      </c>
      <c r="L5" s="10">
        <f t="shared" ref="L5:L6" si="48">189*12*K5</f>
      </c>
      <c r="M5" s="6">
        <f>L5+J5+H5</f>
      </c>
      <c r="N5" s="6">
        <v>19661.38</v>
      </c>
      <c r="O5" s="11">
        <f t="shared" si="30"/>
      </c>
      <c r="P5" s="11">
        <f t="shared" si="43"/>
      </c>
      <c r="Q5" s="12">
        <f t="shared" si="56"/>
      </c>
      <c r="R5" s="13" t="s">
        <v>26</v>
      </c>
      <c r="S5" s="7">
        <v>8</v>
      </c>
      <c r="T5" s="14">
        <f t="shared" si="15"/>
      </c>
      <c r="U5" s="14">
        <f t="shared" si="31"/>
      </c>
      <c r="V5" s="14">
        <f t="shared" si="44"/>
      </c>
    </row>
    <row hidden="true" r="6">
      <c r="A6" s="5" t="s">
        <v>30</v>
      </c>
      <c r="B6" s="6" t="s">
        <v>27</v>
      </c>
      <c r="C6" s="7" t="s">
        <v>28</v>
      </c>
      <c r="D6" s="7">
        <v>4</v>
      </c>
      <c r="E6" s="7">
        <v>40</v>
      </c>
      <c r="F6" s="7">
        <v>11</v>
      </c>
      <c r="G6" s="8">
        <v>0</v>
      </c>
      <c r="H6" s="9">
        <f t="shared" si="17"/>
      </c>
      <c r="I6" s="6">
        <v>1</v>
      </c>
      <c r="J6" s="7">
        <f t="shared" si="32"/>
      </c>
      <c r="K6" s="8">
        <v>8</v>
      </c>
      <c r="L6" s="10">
        <f t="shared" si="48"/>
      </c>
      <c r="M6" s="6">
        <f>L6+J6+H6+108+828</f>
      </c>
      <c r="N6" s="6">
        <v>16282.91</v>
      </c>
      <c r="O6" s="11">
        <f t="shared" si="30"/>
      </c>
      <c r="P6" s="11">
        <f t="shared" si="43"/>
      </c>
      <c r="Q6" s="12">
        <f t="shared" si="56"/>
      </c>
      <c r="R6" s="13"/>
      <c r="S6" s="7"/>
      <c r="T6" s="14">
        <f t="shared" si="15"/>
      </c>
      <c r="U6" s="14">
        <f t="shared" si="31"/>
      </c>
      <c r="V6" s="14">
        <f t="shared" si="44"/>
      </c>
    </row>
    <row hidden="true" r="7">
      <c r="A7" s="15" t="s">
        <v>30</v>
      </c>
      <c r="B7" s="16" t="s">
        <v>29</v>
      </c>
      <c r="C7" s="17"/>
      <c r="D7" s="18">
        <f>SUM(D5:D6)</f>
      </c>
      <c r="E7" s="18">
        <f>SUM(E5:E6)</f>
      </c>
      <c r="F7" s="18">
        <f>SUM(F5:F6)</f>
      </c>
      <c r="G7" s="18">
        <f>SUM(G5:G6)</f>
      </c>
      <c r="H7" s="18">
        <f>SUM(H5:H6)</f>
      </c>
      <c r="I7" s="18">
        <f>SUM(I5:I6)</f>
      </c>
      <c r="J7" s="18">
        <f>SUM(J5:J6)</f>
      </c>
      <c r="K7" s="18">
        <f>SUM(K5:K6)</f>
      </c>
      <c r="L7" s="18">
        <f>SUM(L5:L6)</f>
      </c>
      <c r="M7" s="18">
        <f>SUM(M5:M6)</f>
      </c>
      <c r="N7" s="18">
        <f>SUM(N5:N6)</f>
      </c>
      <c r="O7" s="19">
        <f t="shared" si="30"/>
      </c>
      <c r="P7" s="20">
        <f t="shared" si="43"/>
      </c>
      <c r="Q7" s="21">
        <f t="shared" si="56"/>
      </c>
      <c r="R7" s="22"/>
      <c r="S7" s="18">
        <f>SUM(S5:S6)</f>
      </c>
      <c r="T7" s="23">
        <f t="shared" si="15"/>
      </c>
      <c r="U7" s="23">
        <f t="shared" si="31"/>
      </c>
      <c r="V7" s="23">
        <f t="shared" si="44"/>
      </c>
    </row>
    <row hidden="true" r="8">
      <c r="A8" s="5" t="s">
        <v>31</v>
      </c>
      <c r="B8" s="6" t="s">
        <v>24</v>
      </c>
      <c r="C8" s="7" t="s">
        <v>25</v>
      </c>
      <c r="D8" s="7">
        <v>4</v>
      </c>
      <c r="E8" s="7">
        <v>55</v>
      </c>
      <c r="F8" s="7">
        <v>21</v>
      </c>
      <c r="G8" s="8">
        <v>1</v>
      </c>
      <c r="H8" s="9">
        <f>39*12*G8</f>
      </c>
      <c r="I8" s="6">
        <v>3</v>
      </c>
      <c r="J8" s="7">
        <f>79*12*I8-79</f>
      </c>
      <c r="K8" s="8">
        <v>17</v>
      </c>
      <c r="L8" s="10">
        <f>189*12*K8-188</f>
      </c>
      <c r="M8" s="6">
        <f>L8+J8+H8</f>
      </c>
      <c r="N8" s="6">
        <v>18836.74</v>
      </c>
      <c r="O8" s="11">
        <f t="shared" si="30"/>
      </c>
      <c r="P8" s="11">
        <f t="shared" si="43"/>
      </c>
      <c r="Q8" s="12">
        <f t="shared" si="56"/>
      </c>
      <c r="R8" s="13" t="s">
        <v>26</v>
      </c>
      <c r="S8" s="7">
        <v>8</v>
      </c>
      <c r="T8" s="14">
        <f t="shared" si="15"/>
      </c>
      <c r="U8" s="14">
        <f t="shared" si="31"/>
      </c>
      <c r="V8" s="14">
        <f t="shared" si="44"/>
      </c>
    </row>
    <row hidden="true" r="9">
      <c r="A9" s="5" t="s">
        <v>31</v>
      </c>
      <c r="B9" s="6" t="s">
        <v>27</v>
      </c>
      <c r="C9" s="7" t="s">
        <v>28</v>
      </c>
      <c r="D9" s="7">
        <v>4</v>
      </c>
      <c r="E9" s="7">
        <v>43</v>
      </c>
      <c r="F9" s="7">
        <v>17</v>
      </c>
      <c r="G9" s="8">
        <v>2</v>
      </c>
      <c r="H9" s="9">
        <f>39*12*G9-39</f>
      </c>
      <c r="I9" s="6">
        <v>3</v>
      </c>
      <c r="J9" s="7">
        <f>79*12*I9</f>
      </c>
      <c r="K9" s="8">
        <v>11</v>
      </c>
      <c r="L9" s="10">
        <f>189*12*K9</f>
      </c>
      <c r="M9" s="6">
        <f>L9+J9+H9+168</f>
      </c>
      <c r="N9" s="6">
        <v>18698.54</v>
      </c>
      <c r="O9" s="11">
        <f t="shared" si="30"/>
      </c>
      <c r="P9" s="11">
        <f t="shared" si="43"/>
      </c>
      <c r="Q9" s="12">
        <f t="shared" si="56"/>
      </c>
      <c r="R9" s="13"/>
      <c r="S9" s="7"/>
      <c r="T9" s="14">
        <f t="shared" si="15"/>
      </c>
      <c r="U9" s="14">
        <f t="shared" si="31"/>
      </c>
      <c r="V9" s="14">
        <f t="shared" si="44"/>
      </c>
    </row>
    <row hidden="true" r="10">
      <c r="A10" s="15" t="s">
        <v>31</v>
      </c>
      <c r="B10" s="16" t="s">
        <v>29</v>
      </c>
      <c r="C10" s="17"/>
      <c r="D10" s="18">
        <f>SUM(D8:D9)</f>
      </c>
      <c r="E10" s="18">
        <f>SUM(E8:E9)</f>
      </c>
      <c r="F10" s="18">
        <f>SUM(F8:F9)</f>
      </c>
      <c r="G10" s="18">
        <f>SUM(G8:G9)</f>
      </c>
      <c r="H10" s="18">
        <f>SUM(H8:H9)</f>
      </c>
      <c r="I10" s="18">
        <f>SUM(I8:I9)</f>
      </c>
      <c r="J10" s="18">
        <f>SUM(J8:J9)</f>
      </c>
      <c r="K10" s="18">
        <f>SUM(K8:K9)</f>
      </c>
      <c r="L10" s="18">
        <f>SUM(L8:L9)</f>
      </c>
      <c r="M10" s="18">
        <f>SUM(M8:M9)</f>
      </c>
      <c r="N10" s="18">
        <f>SUM(N8:N9)</f>
      </c>
      <c r="O10" s="19">
        <f t="shared" si="30"/>
      </c>
      <c r="P10" s="20">
        <f t="shared" si="43"/>
      </c>
      <c r="Q10" s="21">
        <f t="shared" si="56"/>
      </c>
      <c r="R10" s="22"/>
      <c r="S10" s="18">
        <f>SUM(S8:S9)</f>
      </c>
      <c r="T10" s="23">
        <f t="shared" si="15"/>
      </c>
      <c r="U10" s="23">
        <f t="shared" si="31"/>
      </c>
      <c r="V10" s="23">
        <f t="shared" si="44"/>
      </c>
    </row>
    <row hidden="true" r="11">
      <c r="A11" s="5" t="s">
        <v>32</v>
      </c>
      <c r="B11" s="6" t="s">
        <v>24</v>
      </c>
      <c r="C11" s="7" t="s">
        <v>25</v>
      </c>
      <c r="D11" s="7">
        <v>4</v>
      </c>
      <c r="E11" s="7">
        <v>22</v>
      </c>
      <c r="F11" s="7">
        <v>7</v>
      </c>
      <c r="G11" s="8">
        <v>0</v>
      </c>
      <c r="H11" s="9">
        <f t="shared" ref="H11:H12" si="18">39*12*G11</f>
      </c>
      <c r="I11" s="6">
        <v>1</v>
      </c>
      <c r="J11" s="7">
        <f t="shared" ref="J11:J12" si="33">79*12*I11</f>
      </c>
      <c r="K11" s="8">
        <v>4</v>
      </c>
      <c r="L11" s="10">
        <f t="shared" ref="L11:L12" si="45">189*12*K11-188</f>
      </c>
      <c r="M11" s="6">
        <f>L11+J11+H11+748.8</f>
      </c>
      <c r="N11" s="6">
        <v>16039.130000000001</v>
      </c>
      <c r="O11" s="11">
        <f t="shared" si="30"/>
      </c>
      <c r="P11" s="11">
        <f t="shared" si="43"/>
      </c>
      <c r="Q11" s="12">
        <f t="shared" si="56"/>
      </c>
      <c r="R11" s="13" t="s">
        <v>26</v>
      </c>
      <c r="S11" s="7">
        <v>8</v>
      </c>
      <c r="T11" s="14">
        <f t="shared" si="15"/>
      </c>
      <c r="U11" s="14">
        <f t="shared" si="31"/>
      </c>
      <c r="V11" s="14">
        <f t="shared" si="44"/>
      </c>
    </row>
    <row hidden="true" r="12">
      <c r="A12" s="5" t="s">
        <v>32</v>
      </c>
      <c r="B12" s="6" t="s">
        <v>27</v>
      </c>
      <c r="C12" s="7" t="s">
        <v>28</v>
      </c>
      <c r="D12" s="7">
        <v>4</v>
      </c>
      <c r="E12" s="7">
        <v>27</v>
      </c>
      <c r="F12" s="7">
        <v>9</v>
      </c>
      <c r="G12" s="8">
        <v>0</v>
      </c>
      <c r="H12" s="9">
        <f t="shared" si="18"/>
      </c>
      <c r="I12" s="6">
        <v>0</v>
      </c>
      <c r="J12" s="7">
        <f t="shared" si="33"/>
      </c>
      <c r="K12" s="8">
        <v>8</v>
      </c>
      <c r="L12" s="10">
        <f t="shared" si="45"/>
      </c>
      <c r="M12" s="6">
        <f>L12+J12+H12+108</f>
      </c>
      <c r="N12" s="6">
        <v>12549.460000000001</v>
      </c>
      <c r="O12" s="11">
        <f t="shared" si="30"/>
      </c>
      <c r="P12" s="11">
        <f t="shared" si="43"/>
      </c>
      <c r="Q12" s="12">
        <f t="shared" si="56"/>
      </c>
      <c r="R12" s="13"/>
      <c r="S12" s="7"/>
      <c r="T12" s="14">
        <f t="shared" si="15"/>
      </c>
      <c r="U12" s="14">
        <f t="shared" si="31"/>
      </c>
      <c r="V12" s="14">
        <f t="shared" si="44"/>
      </c>
    </row>
    <row hidden="true" r="13">
      <c r="A13" s="15" t="s">
        <v>32</v>
      </c>
      <c r="B13" s="16" t="s">
        <v>29</v>
      </c>
      <c r="C13" s="17"/>
      <c r="D13" s="18">
        <f>SUM(D11:D12)</f>
      </c>
      <c r="E13" s="18">
        <f>SUM(E11:E12)</f>
      </c>
      <c r="F13" s="18">
        <f>SUM(F11:F12)</f>
      </c>
      <c r="G13" s="18">
        <f>SUM(G11:G12)</f>
      </c>
      <c r="H13" s="18">
        <f>SUM(H11:H12)</f>
      </c>
      <c r="I13" s="18">
        <f>SUM(I11:I12)</f>
      </c>
      <c r="J13" s="18">
        <f>SUM(J11:J12)</f>
      </c>
      <c r="K13" s="18">
        <f>SUM(K11:K12)</f>
      </c>
      <c r="L13" s="18">
        <f>SUM(L11:L12)</f>
      </c>
      <c r="M13" s="18">
        <f>SUM(M11:M12)</f>
      </c>
      <c r="N13" s="18">
        <f>SUM(N11:N12)</f>
      </c>
      <c r="O13" s="19">
        <f t="shared" si="30"/>
      </c>
      <c r="P13" s="20">
        <f t="shared" si="43"/>
      </c>
      <c r="Q13" s="21">
        <f t="shared" si="56"/>
      </c>
      <c r="R13" s="22"/>
      <c r="S13" s="18">
        <f>SUM(S11:S12)</f>
      </c>
      <c r="T13" s="23">
        <f t="shared" si="15"/>
      </c>
      <c r="U13" s="23">
        <f t="shared" si="31"/>
      </c>
      <c r="V13" s="23">
        <f t="shared" si="44"/>
      </c>
    </row>
    <row hidden="true" r="14">
      <c r="A14" s="5" t="s">
        <v>33</v>
      </c>
      <c r="B14" s="6" t="s">
        <v>24</v>
      </c>
      <c r="C14" s="7" t="s">
        <v>25</v>
      </c>
      <c r="D14" s="7">
        <v>4</v>
      </c>
      <c r="E14" s="7">
        <v>25</v>
      </c>
      <c r="F14" s="7">
        <v>11</v>
      </c>
      <c r="G14" s="8">
        <v>1</v>
      </c>
      <c r="H14" s="9">
        <f t="shared" ref="H14:H15" si="19">39*12*G14</f>
      </c>
      <c r="I14" s="6">
        <v>3</v>
      </c>
      <c r="J14" s="7">
        <f t="shared" ref="J14:J15" si="34">79*12*I14</f>
      </c>
      <c r="K14" s="8">
        <v>7</v>
      </c>
      <c r="L14" s="10">
        <f t="shared" ref="L14:L15" si="49">189*12*K14</f>
      </c>
      <c r="M14" s="6">
        <f t="shared" ref="M14:M15" si="1">L14+J14+H14</f>
      </c>
      <c r="N14" s="6">
        <v>13633.810000000001</v>
      </c>
      <c r="O14" s="11">
        <f t="shared" si="30"/>
      </c>
      <c r="P14" s="11">
        <f t="shared" si="43"/>
      </c>
      <c r="Q14" s="12">
        <f t="shared" si="56"/>
      </c>
      <c r="R14" s="13" t="s">
        <v>26</v>
      </c>
      <c r="S14" s="7">
        <v>8</v>
      </c>
      <c r="T14" s="14">
        <f t="shared" si="15"/>
      </c>
      <c r="U14" s="14">
        <f t="shared" si="31"/>
      </c>
      <c r="V14" s="14">
        <f t="shared" si="44"/>
      </c>
    </row>
    <row hidden="true" r="15">
      <c r="A15" s="5" t="s">
        <v>33</v>
      </c>
      <c r="B15" s="6" t="s">
        <v>27</v>
      </c>
      <c r="C15" s="7" t="s">
        <v>28</v>
      </c>
      <c r="D15" s="7">
        <v>4</v>
      </c>
      <c r="E15" s="7">
        <v>19</v>
      </c>
      <c r="F15" s="7">
        <v>7</v>
      </c>
      <c r="G15" s="8">
        <v>0</v>
      </c>
      <c r="H15" s="9">
        <f t="shared" si="19"/>
      </c>
      <c r="I15" s="6">
        <v>1</v>
      </c>
      <c r="J15" s="7">
        <f t="shared" si="34"/>
      </c>
      <c r="K15" s="8">
        <v>6</v>
      </c>
      <c r="L15" s="10">
        <f t="shared" si="49"/>
      </c>
      <c r="M15" s="6">
        <f t="shared" si="1"/>
      </c>
      <c r="N15" s="6">
        <v>11526.93</v>
      </c>
      <c r="O15" s="11">
        <f t="shared" si="30"/>
      </c>
      <c r="P15" s="11">
        <f t="shared" si="43"/>
      </c>
      <c r="Q15" s="12">
        <f t="shared" si="56"/>
      </c>
      <c r="R15" s="13"/>
      <c r="S15" s="7"/>
      <c r="T15" s="14">
        <f t="shared" si="15"/>
      </c>
      <c r="U15" s="14">
        <f t="shared" si="31"/>
      </c>
      <c r="V15" s="14">
        <f t="shared" si="44"/>
      </c>
    </row>
    <row hidden="true" r="16">
      <c r="A16" s="15" t="s">
        <v>33</v>
      </c>
      <c r="B16" s="16" t="s">
        <v>29</v>
      </c>
      <c r="C16" s="17"/>
      <c r="D16" s="18">
        <f>SUM(D14:D15)</f>
      </c>
      <c r="E16" s="18">
        <f>SUM(E14:E15)</f>
      </c>
      <c r="F16" s="18">
        <f>SUM(F14:F15)</f>
      </c>
      <c r="G16" s="18">
        <f>SUM(G14:G15)</f>
      </c>
      <c r="H16" s="18">
        <f>SUM(H14:H15)</f>
      </c>
      <c r="I16" s="18">
        <f>SUM(I14:I15)</f>
      </c>
      <c r="J16" s="18">
        <f>SUM(J14:J15)</f>
      </c>
      <c r="K16" s="18">
        <f>SUM(K14:K15)</f>
      </c>
      <c r="L16" s="18">
        <f>SUM(L14:L15)</f>
      </c>
      <c r="M16" s="18">
        <f>SUM(M14:M15)</f>
      </c>
      <c r="N16" s="18">
        <f>SUM(N14:N15)</f>
      </c>
      <c r="O16" s="19">
        <f t="shared" si="30"/>
      </c>
      <c r="P16" s="20">
        <f t="shared" si="43"/>
      </c>
      <c r="Q16" s="21">
        <f t="shared" si="56"/>
      </c>
      <c r="R16" s="22"/>
      <c r="S16" s="18">
        <f>SUM(S14:S15)</f>
      </c>
      <c r="T16" s="23">
        <f t="shared" si="15"/>
      </c>
      <c r="U16" s="23">
        <f t="shared" si="31"/>
      </c>
      <c r="V16" s="23">
        <f t="shared" si="44"/>
      </c>
    </row>
    <row hidden="true" r="17">
      <c r="A17" s="5" t="s">
        <v>34</v>
      </c>
      <c r="B17" s="6" t="s">
        <v>24</v>
      </c>
      <c r="C17" s="7" t="s">
        <v>25</v>
      </c>
      <c r="D17" s="7">
        <v>4</v>
      </c>
      <c r="E17" s="7">
        <v>17</v>
      </c>
      <c r="F17" s="7">
        <v>4</v>
      </c>
      <c r="G17" s="8">
        <v>1</v>
      </c>
      <c r="H17" s="9">
        <v>468</v>
      </c>
      <c r="I17" s="6">
        <v>0</v>
      </c>
      <c r="J17" s="7">
        <v>0</v>
      </c>
      <c r="K17" s="8">
        <v>3</v>
      </c>
      <c r="L17" s="10">
        <v>6804</v>
      </c>
      <c r="M17" s="6">
        <f t="shared" ref="M17:M18" si="2">L17+J17+H17</f>
      </c>
      <c r="N17" s="6">
        <v>12016.630000000001</v>
      </c>
      <c r="O17" s="11">
        <f t="shared" si="30"/>
      </c>
      <c r="P17" s="11">
        <f t="shared" si="43"/>
      </c>
      <c r="Q17" s="12">
        <f t="shared" si="56"/>
      </c>
      <c r="R17" s="13" t="s">
        <v>35</v>
      </c>
      <c r="S17" s="7">
        <v>8</v>
      </c>
      <c r="T17" s="14">
        <f t="shared" si="15"/>
      </c>
      <c r="U17" s="14">
        <f t="shared" si="31"/>
      </c>
      <c r="V17" s="14">
        <f t="shared" si="44"/>
      </c>
    </row>
    <row hidden="true" r="18">
      <c r="A18" s="5" t="s">
        <v>34</v>
      </c>
      <c r="B18" s="6" t="s">
        <v>27</v>
      </c>
      <c r="C18" s="7" t="s">
        <v>28</v>
      </c>
      <c r="D18" s="7">
        <v>4</v>
      </c>
      <c r="E18" s="7">
        <v>30</v>
      </c>
      <c r="F18" s="7">
        <v>11</v>
      </c>
      <c r="G18" s="8">
        <v>0</v>
      </c>
      <c r="H18" s="24">
        <v>0</v>
      </c>
      <c r="I18" s="6">
        <v>3</v>
      </c>
      <c r="J18" s="7">
        <v>2844</v>
      </c>
      <c r="K18" s="8">
        <v>8</v>
      </c>
      <c r="L18" s="10">
        <v>17956</v>
      </c>
      <c r="M18" s="6">
        <f t="shared" si="2"/>
      </c>
      <c r="N18" s="6">
        <v>12796.4</v>
      </c>
      <c r="O18" s="11">
        <f t="shared" si="30"/>
      </c>
      <c r="P18" s="11">
        <f t="shared" si="43"/>
      </c>
      <c r="Q18" s="12">
        <f t="shared" si="56"/>
      </c>
      <c r="R18" s="13"/>
      <c r="S18" s="7"/>
      <c r="T18" s="14">
        <f t="shared" si="15"/>
      </c>
      <c r="U18" s="14">
        <f t="shared" si="31"/>
      </c>
      <c r="V18" s="14">
        <f t="shared" si="44"/>
      </c>
    </row>
    <row hidden="true" r="19">
      <c r="A19" s="15" t="s">
        <v>34</v>
      </c>
      <c r="B19" s="16" t="s">
        <v>29</v>
      </c>
      <c r="C19" s="17"/>
      <c r="D19" s="18">
        <f>SUM(D17:D18)</f>
      </c>
      <c r="E19" s="18">
        <f>SUM(E17:E18)</f>
      </c>
      <c r="F19" s="18">
        <f>SUM(F17:F18)</f>
      </c>
      <c r="G19" s="18">
        <f>SUM(G17:G18)</f>
      </c>
      <c r="H19" s="18">
        <f>SUM(H17:H18)</f>
      </c>
      <c r="I19" s="18">
        <f>SUM(I17:I18)</f>
      </c>
      <c r="J19" s="18">
        <f>SUM(J17:J18)</f>
      </c>
      <c r="K19" s="18">
        <f>SUM(K17:K18)</f>
      </c>
      <c r="L19" s="18">
        <f>SUM(L17:L18)</f>
      </c>
      <c r="M19" s="18">
        <f>SUM(M17:M18)</f>
      </c>
      <c r="N19" s="18">
        <f>SUM(N17:N18)</f>
      </c>
      <c r="O19" s="19">
        <f t="shared" si="30"/>
      </c>
      <c r="P19" s="20">
        <f t="shared" si="43"/>
      </c>
      <c r="Q19" s="21">
        <f t="shared" si="56"/>
      </c>
      <c r="R19" s="22"/>
      <c r="S19" s="18">
        <f>SUM(S17:S18)</f>
      </c>
      <c r="T19" s="23">
        <f t="shared" si="15"/>
      </c>
      <c r="U19" s="23">
        <f t="shared" si="31"/>
      </c>
      <c r="V19" s="23">
        <f t="shared" si="44"/>
      </c>
    </row>
    <row hidden="true" r="20">
      <c r="A20" s="5" t="s">
        <v>36</v>
      </c>
      <c r="B20" s="6" t="s">
        <v>24</v>
      </c>
      <c r="C20" s="7" t="s">
        <v>25</v>
      </c>
      <c r="D20" s="7">
        <v>4</v>
      </c>
      <c r="E20" s="7">
        <v>27</v>
      </c>
      <c r="F20" s="7">
        <v>9</v>
      </c>
      <c r="G20" s="8">
        <v>1</v>
      </c>
      <c r="H20" s="9">
        <v>468</v>
      </c>
      <c r="I20" s="6">
        <v>0</v>
      </c>
      <c r="J20" s="7">
        <v>0</v>
      </c>
      <c r="K20" s="8">
        <v>8</v>
      </c>
      <c r="L20" s="10">
        <v>17956</v>
      </c>
      <c r="M20" s="6">
        <f t="shared" ref="M20:M21" si="3">L20+J20+H20</f>
      </c>
      <c r="N20" s="6">
        <v>12961.36</v>
      </c>
      <c r="O20" s="11">
        <f t="shared" si="30"/>
      </c>
      <c r="P20" s="11">
        <f t="shared" si="43"/>
      </c>
      <c r="Q20" s="12">
        <f t="shared" si="56"/>
      </c>
      <c r="R20" s="13" t="s">
        <v>37</v>
      </c>
      <c r="S20" s="7">
        <v>8</v>
      </c>
      <c r="T20" s="14">
        <f t="shared" si="15"/>
      </c>
      <c r="U20" s="14">
        <f t="shared" si="31"/>
      </c>
      <c r="V20" s="14">
        <f t="shared" si="44"/>
      </c>
    </row>
    <row hidden="true" r="21">
      <c r="A21" s="5" t="s">
        <v>36</v>
      </c>
      <c r="B21" s="6" t="s">
        <v>27</v>
      </c>
      <c r="C21" s="7" t="s">
        <v>28</v>
      </c>
      <c r="D21" s="7">
        <v>4</v>
      </c>
      <c r="E21" s="7">
        <v>36</v>
      </c>
      <c r="F21" s="7">
        <v>16</v>
      </c>
      <c r="G21" s="8">
        <v>0</v>
      </c>
      <c r="H21" s="24">
        <v>0</v>
      </c>
      <c r="I21" s="6">
        <v>4</v>
      </c>
      <c r="J21" s="7">
        <v>3792</v>
      </c>
      <c r="K21" s="8">
        <v>11</v>
      </c>
      <c r="L21" s="10">
        <v>24868</v>
      </c>
      <c r="M21" s="6">
        <f t="shared" si="3"/>
      </c>
      <c r="N21" s="6">
        <v>14426.6</v>
      </c>
      <c r="O21" s="11">
        <f t="shared" si="30"/>
      </c>
      <c r="P21" s="11">
        <f t="shared" si="43"/>
      </c>
      <c r="Q21" s="12">
        <f t="shared" si="56"/>
      </c>
      <c r="R21" s="13"/>
      <c r="S21" s="7"/>
      <c r="T21" s="14">
        <f t="shared" si="15"/>
      </c>
      <c r="U21" s="14">
        <f t="shared" si="31"/>
      </c>
      <c r="V21" s="14">
        <f t="shared" si="44"/>
      </c>
    </row>
    <row hidden="true" r="22">
      <c r="A22" s="15" t="s">
        <v>36</v>
      </c>
      <c r="B22" s="16" t="s">
        <v>29</v>
      </c>
      <c r="C22" s="17"/>
      <c r="D22" s="18">
        <f>SUM(D20:D21)</f>
      </c>
      <c r="E22" s="18">
        <f>SUM(E20:E21)</f>
      </c>
      <c r="F22" s="18">
        <f>SUM(F20:F21)</f>
      </c>
      <c r="G22" s="18">
        <f>SUM(G20:G21)</f>
      </c>
      <c r="H22" s="18">
        <f>SUM(H20:H21)</f>
      </c>
      <c r="I22" s="18">
        <f>SUM(I20:I21)</f>
      </c>
      <c r="J22" s="18">
        <f>SUM(J20:J21)</f>
      </c>
      <c r="K22" s="18">
        <f>SUM(K20:K21)</f>
      </c>
      <c r="L22" s="18">
        <f>SUM(L20:L21)</f>
      </c>
      <c r="M22" s="18">
        <f>SUM(M20:M21)</f>
      </c>
      <c r="N22" s="18">
        <f>SUM(N20:N21)</f>
      </c>
      <c r="O22" s="19">
        <f t="shared" si="30"/>
      </c>
      <c r="P22" s="20">
        <f t="shared" si="43"/>
      </c>
      <c r="Q22" s="21">
        <f t="shared" si="56"/>
      </c>
      <c r="R22" s="22"/>
      <c r="S22" s="18">
        <f>SUM(S20:S21)</f>
      </c>
      <c r="T22" s="23">
        <f t="shared" si="15"/>
      </c>
      <c r="U22" s="23">
        <f t="shared" si="31"/>
      </c>
      <c r="V22" s="23">
        <f t="shared" si="44"/>
      </c>
    </row>
    <row hidden="true" r="23">
      <c r="A23" s="5" t="s">
        <v>38</v>
      </c>
      <c r="B23" s="6" t="s">
        <v>24</v>
      </c>
      <c r="C23" s="7" t="s">
        <v>25</v>
      </c>
      <c r="D23" s="7">
        <v>4</v>
      </c>
      <c r="E23" s="7">
        <v>28</v>
      </c>
      <c r="F23" s="7">
        <v>11</v>
      </c>
      <c r="G23" s="8">
        <v>1</v>
      </c>
      <c r="H23" s="9">
        <v>468</v>
      </c>
      <c r="I23" s="6">
        <v>0</v>
      </c>
      <c r="J23" s="7">
        <v>0</v>
      </c>
      <c r="K23" s="8">
        <v>10</v>
      </c>
      <c r="L23" s="10">
        <v>22680</v>
      </c>
      <c r="M23" s="6">
        <f t="shared" ref="M23:M24" si="4">L23+J23+H23</f>
      </c>
      <c r="N23" s="6">
        <v>11630.61</v>
      </c>
      <c r="O23" s="11">
        <f t="shared" si="30"/>
      </c>
      <c r="P23" s="11">
        <f t="shared" si="43"/>
      </c>
      <c r="Q23" s="12">
        <f t="shared" si="56"/>
      </c>
      <c r="R23" s="13" t="s">
        <v>37</v>
      </c>
      <c r="S23" s="7">
        <v>8</v>
      </c>
      <c r="T23" s="14">
        <f t="shared" si="15"/>
      </c>
      <c r="U23" s="14">
        <f t="shared" si="31"/>
      </c>
      <c r="V23" s="14">
        <f t="shared" si="44"/>
      </c>
    </row>
    <row hidden="true" r="24">
      <c r="A24" s="5" t="s">
        <v>38</v>
      </c>
      <c r="B24" s="6" t="s">
        <v>27</v>
      </c>
      <c r="C24" s="7" t="s">
        <v>39</v>
      </c>
      <c r="D24" s="7">
        <v>5</v>
      </c>
      <c r="E24" s="7">
        <v>22</v>
      </c>
      <c r="F24" s="7">
        <v>9</v>
      </c>
      <c r="G24" s="8">
        <v>1</v>
      </c>
      <c r="H24" s="9">
        <v>468</v>
      </c>
      <c r="I24" s="6">
        <v>0</v>
      </c>
      <c r="J24" s="7">
        <v>0</v>
      </c>
      <c r="K24" s="8">
        <v>8</v>
      </c>
      <c r="L24" s="10">
        <v>18144</v>
      </c>
      <c r="M24" s="6">
        <f t="shared" si="4"/>
      </c>
      <c r="N24" s="6">
        <v>14574.5</v>
      </c>
      <c r="O24" s="11">
        <f t="shared" si="30"/>
      </c>
      <c r="P24" s="11">
        <f t="shared" si="43"/>
      </c>
      <c r="Q24" s="12">
        <f t="shared" si="56"/>
      </c>
      <c r="R24" s="13" t="s">
        <v>35</v>
      </c>
      <c r="S24" s="7">
        <v>1</v>
      </c>
      <c r="T24" s="14">
        <f t="shared" si="15"/>
      </c>
      <c r="U24" s="14">
        <f t="shared" si="31"/>
      </c>
      <c r="V24" s="14">
        <f t="shared" si="44"/>
      </c>
    </row>
    <row hidden="true" r="25">
      <c r="A25" s="15" t="s">
        <v>38</v>
      </c>
      <c r="B25" s="16" t="s">
        <v>29</v>
      </c>
      <c r="C25" s="17"/>
      <c r="D25" s="18">
        <f>SUM(D23:D24)</f>
      </c>
      <c r="E25" s="18">
        <f>SUM(E23:E24)</f>
      </c>
      <c r="F25" s="18">
        <f>SUM(F23:F24)</f>
      </c>
      <c r="G25" s="18">
        <f>SUM(G23:G24)</f>
      </c>
      <c r="H25" s="18">
        <f>SUM(H23:H24)</f>
      </c>
      <c r="I25" s="18">
        <f>SUM(I23:I24)</f>
      </c>
      <c r="J25" s="18">
        <f>SUM(J23:J24)</f>
      </c>
      <c r="K25" s="18">
        <f>SUM(K23:K24)</f>
      </c>
      <c r="L25" s="18">
        <f>SUM(L23:L24)</f>
      </c>
      <c r="M25" s="18">
        <f>SUM(M23:M24)</f>
      </c>
      <c r="N25" s="18">
        <f>SUM(N23:N24)</f>
      </c>
      <c r="O25" s="19">
        <f t="shared" si="30"/>
      </c>
      <c r="P25" s="20">
        <f t="shared" si="43"/>
      </c>
      <c r="Q25" s="21">
        <f t="shared" si="56"/>
      </c>
      <c r="R25" s="22"/>
      <c r="S25" s="18">
        <f>SUM(S23:S24)</f>
      </c>
      <c r="T25" s="23">
        <f t="shared" si="15"/>
      </c>
      <c r="U25" s="23">
        <f t="shared" si="31"/>
      </c>
      <c r="V25" s="23">
        <f t="shared" si="44"/>
      </c>
    </row>
    <row hidden="true" r="26">
      <c r="A26" s="5" t="s">
        <v>40</v>
      </c>
      <c r="B26" s="6" t="s">
        <v>24</v>
      </c>
      <c r="C26" s="7" t="s">
        <v>25</v>
      </c>
      <c r="D26" s="7">
        <v>4</v>
      </c>
      <c r="E26" s="7">
        <v>21</v>
      </c>
      <c r="F26" s="7">
        <v>7</v>
      </c>
      <c r="G26" s="8">
        <v>0</v>
      </c>
      <c r="H26" s="24">
        <v>0</v>
      </c>
      <c r="I26" s="6">
        <v>3</v>
      </c>
      <c r="J26" s="7">
        <v>2765</v>
      </c>
      <c r="K26" s="8">
        <v>3</v>
      </c>
      <c r="L26" s="10">
        <v>6616</v>
      </c>
      <c r="M26" s="6">
        <v>9489</v>
      </c>
      <c r="N26" s="6">
        <v>10608.49</v>
      </c>
      <c r="O26" s="11">
        <f t="shared" si="30"/>
      </c>
      <c r="P26" s="11">
        <f t="shared" si="43"/>
      </c>
      <c r="Q26" s="12">
        <f t="shared" si="56"/>
      </c>
      <c r="R26" s="13" t="s">
        <v>37</v>
      </c>
      <c r="S26" s="7">
        <v>8</v>
      </c>
      <c r="T26" s="14">
        <f t="shared" si="15"/>
      </c>
      <c r="U26" s="14">
        <f t="shared" si="31"/>
      </c>
      <c r="V26" s="14">
        <f t="shared" si="44"/>
      </c>
    </row>
    <row hidden="true" r="27">
      <c r="A27" s="5" t="s">
        <v>40</v>
      </c>
      <c r="B27" s="6" t="s">
        <v>27</v>
      </c>
      <c r="C27" s="7" t="s">
        <v>28</v>
      </c>
      <c r="D27" s="7">
        <v>4</v>
      </c>
      <c r="E27" s="7">
        <v>21</v>
      </c>
      <c r="F27" s="7">
        <v>5</v>
      </c>
      <c r="G27" s="8">
        <v>0</v>
      </c>
      <c r="H27" s="24">
        <v>0</v>
      </c>
      <c r="I27" s="6">
        <v>1</v>
      </c>
      <c r="J27" s="7">
        <v>869</v>
      </c>
      <c r="K27" s="8">
        <v>4</v>
      </c>
      <c r="L27" s="10">
        <v>9072</v>
      </c>
      <c r="M27" s="6">
        <f>L27+J27+H27</f>
      </c>
      <c r="N27" s="6">
        <v>9093.82</v>
      </c>
      <c r="O27" s="11">
        <f t="shared" si="30"/>
      </c>
      <c r="P27" s="11">
        <f t="shared" si="43"/>
      </c>
      <c r="Q27" s="12">
        <f t="shared" si="56"/>
      </c>
      <c r="R27" s="13"/>
      <c r="S27" s="7"/>
      <c r="T27" s="14">
        <f t="shared" si="15"/>
      </c>
      <c r="U27" s="14">
        <f t="shared" si="31"/>
      </c>
      <c r="V27" s="14">
        <f t="shared" si="44"/>
      </c>
    </row>
    <row hidden="true" r="28">
      <c r="A28" s="15" t="s">
        <v>40</v>
      </c>
      <c r="B28" s="16" t="s">
        <v>29</v>
      </c>
      <c r="C28" s="17"/>
      <c r="D28" s="18">
        <f>SUM(D26:D27)</f>
      </c>
      <c r="E28" s="18">
        <f>SUM(E26:E27)</f>
      </c>
      <c r="F28" s="18">
        <f>SUM(F26:F27)</f>
      </c>
      <c r="G28" s="18">
        <f>SUM(G26:G27)</f>
      </c>
      <c r="H28" s="18">
        <f>SUM(H26:H27)</f>
      </c>
      <c r="I28" s="18">
        <f>SUM(I26:I27)</f>
      </c>
      <c r="J28" s="18">
        <f>SUM(J26:J27)</f>
      </c>
      <c r="K28" s="18">
        <f>SUM(K26:K27)</f>
      </c>
      <c r="L28" s="18">
        <f>SUM(L26:L27)</f>
      </c>
      <c r="M28" s="18">
        <f>SUM(M26:M27)</f>
      </c>
      <c r="N28" s="18">
        <f>SUM(N26:N27)</f>
      </c>
      <c r="O28" s="19">
        <f t="shared" si="30"/>
      </c>
      <c r="P28" s="20">
        <f t="shared" si="43"/>
      </c>
      <c r="Q28" s="21">
        <f t="shared" si="56"/>
      </c>
      <c r="R28" s="22"/>
      <c r="S28" s="18">
        <f>SUM(S26:S27)</f>
      </c>
      <c r="T28" s="23">
        <f t="shared" si="15"/>
      </c>
      <c r="U28" s="23">
        <f t="shared" si="31"/>
      </c>
      <c r="V28" s="23">
        <f t="shared" si="44"/>
      </c>
    </row>
    <row hidden="true" r="29">
      <c r="A29" s="5" t="s">
        <v>41</v>
      </c>
      <c r="B29" s="6" t="s">
        <v>24</v>
      </c>
      <c r="C29" s="7" t="s">
        <v>25</v>
      </c>
      <c r="D29" s="7">
        <v>4</v>
      </c>
      <c r="E29" s="7">
        <v>23</v>
      </c>
      <c r="F29" s="7">
        <v>12</v>
      </c>
      <c r="G29" s="8">
        <v>0</v>
      </c>
      <c r="H29" s="9">
        <f t="shared" ref="H29:H30" si="20">39*12*G29</f>
      </c>
      <c r="I29" s="6">
        <v>4</v>
      </c>
      <c r="J29" s="7">
        <f t="shared" ref="J29:J30" si="35">79*12*I29</f>
      </c>
      <c r="K29" s="25">
        <v>8</v>
      </c>
      <c r="L29" s="10">
        <f t="shared" ref="L29:L30" si="50">189*12*K29</f>
      </c>
      <c r="M29" s="6">
        <f t="shared" ref="M29:M30" si="5">L29+J29+H29</f>
      </c>
      <c r="N29" s="6">
        <v>11561.460000000001</v>
      </c>
      <c r="O29" s="11">
        <f t="shared" si="30"/>
      </c>
      <c r="P29" s="11">
        <f t="shared" si="43"/>
      </c>
      <c r="Q29" s="12">
        <f t="shared" si="56"/>
      </c>
      <c r="R29" s="13" t="s">
        <v>26</v>
      </c>
      <c r="S29" s="7">
        <v>8</v>
      </c>
      <c r="T29" s="14">
        <f t="shared" si="15"/>
      </c>
      <c r="U29" s="14">
        <f t="shared" si="31"/>
      </c>
      <c r="V29" s="14">
        <f t="shared" si="44"/>
      </c>
    </row>
    <row hidden="true" r="30">
      <c r="A30" s="5" t="s">
        <v>41</v>
      </c>
      <c r="B30" s="6" t="s">
        <v>27</v>
      </c>
      <c r="C30" s="7" t="s">
        <v>28</v>
      </c>
      <c r="D30" s="7">
        <v>4</v>
      </c>
      <c r="E30" s="7">
        <v>30</v>
      </c>
      <c r="F30" s="7">
        <v>12</v>
      </c>
      <c r="G30" s="8">
        <v>0</v>
      </c>
      <c r="H30" s="9">
        <f t="shared" si="20"/>
      </c>
      <c r="I30" s="6">
        <v>0</v>
      </c>
      <c r="J30" s="8">
        <f t="shared" si="35"/>
      </c>
      <c r="K30" s="24">
        <v>12</v>
      </c>
      <c r="L30" s="26">
        <f t="shared" si="50"/>
      </c>
      <c r="M30" s="6">
        <f t="shared" si="5"/>
      </c>
      <c r="N30" s="6">
        <v>13915.869999999999</v>
      </c>
      <c r="O30" s="11">
        <f t="shared" si="30"/>
      </c>
      <c r="P30" s="11">
        <f t="shared" si="43"/>
      </c>
      <c r="Q30" s="12">
        <f t="shared" si="56"/>
      </c>
      <c r="R30" s="13"/>
      <c r="S30" s="7"/>
      <c r="T30" s="14">
        <f t="shared" si="15"/>
      </c>
      <c r="U30" s="14">
        <f t="shared" si="31"/>
      </c>
      <c r="V30" s="14">
        <f t="shared" si="44"/>
      </c>
    </row>
    <row hidden="true" r="31">
      <c r="A31" s="15" t="s">
        <v>41</v>
      </c>
      <c r="B31" s="16" t="s">
        <v>29</v>
      </c>
      <c r="C31" s="17"/>
      <c r="D31" s="18">
        <f>SUM(D29:D30)</f>
      </c>
      <c r="E31" s="18">
        <f>SUM(E29:E30)</f>
      </c>
      <c r="F31" s="18">
        <f>SUM(F29:F30)</f>
      </c>
      <c r="G31" s="18">
        <f>SUM(G29:G30)</f>
      </c>
      <c r="H31" s="18">
        <f>SUM(H29:H30)</f>
      </c>
      <c r="I31" s="18">
        <f>SUM(I29:I30)</f>
      </c>
      <c r="J31" s="27">
        <f>SUM(J29:J30)</f>
      </c>
      <c r="K31" s="28">
        <f>SUM(K29:K30)</f>
      </c>
      <c r="L31" s="18">
        <f>SUM(L29:L30)</f>
      </c>
      <c r="M31" s="18">
        <f>SUM(M29:M30)</f>
      </c>
      <c r="N31" s="18">
        <f>SUM(N29:N30)</f>
      </c>
      <c r="O31" s="19">
        <f t="shared" si="30"/>
      </c>
      <c r="P31" s="20">
        <f t="shared" si="43"/>
      </c>
      <c r="Q31" s="21">
        <f t="shared" si="56"/>
      </c>
      <c r="R31" s="22"/>
      <c r="S31" s="18">
        <f>SUM(S29:S30)</f>
      </c>
      <c r="T31" s="23">
        <f t="shared" si="15"/>
      </c>
      <c r="U31" s="23">
        <f t="shared" si="31"/>
      </c>
      <c r="V31" s="23">
        <f t="shared" si="44"/>
      </c>
    </row>
    <row hidden="true" r="32">
      <c r="A32" s="5" t="s">
        <v>42</v>
      </c>
      <c r="B32" s="6" t="s">
        <v>24</v>
      </c>
      <c r="C32" s="7" t="s">
        <v>25</v>
      </c>
      <c r="D32" s="7">
        <v>4</v>
      </c>
      <c r="E32" s="7">
        <v>34</v>
      </c>
      <c r="F32" s="7">
        <v>16</v>
      </c>
      <c r="G32" s="8">
        <v>0</v>
      </c>
      <c r="H32" s="9">
        <f t="shared" ref="H32:H34" si="21">39*12*G32</f>
      </c>
      <c r="I32" s="6">
        <v>0</v>
      </c>
      <c r="J32" s="8">
        <f t="shared" ref="J32:J34" si="36">79*12*I32</f>
      </c>
      <c r="K32" s="24">
        <v>16</v>
      </c>
      <c r="L32" s="26">
        <f>189*12*K32-188-188</f>
      </c>
      <c r="M32" s="6">
        <f t="shared" ref="M32:M34" si="6">L32+J32+H32</f>
      </c>
      <c r="N32" s="6">
        <v>16128.68</v>
      </c>
      <c r="O32" s="11">
        <f t="shared" si="30"/>
      </c>
      <c r="P32" s="11">
        <f t="shared" si="43"/>
      </c>
      <c r="Q32" s="12">
        <f t="shared" si="56"/>
      </c>
      <c r="R32" s="13" t="s">
        <v>26</v>
      </c>
      <c r="S32" s="7">
        <v>8</v>
      </c>
      <c r="T32" s="14">
        <f t="shared" si="15"/>
      </c>
      <c r="U32" s="14">
        <f t="shared" si="31"/>
      </c>
      <c r="V32" s="14">
        <f t="shared" si="44"/>
      </c>
    </row>
    <row hidden="true" r="33">
      <c r="A33" s="5" t="s">
        <v>42</v>
      </c>
      <c r="B33" s="6" t="s">
        <v>27</v>
      </c>
      <c r="C33" s="7" t="s">
        <v>28</v>
      </c>
      <c r="D33" s="7">
        <v>4</v>
      </c>
      <c r="E33" s="7">
        <v>13</v>
      </c>
      <c r="F33" s="7">
        <v>6</v>
      </c>
      <c r="G33" s="8">
        <v>0</v>
      </c>
      <c r="H33" s="9">
        <f t="shared" si="21"/>
      </c>
      <c r="I33" s="6">
        <v>1</v>
      </c>
      <c r="J33" s="8">
        <f t="shared" si="36"/>
      </c>
      <c r="K33" s="29">
        <v>5</v>
      </c>
      <c r="L33" s="26">
        <f t="shared" ref="L33:L34" si="51">189*12*K33</f>
      </c>
      <c r="M33" s="6">
        <f t="shared" si="6"/>
      </c>
      <c r="N33" s="6">
        <v>13414.17</v>
      </c>
      <c r="O33" s="11">
        <f t="shared" si="30"/>
      </c>
      <c r="P33" s="11">
        <f t="shared" si="43"/>
      </c>
      <c r="Q33" s="12">
        <f t="shared" si="56"/>
      </c>
      <c r="R33" s="13"/>
      <c r="S33" s="7"/>
      <c r="T33" s="14">
        <f t="shared" si="15"/>
      </c>
      <c r="U33" s="14">
        <f t="shared" si="31"/>
      </c>
      <c r="V33" s="14">
        <f t="shared" si="44"/>
      </c>
    </row>
    <row customHeight="true" hidden="true" ht="16.071428571428573" r="34">
      <c r="A34" s="5" t="s">
        <v>42</v>
      </c>
      <c r="B34" s="6" t="s">
        <v>43</v>
      </c>
      <c r="C34" s="7" t="s">
        <v>44</v>
      </c>
      <c r="D34" s="7">
        <v>3</v>
      </c>
      <c r="E34" s="7">
        <v>22</v>
      </c>
      <c r="F34" s="7">
        <v>13</v>
      </c>
      <c r="G34" s="8">
        <v>0</v>
      </c>
      <c r="H34" s="9">
        <f t="shared" si="21"/>
      </c>
      <c r="I34" s="6">
        <v>0</v>
      </c>
      <c r="J34" s="8">
        <f t="shared" si="36"/>
      </c>
      <c r="K34" s="24">
        <v>13</v>
      </c>
      <c r="L34" s="26">
        <f t="shared" si="51"/>
      </c>
      <c r="M34" s="6">
        <f t="shared" si="6"/>
      </c>
      <c r="N34" s="6">
        <v>10579.45</v>
      </c>
      <c r="O34" s="11">
        <f t="shared" si="30"/>
      </c>
      <c r="P34" s="11">
        <f t="shared" si="43"/>
      </c>
      <c r="Q34" s="12">
        <f t="shared" si="56"/>
      </c>
      <c r="R34" s="24" t="s">
        <v>45</v>
      </c>
      <c r="S34" s="6">
        <v>3</v>
      </c>
      <c r="T34" s="14">
        <f t="shared" si="15"/>
      </c>
      <c r="U34" s="14">
        <f t="shared" si="31"/>
      </c>
      <c r="V34" s="14">
        <f t="shared" si="44"/>
      </c>
    </row>
    <row hidden="true" r="35">
      <c r="A35" s="15" t="s">
        <v>42</v>
      </c>
      <c r="B35" s="16" t="s">
        <v>29</v>
      </c>
      <c r="C35" s="30"/>
      <c r="D35" s="18">
        <f>SUM(D32:D34)</f>
      </c>
      <c r="E35" s="18">
        <f>SUM(E32:E34)</f>
      </c>
      <c r="F35" s="18">
        <f>SUM(F32:F34)</f>
      </c>
      <c r="G35" s="18">
        <f>SUM(G32:G34)</f>
      </c>
      <c r="H35" s="18">
        <f>SUM(H32:H34)</f>
      </c>
      <c r="I35" s="18">
        <f>SUM(I32:I34)</f>
      </c>
      <c r="J35" s="18">
        <f>SUM(J32:J34)</f>
      </c>
      <c r="K35" s="18">
        <f>SUM(K32:K34)</f>
      </c>
      <c r="L35" s="18">
        <f>SUM(L32:L34)</f>
      </c>
      <c r="M35" s="18">
        <f>SUM(M32:M34)</f>
      </c>
      <c r="N35" s="18">
        <f>SUM(N32:N34)</f>
      </c>
      <c r="O35" s="31">
        <f t="shared" si="30"/>
      </c>
      <c r="P35" s="32">
        <f t="shared" si="43"/>
      </c>
      <c r="Q35" s="33">
        <f t="shared" si="56"/>
      </c>
      <c r="R35" s="34"/>
      <c r="S35" s="18">
        <f>SUM(S32:S34)</f>
      </c>
      <c r="T35" s="23">
        <f t="shared" si="15"/>
      </c>
      <c r="U35" s="23">
        <f t="shared" si="31"/>
      </c>
      <c r="V35" s="23">
        <f t="shared" si="44"/>
      </c>
    </row>
    <row hidden="true" r="36">
      <c r="A36" s="5" t="s">
        <v>46</v>
      </c>
      <c r="B36" s="6" t="s">
        <v>24</v>
      </c>
      <c r="C36" s="7" t="s">
        <v>25</v>
      </c>
      <c r="D36" s="7">
        <v>4</v>
      </c>
      <c r="E36" s="7">
        <v>15</v>
      </c>
      <c r="F36" s="7">
        <v>5</v>
      </c>
      <c r="G36" s="8">
        <v>0</v>
      </c>
      <c r="H36" s="9">
        <f t="shared" ref="H36:H38" si="22">39*12*G36</f>
      </c>
      <c r="I36" s="6">
        <v>2</v>
      </c>
      <c r="J36" s="8">
        <f>79*12*I36-79</f>
      </c>
      <c r="K36" s="24">
        <v>3</v>
      </c>
      <c r="L36" s="26">
        <f t="shared" ref="L36:L38" si="52">189*12*K36</f>
      </c>
      <c r="M36" s="6">
        <f t="shared" ref="M36:M38" si="7">L36+J36+H36</f>
      </c>
      <c r="N36" s="6">
        <v>12020.76</v>
      </c>
      <c r="O36" s="11">
        <f t="shared" si="30"/>
      </c>
      <c r="P36" s="11">
        <f t="shared" si="43"/>
      </c>
      <c r="Q36" s="12">
        <f t="shared" si="56"/>
      </c>
      <c r="R36" s="13" t="s">
        <v>26</v>
      </c>
      <c r="S36" s="7">
        <v>8</v>
      </c>
      <c r="T36" s="14">
        <f t="shared" si="15"/>
      </c>
      <c r="U36" s="14">
        <f t="shared" si="31"/>
      </c>
      <c r="V36" s="14">
        <f t="shared" si="44"/>
      </c>
    </row>
    <row hidden="true" r="37">
      <c r="A37" s="5" t="s">
        <v>46</v>
      </c>
      <c r="B37" s="6" t="s">
        <v>27</v>
      </c>
      <c r="C37" s="7" t="s">
        <v>28</v>
      </c>
      <c r="D37" s="7">
        <v>4</v>
      </c>
      <c r="E37" s="7">
        <v>23</v>
      </c>
      <c r="F37" s="7">
        <v>10</v>
      </c>
      <c r="G37" s="8">
        <v>0</v>
      </c>
      <c r="H37" s="9">
        <f t="shared" si="22"/>
      </c>
      <c r="I37" s="6">
        <v>2</v>
      </c>
      <c r="J37" s="8">
        <f t="shared" ref="J37:J38" si="37">79*12*I37</f>
      </c>
      <c r="K37" s="29">
        <v>8</v>
      </c>
      <c r="L37" s="26">
        <f t="shared" si="52"/>
      </c>
      <c r="M37" s="6">
        <f t="shared" si="7"/>
      </c>
      <c r="N37" s="6">
        <v>12065.65</v>
      </c>
      <c r="O37" s="11">
        <f t="shared" si="30"/>
      </c>
      <c r="P37" s="11">
        <f t="shared" si="43"/>
      </c>
      <c r="Q37" s="12">
        <f t="shared" si="56"/>
      </c>
      <c r="R37" s="13"/>
      <c r="S37" s="7"/>
      <c r="T37" s="14">
        <f t="shared" si="15"/>
      </c>
      <c r="U37" s="14">
        <f t="shared" si="31"/>
      </c>
      <c r="V37" s="14">
        <f t="shared" si="44"/>
      </c>
    </row>
    <row hidden="true" r="38">
      <c r="A38" s="5" t="s">
        <v>46</v>
      </c>
      <c r="B38" s="6" t="s">
        <v>47</v>
      </c>
      <c r="C38" s="7" t="s">
        <v>44</v>
      </c>
      <c r="D38" s="7">
        <v>3</v>
      </c>
      <c r="E38" s="7">
        <v>15</v>
      </c>
      <c r="F38" s="7">
        <v>8</v>
      </c>
      <c r="G38" s="8">
        <v>0</v>
      </c>
      <c r="H38" s="9">
        <f t="shared" si="22"/>
      </c>
      <c r="I38" s="6">
        <v>1</v>
      </c>
      <c r="J38" s="8">
        <f t="shared" si="37"/>
      </c>
      <c r="K38" s="24">
        <v>7</v>
      </c>
      <c r="L38" s="26">
        <f t="shared" si="52"/>
      </c>
      <c r="M38" s="6">
        <f t="shared" si="7"/>
      </c>
      <c r="N38" s="6">
        <v>7980.870000000001</v>
      </c>
      <c r="O38" s="11">
        <f t="shared" si="30"/>
      </c>
      <c r="P38" s="11">
        <f t="shared" si="43"/>
      </c>
      <c r="Q38" s="12">
        <f t="shared" si="56"/>
      </c>
      <c r="R38" s="24" t="s">
        <v>45</v>
      </c>
      <c r="S38" s="6">
        <v>3</v>
      </c>
      <c r="T38" s="14">
        <f t="shared" si="15"/>
      </c>
      <c r="U38" s="14">
        <f t="shared" si="31"/>
      </c>
      <c r="V38" s="14">
        <f t="shared" si="44"/>
      </c>
    </row>
    <row hidden="true" r="39">
      <c r="A39" s="15" t="s">
        <v>46</v>
      </c>
      <c r="B39" s="16" t="s">
        <v>29</v>
      </c>
      <c r="C39" s="30"/>
      <c r="D39" s="18">
        <f>SUM(D36:D38)</f>
      </c>
      <c r="E39" s="18">
        <f>SUM(E36:E38)</f>
      </c>
      <c r="F39" s="18">
        <f>SUM(F36:F38)</f>
      </c>
      <c r="G39" s="18">
        <f>SUM(G36:G38)</f>
      </c>
      <c r="H39" s="18">
        <f>SUM(H36:H38)</f>
      </c>
      <c r="I39" s="18">
        <f>SUM(I36:I38)</f>
      </c>
      <c r="J39" s="18">
        <f>SUM(J36:J38)</f>
      </c>
      <c r="K39" s="18">
        <f>SUM(K36:K38)</f>
      </c>
      <c r="L39" s="18">
        <f>SUM(L36:L38)</f>
      </c>
      <c r="M39" s="18">
        <f>SUM(M36:M38)</f>
      </c>
      <c r="N39" s="18">
        <f>SUM(N36:N38)</f>
      </c>
      <c r="O39" s="31">
        <f t="shared" si="30"/>
      </c>
      <c r="P39" s="32">
        <f t="shared" si="43"/>
      </c>
      <c r="Q39" s="33">
        <f t="shared" si="56"/>
      </c>
      <c r="R39" s="34"/>
      <c r="S39" s="18">
        <f>SUM(S36:S38)</f>
      </c>
      <c r="T39" s="23">
        <f t="shared" si="15"/>
      </c>
      <c r="U39" s="23">
        <f t="shared" si="31"/>
      </c>
      <c r="V39" s="23">
        <f t="shared" si="44"/>
      </c>
    </row>
    <row hidden="true" r="40">
      <c r="A40" s="5" t="s">
        <v>48</v>
      </c>
      <c r="B40" s="6" t="s">
        <v>24</v>
      </c>
      <c r="C40" s="7" t="s">
        <v>25</v>
      </c>
      <c r="D40" s="7">
        <v>4</v>
      </c>
      <c r="E40" s="7">
        <v>35</v>
      </c>
      <c r="F40" s="7">
        <v>9</v>
      </c>
      <c r="G40" s="8">
        <v>1</v>
      </c>
      <c r="H40" s="9">
        <f t="shared" ref="H40:H42" si="23">39*12*G40</f>
      </c>
      <c r="I40" s="6">
        <v>1</v>
      </c>
      <c r="J40" s="8">
        <f t="shared" ref="J40:J42" si="38">79*12*I40</f>
      </c>
      <c r="K40" s="24">
        <v>7</v>
      </c>
      <c r="L40" s="26">
        <f>189*12*K40</f>
      </c>
      <c r="M40" s="6">
        <f t="shared" ref="M40:M42" si="8">L40+J40+H40</f>
      </c>
      <c r="N40" s="6">
        <v>13761.789999999999</v>
      </c>
      <c r="O40" s="11">
        <f t="shared" si="30"/>
      </c>
      <c r="P40" s="11">
        <f t="shared" si="43"/>
      </c>
      <c r="Q40" s="12">
        <f t="shared" si="56"/>
      </c>
      <c r="R40" s="13" t="s">
        <v>26</v>
      </c>
      <c r="S40" s="7">
        <v>8</v>
      </c>
      <c r="T40" s="14">
        <f t="shared" si="15"/>
      </c>
      <c r="U40" s="14">
        <f t="shared" si="31"/>
      </c>
      <c r="V40" s="14">
        <f t="shared" si="44"/>
      </c>
    </row>
    <row hidden="true" r="41">
      <c r="A41" s="5" t="s">
        <v>48</v>
      </c>
      <c r="B41" s="6" t="s">
        <v>27</v>
      </c>
      <c r="C41" s="7" t="s">
        <v>28</v>
      </c>
      <c r="D41" s="7">
        <v>4</v>
      </c>
      <c r="E41" s="7">
        <v>28</v>
      </c>
      <c r="F41" s="7">
        <v>15</v>
      </c>
      <c r="G41" s="8">
        <v>0</v>
      </c>
      <c r="H41" s="9">
        <f t="shared" si="23"/>
      </c>
      <c r="I41" s="6">
        <v>1</v>
      </c>
      <c r="J41" s="8">
        <f t="shared" si="38"/>
      </c>
      <c r="K41" s="29">
        <v>14</v>
      </c>
      <c r="L41" s="26">
        <f>189*12*K41-188</f>
      </c>
      <c r="M41" s="6">
        <f t="shared" si="8"/>
      </c>
      <c r="N41" s="6">
        <v>13365.250000000002</v>
      </c>
      <c r="O41" s="11">
        <f t="shared" si="30"/>
      </c>
      <c r="P41" s="11">
        <f t="shared" si="43"/>
      </c>
      <c r="Q41" s="12">
        <f t="shared" si="56"/>
      </c>
      <c r="R41" s="13"/>
      <c r="S41" s="7"/>
      <c r="T41" s="14">
        <f t="shared" si="15"/>
      </c>
      <c r="U41" s="14">
        <f t="shared" si="31"/>
      </c>
      <c r="V41" s="14">
        <f t="shared" si="44"/>
      </c>
    </row>
    <row hidden="true" r="42">
      <c r="A42" s="5" t="s">
        <v>48</v>
      </c>
      <c r="B42" s="6" t="s">
        <v>43</v>
      </c>
      <c r="C42" s="7" t="s">
        <v>44</v>
      </c>
      <c r="D42" s="7">
        <v>3</v>
      </c>
      <c r="E42" s="7">
        <v>15</v>
      </c>
      <c r="F42" s="7">
        <v>4</v>
      </c>
      <c r="G42" s="8">
        <v>0</v>
      </c>
      <c r="H42" s="9">
        <f t="shared" si="23"/>
      </c>
      <c r="I42" s="6">
        <v>0</v>
      </c>
      <c r="J42" s="8">
        <f t="shared" si="38"/>
      </c>
      <c r="K42" s="24">
        <v>4</v>
      </c>
      <c r="L42" s="26">
        <f>189*12*K42-188-188</f>
      </c>
      <c r="M42" s="6">
        <f t="shared" si="8"/>
      </c>
      <c r="N42" s="6">
        <v>7825.04</v>
      </c>
      <c r="O42" s="11">
        <f t="shared" si="30"/>
      </c>
      <c r="P42" s="11">
        <f t="shared" si="43"/>
      </c>
      <c r="Q42" s="12">
        <f t="shared" si="56"/>
      </c>
      <c r="R42" s="24" t="s">
        <v>45</v>
      </c>
      <c r="S42" s="6">
        <v>3</v>
      </c>
      <c r="T42" s="14">
        <f t="shared" si="15"/>
      </c>
      <c r="U42" s="14">
        <f t="shared" si="31"/>
      </c>
      <c r="V42" s="14">
        <f t="shared" si="44"/>
      </c>
    </row>
    <row hidden="true" r="43">
      <c r="A43" s="15" t="s">
        <v>48</v>
      </c>
      <c r="B43" s="16" t="s">
        <v>29</v>
      </c>
      <c r="C43" s="30"/>
      <c r="D43" s="18">
        <f>SUM(D40:D42)</f>
      </c>
      <c r="E43" s="18">
        <f>SUM(E40:E42)</f>
      </c>
      <c r="F43" s="18">
        <f>SUM(F40:F42)</f>
      </c>
      <c r="G43" s="18">
        <f>SUM(G40:G42)</f>
      </c>
      <c r="H43" s="18">
        <f>SUM(H40:H42)</f>
      </c>
      <c r="I43" s="18">
        <f>SUM(I40:I42)</f>
      </c>
      <c r="J43" s="18">
        <f>SUM(J40:J42)</f>
      </c>
      <c r="K43" s="18">
        <f>SUM(K40:K42)</f>
      </c>
      <c r="L43" s="18">
        <f>SUM(L40:L42)</f>
      </c>
      <c r="M43" s="18">
        <f>SUM(M40:M42)</f>
      </c>
      <c r="N43" s="18">
        <f>SUM(N40:N42)</f>
      </c>
      <c r="O43" s="31">
        <f t="shared" si="30"/>
      </c>
      <c r="P43" s="32">
        <f t="shared" si="43"/>
      </c>
      <c r="Q43" s="33">
        <f t="shared" si="56"/>
      </c>
      <c r="R43" s="34"/>
      <c r="S43" s="18">
        <f>SUM(S40:S42)</f>
      </c>
      <c r="T43" s="23">
        <f t="shared" si="15"/>
      </c>
      <c r="U43" s="23">
        <f t="shared" si="31"/>
      </c>
      <c r="V43" s="23">
        <f t="shared" si="44"/>
      </c>
    </row>
    <row hidden="true" r="44">
      <c r="A44" s="5" t="s">
        <v>49</v>
      </c>
      <c r="B44" s="6" t="s">
        <v>24</v>
      </c>
      <c r="C44" s="7" t="s">
        <v>25</v>
      </c>
      <c r="D44" s="7">
        <v>4</v>
      </c>
      <c r="E44" s="7">
        <v>27</v>
      </c>
      <c r="F44" s="7">
        <v>14</v>
      </c>
      <c r="G44" s="8">
        <v>0</v>
      </c>
      <c r="H44" s="9">
        <f t="shared" ref="H44:H46" si="24">39*12*G44</f>
      </c>
      <c r="I44" s="6">
        <v>0</v>
      </c>
      <c r="J44" s="8">
        <f t="shared" ref="J44:J46" si="39">79*12*I44</f>
      </c>
      <c r="K44" s="24">
        <v>8</v>
      </c>
      <c r="L44" s="26">
        <f>189*12*K44-188-188</f>
      </c>
      <c r="M44" s="6">
        <f>L44+J44+H44+168+2385.6</f>
      </c>
      <c r="N44" s="6">
        <v>11895.419999999998</v>
      </c>
      <c r="O44" s="11">
        <f t="shared" si="30"/>
      </c>
      <c r="P44" s="11">
        <f t="shared" si="43"/>
      </c>
      <c r="Q44" s="12">
        <f t="shared" si="56"/>
      </c>
      <c r="R44" s="13" t="s">
        <v>26</v>
      </c>
      <c r="S44" s="7">
        <v>8</v>
      </c>
      <c r="T44" s="14">
        <f t="shared" si="15"/>
      </c>
      <c r="U44" s="14">
        <f t="shared" si="31"/>
      </c>
      <c r="V44" s="14">
        <f t="shared" si="44"/>
      </c>
    </row>
    <row hidden="true" r="45">
      <c r="A45" s="5" t="s">
        <v>49</v>
      </c>
      <c r="B45" s="6" t="s">
        <v>27</v>
      </c>
      <c r="C45" s="7" t="s">
        <v>28</v>
      </c>
      <c r="D45" s="7">
        <v>4</v>
      </c>
      <c r="E45" s="7">
        <v>22</v>
      </c>
      <c r="F45" s="7">
        <v>9</v>
      </c>
      <c r="G45" s="8">
        <v>0</v>
      </c>
      <c r="H45" s="9">
        <f t="shared" si="24"/>
      </c>
      <c r="I45" s="6">
        <v>2</v>
      </c>
      <c r="J45" s="8">
        <f t="shared" si="39"/>
      </c>
      <c r="K45" s="29">
        <v>7</v>
      </c>
      <c r="L45" s="26">
        <f t="shared" ref="L45:L46" si="53">189*12*K45</f>
      </c>
      <c r="M45" s="6">
        <f t="shared" ref="M45:M46" si="9">L45+J45+H45</f>
      </c>
      <c r="N45" s="6">
        <v>16269.85</v>
      </c>
      <c r="O45" s="11">
        <f t="shared" si="30"/>
      </c>
      <c r="P45" s="11">
        <f t="shared" si="43"/>
      </c>
      <c r="Q45" s="12">
        <f t="shared" si="56"/>
      </c>
      <c r="R45" s="13"/>
      <c r="S45" s="7"/>
      <c r="T45" s="14">
        <f t="shared" si="15"/>
      </c>
      <c r="U45" s="14">
        <f t="shared" si="31"/>
      </c>
      <c r="V45" s="14">
        <f t="shared" si="44"/>
      </c>
    </row>
    <row hidden="true" r="46">
      <c r="A46" s="5" t="s">
        <v>49</v>
      </c>
      <c r="B46" s="6" t="s">
        <v>43</v>
      </c>
      <c r="C46" s="7" t="s">
        <v>50</v>
      </c>
      <c r="D46" s="7">
        <v>2</v>
      </c>
      <c r="E46" s="7">
        <v>10</v>
      </c>
      <c r="F46" s="7">
        <v>0</v>
      </c>
      <c r="G46" s="8">
        <v>0</v>
      </c>
      <c r="H46" s="9">
        <f t="shared" si="24"/>
      </c>
      <c r="I46" s="6">
        <v>0</v>
      </c>
      <c r="J46" s="8">
        <f t="shared" si="39"/>
      </c>
      <c r="K46" s="24">
        <v>0</v>
      </c>
      <c r="L46" s="26">
        <f t="shared" si="53"/>
      </c>
      <c r="M46" s="6">
        <f t="shared" si="9"/>
      </c>
      <c r="N46" s="6">
        <v>4637.76</v>
      </c>
      <c r="O46" s="11">
        <f t="shared" si="30"/>
      </c>
      <c r="P46" s="11">
        <f t="shared" si="43"/>
      </c>
      <c r="Q46" s="12">
        <f t="shared" si="56"/>
      </c>
      <c r="R46" s="24" t="s">
        <v>45</v>
      </c>
      <c r="S46" s="6">
        <v>2</v>
      </c>
      <c r="T46" s="14">
        <f t="shared" si="15"/>
      </c>
      <c r="U46" s="14">
        <f t="shared" si="31"/>
      </c>
      <c r="V46" s="14">
        <f t="shared" si="44"/>
      </c>
    </row>
    <row hidden="true" r="47">
      <c r="A47" s="15" t="s">
        <v>49</v>
      </c>
      <c r="B47" s="16" t="s">
        <v>29</v>
      </c>
      <c r="C47" s="30"/>
      <c r="D47" s="18">
        <f>SUM(D44:D46)</f>
      </c>
      <c r="E47" s="18">
        <f>SUM(E44:E46)</f>
      </c>
      <c r="F47" s="18">
        <f>SUM(F44:F46)</f>
      </c>
      <c r="G47" s="18">
        <f>SUM(G44:G46)</f>
      </c>
      <c r="H47" s="18">
        <f>SUM(H44:H46)</f>
      </c>
      <c r="I47" s="18">
        <f>SUM(I44:I46)</f>
      </c>
      <c r="J47" s="18">
        <f>SUM(J44:J46)</f>
      </c>
      <c r="K47" s="18">
        <f>SUM(K44:K46)</f>
      </c>
      <c r="L47" s="18">
        <f>SUM(L44:L46)</f>
      </c>
      <c r="M47" s="18">
        <f>SUM(M44:M46)</f>
      </c>
      <c r="N47" s="18">
        <f>SUM(N44:N46)</f>
      </c>
      <c r="O47" s="31">
        <f t="shared" si="30"/>
      </c>
      <c r="P47" s="32">
        <f t="shared" si="43"/>
      </c>
      <c r="Q47" s="33">
        <f t="shared" si="56"/>
      </c>
      <c r="R47" s="34"/>
      <c r="S47" s="18">
        <f>SUM(S44:S46)</f>
      </c>
      <c r="T47" s="23">
        <f t="shared" si="15"/>
      </c>
      <c r="U47" s="23">
        <f t="shared" si="31"/>
      </c>
      <c r="V47" s="23">
        <f t="shared" si="44"/>
      </c>
    </row>
    <row hidden="true" r="48">
      <c r="A48" s="5" t="s">
        <v>51</v>
      </c>
      <c r="B48" s="6" t="s">
        <v>24</v>
      </c>
      <c r="C48" s="7" t="s">
        <v>25</v>
      </c>
      <c r="D48" s="7">
        <v>4</v>
      </c>
      <c r="E48" s="7">
        <v>29</v>
      </c>
      <c r="F48" s="7">
        <v>9</v>
      </c>
      <c r="G48" s="8">
        <v>0</v>
      </c>
      <c r="H48" s="9">
        <f t="shared" ref="H48:H50" si="25">39*12*G48</f>
      </c>
      <c r="I48" s="6">
        <v>1</v>
      </c>
      <c r="J48" s="8">
        <f t="shared" ref="J48:J50" si="40">79*12*I48</f>
      </c>
      <c r="K48" s="24">
        <v>8</v>
      </c>
      <c r="L48" s="26">
        <f t="shared" ref="L48:L49" si="46">189*12*K48-188</f>
      </c>
      <c r="M48" s="6">
        <f t="shared" ref="M48:M50" si="10">L48+J48+H48</f>
      </c>
      <c r="N48" s="6">
        <v>11224.369999999999</v>
      </c>
      <c r="O48" s="11">
        <f t="shared" si="30"/>
      </c>
      <c r="P48" s="11">
        <f t="shared" si="43"/>
      </c>
      <c r="Q48" s="12">
        <f t="shared" si="56"/>
      </c>
      <c r="R48" s="13" t="s">
        <v>52</v>
      </c>
      <c r="S48" s="7">
        <v>8</v>
      </c>
      <c r="T48" s="14">
        <f t="shared" si="15"/>
      </c>
      <c r="U48" s="14">
        <f t="shared" si="31"/>
      </c>
      <c r="V48" s="14">
        <f t="shared" si="44"/>
      </c>
    </row>
    <row hidden="true" r="49">
      <c r="A49" s="5" t="s">
        <v>51</v>
      </c>
      <c r="B49" s="6" t="s">
        <v>27</v>
      </c>
      <c r="C49" s="7" t="s">
        <v>28</v>
      </c>
      <c r="D49" s="7">
        <v>4</v>
      </c>
      <c r="E49" s="7">
        <v>37</v>
      </c>
      <c r="F49" s="7">
        <v>13</v>
      </c>
      <c r="G49" s="8">
        <v>0</v>
      </c>
      <c r="H49" s="9">
        <f t="shared" si="25"/>
      </c>
      <c r="I49" s="6">
        <v>2</v>
      </c>
      <c r="J49" s="8">
        <f t="shared" si="40"/>
      </c>
      <c r="K49" s="29">
        <v>11</v>
      </c>
      <c r="L49" s="26">
        <f t="shared" si="46"/>
      </c>
      <c r="M49" s="6">
        <f t="shared" si="10"/>
      </c>
      <c r="N49" s="6">
        <v>13659.98</v>
      </c>
      <c r="O49" s="11">
        <f t="shared" si="30"/>
      </c>
      <c r="P49" s="11">
        <f t="shared" si="43"/>
      </c>
      <c r="Q49" s="12">
        <f t="shared" si="56"/>
      </c>
      <c r="R49" s="13"/>
      <c r="S49" s="7"/>
      <c r="T49" s="14">
        <f t="shared" si="15"/>
      </c>
      <c r="U49" s="14">
        <f t="shared" si="31"/>
      </c>
      <c r="V49" s="14">
        <f t="shared" si="44"/>
      </c>
    </row>
    <row hidden="true" r="50">
      <c r="A50" s="5" t="s">
        <v>51</v>
      </c>
      <c r="B50" s="6" t="s">
        <v>47</v>
      </c>
      <c r="C50" s="7" t="s">
        <v>44</v>
      </c>
      <c r="D50" s="7">
        <v>3</v>
      </c>
      <c r="E50" s="7">
        <v>17</v>
      </c>
      <c r="F50" s="7">
        <v>6</v>
      </c>
      <c r="G50" s="8">
        <v>0</v>
      </c>
      <c r="H50" s="9">
        <f t="shared" si="25"/>
      </c>
      <c r="I50" s="6">
        <v>1</v>
      </c>
      <c r="J50" s="8">
        <f t="shared" si="40"/>
      </c>
      <c r="K50" s="24">
        <v>5</v>
      </c>
      <c r="L50" s="26">
        <f>189*12*K50</f>
      </c>
      <c r="M50" s="6">
        <f t="shared" si="10"/>
      </c>
      <c r="N50" s="6">
        <v>7863.17</v>
      </c>
      <c r="O50" s="11">
        <f t="shared" si="30"/>
      </c>
      <c r="P50" s="11">
        <f t="shared" si="43"/>
      </c>
      <c r="Q50" s="12">
        <f t="shared" si="56"/>
      </c>
      <c r="R50" s="24" t="s">
        <v>45</v>
      </c>
      <c r="S50" s="6">
        <v>3</v>
      </c>
      <c r="T50" s="14">
        <f t="shared" si="15"/>
      </c>
      <c r="U50" s="14">
        <f t="shared" si="31"/>
      </c>
      <c r="V50" s="14">
        <f t="shared" si="44"/>
      </c>
    </row>
    <row hidden="true" r="51">
      <c r="A51" s="15" t="s">
        <v>51</v>
      </c>
      <c r="B51" s="16" t="s">
        <v>29</v>
      </c>
      <c r="C51" s="30"/>
      <c r="D51" s="18">
        <f>SUM(D48:D50)</f>
      </c>
      <c r="E51" s="18">
        <f>SUM(E48:E50)</f>
      </c>
      <c r="F51" s="18">
        <f>SUM(F48:F50)</f>
      </c>
      <c r="G51" s="18">
        <f>SUM(G48:G50)</f>
      </c>
      <c r="H51" s="18">
        <f>SUM(H48:H50)</f>
      </c>
      <c r="I51" s="18">
        <f>SUM(I48:I50)</f>
      </c>
      <c r="J51" s="18">
        <f>SUM(J48:J50)</f>
      </c>
      <c r="K51" s="18">
        <f>SUM(K48:K50)</f>
      </c>
      <c r="L51" s="18">
        <f>SUM(L48:L50)</f>
      </c>
      <c r="M51" s="18">
        <f>SUM(M48:M50)</f>
      </c>
      <c r="N51" s="18">
        <f>SUM(N48:N50)</f>
      </c>
      <c r="O51" s="31">
        <f t="shared" si="30"/>
      </c>
      <c r="P51" s="32">
        <f t="shared" si="43"/>
      </c>
      <c r="Q51" s="33">
        <f t="shared" si="56"/>
      </c>
      <c r="R51" s="34"/>
      <c r="S51" s="18">
        <f>SUM(S48:S50)</f>
      </c>
      <c r="T51" s="23">
        <f t="shared" si="15"/>
      </c>
      <c r="U51" s="23">
        <f t="shared" si="31"/>
      </c>
      <c r="V51" s="23">
        <f t="shared" si="44"/>
      </c>
    </row>
    <row hidden="true" r="52">
      <c r="A52" s="5" t="s">
        <v>53</v>
      </c>
      <c r="B52" s="6" t="s">
        <v>24</v>
      </c>
      <c r="C52" s="7" t="s">
        <v>25</v>
      </c>
      <c r="D52" s="7">
        <v>4</v>
      </c>
      <c r="E52" s="7">
        <v>31</v>
      </c>
      <c r="F52" s="7">
        <v>10</v>
      </c>
      <c r="G52" s="8">
        <v>0</v>
      </c>
      <c r="H52" s="9">
        <f t="shared" ref="H52:H54" si="26">39*12*G52</f>
      </c>
      <c r="I52" s="6">
        <v>2</v>
      </c>
      <c r="J52" s="8">
        <f t="shared" ref="J52:J54" si="41">79*12*I52</f>
      </c>
      <c r="K52" s="24">
        <v>8</v>
      </c>
      <c r="L52" s="26">
        <f>189*12*K52-188</f>
      </c>
      <c r="M52" s="6">
        <f t="shared" ref="M52:M54" si="11">L52+J52+H52</f>
      </c>
      <c r="N52" s="6">
        <v>12149.689999999999</v>
      </c>
      <c r="O52" s="11">
        <f t="shared" si="30"/>
      </c>
      <c r="P52" s="11">
        <f t="shared" si="43"/>
      </c>
      <c r="Q52" s="12">
        <f t="shared" si="56"/>
      </c>
      <c r="R52" s="13" t="s">
        <v>26</v>
      </c>
      <c r="S52" s="7">
        <v>8</v>
      </c>
      <c r="T52" s="14">
        <f t="shared" si="15"/>
      </c>
      <c r="U52" s="14">
        <f t="shared" si="31"/>
      </c>
      <c r="V52" s="14">
        <f t="shared" si="44"/>
      </c>
    </row>
    <row hidden="true" r="53">
      <c r="A53" s="5" t="s">
        <v>53</v>
      </c>
      <c r="B53" s="6" t="s">
        <v>27</v>
      </c>
      <c r="C53" s="7" t="s">
        <v>28</v>
      </c>
      <c r="D53" s="7">
        <v>4</v>
      </c>
      <c r="E53" s="7">
        <v>30</v>
      </c>
      <c r="F53" s="7">
        <v>12</v>
      </c>
      <c r="G53" s="8">
        <v>0</v>
      </c>
      <c r="H53" s="9">
        <f t="shared" si="26"/>
      </c>
      <c r="I53" s="6">
        <v>2</v>
      </c>
      <c r="J53" s="8">
        <f t="shared" si="41"/>
      </c>
      <c r="K53" s="29">
        <v>10</v>
      </c>
      <c r="L53" s="26">
        <f t="shared" ref="L53:L54" si="54">189*12*K53</f>
      </c>
      <c r="M53" s="6">
        <f t="shared" si="11"/>
      </c>
      <c r="N53" s="6">
        <v>12036.55</v>
      </c>
      <c r="O53" s="11">
        <f t="shared" si="30"/>
      </c>
      <c r="P53" s="11">
        <f t="shared" si="43"/>
      </c>
      <c r="Q53" s="12">
        <f t="shared" si="56"/>
      </c>
      <c r="R53" s="13"/>
      <c r="S53" s="7"/>
      <c r="T53" s="14">
        <f t="shared" si="15"/>
      </c>
      <c r="U53" s="14">
        <f t="shared" si="31"/>
      </c>
      <c r="V53" s="14">
        <f t="shared" si="44"/>
      </c>
    </row>
    <row hidden="true" r="54">
      <c r="A54" s="5" t="s">
        <v>53</v>
      </c>
      <c r="B54" s="6" t="s">
        <v>47</v>
      </c>
      <c r="C54" s="7" t="s">
        <v>50</v>
      </c>
      <c r="D54" s="7">
        <v>2</v>
      </c>
      <c r="E54" s="7">
        <v>9</v>
      </c>
      <c r="F54" s="7">
        <v>1</v>
      </c>
      <c r="G54" s="8">
        <v>0</v>
      </c>
      <c r="H54" s="9">
        <f t="shared" si="26"/>
      </c>
      <c r="I54" s="6">
        <v>0</v>
      </c>
      <c r="J54" s="8">
        <f t="shared" si="41"/>
      </c>
      <c r="K54" s="24">
        <v>1</v>
      </c>
      <c r="L54" s="26">
        <f t="shared" si="54"/>
      </c>
      <c r="M54" s="6">
        <f t="shared" si="11"/>
      </c>
      <c r="N54" s="6">
        <v>5791.86</v>
      </c>
      <c r="O54" s="11">
        <f t="shared" si="30"/>
      </c>
      <c r="P54" s="11">
        <f t="shared" si="43"/>
      </c>
      <c r="Q54" s="12">
        <f t="shared" si="56"/>
      </c>
      <c r="R54" s="24" t="s">
        <v>45</v>
      </c>
      <c r="S54" s="6">
        <v>2</v>
      </c>
      <c r="T54" s="14">
        <f t="shared" si="15"/>
      </c>
      <c r="U54" s="14">
        <f t="shared" si="31"/>
      </c>
      <c r="V54" s="14">
        <f t="shared" si="44"/>
      </c>
    </row>
    <row hidden="true" r="55">
      <c r="A55" s="15" t="s">
        <v>53</v>
      </c>
      <c r="B55" s="16" t="s">
        <v>29</v>
      </c>
      <c r="C55" s="30"/>
      <c r="D55" s="18">
        <f>SUM(D52:D54)</f>
      </c>
      <c r="E55" s="18">
        <f>SUM(E52:E54)</f>
      </c>
      <c r="F55" s="18">
        <f>SUM(F52:F54)</f>
      </c>
      <c r="G55" s="18">
        <f>SUM(G52:G54)</f>
      </c>
      <c r="H55" s="18">
        <f>SUM(H52:H54)</f>
      </c>
      <c r="I55" s="18">
        <f>SUM(I52:I54)</f>
      </c>
      <c r="J55" s="18">
        <f>SUM(J52:J54)</f>
      </c>
      <c r="K55" s="18">
        <f>SUM(K52:K54)</f>
      </c>
      <c r="L55" s="18">
        <f>SUM(L52:L54)</f>
      </c>
      <c r="M55" s="18">
        <f>SUM(M52:M54)</f>
      </c>
      <c r="N55" s="18">
        <f>SUM(N52:N54)</f>
      </c>
      <c r="O55" s="31">
        <f t="shared" si="30"/>
      </c>
      <c r="P55" s="32">
        <f t="shared" si="43"/>
      </c>
      <c r="Q55" s="33">
        <f t="shared" si="56"/>
      </c>
      <c r="R55" s="34"/>
      <c r="S55" s="18">
        <f>SUM(S52:S54)</f>
      </c>
      <c r="T55" s="23">
        <f t="shared" si="15"/>
      </c>
      <c r="U55" s="23">
        <f t="shared" si="31"/>
      </c>
      <c r="V55" s="23">
        <f t="shared" si="44"/>
      </c>
    </row>
    <row hidden="true" r="56">
      <c r="A56" s="5" t="s">
        <v>54</v>
      </c>
      <c r="B56" s="6" t="s">
        <v>24</v>
      </c>
      <c r="C56" s="7" t="s">
        <v>25</v>
      </c>
      <c r="D56" s="7">
        <v>4</v>
      </c>
      <c r="E56" s="7">
        <v>24</v>
      </c>
      <c r="F56" s="7">
        <v>6</v>
      </c>
      <c r="G56" s="8">
        <v>0</v>
      </c>
      <c r="H56" s="9">
        <f t="shared" ref="H56:H58" si="27">39*12*G56</f>
      </c>
      <c r="I56" s="6">
        <v>0</v>
      </c>
      <c r="J56" s="8">
        <f>79*12*I56</f>
      </c>
      <c r="K56" s="24">
        <v>6</v>
      </c>
      <c r="L56" s="26">
        <f t="shared" ref="L56:L58" si="55">189*12*K56</f>
      </c>
      <c r="M56" s="6">
        <f t="shared" ref="M56:M58" si="12">L56+J56+H56</f>
      </c>
      <c r="N56" s="6">
        <v>14119.73</v>
      </c>
      <c r="O56" s="11">
        <f t="shared" si="30"/>
      </c>
      <c r="P56" s="11">
        <f t="shared" si="43"/>
      </c>
      <c r="Q56" s="12">
        <f t="shared" si="56"/>
      </c>
      <c r="R56" s="13" t="s">
        <v>26</v>
      </c>
      <c r="S56" s="7">
        <v>8</v>
      </c>
      <c r="T56" s="14">
        <f t="shared" si="15"/>
      </c>
      <c r="U56" s="14">
        <f t="shared" si="31"/>
      </c>
      <c r="V56" s="14">
        <f t="shared" si="44"/>
      </c>
    </row>
    <row hidden="true" r="57">
      <c r="A57" s="5" t="s">
        <v>54</v>
      </c>
      <c r="B57" s="6" t="s">
        <v>27</v>
      </c>
      <c r="C57" s="7" t="s">
        <v>28</v>
      </c>
      <c r="D57" s="7">
        <v>4</v>
      </c>
      <c r="E57" s="7">
        <v>19</v>
      </c>
      <c r="F57" s="7">
        <v>9</v>
      </c>
      <c r="G57" s="8">
        <v>1</v>
      </c>
      <c r="H57" s="9">
        <f t="shared" si="27"/>
      </c>
      <c r="I57" s="6">
        <v>1</v>
      </c>
      <c r="J57" s="8">
        <f>79*12*I57-79</f>
      </c>
      <c r="K57" s="29">
        <v>7</v>
      </c>
      <c r="L57" s="26">
        <f t="shared" si="55"/>
      </c>
      <c r="M57" s="6">
        <f t="shared" si="12"/>
      </c>
      <c r="N57" s="6">
        <v>10741.54</v>
      </c>
      <c r="O57" s="11">
        <f t="shared" si="30"/>
      </c>
      <c r="P57" s="11">
        <f t="shared" si="43"/>
      </c>
      <c r="Q57" s="12">
        <f t="shared" si="56"/>
      </c>
      <c r="R57" s="13"/>
      <c r="S57" s="7"/>
      <c r="T57" s="14">
        <f t="shared" si="15"/>
      </c>
      <c r="U57" s="14">
        <f t="shared" si="31"/>
      </c>
      <c r="V57" s="14">
        <f t="shared" si="44"/>
      </c>
    </row>
    <row hidden="true" r="58">
      <c r="A58" s="5" t="s">
        <v>54</v>
      </c>
      <c r="B58" s="6" t="s">
        <v>43</v>
      </c>
      <c r="C58" s="7" t="s">
        <v>44</v>
      </c>
      <c r="D58" s="7">
        <v>3</v>
      </c>
      <c r="E58" s="7">
        <v>15</v>
      </c>
      <c r="F58" s="7">
        <v>7</v>
      </c>
      <c r="G58" s="8">
        <v>0</v>
      </c>
      <c r="H58" s="9">
        <f t="shared" si="27"/>
      </c>
      <c r="I58" s="6">
        <v>1</v>
      </c>
      <c r="J58" s="8">
        <f>79*12*I58</f>
      </c>
      <c r="K58" s="24">
        <v>6</v>
      </c>
      <c r="L58" s="26">
        <f t="shared" si="55"/>
      </c>
      <c r="M58" s="6">
        <f t="shared" si="12"/>
      </c>
      <c r="N58" s="6">
        <v>9095.720000000001</v>
      </c>
      <c r="O58" s="11">
        <f t="shared" si="30"/>
      </c>
      <c r="P58" s="11">
        <f t="shared" si="43"/>
      </c>
      <c r="Q58" s="12">
        <f t="shared" si="56"/>
      </c>
      <c r="R58" s="24" t="s">
        <v>45</v>
      </c>
      <c r="S58" s="6">
        <v>3</v>
      </c>
      <c r="T58" s="14">
        <f t="shared" si="15"/>
      </c>
      <c r="U58" s="14">
        <f t="shared" si="31"/>
      </c>
      <c r="V58" s="14">
        <f t="shared" si="44"/>
      </c>
    </row>
    <row hidden="true" r="59">
      <c r="A59" s="15" t="s">
        <v>54</v>
      </c>
      <c r="B59" s="16" t="s">
        <v>29</v>
      </c>
      <c r="C59" s="30"/>
      <c r="D59" s="18">
        <f>SUM(D56:D58)</f>
      </c>
      <c r="E59" s="18">
        <f>SUM(E56:E58)</f>
      </c>
      <c r="F59" s="18">
        <f>SUM(F56:F58)</f>
      </c>
      <c r="G59" s="18">
        <f>SUM(G56:G58)</f>
      </c>
      <c r="H59" s="18">
        <f>SUM(H56:H58)</f>
      </c>
      <c r="I59" s="18">
        <f>SUM(I56:I58)</f>
      </c>
      <c r="J59" s="18">
        <f>SUM(J56:J58)</f>
      </c>
      <c r="K59" s="18">
        <f>SUM(K56:K58)</f>
      </c>
      <c r="L59" s="18">
        <f>SUM(L56:L58)</f>
      </c>
      <c r="M59" s="18">
        <f>SUM(M56:M58)</f>
      </c>
      <c r="N59" s="18">
        <f>SUM(N56:N58)</f>
      </c>
      <c r="O59" s="31">
        <f t="shared" si="30"/>
      </c>
      <c r="P59" s="32">
        <f t="shared" si="43"/>
      </c>
      <c r="Q59" s="33">
        <f t="shared" si="56"/>
      </c>
      <c r="R59" s="34"/>
      <c r="S59" s="18">
        <f>SUM(S56:S58)</f>
      </c>
      <c r="T59" s="23">
        <f t="shared" si="15"/>
      </c>
      <c r="U59" s="23">
        <f t="shared" si="31"/>
      </c>
      <c r="V59" s="23">
        <f t="shared" si="44"/>
      </c>
    </row>
    <row hidden="true" r="60">
      <c r="A60" s="5" t="s">
        <v>55</v>
      </c>
      <c r="B60" s="6" t="s">
        <v>24</v>
      </c>
      <c r="C60" s="7" t="s">
        <v>25</v>
      </c>
      <c r="D60" s="7">
        <v>4</v>
      </c>
      <c r="E60" s="7">
        <v>36</v>
      </c>
      <c r="F60" s="7">
        <v>9</v>
      </c>
      <c r="G60" s="8">
        <v>0</v>
      </c>
      <c r="H60" s="9">
        <f t="shared" ref="H60:H62" si="28">39*12*G60</f>
      </c>
      <c r="I60" s="6">
        <v>2</v>
      </c>
      <c r="J60" s="8">
        <f t="shared" ref="J60:J62" si="42">79*12*I60</f>
      </c>
      <c r="K60" s="24">
        <v>7</v>
      </c>
      <c r="L60" s="26">
        <f>189*12*K60</f>
      </c>
      <c r="M60" s="6">
        <f t="shared" ref="M60:M62" si="13">L60+J60+H60</f>
      </c>
      <c r="N60" s="6">
        <v>13432.02</v>
      </c>
      <c r="O60" s="11">
        <f t="shared" si="30"/>
      </c>
      <c r="P60" s="11">
        <f t="shared" si="43"/>
      </c>
      <c r="Q60" s="12">
        <f t="shared" si="56"/>
      </c>
      <c r="R60" s="13" t="s">
        <v>26</v>
      </c>
      <c r="S60" s="7">
        <v>8</v>
      </c>
      <c r="T60" s="14">
        <f t="shared" si="15"/>
      </c>
      <c r="U60" s="14">
        <f t="shared" si="31"/>
      </c>
      <c r="V60" s="14">
        <f t="shared" si="44"/>
      </c>
    </row>
    <row hidden="true" r="61">
      <c r="A61" s="5" t="s">
        <v>55</v>
      </c>
      <c r="B61" s="6" t="s">
        <v>27</v>
      </c>
      <c r="C61" s="7" t="s">
        <v>28</v>
      </c>
      <c r="D61" s="7">
        <v>4</v>
      </c>
      <c r="E61" s="7">
        <v>23</v>
      </c>
      <c r="F61" s="7">
        <v>7</v>
      </c>
      <c r="G61" s="8">
        <v>0</v>
      </c>
      <c r="H61" s="9">
        <f t="shared" si="28"/>
      </c>
      <c r="I61" s="6">
        <v>1</v>
      </c>
      <c r="J61" s="8">
        <f t="shared" si="42"/>
      </c>
      <c r="K61" s="29">
        <v>6</v>
      </c>
      <c r="L61" s="26">
        <f>189*12*K61-188</f>
      </c>
      <c r="M61" s="6">
        <f t="shared" si="13"/>
      </c>
      <c r="N61" s="6">
        <v>13113.18</v>
      </c>
      <c r="O61" s="11">
        <f t="shared" si="30"/>
      </c>
      <c r="P61" s="11">
        <f t="shared" si="43"/>
      </c>
      <c r="Q61" s="12">
        <f t="shared" si="56"/>
      </c>
      <c r="R61" s="13"/>
      <c r="S61" s="7"/>
      <c r="T61" s="14">
        <f t="shared" si="15"/>
      </c>
      <c r="U61" s="14">
        <f t="shared" si="31"/>
      </c>
      <c r="V61" s="14">
        <f t="shared" si="44"/>
      </c>
    </row>
    <row hidden="true" r="62">
      <c r="A62" s="5" t="s">
        <v>55</v>
      </c>
      <c r="B62" s="6" t="s">
        <v>47</v>
      </c>
      <c r="C62" s="7" t="s">
        <v>44</v>
      </c>
      <c r="D62" s="7">
        <v>3</v>
      </c>
      <c r="E62" s="7">
        <v>26</v>
      </c>
      <c r="F62" s="7">
        <v>8</v>
      </c>
      <c r="G62" s="8">
        <v>1</v>
      </c>
      <c r="H62" s="9">
        <f t="shared" si="28"/>
      </c>
      <c r="I62" s="6">
        <v>1</v>
      </c>
      <c r="J62" s="8">
        <f t="shared" si="42"/>
      </c>
      <c r="K62" s="24">
        <v>6</v>
      </c>
      <c r="L62" s="26">
        <f>189*12*K62-188-188</f>
      </c>
      <c r="M62" s="6">
        <f t="shared" si="13"/>
      </c>
      <c r="N62" s="6">
        <v>8642.84</v>
      </c>
      <c r="O62" s="11">
        <f t="shared" si="30"/>
      </c>
      <c r="P62" s="11">
        <f t="shared" si="43"/>
      </c>
      <c r="Q62" s="12">
        <f t="shared" si="56"/>
      </c>
      <c r="R62" s="24" t="s">
        <v>45</v>
      </c>
      <c r="S62" s="6">
        <v>3</v>
      </c>
      <c r="T62" s="14">
        <f t="shared" si="15"/>
      </c>
      <c r="U62" s="14">
        <f t="shared" si="31"/>
      </c>
      <c r="V62" s="14">
        <f t="shared" si="44"/>
      </c>
    </row>
    <row hidden="true" r="63">
      <c r="A63" s="15" t="s">
        <v>55</v>
      </c>
      <c r="B63" s="16" t="s">
        <v>29</v>
      </c>
      <c r="C63" s="30"/>
      <c r="D63" s="18">
        <f>SUM(D60:D62)</f>
      </c>
      <c r="E63" s="18">
        <f>SUM(E60:E62)</f>
      </c>
      <c r="F63" s="18">
        <f>SUM(F60:F62)</f>
      </c>
      <c r="G63" s="18">
        <f>SUM(G60:G62)</f>
      </c>
      <c r="H63" s="18">
        <f>SUM(H60:H62)</f>
      </c>
      <c r="I63" s="18">
        <f>SUM(I60:I62)</f>
      </c>
      <c r="J63" s="18">
        <f>SUM(J60:J62)</f>
      </c>
      <c r="K63" s="18">
        <f>SUM(K60:K62)</f>
      </c>
      <c r="L63" s="18">
        <f>SUM(L60:L62)</f>
      </c>
      <c r="M63" s="35">
        <f>SUM(M60:M62)</f>
      </c>
      <c r="N63" s="18">
        <f>SUM(N60:N62)</f>
      </c>
      <c r="O63" s="31">
        <f t="shared" si="30"/>
      </c>
      <c r="P63" s="32">
        <f t="shared" si="43"/>
      </c>
      <c r="Q63" s="33">
        <f t="shared" si="56"/>
      </c>
      <c r="R63" s="34"/>
      <c r="S63" s="18">
        <f>SUM(S60:S62)</f>
      </c>
      <c r="T63" s="23">
        <f t="shared" si="15"/>
      </c>
      <c r="U63" s="23">
        <f t="shared" si="31"/>
      </c>
      <c r="V63" s="23">
        <f t="shared" si="44"/>
      </c>
    </row>
    <row r="64">
      <c r="A64" s="5" t="s">
        <v>56</v>
      </c>
      <c r="B64" s="6" t="s">
        <v>24</v>
      </c>
      <c r="C64" s="7" t="s">
        <v>25</v>
      </c>
      <c r="D64" s="7">
        <v>4</v>
      </c>
      <c r="E64" s="7">
        <v>22</v>
      </c>
      <c r="F64" s="7">
        <v>11</v>
      </c>
      <c r="G64" s="8">
        <v>1</v>
      </c>
      <c r="H64" s="9">
        <f t="shared" ref="H64:H66" si="29">39*12*G64</f>
      </c>
      <c r="I64" s="6">
        <v>1</v>
      </c>
      <c r="J64" s="8">
        <f>79*12*I64</f>
      </c>
      <c r="K64" s="24">
        <v>9</v>
      </c>
      <c r="L64" s="26">
        <f>189*12*K64</f>
      </c>
      <c r="M64" s="6">
        <f t="shared" ref="M64:M66" si="14">L64+J64+H64</f>
      </c>
      <c r="N64" s="6">
        <v>11851.999999999998</v>
      </c>
      <c r="O64" s="11">
        <f t="shared" si="30"/>
      </c>
      <c r="P64" s="11">
        <f t="shared" si="43"/>
      </c>
      <c r="Q64" s="12">
        <f t="shared" si="56"/>
      </c>
      <c r="R64" s="13" t="s">
        <v>26</v>
      </c>
      <c r="S64" s="7">
        <v>8</v>
      </c>
      <c r="T64" s="14">
        <f t="shared" si="15"/>
      </c>
      <c r="U64" s="14">
        <f t="shared" si="31"/>
      </c>
      <c r="V64" s="14">
        <f t="shared" si="44"/>
      </c>
    </row>
    <row r="65">
      <c r="A65" s="5" t="s">
        <v>56</v>
      </c>
      <c r="B65" s="6" t="s">
        <v>27</v>
      </c>
      <c r="C65" s="7" t="s">
        <v>28</v>
      </c>
      <c r="D65" s="7">
        <v>4</v>
      </c>
      <c r="E65" s="7"/>
      <c r="F65" s="7"/>
      <c r="G65" s="8"/>
      <c r="H65" s="9">
        <f t="shared" si="29"/>
      </c>
      <c r="I65" s="6"/>
      <c r="J65" s="36">
        <f>79*12*I65-79</f>
      </c>
      <c r="K65" s="29"/>
      <c r="L65" s="26">
        <f>189*12*K65-188-188</f>
      </c>
      <c r="M65" s="6">
        <f t="shared" si="14"/>
      </c>
      <c r="N65" s="6"/>
      <c r="O65" s="11">
        <f t="shared" si="30"/>
      </c>
      <c r="P65" s="11">
        <f t="shared" si="43"/>
      </c>
      <c r="Q65" s="12">
        <f t="shared" si="56"/>
      </c>
      <c r="R65" s="13"/>
      <c r="S65" s="7"/>
      <c r="T65" s="14">
        <f t="shared" si="15"/>
      </c>
      <c r="U65" s="14">
        <f t="shared" si="31"/>
      </c>
      <c r="V65" s="14">
        <f t="shared" si="44"/>
      </c>
    </row>
    <row r="66">
      <c r="A66" s="5" t="s">
        <v>56</v>
      </c>
      <c r="B66" s="6" t="s">
        <v>43</v>
      </c>
      <c r="C66" s="7" t="s">
        <v>44</v>
      </c>
      <c r="D66" s="7">
        <v>3</v>
      </c>
      <c r="E66" s="7"/>
      <c r="F66" s="7"/>
      <c r="G66" s="8"/>
      <c r="H66" s="9">
        <f t="shared" si="29"/>
      </c>
      <c r="I66" s="6"/>
      <c r="J66" s="8">
        <f>79*12*I66</f>
      </c>
      <c r="K66" s="24"/>
      <c r="L66" s="26">
        <f>189*12*K66</f>
      </c>
      <c r="M66" s="6">
        <f t="shared" si="14"/>
      </c>
      <c r="N66" s="6"/>
      <c r="O66" s="11">
        <f t="shared" si="30"/>
      </c>
      <c r="P66" s="11">
        <f t="shared" si="43"/>
      </c>
      <c r="Q66" s="12">
        <f t="shared" si="56"/>
      </c>
      <c r="R66" s="24" t="s">
        <v>45</v>
      </c>
      <c r="S66" s="6">
        <v>3</v>
      </c>
      <c r="T66" s="14">
        <f t="shared" si="15"/>
      </c>
      <c r="U66" s="14">
        <f t="shared" si="31"/>
      </c>
      <c r="V66" s="14">
        <f t="shared" si="44"/>
      </c>
    </row>
    <row r="67">
      <c r="A67" s="15" t="s">
        <v>56</v>
      </c>
      <c r="B67" s="16" t="s">
        <v>29</v>
      </c>
      <c r="C67" s="30"/>
      <c r="D67" s="18">
        <f>SUM(D64:D66)</f>
      </c>
      <c r="E67" s="18">
        <f>SUM(E64:E66)</f>
      </c>
      <c r="F67" s="18">
        <f>SUM(F64:F66)</f>
      </c>
      <c r="G67" s="18">
        <f>SUM(G64:G66)</f>
      </c>
      <c r="H67" s="18">
        <f>SUM(H64:H66)</f>
      </c>
      <c r="I67" s="18">
        <f>SUM(I64:I66)</f>
      </c>
      <c r="J67" s="18">
        <f>SUM(J64:J66)</f>
      </c>
      <c r="K67" s="18">
        <f>SUM(K64:K66)</f>
      </c>
      <c r="L67" s="18">
        <f>SUM(L64:L66)</f>
      </c>
      <c r="M67" s="35">
        <f>SUM(M64:M66)</f>
      </c>
      <c r="N67" s="18">
        <f>SUM(N64:N66)</f>
      </c>
      <c r="O67" s="31">
        <f t="shared" si="30"/>
      </c>
      <c r="P67" s="32">
        <f t="shared" si="43"/>
      </c>
      <c r="Q67" s="33">
        <f t="shared" si="56"/>
      </c>
      <c r="R67" s="34"/>
      <c r="S67" s="18">
        <f>SUM(S64:S66)</f>
      </c>
      <c r="T67" s="23">
        <f t="shared" si="15"/>
      </c>
      <c r="U67" s="23">
        <f t="shared" si="31"/>
      </c>
      <c r="V67" s="23">
        <f t="shared" si="44"/>
      </c>
    </row>
    <row r="68">
      <c r="H68" s="37">
        <v>39</v>
      </c>
      <c r="J68" s="37">
        <v>79</v>
      </c>
      <c r="L68" s="37">
        <v>188</v>
      </c>
    </row>
  </sheetData>
  <autoFilter ref="A1:V201">
    <filterColumn colId="0">
      <filters blank="true">
        <filter val="2026.10.19"/>
      </filters>
    </filterColumn>
  </autoFilter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1" xSplit="4"/>
    </sheetView>
  </sheetViews>
  <sheetFormatPr defaultRowHeight="16"/>
  <cols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7" min="7" style="0" width="12.64480633802817"/>
    <col collapsed="false" customWidth="true" hidden="false" max="9" min="9" style="0" width="11.211267605633802"/>
    <col collapsed="false" customWidth="true" hidden="false" max="12" min="12" style="0" width="11.211267605633802"/>
    <col collapsed="false" customWidth="true" hidden="false" max="13" min="13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</cols>
  <sheetData>
    <row r="1">
      <c r="A1" s="38" t="s">
        <v>57</v>
      </c>
      <c r="B1" s="39" t="s">
        <v>58</v>
      </c>
      <c r="C1" s="39" t="s">
        <v>59</v>
      </c>
      <c r="D1" s="39" t="s">
        <v>60</v>
      </c>
      <c r="E1" s="39" t="s">
        <v>61</v>
      </c>
      <c r="F1" s="40" t="s">
        <v>62</v>
      </c>
      <c r="G1" s="40" t="s">
        <v>63</v>
      </c>
      <c r="H1" s="40" t="s">
        <v>64</v>
      </c>
      <c r="I1" s="40" t="s">
        <v>65</v>
      </c>
      <c r="J1" s="40" t="s">
        <v>66</v>
      </c>
      <c r="K1" s="40" t="s">
        <v>67</v>
      </c>
      <c r="L1" s="40" t="s">
        <v>68</v>
      </c>
      <c r="M1" s="40" t="s">
        <v>69</v>
      </c>
      <c r="N1" s="39" t="s">
        <v>70</v>
      </c>
      <c r="O1" s="41" t="s">
        <v>71</v>
      </c>
      <c r="P1" s="41" t="s">
        <v>72</v>
      </c>
      <c r="Q1" s="41" t="s">
        <v>73</v>
      </c>
      <c r="R1" s="41" t="s">
        <v>74</v>
      </c>
      <c r="S1" s="39" t="s">
        <v>75</v>
      </c>
      <c r="T1" s="40" t="s">
        <v>76</v>
      </c>
      <c r="U1" s="40" t="s">
        <v>77</v>
      </c>
      <c r="V1" s="40" t="s">
        <v>78</v>
      </c>
    </row>
    <row r="2">
      <c r="A2" s="42" t="s">
        <v>79</v>
      </c>
      <c r="B2" s="43" t="s">
        <v>80</v>
      </c>
      <c r="C2" s="43" t="s">
        <v>81</v>
      </c>
      <c r="D2" s="43">
        <v>4</v>
      </c>
      <c r="E2" s="43">
        <v>14</v>
      </c>
      <c r="F2" s="43">
        <v>7</v>
      </c>
      <c r="G2" s="43">
        <v>0</v>
      </c>
      <c r="H2" s="43">
        <v>0</v>
      </c>
      <c r="I2" s="43">
        <v>1</v>
      </c>
      <c r="J2" s="43">
        <v>948</v>
      </c>
      <c r="K2" s="43">
        <v>6</v>
      </c>
      <c r="L2" s="43">
        <v>13420</v>
      </c>
      <c r="M2" s="44">
        <f t="shared" ref="M2:M3" si="1">H2+J2+L2</f>
      </c>
      <c r="N2" s="44">
        <v>11485.22</v>
      </c>
      <c r="O2" s="45">
        <f t="shared" ref="O2:O62" si="25">M2/N2</f>
      </c>
      <c r="P2" s="45">
        <f t="shared" ref="P2:P62" si="44">M2/F2</f>
      </c>
      <c r="Q2" s="46">
        <f t="shared" ref="Q2:Q62" si="46">N2/F2</f>
      </c>
      <c r="R2" s="47" t="s">
        <v>82</v>
      </c>
      <c r="S2" s="43">
        <v>7</v>
      </c>
      <c r="T2" s="48">
        <f t="shared" ref="T2:T85" si="0">G2/F2</f>
      </c>
      <c r="U2" s="48">
        <f t="shared" ref="U2:U85" si="9">I2/F2</f>
      </c>
      <c r="V2" s="48">
        <f t="shared" ref="V2:V85" si="27">K2/F2</f>
      </c>
    </row>
    <row r="3">
      <c r="A3" s="42" t="s">
        <v>79</v>
      </c>
      <c r="B3" s="43" t="s">
        <v>83</v>
      </c>
      <c r="C3" s="43" t="s">
        <v>84</v>
      </c>
      <c r="D3" s="43">
        <v>3</v>
      </c>
      <c r="E3" s="43">
        <v>10</v>
      </c>
      <c r="F3" s="43">
        <v>6</v>
      </c>
      <c r="G3" s="43">
        <v>1</v>
      </c>
      <c r="H3" s="43">
        <v>468</v>
      </c>
      <c r="I3" s="43">
        <v>1</v>
      </c>
      <c r="J3" s="43">
        <v>948</v>
      </c>
      <c r="K3" s="43">
        <v>4</v>
      </c>
      <c r="L3" s="43">
        <v>9072</v>
      </c>
      <c r="M3" s="44">
        <f t="shared" si="1"/>
      </c>
      <c r="N3" s="43">
        <v>7395.260000000001</v>
      </c>
      <c r="O3" s="45">
        <f t="shared" si="25"/>
      </c>
      <c r="P3" s="45">
        <f t="shared" si="44"/>
      </c>
      <c r="Q3" s="46">
        <f t="shared" si="46"/>
      </c>
      <c r="R3" s="47"/>
      <c r="S3" s="43"/>
      <c r="T3" s="48">
        <f t="shared" si="0"/>
      </c>
      <c r="U3" s="48">
        <f t="shared" si="9"/>
      </c>
      <c r="V3" s="48">
        <f t="shared" si="27"/>
      </c>
    </row>
    <row r="4">
      <c r="A4" s="49" t="s">
        <v>79</v>
      </c>
      <c r="B4" s="50" t="s">
        <v>85</v>
      </c>
      <c r="C4" s="51"/>
      <c r="D4" s="51">
        <f>SUM(D2:D3)</f>
      </c>
      <c r="E4" s="51">
        <f>SUM(E2:E3)</f>
      </c>
      <c r="F4" s="51">
        <f>SUM(F2:F3)</f>
      </c>
      <c r="G4" s="51">
        <f>SUM(G2:G3)</f>
      </c>
      <c r="H4" s="51">
        <f>SUM(H2:H3)</f>
      </c>
      <c r="I4" s="51">
        <f>SUM(I2:I3)</f>
      </c>
      <c r="J4" s="51">
        <f>SUM(J2:J3)</f>
      </c>
      <c r="K4" s="51">
        <f>SUM(K2:K3)</f>
      </c>
      <c r="L4" s="51">
        <f>SUM(L2:L3)</f>
      </c>
      <c r="M4" s="51">
        <f>SUM(M2:M3)</f>
      </c>
      <c r="N4" s="51">
        <f>SUM(N2:N3)</f>
      </c>
      <c r="O4" s="52">
        <f t="shared" si="25"/>
      </c>
      <c r="P4" s="53">
        <f t="shared" si="44"/>
      </c>
      <c r="Q4" s="54">
        <f t="shared" si="46"/>
      </c>
      <c r="R4" s="55"/>
      <c r="S4" s="56">
        <f>SUM(S2:S3)</f>
      </c>
      <c r="T4" s="57">
        <f t="shared" si="0"/>
      </c>
      <c r="U4" s="57">
        <f t="shared" si="9"/>
      </c>
      <c r="V4" s="57">
        <f t="shared" si="27"/>
      </c>
    </row>
    <row r="5">
      <c r="A5" s="42" t="s">
        <v>86</v>
      </c>
      <c r="B5" s="43" t="s">
        <v>80</v>
      </c>
      <c r="C5" s="43" t="s">
        <v>87</v>
      </c>
      <c r="D5" s="43">
        <v>5</v>
      </c>
      <c r="E5" s="43">
        <v>24</v>
      </c>
      <c r="F5" s="43">
        <v>10</v>
      </c>
      <c r="G5" s="43">
        <v>0</v>
      </c>
      <c r="H5" s="43">
        <v>0</v>
      </c>
      <c r="I5" s="43">
        <v>2</v>
      </c>
      <c r="J5" s="43">
        <v>1896</v>
      </c>
      <c r="K5" s="43">
        <v>8</v>
      </c>
      <c r="L5" s="43">
        <v>17956</v>
      </c>
      <c r="M5" s="44">
        <f t="shared" ref="M5:M6" si="2">H5+J5+L5</f>
      </c>
      <c r="N5" s="44">
        <v>13766.65</v>
      </c>
      <c r="O5" s="45">
        <f t="shared" si="25"/>
      </c>
      <c r="P5" s="45">
        <f t="shared" si="44"/>
      </c>
      <c r="Q5" s="46">
        <f t="shared" si="46"/>
      </c>
      <c r="R5" s="47" t="s">
        <v>82</v>
      </c>
      <c r="S5" s="43">
        <v>6</v>
      </c>
      <c r="T5" s="48">
        <f t="shared" si="0"/>
      </c>
      <c r="U5" s="48">
        <f t="shared" si="9"/>
      </c>
      <c r="V5" s="48">
        <f t="shared" si="27"/>
      </c>
    </row>
    <row r="6">
      <c r="A6" s="42" t="s">
        <v>86</v>
      </c>
      <c r="B6" s="43" t="s">
        <v>88</v>
      </c>
      <c r="C6" s="43" t="s">
        <v>89</v>
      </c>
      <c r="D6" s="43">
        <v>1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0</v>
      </c>
      <c r="K6" s="43">
        <v>0</v>
      </c>
      <c r="L6" s="43">
        <v>0</v>
      </c>
      <c r="M6" s="44">
        <f t="shared" si="2"/>
      </c>
      <c r="N6" s="43">
        <v>1105.46</v>
      </c>
      <c r="O6" s="45">
        <f t="shared" si="25"/>
      </c>
      <c r="P6" s="45">
        <f t="shared" si="44"/>
      </c>
      <c r="Q6" s="46">
        <f t="shared" si="46"/>
      </c>
      <c r="R6" s="47"/>
      <c r="S6" s="43"/>
      <c r="T6" s="48">
        <f t="shared" si="0"/>
      </c>
      <c r="U6" s="48">
        <f t="shared" si="9"/>
      </c>
      <c r="V6" s="48">
        <f t="shared" si="27"/>
      </c>
    </row>
    <row r="7">
      <c r="A7" s="49" t="s">
        <v>86</v>
      </c>
      <c r="B7" s="50" t="s">
        <v>85</v>
      </c>
      <c r="C7" s="51"/>
      <c r="D7" s="51">
        <f>SUM(D5:D6)</f>
      </c>
      <c r="E7" s="51">
        <f>SUM(E5:E6)</f>
      </c>
      <c r="F7" s="51">
        <f>SUM(F5:F6)</f>
      </c>
      <c r="G7" s="51">
        <f>SUM(G5:G6)</f>
      </c>
      <c r="H7" s="51">
        <f>SUM(H5:H6)</f>
      </c>
      <c r="I7" s="51">
        <f>SUM(I5:I6)</f>
      </c>
      <c r="J7" s="51">
        <f>SUM(J5:J6)</f>
      </c>
      <c r="K7" s="51">
        <f>SUM(K5:K6)</f>
      </c>
      <c r="L7" s="51">
        <f>SUM(L5:L6)</f>
      </c>
      <c r="M7" s="51">
        <f>SUM(M5:M6)</f>
      </c>
      <c r="N7" s="51">
        <f>SUM(N5:N6)</f>
      </c>
      <c r="O7" s="52">
        <f t="shared" si="25"/>
      </c>
      <c r="P7" s="53">
        <f t="shared" si="44"/>
      </c>
      <c r="Q7" s="54">
        <f t="shared" si="46"/>
      </c>
      <c r="R7" s="55"/>
      <c r="S7" s="56">
        <f>SUM(S5:S6)</f>
      </c>
      <c r="T7" s="57">
        <f t="shared" si="0"/>
      </c>
      <c r="U7" s="57">
        <f t="shared" si="9"/>
      </c>
      <c r="V7" s="57">
        <f t="shared" si="27"/>
      </c>
    </row>
    <row r="8">
      <c r="A8" s="42" t="s">
        <v>90</v>
      </c>
      <c r="B8" s="43" t="s">
        <v>83</v>
      </c>
      <c r="C8" s="43" t="s">
        <v>81</v>
      </c>
      <c r="D8" s="43">
        <v>4</v>
      </c>
      <c r="E8" s="43">
        <v>23</v>
      </c>
      <c r="F8" s="43">
        <v>14</v>
      </c>
      <c r="G8" s="43">
        <v>0</v>
      </c>
      <c r="H8" s="43">
        <v>0</v>
      </c>
      <c r="I8" s="43">
        <v>1</v>
      </c>
      <c r="J8" s="43">
        <v>948</v>
      </c>
      <c r="K8" s="43">
        <v>13</v>
      </c>
      <c r="L8" s="43">
        <v>29484</v>
      </c>
      <c r="M8" s="44">
        <f t="shared" ref="M8:M9" si="3">H8+J8+L8</f>
      </c>
      <c r="N8" s="44">
        <v>14524.66</v>
      </c>
      <c r="O8" s="45">
        <f t="shared" si="25"/>
      </c>
      <c r="P8" s="45">
        <f t="shared" si="44"/>
      </c>
      <c r="Q8" s="46">
        <f t="shared" si="46"/>
      </c>
      <c r="R8" s="47" t="s">
        <v>82</v>
      </c>
      <c r="S8" s="43">
        <v>2.5</v>
      </c>
      <c r="T8" s="48">
        <f t="shared" si="0"/>
      </c>
      <c r="U8" s="48">
        <f t="shared" si="9"/>
      </c>
      <c r="V8" s="48">
        <f t="shared" si="27"/>
      </c>
    </row>
    <row r="9">
      <c r="A9" s="42" t="s">
        <v>90</v>
      </c>
      <c r="B9" s="43" t="s">
        <v>80</v>
      </c>
      <c r="C9" s="43" t="s">
        <v>91</v>
      </c>
      <c r="D9" s="43">
        <v>4</v>
      </c>
      <c r="E9" s="43">
        <v>16</v>
      </c>
      <c r="F9" s="43">
        <v>8</v>
      </c>
      <c r="G9" s="43">
        <v>0</v>
      </c>
      <c r="H9" s="43">
        <v>0</v>
      </c>
      <c r="I9" s="43">
        <v>1</v>
      </c>
      <c r="J9" s="43">
        <v>869</v>
      </c>
      <c r="K9" s="43">
        <v>7</v>
      </c>
      <c r="L9" s="43">
        <v>15876</v>
      </c>
      <c r="M9" s="44">
        <f t="shared" si="3"/>
      </c>
      <c r="N9" s="43">
        <v>12002.359999999999</v>
      </c>
      <c r="O9" s="45">
        <f t="shared" si="25"/>
      </c>
      <c r="P9" s="45">
        <f t="shared" si="44"/>
      </c>
      <c r="Q9" s="46">
        <f t="shared" si="46"/>
      </c>
      <c r="R9" s="47" t="s">
        <v>92</v>
      </c>
      <c r="S9" s="43">
        <v>5.5</v>
      </c>
      <c r="T9" s="48">
        <f t="shared" si="0"/>
      </c>
      <c r="U9" s="48">
        <f t="shared" si="9"/>
      </c>
      <c r="V9" s="48">
        <f t="shared" si="27"/>
      </c>
    </row>
    <row r="10">
      <c r="A10" s="49" t="s">
        <v>90</v>
      </c>
      <c r="B10" s="50" t="s">
        <v>85</v>
      </c>
      <c r="C10" s="51"/>
      <c r="D10" s="51">
        <f>SUM(D8:D9)</f>
      </c>
      <c r="E10" s="51">
        <f>SUM(E8:E9)</f>
      </c>
      <c r="F10" s="51">
        <f>SUM(F8:F9)</f>
      </c>
      <c r="G10" s="51">
        <f>SUM(G8:G9)</f>
      </c>
      <c r="H10" s="51">
        <f>SUM(H8:H9)</f>
      </c>
      <c r="I10" s="51">
        <f>SUM(I8:I9)</f>
      </c>
      <c r="J10" s="51">
        <f>SUM(J8:J9)</f>
      </c>
      <c r="K10" s="51">
        <f>SUM(K8:K9)</f>
      </c>
      <c r="L10" s="51">
        <f>SUM(L8:L9)</f>
      </c>
      <c r="M10" s="51">
        <f>SUM(M8:M9)</f>
      </c>
      <c r="N10" s="51">
        <f>SUM(N8:N9)</f>
      </c>
      <c r="O10" s="52">
        <f t="shared" si="25"/>
      </c>
      <c r="P10" s="53">
        <f t="shared" si="44"/>
      </c>
      <c r="Q10" s="54">
        <f t="shared" si="46"/>
      </c>
      <c r="R10" s="55"/>
      <c r="S10" s="56">
        <f>SUM(S8:S9)</f>
      </c>
      <c r="T10" s="57">
        <f t="shared" si="0"/>
      </c>
      <c r="U10" s="57">
        <f t="shared" si="9"/>
      </c>
      <c r="V10" s="57">
        <f t="shared" si="27"/>
      </c>
    </row>
    <row r="11">
      <c r="A11" s="42" t="s">
        <v>93</v>
      </c>
      <c r="B11" s="43" t="s">
        <v>83</v>
      </c>
      <c r="C11" s="43" t="s">
        <v>87</v>
      </c>
      <c r="D11" s="43">
        <v>5</v>
      </c>
      <c r="E11" s="43">
        <v>24</v>
      </c>
      <c r="F11" s="43">
        <v>8</v>
      </c>
      <c r="G11" s="43">
        <v>1</v>
      </c>
      <c r="H11" s="43">
        <v>468</v>
      </c>
      <c r="I11" s="43">
        <v>0</v>
      </c>
      <c r="J11" s="43">
        <v>0</v>
      </c>
      <c r="K11" s="43">
        <v>7</v>
      </c>
      <c r="L11" s="43">
        <v>15500</v>
      </c>
      <c r="M11" s="44">
        <f t="shared" ref="M11:M12" si="4">H11+J11+L11</f>
      </c>
      <c r="N11" s="44">
        <v>13814.03</v>
      </c>
      <c r="O11" s="45">
        <f t="shared" si="25"/>
      </c>
      <c r="P11" s="45">
        <f t="shared" si="44"/>
      </c>
      <c r="Q11" s="46">
        <f t="shared" si="46"/>
      </c>
      <c r="R11" s="47"/>
      <c r="S11" s="43"/>
      <c r="T11" s="48">
        <f t="shared" si="0"/>
      </c>
      <c r="U11" s="48">
        <f t="shared" si="9"/>
      </c>
      <c r="V11" s="48">
        <f t="shared" si="27"/>
      </c>
    </row>
    <row r="12">
      <c r="A12" s="42" t="s">
        <v>93</v>
      </c>
      <c r="B12" s="43" t="s">
        <v>88</v>
      </c>
      <c r="C12" s="43" t="s">
        <v>89</v>
      </c>
      <c r="D12" s="43">
        <v>1</v>
      </c>
      <c r="E12" s="43">
        <v>4</v>
      </c>
      <c r="F12" s="43">
        <v>2</v>
      </c>
      <c r="G12" s="43">
        <v>1</v>
      </c>
      <c r="H12" s="43">
        <v>468</v>
      </c>
      <c r="I12" s="43">
        <v>0</v>
      </c>
      <c r="J12" s="43">
        <v>0</v>
      </c>
      <c r="K12" s="43">
        <v>1</v>
      </c>
      <c r="L12" s="43">
        <v>2080</v>
      </c>
      <c r="M12" s="44">
        <f t="shared" si="4"/>
      </c>
      <c r="N12" s="43">
        <v>2338.99</v>
      </c>
      <c r="O12" s="45">
        <f t="shared" si="25"/>
      </c>
      <c r="P12" s="45">
        <f t="shared" si="44"/>
      </c>
      <c r="Q12" s="46">
        <f t="shared" si="46"/>
      </c>
      <c r="R12" s="47" t="s">
        <v>92</v>
      </c>
      <c r="S12" s="43">
        <v>6</v>
      </c>
      <c r="T12" s="48">
        <f t="shared" si="0"/>
      </c>
      <c r="U12" s="48">
        <f t="shared" si="9"/>
      </c>
      <c r="V12" s="48">
        <f t="shared" si="27"/>
      </c>
    </row>
    <row r="13">
      <c r="A13" s="49" t="s">
        <v>93</v>
      </c>
      <c r="B13" s="50" t="s">
        <v>85</v>
      </c>
      <c r="C13" s="51"/>
      <c r="D13" s="51">
        <f>SUM(D11:D12)</f>
      </c>
      <c r="E13" s="51">
        <f>SUM(E11:E12)</f>
      </c>
      <c r="F13" s="51">
        <f>SUM(F11:F12)</f>
      </c>
      <c r="G13" s="51">
        <f>SUM(G11:G12)</f>
      </c>
      <c r="H13" s="51">
        <f>SUM(H11:H12)</f>
      </c>
      <c r="I13" s="51">
        <f>SUM(I11:I12)</f>
      </c>
      <c r="J13" s="51">
        <f>SUM(J11:J12)</f>
      </c>
      <c r="K13" s="51">
        <f>SUM(K11:K12)</f>
      </c>
      <c r="L13" s="51">
        <f>SUM(L11:L12)</f>
      </c>
      <c r="M13" s="51">
        <f>SUM(M11:M12)</f>
      </c>
      <c r="N13" s="51">
        <f>SUM(N11:N12)</f>
      </c>
      <c r="O13" s="52">
        <f t="shared" si="25"/>
      </c>
      <c r="P13" s="53">
        <f t="shared" si="44"/>
      </c>
      <c r="Q13" s="54">
        <f t="shared" si="46"/>
      </c>
      <c r="R13" s="55"/>
      <c r="S13" s="56">
        <f>SUM(S11:S12)</f>
      </c>
      <c r="T13" s="57">
        <f t="shared" si="0"/>
      </c>
      <c r="U13" s="57">
        <f t="shared" si="9"/>
      </c>
      <c r="V13" s="57">
        <f t="shared" si="27"/>
      </c>
    </row>
    <row r="14">
      <c r="A14" s="42" t="s">
        <v>94</v>
      </c>
      <c r="B14" s="43" t="s">
        <v>80</v>
      </c>
      <c r="C14" s="43" t="s">
        <v>81</v>
      </c>
      <c r="D14" s="43">
        <v>4</v>
      </c>
      <c r="E14" s="43">
        <v>17</v>
      </c>
      <c r="F14" s="43">
        <v>10</v>
      </c>
      <c r="G14" s="43">
        <v>0</v>
      </c>
      <c r="H14" s="43">
        <v>0</v>
      </c>
      <c r="I14" s="43">
        <v>2</v>
      </c>
      <c r="J14" s="43">
        <v>1738</v>
      </c>
      <c r="K14" s="43">
        <v>8</v>
      </c>
      <c r="L14" s="43">
        <v>17956</v>
      </c>
      <c r="M14" s="44">
        <f t="shared" ref="M14:M15" si="5">H14+J14+L14</f>
      </c>
      <c r="N14" s="44">
        <v>13610.939999999999</v>
      </c>
      <c r="O14" s="45">
        <f t="shared" si="25"/>
      </c>
      <c r="P14" s="45">
        <f t="shared" si="44"/>
      </c>
      <c r="Q14" s="46">
        <f t="shared" si="46"/>
      </c>
      <c r="R14" s="47"/>
      <c r="S14" s="43"/>
      <c r="T14" s="48">
        <f t="shared" si="0"/>
      </c>
      <c r="U14" s="48">
        <f t="shared" si="9"/>
      </c>
      <c r="V14" s="48">
        <f t="shared" si="27"/>
      </c>
    </row>
    <row r="15">
      <c r="A15" s="42" t="s">
        <v>94</v>
      </c>
      <c r="B15" s="43" t="s">
        <v>83</v>
      </c>
      <c r="C15" s="43" t="s">
        <v>95</v>
      </c>
      <c r="D15" s="43">
        <v>1</v>
      </c>
      <c r="E15" s="43">
        <v>3</v>
      </c>
      <c r="F15" s="43">
        <v>1</v>
      </c>
      <c r="G15" s="43">
        <v>0</v>
      </c>
      <c r="H15" s="43">
        <v>0</v>
      </c>
      <c r="I15" s="43">
        <v>0</v>
      </c>
      <c r="J15" s="43">
        <v>0</v>
      </c>
      <c r="K15" s="43">
        <v>1</v>
      </c>
      <c r="L15" s="43">
        <v>2080</v>
      </c>
      <c r="M15" s="44">
        <f t="shared" si="5"/>
      </c>
      <c r="N15" s="43">
        <v>2968.36</v>
      </c>
      <c r="O15" s="45">
        <f t="shared" si="25"/>
      </c>
      <c r="P15" s="45">
        <f t="shared" si="44"/>
      </c>
      <c r="Q15" s="46">
        <f t="shared" si="46"/>
      </c>
      <c r="R15" s="47" t="s">
        <v>96</v>
      </c>
      <c r="S15" s="43">
        <v>5</v>
      </c>
      <c r="T15" s="48">
        <f t="shared" si="0"/>
      </c>
      <c r="U15" s="48">
        <f t="shared" si="9"/>
      </c>
      <c r="V15" s="48">
        <f t="shared" si="27"/>
      </c>
    </row>
    <row r="16">
      <c r="A16" s="49" t="s">
        <v>94</v>
      </c>
      <c r="B16" s="50" t="s">
        <v>85</v>
      </c>
      <c r="C16" s="51"/>
      <c r="D16" s="51">
        <f>SUM(D14:D15)</f>
      </c>
      <c r="E16" s="51">
        <f>SUM(E14:E15)</f>
      </c>
      <c r="F16" s="51">
        <f>SUM(F14:F15)</f>
      </c>
      <c r="G16" s="51">
        <f>SUM(G14:G15)</f>
      </c>
      <c r="H16" s="51">
        <f>SUM(H14:H15)</f>
      </c>
      <c r="I16" s="51">
        <f>SUM(I14:I15)</f>
      </c>
      <c r="J16" s="51">
        <f>SUM(J14:J15)</f>
      </c>
      <c r="K16" s="51">
        <f>SUM(K14:K15)</f>
      </c>
      <c r="L16" s="51">
        <f>SUM(L14:L15)</f>
      </c>
      <c r="M16" s="51">
        <f>SUM(M14:M15)</f>
      </c>
      <c r="N16" s="51">
        <f>SUM(N14:N15)</f>
      </c>
      <c r="O16" s="52">
        <f t="shared" si="25"/>
      </c>
      <c r="P16" s="53">
        <f t="shared" si="44"/>
      </c>
      <c r="Q16" s="54">
        <f t="shared" si="46"/>
      </c>
      <c r="R16" s="55"/>
      <c r="S16" s="56">
        <f>SUM(S14:S15)</f>
      </c>
      <c r="T16" s="57">
        <f t="shared" si="0"/>
      </c>
      <c r="U16" s="57">
        <f t="shared" si="9"/>
      </c>
      <c r="V16" s="57">
        <f t="shared" si="27"/>
      </c>
    </row>
    <row r="17">
      <c r="A17" s="42" t="s">
        <v>97</v>
      </c>
      <c r="B17" s="43" t="s">
        <v>80</v>
      </c>
      <c r="C17" s="43" t="s">
        <v>81</v>
      </c>
      <c r="D17" s="43">
        <v>4</v>
      </c>
      <c r="E17" s="43">
        <v>18</v>
      </c>
      <c r="F17" s="43">
        <v>12</v>
      </c>
      <c r="G17" s="43">
        <v>2</v>
      </c>
      <c r="H17" s="43">
        <v>936</v>
      </c>
      <c r="I17" s="43">
        <v>2</v>
      </c>
      <c r="J17" s="43">
        <f>948+869</f>
      </c>
      <c r="K17" s="43">
        <v>8</v>
      </c>
      <c r="L17" s="43">
        <v>18144</v>
      </c>
      <c r="M17" s="44">
        <f>H17+J17+L17</f>
      </c>
      <c r="N17" s="44">
        <v>13405.24</v>
      </c>
      <c r="O17" s="45">
        <f t="shared" si="25"/>
      </c>
      <c r="P17" s="45">
        <f t="shared" si="44"/>
      </c>
      <c r="Q17" s="46">
        <f t="shared" si="46"/>
      </c>
      <c r="R17" s="47"/>
      <c r="S17" s="43"/>
      <c r="T17" s="48">
        <f t="shared" si="0"/>
      </c>
      <c r="U17" s="48">
        <f t="shared" si="9"/>
      </c>
      <c r="V17" s="48">
        <f t="shared" si="27"/>
      </c>
    </row>
    <row r="18">
      <c r="A18" s="42" t="s">
        <v>97</v>
      </c>
      <c r="B18" s="43" t="s">
        <v>98</v>
      </c>
      <c r="C18" s="43" t="s">
        <v>95</v>
      </c>
      <c r="D18" s="43">
        <v>1</v>
      </c>
      <c r="E18" s="43">
        <v>8</v>
      </c>
      <c r="F18" s="43">
        <v>3</v>
      </c>
      <c r="G18" s="43">
        <v>1</v>
      </c>
      <c r="H18" s="43">
        <v>468</v>
      </c>
      <c r="I18" s="43">
        <v>0</v>
      </c>
      <c r="J18" s="43">
        <v>0</v>
      </c>
      <c r="K18" s="43">
        <v>1</v>
      </c>
      <c r="L18" s="43">
        <v>2268</v>
      </c>
      <c r="M18" s="43">
        <f>2736+99</f>
      </c>
      <c r="N18" s="43">
        <v>3327.6600000000003</v>
      </c>
      <c r="O18" s="45">
        <f t="shared" si="25"/>
      </c>
      <c r="P18" s="45">
        <f t="shared" si="44"/>
      </c>
      <c r="Q18" s="46">
        <f t="shared" si="46"/>
      </c>
      <c r="R18" s="47" t="s">
        <v>96</v>
      </c>
      <c r="S18" s="43">
        <v>5</v>
      </c>
      <c r="T18" s="48">
        <f t="shared" si="0"/>
      </c>
      <c r="U18" s="48">
        <f t="shared" si="9"/>
      </c>
      <c r="V18" s="48">
        <f t="shared" si="27"/>
      </c>
    </row>
    <row r="19">
      <c r="A19" s="49" t="s">
        <v>97</v>
      </c>
      <c r="B19" s="50" t="s">
        <v>85</v>
      </c>
      <c r="C19" s="51"/>
      <c r="D19" s="51">
        <f>SUM(D17:D18)</f>
      </c>
      <c r="E19" s="51">
        <f>SUM(E17:E18)</f>
      </c>
      <c r="F19" s="51">
        <f>SUM(F17:F18)</f>
      </c>
      <c r="G19" s="51">
        <f>SUM(G17:G18)</f>
      </c>
      <c r="H19" s="51">
        <f>SUM(H17:H18)</f>
      </c>
      <c r="I19" s="51">
        <f>SUM(I17:I18)</f>
      </c>
      <c r="J19" s="51">
        <f>SUM(J17:J18)</f>
      </c>
      <c r="K19" s="51">
        <f>SUM(K17:K18)</f>
      </c>
      <c r="L19" s="51">
        <f>SUM(L17:L18)</f>
      </c>
      <c r="M19" s="51">
        <f>SUM(M17:M18)</f>
      </c>
      <c r="N19" s="51">
        <f>SUM(N17:N18)</f>
      </c>
      <c r="O19" s="52">
        <f t="shared" si="25"/>
      </c>
      <c r="P19" s="53">
        <f t="shared" si="44"/>
      </c>
      <c r="Q19" s="54">
        <f t="shared" si="46"/>
      </c>
      <c r="R19" s="55"/>
      <c r="S19" s="56">
        <f>SUM(S17:S18)</f>
      </c>
      <c r="T19" s="57">
        <f t="shared" si="0"/>
      </c>
      <c r="U19" s="57">
        <f t="shared" si="9"/>
      </c>
      <c r="V19" s="57">
        <f t="shared" si="27"/>
      </c>
    </row>
    <row r="20">
      <c r="A20" s="42" t="s">
        <v>99</v>
      </c>
      <c r="B20" s="43" t="s">
        <v>80</v>
      </c>
      <c r="C20" s="43" t="s">
        <v>87</v>
      </c>
      <c r="D20" s="43">
        <v>5</v>
      </c>
      <c r="E20" s="43">
        <v>23</v>
      </c>
      <c r="F20" s="43">
        <v>12</v>
      </c>
      <c r="G20" s="43">
        <v>0</v>
      </c>
      <c r="H20" s="43">
        <v>0</v>
      </c>
      <c r="I20" s="43">
        <v>3</v>
      </c>
      <c r="J20" s="43">
        <v>2844</v>
      </c>
      <c r="K20" s="43">
        <v>8</v>
      </c>
      <c r="L20" s="43">
        <v>17956</v>
      </c>
      <c r="M20" s="44">
        <v>20908</v>
      </c>
      <c r="N20" s="44">
        <v>14191.190000000002</v>
      </c>
      <c r="O20" s="45">
        <f t="shared" si="25"/>
      </c>
      <c r="P20" s="45">
        <f t="shared" si="44"/>
      </c>
      <c r="Q20" s="46">
        <f t="shared" si="46"/>
      </c>
      <c r="R20" s="47"/>
      <c r="S20" s="43"/>
      <c r="T20" s="48">
        <f t="shared" si="0"/>
      </c>
      <c r="U20" s="48">
        <f t="shared" si="9"/>
      </c>
      <c r="V20" s="48">
        <f t="shared" si="27"/>
      </c>
    </row>
    <row r="21">
      <c r="A21" s="42" t="s">
        <v>99</v>
      </c>
      <c r="B21" s="43" t="s">
        <v>88</v>
      </c>
      <c r="C21" s="43" t="s">
        <v>89</v>
      </c>
      <c r="D21" s="43">
        <v>1</v>
      </c>
      <c r="E21" s="43">
        <v>3</v>
      </c>
      <c r="F21" s="43">
        <v>1</v>
      </c>
      <c r="G21" s="43">
        <v>0</v>
      </c>
      <c r="H21" s="43">
        <v>0</v>
      </c>
      <c r="I21" s="43">
        <v>0</v>
      </c>
      <c r="J21" s="43">
        <v>0</v>
      </c>
      <c r="K21" s="43">
        <v>1</v>
      </c>
      <c r="L21" s="43">
        <v>2268</v>
      </c>
      <c r="M21" s="44">
        <v>2268</v>
      </c>
      <c r="N21" s="43">
        <v>2497.05</v>
      </c>
      <c r="O21" s="45">
        <f t="shared" si="25"/>
      </c>
      <c r="P21" s="45">
        <f t="shared" si="44"/>
      </c>
      <c r="Q21" s="46">
        <f t="shared" si="46"/>
      </c>
      <c r="R21" s="47" t="s">
        <v>82</v>
      </c>
      <c r="S21" s="43">
        <v>6</v>
      </c>
      <c r="T21" s="48">
        <f t="shared" si="0"/>
      </c>
      <c r="U21" s="48">
        <f t="shared" si="9"/>
      </c>
      <c r="V21" s="48">
        <f t="shared" si="27"/>
      </c>
    </row>
    <row r="22">
      <c r="A22" s="49" t="s">
        <v>99</v>
      </c>
      <c r="B22" s="50" t="s">
        <v>85</v>
      </c>
      <c r="C22" s="51"/>
      <c r="D22" s="51">
        <f>SUM(D20:D21)</f>
      </c>
      <c r="E22" s="51">
        <f>SUM(E20:E21)</f>
      </c>
      <c r="F22" s="51">
        <f>SUM(F20:F21)</f>
      </c>
      <c r="G22" s="51">
        <f>SUM(G20:G21)</f>
      </c>
      <c r="H22" s="51">
        <f>SUM(H20:H21)</f>
      </c>
      <c r="I22" s="51">
        <f>SUM(I20:I21)</f>
      </c>
      <c r="J22" s="51">
        <f>SUM(J20:J21)</f>
      </c>
      <c r="K22" s="51">
        <f>SUM(K20:K21)</f>
      </c>
      <c r="L22" s="51">
        <f>SUM(L20:L21)</f>
      </c>
      <c r="M22" s="51">
        <f>SUM(M20:M21)</f>
      </c>
      <c r="N22" s="51">
        <f>SUM(N20:N21)</f>
      </c>
      <c r="O22" s="52">
        <f t="shared" si="25"/>
      </c>
      <c r="P22" s="53">
        <f t="shared" si="44"/>
      </c>
      <c r="Q22" s="54">
        <f t="shared" si="46"/>
      </c>
      <c r="R22" s="55"/>
      <c r="S22" s="56">
        <f>SUM(S20:S21)</f>
      </c>
      <c r="T22" s="57">
        <f t="shared" si="0"/>
      </c>
      <c r="U22" s="57">
        <f t="shared" si="9"/>
      </c>
      <c r="V22" s="57">
        <f t="shared" si="27"/>
      </c>
    </row>
    <row r="23">
      <c r="A23" s="42" t="s">
        <v>100</v>
      </c>
      <c r="B23" s="43" t="s">
        <v>80</v>
      </c>
      <c r="C23" s="43" t="s">
        <v>101</v>
      </c>
      <c r="D23" s="43">
        <v>5</v>
      </c>
      <c r="E23" s="43">
        <v>56</v>
      </c>
      <c r="F23" s="43">
        <v>26</v>
      </c>
      <c r="G23" s="43">
        <v>3</v>
      </c>
      <c r="H23" s="43">
        <v>1365</v>
      </c>
      <c r="I23" s="43">
        <v>5</v>
      </c>
      <c r="J23" s="43">
        <v>4661</v>
      </c>
      <c r="K23" s="43">
        <v>18</v>
      </c>
      <c r="L23" s="43">
        <v>40824</v>
      </c>
      <c r="M23" s="44">
        <f>L23+J23+H23</f>
      </c>
      <c r="N23" s="44">
        <v>26130.22</v>
      </c>
      <c r="O23" s="45">
        <f t="shared" si="25"/>
      </c>
      <c r="P23" s="45">
        <f t="shared" si="44"/>
      </c>
      <c r="Q23" s="46">
        <f t="shared" si="46"/>
      </c>
      <c r="R23" s="47" t="s">
        <v>96</v>
      </c>
      <c r="S23" s="43">
        <v>5</v>
      </c>
      <c r="T23" s="48">
        <f t="shared" si="0"/>
      </c>
      <c r="U23" s="48">
        <f t="shared" si="9"/>
      </c>
      <c r="V23" s="48">
        <f t="shared" si="27"/>
      </c>
    </row>
    <row r="24">
      <c r="A24" s="58" t="s">
        <v>100</v>
      </c>
      <c r="B24" s="59" t="s">
        <v>85</v>
      </c>
      <c r="C24" s="51"/>
      <c r="D24" s="51">
        <f>SUM(D23)</f>
      </c>
      <c r="E24" s="51">
        <f>SUM(E23)</f>
      </c>
      <c r="F24" s="51">
        <f>SUM(F23)</f>
      </c>
      <c r="G24" s="51">
        <f>SUM(G23)</f>
      </c>
      <c r="H24" s="51">
        <f>SUM(H23)</f>
      </c>
      <c r="I24" s="51">
        <f>SUM(I23)</f>
      </c>
      <c r="J24" s="51">
        <f>SUM(J23)</f>
      </c>
      <c r="K24" s="51">
        <f>SUM(K23)</f>
      </c>
      <c r="L24" s="60">
        <f>SUM(L23)</f>
      </c>
      <c r="M24" s="51">
        <f>SUM(M23)</f>
      </c>
      <c r="N24" s="51">
        <f>SUM(N23)</f>
      </c>
      <c r="O24" s="52">
        <f t="shared" si="25"/>
      </c>
      <c r="P24" s="53">
        <f t="shared" si="44"/>
      </c>
      <c r="Q24" s="54">
        <f t="shared" si="46"/>
      </c>
      <c r="R24" s="55"/>
      <c r="S24" s="56">
        <f>SUM(S23)</f>
      </c>
      <c r="T24" s="57">
        <f t="shared" si="0"/>
      </c>
      <c r="U24" s="57">
        <f t="shared" si="9"/>
      </c>
      <c r="V24" s="57">
        <f t="shared" si="27"/>
      </c>
    </row>
    <row r="25">
      <c r="A25" s="61" t="s">
        <v>102</v>
      </c>
      <c r="B25" s="44" t="s">
        <v>83</v>
      </c>
      <c r="C25" s="43" t="s">
        <v>103</v>
      </c>
      <c r="D25" s="43">
        <v>3</v>
      </c>
      <c r="E25" s="43">
        <v>19</v>
      </c>
      <c r="F25" s="43">
        <v>4</v>
      </c>
      <c r="G25" s="43">
        <v>0</v>
      </c>
      <c r="H25" s="43">
        <v>0</v>
      </c>
      <c r="I25" s="43">
        <v>1</v>
      </c>
      <c r="J25" s="62">
        <v>869</v>
      </c>
      <c r="K25" s="63">
        <v>3</v>
      </c>
      <c r="L25" s="64">
        <f>K25*12*189</f>
      </c>
      <c r="M25" s="44">
        <f t="shared" ref="M25:M26" si="6">H25+J25+L25</f>
      </c>
      <c r="N25" s="44">
        <v>9440.6</v>
      </c>
      <c r="O25" s="45">
        <f t="shared" si="25"/>
      </c>
      <c r="P25" s="45">
        <f t="shared" si="44"/>
      </c>
      <c r="Q25" s="46">
        <f t="shared" si="46"/>
      </c>
      <c r="R25" s="47" t="s">
        <v>96</v>
      </c>
      <c r="S25" s="43">
        <v>5</v>
      </c>
      <c r="T25" s="48">
        <f t="shared" si="0"/>
      </c>
      <c r="U25" s="48">
        <f t="shared" si="9"/>
      </c>
      <c r="V25" s="48">
        <f t="shared" si="27"/>
      </c>
    </row>
    <row r="26">
      <c r="A26" s="61" t="s">
        <v>102</v>
      </c>
      <c r="B26" s="44" t="s">
        <v>80</v>
      </c>
      <c r="C26" s="43" t="s">
        <v>104</v>
      </c>
      <c r="D26" s="43">
        <v>2</v>
      </c>
      <c r="E26" s="43">
        <v>19</v>
      </c>
      <c r="F26" s="43">
        <v>4</v>
      </c>
      <c r="G26" s="43">
        <v>0</v>
      </c>
      <c r="H26" s="43">
        <v>0</v>
      </c>
      <c r="I26" s="43">
        <v>1</v>
      </c>
      <c r="J26" s="43">
        <v>948</v>
      </c>
      <c r="K26" s="63">
        <v>3</v>
      </c>
      <c r="L26" s="64">
        <v>6804</v>
      </c>
      <c r="M26" s="44">
        <f t="shared" si="6"/>
      </c>
      <c r="N26" s="43">
        <v>6498.6</v>
      </c>
      <c r="O26" s="45">
        <f t="shared" si="25"/>
      </c>
      <c r="P26" s="45">
        <f t="shared" si="44"/>
      </c>
      <c r="Q26" s="46">
        <f t="shared" si="46"/>
      </c>
      <c r="R26" s="47"/>
      <c r="S26" s="43"/>
      <c r="T26" s="48">
        <f t="shared" si="0"/>
      </c>
      <c r="U26" s="48">
        <f t="shared" si="9"/>
      </c>
      <c r="V26" s="48">
        <f t="shared" si="27"/>
      </c>
    </row>
    <row r="27">
      <c r="A27" s="65" t="s">
        <v>102</v>
      </c>
      <c r="B27" s="50" t="s">
        <v>85</v>
      </c>
      <c r="C27" s="51"/>
      <c r="D27" s="51">
        <f>SUM(D25:D26)</f>
      </c>
      <c r="E27" s="51">
        <f>SUM(E25:E26)</f>
      </c>
      <c r="F27" s="51">
        <f>SUM(F25:F26)</f>
      </c>
      <c r="G27" s="51">
        <f>SUM(G25:G26)</f>
      </c>
      <c r="H27" s="51">
        <f>SUM(H25:H26)</f>
      </c>
      <c r="I27" s="51">
        <f>SUM(I25:I26)</f>
      </c>
      <c r="J27" s="51">
        <f>SUM(J25:J26)</f>
      </c>
      <c r="K27" s="51">
        <f>SUM(K25:K26)</f>
      </c>
      <c r="L27" s="66">
        <f>SUM(L25:L26)</f>
      </c>
      <c r="M27" s="51">
        <f>SUM(M25:M26)</f>
      </c>
      <c r="N27" s="51">
        <f>SUM(N25:N26)</f>
      </c>
      <c r="O27" s="52">
        <f t="shared" si="25"/>
      </c>
      <c r="P27" s="53">
        <f t="shared" si="44"/>
      </c>
      <c r="Q27" s="54">
        <f t="shared" si="46"/>
      </c>
      <c r="R27" s="55"/>
      <c r="S27" s="56">
        <f>SUM(S25:S26)</f>
      </c>
      <c r="T27" s="57">
        <f t="shared" si="0"/>
      </c>
      <c r="U27" s="57">
        <f t="shared" si="9"/>
      </c>
      <c r="V27" s="57">
        <f t="shared" si="27"/>
      </c>
    </row>
    <row r="28">
      <c r="A28" s="61" t="s">
        <v>105</v>
      </c>
      <c r="B28" s="44" t="s">
        <v>80</v>
      </c>
      <c r="C28" s="43" t="s">
        <v>81</v>
      </c>
      <c r="D28" s="43">
        <v>4</v>
      </c>
      <c r="E28" s="43">
        <v>53</v>
      </c>
      <c r="F28" s="43">
        <v>17</v>
      </c>
      <c r="G28" s="43">
        <v>0</v>
      </c>
      <c r="H28" s="43">
        <v>0</v>
      </c>
      <c r="I28" s="43">
        <v>2</v>
      </c>
      <c r="J28" s="62">
        <v>1896</v>
      </c>
      <c r="K28" s="63">
        <v>15</v>
      </c>
      <c r="L28" s="67">
        <v>33832</v>
      </c>
      <c r="M28" s="44">
        <f t="shared" ref="M28:M29" si="7">H28+J28+L28</f>
      </c>
      <c r="N28" s="44">
        <v>17792.139999999996</v>
      </c>
      <c r="O28" s="45">
        <f t="shared" si="25"/>
      </c>
      <c r="P28" s="45">
        <f t="shared" si="44"/>
      </c>
      <c r="Q28" s="46">
        <f t="shared" si="46"/>
      </c>
      <c r="R28" s="47" t="s">
        <v>96</v>
      </c>
      <c r="S28" s="43">
        <v>5</v>
      </c>
      <c r="T28" s="48">
        <f t="shared" si="0"/>
      </c>
      <c r="U28" s="48">
        <f t="shared" si="9"/>
      </c>
      <c r="V28" s="48">
        <f t="shared" si="27"/>
      </c>
    </row>
    <row r="29">
      <c r="A29" s="61" t="s">
        <v>105</v>
      </c>
      <c r="B29" s="44" t="s">
        <v>98</v>
      </c>
      <c r="C29" s="43" t="s">
        <v>95</v>
      </c>
      <c r="D29" s="43">
        <v>1</v>
      </c>
      <c r="E29" s="43">
        <v>4</v>
      </c>
      <c r="F29" s="43">
        <v>2</v>
      </c>
      <c r="G29" s="43">
        <v>0</v>
      </c>
      <c r="H29" s="43">
        <v>0</v>
      </c>
      <c r="I29" s="43">
        <v>0</v>
      </c>
      <c r="J29" s="43">
        <v>0</v>
      </c>
      <c r="K29" s="63">
        <v>2</v>
      </c>
      <c r="L29" s="67">
        <v>4348</v>
      </c>
      <c r="M29" s="44">
        <f t="shared" si="7"/>
      </c>
      <c r="N29" s="43">
        <v>3918.75</v>
      </c>
      <c r="O29" s="45">
        <f t="shared" si="25"/>
      </c>
      <c r="P29" s="45">
        <f t="shared" si="44"/>
      </c>
      <c r="Q29" s="46">
        <f t="shared" si="46"/>
      </c>
      <c r="R29" s="47"/>
      <c r="S29" s="43"/>
      <c r="T29" s="48">
        <f t="shared" si="0"/>
      </c>
      <c r="U29" s="48">
        <f t="shared" si="9"/>
      </c>
      <c r="V29" s="48">
        <f t="shared" si="27"/>
      </c>
    </row>
    <row r="30">
      <c r="A30" s="65" t="s">
        <v>105</v>
      </c>
      <c r="B30" s="50" t="s">
        <v>85</v>
      </c>
      <c r="C30" s="51"/>
      <c r="D30" s="51">
        <f>SUM(D28:D29)</f>
      </c>
      <c r="E30" s="51">
        <f>SUM(E28:E29)</f>
      </c>
      <c r="F30" s="51">
        <f>SUM(F28:F29)</f>
      </c>
      <c r="G30" s="51">
        <f>SUM(G28:G29)</f>
      </c>
      <c r="H30" s="51">
        <f>SUM(H28:H29)</f>
      </c>
      <c r="I30" s="51">
        <f>SUM(I28:I29)</f>
      </c>
      <c r="J30" s="51">
        <f>SUM(J28:J29)</f>
      </c>
      <c r="K30" s="51">
        <f>SUM(K28:K29)</f>
      </c>
      <c r="L30" s="66">
        <f>SUM(L28:L29)</f>
      </c>
      <c r="M30" s="51">
        <f>SUM(M28:M29)</f>
      </c>
      <c r="N30" s="51">
        <f>SUM(N28:N29)</f>
      </c>
      <c r="O30" s="52">
        <f t="shared" si="25"/>
      </c>
      <c r="P30" s="53">
        <f t="shared" si="44"/>
      </c>
      <c r="Q30" s="54">
        <f t="shared" si="46"/>
      </c>
      <c r="R30" s="55"/>
      <c r="S30" s="56">
        <f>SUM(S28:S29)</f>
      </c>
      <c r="T30" s="57">
        <f t="shared" si="0"/>
      </c>
      <c r="U30" s="57">
        <f t="shared" si="9"/>
      </c>
      <c r="V30" s="57">
        <f t="shared" si="27"/>
      </c>
    </row>
    <row r="31">
      <c r="A31" s="61" t="s">
        <v>106</v>
      </c>
      <c r="B31" s="44" t="s">
        <v>80</v>
      </c>
      <c r="C31" s="43" t="s">
        <v>87</v>
      </c>
      <c r="D31" s="43">
        <v>5</v>
      </c>
      <c r="E31" s="43">
        <v>50</v>
      </c>
      <c r="F31" s="43">
        <v>13</v>
      </c>
      <c r="G31" s="43">
        <v>0</v>
      </c>
      <c r="H31" s="43">
        <v>0</v>
      </c>
      <c r="I31" s="43">
        <v>0</v>
      </c>
      <c r="J31" s="68">
        <v>0</v>
      </c>
      <c r="K31" s="63">
        <v>13</v>
      </c>
      <c r="L31" s="67">
        <v>29484</v>
      </c>
      <c r="M31" s="44">
        <f t="shared" ref="M31:M32" si="8">H31+J31+L31</f>
      </c>
      <c r="N31" s="44">
        <v>17137.05</v>
      </c>
      <c r="O31" s="45">
        <f t="shared" si="25"/>
      </c>
      <c r="P31" s="45">
        <f t="shared" si="44"/>
      </c>
      <c r="Q31" s="46">
        <f t="shared" si="46"/>
      </c>
      <c r="R31" s="47" t="s">
        <v>107</v>
      </c>
      <c r="S31" s="43">
        <v>8</v>
      </c>
      <c r="T31" s="48">
        <f t="shared" si="0"/>
      </c>
      <c r="U31" s="48">
        <f t="shared" si="9"/>
      </c>
      <c r="V31" s="48">
        <f t="shared" si="27"/>
      </c>
    </row>
    <row r="32">
      <c r="A32" s="61" t="s">
        <v>106</v>
      </c>
      <c r="B32" s="44" t="s">
        <v>83</v>
      </c>
      <c r="C32" s="43" t="s">
        <v>108</v>
      </c>
      <c r="D32" s="43">
        <v>3</v>
      </c>
      <c r="E32" s="43">
        <v>22</v>
      </c>
      <c r="F32" s="43">
        <v>8</v>
      </c>
      <c r="G32" s="43">
        <v>1</v>
      </c>
      <c r="H32" s="43">
        <v>468</v>
      </c>
      <c r="I32" s="43">
        <v>2</v>
      </c>
      <c r="J32" s="43">
        <v>1896</v>
      </c>
      <c r="K32" s="63">
        <v>5</v>
      </c>
      <c r="L32" s="67">
        <v>11340</v>
      </c>
      <c r="M32" s="44">
        <f t="shared" si="8"/>
      </c>
      <c r="N32" s="43">
        <v>8666.78</v>
      </c>
      <c r="O32" s="45">
        <f t="shared" si="25"/>
      </c>
      <c r="P32" s="45">
        <f t="shared" si="44"/>
      </c>
      <c r="Q32" s="46">
        <f t="shared" si="46"/>
      </c>
      <c r="R32" s="47"/>
      <c r="S32" s="43"/>
      <c r="T32" s="48">
        <f t="shared" si="0"/>
      </c>
      <c r="U32" s="48">
        <f t="shared" si="9"/>
      </c>
      <c r="V32" s="48">
        <f t="shared" si="27"/>
      </c>
    </row>
    <row r="33">
      <c r="A33" s="65" t="s">
        <v>106</v>
      </c>
      <c r="B33" s="50" t="s">
        <v>85</v>
      </c>
      <c r="C33" s="51"/>
      <c r="D33" s="51">
        <f>SUM(D31:D32)</f>
      </c>
      <c r="E33" s="51">
        <f>SUM(E31:E32)</f>
      </c>
      <c r="F33" s="51">
        <f>SUM(F31:F32)</f>
      </c>
      <c r="G33" s="51">
        <f>SUM(G31:G32)</f>
      </c>
      <c r="H33" s="51">
        <f>SUM(H31:H32)</f>
      </c>
      <c r="I33" s="51">
        <f>SUM(I31:I32)</f>
      </c>
      <c r="J33" s="51">
        <f>SUM(J31:J32)</f>
      </c>
      <c r="K33" s="51">
        <f>SUM(K31:K32)</f>
      </c>
      <c r="L33" s="66">
        <f>SUM(L31:L32)</f>
      </c>
      <c r="M33" s="51">
        <f>SUM(M31:M32)</f>
      </c>
      <c r="N33" s="51">
        <f>SUM(N31:N32)</f>
      </c>
      <c r="O33" s="52">
        <f t="shared" si="25"/>
      </c>
      <c r="P33" s="53">
        <f t="shared" si="44"/>
      </c>
      <c r="Q33" s="54">
        <f t="shared" si="46"/>
      </c>
      <c r="R33" s="55"/>
      <c r="S33" s="56">
        <f>SUM(S31:S32)</f>
      </c>
      <c r="T33" s="57">
        <f t="shared" si="0"/>
      </c>
      <c r="U33" s="57">
        <f t="shared" si="9"/>
      </c>
      <c r="V33" s="57">
        <f t="shared" si="27"/>
      </c>
    </row>
    <row r="34">
      <c r="A34" s="61" t="s">
        <v>109</v>
      </c>
      <c r="B34" s="44" t="s">
        <v>80</v>
      </c>
      <c r="C34" s="43" t="s">
        <v>103</v>
      </c>
      <c r="D34" s="43">
        <v>3</v>
      </c>
      <c r="E34" s="43">
        <v>25</v>
      </c>
      <c r="F34" s="43">
        <v>11</v>
      </c>
      <c r="G34" s="43">
        <v>0</v>
      </c>
      <c r="H34" s="43">
        <v>0</v>
      </c>
      <c r="I34" s="43">
        <v>5</v>
      </c>
      <c r="J34" s="43">
        <v>4661</v>
      </c>
      <c r="K34" s="43">
        <v>6</v>
      </c>
      <c r="L34" s="67">
        <v>13608</v>
      </c>
      <c r="M34" s="44">
        <v>18269</v>
      </c>
      <c r="N34" s="44">
        <v>12747.7</v>
      </c>
      <c r="O34" s="45">
        <f t="shared" si="25"/>
      </c>
      <c r="P34" s="45">
        <f t="shared" si="44"/>
      </c>
      <c r="Q34" s="46">
        <f t="shared" si="46"/>
      </c>
      <c r="R34" s="47" t="s">
        <v>82</v>
      </c>
      <c r="S34" s="43">
        <v>4</v>
      </c>
      <c r="T34" s="48">
        <f t="shared" si="0"/>
      </c>
      <c r="U34" s="48">
        <f t="shared" si="9"/>
      </c>
      <c r="V34" s="48">
        <f t="shared" si="27"/>
      </c>
    </row>
    <row customHeight="true" ht="16.071428571428573" r="35">
      <c r="A35" s="61" t="s">
        <v>109</v>
      </c>
      <c r="B35" s="44" t="s">
        <v>83</v>
      </c>
      <c r="C35" s="43" t="s">
        <v>110</v>
      </c>
      <c r="D35" s="43">
        <v>3</v>
      </c>
      <c r="E35" s="43">
        <v>41</v>
      </c>
      <c r="F35" s="43">
        <v>13</v>
      </c>
      <c r="G35" s="43">
        <v>1</v>
      </c>
      <c r="H35" s="43">
        <v>468</v>
      </c>
      <c r="I35" s="43">
        <v>0</v>
      </c>
      <c r="J35" s="43">
        <v>0</v>
      </c>
      <c r="K35" s="43">
        <v>11</v>
      </c>
      <c r="L35" s="67">
        <v>20580</v>
      </c>
      <c r="M35" s="44">
        <v>25208</v>
      </c>
      <c r="N35" s="44">
        <v>12811.05</v>
      </c>
      <c r="O35" s="45">
        <f t="shared" si="25"/>
      </c>
      <c r="P35" s="45">
        <f t="shared" si="44"/>
      </c>
      <c r="Q35" s="46">
        <f t="shared" si="46"/>
      </c>
      <c r="R35" s="47" t="s">
        <v>111</v>
      </c>
      <c r="S35" s="43">
        <v>2</v>
      </c>
      <c r="T35" s="48">
        <f t="shared" si="0"/>
      </c>
      <c r="U35" s="48">
        <f t="shared" si="9"/>
      </c>
      <c r="V35" s="48">
        <f t="shared" si="27"/>
      </c>
    </row>
    <row r="36">
      <c r="A36" s="65" t="s">
        <v>109</v>
      </c>
      <c r="B36" s="50" t="s">
        <v>85</v>
      </c>
      <c r="C36" s="51"/>
      <c r="D36" s="51">
        <f>SUM(D34:D35)</f>
      </c>
      <c r="E36" s="51">
        <f>SUM(E34:E35)</f>
      </c>
      <c r="F36" s="51">
        <f>SUM(F34:F35)</f>
      </c>
      <c r="G36" s="51">
        <f>SUM(G34:G35)</f>
      </c>
      <c r="H36" s="51">
        <f>SUM(H34:H35)</f>
      </c>
      <c r="I36" s="51">
        <f>SUM(I34:I35)</f>
      </c>
      <c r="J36" s="51">
        <f>SUM(J34:J35)</f>
      </c>
      <c r="K36" s="51">
        <f>SUM(K34:K35)</f>
      </c>
      <c r="L36" s="51">
        <f>SUM(L34:L35)</f>
      </c>
      <c r="M36" s="51">
        <f>SUM(M34:M35)</f>
      </c>
      <c r="N36" s="51">
        <f>SUM(N34:N35)</f>
      </c>
      <c r="O36" s="52">
        <f t="shared" si="25"/>
      </c>
      <c r="P36" s="53">
        <f t="shared" si="44"/>
      </c>
      <c r="Q36" s="54">
        <f t="shared" si="46"/>
      </c>
      <c r="R36" s="55"/>
      <c r="S36" s="56">
        <f>SUM(S34:S35)</f>
      </c>
      <c r="T36" s="57">
        <f t="shared" si="0"/>
      </c>
      <c r="U36" s="57">
        <f t="shared" si="9"/>
      </c>
      <c r="V36" s="57">
        <f t="shared" si="27"/>
      </c>
    </row>
    <row r="37">
      <c r="A37" s="61" t="s">
        <v>112</v>
      </c>
      <c r="B37" s="44" t="s">
        <v>80</v>
      </c>
      <c r="C37" s="43" t="s">
        <v>81</v>
      </c>
      <c r="D37" s="43">
        <v>4</v>
      </c>
      <c r="E37" s="43">
        <v>59</v>
      </c>
      <c r="F37" s="43">
        <v>11</v>
      </c>
      <c r="G37" s="43">
        <v>0</v>
      </c>
      <c r="H37" s="43">
        <v>0</v>
      </c>
      <c r="I37" s="43">
        <v>0</v>
      </c>
      <c r="J37" s="43">
        <v>0</v>
      </c>
      <c r="K37" s="43">
        <v>11</v>
      </c>
      <c r="L37" s="67">
        <v>24760</v>
      </c>
      <c r="M37" s="44">
        <v>24760</v>
      </c>
      <c r="N37" s="44">
        <v>17293.65</v>
      </c>
      <c r="O37" s="45">
        <f t="shared" si="25"/>
      </c>
      <c r="P37" s="45">
        <f t="shared" si="44"/>
      </c>
      <c r="Q37" s="46">
        <f t="shared" si="46"/>
      </c>
      <c r="R37" s="47" t="s">
        <v>113</v>
      </c>
      <c r="S37" s="43">
        <v>4</v>
      </c>
      <c r="T37" s="48">
        <f t="shared" si="0"/>
      </c>
      <c r="U37" s="48">
        <f t="shared" si="9"/>
      </c>
      <c r="V37" s="48">
        <f t="shared" si="27"/>
      </c>
    </row>
    <row r="38">
      <c r="A38" s="65" t="s">
        <v>112</v>
      </c>
      <c r="B38" s="50" t="s">
        <v>85</v>
      </c>
      <c r="C38" s="51"/>
      <c r="D38" s="51">
        <f>SUM(D37)</f>
      </c>
      <c r="E38" s="51">
        <f>SUM(E37)</f>
      </c>
      <c r="F38" s="51">
        <f>SUM(F37)</f>
      </c>
      <c r="G38" s="51">
        <f>SUM(G37)</f>
      </c>
      <c r="H38" s="51">
        <f>SUM(H37)</f>
      </c>
      <c r="I38" s="51">
        <f>SUM(I37)</f>
      </c>
      <c r="J38" s="51">
        <f>SUM(J37)</f>
      </c>
      <c r="K38" s="51">
        <f>SUM(K37)</f>
      </c>
      <c r="L38" s="51">
        <f>SUM(L37)</f>
      </c>
      <c r="M38" s="51">
        <f>SUM(M37)</f>
      </c>
      <c r="N38" s="51">
        <f>SUM(N37)</f>
      </c>
      <c r="O38" s="52">
        <f t="shared" si="25"/>
      </c>
      <c r="P38" s="53">
        <f t="shared" si="44"/>
      </c>
      <c r="Q38" s="54">
        <f t="shared" si="46"/>
      </c>
      <c r="R38" s="55"/>
      <c r="S38" s="56">
        <f>SUM(S37)</f>
      </c>
      <c r="T38" s="57">
        <f t="shared" si="0"/>
      </c>
      <c r="U38" s="57">
        <f t="shared" si="9"/>
      </c>
      <c r="V38" s="57">
        <f t="shared" si="27"/>
      </c>
    </row>
    <row r="39">
      <c r="A39" s="61" t="s">
        <v>114</v>
      </c>
      <c r="B39" s="44" t="s">
        <v>80</v>
      </c>
      <c r="C39" s="43" t="s">
        <v>81</v>
      </c>
      <c r="D39" s="43">
        <v>4</v>
      </c>
      <c r="E39" s="43">
        <v>32</v>
      </c>
      <c r="F39" s="43">
        <v>7</v>
      </c>
      <c r="G39" s="43">
        <v>1</v>
      </c>
      <c r="H39" s="43">
        <v>468</v>
      </c>
      <c r="I39" s="43">
        <v>1</v>
      </c>
      <c r="J39" s="43">
        <v>948</v>
      </c>
      <c r="K39" s="43">
        <v>5</v>
      </c>
      <c r="L39" s="67">
        <v>11340</v>
      </c>
      <c r="M39" s="44">
        <v>12756</v>
      </c>
      <c r="N39" s="44">
        <v>12456.3</v>
      </c>
      <c r="O39" s="45">
        <f t="shared" si="25"/>
      </c>
      <c r="P39" s="45">
        <f t="shared" si="44"/>
      </c>
      <c r="Q39" s="46">
        <f t="shared" si="46"/>
      </c>
      <c r="R39" s="47" t="s">
        <v>113</v>
      </c>
      <c r="S39" s="43">
        <v>4</v>
      </c>
      <c r="T39" s="48">
        <f t="shared" si="0"/>
      </c>
      <c r="U39" s="48">
        <f t="shared" si="9"/>
      </c>
      <c r="V39" s="48">
        <f t="shared" si="27"/>
      </c>
    </row>
    <row r="40">
      <c r="A40" s="65" t="s">
        <v>114</v>
      </c>
      <c r="B40" s="50" t="s">
        <v>85</v>
      </c>
      <c r="C40" s="51"/>
      <c r="D40" s="51">
        <f>SUM(D39)</f>
      </c>
      <c r="E40" s="51">
        <f>SUM(E39)</f>
      </c>
      <c r="F40" s="51">
        <f>SUM(F39)</f>
      </c>
      <c r="G40" s="51">
        <f>SUM(G39)</f>
      </c>
      <c r="H40" s="51">
        <f>SUM(H39)</f>
      </c>
      <c r="I40" s="51">
        <f>SUM(I39)</f>
      </c>
      <c r="J40" s="51">
        <f>SUM(J39)</f>
      </c>
      <c r="K40" s="51">
        <f>SUM(K39)</f>
      </c>
      <c r="L40" s="51">
        <f>SUM(L39)</f>
      </c>
      <c r="M40" s="51">
        <f>SUM(M39)</f>
      </c>
      <c r="N40" s="51">
        <f>SUM(N39)</f>
      </c>
      <c r="O40" s="52">
        <f t="shared" si="25"/>
      </c>
      <c r="P40" s="53">
        <f t="shared" si="44"/>
      </c>
      <c r="Q40" s="54">
        <f t="shared" si="46"/>
      </c>
      <c r="R40" s="55"/>
      <c r="S40" s="56">
        <f>SUM(S39)</f>
      </c>
      <c r="T40" s="57">
        <f t="shared" si="0"/>
      </c>
      <c r="U40" s="57">
        <f t="shared" si="9"/>
      </c>
      <c r="V40" s="57">
        <f t="shared" si="27"/>
      </c>
    </row>
    <row r="41">
      <c r="A41" s="61" t="s">
        <v>115</v>
      </c>
      <c r="B41" s="44" t="s">
        <v>80</v>
      </c>
      <c r="C41" s="43" t="s">
        <v>81</v>
      </c>
      <c r="D41" s="43">
        <v>4</v>
      </c>
      <c r="E41" s="43">
        <v>33</v>
      </c>
      <c r="F41" s="43">
        <v>11</v>
      </c>
      <c r="G41" s="43">
        <v>0</v>
      </c>
      <c r="H41" s="43">
        <v>0</v>
      </c>
      <c r="I41" s="43">
        <v>5</v>
      </c>
      <c r="J41" s="43">
        <v>4260</v>
      </c>
      <c r="K41" s="43">
        <v>6</v>
      </c>
      <c r="L41" s="67">
        <v>14076</v>
      </c>
      <c r="M41" s="44">
        <v>18348</v>
      </c>
      <c r="N41" s="44">
        <v>12757.419999999998</v>
      </c>
      <c r="O41" s="45">
        <f t="shared" si="25"/>
      </c>
      <c r="P41" s="45">
        <f t="shared" si="44"/>
      </c>
      <c r="Q41" s="46">
        <f t="shared" si="46"/>
      </c>
      <c r="R41" s="47" t="s">
        <v>113</v>
      </c>
      <c r="S41" s="43">
        <v>5</v>
      </c>
      <c r="T41" s="48">
        <f t="shared" si="0"/>
      </c>
      <c r="U41" s="48">
        <f t="shared" si="9"/>
      </c>
      <c r="V41" s="48">
        <f t="shared" si="27"/>
      </c>
    </row>
    <row r="42">
      <c r="A42" s="61" t="s">
        <v>115</v>
      </c>
      <c r="B42" s="44" t="s">
        <v>83</v>
      </c>
      <c r="C42" s="43" t="s">
        <v>95</v>
      </c>
      <c r="D42" s="43">
        <v>1</v>
      </c>
      <c r="E42" s="43">
        <v>6</v>
      </c>
      <c r="F42" s="43">
        <v>1</v>
      </c>
      <c r="G42" s="43">
        <v>1</v>
      </c>
      <c r="H42" s="43">
        <v>468</v>
      </c>
      <c r="I42" s="43">
        <v>0</v>
      </c>
      <c r="J42" s="43">
        <v>0</v>
      </c>
      <c r="K42" s="43">
        <v>0</v>
      </c>
      <c r="L42" s="67">
        <v>0</v>
      </c>
      <c r="M42" s="44">
        <v>468</v>
      </c>
      <c r="N42" s="44">
        <v>2831.65</v>
      </c>
      <c r="O42" s="45">
        <f t="shared" si="25"/>
      </c>
      <c r="P42" s="45">
        <f t="shared" si="44"/>
      </c>
      <c r="Q42" s="46">
        <f t="shared" si="46"/>
      </c>
      <c r="R42" s="47"/>
      <c r="S42" s="43"/>
      <c r="T42" s="48">
        <f t="shared" si="0"/>
      </c>
      <c r="U42" s="48">
        <f t="shared" si="9"/>
      </c>
      <c r="V42" s="48">
        <f t="shared" si="27"/>
      </c>
    </row>
    <row r="43">
      <c r="A43" s="65" t="s">
        <v>115</v>
      </c>
      <c r="B43" s="50" t="s">
        <v>85</v>
      </c>
      <c r="C43" s="51"/>
      <c r="D43" s="51">
        <f>SUM(D41:D42)</f>
      </c>
      <c r="E43" s="51">
        <f>SUM(E41:E42)</f>
      </c>
      <c r="F43" s="51">
        <f>SUM(F41:F42)</f>
      </c>
      <c r="G43" s="51">
        <f>SUM(G41:G42)</f>
      </c>
      <c r="H43" s="51">
        <f>SUM(H41:H42)</f>
      </c>
      <c r="I43" s="51">
        <f>SUM(I41:I42)</f>
      </c>
      <c r="J43" s="51">
        <f>SUM(J41:J42)</f>
      </c>
      <c r="K43" s="51">
        <f>SUM(K41:K42)</f>
      </c>
      <c r="L43" s="51">
        <f>SUM(L41:L42)</f>
      </c>
      <c r="M43" s="51">
        <f>SUM(M41:M42)</f>
      </c>
      <c r="N43" s="51">
        <f>SUM(N41:N42)</f>
      </c>
      <c r="O43" s="52">
        <f t="shared" si="25"/>
      </c>
      <c r="P43" s="53">
        <f t="shared" si="44"/>
      </c>
      <c r="Q43" s="54">
        <f t="shared" si="46"/>
      </c>
      <c r="R43" s="55"/>
      <c r="S43" s="56">
        <f>SUM(S41:S42)</f>
      </c>
      <c r="T43" s="57">
        <f t="shared" si="0"/>
      </c>
      <c r="U43" s="57">
        <f t="shared" si="9"/>
      </c>
      <c r="V43" s="57">
        <f t="shared" si="27"/>
      </c>
    </row>
    <row r="44">
      <c r="A44" s="61" t="s">
        <v>116</v>
      </c>
      <c r="B44" s="44" t="s">
        <v>80</v>
      </c>
      <c r="C44" s="43" t="s">
        <v>81</v>
      </c>
      <c r="D44" s="43">
        <v>4</v>
      </c>
      <c r="E44" s="43">
        <v>40</v>
      </c>
      <c r="F44" s="43">
        <v>7</v>
      </c>
      <c r="G44" s="43">
        <v>1</v>
      </c>
      <c r="H44" s="43">
        <v>468</v>
      </c>
      <c r="I44" s="43">
        <v>0</v>
      </c>
      <c r="J44" s="43">
        <v>0</v>
      </c>
      <c r="K44" s="43">
        <v>6</v>
      </c>
      <c r="L44" s="69">
        <v>13608</v>
      </c>
      <c r="M44" s="44">
        <f t="shared" ref="M44:M45" si="28">L44+J44+H44</f>
      </c>
      <c r="N44" s="44">
        <v>13210.35</v>
      </c>
      <c r="O44" s="45">
        <f t="shared" si="25"/>
      </c>
      <c r="P44" s="45">
        <f t="shared" si="44"/>
      </c>
      <c r="Q44" s="46">
        <f t="shared" si="46"/>
      </c>
      <c r="R44" s="47" t="s">
        <v>96</v>
      </c>
      <c r="S44" s="43">
        <v>7</v>
      </c>
      <c r="T44" s="48">
        <f t="shared" si="0"/>
      </c>
      <c r="U44" s="48">
        <f t="shared" si="9"/>
      </c>
      <c r="V44" s="48">
        <f t="shared" si="27"/>
      </c>
    </row>
    <row r="45">
      <c r="A45" s="61" t="s">
        <v>116</v>
      </c>
      <c r="B45" s="44" t="s">
        <v>83</v>
      </c>
      <c r="C45" s="43" t="s">
        <v>84</v>
      </c>
      <c r="D45" s="43">
        <v>3</v>
      </c>
      <c r="E45" s="43">
        <v>23</v>
      </c>
      <c r="F45" s="43">
        <v>7</v>
      </c>
      <c r="G45" s="43">
        <v>0</v>
      </c>
      <c r="H45" s="70">
        <f>39*12*G45</f>
      </c>
      <c r="I45" s="43">
        <v>0</v>
      </c>
      <c r="J45" s="70">
        <f>79*12*I45</f>
      </c>
      <c r="K45" s="63">
        <v>7</v>
      </c>
      <c r="L45" s="67">
        <v>15688</v>
      </c>
      <c r="M45" s="44">
        <f t="shared" si="28"/>
      </c>
      <c r="N45" s="44">
        <v>9534.58</v>
      </c>
      <c r="O45" s="45">
        <f t="shared" si="25"/>
      </c>
      <c r="P45" s="45">
        <f t="shared" si="44"/>
      </c>
      <c r="Q45" s="46">
        <f t="shared" si="46"/>
      </c>
      <c r="R45" s="47"/>
      <c r="S45" s="43"/>
      <c r="T45" s="48">
        <f t="shared" si="0"/>
      </c>
      <c r="U45" s="48">
        <f t="shared" si="9"/>
      </c>
      <c r="V45" s="48">
        <f t="shared" si="27"/>
      </c>
    </row>
    <row r="46">
      <c r="A46" s="65" t="s">
        <v>116</v>
      </c>
      <c r="B46" s="50" t="s">
        <v>85</v>
      </c>
      <c r="C46" s="51"/>
      <c r="D46" s="51">
        <f>SUM(D44:D45)</f>
      </c>
      <c r="E46" s="51">
        <f>SUM(E44:E45)</f>
      </c>
      <c r="F46" s="51">
        <f>SUM(F44:F45)</f>
      </c>
      <c r="G46" s="51">
        <f>SUM(G44:G45)</f>
      </c>
      <c r="H46" s="51">
        <f>SUM(H44:H45)</f>
      </c>
      <c r="I46" s="51">
        <f>SUM(I44:I45)</f>
      </c>
      <c r="J46" s="51">
        <f>SUM(J44:J45)</f>
      </c>
      <c r="K46" s="51">
        <f>SUM(K44:K45)</f>
      </c>
      <c r="L46" s="66">
        <f>SUM(L44:L45)</f>
      </c>
      <c r="M46" s="51">
        <f>SUM(M44:M45)</f>
      </c>
      <c r="N46" s="51">
        <f>SUM(N44:N45)</f>
      </c>
      <c r="O46" s="52">
        <f t="shared" si="25"/>
      </c>
      <c r="P46" s="53">
        <f t="shared" si="44"/>
      </c>
      <c r="Q46" s="54">
        <f t="shared" si="46"/>
      </c>
      <c r="R46" s="55"/>
      <c r="S46" s="56">
        <f>SUM(S44:S45)</f>
      </c>
      <c r="T46" s="57">
        <f t="shared" si="0"/>
      </c>
      <c r="U46" s="57">
        <f t="shared" si="9"/>
      </c>
      <c r="V46" s="57">
        <f t="shared" si="27"/>
      </c>
    </row>
    <row r="47">
      <c r="A47" s="61" t="s">
        <v>117</v>
      </c>
      <c r="B47" s="44" t="s">
        <v>80</v>
      </c>
      <c r="C47" s="43" t="s">
        <v>81</v>
      </c>
      <c r="D47" s="43">
        <v>4</v>
      </c>
      <c r="E47" s="43">
        <v>42</v>
      </c>
      <c r="F47" s="43">
        <v>15</v>
      </c>
      <c r="G47" s="63">
        <v>1</v>
      </c>
      <c r="H47" s="71">
        <v>429</v>
      </c>
      <c r="I47" s="44">
        <v>5</v>
      </c>
      <c r="J47" s="43">
        <f>79*12*I47+869</f>
      </c>
      <c r="K47" s="43">
        <v>8</v>
      </c>
      <c r="L47" s="69">
        <f t="shared" ref="L47:L48" si="18">189*12*K47</f>
      </c>
      <c r="M47" s="44">
        <f t="shared" ref="M47:M48" si="29">L47+J47+H47</f>
      </c>
      <c r="N47" s="44">
        <v>13953.55</v>
      </c>
      <c r="O47" s="45">
        <f t="shared" si="25"/>
      </c>
      <c r="P47" s="45">
        <f t="shared" si="44"/>
      </c>
      <c r="Q47" s="46">
        <f t="shared" si="46"/>
      </c>
      <c r="R47" s="47" t="s">
        <v>96</v>
      </c>
      <c r="S47" s="43">
        <v>8</v>
      </c>
      <c r="T47" s="48">
        <f t="shared" si="0"/>
      </c>
      <c r="U47" s="48">
        <f t="shared" si="9"/>
      </c>
      <c r="V47" s="48">
        <f t="shared" si="27"/>
      </c>
    </row>
    <row r="48">
      <c r="A48" s="61" t="s">
        <v>117</v>
      </c>
      <c r="B48" s="44" t="s">
        <v>83</v>
      </c>
      <c r="C48" s="43" t="s">
        <v>91</v>
      </c>
      <c r="D48" s="43">
        <v>4</v>
      </c>
      <c r="E48" s="43">
        <v>46</v>
      </c>
      <c r="F48" s="43">
        <v>15</v>
      </c>
      <c r="G48" s="63">
        <v>2</v>
      </c>
      <c r="H48" s="72">
        <f>429+468</f>
      </c>
      <c r="I48" s="44">
        <v>2</v>
      </c>
      <c r="J48" s="43">
        <f>79*12*I48</f>
      </c>
      <c r="K48" s="63">
        <v>11</v>
      </c>
      <c r="L48" s="67">
        <f t="shared" si="18"/>
      </c>
      <c r="M48" s="44">
        <f t="shared" si="29"/>
      </c>
      <c r="N48" s="44">
        <v>16930.62</v>
      </c>
      <c r="O48" s="45">
        <f t="shared" si="25"/>
      </c>
      <c r="P48" s="45">
        <f t="shared" si="44"/>
      </c>
      <c r="Q48" s="46">
        <f t="shared" si="46"/>
      </c>
      <c r="R48" s="47"/>
      <c r="S48" s="43"/>
      <c r="T48" s="48">
        <f t="shared" si="0"/>
      </c>
      <c r="U48" s="48">
        <f t="shared" si="9"/>
      </c>
      <c r="V48" s="48">
        <f t="shared" si="27"/>
      </c>
    </row>
    <row r="49">
      <c r="A49" s="65" t="s">
        <v>117</v>
      </c>
      <c r="B49" s="50" t="s">
        <v>85</v>
      </c>
      <c r="C49" s="51"/>
      <c r="D49" s="51">
        <f>SUM(D47:D48)</f>
      </c>
      <c r="E49" s="51">
        <f>SUM(E47:E48)</f>
      </c>
      <c r="F49" s="51">
        <f>SUM(F47:F48)</f>
      </c>
      <c r="G49" s="51">
        <f>SUM(G47:G48)</f>
      </c>
      <c r="H49" s="66">
        <f>SUM(H47:H48)</f>
      </c>
      <c r="I49" s="51">
        <f>SUM(I47:I48)</f>
      </c>
      <c r="J49" s="51">
        <f>SUM(J47:J48)</f>
      </c>
      <c r="K49" s="51">
        <f>SUM(K47:K48)</f>
      </c>
      <c r="L49" s="66">
        <f>SUM(L47:L48)</f>
      </c>
      <c r="M49" s="51">
        <f>SUM(M47:M48)</f>
      </c>
      <c r="N49" s="51">
        <f>SUM(N47:N48)</f>
      </c>
      <c r="O49" s="52">
        <f t="shared" si="25"/>
      </c>
      <c r="P49" s="53">
        <f t="shared" si="44"/>
      </c>
      <c r="Q49" s="54">
        <f t="shared" si="46"/>
      </c>
      <c r="R49" s="55"/>
      <c r="S49" s="56">
        <f>SUM(S47:S48)</f>
      </c>
      <c r="T49" s="57">
        <f t="shared" si="0"/>
      </c>
      <c r="U49" s="57">
        <f t="shared" si="9"/>
      </c>
      <c r="V49" s="57">
        <f t="shared" si="27"/>
      </c>
    </row>
    <row r="50">
      <c r="A50" s="61" t="s">
        <v>118</v>
      </c>
      <c r="B50" s="44" t="s">
        <v>80</v>
      </c>
      <c r="C50" s="43" t="s">
        <v>81</v>
      </c>
      <c r="D50" s="43">
        <v>4</v>
      </c>
      <c r="E50" s="43">
        <v>40</v>
      </c>
      <c r="F50" s="43">
        <v>16</v>
      </c>
      <c r="G50" s="63">
        <v>0</v>
      </c>
      <c r="H50" s="71">
        <f t="shared" ref="H50:H51" si="10">39*12*G50</f>
      </c>
      <c r="I50" s="44">
        <v>2</v>
      </c>
      <c r="J50" s="43">
        <f t="shared" ref="J50:J51" si="37">79*12*I50</f>
      </c>
      <c r="K50" s="43">
        <v>14</v>
      </c>
      <c r="L50" s="69">
        <f t="shared" ref="L50:L51" si="19">189*12*K50</f>
      </c>
      <c r="M50" s="44">
        <f>L50+J50+H50</f>
      </c>
      <c r="N50" s="44">
        <v>17963.600000000002</v>
      </c>
      <c r="O50" s="45">
        <f t="shared" si="25"/>
      </c>
      <c r="P50" s="45">
        <f t="shared" si="44"/>
      </c>
      <c r="Q50" s="46">
        <f t="shared" si="46"/>
      </c>
      <c r="R50" s="47" t="s">
        <v>96</v>
      </c>
      <c r="S50" s="43">
        <v>8</v>
      </c>
      <c r="T50" s="48">
        <f t="shared" si="0"/>
      </c>
      <c r="U50" s="48">
        <f t="shared" si="9"/>
      </c>
      <c r="V50" s="48">
        <f t="shared" si="27"/>
      </c>
    </row>
    <row r="51">
      <c r="A51" s="61" t="s">
        <v>118</v>
      </c>
      <c r="B51" s="44" t="s">
        <v>83</v>
      </c>
      <c r="C51" s="43" t="s">
        <v>91</v>
      </c>
      <c r="D51" s="43">
        <v>4</v>
      </c>
      <c r="E51" s="43">
        <v>35</v>
      </c>
      <c r="F51" s="43">
        <v>13</v>
      </c>
      <c r="G51" s="63">
        <v>0</v>
      </c>
      <c r="H51" s="71">
        <f t="shared" si="10"/>
      </c>
      <c r="I51" s="44">
        <v>2</v>
      </c>
      <c r="J51" s="43">
        <f t="shared" si="37"/>
      </c>
      <c r="K51" s="63">
        <v>8</v>
      </c>
      <c r="L51" s="67">
        <f t="shared" si="19"/>
      </c>
      <c r="M51" s="44">
        <f>L51+J51+H51+427.68</f>
      </c>
      <c r="N51" s="44">
        <v>14713.15</v>
      </c>
      <c r="O51" s="45">
        <f t="shared" si="25"/>
      </c>
      <c r="P51" s="45">
        <f t="shared" si="44"/>
      </c>
      <c r="Q51" s="46">
        <f t="shared" si="46"/>
      </c>
      <c r="R51" s="47"/>
      <c r="S51" s="43"/>
      <c r="T51" s="48">
        <f t="shared" si="0"/>
      </c>
      <c r="U51" s="48">
        <f t="shared" si="9"/>
      </c>
      <c r="V51" s="48">
        <f t="shared" si="27"/>
      </c>
    </row>
    <row r="52">
      <c r="A52" s="65" t="s">
        <v>118</v>
      </c>
      <c r="B52" s="50" t="s">
        <v>85</v>
      </c>
      <c r="C52" s="51"/>
      <c r="D52" s="51">
        <f>SUM(D50:D51)</f>
      </c>
      <c r="E52" s="51">
        <f>SUM(E50:E51)</f>
      </c>
      <c r="F52" s="51">
        <f>SUM(F50:F51)</f>
      </c>
      <c r="G52" s="51">
        <f>SUM(G50:G51)</f>
      </c>
      <c r="H52" s="66">
        <f>SUM(H50:H51)</f>
      </c>
      <c r="I52" s="51">
        <f>SUM(I50:I51)</f>
      </c>
      <c r="J52" s="51">
        <f>SUM(J50:J51)</f>
      </c>
      <c r="K52" s="51">
        <f>SUM(K50:K51)</f>
      </c>
      <c r="L52" s="66">
        <f>SUM(L50:L51)</f>
      </c>
      <c r="M52" s="51">
        <f>SUM(M50:M51)</f>
      </c>
      <c r="N52" s="51">
        <f>SUM(N50:N51)</f>
      </c>
      <c r="O52" s="52">
        <f t="shared" si="25"/>
      </c>
      <c r="P52" s="53">
        <f t="shared" si="44"/>
      </c>
      <c r="Q52" s="54">
        <f t="shared" si="46"/>
      </c>
      <c r="R52" s="55"/>
      <c r="S52" s="56">
        <f>SUM(S50:S51)</f>
      </c>
      <c r="T52" s="57">
        <f t="shared" si="0"/>
      </c>
      <c r="U52" s="57">
        <f t="shared" si="9"/>
      </c>
      <c r="V52" s="57">
        <f t="shared" si="27"/>
      </c>
    </row>
    <row r="53">
      <c r="A53" s="61" t="s">
        <v>119</v>
      </c>
      <c r="B53" s="44" t="s">
        <v>80</v>
      </c>
      <c r="C53" s="43" t="s">
        <v>81</v>
      </c>
      <c r="D53" s="43">
        <v>4</v>
      </c>
      <c r="E53" s="43">
        <v>32</v>
      </c>
      <c r="F53" s="43">
        <v>12</v>
      </c>
      <c r="G53" s="63">
        <v>1</v>
      </c>
      <c r="H53" s="72">
        <v>429</v>
      </c>
      <c r="I53" s="44">
        <v>3</v>
      </c>
      <c r="J53" s="43">
        <f>79*12*I53</f>
      </c>
      <c r="K53" s="43">
        <v>8</v>
      </c>
      <c r="L53" s="69">
        <f>189*12*K53</f>
      </c>
      <c r="M53" s="44">
        <f>L53+J53+H53</f>
      </c>
      <c r="N53" s="44">
        <v>13595.34</v>
      </c>
      <c r="O53" s="45">
        <f t="shared" si="25"/>
      </c>
      <c r="P53" s="45">
        <f t="shared" si="44"/>
      </c>
      <c r="Q53" s="46">
        <f t="shared" si="46"/>
      </c>
      <c r="R53" s="47" t="s">
        <v>96</v>
      </c>
      <c r="S53" s="43">
        <v>8</v>
      </c>
      <c r="T53" s="48">
        <f t="shared" si="0"/>
      </c>
      <c r="U53" s="48">
        <f t="shared" si="9"/>
      </c>
      <c r="V53" s="48">
        <f t="shared" si="27"/>
      </c>
    </row>
    <row r="54">
      <c r="A54" s="61" t="s">
        <v>119</v>
      </c>
      <c r="B54" s="44" t="s">
        <v>83</v>
      </c>
      <c r="C54" s="43" t="s">
        <v>91</v>
      </c>
      <c r="D54" s="43">
        <v>4</v>
      </c>
      <c r="E54" s="43">
        <v>44</v>
      </c>
      <c r="F54" s="43">
        <v>20</v>
      </c>
      <c r="G54" s="63">
        <v>0</v>
      </c>
      <c r="H54" s="71">
        <f>39*12*G54</f>
      </c>
      <c r="I54" s="44">
        <v>4</v>
      </c>
      <c r="J54" s="43">
        <f>79*12*I54-79</f>
      </c>
      <c r="K54" s="63">
        <v>14</v>
      </c>
      <c r="L54" s="67">
        <f>189*12*K54-188</f>
      </c>
      <c r="M54" s="44">
        <f>L54+J54+H54+108+500</f>
      </c>
      <c r="N54" s="44">
        <v>17865.010000000002</v>
      </c>
      <c r="O54" s="45">
        <f t="shared" si="25"/>
      </c>
      <c r="P54" s="45">
        <f t="shared" si="44"/>
      </c>
      <c r="Q54" s="46">
        <f t="shared" si="46"/>
      </c>
      <c r="R54" s="47"/>
      <c r="S54" s="43"/>
      <c r="T54" s="48">
        <f t="shared" si="0"/>
      </c>
      <c r="U54" s="48">
        <f t="shared" si="9"/>
      </c>
      <c r="V54" s="48">
        <f t="shared" si="27"/>
      </c>
    </row>
    <row r="55">
      <c r="A55" s="65" t="s">
        <v>119</v>
      </c>
      <c r="B55" s="50" t="s">
        <v>85</v>
      </c>
      <c r="C55" s="51"/>
      <c r="D55" s="51">
        <f>SUM(D53:D54)</f>
      </c>
      <c r="E55" s="51">
        <f>SUM(E53:E54)</f>
      </c>
      <c r="F55" s="51">
        <f>SUM(F53:F54)</f>
      </c>
      <c r="G55" s="51">
        <f>SUM(G53:G54)</f>
      </c>
      <c r="H55" s="66">
        <f>SUM(H53:H54)</f>
      </c>
      <c r="I55" s="51">
        <f>SUM(I53:I54)</f>
      </c>
      <c r="J55" s="51">
        <f>SUM(J53:J54)</f>
      </c>
      <c r="K55" s="51">
        <f>SUM(K53:K54)</f>
      </c>
      <c r="L55" s="66">
        <f>SUM(L53:L54)</f>
      </c>
      <c r="M55" s="51">
        <f>SUM(M53:M54)</f>
      </c>
      <c r="N55" s="51">
        <f>SUM(N53:N54)</f>
      </c>
      <c r="O55" s="52">
        <f t="shared" si="25"/>
      </c>
      <c r="P55" s="53">
        <f t="shared" si="44"/>
      </c>
      <c r="Q55" s="54">
        <f t="shared" si="46"/>
      </c>
      <c r="R55" s="55"/>
      <c r="S55" s="56">
        <f>SUM(S53:S54)</f>
      </c>
      <c r="T55" s="57">
        <f t="shared" si="0"/>
      </c>
      <c r="U55" s="57">
        <f t="shared" si="9"/>
      </c>
      <c r="V55" s="57">
        <f t="shared" si="27"/>
      </c>
    </row>
    <row r="56">
      <c r="A56" s="61" t="s">
        <v>120</v>
      </c>
      <c r="B56" s="73" t="s">
        <v>80</v>
      </c>
      <c r="C56" s="43" t="s">
        <v>81</v>
      </c>
      <c r="D56" s="43">
        <v>4</v>
      </c>
      <c r="E56" s="43">
        <v>37</v>
      </c>
      <c r="F56" s="43">
        <v>11</v>
      </c>
      <c r="G56" s="63">
        <v>0</v>
      </c>
      <c r="H56" s="71">
        <f t="shared" ref="H56:H57" si="11">39*12*G56</f>
      </c>
      <c r="I56" s="44">
        <v>2</v>
      </c>
      <c r="J56" s="43">
        <f t="shared" ref="J56:J57" si="38">79*12*I56</f>
      </c>
      <c r="K56" s="63">
        <v>9</v>
      </c>
      <c r="L56" s="67">
        <f t="shared" ref="L56:L57" si="20">189*12*K56</f>
      </c>
      <c r="M56" s="44">
        <f t="shared" ref="M56:M57" si="30">L56+J56+H56</f>
      </c>
      <c r="N56" s="44">
        <v>13578.33</v>
      </c>
      <c r="O56" s="45">
        <f t="shared" si="25"/>
      </c>
      <c r="P56" s="45">
        <f t="shared" si="44"/>
      </c>
      <c r="Q56" s="46">
        <f t="shared" si="46"/>
      </c>
      <c r="R56" s="47" t="s">
        <v>96</v>
      </c>
      <c r="S56" s="43">
        <v>6</v>
      </c>
      <c r="T56" s="48">
        <f t="shared" si="0"/>
      </c>
      <c r="U56" s="48">
        <f t="shared" si="9"/>
      </c>
      <c r="V56" s="48">
        <f t="shared" si="27"/>
      </c>
    </row>
    <row r="57">
      <c r="A57" s="61" t="s">
        <v>120</v>
      </c>
      <c r="B57" s="44" t="s">
        <v>83</v>
      </c>
      <c r="C57" s="43" t="s">
        <v>121</v>
      </c>
      <c r="D57" s="43">
        <v>2</v>
      </c>
      <c r="E57" s="43">
        <v>18</v>
      </c>
      <c r="F57" s="43">
        <v>4</v>
      </c>
      <c r="G57" s="63">
        <v>0</v>
      </c>
      <c r="H57" s="71">
        <f t="shared" si="11"/>
      </c>
      <c r="I57" s="44">
        <v>2</v>
      </c>
      <c r="J57" s="43">
        <f t="shared" si="38"/>
      </c>
      <c r="K57" s="63">
        <v>2</v>
      </c>
      <c r="L57" s="67">
        <f t="shared" si="20"/>
      </c>
      <c r="M57" s="44">
        <f t="shared" si="30"/>
      </c>
      <c r="N57" s="44">
        <v>7322.16</v>
      </c>
      <c r="O57" s="45">
        <f t="shared" si="25"/>
      </c>
      <c r="P57" s="45">
        <f t="shared" si="44"/>
      </c>
      <c r="Q57" s="46">
        <f t="shared" si="46"/>
      </c>
      <c r="R57" s="47"/>
      <c r="S57" s="43"/>
      <c r="T57" s="48">
        <f t="shared" si="0"/>
      </c>
      <c r="U57" s="48">
        <f t="shared" si="9"/>
      </c>
      <c r="V57" s="48">
        <f t="shared" si="27"/>
      </c>
    </row>
    <row r="58">
      <c r="A58" s="65" t="s">
        <v>120</v>
      </c>
      <c r="B58" s="50" t="s">
        <v>85</v>
      </c>
      <c r="C58" s="51"/>
      <c r="D58" s="51">
        <f>SUM(D56:D57)</f>
      </c>
      <c r="E58" s="51">
        <f>SUM(E56:E57)</f>
      </c>
      <c r="F58" s="51">
        <f>SUM(F56:F57)</f>
      </c>
      <c r="G58" s="51">
        <f>SUM(G56:G57)</f>
      </c>
      <c r="H58" s="66">
        <f>SUM(H56:H57)</f>
      </c>
      <c r="I58" s="51">
        <f>SUM(I56:I57)</f>
      </c>
      <c r="J58" s="51">
        <f>SUM(J56:J57)</f>
      </c>
      <c r="K58" s="51">
        <f>SUM(K56:K57)</f>
      </c>
      <c r="L58" s="66">
        <f>SUM(L56:L57)</f>
      </c>
      <c r="M58" s="51">
        <f>SUM(M56:M57)</f>
      </c>
      <c r="N58" s="51">
        <f>SUM(N56:N57)</f>
      </c>
      <c r="O58" s="52">
        <f t="shared" si="25"/>
      </c>
      <c r="P58" s="53">
        <f t="shared" si="44"/>
      </c>
      <c r="Q58" s="54">
        <f t="shared" si="46"/>
      </c>
      <c r="R58" s="55"/>
      <c r="S58" s="56">
        <f>SUM(S56:S57)</f>
      </c>
      <c r="T58" s="57">
        <f t="shared" si="0"/>
      </c>
      <c r="U58" s="57">
        <f t="shared" si="9"/>
      </c>
      <c r="V58" s="57">
        <f t="shared" si="27"/>
      </c>
    </row>
    <row r="59">
      <c r="A59" s="61" t="s">
        <v>122</v>
      </c>
      <c r="B59" s="73" t="s">
        <v>80</v>
      </c>
      <c r="C59" s="43" t="s">
        <v>81</v>
      </c>
      <c r="D59" s="43">
        <v>4</v>
      </c>
      <c r="E59" s="43">
        <v>34</v>
      </c>
      <c r="F59" s="43">
        <v>15</v>
      </c>
      <c r="G59" s="63">
        <v>4</v>
      </c>
      <c r="H59" s="71">
        <f t="shared" ref="H59:H60" si="12">39*12*G59</f>
      </c>
      <c r="I59" s="44">
        <v>1</v>
      </c>
      <c r="J59" s="43">
        <f t="shared" ref="J59:J60" si="39">79*12*I59</f>
      </c>
      <c r="K59" s="63">
        <v>10</v>
      </c>
      <c r="L59" s="67">
        <f t="shared" ref="L59:L60" si="21">189*12*K59</f>
      </c>
      <c r="M59" s="44">
        <f t="shared" ref="M59:M60" si="31">L59+J59+H59</f>
      </c>
      <c r="N59" s="44">
        <v>13313.849999999999</v>
      </c>
      <c r="O59" s="45">
        <f t="shared" si="25"/>
      </c>
      <c r="P59" s="45">
        <f t="shared" si="44"/>
      </c>
      <c r="Q59" s="46">
        <f t="shared" si="46"/>
      </c>
      <c r="R59" s="47" t="s">
        <v>96</v>
      </c>
      <c r="S59" s="43">
        <v>6</v>
      </c>
      <c r="T59" s="48">
        <f t="shared" si="0"/>
      </c>
      <c r="U59" s="48">
        <f t="shared" si="9"/>
      </c>
      <c r="V59" s="48">
        <f t="shared" si="27"/>
      </c>
    </row>
    <row r="60">
      <c r="A60" s="61" t="s">
        <v>122</v>
      </c>
      <c r="B60" s="44" t="s">
        <v>83</v>
      </c>
      <c r="C60" s="43" t="s">
        <v>121</v>
      </c>
      <c r="D60" s="43">
        <v>2</v>
      </c>
      <c r="E60" s="43">
        <v>5</v>
      </c>
      <c r="F60" s="43">
        <v>3</v>
      </c>
      <c r="G60" s="63">
        <v>0</v>
      </c>
      <c r="H60" s="71">
        <f t="shared" si="12"/>
      </c>
      <c r="I60" s="44">
        <v>0</v>
      </c>
      <c r="J60" s="43">
        <f t="shared" si="39"/>
      </c>
      <c r="K60" s="63">
        <v>3</v>
      </c>
      <c r="L60" s="67">
        <f t="shared" si="21"/>
      </c>
      <c r="M60" s="44">
        <f t="shared" si="31"/>
      </c>
      <c r="N60" s="44">
        <v>6144.72</v>
      </c>
      <c r="O60" s="45">
        <f t="shared" si="25"/>
      </c>
      <c r="P60" s="45">
        <f t="shared" si="44"/>
      </c>
      <c r="Q60" s="46">
        <f t="shared" si="46"/>
      </c>
      <c r="R60" s="47"/>
      <c r="S60" s="43"/>
      <c r="T60" s="48">
        <f t="shared" si="0"/>
      </c>
      <c r="U60" s="48">
        <f t="shared" si="9"/>
      </c>
      <c r="V60" s="48">
        <f t="shared" si="27"/>
      </c>
    </row>
    <row r="61">
      <c r="A61" s="65" t="s">
        <v>122</v>
      </c>
      <c r="B61" s="50" t="s">
        <v>85</v>
      </c>
      <c r="C61" s="51"/>
      <c r="D61" s="51">
        <f>SUM(D59:D60)</f>
      </c>
      <c r="E61" s="51">
        <f>SUM(E59:E60)</f>
      </c>
      <c r="F61" s="51">
        <f>SUM(F59:F60)</f>
      </c>
      <c r="G61" s="51">
        <f>SUM(G59:G60)</f>
      </c>
      <c r="H61" s="66">
        <f>SUM(H59:H60)</f>
      </c>
      <c r="I61" s="51">
        <f>SUM(I59:I60)</f>
      </c>
      <c r="J61" s="51">
        <f>SUM(J59:J60)</f>
      </c>
      <c r="K61" s="51">
        <f>SUM(K59:K60)</f>
      </c>
      <c r="L61" s="66">
        <f>SUM(L59:L60)</f>
      </c>
      <c r="M61" s="51">
        <f>SUM(M59:M60)</f>
      </c>
      <c r="N61" s="51">
        <f>SUM(N59:N60)</f>
      </c>
      <c r="O61" s="52">
        <f t="shared" si="25"/>
      </c>
      <c r="P61" s="53">
        <f t="shared" si="44"/>
      </c>
      <c r="Q61" s="54">
        <f t="shared" si="46"/>
      </c>
      <c r="R61" s="55"/>
      <c r="S61" s="56">
        <f>SUM(S59:S60)</f>
      </c>
      <c r="T61" s="57">
        <f t="shared" si="0"/>
      </c>
      <c r="U61" s="57">
        <f t="shared" si="9"/>
      </c>
      <c r="V61" s="57">
        <f t="shared" si="27"/>
      </c>
    </row>
    <row r="62">
      <c r="A62" s="61" t="s">
        <v>123</v>
      </c>
      <c r="B62" s="73" t="s">
        <v>80</v>
      </c>
      <c r="C62" s="43" t="s">
        <v>124</v>
      </c>
      <c r="D62" s="43">
        <v>5</v>
      </c>
      <c r="E62" s="43">
        <v>41</v>
      </c>
      <c r="F62" s="43">
        <v>11</v>
      </c>
      <c r="G62" s="63">
        <v>1</v>
      </c>
      <c r="H62" s="72">
        <v>429</v>
      </c>
      <c r="I62" s="44">
        <v>3</v>
      </c>
      <c r="J62" s="43">
        <f>79*12*I62</f>
      </c>
      <c r="K62" s="63">
        <v>7</v>
      </c>
      <c r="L62" s="67">
        <f>189*12*K62</f>
      </c>
      <c r="M62" s="44">
        <f>L62+J62+H62</f>
      </c>
      <c r="N62" s="44">
        <v>16530.29</v>
      </c>
      <c r="O62" s="45">
        <f t="shared" si="25"/>
      </c>
      <c r="P62" s="45">
        <f t="shared" si="44"/>
      </c>
      <c r="Q62" s="46">
        <f t="shared" si="46"/>
      </c>
      <c r="R62" s="47" t="s">
        <v>96</v>
      </c>
      <c r="S62" s="43">
        <v>3</v>
      </c>
      <c r="T62" s="48">
        <f t="shared" si="0"/>
      </c>
      <c r="U62" s="48">
        <f t="shared" si="9"/>
      </c>
      <c r="V62" s="48">
        <f t="shared" si="27"/>
      </c>
    </row>
    <row r="63">
      <c r="A63" s="61" t="s">
        <v>123</v>
      </c>
      <c r="B63" s="44"/>
      <c r="C63" s="43"/>
      <c r="D63" s="43"/>
      <c r="E63" s="43"/>
      <c r="F63" s="43"/>
      <c r="G63" s="63"/>
      <c r="H63" s="71"/>
      <c r="I63" s="44"/>
      <c r="J63" s="43"/>
      <c r="K63" s="63"/>
      <c r="L63" s="67"/>
      <c r="M63" s="44"/>
      <c r="N63" s="44"/>
      <c r="O63" s="45"/>
      <c r="P63" s="45"/>
      <c r="Q63" s="46"/>
      <c r="R63" s="47" t="s">
        <v>125</v>
      </c>
      <c r="S63" s="43">
        <v>2</v>
      </c>
      <c r="T63" s="48">
        <f t="shared" si="0"/>
      </c>
      <c r="U63" s="48">
        <f t="shared" si="9"/>
      </c>
      <c r="V63" s="48">
        <f t="shared" si="27"/>
      </c>
    </row>
    <row r="64">
      <c r="A64" s="65" t="s">
        <v>123</v>
      </c>
      <c r="B64" s="50" t="s">
        <v>85</v>
      </c>
      <c r="C64" s="51"/>
      <c r="D64" s="56">
        <f>SUM(D62:D63)</f>
      </c>
      <c r="E64" s="56">
        <f>SUM(E62:E63)</f>
      </c>
      <c r="F64" s="56">
        <f>SUM(F62:F63)</f>
      </c>
      <c r="G64" s="56">
        <f>SUM(G62:G63)</f>
      </c>
      <c r="H64" s="56">
        <f>SUM(H62:H63)</f>
      </c>
      <c r="I64" s="56">
        <f>SUM(I62:I63)</f>
      </c>
      <c r="J64" s="56">
        <f>SUM(J62:J63)</f>
      </c>
      <c r="K64" s="56">
        <f>SUM(K62:K63)</f>
      </c>
      <c r="L64" s="56">
        <f>SUM(L62:L63)</f>
      </c>
      <c r="M64" s="56">
        <f>SUM(M62:M63)</f>
      </c>
      <c r="N64" s="56">
        <f>SUM(N62:N63)</f>
      </c>
      <c r="O64" s="52">
        <f t="shared" ref="O64:O85" si="26">M64/N64</f>
      </c>
      <c r="P64" s="53">
        <f t="shared" ref="P64:P85" si="45">M64/F64</f>
      </c>
      <c r="Q64" s="54">
        <f t="shared" ref="Q64:Q85" si="47">N64/F64</f>
      </c>
      <c r="R64" s="55"/>
      <c r="S64" s="56">
        <f>SUM(S62:S63)</f>
      </c>
      <c r="T64" s="57">
        <f t="shared" si="0"/>
      </c>
      <c r="U64" s="57">
        <f t="shared" si="9"/>
      </c>
      <c r="V64" s="57">
        <f t="shared" si="27"/>
      </c>
    </row>
    <row r="65">
      <c r="A65" s="61" t="s">
        <v>126</v>
      </c>
      <c r="B65" s="44" t="s">
        <v>80</v>
      </c>
      <c r="C65" s="43" t="s">
        <v>81</v>
      </c>
      <c r="D65" s="43">
        <v>4</v>
      </c>
      <c r="E65" s="43">
        <v>35</v>
      </c>
      <c r="F65" s="43">
        <v>11</v>
      </c>
      <c r="G65" s="63">
        <v>2</v>
      </c>
      <c r="H65" s="71">
        <f t="shared" ref="H65:H66" si="13">39*12*G65</f>
      </c>
      <c r="I65" s="44">
        <v>3</v>
      </c>
      <c r="J65" s="43">
        <f>79*12*I65-79</f>
      </c>
      <c r="K65" s="63">
        <v>6</v>
      </c>
      <c r="L65" s="67">
        <f t="shared" ref="L65:L66" si="24">189*12*K65-188</f>
      </c>
      <c r="M65" s="44">
        <f t="shared" ref="M65:M66" si="32">L65+J65+H65</f>
      </c>
      <c r="N65" s="44">
        <v>10892.960000000001</v>
      </c>
      <c r="O65" s="45">
        <f t="shared" si="26"/>
      </c>
      <c r="P65" s="45">
        <f t="shared" si="45"/>
      </c>
      <c r="Q65" s="46">
        <f t="shared" si="47"/>
      </c>
      <c r="R65" s="47" t="s">
        <v>96</v>
      </c>
      <c r="S65" s="43">
        <v>8</v>
      </c>
      <c r="T65" s="48">
        <f t="shared" si="0"/>
      </c>
      <c r="U65" s="48">
        <f t="shared" si="9"/>
      </c>
      <c r="V65" s="48">
        <f t="shared" si="27"/>
      </c>
    </row>
    <row r="66">
      <c r="A66" s="61" t="s">
        <v>126</v>
      </c>
      <c r="B66" s="44" t="s">
        <v>83</v>
      </c>
      <c r="C66" s="43" t="s">
        <v>91</v>
      </c>
      <c r="D66" s="43">
        <v>4</v>
      </c>
      <c r="E66" s="43">
        <v>37</v>
      </c>
      <c r="F66" s="43">
        <v>9</v>
      </c>
      <c r="G66" s="63">
        <v>0</v>
      </c>
      <c r="H66" s="71">
        <f t="shared" si="13"/>
      </c>
      <c r="I66" s="44">
        <v>2</v>
      </c>
      <c r="J66" s="43">
        <f>79*12*I66</f>
      </c>
      <c r="K66" s="63">
        <v>7</v>
      </c>
      <c r="L66" s="67">
        <f t="shared" si="24"/>
      </c>
      <c r="M66" s="44">
        <f t="shared" si="32"/>
      </c>
      <c r="N66" s="44">
        <v>12882.85</v>
      </c>
      <c r="O66" s="45">
        <f t="shared" si="26"/>
      </c>
      <c r="P66" s="45">
        <f t="shared" si="45"/>
      </c>
      <c r="Q66" s="46">
        <f t="shared" si="47"/>
      </c>
      <c r="R66" s="47"/>
      <c r="S66" s="43"/>
      <c r="T66" s="48">
        <f t="shared" si="0"/>
      </c>
      <c r="U66" s="48">
        <f t="shared" si="9"/>
      </c>
      <c r="V66" s="48">
        <f t="shared" si="27"/>
      </c>
    </row>
    <row r="67">
      <c r="A67" s="65" t="s">
        <v>126</v>
      </c>
      <c r="B67" s="50" t="s">
        <v>85</v>
      </c>
      <c r="C67" s="51"/>
      <c r="D67" s="56">
        <f>SUM(D65:D66)</f>
      </c>
      <c r="E67" s="56">
        <f>SUM(E65:E66)</f>
      </c>
      <c r="F67" s="56">
        <f>SUM(F65:F66)</f>
      </c>
      <c r="G67" s="56">
        <f>SUM(G65:G66)</f>
      </c>
      <c r="H67" s="56">
        <f>SUM(H65:H66)</f>
      </c>
      <c r="I67" s="56">
        <f>SUM(I65:I66)</f>
      </c>
      <c r="J67" s="56">
        <f>SUM(J65:J66)</f>
      </c>
      <c r="K67" s="56">
        <f>SUM(K65:K66)</f>
      </c>
      <c r="L67" s="56">
        <f>SUM(L65:L66)</f>
      </c>
      <c r="M67" s="56">
        <f>SUM(M65:M66)</f>
      </c>
      <c r="N67" s="56">
        <f>SUM(N65:N66)</f>
      </c>
      <c r="O67" s="52">
        <f t="shared" si="26"/>
      </c>
      <c r="P67" s="53">
        <f t="shared" si="45"/>
      </c>
      <c r="Q67" s="54">
        <f t="shared" si="47"/>
      </c>
      <c r="R67" s="55"/>
      <c r="S67" s="56">
        <f>SUM(S65:S66)</f>
      </c>
      <c r="T67" s="57">
        <f t="shared" si="0"/>
      </c>
      <c r="U67" s="57">
        <f t="shared" si="9"/>
      </c>
      <c r="V67" s="57">
        <f t="shared" si="27"/>
      </c>
    </row>
    <row r="68">
      <c r="A68" s="61" t="s">
        <v>127</v>
      </c>
      <c r="B68" s="44" t="s">
        <v>80</v>
      </c>
      <c r="C68" s="43" t="s">
        <v>81</v>
      </c>
      <c r="D68" s="43">
        <v>4</v>
      </c>
      <c r="E68" s="43">
        <v>23</v>
      </c>
      <c r="F68" s="43">
        <v>11</v>
      </c>
      <c r="G68" s="63">
        <v>2</v>
      </c>
      <c r="H68" s="72">
        <v>936</v>
      </c>
      <c r="I68" s="44">
        <v>1</v>
      </c>
      <c r="J68" s="43">
        <v>869</v>
      </c>
      <c r="K68" s="63">
        <v>7</v>
      </c>
      <c r="L68" s="74">
        <v>15688</v>
      </c>
      <c r="M68" s="44">
        <v>17601</v>
      </c>
      <c r="N68" s="44">
        <v>12937.53</v>
      </c>
      <c r="O68" s="45">
        <f t="shared" si="26"/>
      </c>
      <c r="P68" s="45">
        <f t="shared" si="45"/>
      </c>
      <c r="Q68" s="46">
        <f t="shared" si="47"/>
      </c>
      <c r="R68" s="47" t="s">
        <v>128</v>
      </c>
      <c r="S68" s="43">
        <v>8</v>
      </c>
      <c r="T68" s="48">
        <f t="shared" si="0"/>
      </c>
      <c r="U68" s="48">
        <f t="shared" si="9"/>
      </c>
      <c r="V68" s="48">
        <f t="shared" si="27"/>
      </c>
    </row>
    <row r="69">
      <c r="A69" s="61" t="s">
        <v>127</v>
      </c>
      <c r="B69" s="44" t="s">
        <v>83</v>
      </c>
      <c r="C69" s="43" t="s">
        <v>91</v>
      </c>
      <c r="D69" s="43">
        <v>4</v>
      </c>
      <c r="E69" s="43">
        <v>38</v>
      </c>
      <c r="F69" s="43">
        <v>14</v>
      </c>
      <c r="G69" s="63">
        <v>0</v>
      </c>
      <c r="H69" s="72">
        <v>0</v>
      </c>
      <c r="I69" s="44">
        <v>0</v>
      </c>
      <c r="J69" s="43">
        <v>0</v>
      </c>
      <c r="K69" s="63">
        <v>14</v>
      </c>
      <c r="L69" s="67">
        <v>31376</v>
      </c>
      <c r="M69" s="44">
        <f>L69+J69+H69</f>
      </c>
      <c r="N69" s="44">
        <v>15053.16</v>
      </c>
      <c r="O69" s="45">
        <f t="shared" si="26"/>
      </c>
      <c r="P69" s="45">
        <f t="shared" si="45"/>
      </c>
      <c r="Q69" s="46">
        <f t="shared" si="47"/>
      </c>
      <c r="R69" s="47"/>
      <c r="S69" s="43"/>
      <c r="T69" s="48">
        <f t="shared" si="0"/>
      </c>
      <c r="U69" s="48">
        <f t="shared" si="9"/>
      </c>
      <c r="V69" s="48">
        <f t="shared" si="27"/>
      </c>
    </row>
    <row r="70">
      <c r="A70" s="65" t="s">
        <v>127</v>
      </c>
      <c r="B70" s="50" t="s">
        <v>85</v>
      </c>
      <c r="C70" s="51"/>
      <c r="D70" s="56">
        <f>SUM(D68:D69)</f>
      </c>
      <c r="E70" s="56">
        <f>SUM(E68:E69)</f>
      </c>
      <c r="F70" s="56">
        <f>SUM(F68:F69)</f>
      </c>
      <c r="G70" s="56">
        <f>SUM(G68:G69)</f>
      </c>
      <c r="H70" s="56">
        <f>SUM(H68:H69)</f>
      </c>
      <c r="I70" s="56">
        <f>SUM(I68:I69)</f>
      </c>
      <c r="J70" s="56">
        <f>SUM(J68:J69)</f>
      </c>
      <c r="K70" s="56">
        <f>SUM(K68:K69)</f>
      </c>
      <c r="L70" s="56">
        <f>SUM(L68:L69)</f>
      </c>
      <c r="M70" s="56">
        <f>SUM(M68:M69)</f>
      </c>
      <c r="N70" s="56">
        <f>SUM(N68:N69)</f>
      </c>
      <c r="O70" s="52">
        <f t="shared" si="26"/>
      </c>
      <c r="P70" s="53">
        <f t="shared" si="45"/>
      </c>
      <c r="Q70" s="54">
        <f t="shared" si="47"/>
      </c>
      <c r="R70" s="55"/>
      <c r="S70" s="56">
        <f>SUM(S68:S69)</f>
      </c>
      <c r="T70" s="57">
        <f t="shared" si="0"/>
      </c>
      <c r="U70" s="57">
        <f t="shared" si="9"/>
      </c>
      <c r="V70" s="57">
        <f t="shared" si="27"/>
      </c>
    </row>
    <row r="71">
      <c r="A71" s="61" t="s">
        <v>129</v>
      </c>
      <c r="B71" s="44" t="s">
        <v>80</v>
      </c>
      <c r="C71" s="43" t="s">
        <v>81</v>
      </c>
      <c r="D71" s="43">
        <v>4</v>
      </c>
      <c r="E71" s="43">
        <v>25</v>
      </c>
      <c r="F71" s="43">
        <v>7</v>
      </c>
      <c r="G71" s="63">
        <v>0</v>
      </c>
      <c r="H71" s="71">
        <f t="shared" ref="H71:H72" si="14">39*12*G71</f>
      </c>
      <c r="I71" s="44">
        <v>1</v>
      </c>
      <c r="J71" s="43">
        <f t="shared" ref="J71:J72" si="40">79*12*I71</f>
      </c>
      <c r="K71" s="63">
        <v>5</v>
      </c>
      <c r="L71" s="67">
        <f>189*12*K71-188</f>
      </c>
      <c r="M71" s="44">
        <f>L71+J71+H71+228</f>
      </c>
      <c r="N71" s="44">
        <v>12486.789999999997</v>
      </c>
      <c r="O71" s="45">
        <f t="shared" si="26"/>
      </c>
      <c r="P71" s="45">
        <f t="shared" si="45"/>
      </c>
      <c r="Q71" s="46">
        <f t="shared" si="47"/>
      </c>
      <c r="R71" s="47" t="s">
        <v>96</v>
      </c>
      <c r="S71" s="43">
        <v>8</v>
      </c>
      <c r="T71" s="48">
        <f t="shared" si="0"/>
      </c>
      <c r="U71" s="48">
        <f t="shared" si="9"/>
      </c>
      <c r="V71" s="48">
        <f t="shared" si="27"/>
      </c>
    </row>
    <row r="72">
      <c r="A72" s="61" t="s">
        <v>129</v>
      </c>
      <c r="B72" s="44" t="s">
        <v>83</v>
      </c>
      <c r="C72" s="43" t="s">
        <v>91</v>
      </c>
      <c r="D72" s="43">
        <v>4</v>
      </c>
      <c r="E72" s="43">
        <v>26</v>
      </c>
      <c r="F72" s="43">
        <v>12</v>
      </c>
      <c r="G72" s="63">
        <v>1</v>
      </c>
      <c r="H72" s="71">
        <f t="shared" si="14"/>
      </c>
      <c r="I72" s="44">
        <v>2</v>
      </c>
      <c r="J72" s="43">
        <f t="shared" si="40"/>
      </c>
      <c r="K72" s="63">
        <v>9</v>
      </c>
      <c r="L72" s="67">
        <f>189*12*K72</f>
      </c>
      <c r="M72" s="44">
        <f>L72+J72+H72</f>
      </c>
      <c r="N72" s="44">
        <v>13471.66</v>
      </c>
      <c r="O72" s="45">
        <f t="shared" si="26"/>
      </c>
      <c r="P72" s="45">
        <f t="shared" si="45"/>
      </c>
      <c r="Q72" s="46">
        <f t="shared" si="47"/>
      </c>
      <c r="R72" s="47"/>
      <c r="S72" s="43"/>
      <c r="T72" s="48">
        <f t="shared" si="0"/>
      </c>
      <c r="U72" s="48">
        <f t="shared" si="9"/>
      </c>
      <c r="V72" s="48">
        <f t="shared" si="27"/>
      </c>
    </row>
    <row r="73">
      <c r="A73" s="65" t="s">
        <v>129</v>
      </c>
      <c r="B73" s="50" t="s">
        <v>85</v>
      </c>
      <c r="C73" s="51"/>
      <c r="D73" s="56">
        <f>SUM(D71:D72)</f>
      </c>
      <c r="E73" s="56">
        <f>SUM(E71:E72)</f>
      </c>
      <c r="F73" s="56">
        <f>SUM(F71:F72)</f>
      </c>
      <c r="G73" s="56">
        <f>SUM(G71:G72)</f>
      </c>
      <c r="H73" s="56">
        <f>SUM(H71:H72)</f>
      </c>
      <c r="I73" s="56">
        <f>SUM(I71:I72)</f>
      </c>
      <c r="J73" s="56">
        <f>SUM(J71:J72)</f>
      </c>
      <c r="K73" s="56">
        <f>SUM(K71:K72)</f>
      </c>
      <c r="L73" s="56">
        <f>SUM(L71:L72)</f>
      </c>
      <c r="M73" s="56">
        <f>SUM(M71:M72)</f>
      </c>
      <c r="N73" s="56">
        <f>SUM(N71:N72)</f>
      </c>
      <c r="O73" s="52">
        <f t="shared" si="26"/>
      </c>
      <c r="P73" s="53">
        <f t="shared" si="45"/>
      </c>
      <c r="Q73" s="54">
        <f t="shared" si="47"/>
      </c>
      <c r="R73" s="55"/>
      <c r="S73" s="56">
        <f>SUM(S71:S72)</f>
      </c>
      <c r="T73" s="57">
        <f t="shared" si="0"/>
      </c>
      <c r="U73" s="57">
        <f t="shared" si="9"/>
      </c>
      <c r="V73" s="57">
        <f t="shared" si="27"/>
      </c>
    </row>
    <row r="74">
      <c r="A74" s="61" t="s">
        <v>130</v>
      </c>
      <c r="B74" s="44" t="s">
        <v>80</v>
      </c>
      <c r="C74" s="43" t="s">
        <v>81</v>
      </c>
      <c r="D74" s="43">
        <v>4</v>
      </c>
      <c r="E74" s="43">
        <v>25</v>
      </c>
      <c r="F74" s="43">
        <v>5</v>
      </c>
      <c r="G74" s="63">
        <v>0</v>
      </c>
      <c r="H74" s="71">
        <f t="shared" ref="H74:H75" si="15">39*12*G74</f>
      </c>
      <c r="I74" s="44">
        <v>1</v>
      </c>
      <c r="J74" s="43">
        <f t="shared" ref="J74:J75" si="41">79*12*I74</f>
      </c>
      <c r="K74" s="63">
        <v>4</v>
      </c>
      <c r="L74" s="67">
        <f t="shared" ref="L74:L75" si="22">189*12*K74</f>
      </c>
      <c r="M74" s="44">
        <f t="shared" ref="M74:M75" si="33">L74+J74+H74</f>
      </c>
      <c r="N74" s="44">
        <v>13067.18</v>
      </c>
      <c r="O74" s="45">
        <f t="shared" si="26"/>
      </c>
      <c r="P74" s="45">
        <f t="shared" si="45"/>
      </c>
      <c r="Q74" s="46">
        <f t="shared" si="47"/>
      </c>
      <c r="R74" s="47" t="s">
        <v>96</v>
      </c>
      <c r="S74" s="43">
        <v>6</v>
      </c>
      <c r="T74" s="48">
        <f t="shared" si="0"/>
      </c>
      <c r="U74" s="48">
        <f t="shared" si="9"/>
      </c>
      <c r="V74" s="48">
        <f t="shared" si="27"/>
      </c>
    </row>
    <row r="75">
      <c r="A75" s="61" t="s">
        <v>130</v>
      </c>
      <c r="B75" s="44" t="s">
        <v>83</v>
      </c>
      <c r="C75" s="43" t="s">
        <v>121</v>
      </c>
      <c r="D75" s="43">
        <v>2</v>
      </c>
      <c r="E75" s="43">
        <v>10</v>
      </c>
      <c r="F75" s="43">
        <v>2</v>
      </c>
      <c r="G75" s="63">
        <v>0</v>
      </c>
      <c r="H75" s="71">
        <f t="shared" si="15"/>
      </c>
      <c r="I75" s="44">
        <v>0</v>
      </c>
      <c r="J75" s="43">
        <f t="shared" si="41"/>
      </c>
      <c r="K75" s="63">
        <v>2</v>
      </c>
      <c r="L75" s="67">
        <f t="shared" si="22"/>
      </c>
      <c r="M75" s="44">
        <f t="shared" si="33"/>
      </c>
      <c r="N75" s="44">
        <v>5597.75</v>
      </c>
      <c r="O75" s="45">
        <f t="shared" si="26"/>
      </c>
      <c r="P75" s="45">
        <f t="shared" si="45"/>
      </c>
      <c r="Q75" s="75">
        <f t="shared" si="47"/>
      </c>
      <c r="R75" s="72"/>
      <c r="S75" s="44"/>
      <c r="T75" s="48">
        <f t="shared" si="0"/>
      </c>
      <c r="U75" s="48">
        <f t="shared" si="9"/>
      </c>
      <c r="V75" s="48">
        <f t="shared" si="27"/>
      </c>
    </row>
    <row r="76">
      <c r="A76" s="65" t="s">
        <v>130</v>
      </c>
      <c r="B76" s="50" t="s">
        <v>85</v>
      </c>
      <c r="C76" s="51"/>
      <c r="D76" s="56">
        <f>SUM(D74:D75)</f>
      </c>
      <c r="E76" s="56">
        <f>SUM(E74:E75)</f>
      </c>
      <c r="F76" s="56">
        <f>SUM(F74:F75)</f>
      </c>
      <c r="G76" s="56">
        <f>SUM(G74:G75)</f>
      </c>
      <c r="H76" s="56">
        <f>SUM(H74:H75)</f>
      </c>
      <c r="I76" s="56">
        <f>SUM(I74:I75)</f>
      </c>
      <c r="J76" s="56">
        <f>SUM(J74:J75)</f>
      </c>
      <c r="K76" s="56">
        <f>SUM(K74:K75)</f>
      </c>
      <c r="L76" s="56">
        <f>SUM(L74:L75)</f>
      </c>
      <c r="M76" s="56">
        <f>SUM(M74:M75)</f>
      </c>
      <c r="N76" s="56">
        <f>SUM(N74:N75)</f>
      </c>
      <c r="O76" s="52">
        <f t="shared" si="26"/>
      </c>
      <c r="P76" s="53">
        <f t="shared" si="45"/>
      </c>
      <c r="Q76" s="54">
        <f t="shared" si="47"/>
      </c>
      <c r="R76" s="55"/>
      <c r="S76" s="56">
        <f>SUM(S74:S75)</f>
      </c>
      <c r="T76" s="57">
        <f t="shared" si="0"/>
      </c>
      <c r="U76" s="57">
        <f t="shared" si="9"/>
      </c>
      <c r="V76" s="57">
        <f t="shared" si="27"/>
      </c>
    </row>
    <row r="77">
      <c r="A77" s="61" t="s">
        <v>131</v>
      </c>
      <c r="B77" s="44" t="s">
        <v>80</v>
      </c>
      <c r="C77" s="43" t="s">
        <v>81</v>
      </c>
      <c r="D77" s="43">
        <v>4</v>
      </c>
      <c r="E77" s="43">
        <v>26</v>
      </c>
      <c r="F77" s="43">
        <v>11</v>
      </c>
      <c r="G77" s="63">
        <v>1</v>
      </c>
      <c r="H77" s="71">
        <f>39*12*G77-39</f>
      </c>
      <c r="I77" s="44">
        <v>2</v>
      </c>
      <c r="J77" s="43">
        <f>79*12*I77</f>
      </c>
      <c r="K77" s="63">
        <v>8</v>
      </c>
      <c r="L77" s="67">
        <f>189*12*K77</f>
      </c>
      <c r="M77" s="44">
        <f t="shared" ref="M77:M78" si="34">L77+J77+H77</f>
      </c>
      <c r="N77" s="44">
        <v>12756.97</v>
      </c>
      <c r="O77" s="45">
        <f t="shared" si="26"/>
      </c>
      <c r="P77" s="45">
        <f t="shared" si="45"/>
      </c>
      <c r="Q77" s="46">
        <f t="shared" si="47"/>
      </c>
      <c r="R77" s="47" t="s">
        <v>96</v>
      </c>
      <c r="S77" s="43">
        <v>8</v>
      </c>
      <c r="T77" s="48">
        <f t="shared" si="0"/>
      </c>
      <c r="U77" s="48">
        <f t="shared" si="9"/>
      </c>
      <c r="V77" s="48">
        <f t="shared" si="27"/>
      </c>
    </row>
    <row r="78">
      <c r="A78" s="61" t="s">
        <v>131</v>
      </c>
      <c r="B78" s="44" t="s">
        <v>83</v>
      </c>
      <c r="C78" s="43" t="s">
        <v>91</v>
      </c>
      <c r="D78" s="43">
        <v>4</v>
      </c>
      <c r="E78" s="43">
        <v>45</v>
      </c>
      <c r="F78" s="43">
        <v>9</v>
      </c>
      <c r="G78" s="63">
        <v>0</v>
      </c>
      <c r="H78" s="71">
        <f>39*12*G78</f>
      </c>
      <c r="I78" s="44">
        <v>3</v>
      </c>
      <c r="J78" s="43">
        <f>79*12*I78-79</f>
      </c>
      <c r="K78" s="63">
        <v>6</v>
      </c>
      <c r="L78" s="67">
        <f>189*12*K78-188</f>
      </c>
      <c r="M78" s="44">
        <f t="shared" si="34"/>
      </c>
      <c r="N78" s="44">
        <v>11524.670000000002</v>
      </c>
      <c r="O78" s="45">
        <f t="shared" si="26"/>
      </c>
      <c r="P78" s="45">
        <f t="shared" si="45"/>
      </c>
      <c r="Q78" s="46">
        <f t="shared" si="47"/>
      </c>
      <c r="R78" s="47"/>
      <c r="S78" s="43"/>
      <c r="T78" s="48">
        <f t="shared" si="0"/>
      </c>
      <c r="U78" s="48">
        <f t="shared" si="9"/>
      </c>
      <c r="V78" s="48">
        <f t="shared" si="27"/>
      </c>
    </row>
    <row r="79">
      <c r="A79" s="65" t="s">
        <v>131</v>
      </c>
      <c r="B79" s="50" t="s">
        <v>85</v>
      </c>
      <c r="C79" s="51"/>
      <c r="D79" s="56">
        <f>SUM(D77:D78)</f>
      </c>
      <c r="E79" s="56">
        <f>SUM(E77:E78)</f>
      </c>
      <c r="F79" s="56">
        <f>SUM(F77:F78)</f>
      </c>
      <c r="G79" s="56">
        <f>SUM(G77:G78)</f>
      </c>
      <c r="H79" s="56">
        <f>SUM(H77:H78)</f>
      </c>
      <c r="I79" s="56">
        <f>SUM(I77:I78)</f>
      </c>
      <c r="J79" s="56">
        <f>SUM(J77:J78)</f>
      </c>
      <c r="K79" s="56">
        <f>SUM(K77:K78)</f>
      </c>
      <c r="L79" s="56">
        <f>SUM(L77:L78)</f>
      </c>
      <c r="M79" s="56">
        <f>SUM(M77:M78)</f>
      </c>
      <c r="N79" s="56">
        <f>SUM(N77:N78)</f>
      </c>
      <c r="O79" s="52">
        <f t="shared" si="26"/>
      </c>
      <c r="P79" s="53">
        <f t="shared" si="45"/>
      </c>
      <c r="Q79" s="54">
        <f t="shared" si="47"/>
      </c>
      <c r="R79" s="55"/>
      <c r="S79" s="56">
        <f>SUM(S77:S78)</f>
      </c>
      <c r="T79" s="57">
        <f t="shared" si="0"/>
      </c>
      <c r="U79" s="57">
        <f t="shared" si="9"/>
      </c>
      <c r="V79" s="57">
        <f t="shared" si="27"/>
      </c>
    </row>
    <row r="80">
      <c r="A80" s="61" t="s">
        <v>132</v>
      </c>
      <c r="B80" s="44" t="s">
        <v>80</v>
      </c>
      <c r="C80" s="43" t="s">
        <v>81</v>
      </c>
      <c r="D80" s="43">
        <v>4</v>
      </c>
      <c r="E80" s="43">
        <v>29</v>
      </c>
      <c r="F80" s="43">
        <v>12</v>
      </c>
      <c r="G80" s="63">
        <v>0</v>
      </c>
      <c r="H80" s="71">
        <f t="shared" ref="H80:H81" si="16">39*12*G80</f>
      </c>
      <c r="I80" s="44">
        <v>4</v>
      </c>
      <c r="J80" s="43">
        <f t="shared" ref="J80:J81" si="42">79*12*I80</f>
      </c>
      <c r="K80" s="63">
        <v>8</v>
      </c>
      <c r="L80" s="67">
        <f t="shared" ref="L80:L81" si="23">189*12*K80</f>
      </c>
      <c r="M80" s="44">
        <f t="shared" ref="M80:M81" si="35">L80+J80+H80</f>
      </c>
      <c r="N80" s="44">
        <v>13164.82</v>
      </c>
      <c r="O80" s="45">
        <f t="shared" si="26"/>
      </c>
      <c r="P80" s="45">
        <f t="shared" si="45"/>
      </c>
      <c r="Q80" s="46">
        <f t="shared" si="47"/>
      </c>
      <c r="R80" s="47" t="s">
        <v>96</v>
      </c>
      <c r="S80" s="43">
        <v>8</v>
      </c>
      <c r="T80" s="48">
        <f t="shared" si="0"/>
      </c>
      <c r="U80" s="48">
        <f t="shared" si="9"/>
      </c>
      <c r="V80" s="48">
        <f t="shared" si="27"/>
      </c>
    </row>
    <row r="81">
      <c r="A81" s="61" t="s">
        <v>132</v>
      </c>
      <c r="B81" s="44" t="s">
        <v>83</v>
      </c>
      <c r="C81" s="43" t="s">
        <v>91</v>
      </c>
      <c r="D81" s="43">
        <v>4</v>
      </c>
      <c r="E81" s="43">
        <v>49</v>
      </c>
      <c r="F81" s="43">
        <v>17</v>
      </c>
      <c r="G81" s="63">
        <v>2</v>
      </c>
      <c r="H81" s="71">
        <f t="shared" si="16"/>
      </c>
      <c r="I81" s="44">
        <v>3</v>
      </c>
      <c r="J81" s="43">
        <f t="shared" si="42"/>
      </c>
      <c r="K81" s="63">
        <v>12</v>
      </c>
      <c r="L81" s="67">
        <f t="shared" si="23"/>
      </c>
      <c r="M81" s="44">
        <f t="shared" si="35"/>
      </c>
      <c r="N81" s="44">
        <v>16112.36</v>
      </c>
      <c r="O81" s="45">
        <f t="shared" si="26"/>
      </c>
      <c r="P81" s="45">
        <f t="shared" si="45"/>
      </c>
      <c r="Q81" s="46">
        <f t="shared" si="47"/>
      </c>
      <c r="R81" s="47"/>
      <c r="S81" s="43"/>
      <c r="T81" s="48">
        <f t="shared" si="0"/>
      </c>
      <c r="U81" s="48">
        <f t="shared" si="9"/>
      </c>
      <c r="V81" s="48">
        <f t="shared" si="27"/>
      </c>
    </row>
    <row r="82">
      <c r="A82" s="65" t="s">
        <v>132</v>
      </c>
      <c r="B82" s="50" t="s">
        <v>85</v>
      </c>
      <c r="C82" s="51"/>
      <c r="D82" s="56">
        <f>SUM(D80:D81)</f>
      </c>
      <c r="E82" s="56">
        <f>SUM(E80:E81)</f>
      </c>
      <c r="F82" s="56">
        <f>SUM(F80:F81)</f>
      </c>
      <c r="G82" s="56">
        <f>SUM(G80:G81)</f>
      </c>
      <c r="H82" s="56">
        <f>SUM(H80:H81)</f>
      </c>
      <c r="I82" s="56">
        <f>SUM(I80:I81)</f>
      </c>
      <c r="J82" s="56">
        <f>SUM(J80:J81)</f>
      </c>
      <c r="K82" s="56">
        <f>SUM(K80:K81)</f>
      </c>
      <c r="L82" s="56">
        <f>SUM(L80:L81)</f>
      </c>
      <c r="M82" s="56">
        <f>SUM(M80:M81)</f>
      </c>
      <c r="N82" s="56">
        <f>SUM(N80:N81)</f>
      </c>
      <c r="O82" s="52">
        <f t="shared" si="26"/>
      </c>
      <c r="P82" s="53">
        <f t="shared" si="45"/>
      </c>
      <c r="Q82" s="54">
        <f t="shared" si="47"/>
      </c>
      <c r="R82" s="55"/>
      <c r="S82" s="56">
        <f>SUM(S80:S81)</f>
      </c>
      <c r="T82" s="57">
        <f t="shared" si="0"/>
      </c>
      <c r="U82" s="57">
        <f t="shared" si="9"/>
      </c>
      <c r="V82" s="57">
        <f t="shared" si="27"/>
      </c>
    </row>
    <row r="83">
      <c r="A83" s="61" t="s">
        <v>133</v>
      </c>
      <c r="B83" s="44" t="s">
        <v>80</v>
      </c>
      <c r="C83" s="43" t="s">
        <v>81</v>
      </c>
      <c r="D83" s="76">
        <f>4-2</f>
      </c>
      <c r="E83" s="43">
        <v>29</v>
      </c>
      <c r="F83" s="43">
        <v>8</v>
      </c>
      <c r="G83" s="63">
        <v>3</v>
      </c>
      <c r="H83" s="71">
        <f t="shared" ref="H83:H84" si="17">39*12*G83</f>
      </c>
      <c r="I83" s="44">
        <v>0</v>
      </c>
      <c r="J83" s="43">
        <f t="shared" ref="J83:J84" si="43">79*12*I83</f>
      </c>
      <c r="K83" s="63">
        <v>5</v>
      </c>
      <c r="L83" s="67">
        <f>189*12*K83-188</f>
      </c>
      <c r="M83" s="44">
        <f t="shared" ref="M83:M84" si="36">L83+J83+H83</f>
      </c>
      <c r="N83" s="44">
        <v>13780.18</v>
      </c>
      <c r="O83" s="45">
        <f t="shared" si="26"/>
      </c>
      <c r="P83" s="45">
        <f t="shared" si="45"/>
      </c>
      <c r="Q83" s="46">
        <f t="shared" si="47"/>
      </c>
      <c r="R83" s="47" t="s">
        <v>96</v>
      </c>
      <c r="S83" s="43">
        <v>8</v>
      </c>
      <c r="T83" s="48">
        <f t="shared" si="0"/>
      </c>
      <c r="U83" s="48">
        <f t="shared" si="9"/>
      </c>
      <c r="V83" s="48">
        <f t="shared" si="27"/>
      </c>
    </row>
    <row r="84">
      <c r="A84" s="61" t="s">
        <v>133</v>
      </c>
      <c r="B84" s="44" t="s">
        <v>83</v>
      </c>
      <c r="C84" s="43" t="s">
        <v>91</v>
      </c>
      <c r="D84" s="43">
        <v>4</v>
      </c>
      <c r="E84" s="43">
        <v>31</v>
      </c>
      <c r="F84" s="43">
        <v>10</v>
      </c>
      <c r="G84" s="63">
        <v>0</v>
      </c>
      <c r="H84" s="71">
        <f t="shared" si="17"/>
      </c>
      <c r="I84" s="44">
        <v>2</v>
      </c>
      <c r="J84" s="43">
        <f t="shared" si="43"/>
      </c>
      <c r="K84" s="63">
        <v>8</v>
      </c>
      <c r="L84" s="67">
        <f>189*12*K84</f>
      </c>
      <c r="M84" s="44">
        <f t="shared" si="36"/>
      </c>
      <c r="N84" s="44">
        <v>13250.18</v>
      </c>
      <c r="O84" s="45">
        <f t="shared" si="26"/>
      </c>
      <c r="P84" s="45">
        <f t="shared" si="45"/>
      </c>
      <c r="Q84" s="46">
        <f t="shared" si="47"/>
      </c>
      <c r="R84" s="47"/>
      <c r="S84" s="43"/>
      <c r="T84" s="48">
        <f t="shared" si="0"/>
      </c>
      <c r="U84" s="48">
        <f t="shared" si="9"/>
      </c>
      <c r="V84" s="48">
        <f t="shared" si="27"/>
      </c>
    </row>
    <row r="85">
      <c r="A85" s="65" t="s">
        <v>133</v>
      </c>
      <c r="B85" s="50" t="s">
        <v>85</v>
      </c>
      <c r="C85" s="51"/>
      <c r="D85" s="56">
        <f>SUM(D83:D84)</f>
      </c>
      <c r="E85" s="56">
        <f>SUM(E83:E84)</f>
      </c>
      <c r="F85" s="56">
        <f>SUM(F83:F84)</f>
      </c>
      <c r="G85" s="56">
        <f>SUM(G83:G84)</f>
      </c>
      <c r="H85" s="56">
        <f>SUM(H83:H84)</f>
      </c>
      <c r="I85" s="56">
        <f>SUM(I83:I84)</f>
      </c>
      <c r="J85" s="56">
        <f>SUM(J83:J84)</f>
      </c>
      <c r="K85" s="56">
        <f>SUM(K83:K84)</f>
      </c>
      <c r="L85" s="56">
        <f>SUM(L83:L84)</f>
      </c>
      <c r="M85" s="56">
        <f>SUM(M83:M84)</f>
      </c>
      <c r="N85" s="56">
        <f>SUM(N83:N84)</f>
      </c>
      <c r="O85" s="52">
        <f t="shared" si="26"/>
      </c>
      <c r="P85" s="53">
        <f t="shared" si="45"/>
      </c>
      <c r="Q85" s="54">
        <f t="shared" si="47"/>
      </c>
      <c r="R85" s="55"/>
      <c r="S85" s="56">
        <f>SUM(S83:S84)</f>
      </c>
      <c r="T85" s="57">
        <f t="shared" si="0"/>
      </c>
      <c r="U85" s="57">
        <f t="shared" si="9"/>
      </c>
      <c r="V85" s="57">
        <f t="shared" si="27"/>
      </c>
    </row>
    <row r="86"/>
    <row r="87">
      <c r="B87" s="77"/>
      <c r="N87" s="78"/>
      <c r="O87" s="79"/>
    </row>
    <row r="88"/>
    <row r="89"/>
    <row r="90">
      <c r="N90" s="80"/>
    </row>
    <row r="91">
      <c r="L91" t="s">
        <v>74</v>
      </c>
      <c r="M91" t="s">
        <v>134</v>
      </c>
    </row>
    <row r="92">
      <c r="L92" t="s">
        <v>96</v>
      </c>
      <c r="M92">
        <v>117</v>
      </c>
    </row>
    <row r="93">
      <c r="L93" t="s">
        <v>125</v>
      </c>
      <c r="M93">
        <v>2</v>
      </c>
    </row>
    <row r="94">
      <c r="L94" t="s">
        <v>82</v>
      </c>
      <c r="M94">
        <v>25.5</v>
      </c>
    </row>
    <row r="95">
      <c r="L95" t="s">
        <v>113</v>
      </c>
      <c r="M95">
        <v>13</v>
      </c>
    </row>
    <row r="96">
      <c r="L96" t="s">
        <v>92</v>
      </c>
      <c r="M96">
        <v>11.5</v>
      </c>
    </row>
    <row r="97">
      <c r="L97" t="s">
        <v>128</v>
      </c>
      <c r="M97">
        <v>8</v>
      </c>
    </row>
    <row r="98">
      <c r="L98" t="s">
        <v>107</v>
      </c>
      <c r="M98">
        <v>8</v>
      </c>
    </row>
    <row r="99">
      <c r="L99" t="s">
        <v>135</v>
      </c>
      <c r="M99">
        <v>2</v>
      </c>
    </row>
    <row r="100">
      <c r="L100" t="s">
        <v>85</v>
      </c>
      <c r="M100">
        <v>187</v>
      </c>
    </row>
  </sheetData>
  <autoFilter ref="A1:V198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17" min="17" style="0" width="11.211267605633802"/>
    <col collapsed="false" customWidth="true" hidden="false" max="19" min="19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8" min="18" style="0" width="11.211267605633802"/>
  </cols>
  <sheetData>
    <row r="1">
      <c r="A1" s="81" t="s">
        <v>136</v>
      </c>
      <c r="B1" s="82" t="s">
        <v>137</v>
      </c>
      <c r="C1" s="82" t="s">
        <v>138</v>
      </c>
      <c r="D1" s="82" t="s">
        <v>139</v>
      </c>
      <c r="E1" s="82" t="s">
        <v>140</v>
      </c>
      <c r="F1" s="83" t="s">
        <v>141</v>
      </c>
      <c r="G1" s="83" t="s">
        <v>142</v>
      </c>
      <c r="H1" s="83" t="s">
        <v>143</v>
      </c>
      <c r="I1" s="83" t="s">
        <v>144</v>
      </c>
      <c r="J1" s="82" t="s">
        <v>145</v>
      </c>
      <c r="K1" s="82" t="s">
        <v>146</v>
      </c>
      <c r="L1" s="84" t="s">
        <v>147</v>
      </c>
      <c r="M1" s="84" t="s">
        <v>148</v>
      </c>
      <c r="N1" s="84" t="s">
        <v>149</v>
      </c>
      <c r="O1" s="84" t="s">
        <v>150</v>
      </c>
      <c r="P1" s="82" t="s">
        <v>151</v>
      </c>
      <c r="Q1" s="83" t="s">
        <v>152</v>
      </c>
      <c r="R1" s="83" t="s">
        <v>153</v>
      </c>
      <c r="S1" s="83" t="s">
        <v>154</v>
      </c>
    </row>
    <row r="2">
      <c r="A2" s="85" t="s">
        <v>155</v>
      </c>
      <c r="B2" s="86" t="s">
        <v>156</v>
      </c>
      <c r="C2" s="86" t="s">
        <v>157</v>
      </c>
      <c r="D2" s="86">
        <v>5</v>
      </c>
      <c r="E2" s="86">
        <v>20</v>
      </c>
      <c r="F2" s="86">
        <v>9</v>
      </c>
      <c r="G2" s="86">
        <v>3</v>
      </c>
      <c r="H2" s="86">
        <v>1</v>
      </c>
      <c r="I2" s="86">
        <v>5</v>
      </c>
      <c r="J2" s="87">
        <v>13692</v>
      </c>
      <c r="K2" s="87">
        <v>12538.34</v>
      </c>
      <c r="L2" s="88">
        <f t="shared" ref="L2:L111" si="1">J2/K2</f>
      </c>
      <c r="M2" s="88">
        <f t="shared" ref="M2:M111" si="5">J2/F2</f>
      </c>
      <c r="N2" s="89">
        <f t="shared" ref="N2:N111" si="2">K2/F2</f>
      </c>
      <c r="O2" s="90" t="s">
        <v>158</v>
      </c>
      <c r="P2" s="86">
        <v>8</v>
      </c>
      <c r="Q2" s="91">
        <f t="shared" ref="Q2:Q111" si="6">G2/F2</f>
      </c>
      <c r="R2" s="91">
        <f t="shared" ref="R2:R111" si="0">H2/F2</f>
      </c>
      <c r="S2" s="91">
        <f t="shared" ref="S2:S111" si="3">I2/F2</f>
      </c>
    </row>
    <row hidden="true" r="3">
      <c r="A3" s="85" t="s">
        <v>155</v>
      </c>
      <c r="B3" s="86" t="s">
        <v>159</v>
      </c>
      <c r="C3" s="86" t="s">
        <v>160</v>
      </c>
      <c r="D3" s="86">
        <v>5</v>
      </c>
      <c r="E3" s="86">
        <v>12</v>
      </c>
      <c r="F3" s="86">
        <v>7</v>
      </c>
      <c r="G3" s="86">
        <v>1</v>
      </c>
      <c r="H3" s="86">
        <v>1</v>
      </c>
      <c r="I3" s="86">
        <v>5</v>
      </c>
      <c r="J3" s="87">
        <v>12756</v>
      </c>
      <c r="K3" s="86">
        <v>9964.75</v>
      </c>
      <c r="L3" s="88">
        <f t="shared" si="1"/>
      </c>
      <c r="M3" s="88">
        <f t="shared" si="5"/>
      </c>
      <c r="N3" s="89">
        <f t="shared" si="2"/>
      </c>
      <c r="O3" s="90" t="s">
        <v>161</v>
      </c>
      <c r="P3" s="86">
        <v>4</v>
      </c>
      <c r="Q3" s="91">
        <f t="shared" si="6"/>
      </c>
      <c r="R3" s="91">
        <f t="shared" si="0"/>
      </c>
      <c r="S3" s="91">
        <f t="shared" si="3"/>
      </c>
    </row>
    <row hidden="true" r="4">
      <c r="A4" s="85" t="s">
        <v>155</v>
      </c>
      <c r="B4" s="86" t="s">
        <v>162</v>
      </c>
      <c r="C4" s="86" t="s">
        <v>163</v>
      </c>
      <c r="D4" s="86">
        <v>2</v>
      </c>
      <c r="E4" s="86">
        <v>1</v>
      </c>
      <c r="F4" s="86">
        <v>0</v>
      </c>
      <c r="G4" s="86">
        <v>0</v>
      </c>
      <c r="H4" s="86">
        <v>0</v>
      </c>
      <c r="I4" s="86">
        <v>0</v>
      </c>
      <c r="J4" s="87">
        <v>0</v>
      </c>
      <c r="K4" s="87">
        <v>2258.45</v>
      </c>
      <c r="L4" s="88">
        <f t="shared" si="1"/>
      </c>
      <c r="M4" s="88">
        <f t="shared" si="5"/>
      </c>
      <c r="N4" s="92">
        <f t="shared" si="2"/>
      </c>
      <c r="O4" s="93"/>
      <c r="P4" s="87"/>
      <c r="Q4" s="91">
        <f t="shared" si="6"/>
      </c>
      <c r="R4" s="91">
        <f t="shared" si="0"/>
      </c>
      <c r="S4" s="91">
        <f t="shared" si="3"/>
      </c>
    </row>
    <row hidden="true" r="5">
      <c r="A5" s="94" t="s">
        <v>155</v>
      </c>
      <c r="B5" s="95" t="s">
        <v>164</v>
      </c>
      <c r="C5" s="96"/>
      <c r="D5" s="96">
        <f>SUM(D2:D4)</f>
      </c>
      <c r="E5" s="96">
        <f>SUM(E2:E4)</f>
      </c>
      <c r="F5" s="96">
        <f>SUM(F2:F4)</f>
      </c>
      <c r="G5" s="96">
        <f>SUM(G2:G4)</f>
      </c>
      <c r="H5" s="96">
        <f>SUM(H2:H4)</f>
      </c>
      <c r="I5" s="96">
        <f>SUM(I2:I4)</f>
      </c>
      <c r="J5" s="96">
        <f>SUM(J2:J4)</f>
      </c>
      <c r="K5" s="96">
        <f>SUM(K2:K4)</f>
      </c>
      <c r="L5" s="97">
        <f t="shared" si="1"/>
      </c>
      <c r="M5" s="98">
        <f t="shared" si="5"/>
      </c>
      <c r="N5" s="99">
        <f t="shared" si="2"/>
      </c>
      <c r="O5" s="100"/>
      <c r="P5" s="101">
        <f>SUM(P2:P4)</f>
      </c>
      <c r="Q5" s="102">
        <f t="shared" si="6"/>
      </c>
      <c r="R5" s="102">
        <f t="shared" si="0"/>
      </c>
      <c r="S5" s="102">
        <f t="shared" si="3"/>
      </c>
      <c r="T5" s="103"/>
    </row>
    <row r="6">
      <c r="A6" s="85" t="s">
        <v>165</v>
      </c>
      <c r="B6" s="86" t="s">
        <v>159</v>
      </c>
      <c r="C6" s="86" t="s">
        <v>157</v>
      </c>
      <c r="D6" s="86">
        <v>5</v>
      </c>
      <c r="E6" s="86">
        <v>26</v>
      </c>
      <c r="F6" s="86">
        <v>15</v>
      </c>
      <c r="G6" s="86">
        <v>2</v>
      </c>
      <c r="H6" s="86">
        <v>0</v>
      </c>
      <c r="I6" s="86">
        <v>13</v>
      </c>
      <c r="J6" s="87">
        <v>30232</v>
      </c>
      <c r="K6" s="87">
        <v>14191.419999999998</v>
      </c>
      <c r="L6" s="88">
        <f t="shared" si="1"/>
      </c>
      <c r="M6" s="88">
        <f t="shared" si="5"/>
      </c>
      <c r="N6" s="89">
        <f t="shared" si="2"/>
      </c>
      <c r="O6" s="90" t="s">
        <v>158</v>
      </c>
      <c r="P6" s="86">
        <v>8</v>
      </c>
      <c r="Q6" s="91">
        <f t="shared" si="6"/>
      </c>
      <c r="R6" s="91">
        <f t="shared" si="0"/>
      </c>
      <c r="S6" s="91">
        <f t="shared" si="3"/>
      </c>
    </row>
    <row hidden="true" r="7">
      <c r="A7" s="85" t="s">
        <v>165</v>
      </c>
      <c r="B7" s="86" t="s">
        <v>156</v>
      </c>
      <c r="C7" s="86" t="s">
        <v>160</v>
      </c>
      <c r="D7" s="86">
        <v>5</v>
      </c>
      <c r="E7" s="86">
        <v>18</v>
      </c>
      <c r="F7" s="86">
        <v>9</v>
      </c>
      <c r="G7" s="86">
        <v>0</v>
      </c>
      <c r="H7" s="86">
        <v>1</v>
      </c>
      <c r="I7" s="86">
        <v>8</v>
      </c>
      <c r="J7" s="87">
        <v>19092</v>
      </c>
      <c r="K7" s="86">
        <v>13778.34</v>
      </c>
      <c r="L7" s="88">
        <f t="shared" si="1"/>
      </c>
      <c r="M7" s="88">
        <f t="shared" si="5"/>
      </c>
      <c r="N7" s="89">
        <f t="shared" si="2"/>
      </c>
      <c r="O7" s="90" t="s">
        <v>166</v>
      </c>
      <c r="P7" s="86">
        <v>2</v>
      </c>
      <c r="Q7" s="91">
        <f t="shared" si="6"/>
      </c>
      <c r="R7" s="91">
        <f t="shared" si="0"/>
      </c>
      <c r="S7" s="91">
        <f t="shared" si="3"/>
      </c>
    </row>
    <row hidden="true" r="8">
      <c r="A8" s="85" t="s">
        <v>165</v>
      </c>
      <c r="B8" s="86" t="s">
        <v>162</v>
      </c>
      <c r="C8" s="86" t="s">
        <v>163</v>
      </c>
      <c r="D8" s="86">
        <v>2</v>
      </c>
      <c r="E8" s="86">
        <v>9</v>
      </c>
      <c r="F8" s="86">
        <v>6</v>
      </c>
      <c r="G8" s="86">
        <v>0</v>
      </c>
      <c r="H8" s="86">
        <v>2</v>
      </c>
      <c r="I8" s="86">
        <v>4</v>
      </c>
      <c r="J8" s="87">
        <v>10592</v>
      </c>
      <c r="K8" s="87">
        <v>5157.23</v>
      </c>
      <c r="L8" s="88">
        <f t="shared" si="1"/>
      </c>
      <c r="M8" s="88">
        <f t="shared" si="5"/>
      </c>
      <c r="N8" s="92">
        <f t="shared" si="2"/>
      </c>
      <c r="O8" s="90" t="s">
        <v>161</v>
      </c>
      <c r="P8" s="86">
        <v>2</v>
      </c>
      <c r="Q8" s="91">
        <f t="shared" si="6"/>
      </c>
      <c r="R8" s="91">
        <f t="shared" si="0"/>
      </c>
      <c r="S8" s="91">
        <f t="shared" si="3"/>
      </c>
    </row>
    <row hidden="true" r="9">
      <c r="A9" s="94" t="s">
        <v>165</v>
      </c>
      <c r="B9" s="95" t="s">
        <v>164</v>
      </c>
      <c r="C9" s="96"/>
      <c r="D9" s="96">
        <f>SUM(D6:D8)</f>
      </c>
      <c r="E9" s="96">
        <f>SUM(E6:E8)</f>
      </c>
      <c r="F9" s="96">
        <f>SUM(F6:F8)</f>
      </c>
      <c r="G9" s="96">
        <f>SUM(G6:G8)</f>
      </c>
      <c r="H9" s="96">
        <f>SUM(H6:H8)</f>
      </c>
      <c r="I9" s="96">
        <f>SUM(I6:I8)</f>
      </c>
      <c r="J9" s="96">
        <f>SUM(J6:J8)</f>
      </c>
      <c r="K9" s="96">
        <f>SUM(K6:K8)</f>
      </c>
      <c r="L9" s="97">
        <f t="shared" si="1"/>
      </c>
      <c r="M9" s="98">
        <f t="shared" si="5"/>
      </c>
      <c r="N9" s="99">
        <f t="shared" si="2"/>
      </c>
      <c r="O9" s="100"/>
      <c r="P9" s="101">
        <f>SUM(P6:P8)</f>
      </c>
      <c r="Q9" s="102">
        <f t="shared" si="6"/>
      </c>
      <c r="R9" s="102">
        <f t="shared" si="0"/>
      </c>
      <c r="S9" s="102">
        <f t="shared" si="3"/>
      </c>
      <c r="T9" s="103"/>
    </row>
    <row r="10">
      <c r="A10" s="85" t="s">
        <v>167</v>
      </c>
      <c r="B10" s="86" t="s">
        <v>159</v>
      </c>
      <c r="C10" s="86" t="s">
        <v>157</v>
      </c>
      <c r="D10" s="86">
        <v>5</v>
      </c>
      <c r="E10" s="86">
        <v>24</v>
      </c>
      <c r="F10" s="86">
        <v>19</v>
      </c>
      <c r="G10" s="86">
        <v>1</v>
      </c>
      <c r="H10" s="86">
        <v>5</v>
      </c>
      <c r="I10" s="86">
        <v>13</v>
      </c>
      <c r="J10" s="87">
        <v>34465</v>
      </c>
      <c r="K10" s="87">
        <v>15068.5</v>
      </c>
      <c r="L10" s="88">
        <f t="shared" si="1"/>
      </c>
      <c r="M10" s="88">
        <f t="shared" si="5"/>
      </c>
      <c r="N10" s="89">
        <f t="shared" si="2"/>
      </c>
      <c r="O10" s="90" t="s">
        <v>158</v>
      </c>
      <c r="P10" s="86">
        <v>8</v>
      </c>
      <c r="Q10" s="91">
        <f t="shared" si="6"/>
      </c>
      <c r="R10" s="91">
        <f t="shared" si="0"/>
      </c>
      <c r="S10" s="91">
        <f t="shared" si="3"/>
      </c>
    </row>
    <row hidden="true" r="11">
      <c r="A11" s="85" t="s">
        <v>167</v>
      </c>
      <c r="B11" s="86" t="s">
        <v>162</v>
      </c>
      <c r="C11" s="86" t="s">
        <v>168</v>
      </c>
      <c r="D11" s="86">
        <v>2</v>
      </c>
      <c r="E11" s="86">
        <v>20</v>
      </c>
      <c r="F11" s="86">
        <v>11</v>
      </c>
      <c r="G11" s="86">
        <v>1</v>
      </c>
      <c r="H11" s="86">
        <v>1</v>
      </c>
      <c r="I11" s="86">
        <v>9</v>
      </c>
      <c r="J11" s="87">
        <v>21640</v>
      </c>
      <c r="K11" s="86">
        <v>13555.01</v>
      </c>
      <c r="L11" s="88">
        <f t="shared" si="1"/>
      </c>
      <c r="M11" s="88">
        <f t="shared" si="5"/>
      </c>
      <c r="N11" s="89">
        <f t="shared" si="2"/>
      </c>
      <c r="O11" s="90" t="s">
        <v>161</v>
      </c>
      <c r="P11" s="86">
        <v>4</v>
      </c>
      <c r="Q11" s="91">
        <f t="shared" si="6"/>
      </c>
      <c r="R11" s="91">
        <f t="shared" si="0"/>
      </c>
      <c r="S11" s="91">
        <f t="shared" si="3"/>
      </c>
    </row>
    <row hidden="true" r="12">
      <c r="A12" s="85" t="s">
        <v>167</v>
      </c>
      <c r="B12" s="86" t="s">
        <v>156</v>
      </c>
      <c r="C12" s="86" t="s">
        <v>169</v>
      </c>
      <c r="D12" s="86">
        <v>5</v>
      </c>
      <c r="E12" s="86">
        <v>20</v>
      </c>
      <c r="F12" s="86">
        <v>5</v>
      </c>
      <c r="G12" s="86">
        <v>1</v>
      </c>
      <c r="H12" s="86">
        <v>2</v>
      </c>
      <c r="I12" s="86">
        <v>2</v>
      </c>
      <c r="J12" s="87">
        <v>6633</v>
      </c>
      <c r="K12" s="87">
        <v>20081.28</v>
      </c>
      <c r="L12" s="88">
        <f t="shared" si="1"/>
      </c>
      <c r="M12" s="88">
        <f t="shared" si="5"/>
      </c>
      <c r="N12" s="92">
        <f t="shared" si="2"/>
      </c>
      <c r="O12" s="90"/>
      <c r="P12" s="86"/>
      <c r="Q12" s="91">
        <f t="shared" si="6"/>
      </c>
      <c r="R12" s="91">
        <f t="shared" si="0"/>
      </c>
      <c r="S12" s="91">
        <f t="shared" si="3"/>
      </c>
    </row>
    <row hidden="true" r="13">
      <c r="A13" s="94" t="s">
        <v>167</v>
      </c>
      <c r="B13" s="95" t="s">
        <v>164</v>
      </c>
      <c r="C13" s="96"/>
      <c r="D13" s="96">
        <f>SUM(D10:D12)</f>
      </c>
      <c r="E13" s="96">
        <f>SUM(E10:E12)</f>
      </c>
      <c r="F13" s="96">
        <f>SUM(F10:F12)</f>
      </c>
      <c r="G13" s="96">
        <f>SUM(G10:G12)</f>
      </c>
      <c r="H13" s="96">
        <f>SUM(H10:H12)</f>
      </c>
      <c r="I13" s="96">
        <f>SUM(I10:I12)</f>
      </c>
      <c r="J13" s="96">
        <f>SUM(J10:J12)</f>
      </c>
      <c r="K13" s="96">
        <f>SUM(K10:K12)</f>
      </c>
      <c r="L13" s="97">
        <f t="shared" si="1"/>
      </c>
      <c r="M13" s="98">
        <f t="shared" si="5"/>
      </c>
      <c r="N13" s="99">
        <f t="shared" si="2"/>
      </c>
      <c r="O13" s="100"/>
      <c r="P13" s="101">
        <f>SUM(P10:P12)</f>
      </c>
      <c r="Q13" s="102">
        <f t="shared" si="6"/>
      </c>
      <c r="R13" s="102">
        <f t="shared" si="0"/>
      </c>
      <c r="S13" s="102">
        <f t="shared" si="3"/>
      </c>
    </row>
    <row r="14">
      <c r="A14" s="85" t="s">
        <v>170</v>
      </c>
      <c r="B14" s="86" t="s">
        <v>159</v>
      </c>
      <c r="C14" s="86" t="s">
        <v>157</v>
      </c>
      <c r="D14" s="86">
        <v>5</v>
      </c>
      <c r="E14" s="86">
        <v>31</v>
      </c>
      <c r="F14" s="86">
        <v>16</v>
      </c>
      <c r="G14" s="86">
        <v>2</v>
      </c>
      <c r="H14" s="86">
        <v>5</v>
      </c>
      <c r="I14" s="86">
        <v>9</v>
      </c>
      <c r="J14" s="87">
        <v>26088</v>
      </c>
      <c r="K14" s="87">
        <v>18729.629999999997</v>
      </c>
      <c r="L14" s="88">
        <f t="shared" si="1"/>
      </c>
      <c r="M14" s="88">
        <f t="shared" si="5"/>
      </c>
      <c r="N14" s="89">
        <f t="shared" si="2"/>
      </c>
      <c r="O14" s="90" t="s">
        <v>158</v>
      </c>
      <c r="P14" s="86">
        <v>8</v>
      </c>
      <c r="Q14" s="91">
        <f t="shared" si="6"/>
      </c>
      <c r="R14" s="91">
        <f t="shared" si="0"/>
      </c>
      <c r="S14" s="91">
        <f t="shared" si="3"/>
      </c>
    </row>
    <row hidden="true" r="15">
      <c r="A15" s="85" t="s">
        <v>170</v>
      </c>
      <c r="B15" s="86" t="s">
        <v>156</v>
      </c>
      <c r="C15" s="86" t="s">
        <v>171</v>
      </c>
      <c r="D15" s="86">
        <v>4</v>
      </c>
      <c r="E15" s="86">
        <v>15</v>
      </c>
      <c r="F15" s="86">
        <v>9</v>
      </c>
      <c r="G15" s="86">
        <v>1</v>
      </c>
      <c r="H15" s="86">
        <v>1</v>
      </c>
      <c r="I15" s="86">
        <v>5</v>
      </c>
      <c r="J15" s="87">
        <v>17292</v>
      </c>
      <c r="K15" s="86">
        <v>13643.02</v>
      </c>
      <c r="L15" s="88">
        <f t="shared" si="1"/>
      </c>
      <c r="M15" s="88">
        <f t="shared" si="5"/>
      </c>
      <c r="N15" s="89">
        <f t="shared" si="2"/>
      </c>
      <c r="O15" s="90" t="s">
        <v>166</v>
      </c>
      <c r="P15" s="86">
        <v>4</v>
      </c>
      <c r="Q15" s="91">
        <f t="shared" si="6"/>
      </c>
      <c r="R15" s="91">
        <f t="shared" si="0"/>
      </c>
      <c r="S15" s="91">
        <f t="shared" si="3"/>
      </c>
    </row>
    <row hidden="true" r="16">
      <c r="A16" s="85" t="s">
        <v>170</v>
      </c>
      <c r="B16" s="86" t="s">
        <v>162</v>
      </c>
      <c r="C16" s="86" t="s">
        <v>172</v>
      </c>
      <c r="D16" s="86">
        <v>3</v>
      </c>
      <c r="E16" s="86">
        <v>7</v>
      </c>
      <c r="F16" s="86">
        <v>3</v>
      </c>
      <c r="G16" s="86">
        <v>2</v>
      </c>
      <c r="H16" s="86">
        <v>0</v>
      </c>
      <c r="I16" s="86">
        <v>1</v>
      </c>
      <c r="J16" s="87">
        <v>3204</v>
      </c>
      <c r="K16" s="87">
        <v>7922.32</v>
      </c>
      <c r="L16" s="88">
        <f t="shared" si="1"/>
      </c>
      <c r="M16" s="88">
        <f t="shared" si="5"/>
      </c>
      <c r="N16" s="92">
        <f t="shared" si="2"/>
      </c>
      <c r="O16" s="90"/>
      <c r="P16" s="86"/>
      <c r="Q16" s="91">
        <f t="shared" si="6"/>
      </c>
      <c r="R16" s="91">
        <f t="shared" si="0"/>
      </c>
      <c r="S16" s="91">
        <f t="shared" si="3"/>
      </c>
    </row>
    <row hidden="true" r="17">
      <c r="A17" s="94" t="s">
        <v>170</v>
      </c>
      <c r="B17" s="95" t="s">
        <v>164</v>
      </c>
      <c r="C17" s="96"/>
      <c r="D17" s="96">
        <f>SUM(D14:D16)</f>
      </c>
      <c r="E17" s="96">
        <f>SUM(E14:E16)</f>
      </c>
      <c r="F17" s="96">
        <f>SUM(F14:F16)</f>
      </c>
      <c r="G17" s="96">
        <f>SUM(G14:G16)</f>
      </c>
      <c r="H17" s="96">
        <f>SUM(H14:H16)</f>
      </c>
      <c r="I17" s="96">
        <f>SUM(I14:I16)</f>
      </c>
      <c r="J17" s="96">
        <f>SUM(J14:J16)</f>
      </c>
      <c r="K17" s="96">
        <f>SUM(K14:K16)</f>
      </c>
      <c r="L17" s="97">
        <f t="shared" si="1"/>
      </c>
      <c r="M17" s="98">
        <f t="shared" si="5"/>
      </c>
      <c r="N17" s="99">
        <f t="shared" si="2"/>
      </c>
      <c r="O17" s="100"/>
      <c r="P17" s="101">
        <f>SUM(P14:P16)</f>
      </c>
      <c r="Q17" s="102">
        <f t="shared" si="6"/>
      </c>
      <c r="R17" s="102">
        <f t="shared" si="0"/>
      </c>
      <c r="S17" s="102">
        <f t="shared" si="3"/>
      </c>
    </row>
    <row r="18">
      <c r="A18" s="85" t="s">
        <v>173</v>
      </c>
      <c r="B18" s="86" t="s">
        <v>159</v>
      </c>
      <c r="C18" s="86" t="s">
        <v>157</v>
      </c>
      <c r="D18" s="86">
        <v>5</v>
      </c>
      <c r="E18" s="86">
        <v>15</v>
      </c>
      <c r="F18" s="86">
        <v>7</v>
      </c>
      <c r="G18" s="86">
        <v>1</v>
      </c>
      <c r="H18" s="86">
        <v>1</v>
      </c>
      <c r="I18" s="86">
        <v>5</v>
      </c>
      <c r="J18" s="87">
        <v>12756</v>
      </c>
      <c r="K18" s="87">
        <v>13592.66</v>
      </c>
      <c r="L18" s="88">
        <f t="shared" si="1"/>
      </c>
      <c r="M18" s="88">
        <f t="shared" si="5"/>
      </c>
      <c r="N18" s="89">
        <f t="shared" si="2"/>
      </c>
      <c r="O18" s="90" t="s">
        <v>158</v>
      </c>
      <c r="P18" s="86">
        <v>8</v>
      </c>
      <c r="Q18" s="91">
        <f t="shared" si="6"/>
      </c>
      <c r="R18" s="91">
        <f t="shared" si="0"/>
      </c>
      <c r="S18" s="91">
        <f t="shared" si="3"/>
      </c>
    </row>
    <row hidden="true" r="19">
      <c r="A19" s="85" t="s">
        <v>173</v>
      </c>
      <c r="B19" s="86" t="s">
        <v>156</v>
      </c>
      <c r="C19" s="86" t="s">
        <v>171</v>
      </c>
      <c r="D19" s="86">
        <v>4</v>
      </c>
      <c r="E19" s="86">
        <v>16</v>
      </c>
      <c r="F19" s="86">
        <v>9</v>
      </c>
      <c r="G19" s="86">
        <v>0</v>
      </c>
      <c r="H19" s="86">
        <v>2</v>
      </c>
      <c r="I19" s="86">
        <v>7</v>
      </c>
      <c r="J19" s="87">
        <v>17772</v>
      </c>
      <c r="K19" s="86">
        <v>9310.84</v>
      </c>
      <c r="L19" s="88">
        <f t="shared" si="1"/>
      </c>
      <c r="M19" s="88">
        <f t="shared" si="5"/>
      </c>
      <c r="N19" s="89">
        <f t="shared" si="2"/>
      </c>
      <c r="O19" s="90" t="s">
        <v>166</v>
      </c>
      <c r="P19" s="86">
        <v>4</v>
      </c>
      <c r="Q19" s="91">
        <f t="shared" si="6"/>
      </c>
      <c r="R19" s="91">
        <f t="shared" si="0"/>
      </c>
      <c r="S19" s="91">
        <f t="shared" si="3"/>
      </c>
    </row>
    <row hidden="true" r="20">
      <c r="A20" s="85" t="s">
        <v>173</v>
      </c>
      <c r="B20" s="86" t="s">
        <v>162</v>
      </c>
      <c r="C20" s="86" t="s">
        <v>172</v>
      </c>
      <c r="D20" s="86">
        <v>3</v>
      </c>
      <c r="E20" s="86">
        <v>17</v>
      </c>
      <c r="F20" s="86">
        <v>7</v>
      </c>
      <c r="G20" s="86">
        <v>0</v>
      </c>
      <c r="H20" s="86">
        <v>1</v>
      </c>
      <c r="I20" s="86">
        <v>5</v>
      </c>
      <c r="J20" s="87">
        <v>12208</v>
      </c>
      <c r="K20" s="87">
        <v>8649.31</v>
      </c>
      <c r="L20" s="88">
        <f t="shared" si="1"/>
      </c>
      <c r="M20" s="88">
        <f t="shared" si="5"/>
      </c>
      <c r="N20" s="92">
        <f t="shared" si="2"/>
      </c>
      <c r="O20" s="90"/>
      <c r="P20" s="86"/>
      <c r="Q20" s="91">
        <f t="shared" si="6"/>
      </c>
      <c r="R20" s="91">
        <f t="shared" si="0"/>
      </c>
      <c r="S20" s="91">
        <f t="shared" si="3"/>
      </c>
    </row>
    <row hidden="true" r="21">
      <c r="A21" s="94" t="s">
        <v>173</v>
      </c>
      <c r="B21" s="95" t="s">
        <v>164</v>
      </c>
      <c r="C21" s="96"/>
      <c r="D21" s="96">
        <f>SUM(D18:D20)</f>
      </c>
      <c r="E21" s="96">
        <f>SUM(E18:E20)</f>
      </c>
      <c r="F21" s="96">
        <f>SUM(F18:F20)</f>
      </c>
      <c r="G21" s="96">
        <f>SUM(G18:G20)</f>
      </c>
      <c r="H21" s="96">
        <f>SUM(H18:H20)</f>
      </c>
      <c r="I21" s="96">
        <f>SUM(I18:I20)</f>
      </c>
      <c r="J21" s="96">
        <f>SUM(J18:J20)</f>
      </c>
      <c r="K21" s="96">
        <f>SUM(K18:K20)</f>
      </c>
      <c r="L21" s="97">
        <f t="shared" si="1"/>
      </c>
      <c r="M21" s="98">
        <f t="shared" si="5"/>
      </c>
      <c r="N21" s="99">
        <f t="shared" si="2"/>
      </c>
      <c r="O21" s="100"/>
      <c r="P21" s="101">
        <f>SUM(P18:P20)</f>
      </c>
      <c r="Q21" s="102">
        <f t="shared" si="6"/>
      </c>
      <c r="R21" s="102">
        <f t="shared" si="0"/>
      </c>
      <c r="S21" s="102">
        <f t="shared" si="3"/>
      </c>
    </row>
    <row r="22">
      <c r="A22" s="85" t="s">
        <v>174</v>
      </c>
      <c r="B22" s="86" t="s">
        <v>159</v>
      </c>
      <c r="C22" s="86" t="s">
        <v>157</v>
      </c>
      <c r="D22" s="86">
        <v>5</v>
      </c>
      <c r="E22" s="86">
        <v>41</v>
      </c>
      <c r="F22" s="86">
        <v>25</v>
      </c>
      <c r="G22" s="86">
        <v>2</v>
      </c>
      <c r="H22" s="86">
        <v>6</v>
      </c>
      <c r="I22" s="86">
        <v>14</v>
      </c>
      <c r="J22" s="87">
        <v>38345.600000000006</v>
      </c>
      <c r="K22" s="87">
        <v>24700.690000000002</v>
      </c>
      <c r="L22" s="88">
        <f t="shared" si="1"/>
      </c>
      <c r="M22" s="88">
        <f t="shared" si="5"/>
      </c>
      <c r="N22" s="89">
        <f t="shared" si="2"/>
      </c>
      <c r="O22" s="90" t="s">
        <v>158</v>
      </c>
      <c r="P22" s="86">
        <v>8</v>
      </c>
      <c r="Q22" s="91">
        <f t="shared" si="6"/>
      </c>
      <c r="R22" s="91">
        <f t="shared" si="0"/>
      </c>
      <c r="S22" s="91">
        <f t="shared" si="3"/>
      </c>
    </row>
    <row hidden="true" r="23">
      <c r="A23" s="85" t="s">
        <v>174</v>
      </c>
      <c r="B23" s="86" t="s">
        <v>156</v>
      </c>
      <c r="C23" s="86" t="s">
        <v>171</v>
      </c>
      <c r="D23" s="86">
        <v>4</v>
      </c>
      <c r="E23" s="86">
        <v>23</v>
      </c>
      <c r="F23" s="86">
        <v>8</v>
      </c>
      <c r="G23" s="86">
        <v>0</v>
      </c>
      <c r="H23" s="86">
        <v>0</v>
      </c>
      <c r="I23" s="86">
        <v>8</v>
      </c>
      <c r="J23" s="87">
        <v>17956</v>
      </c>
      <c r="K23" s="86">
        <v>15247.640000000001</v>
      </c>
      <c r="L23" s="88">
        <f t="shared" si="1"/>
      </c>
      <c r="M23" s="88">
        <f t="shared" si="5"/>
      </c>
      <c r="N23" s="89">
        <f t="shared" si="2"/>
      </c>
      <c r="O23" s="90" t="s">
        <v>161</v>
      </c>
      <c r="P23" s="86">
        <v>4</v>
      </c>
      <c r="Q23" s="91">
        <f t="shared" si="6"/>
      </c>
      <c r="R23" s="91">
        <f t="shared" si="0"/>
      </c>
      <c r="S23" s="91">
        <f t="shared" si="3"/>
      </c>
    </row>
    <row hidden="true" r="24">
      <c r="A24" s="85" t="s">
        <v>174</v>
      </c>
      <c r="B24" s="86" t="s">
        <v>162</v>
      </c>
      <c r="C24" s="86" t="s">
        <v>172</v>
      </c>
      <c r="D24" s="86">
        <v>3</v>
      </c>
      <c r="E24" s="86">
        <v>9</v>
      </c>
      <c r="F24" s="86">
        <v>5</v>
      </c>
      <c r="G24" s="86">
        <v>1</v>
      </c>
      <c r="H24" s="86">
        <v>1</v>
      </c>
      <c r="I24" s="86">
        <v>3</v>
      </c>
      <c r="J24" s="87">
        <v>8220</v>
      </c>
      <c r="K24" s="87">
        <v>6954.6900000000005</v>
      </c>
      <c r="L24" s="88">
        <f t="shared" si="1"/>
      </c>
      <c r="M24" s="88">
        <f t="shared" si="5"/>
      </c>
      <c r="N24" s="92">
        <f t="shared" si="2"/>
      </c>
      <c r="O24" s="90"/>
      <c r="P24" s="86"/>
      <c r="Q24" s="91">
        <f t="shared" si="6"/>
      </c>
      <c r="R24" s="91">
        <f t="shared" si="0"/>
      </c>
      <c r="S24" s="91">
        <f t="shared" si="3"/>
      </c>
    </row>
    <row hidden="true" r="25">
      <c r="A25" s="94" t="s">
        <v>174</v>
      </c>
      <c r="B25" s="95" t="s">
        <v>164</v>
      </c>
      <c r="C25" s="96"/>
      <c r="D25" s="96">
        <f>SUM(D22:D24)</f>
      </c>
      <c r="E25" s="96">
        <f>SUM(E22:E24)</f>
      </c>
      <c r="F25" s="96">
        <f>SUM(F22:F24)</f>
      </c>
      <c r="G25" s="96">
        <f>SUM(G22:G24)</f>
      </c>
      <c r="H25" s="96">
        <f>SUM(H22:H24)</f>
      </c>
      <c r="I25" s="96">
        <f>SUM(I22:I24)</f>
      </c>
      <c r="J25" s="96">
        <f>SUM(J22:J24)</f>
      </c>
      <c r="K25" s="96">
        <f>SUM(K22:K24)</f>
      </c>
      <c r="L25" s="97">
        <f t="shared" si="1"/>
      </c>
      <c r="M25" s="98">
        <f t="shared" si="5"/>
      </c>
      <c r="N25" s="99">
        <f t="shared" si="2"/>
      </c>
      <c r="O25" s="100"/>
      <c r="P25" s="101">
        <f>SUM(P22:P24)</f>
      </c>
      <c r="Q25" s="102">
        <f t="shared" si="6"/>
      </c>
      <c r="R25" s="102">
        <f t="shared" si="0"/>
      </c>
      <c r="S25" s="102">
        <f t="shared" si="3"/>
      </c>
    </row>
    <row hidden="true" r="26">
      <c r="A26" s="85" t="s">
        <v>175</v>
      </c>
      <c r="B26" s="86" t="s">
        <v>159</v>
      </c>
      <c r="C26" s="86" t="s">
        <v>157</v>
      </c>
      <c r="D26" s="86">
        <v>5</v>
      </c>
      <c r="E26" s="86">
        <v>25</v>
      </c>
      <c r="F26" s="86">
        <v>11</v>
      </c>
      <c r="G26" s="86">
        <v>1</v>
      </c>
      <c r="H26" s="86">
        <v>1</v>
      </c>
      <c r="I26" s="86">
        <v>9</v>
      </c>
      <c r="J26" s="87">
        <v>21640</v>
      </c>
      <c r="K26" s="87">
        <v>15386.7</v>
      </c>
      <c r="L26" s="88">
        <f t="shared" si="1"/>
      </c>
      <c r="M26" s="88">
        <f t="shared" si="5"/>
      </c>
      <c r="N26" s="89">
        <f t="shared" si="2"/>
      </c>
      <c r="O26" s="90" t="s">
        <v>176</v>
      </c>
      <c r="P26" s="86">
        <v>12</v>
      </c>
      <c r="Q26" s="91">
        <f t="shared" si="6"/>
      </c>
      <c r="R26" s="91">
        <f t="shared" si="0"/>
      </c>
      <c r="S26" s="91">
        <f t="shared" si="3"/>
      </c>
    </row>
    <row hidden="true" r="27">
      <c r="A27" s="85" t="s">
        <v>175</v>
      </c>
      <c r="B27" s="86" t="s">
        <v>156</v>
      </c>
      <c r="C27" s="86" t="s">
        <v>171</v>
      </c>
      <c r="D27" s="86">
        <v>4</v>
      </c>
      <c r="E27" s="86">
        <v>27</v>
      </c>
      <c r="F27" s="86">
        <v>10</v>
      </c>
      <c r="G27" s="86">
        <v>1</v>
      </c>
      <c r="H27" s="86">
        <v>1</v>
      </c>
      <c r="I27" s="86">
        <v>8</v>
      </c>
      <c r="J27" s="87">
        <v>19521</v>
      </c>
      <c r="K27" s="86">
        <v>15908.16</v>
      </c>
      <c r="L27" s="88">
        <f t="shared" si="1"/>
      </c>
      <c r="M27" s="88">
        <f t="shared" si="5"/>
      </c>
      <c r="N27" s="89">
        <f t="shared" si="2"/>
      </c>
      <c r="O27" s="90"/>
      <c r="P27" s="86"/>
      <c r="Q27" s="91">
        <f t="shared" si="6"/>
      </c>
      <c r="R27" s="91">
        <f t="shared" si="0"/>
      </c>
      <c r="S27" s="91">
        <f t="shared" si="3"/>
      </c>
    </row>
    <row hidden="true" r="28">
      <c r="A28" s="85" t="s">
        <v>175</v>
      </c>
      <c r="B28" s="86" t="s">
        <v>162</v>
      </c>
      <c r="C28" s="86" t="s">
        <v>172</v>
      </c>
      <c r="D28" s="86">
        <v>3</v>
      </c>
      <c r="E28" s="86">
        <v>5</v>
      </c>
      <c r="F28" s="86">
        <v>3</v>
      </c>
      <c r="G28" s="86">
        <v>0</v>
      </c>
      <c r="H28" s="86">
        <v>0</v>
      </c>
      <c r="I28" s="86">
        <v>3</v>
      </c>
      <c r="J28" s="87">
        <v>6804</v>
      </c>
      <c r="K28" s="87">
        <v>5621.2</v>
      </c>
      <c r="L28" s="88">
        <f t="shared" si="1"/>
      </c>
      <c r="M28" s="88">
        <f t="shared" si="5"/>
      </c>
      <c r="N28" s="92">
        <f t="shared" si="2"/>
      </c>
      <c r="O28" s="90"/>
      <c r="P28" s="86"/>
      <c r="Q28" s="91">
        <f t="shared" si="6"/>
      </c>
      <c r="R28" s="91">
        <f t="shared" si="0"/>
      </c>
      <c r="S28" s="91">
        <f t="shared" si="3"/>
      </c>
    </row>
    <row hidden="true" r="29">
      <c r="A29" s="94" t="s">
        <v>175</v>
      </c>
      <c r="B29" s="95" t="s">
        <v>164</v>
      </c>
      <c r="C29" s="96"/>
      <c r="D29" s="96">
        <f>SUM(D26:D28)</f>
      </c>
      <c r="E29" s="96">
        <f>SUM(E26:E28)</f>
      </c>
      <c r="F29" s="96">
        <f>SUM(F26:F28)</f>
      </c>
      <c r="G29" s="96">
        <f>SUM(G26:G28)</f>
      </c>
      <c r="H29" s="96">
        <f>SUM(H26:H28)</f>
      </c>
      <c r="I29" s="96">
        <f>SUM(I26:I28)</f>
      </c>
      <c r="J29" s="96">
        <f>SUM(J26:J28)</f>
      </c>
      <c r="K29" s="96">
        <f>SUM(K26:K28)</f>
      </c>
      <c r="L29" s="97">
        <f t="shared" si="1"/>
      </c>
      <c r="M29" s="98">
        <f t="shared" si="5"/>
      </c>
      <c r="N29" s="99">
        <f t="shared" si="2"/>
      </c>
      <c r="O29" s="100"/>
      <c r="P29" s="101">
        <f>SUM(P26:P28)</f>
      </c>
      <c r="Q29" s="102">
        <f t="shared" si="6"/>
      </c>
      <c r="R29" s="102">
        <f t="shared" si="0"/>
      </c>
      <c r="S29" s="102">
        <f t="shared" si="3"/>
      </c>
    </row>
    <row hidden="true" r="30">
      <c r="A30" s="85" t="s">
        <v>177</v>
      </c>
      <c r="B30" s="86" t="s">
        <v>159</v>
      </c>
      <c r="C30" s="86" t="s">
        <v>157</v>
      </c>
      <c r="D30" s="86">
        <v>5</v>
      </c>
      <c r="E30" s="86">
        <v>32</v>
      </c>
      <c r="F30" s="86">
        <v>15</v>
      </c>
      <c r="G30" s="86">
        <v>0</v>
      </c>
      <c r="H30" s="86">
        <v>5</v>
      </c>
      <c r="I30" s="86">
        <v>10</v>
      </c>
      <c r="J30" s="87">
        <v>26965</v>
      </c>
      <c r="K30" s="87">
        <v>16969.35</v>
      </c>
      <c r="L30" s="88">
        <f t="shared" si="1"/>
      </c>
      <c r="M30" s="88">
        <f t="shared" si="5"/>
      </c>
      <c r="N30" s="89">
        <f t="shared" si="2"/>
      </c>
      <c r="O30" s="90" t="s">
        <v>176</v>
      </c>
      <c r="P30" s="86">
        <v>8</v>
      </c>
      <c r="Q30" s="91">
        <f t="shared" si="6"/>
      </c>
      <c r="R30" s="91">
        <f t="shared" si="0"/>
      </c>
      <c r="S30" s="91">
        <f t="shared" si="3"/>
      </c>
    </row>
    <row hidden="true" r="31">
      <c r="A31" s="85" t="s">
        <v>177</v>
      </c>
      <c r="B31" s="86" t="s">
        <v>162</v>
      </c>
      <c r="C31" s="86" t="s">
        <v>178</v>
      </c>
      <c r="D31" s="86">
        <v>3</v>
      </c>
      <c r="E31" s="86">
        <v>11</v>
      </c>
      <c r="F31" s="86">
        <v>8</v>
      </c>
      <c r="G31" s="86">
        <v>1</v>
      </c>
      <c r="H31" s="86">
        <v>2</v>
      </c>
      <c r="I31" s="86">
        <v>5</v>
      </c>
      <c r="J31" s="87">
        <v>13704</v>
      </c>
      <c r="K31" s="86">
        <v>9780.9</v>
      </c>
      <c r="L31" s="88">
        <f t="shared" si="1"/>
      </c>
      <c r="M31" s="88">
        <f t="shared" si="5"/>
      </c>
      <c r="N31" s="89">
        <f t="shared" si="2"/>
      </c>
      <c r="O31" s="90" t="s">
        <v>166</v>
      </c>
      <c r="P31" s="86">
        <v>1</v>
      </c>
      <c r="Q31" s="91">
        <f t="shared" si="6"/>
      </c>
      <c r="R31" s="91">
        <f t="shared" si="0"/>
      </c>
      <c r="S31" s="91">
        <f t="shared" si="3"/>
      </c>
    </row>
    <row hidden="true" r="32">
      <c r="A32" s="85" t="s">
        <v>177</v>
      </c>
      <c r="B32" s="86" t="s">
        <v>156</v>
      </c>
      <c r="C32" s="86" t="s">
        <v>179</v>
      </c>
      <c r="D32" s="86">
        <v>4</v>
      </c>
      <c r="E32" s="86">
        <v>13</v>
      </c>
      <c r="F32" s="86">
        <v>4</v>
      </c>
      <c r="G32" s="86">
        <v>0</v>
      </c>
      <c r="H32" s="86">
        <v>2</v>
      </c>
      <c r="I32" s="86">
        <v>2</v>
      </c>
      <c r="J32" s="87">
        <v>6353</v>
      </c>
      <c r="K32" s="87">
        <v>10301.85</v>
      </c>
      <c r="L32" s="88">
        <f t="shared" si="1"/>
      </c>
      <c r="M32" s="88">
        <f t="shared" si="5"/>
      </c>
      <c r="N32" s="92">
        <f t="shared" si="2"/>
      </c>
      <c r="O32" s="90" t="s">
        <v>161</v>
      </c>
      <c r="P32" s="86">
        <v>3</v>
      </c>
      <c r="Q32" s="91">
        <f t="shared" si="6"/>
      </c>
      <c r="R32" s="91">
        <f t="shared" si="0"/>
      </c>
      <c r="S32" s="91">
        <f t="shared" si="3"/>
      </c>
    </row>
    <row hidden="true" r="33">
      <c r="A33" s="94" t="s">
        <v>177</v>
      </c>
      <c r="B33" s="95" t="s">
        <v>164</v>
      </c>
      <c r="C33" s="96"/>
      <c r="D33" s="96">
        <f>SUM(D30:D32)</f>
      </c>
      <c r="E33" s="96">
        <f>SUM(E30:E32)</f>
      </c>
      <c r="F33" s="96">
        <f>SUM(F30:F32)</f>
      </c>
      <c r="G33" s="96">
        <f>SUM(G30:G32)</f>
      </c>
      <c r="H33" s="96">
        <f>SUM(H30:H32)</f>
      </c>
      <c r="I33" s="96">
        <f>SUM(I30:I32)</f>
      </c>
      <c r="J33" s="96">
        <f>SUM(J30:J32)</f>
      </c>
      <c r="K33" s="96">
        <f>SUM(K30:K32)</f>
      </c>
      <c r="L33" s="97">
        <f t="shared" si="1"/>
      </c>
      <c r="M33" s="98">
        <f t="shared" si="5"/>
      </c>
      <c r="N33" s="99">
        <f t="shared" si="2"/>
      </c>
      <c r="O33" s="100"/>
      <c r="P33" s="101">
        <f>SUM(P30:P32)</f>
      </c>
      <c r="Q33" s="102">
        <f t="shared" si="6"/>
      </c>
      <c r="R33" s="102">
        <f t="shared" si="0"/>
      </c>
      <c r="S33" s="102">
        <f t="shared" si="3"/>
      </c>
    </row>
    <row r="34">
      <c r="A34" s="85" t="s">
        <v>180</v>
      </c>
      <c r="B34" s="86" t="s">
        <v>156</v>
      </c>
      <c r="C34" s="86" t="s">
        <v>181</v>
      </c>
      <c r="D34" s="86">
        <v>4</v>
      </c>
      <c r="E34" s="86">
        <v>15</v>
      </c>
      <c r="F34" s="86">
        <v>8</v>
      </c>
      <c r="G34" s="86">
        <v>1</v>
      </c>
      <c r="H34" s="86">
        <v>0</v>
      </c>
      <c r="I34" s="86">
        <v>7</v>
      </c>
      <c r="J34" s="87">
        <v>15780</v>
      </c>
      <c r="K34" s="87">
        <v>14675.1</v>
      </c>
      <c r="L34" s="88">
        <f t="shared" si="1"/>
      </c>
      <c r="M34" s="88">
        <f t="shared" si="5"/>
      </c>
      <c r="N34" s="89">
        <f t="shared" si="2"/>
      </c>
      <c r="O34" s="90" t="s">
        <v>158</v>
      </c>
      <c r="P34" s="86">
        <v>8</v>
      </c>
      <c r="Q34" s="91">
        <f t="shared" si="6"/>
      </c>
      <c r="R34" s="91">
        <f t="shared" si="0"/>
      </c>
      <c r="S34" s="91">
        <f t="shared" si="3"/>
      </c>
    </row>
    <row hidden="true" r="35">
      <c r="A35" s="85" t="s">
        <v>180</v>
      </c>
      <c r="B35" s="86" t="s">
        <v>159</v>
      </c>
      <c r="C35" s="86" t="s">
        <v>182</v>
      </c>
      <c r="D35" s="86">
        <v>5</v>
      </c>
      <c r="E35" s="86">
        <v>15</v>
      </c>
      <c r="F35" s="86">
        <v>8</v>
      </c>
      <c r="G35" s="86">
        <v>1</v>
      </c>
      <c r="H35" s="86">
        <v>1</v>
      </c>
      <c r="I35" s="86">
        <v>7</v>
      </c>
      <c r="J35" s="87">
        <v>17104</v>
      </c>
      <c r="K35" s="86">
        <v>17687.52</v>
      </c>
      <c r="L35" s="88">
        <f t="shared" si="1"/>
      </c>
      <c r="M35" s="88">
        <f t="shared" si="5"/>
      </c>
      <c r="N35" s="89">
        <f t="shared" si="2"/>
      </c>
      <c r="O35" s="90" t="s">
        <v>183</v>
      </c>
      <c r="P35" s="86">
        <v>4</v>
      </c>
      <c r="Q35" s="91">
        <f t="shared" si="6"/>
      </c>
      <c r="R35" s="91">
        <f t="shared" si="0"/>
      </c>
      <c r="S35" s="91">
        <f t="shared" si="3"/>
      </c>
    </row>
    <row hidden="true" r="36">
      <c r="A36" s="85" t="s">
        <v>180</v>
      </c>
      <c r="B36" s="86" t="s">
        <v>162</v>
      </c>
      <c r="C36" s="86" t="s">
        <v>172</v>
      </c>
      <c r="D36" s="86">
        <v>3</v>
      </c>
      <c r="E36" s="86">
        <v>6</v>
      </c>
      <c r="F36" s="86">
        <v>2</v>
      </c>
      <c r="G36" s="86">
        <v>0</v>
      </c>
      <c r="H36" s="86">
        <v>1</v>
      </c>
      <c r="I36" s="86">
        <v>2</v>
      </c>
      <c r="J36" s="87">
        <v>5484</v>
      </c>
      <c r="K36" s="87">
        <v>4672.5</v>
      </c>
      <c r="L36" s="88">
        <f t="shared" si="1"/>
      </c>
      <c r="M36" s="88">
        <f t="shared" si="5"/>
      </c>
      <c r="N36" s="92">
        <f t="shared" si="2"/>
      </c>
      <c r="O36" s="90"/>
      <c r="P36" s="86"/>
      <c r="Q36" s="91">
        <f t="shared" si="6"/>
      </c>
      <c r="R36" s="91">
        <f t="shared" si="0"/>
      </c>
      <c r="S36" s="91">
        <f t="shared" si="3"/>
      </c>
    </row>
    <row hidden="true" r="37">
      <c r="A37" s="94" t="s">
        <v>180</v>
      </c>
      <c r="B37" s="95" t="s">
        <v>164</v>
      </c>
      <c r="C37" s="96"/>
      <c r="D37" s="96">
        <f>SUM(D34:D36)</f>
      </c>
      <c r="E37" s="96">
        <f>SUM(E34:E36)</f>
      </c>
      <c r="F37" s="96">
        <f>SUM(F34:F36)</f>
      </c>
      <c r="G37" s="96">
        <f>SUM(G34:G36)</f>
      </c>
      <c r="H37" s="96">
        <f>SUM(H34:H36)</f>
      </c>
      <c r="I37" s="96">
        <f>SUM(I34:I36)</f>
      </c>
      <c r="J37" s="96">
        <f>SUM(J34:J36)</f>
      </c>
      <c r="K37" s="96">
        <f>SUM(K34:K36)</f>
      </c>
      <c r="L37" s="97">
        <f t="shared" si="1"/>
      </c>
      <c r="M37" s="98">
        <f t="shared" si="5"/>
      </c>
      <c r="N37" s="99">
        <f t="shared" si="2"/>
      </c>
      <c r="O37" s="100"/>
      <c r="P37" s="101">
        <f>SUM(P34:P36)</f>
      </c>
      <c r="Q37" s="102">
        <f t="shared" si="6"/>
      </c>
      <c r="R37" s="102">
        <f t="shared" si="0"/>
      </c>
      <c r="S37" s="102">
        <f t="shared" si="3"/>
      </c>
    </row>
    <row r="38">
      <c r="A38" s="85" t="s">
        <v>184</v>
      </c>
      <c r="B38" s="86" t="s">
        <v>159</v>
      </c>
      <c r="C38" s="86" t="s">
        <v>157</v>
      </c>
      <c r="D38" s="86">
        <v>5</v>
      </c>
      <c r="E38" s="86">
        <v>19</v>
      </c>
      <c r="F38" s="86">
        <v>8</v>
      </c>
      <c r="G38" s="86">
        <v>0</v>
      </c>
      <c r="H38" s="86">
        <v>4</v>
      </c>
      <c r="I38" s="86">
        <v>3</v>
      </c>
      <c r="J38" s="87">
        <v>11021</v>
      </c>
      <c r="K38" s="87">
        <v>14656.109999999999</v>
      </c>
      <c r="L38" s="88">
        <f t="shared" si="1"/>
      </c>
      <c r="M38" s="88">
        <f t="shared" si="5"/>
      </c>
      <c r="N38" s="104">
        <f t="shared" si="2"/>
      </c>
      <c r="O38" s="90" t="s">
        <v>158</v>
      </c>
      <c r="P38" s="90">
        <v>8</v>
      </c>
      <c r="Q38" s="91">
        <f t="shared" si="6"/>
      </c>
      <c r="R38" s="91">
        <f t="shared" si="0"/>
      </c>
      <c r="S38" s="91">
        <f t="shared" si="3"/>
      </c>
    </row>
    <row hidden="true" r="39">
      <c r="A39" s="85" t="s">
        <v>184</v>
      </c>
      <c r="B39" s="86" t="s">
        <v>162</v>
      </c>
      <c r="C39" s="86" t="s">
        <v>178</v>
      </c>
      <c r="D39" s="86">
        <v>3</v>
      </c>
      <c r="E39" s="86">
        <v>8</v>
      </c>
      <c r="F39" s="86">
        <v>5</v>
      </c>
      <c r="G39" s="86">
        <v>0</v>
      </c>
      <c r="H39" s="86">
        <v>2</v>
      </c>
      <c r="I39" s="86">
        <v>3</v>
      </c>
      <c r="J39" s="87">
        <v>8700</v>
      </c>
      <c r="K39" s="86">
        <v>4935.08</v>
      </c>
      <c r="L39" s="88">
        <f t="shared" si="1"/>
      </c>
      <c r="M39" s="105">
        <f t="shared" si="5"/>
      </c>
      <c r="N39" s="106">
        <f t="shared" si="2"/>
      </c>
      <c r="O39" s="107" t="s">
        <v>185</v>
      </c>
      <c r="P39" s="107">
        <v>4</v>
      </c>
      <c r="Q39" s="108">
        <f t="shared" si="6"/>
      </c>
      <c r="R39" s="91">
        <f t="shared" si="0"/>
      </c>
      <c r="S39" s="91">
        <f t="shared" si="3"/>
      </c>
    </row>
    <row hidden="true" r="40">
      <c r="A40" s="85" t="s">
        <v>184</v>
      </c>
      <c r="B40" s="86" t="s">
        <v>156</v>
      </c>
      <c r="C40" s="86" t="s">
        <v>179</v>
      </c>
      <c r="D40" s="86">
        <v>4</v>
      </c>
      <c r="E40" s="86">
        <v>8</v>
      </c>
      <c r="F40" s="86">
        <v>5</v>
      </c>
      <c r="G40" s="86">
        <v>0</v>
      </c>
      <c r="H40" s="86">
        <v>3</v>
      </c>
      <c r="I40" s="86">
        <v>2</v>
      </c>
      <c r="J40" s="87">
        <v>7301</v>
      </c>
      <c r="K40" s="87">
        <v>5145.19</v>
      </c>
      <c r="L40" s="88">
        <f t="shared" si="1"/>
      </c>
      <c r="M40" s="105">
        <f t="shared" si="5"/>
      </c>
      <c r="N40" s="106">
        <f t="shared" si="2"/>
      </c>
      <c r="O40" s="109"/>
      <c r="P40" s="107"/>
      <c r="Q40" s="108">
        <f t="shared" si="6"/>
      </c>
      <c r="R40" s="91">
        <f t="shared" si="0"/>
      </c>
      <c r="S40" s="91">
        <f t="shared" si="3"/>
      </c>
    </row>
    <row hidden="true" r="41">
      <c r="A41" s="94" t="s">
        <v>184</v>
      </c>
      <c r="B41" s="95" t="s">
        <v>164</v>
      </c>
      <c r="C41" s="96"/>
      <c r="D41" s="96">
        <f>SUM(D38:D40)</f>
      </c>
      <c r="E41" s="96">
        <f>SUM(E38:E40)</f>
      </c>
      <c r="F41" s="96">
        <f>SUM(F38:F40)</f>
      </c>
      <c r="G41" s="96">
        <f>SUM(G38:G40)</f>
      </c>
      <c r="H41" s="96">
        <f>SUM(H38:H40)</f>
      </c>
      <c r="I41" s="96">
        <f>SUM(I38:I40)</f>
      </c>
      <c r="J41" s="96">
        <f>SUM(J38:J40)</f>
      </c>
      <c r="K41" s="96">
        <f>SUM(K38:K40)</f>
      </c>
      <c r="L41" s="97">
        <f t="shared" si="1"/>
      </c>
      <c r="M41" s="98">
        <f t="shared" si="5"/>
      </c>
      <c r="N41" s="110">
        <f t="shared" si="2"/>
      </c>
      <c r="O41" s="111"/>
      <c r="P41" s="101">
        <f>SUM(P38:P40)</f>
      </c>
      <c r="Q41" s="102">
        <f t="shared" si="6"/>
      </c>
      <c r="R41" s="102">
        <f t="shared" si="0"/>
      </c>
      <c r="S41" s="102">
        <f t="shared" si="3"/>
      </c>
    </row>
    <row r="42">
      <c r="A42" s="85" t="s">
        <v>186</v>
      </c>
      <c r="B42" s="86" t="s">
        <v>159</v>
      </c>
      <c r="C42" s="86" t="s">
        <v>157</v>
      </c>
      <c r="D42" s="86">
        <v>5</v>
      </c>
      <c r="E42" s="86">
        <v>18</v>
      </c>
      <c r="F42" s="86">
        <v>7</v>
      </c>
      <c r="G42" s="86">
        <v>1</v>
      </c>
      <c r="H42" s="86">
        <v>3</v>
      </c>
      <c r="I42" s="86">
        <v>3</v>
      </c>
      <c r="J42" s="87">
        <v>9928</v>
      </c>
      <c r="K42" s="87">
        <v>11580.87</v>
      </c>
      <c r="L42" s="88">
        <f t="shared" si="1"/>
      </c>
      <c r="M42" s="88">
        <f t="shared" si="5"/>
      </c>
      <c r="N42" s="89">
        <f t="shared" si="2"/>
      </c>
      <c r="O42" s="90" t="s">
        <v>158</v>
      </c>
      <c r="P42" s="86">
        <v>8</v>
      </c>
      <c r="Q42" s="91">
        <f t="shared" si="6"/>
      </c>
      <c r="R42" s="91">
        <f t="shared" si="0"/>
      </c>
      <c r="S42" s="91">
        <f t="shared" si="3"/>
      </c>
    </row>
    <row hidden="true" r="43">
      <c r="A43" s="85" t="s">
        <v>186</v>
      </c>
      <c r="B43" s="86" t="s">
        <v>162</v>
      </c>
      <c r="C43" s="86" t="s">
        <v>171</v>
      </c>
      <c r="D43" s="86">
        <v>4</v>
      </c>
      <c r="E43" s="86">
        <v>28</v>
      </c>
      <c r="F43" s="86">
        <v>18</v>
      </c>
      <c r="G43" s="86">
        <v>2</v>
      </c>
      <c r="H43" s="86">
        <v>3</v>
      </c>
      <c r="I43" s="86">
        <v>11</v>
      </c>
      <c r="J43" s="87">
        <v>32512</v>
      </c>
      <c r="K43" s="86">
        <v>17536.98</v>
      </c>
      <c r="L43" s="88">
        <f t="shared" si="1"/>
      </c>
      <c r="M43" s="88">
        <f t="shared" si="5"/>
      </c>
      <c r="N43" s="89">
        <f t="shared" si="2"/>
      </c>
      <c r="O43" s="90" t="s">
        <v>183</v>
      </c>
      <c r="P43" s="86">
        <v>4</v>
      </c>
      <c r="Q43" s="91">
        <f t="shared" si="6"/>
      </c>
      <c r="R43" s="91">
        <f t="shared" si="0"/>
      </c>
      <c r="S43" s="91">
        <f t="shared" si="3"/>
      </c>
    </row>
    <row hidden="true" r="44">
      <c r="A44" s="85" t="s">
        <v>186</v>
      </c>
      <c r="B44" s="86" t="s">
        <v>156</v>
      </c>
      <c r="C44" s="86" t="s">
        <v>172</v>
      </c>
      <c r="D44" s="86">
        <v>3</v>
      </c>
      <c r="E44" s="86">
        <v>21</v>
      </c>
      <c r="F44" s="86">
        <v>11</v>
      </c>
      <c r="G44" s="86">
        <v>1</v>
      </c>
      <c r="H44" s="86">
        <v>2</v>
      </c>
      <c r="I44" s="86">
        <v>8</v>
      </c>
      <c r="J44" s="87">
        <v>20132</v>
      </c>
      <c r="K44" s="87">
        <v>14024.42</v>
      </c>
      <c r="L44" s="88">
        <f t="shared" si="1"/>
      </c>
      <c r="M44" s="88">
        <f t="shared" si="5"/>
      </c>
      <c r="N44" s="92">
        <f t="shared" si="2"/>
      </c>
      <c r="O44" s="90"/>
      <c r="P44" s="86"/>
      <c r="Q44" s="91">
        <f t="shared" si="6"/>
      </c>
      <c r="R44" s="91">
        <f t="shared" si="0"/>
      </c>
      <c r="S44" s="91">
        <f t="shared" si="3"/>
      </c>
    </row>
    <row hidden="true" r="45">
      <c r="A45" s="94" t="s">
        <v>186</v>
      </c>
      <c r="B45" s="95" t="s">
        <v>164</v>
      </c>
      <c r="C45" s="96"/>
      <c r="D45" s="96">
        <f>SUM(D42:D44)</f>
      </c>
      <c r="E45" s="96">
        <f>SUM(E42:E44)</f>
      </c>
      <c r="F45" s="96">
        <f>SUM(F42:F44)</f>
      </c>
      <c r="G45" s="96">
        <f>SUM(G42:G44)</f>
      </c>
      <c r="H45" s="96">
        <f>SUM(H42:H44)</f>
      </c>
      <c r="I45" s="96">
        <f>SUM(I42:I44)</f>
      </c>
      <c r="J45" s="96">
        <f>SUM(J42:J44)</f>
      </c>
      <c r="K45" s="96">
        <f>SUM(K42:K44)</f>
      </c>
      <c r="L45" s="97">
        <f t="shared" si="1"/>
      </c>
      <c r="M45" s="98">
        <f t="shared" si="5"/>
      </c>
      <c r="N45" s="99">
        <f t="shared" si="2"/>
      </c>
      <c r="O45" s="100"/>
      <c r="P45" s="101">
        <f>SUM(P42:P44)</f>
      </c>
      <c r="Q45" s="102">
        <f t="shared" si="6"/>
      </c>
      <c r="R45" s="102">
        <f t="shared" si="0"/>
      </c>
      <c r="S45" s="102">
        <f t="shared" si="3"/>
      </c>
    </row>
    <row r="46">
      <c r="A46" s="85" t="s">
        <v>187</v>
      </c>
      <c r="B46" s="86" t="s">
        <v>159</v>
      </c>
      <c r="C46" s="86" t="s">
        <v>181</v>
      </c>
      <c r="D46" s="86">
        <v>4</v>
      </c>
      <c r="E46" s="86">
        <v>17</v>
      </c>
      <c r="F46" s="86">
        <v>7</v>
      </c>
      <c r="G46" s="86">
        <v>0</v>
      </c>
      <c r="H46" s="86">
        <v>2</v>
      </c>
      <c r="I46" s="86">
        <v>5</v>
      </c>
      <c r="J46" s="87">
        <v>13236</v>
      </c>
      <c r="K46" s="87">
        <v>13187.910000000002</v>
      </c>
      <c r="L46" s="88">
        <f t="shared" si="1"/>
      </c>
      <c r="M46" s="88">
        <f t="shared" si="5"/>
      </c>
      <c r="N46" s="89">
        <f t="shared" si="2"/>
      </c>
      <c r="O46" s="90" t="s">
        <v>158</v>
      </c>
      <c r="P46" s="86">
        <v>8</v>
      </c>
      <c r="Q46" s="91">
        <f t="shared" si="6"/>
      </c>
      <c r="R46" s="91">
        <f t="shared" si="0"/>
      </c>
      <c r="S46" s="91">
        <f t="shared" si="3"/>
      </c>
    </row>
    <row hidden="true" r="47">
      <c r="A47" s="85" t="s">
        <v>187</v>
      </c>
      <c r="B47" s="86" t="s">
        <v>162</v>
      </c>
      <c r="C47" s="86" t="s">
        <v>188</v>
      </c>
      <c r="D47" s="86">
        <v>4</v>
      </c>
      <c r="E47" s="86">
        <v>11</v>
      </c>
      <c r="F47" s="86">
        <v>8</v>
      </c>
      <c r="G47" s="86">
        <v>1</v>
      </c>
      <c r="H47" s="86">
        <v>0</v>
      </c>
      <c r="I47" s="86">
        <v>7</v>
      </c>
      <c r="J47" s="87">
        <v>16344</v>
      </c>
      <c r="K47" s="86">
        <v>13459.800000000001</v>
      </c>
      <c r="L47" s="88">
        <f t="shared" si="1"/>
      </c>
      <c r="M47" s="88">
        <f t="shared" si="5"/>
      </c>
      <c r="N47" s="89">
        <f t="shared" si="2"/>
      </c>
      <c r="O47" s="90" t="s">
        <v>183</v>
      </c>
      <c r="P47" s="86">
        <v>4</v>
      </c>
      <c r="Q47" s="91">
        <f t="shared" si="6"/>
      </c>
      <c r="R47" s="91">
        <f t="shared" si="0"/>
      </c>
      <c r="S47" s="91">
        <f t="shared" si="3"/>
      </c>
    </row>
    <row hidden="true" r="48">
      <c r="A48" s="85" t="s">
        <v>187</v>
      </c>
      <c r="B48" s="86" t="s">
        <v>156</v>
      </c>
      <c r="C48" s="86" t="s">
        <v>179</v>
      </c>
      <c r="D48" s="86">
        <v>4</v>
      </c>
      <c r="E48" s="86">
        <v>21</v>
      </c>
      <c r="F48" s="86">
        <v>7</v>
      </c>
      <c r="G48" s="86">
        <v>1</v>
      </c>
      <c r="H48" s="86">
        <v>1</v>
      </c>
      <c r="I48" s="86">
        <v>5</v>
      </c>
      <c r="J48" s="87">
        <v>12677</v>
      </c>
      <c r="K48" s="87">
        <v>10153.8</v>
      </c>
      <c r="L48" s="88">
        <f t="shared" si="1"/>
      </c>
      <c r="M48" s="88">
        <f t="shared" si="5"/>
      </c>
      <c r="N48" s="92">
        <f t="shared" si="2"/>
      </c>
      <c r="O48" s="90"/>
      <c r="P48" s="86"/>
      <c r="Q48" s="91">
        <f t="shared" si="6"/>
      </c>
      <c r="R48" s="91">
        <f t="shared" si="0"/>
      </c>
      <c r="S48" s="91">
        <f t="shared" si="3"/>
      </c>
    </row>
    <row hidden="true" r="49">
      <c r="A49" s="94" t="s">
        <v>187</v>
      </c>
      <c r="B49" s="95" t="s">
        <v>164</v>
      </c>
      <c r="C49" s="96"/>
      <c r="D49" s="96">
        <f>SUM(D46:D48)</f>
      </c>
      <c r="E49" s="96">
        <f>SUM(E46:E48)</f>
      </c>
      <c r="F49" s="96">
        <f>SUM(F46:F48)</f>
      </c>
      <c r="G49" s="96">
        <f>SUM(G46:G48)</f>
      </c>
      <c r="H49" s="96">
        <f>SUM(H46:H48)</f>
      </c>
      <c r="I49" s="96">
        <f>SUM(I46:I48)</f>
      </c>
      <c r="J49" s="96">
        <f>SUM(J46:J48)</f>
      </c>
      <c r="K49" s="96">
        <f>SUM(K46:K48)</f>
      </c>
      <c r="L49" s="97">
        <f t="shared" si="1"/>
      </c>
      <c r="M49" s="98">
        <f t="shared" si="5"/>
      </c>
      <c r="N49" s="99">
        <f t="shared" si="2"/>
      </c>
      <c r="O49" s="100"/>
      <c r="P49" s="101">
        <f>SUM(P46:P48)</f>
      </c>
      <c r="Q49" s="102">
        <f t="shared" si="6"/>
      </c>
      <c r="R49" s="102">
        <f t="shared" si="0"/>
      </c>
      <c r="S49" s="102">
        <f t="shared" si="3"/>
      </c>
    </row>
    <row customHeight="true" ht="16.071428571428573" r="50">
      <c r="A50" s="85" t="s">
        <v>189</v>
      </c>
      <c r="B50" s="86" t="s">
        <v>159</v>
      </c>
      <c r="C50" s="86" t="s">
        <v>181</v>
      </c>
      <c r="D50" s="86">
        <v>4</v>
      </c>
      <c r="E50" s="86">
        <v>24</v>
      </c>
      <c r="F50" s="86">
        <v>11</v>
      </c>
      <c r="G50" s="86">
        <v>0</v>
      </c>
      <c r="H50" s="86">
        <v>3</v>
      </c>
      <c r="I50" s="86">
        <v>8</v>
      </c>
      <c r="J50" s="87">
        <v>20988</v>
      </c>
      <c r="K50" s="87">
        <v>16534.480000000003</v>
      </c>
      <c r="L50" s="88">
        <f t="shared" si="1"/>
      </c>
      <c r="M50" s="88">
        <f t="shared" si="5"/>
      </c>
      <c r="N50" s="89">
        <f t="shared" si="2"/>
      </c>
      <c r="O50" s="90" t="s">
        <v>158</v>
      </c>
      <c r="P50" s="86">
        <v>8</v>
      </c>
      <c r="Q50" s="91">
        <f t="shared" si="6"/>
      </c>
      <c r="R50" s="91">
        <f t="shared" si="0"/>
      </c>
      <c r="S50" s="91">
        <f t="shared" si="3"/>
      </c>
    </row>
    <row customHeight="true" hidden="true" ht="16.071428571428573" r="51">
      <c r="A51" s="85" t="s">
        <v>189</v>
      </c>
      <c r="B51" s="86" t="s">
        <v>162</v>
      </c>
      <c r="C51" s="86" t="s">
        <v>188</v>
      </c>
      <c r="D51" s="86">
        <v>4</v>
      </c>
      <c r="E51" s="86">
        <v>16</v>
      </c>
      <c r="F51" s="86">
        <v>9</v>
      </c>
      <c r="G51" s="86">
        <v>2</v>
      </c>
      <c r="H51" s="86">
        <v>4</v>
      </c>
      <c r="I51" s="86">
        <v>3</v>
      </c>
      <c r="J51" s="87">
        <v>11532</v>
      </c>
      <c r="K51" s="86">
        <v>11014.06</v>
      </c>
      <c r="L51" s="88">
        <f t="shared" si="1"/>
      </c>
      <c r="M51" s="88">
        <f t="shared" si="5"/>
      </c>
      <c r="N51" s="89">
        <f t="shared" si="2"/>
      </c>
      <c r="O51" s="90" t="s">
        <v>183</v>
      </c>
      <c r="P51" s="86">
        <v>4</v>
      </c>
      <c r="Q51" s="91">
        <f t="shared" si="6"/>
      </c>
      <c r="R51" s="91">
        <f t="shared" si="0"/>
      </c>
      <c r="S51" s="91">
        <f t="shared" si="3"/>
      </c>
    </row>
    <row customHeight="true" hidden="true" ht="16.071428571428573" r="52">
      <c r="A52" s="85" t="s">
        <v>189</v>
      </c>
      <c r="B52" s="86" t="s">
        <v>156</v>
      </c>
      <c r="C52" s="86" t="s">
        <v>179</v>
      </c>
      <c r="D52" s="86">
        <v>4</v>
      </c>
      <c r="E52" s="86">
        <v>16</v>
      </c>
      <c r="F52" s="86">
        <v>8</v>
      </c>
      <c r="G52" s="86">
        <v>0</v>
      </c>
      <c r="H52" s="86">
        <v>1</v>
      </c>
      <c r="I52" s="86">
        <v>7</v>
      </c>
      <c r="J52" s="87">
        <v>16636</v>
      </c>
      <c r="K52" s="87">
        <v>8644.77</v>
      </c>
      <c r="L52" s="88">
        <f t="shared" si="1"/>
      </c>
      <c r="M52" s="88">
        <f t="shared" si="5"/>
      </c>
      <c r="N52" s="92">
        <f t="shared" si="2"/>
      </c>
      <c r="O52" s="90"/>
      <c r="P52" s="86"/>
      <c r="Q52" s="91">
        <f t="shared" si="6"/>
      </c>
      <c r="R52" s="91">
        <f t="shared" si="0"/>
      </c>
      <c r="S52" s="91">
        <f t="shared" si="3"/>
      </c>
      <c r="T52" s="112"/>
    </row>
    <row hidden="true" r="53">
      <c r="A53" s="94" t="s">
        <v>189</v>
      </c>
      <c r="B53" s="95" t="s">
        <v>164</v>
      </c>
      <c r="C53" s="96"/>
      <c r="D53" s="96">
        <f>SUM(D50:D52)</f>
      </c>
      <c r="E53" s="96">
        <f>SUM(E50:E52)</f>
      </c>
      <c r="F53" s="96">
        <f>SUM(F50:F52)</f>
      </c>
      <c r="G53" s="96">
        <f>SUM(G50:G52)</f>
      </c>
      <c r="H53" s="96">
        <f>SUM(H50:H52)</f>
      </c>
      <c r="I53" s="96">
        <f>SUM(I50:I52)</f>
      </c>
      <c r="J53" s="96">
        <f>SUM(J50:J52)</f>
      </c>
      <c r="K53" s="96">
        <f>SUM(K50:K52)</f>
      </c>
      <c r="L53" s="97">
        <f t="shared" si="1"/>
      </c>
      <c r="M53" s="98">
        <f t="shared" si="5"/>
      </c>
      <c r="N53" s="99">
        <f t="shared" si="2"/>
      </c>
      <c r="O53" s="100"/>
      <c r="P53" s="101">
        <f>SUM(P50:P52)</f>
      </c>
      <c r="Q53" s="102">
        <f t="shared" si="6"/>
      </c>
      <c r="R53" s="102">
        <f t="shared" si="0"/>
      </c>
      <c r="S53" s="102">
        <f t="shared" si="3"/>
      </c>
      <c r="T53" s="112"/>
    </row>
    <row r="54">
      <c r="A54" s="85" t="s">
        <v>190</v>
      </c>
      <c r="B54" s="86" t="s">
        <v>159</v>
      </c>
      <c r="C54" s="86" t="s">
        <v>181</v>
      </c>
      <c r="D54" s="86">
        <v>4</v>
      </c>
      <c r="E54" s="86">
        <v>15</v>
      </c>
      <c r="F54" s="86">
        <v>8</v>
      </c>
      <c r="G54" s="86">
        <v>2</v>
      </c>
      <c r="H54" s="86">
        <v>0</v>
      </c>
      <c r="I54" s="86">
        <v>6</v>
      </c>
      <c r="J54" s="87">
        <v>14544</v>
      </c>
      <c r="K54" s="87">
        <v>13493.490000000002</v>
      </c>
      <c r="L54" s="88">
        <f t="shared" si="1"/>
      </c>
      <c r="M54" s="88">
        <f t="shared" si="5"/>
      </c>
      <c r="N54" s="89">
        <f t="shared" si="2"/>
      </c>
      <c r="O54" s="90" t="s">
        <v>158</v>
      </c>
      <c r="P54" s="86">
        <v>8</v>
      </c>
      <c r="Q54" s="91">
        <f t="shared" si="6"/>
      </c>
      <c r="R54" s="91">
        <f t="shared" si="0"/>
      </c>
      <c r="S54" s="91">
        <f t="shared" si="3"/>
      </c>
    </row>
    <row hidden="true" r="55">
      <c r="A55" s="85" t="s">
        <v>190</v>
      </c>
      <c r="B55" s="86" t="s">
        <v>156</v>
      </c>
      <c r="C55" s="86" t="s">
        <v>188</v>
      </c>
      <c r="D55" s="86">
        <v>4</v>
      </c>
      <c r="E55" s="86">
        <v>14</v>
      </c>
      <c r="F55" s="86">
        <v>9</v>
      </c>
      <c r="G55" s="86">
        <v>0</v>
      </c>
      <c r="H55" s="86">
        <v>3</v>
      </c>
      <c r="I55" s="86">
        <v>6</v>
      </c>
      <c r="J55" s="87">
        <v>16373</v>
      </c>
      <c r="K55" s="86">
        <v>10435.65</v>
      </c>
      <c r="L55" s="88">
        <f t="shared" si="1"/>
      </c>
      <c r="M55" s="88">
        <f t="shared" si="5"/>
      </c>
      <c r="N55" s="89">
        <f t="shared" si="2"/>
      </c>
      <c r="O55" s="90" t="s">
        <v>183</v>
      </c>
      <c r="P55" s="86">
        <v>4</v>
      </c>
      <c r="Q55" s="91">
        <f t="shared" si="6"/>
      </c>
      <c r="R55" s="91">
        <f t="shared" si="0"/>
      </c>
      <c r="S55" s="91">
        <f t="shared" si="3"/>
      </c>
    </row>
    <row hidden="true" r="56">
      <c r="A56" s="85" t="s">
        <v>190</v>
      </c>
      <c r="B56" s="86" t="s">
        <v>162</v>
      </c>
      <c r="C56" s="86" t="s">
        <v>179</v>
      </c>
      <c r="D56" s="86">
        <v>4</v>
      </c>
      <c r="E56" s="86">
        <v>13</v>
      </c>
      <c r="F56" s="86">
        <v>8</v>
      </c>
      <c r="G56" s="86">
        <v>1</v>
      </c>
      <c r="H56" s="86">
        <v>0</v>
      </c>
      <c r="I56" s="86">
        <v>7</v>
      </c>
      <c r="J56" s="87">
        <v>16344</v>
      </c>
      <c r="K56" s="87">
        <v>9527.41</v>
      </c>
      <c r="L56" s="88">
        <f t="shared" si="1"/>
      </c>
      <c r="M56" s="88">
        <f t="shared" si="5"/>
      </c>
      <c r="N56" s="92">
        <f t="shared" si="2"/>
      </c>
      <c r="O56" s="90"/>
      <c r="P56" s="86"/>
      <c r="Q56" s="91">
        <f t="shared" si="6"/>
      </c>
      <c r="R56" s="91">
        <f t="shared" si="0"/>
      </c>
      <c r="S56" s="91">
        <f t="shared" si="3"/>
      </c>
      <c r="T56" s="112"/>
    </row>
    <row hidden="true" r="57">
      <c r="A57" s="94" t="s">
        <v>190</v>
      </c>
      <c r="B57" s="95" t="s">
        <v>164</v>
      </c>
      <c r="C57" s="96"/>
      <c r="D57" s="96">
        <f>SUM(D54:D56)</f>
      </c>
      <c r="E57" s="96">
        <f>SUM(E54:E56)</f>
      </c>
      <c r="F57" s="96">
        <f>SUM(F54:F56)</f>
      </c>
      <c r="G57" s="96">
        <f>SUM(G54:G56)</f>
      </c>
      <c r="H57" s="96">
        <f>SUM(H54:H56)</f>
      </c>
      <c r="I57" s="96">
        <f>SUM(I54:I56)</f>
      </c>
      <c r="J57" s="96">
        <f>SUM(J54:J56)</f>
      </c>
      <c r="K57" s="96">
        <f>SUM(K54:K56)</f>
      </c>
      <c r="L57" s="97">
        <f t="shared" si="1"/>
      </c>
      <c r="M57" s="98">
        <f t="shared" si="5"/>
      </c>
      <c r="N57" s="99">
        <f t="shared" si="2"/>
      </c>
      <c r="O57" s="100"/>
      <c r="P57" s="101">
        <f>SUM(P54:P56)</f>
      </c>
      <c r="Q57" s="102">
        <f t="shared" si="6"/>
      </c>
      <c r="R57" s="102">
        <f t="shared" si="0"/>
      </c>
      <c r="S57" s="102">
        <f t="shared" si="3"/>
      </c>
      <c r="T57" s="112"/>
    </row>
    <row r="58">
      <c r="A58" s="85" t="s">
        <v>191</v>
      </c>
      <c r="B58" s="86" t="s">
        <v>159</v>
      </c>
      <c r="C58" s="86" t="s">
        <v>181</v>
      </c>
      <c r="D58" s="86">
        <v>4</v>
      </c>
      <c r="E58" s="86">
        <v>22</v>
      </c>
      <c r="F58" s="86">
        <v>12</v>
      </c>
      <c r="G58" s="86">
        <v>0</v>
      </c>
      <c r="H58" s="86">
        <v>4</v>
      </c>
      <c r="I58" s="86">
        <v>5</v>
      </c>
      <c r="J58" s="87">
        <v>15264.599999999999</v>
      </c>
      <c r="K58" s="87">
        <v>14711.140000000001</v>
      </c>
      <c r="L58" s="88">
        <f t="shared" si="1"/>
      </c>
      <c r="M58" s="88">
        <f t="shared" si="5"/>
      </c>
      <c r="N58" s="89">
        <f t="shared" si="2"/>
      </c>
      <c r="O58" s="90" t="s">
        <v>158</v>
      </c>
      <c r="P58" s="86">
        <v>8</v>
      </c>
      <c r="Q58" s="91">
        <f t="shared" si="6"/>
      </c>
      <c r="R58" s="91">
        <f t="shared" si="0"/>
      </c>
      <c r="S58" s="91">
        <f t="shared" si="3"/>
      </c>
    </row>
    <row hidden="true" r="59">
      <c r="A59" s="85" t="s">
        <v>191</v>
      </c>
      <c r="B59" s="86" t="s">
        <v>156</v>
      </c>
      <c r="C59" s="86" t="s">
        <v>188</v>
      </c>
      <c r="D59" s="86">
        <v>4</v>
      </c>
      <c r="E59" s="86">
        <v>24</v>
      </c>
      <c r="F59" s="86">
        <v>14</v>
      </c>
      <c r="G59" s="86">
        <v>3</v>
      </c>
      <c r="H59" s="86">
        <v>5</v>
      </c>
      <c r="I59" s="86">
        <v>6</v>
      </c>
      <c r="J59" s="87">
        <v>19288</v>
      </c>
      <c r="K59" s="86">
        <v>15538.599999999999</v>
      </c>
      <c r="L59" s="88">
        <f t="shared" si="1"/>
      </c>
      <c r="M59" s="88">
        <f t="shared" si="5"/>
      </c>
      <c r="N59" s="89">
        <f t="shared" si="2"/>
      </c>
      <c r="O59" s="90" t="s">
        <v>183</v>
      </c>
      <c r="P59" s="86">
        <v>4</v>
      </c>
      <c r="Q59" s="91">
        <f t="shared" si="6"/>
      </c>
      <c r="R59" s="91">
        <f t="shared" si="0"/>
      </c>
      <c r="S59" s="91">
        <f t="shared" si="3"/>
      </c>
    </row>
    <row hidden="true" r="60">
      <c r="A60" s="85" t="s">
        <v>191</v>
      </c>
      <c r="B60" s="86" t="s">
        <v>162</v>
      </c>
      <c r="C60" s="86" t="s">
        <v>179</v>
      </c>
      <c r="D60" s="86">
        <v>4</v>
      </c>
      <c r="E60" s="86">
        <v>18</v>
      </c>
      <c r="F60" s="86">
        <v>5</v>
      </c>
      <c r="G60" s="86">
        <v>1</v>
      </c>
      <c r="H60" s="86">
        <v>0</v>
      </c>
      <c r="I60" s="86">
        <v>4</v>
      </c>
      <c r="J60" s="87">
        <v>9540</v>
      </c>
      <c r="K60" s="87">
        <v>12741.279999999999</v>
      </c>
      <c r="L60" s="88">
        <f t="shared" si="1"/>
      </c>
      <c r="M60" s="88">
        <f t="shared" si="5"/>
      </c>
      <c r="N60" s="92">
        <f t="shared" si="2"/>
      </c>
      <c r="O60" s="90"/>
      <c r="P60" s="86"/>
      <c r="Q60" s="91">
        <f t="shared" si="6"/>
      </c>
      <c r="R60" s="91">
        <f t="shared" si="0"/>
      </c>
      <c r="S60" s="91">
        <f t="shared" si="3"/>
      </c>
      <c r="T60" s="112"/>
    </row>
    <row hidden="true" r="61">
      <c r="A61" s="94" t="s">
        <v>191</v>
      </c>
      <c r="B61" s="95" t="s">
        <v>164</v>
      </c>
      <c r="C61" s="96"/>
      <c r="D61" s="96">
        <f>SUM(D58:D60)</f>
      </c>
      <c r="E61" s="96">
        <f>SUM(E58:E60)</f>
      </c>
      <c r="F61" s="96">
        <f>SUM(F58:F60)</f>
      </c>
      <c r="G61" s="96">
        <f>SUM(G58:G60)</f>
      </c>
      <c r="H61" s="96">
        <f>SUM(H58:H60)</f>
      </c>
      <c r="I61" s="96">
        <f>SUM(I58:I60)</f>
      </c>
      <c r="J61" s="96">
        <f>SUM(J58:J60)</f>
      </c>
      <c r="K61" s="96">
        <f>SUM(K58:K60)</f>
      </c>
      <c r="L61" s="97">
        <f t="shared" si="1"/>
      </c>
      <c r="M61" s="98">
        <f t="shared" si="5"/>
      </c>
      <c r="N61" s="99">
        <f t="shared" si="2"/>
      </c>
      <c r="O61" s="100"/>
      <c r="P61" s="101">
        <f>SUM(P58:P60)</f>
      </c>
      <c r="Q61" s="102">
        <f t="shared" si="6"/>
      </c>
      <c r="R61" s="102">
        <f t="shared" si="0"/>
      </c>
      <c r="S61" s="102">
        <f t="shared" si="3"/>
      </c>
      <c r="T61" s="112"/>
    </row>
    <row r="62">
      <c r="A62" s="85" t="s">
        <v>192</v>
      </c>
      <c r="B62" s="86" t="s">
        <v>159</v>
      </c>
      <c r="C62" s="86" t="s">
        <v>193</v>
      </c>
      <c r="D62" s="86">
        <v>5</v>
      </c>
      <c r="E62" s="86">
        <v>30</v>
      </c>
      <c r="F62" s="86">
        <v>13</v>
      </c>
      <c r="G62" s="86">
        <v>1</v>
      </c>
      <c r="H62" s="86">
        <v>3</v>
      </c>
      <c r="I62" s="86">
        <v>9</v>
      </c>
      <c r="J62" s="87">
        <v>23536</v>
      </c>
      <c r="K62" s="87">
        <v>16680.97</v>
      </c>
      <c r="L62" s="88">
        <f t="shared" si="1"/>
      </c>
      <c r="M62" s="88">
        <f t="shared" si="5"/>
      </c>
      <c r="N62" s="89">
        <f t="shared" si="2"/>
      </c>
      <c r="O62" s="90" t="s">
        <v>158</v>
      </c>
      <c r="P62" s="86">
        <v>7</v>
      </c>
      <c r="Q62" s="91">
        <f t="shared" si="6"/>
      </c>
      <c r="R62" s="91">
        <f t="shared" si="0"/>
      </c>
      <c r="S62" s="91">
        <f t="shared" si="3"/>
      </c>
      <c r="T62" s="112"/>
    </row>
    <row hidden="true" r="63">
      <c r="A63" s="85" t="s">
        <v>192</v>
      </c>
      <c r="B63" s="86" t="s">
        <v>162</v>
      </c>
      <c r="C63" s="86" t="s">
        <v>194</v>
      </c>
      <c r="D63" s="86">
        <v>5</v>
      </c>
      <c r="E63" s="86">
        <v>23</v>
      </c>
      <c r="F63" s="86">
        <v>13</v>
      </c>
      <c r="G63" s="86">
        <v>0</v>
      </c>
      <c r="H63" s="86">
        <v>5</v>
      </c>
      <c r="I63" s="86">
        <v>8</v>
      </c>
      <c r="J63" s="87">
        <v>22083</v>
      </c>
      <c r="K63" s="87">
        <v>17212.82</v>
      </c>
      <c r="L63" s="88">
        <f t="shared" si="1"/>
      </c>
      <c r="M63" s="88">
        <f t="shared" si="5"/>
      </c>
      <c r="N63" s="92">
        <f t="shared" si="2"/>
      </c>
      <c r="O63" s="90" t="s">
        <v>183</v>
      </c>
      <c r="P63" s="86">
        <v>3</v>
      </c>
      <c r="Q63" s="91">
        <f t="shared" si="6"/>
      </c>
      <c r="R63" s="91">
        <f t="shared" si="0"/>
      </c>
      <c r="S63" s="91">
        <f t="shared" si="3"/>
      </c>
      <c r="T63" s="112"/>
    </row>
    <row hidden="true" r="64">
      <c r="A64" s="94" t="s">
        <v>192</v>
      </c>
      <c r="B64" s="95" t="s">
        <v>164</v>
      </c>
      <c r="C64" s="96"/>
      <c r="D64" s="96">
        <f>SUM(D62:D63)</f>
      </c>
      <c r="E64" s="96">
        <f>SUM(E62:E63)</f>
      </c>
      <c r="F64" s="96">
        <f>SUM(F62:F63)</f>
      </c>
      <c r="G64" s="96">
        <f>SUM(G62:G63)</f>
      </c>
      <c r="H64" s="96">
        <f>SUM(H62:H63)</f>
      </c>
      <c r="I64" s="96">
        <f>SUM(I62:I63)</f>
      </c>
      <c r="J64" s="96">
        <f>SUM(J62:J63)</f>
      </c>
      <c r="K64" s="96">
        <f>SUM(K62:K63)</f>
      </c>
      <c r="L64" s="97">
        <f t="shared" si="1"/>
      </c>
      <c r="M64" s="98">
        <f t="shared" si="5"/>
      </c>
      <c r="N64" s="99">
        <f t="shared" si="2"/>
      </c>
      <c r="O64" s="100"/>
      <c r="P64" s="101">
        <f>SUM(P62:P63)</f>
      </c>
      <c r="Q64" s="102">
        <f t="shared" si="6"/>
      </c>
      <c r="R64" s="102">
        <f t="shared" si="0"/>
      </c>
      <c r="S64" s="102">
        <f t="shared" si="3"/>
      </c>
      <c r="T64" s="112"/>
    </row>
    <row r="65">
      <c r="A65" s="85" t="s">
        <v>195</v>
      </c>
      <c r="B65" s="86" t="s">
        <v>196</v>
      </c>
      <c r="C65" s="86" t="s">
        <v>181</v>
      </c>
      <c r="D65" s="86">
        <v>4</v>
      </c>
      <c r="E65" s="86">
        <v>18</v>
      </c>
      <c r="F65" s="86">
        <v>9</v>
      </c>
      <c r="G65" s="86">
        <v>1</v>
      </c>
      <c r="H65" s="86">
        <v>3</v>
      </c>
      <c r="I65" s="86">
        <v>5</v>
      </c>
      <c r="J65" s="87">
        <v>14652</v>
      </c>
      <c r="K65" s="87">
        <v>14002.38</v>
      </c>
      <c r="L65" s="88">
        <f t="shared" si="1"/>
      </c>
      <c r="M65" s="88">
        <f t="shared" si="5"/>
      </c>
      <c r="N65" s="89">
        <f t="shared" si="2"/>
      </c>
      <c r="O65" s="90" t="s">
        <v>158</v>
      </c>
      <c r="P65" s="86">
        <v>8</v>
      </c>
      <c r="Q65" s="91">
        <f t="shared" si="6"/>
      </c>
      <c r="R65" s="91">
        <f t="shared" si="0"/>
      </c>
      <c r="S65" s="91">
        <f t="shared" si="3"/>
      </c>
      <c r="T65" s="112"/>
    </row>
    <row hidden="true" r="66">
      <c r="A66" s="85" t="s">
        <v>195</v>
      </c>
      <c r="B66" s="86" t="s">
        <v>162</v>
      </c>
      <c r="C66" s="86" t="s">
        <v>188</v>
      </c>
      <c r="D66" s="113">
        <f>4-0.25</f>
      </c>
      <c r="E66" s="86">
        <v>15</v>
      </c>
      <c r="F66" s="86">
        <v>7</v>
      </c>
      <c r="G66" s="86">
        <v>2</v>
      </c>
      <c r="H66" s="86">
        <v>2</v>
      </c>
      <c r="I66" s="86">
        <v>3</v>
      </c>
      <c r="J66" s="87">
        <v>9448</v>
      </c>
      <c r="K66" s="86">
        <v>12593.239999999998</v>
      </c>
      <c r="L66" s="88">
        <f t="shared" si="1"/>
      </c>
      <c r="M66" s="88">
        <f t="shared" si="5"/>
      </c>
      <c r="N66" s="89">
        <f t="shared" si="2"/>
      </c>
      <c r="O66" s="90" t="s">
        <v>183</v>
      </c>
      <c r="P66" s="86">
        <v>4</v>
      </c>
      <c r="Q66" s="91">
        <f t="shared" si="6"/>
      </c>
      <c r="R66" s="91">
        <f t="shared" si="0"/>
      </c>
      <c r="S66" s="91">
        <f t="shared" si="3"/>
      </c>
      <c r="T66" s="112"/>
    </row>
    <row hidden="true" r="67">
      <c r="A67" s="85" t="s">
        <v>195</v>
      </c>
      <c r="B67" s="86" t="s">
        <v>159</v>
      </c>
      <c r="C67" s="86" t="s">
        <v>179</v>
      </c>
      <c r="D67" s="86">
        <v>4</v>
      </c>
      <c r="E67" s="86">
        <v>12</v>
      </c>
      <c r="F67" s="86">
        <v>6</v>
      </c>
      <c r="G67" s="86">
        <v>2</v>
      </c>
      <c r="H67" s="86">
        <v>1</v>
      </c>
      <c r="I67" s="86">
        <v>3</v>
      </c>
      <c r="J67" s="87">
        <v>8649</v>
      </c>
      <c r="K67" s="87">
        <v>8102.950000000001</v>
      </c>
      <c r="L67" s="88">
        <f t="shared" si="1"/>
      </c>
      <c r="M67" s="88">
        <f t="shared" si="5"/>
      </c>
      <c r="N67" s="92">
        <f t="shared" si="2"/>
      </c>
      <c r="O67" s="90"/>
      <c r="P67" s="86"/>
      <c r="Q67" s="91">
        <f t="shared" si="6"/>
      </c>
      <c r="R67" s="91">
        <f t="shared" si="0"/>
      </c>
      <c r="S67" s="91">
        <f t="shared" si="3"/>
      </c>
      <c r="T67" s="112"/>
    </row>
    <row hidden="true" r="68">
      <c r="A68" s="94" t="s">
        <v>195</v>
      </c>
      <c r="B68" s="95" t="s">
        <v>164</v>
      </c>
      <c r="C68" s="96"/>
      <c r="D68" s="96">
        <f>SUM(D65:D67)</f>
      </c>
      <c r="E68" s="96">
        <f>SUM(E65:E67)</f>
      </c>
      <c r="F68" s="96">
        <f>SUM(F65:F67)</f>
      </c>
      <c r="G68" s="96">
        <f>SUM(G65:G67)</f>
      </c>
      <c r="H68" s="96">
        <f>SUM(H65:H67)</f>
      </c>
      <c r="I68" s="96">
        <f>SUM(I65:I67)</f>
      </c>
      <c r="J68" s="96">
        <f>SUM(J65:J67)</f>
      </c>
      <c r="K68" s="96">
        <f>SUM(K65:K67)</f>
      </c>
      <c r="L68" s="97">
        <f t="shared" si="1"/>
      </c>
      <c r="M68" s="98">
        <f t="shared" si="5"/>
      </c>
      <c r="N68" s="99">
        <f t="shared" si="2"/>
      </c>
      <c r="O68" s="100"/>
      <c r="P68" s="101">
        <f>SUM(P65:P67)</f>
      </c>
      <c r="Q68" s="102">
        <f t="shared" si="6"/>
      </c>
      <c r="R68" s="102">
        <f t="shared" si="0"/>
      </c>
      <c r="S68" s="102">
        <f t="shared" si="3"/>
      </c>
    </row>
    <row hidden="true" r="69">
      <c r="A69" s="85" t="s">
        <v>197</v>
      </c>
      <c r="B69" s="86" t="s">
        <v>159</v>
      </c>
      <c r="C69" s="86" t="s">
        <v>181</v>
      </c>
      <c r="D69" s="86">
        <v>4</v>
      </c>
      <c r="E69" s="86">
        <v>22</v>
      </c>
      <c r="F69" s="86">
        <v>14</v>
      </c>
      <c r="G69" s="86">
        <v>3</v>
      </c>
      <c r="H69" s="86">
        <v>6</v>
      </c>
      <c r="I69" s="86">
        <v>5</v>
      </c>
      <c r="J69" s="87">
        <v>18353</v>
      </c>
      <c r="K69" s="87">
        <v>13192.5</v>
      </c>
      <c r="L69" s="88">
        <f t="shared" si="1"/>
      </c>
      <c r="M69" s="88">
        <f t="shared" si="5"/>
      </c>
      <c r="N69" s="89">
        <f t="shared" si="2"/>
      </c>
      <c r="O69" s="90" t="s">
        <v>166</v>
      </c>
      <c r="P69" s="86">
        <v>8</v>
      </c>
      <c r="Q69" s="91">
        <f t="shared" si="6"/>
      </c>
      <c r="R69" s="91">
        <f t="shared" si="0"/>
      </c>
      <c r="S69" s="91">
        <f t="shared" si="3"/>
      </c>
      <c r="T69" s="112"/>
    </row>
    <row hidden="true" r="70">
      <c r="A70" s="85" t="s">
        <v>197</v>
      </c>
      <c r="B70" s="86" t="s">
        <v>196</v>
      </c>
      <c r="C70" s="86" t="s">
        <v>188</v>
      </c>
      <c r="D70" s="86">
        <v>4</v>
      </c>
      <c r="E70" s="86">
        <v>24</v>
      </c>
      <c r="F70" s="86">
        <v>8</v>
      </c>
      <c r="G70" s="86">
        <v>2</v>
      </c>
      <c r="H70" s="86">
        <v>3</v>
      </c>
      <c r="I70" s="86">
        <v>3</v>
      </c>
      <c r="J70" s="87">
        <v>10426</v>
      </c>
      <c r="K70" s="86">
        <v>15169.890000000001</v>
      </c>
      <c r="L70" s="88">
        <f t="shared" si="1"/>
      </c>
      <c r="M70" s="88">
        <f t="shared" si="5"/>
      </c>
      <c r="N70" s="89">
        <f t="shared" si="2"/>
      </c>
      <c r="O70" s="90" t="s">
        <v>183</v>
      </c>
      <c r="P70" s="86">
        <v>4</v>
      </c>
      <c r="Q70" s="91">
        <f t="shared" si="6"/>
      </c>
      <c r="R70" s="91">
        <f t="shared" si="0"/>
      </c>
      <c r="S70" s="91">
        <f t="shared" si="3"/>
      </c>
      <c r="T70" s="112"/>
    </row>
    <row hidden="true" r="71">
      <c r="A71" s="85" t="s">
        <v>197</v>
      </c>
      <c r="B71" s="86" t="s">
        <v>162</v>
      </c>
      <c r="C71" s="86" t="s">
        <v>179</v>
      </c>
      <c r="D71" s="86">
        <v>4</v>
      </c>
      <c r="E71" s="86">
        <v>21</v>
      </c>
      <c r="F71" s="86">
        <v>8</v>
      </c>
      <c r="G71" s="86">
        <v>1</v>
      </c>
      <c r="H71" s="86">
        <v>1</v>
      </c>
      <c r="I71" s="86">
        <v>6</v>
      </c>
      <c r="J71" s="87">
        <v>14906</v>
      </c>
      <c r="K71" s="87">
        <v>13088.93</v>
      </c>
      <c r="L71" s="88">
        <f t="shared" si="1"/>
      </c>
      <c r="M71" s="88">
        <f t="shared" si="5"/>
      </c>
      <c r="N71" s="92">
        <f t="shared" si="2"/>
      </c>
      <c r="O71" s="90"/>
      <c r="P71" s="86"/>
      <c r="Q71" s="91">
        <f t="shared" si="6"/>
      </c>
      <c r="R71" s="91">
        <f t="shared" si="0"/>
      </c>
      <c r="S71" s="91">
        <f t="shared" si="3"/>
      </c>
      <c r="T71" s="112"/>
    </row>
    <row hidden="true" r="72">
      <c r="A72" s="94" t="s">
        <v>197</v>
      </c>
      <c r="B72" s="95" t="s">
        <v>164</v>
      </c>
      <c r="C72" s="96"/>
      <c r="D72" s="96">
        <f>SUM(D69:D71)</f>
      </c>
      <c r="E72" s="96">
        <f>SUM(E69:E71)</f>
      </c>
      <c r="F72" s="96">
        <f>SUM(F69:F71)</f>
      </c>
      <c r="G72" s="96">
        <f>SUM(G69:G71)</f>
      </c>
      <c r="H72" s="96">
        <f>SUM(H69:H71)</f>
      </c>
      <c r="I72" s="96">
        <f>SUM(I69:I71)</f>
      </c>
      <c r="J72" s="96">
        <f>SUM(J69:J71)</f>
      </c>
      <c r="K72" s="96">
        <f>SUM(K69:K71)</f>
      </c>
      <c r="L72" s="97">
        <f t="shared" si="1"/>
      </c>
      <c r="M72" s="98">
        <f t="shared" si="5"/>
      </c>
      <c r="N72" s="99">
        <f t="shared" si="2"/>
      </c>
      <c r="O72" s="100"/>
      <c r="P72" s="101">
        <f>SUM(P69:P71)</f>
      </c>
      <c r="Q72" s="102">
        <f t="shared" si="6"/>
      </c>
      <c r="R72" s="102">
        <f t="shared" si="0"/>
      </c>
      <c r="S72" s="102">
        <f t="shared" si="3"/>
      </c>
    </row>
    <row r="73">
      <c r="A73" s="85" t="s">
        <v>198</v>
      </c>
      <c r="B73" s="86" t="s">
        <v>156</v>
      </c>
      <c r="C73" s="86" t="s">
        <v>181</v>
      </c>
      <c r="D73" s="86">
        <v>4</v>
      </c>
      <c r="E73" s="86">
        <v>16</v>
      </c>
      <c r="F73" s="86">
        <v>2</v>
      </c>
      <c r="G73" s="86">
        <v>0</v>
      </c>
      <c r="H73" s="86">
        <v>1</v>
      </c>
      <c r="I73" s="86">
        <v>1</v>
      </c>
      <c r="J73" s="87">
        <v>3216</v>
      </c>
      <c r="K73" s="87">
        <v>10124.03</v>
      </c>
      <c r="L73" s="88">
        <f t="shared" si="1"/>
      </c>
      <c r="M73" s="88">
        <f t="shared" si="5"/>
      </c>
      <c r="N73" s="89">
        <f t="shared" si="2"/>
      </c>
      <c r="O73" s="90" t="s">
        <v>158</v>
      </c>
      <c r="P73" s="86">
        <v>8</v>
      </c>
      <c r="Q73" s="91">
        <f t="shared" si="6"/>
      </c>
      <c r="R73" s="91">
        <f t="shared" si="0"/>
      </c>
      <c r="S73" s="91">
        <f t="shared" si="3"/>
      </c>
      <c r="T73" s="112"/>
    </row>
    <row hidden="true" r="74">
      <c r="A74" s="85" t="s">
        <v>198</v>
      </c>
      <c r="B74" s="86" t="s">
        <v>159</v>
      </c>
      <c r="C74" s="86" t="s">
        <v>182</v>
      </c>
      <c r="D74" s="86">
        <v>5</v>
      </c>
      <c r="E74" s="86">
        <v>24</v>
      </c>
      <c r="F74" s="86">
        <v>10</v>
      </c>
      <c r="G74" s="86">
        <v>1</v>
      </c>
      <c r="H74" s="86">
        <v>3</v>
      </c>
      <c r="I74" s="86">
        <v>6</v>
      </c>
      <c r="J74" s="87">
        <v>16841</v>
      </c>
      <c r="K74" s="86">
        <v>15047.51</v>
      </c>
      <c r="L74" s="88">
        <f t="shared" si="1"/>
      </c>
      <c r="M74" s="88">
        <f t="shared" si="5"/>
      </c>
      <c r="N74" s="89">
        <f t="shared" si="2"/>
      </c>
      <c r="O74" s="90" t="s">
        <v>183</v>
      </c>
      <c r="P74" s="86">
        <v>4</v>
      </c>
      <c r="Q74" s="91">
        <f t="shared" si="6"/>
      </c>
      <c r="R74" s="91">
        <f t="shared" si="0"/>
      </c>
      <c r="S74" s="91">
        <f t="shared" si="3"/>
      </c>
      <c r="T74" s="112"/>
    </row>
    <row hidden="true" r="75">
      <c r="A75" s="85" t="s">
        <v>198</v>
      </c>
      <c r="B75" s="86" t="s">
        <v>199</v>
      </c>
      <c r="C75" s="86" t="s">
        <v>172</v>
      </c>
      <c r="D75" s="86">
        <v>3</v>
      </c>
      <c r="E75" s="86">
        <v>10</v>
      </c>
      <c r="F75" s="86">
        <v>6</v>
      </c>
      <c r="G75" s="86">
        <v>1</v>
      </c>
      <c r="H75" s="86">
        <v>1</v>
      </c>
      <c r="I75" s="86">
        <v>4</v>
      </c>
      <c r="J75" s="87">
        <v>10370</v>
      </c>
      <c r="K75" s="87">
        <v>8635.57</v>
      </c>
      <c r="L75" s="88">
        <f t="shared" si="1"/>
      </c>
      <c r="M75" s="88">
        <f t="shared" si="5"/>
      </c>
      <c r="N75" s="92">
        <f t="shared" si="2"/>
      </c>
      <c r="O75" s="90"/>
      <c r="P75" s="86"/>
      <c r="Q75" s="91">
        <f t="shared" si="6"/>
      </c>
      <c r="R75" s="91">
        <f t="shared" si="0"/>
      </c>
      <c r="S75" s="91">
        <f t="shared" si="3"/>
      </c>
      <c r="T75" s="112"/>
    </row>
    <row hidden="true" r="76">
      <c r="A76" s="94" t="s">
        <v>198</v>
      </c>
      <c r="B76" s="95" t="s">
        <v>164</v>
      </c>
      <c r="C76" s="96"/>
      <c r="D76" s="96">
        <f>SUM(D73:D75)</f>
      </c>
      <c r="E76" s="96">
        <f>SUM(E73:E75)</f>
      </c>
      <c r="F76" s="96">
        <f>SUM(F73:F75)</f>
      </c>
      <c r="G76" s="96">
        <f>SUM(G73:G75)</f>
      </c>
      <c r="H76" s="96">
        <f>SUM(H73:H75)</f>
      </c>
      <c r="I76" s="96">
        <f>SUM(I73:I75)</f>
      </c>
      <c r="J76" s="96">
        <f>SUM(J73:J75)</f>
      </c>
      <c r="K76" s="96">
        <f>SUM(K73:K75)</f>
      </c>
      <c r="L76" s="97">
        <f t="shared" si="1"/>
      </c>
      <c r="M76" s="98">
        <f t="shared" si="5"/>
      </c>
      <c r="N76" s="99">
        <f t="shared" si="2"/>
      </c>
      <c r="O76" s="100"/>
      <c r="P76" s="101">
        <f>SUM(P73:P75)</f>
      </c>
      <c r="Q76" s="102">
        <f t="shared" si="6"/>
      </c>
      <c r="R76" s="102">
        <f t="shared" si="0"/>
      </c>
      <c r="S76" s="102">
        <f t="shared" si="3"/>
      </c>
    </row>
    <row r="77">
      <c r="A77" s="85" t="s">
        <v>200</v>
      </c>
      <c r="B77" s="86" t="s">
        <v>159</v>
      </c>
      <c r="C77" s="86" t="s">
        <v>157</v>
      </c>
      <c r="D77" s="86">
        <v>5</v>
      </c>
      <c r="E77" s="86">
        <v>27</v>
      </c>
      <c r="F77" s="86">
        <v>15</v>
      </c>
      <c r="G77" s="86">
        <v>0</v>
      </c>
      <c r="H77" s="86">
        <v>4</v>
      </c>
      <c r="I77" s="86">
        <v>11</v>
      </c>
      <c r="J77" s="87">
        <v>28552</v>
      </c>
      <c r="K77" s="87">
        <v>18556.64</v>
      </c>
      <c r="L77" s="88">
        <f t="shared" si="1"/>
      </c>
      <c r="M77" s="88">
        <f t="shared" si="5"/>
      </c>
      <c r="N77" s="89">
        <f t="shared" si="2"/>
      </c>
      <c r="O77" s="90" t="s">
        <v>158</v>
      </c>
      <c r="P77" s="86">
        <v>8</v>
      </c>
      <c r="Q77" s="91">
        <f t="shared" si="6"/>
      </c>
      <c r="R77" s="91">
        <f t="shared" si="0"/>
      </c>
      <c r="S77" s="91">
        <f t="shared" si="3"/>
      </c>
      <c r="T77" s="112"/>
    </row>
    <row hidden="true" r="78">
      <c r="A78" s="85" t="s">
        <v>200</v>
      </c>
      <c r="B78" s="86" t="s">
        <v>156</v>
      </c>
      <c r="C78" s="86" t="s">
        <v>171</v>
      </c>
      <c r="D78" s="86">
        <v>4</v>
      </c>
      <c r="E78" s="86">
        <v>23</v>
      </c>
      <c r="F78" s="86">
        <v>13</v>
      </c>
      <c r="G78" s="86">
        <v>2</v>
      </c>
      <c r="H78" s="86">
        <v>7</v>
      </c>
      <c r="I78" s="86">
        <v>4</v>
      </c>
      <c r="J78" s="87">
        <v>16377</v>
      </c>
      <c r="K78" s="86">
        <v>18700.1</v>
      </c>
      <c r="L78" s="88">
        <f t="shared" si="1"/>
      </c>
      <c r="M78" s="88">
        <f t="shared" si="5"/>
      </c>
      <c r="N78" s="89">
        <f t="shared" si="2"/>
      </c>
      <c r="O78" s="90" t="s">
        <v>183</v>
      </c>
      <c r="P78" s="86">
        <v>1</v>
      </c>
      <c r="Q78" s="91">
        <f t="shared" si="6"/>
      </c>
      <c r="R78" s="91">
        <f t="shared" si="0"/>
      </c>
      <c r="S78" s="91">
        <f t="shared" si="3"/>
      </c>
      <c r="T78" s="112"/>
    </row>
    <row hidden="true" r="79">
      <c r="A79" s="94" t="s">
        <v>200</v>
      </c>
      <c r="B79" s="95" t="s">
        <v>164</v>
      </c>
      <c r="C79" s="96"/>
      <c r="D79" s="96">
        <f>SUM(D77:D78)</f>
      </c>
      <c r="E79" s="96">
        <f>SUM(E77:E78)</f>
      </c>
      <c r="F79" s="96">
        <f>SUM(F77:F78)</f>
      </c>
      <c r="G79" s="96">
        <f>SUM(G77:G78)</f>
      </c>
      <c r="H79" s="96">
        <f>SUM(H77:H78)</f>
      </c>
      <c r="I79" s="96">
        <f>SUM(I77:I78)</f>
      </c>
      <c r="J79" s="96">
        <f>SUM(J77:J78)</f>
      </c>
      <c r="K79" s="96">
        <f>SUM(K77:K78)</f>
      </c>
      <c r="L79" s="97">
        <f t="shared" si="1"/>
      </c>
      <c r="M79" s="98">
        <f t="shared" si="5"/>
      </c>
      <c r="N79" s="99">
        <f t="shared" si="2"/>
      </c>
      <c r="O79" s="100"/>
      <c r="P79" s="101">
        <f>SUM(P77:P78)</f>
      </c>
      <c r="Q79" s="102">
        <f t="shared" si="6"/>
      </c>
      <c r="R79" s="102">
        <f t="shared" si="0"/>
      </c>
      <c r="S79" s="102">
        <f t="shared" si="3"/>
      </c>
    </row>
    <row r="80">
      <c r="A80" s="85" t="s">
        <v>201</v>
      </c>
      <c r="B80" s="86" t="s">
        <v>159</v>
      </c>
      <c r="C80" s="86" t="s">
        <v>157</v>
      </c>
      <c r="D80" s="86">
        <v>5</v>
      </c>
      <c r="E80" s="86">
        <v>32</v>
      </c>
      <c r="F80" s="86">
        <v>19</v>
      </c>
      <c r="G80" s="86">
        <v>0</v>
      </c>
      <c r="H80" s="86">
        <v>4</v>
      </c>
      <c r="I80" s="86">
        <v>12</v>
      </c>
      <c r="J80" s="87">
        <v>32554.399999999998</v>
      </c>
      <c r="K80" s="87">
        <v>23235.47</v>
      </c>
      <c r="L80" s="88">
        <f t="shared" si="1"/>
      </c>
      <c r="M80" s="88">
        <f t="shared" si="5"/>
      </c>
      <c r="N80" s="89">
        <f t="shared" si="2"/>
      </c>
      <c r="O80" s="90" t="s">
        <v>158</v>
      </c>
      <c r="P80" s="86">
        <v>8</v>
      </c>
      <c r="Q80" s="91">
        <f t="shared" si="6"/>
      </c>
      <c r="R80" s="91">
        <f t="shared" si="0"/>
      </c>
      <c r="S80" s="91">
        <f t="shared" si="3"/>
      </c>
    </row>
    <row hidden="true" r="81">
      <c r="A81" s="85" t="s">
        <v>201</v>
      </c>
      <c r="B81" s="86" t="s">
        <v>156</v>
      </c>
      <c r="C81" s="86" t="s">
        <v>178</v>
      </c>
      <c r="D81" s="86">
        <v>3</v>
      </c>
      <c r="E81" s="86">
        <v>14</v>
      </c>
      <c r="F81" s="86">
        <v>6</v>
      </c>
      <c r="G81" s="86">
        <v>0</v>
      </c>
      <c r="H81" s="86">
        <v>1</v>
      </c>
      <c r="I81" s="86">
        <v>5</v>
      </c>
      <c r="J81" s="87">
        <v>12287.999999999996</v>
      </c>
      <c r="K81" s="86">
        <v>11249.689999999999</v>
      </c>
      <c r="L81" s="88">
        <f t="shared" si="1"/>
      </c>
      <c r="M81" s="88">
        <f t="shared" si="5"/>
      </c>
      <c r="N81" s="89">
        <f t="shared" si="2"/>
      </c>
      <c r="O81" s="90"/>
      <c r="P81" s="86"/>
      <c r="Q81" s="91">
        <f t="shared" si="6"/>
      </c>
      <c r="R81" s="91">
        <f t="shared" si="0"/>
      </c>
      <c r="S81" s="91">
        <f t="shared" si="3"/>
      </c>
    </row>
    <row hidden="true" r="82">
      <c r="A82" s="94" t="s">
        <v>201</v>
      </c>
      <c r="B82" s="95" t="s">
        <v>164</v>
      </c>
      <c r="C82" s="96"/>
      <c r="D82" s="96">
        <f>SUM(D80:D81)</f>
      </c>
      <c r="E82" s="96">
        <f>SUM(E80:E81)</f>
      </c>
      <c r="F82" s="96">
        <f>SUM(F80:F81)</f>
      </c>
      <c r="G82" s="96">
        <f>SUM(G80:G81)</f>
      </c>
      <c r="H82" s="96">
        <f>SUM(H80:H81)</f>
      </c>
      <c r="I82" s="96">
        <f>SUM(I80:I81)</f>
      </c>
      <c r="J82" s="96">
        <f>SUM(J80:J81)</f>
      </c>
      <c r="K82" s="96">
        <f>SUM(K80:K81)</f>
      </c>
      <c r="L82" s="97">
        <f t="shared" si="1"/>
      </c>
      <c r="M82" s="98">
        <f t="shared" si="5"/>
      </c>
      <c r="N82" s="99">
        <f t="shared" si="2"/>
      </c>
      <c r="O82" s="100"/>
      <c r="P82" s="101">
        <f>SUM(P80:P81)</f>
      </c>
      <c r="Q82" s="102">
        <f t="shared" si="6"/>
      </c>
      <c r="R82" s="102">
        <f t="shared" si="0"/>
      </c>
      <c r="S82" s="102">
        <f t="shared" si="3"/>
      </c>
    </row>
    <row r="83">
      <c r="A83" s="85" t="s">
        <v>202</v>
      </c>
      <c r="B83" s="86" t="s">
        <v>159</v>
      </c>
      <c r="C83" s="86" t="s">
        <v>157</v>
      </c>
      <c r="D83" s="86">
        <v>5</v>
      </c>
      <c r="E83" s="86">
        <v>24</v>
      </c>
      <c r="F83" s="86">
        <v>17</v>
      </c>
      <c r="G83" s="86">
        <v>3</v>
      </c>
      <c r="H83" s="86">
        <v>3</v>
      </c>
      <c r="I83" s="86">
        <v>11</v>
      </c>
      <c r="J83" s="87">
        <v>28741</v>
      </c>
      <c r="K83" s="87">
        <v>20774.63</v>
      </c>
      <c r="L83" s="88">
        <f t="shared" si="1"/>
      </c>
      <c r="M83" s="88">
        <f t="shared" si="5"/>
      </c>
      <c r="N83" s="89">
        <f t="shared" si="2"/>
      </c>
      <c r="O83" s="90" t="s">
        <v>158</v>
      </c>
      <c r="P83" s="86">
        <v>8</v>
      </c>
      <c r="Q83" s="91">
        <f t="shared" si="6"/>
      </c>
      <c r="R83" s="91">
        <f t="shared" si="0"/>
      </c>
      <c r="S83" s="91">
        <f t="shared" si="3"/>
      </c>
    </row>
    <row hidden="true" r="84">
      <c r="A84" s="85" t="s">
        <v>202</v>
      </c>
      <c r="B84" s="86" t="s">
        <v>156</v>
      </c>
      <c r="C84" s="86" t="s">
        <v>178</v>
      </c>
      <c r="D84" s="86">
        <v>3</v>
      </c>
      <c r="E84" s="86">
        <v>13</v>
      </c>
      <c r="F84" s="86">
        <v>3</v>
      </c>
      <c r="G84" s="86">
        <v>0</v>
      </c>
      <c r="H84" s="86">
        <v>1</v>
      </c>
      <c r="I84" s="86">
        <v>2</v>
      </c>
      <c r="J84" s="87">
        <v>5484</v>
      </c>
      <c r="K84" s="86">
        <v>11129.480000000001</v>
      </c>
      <c r="L84" s="88">
        <f t="shared" si="1"/>
      </c>
      <c r="M84" s="88">
        <f t="shared" si="5"/>
      </c>
      <c r="N84" s="89">
        <f t="shared" si="2"/>
      </c>
      <c r="O84" s="90"/>
      <c r="P84" s="86"/>
      <c r="Q84" s="91">
        <f t="shared" si="6"/>
      </c>
      <c r="R84" s="91">
        <f t="shared" si="0"/>
      </c>
      <c r="S84" s="91">
        <f t="shared" si="3"/>
      </c>
    </row>
    <row hidden="true" r="85">
      <c r="A85" s="94" t="s">
        <v>202</v>
      </c>
      <c r="B85" s="95" t="s">
        <v>164</v>
      </c>
      <c r="C85" s="96"/>
      <c r="D85" s="96">
        <f>SUM(D83:D84)</f>
      </c>
      <c r="E85" s="96">
        <f>SUM(E83:E84)</f>
      </c>
      <c r="F85" s="96">
        <f>SUM(F83:F84)</f>
      </c>
      <c r="G85" s="96">
        <f>SUM(G83:G84)</f>
      </c>
      <c r="H85" s="96">
        <f>SUM(H83:H84)</f>
      </c>
      <c r="I85" s="96">
        <f>SUM(I83:I84)</f>
      </c>
      <c r="J85" s="96">
        <f>SUM(J83:J84)</f>
      </c>
      <c r="K85" s="96">
        <f>SUM(K83:K84)</f>
      </c>
      <c r="L85" s="97">
        <f t="shared" si="1"/>
      </c>
      <c r="M85" s="98">
        <f t="shared" si="5"/>
      </c>
      <c r="N85" s="99">
        <f t="shared" si="2"/>
      </c>
      <c r="O85" s="100"/>
      <c r="P85" s="101">
        <f>SUM(P83:P84)</f>
      </c>
      <c r="Q85" s="102">
        <f t="shared" si="6"/>
      </c>
      <c r="R85" s="102">
        <f t="shared" si="0"/>
      </c>
      <c r="S85" s="102">
        <f t="shared" si="3"/>
      </c>
    </row>
    <row r="86">
      <c r="A86" s="85" t="s">
        <v>203</v>
      </c>
      <c r="B86" s="86" t="s">
        <v>159</v>
      </c>
      <c r="C86" s="86" t="s">
        <v>157</v>
      </c>
      <c r="D86" s="86">
        <v>5</v>
      </c>
      <c r="E86" s="86">
        <v>22</v>
      </c>
      <c r="F86" s="86">
        <v>14</v>
      </c>
      <c r="G86" s="86">
        <v>0</v>
      </c>
      <c r="H86" s="86">
        <v>3</v>
      </c>
      <c r="I86" s="86">
        <v>11</v>
      </c>
      <c r="J86" s="87">
        <v>27416</v>
      </c>
      <c r="K86" s="87">
        <v>17872.36</v>
      </c>
      <c r="L86" s="88">
        <f t="shared" si="1"/>
      </c>
      <c r="M86" s="88">
        <f t="shared" si="5"/>
      </c>
      <c r="N86" s="89">
        <f t="shared" si="2"/>
      </c>
      <c r="O86" s="90" t="s">
        <v>158</v>
      </c>
      <c r="P86" s="86">
        <v>8</v>
      </c>
      <c r="Q86" s="91">
        <f t="shared" si="6"/>
      </c>
      <c r="R86" s="91">
        <f t="shared" si="0"/>
      </c>
      <c r="S86" s="91">
        <f t="shared" si="3"/>
      </c>
    </row>
    <row hidden="true" r="87">
      <c r="A87" s="85" t="s">
        <v>203</v>
      </c>
      <c r="B87" s="86" t="s">
        <v>156</v>
      </c>
      <c r="C87" s="86" t="s">
        <v>178</v>
      </c>
      <c r="D87" s="86">
        <v>3</v>
      </c>
      <c r="E87" s="86">
        <v>14</v>
      </c>
      <c r="F87" s="86">
        <v>7</v>
      </c>
      <c r="G87" s="86">
        <v>0</v>
      </c>
      <c r="H87" s="86">
        <v>2</v>
      </c>
      <c r="I87" s="86">
        <v>4</v>
      </c>
      <c r="J87" s="87">
        <v>11196</v>
      </c>
      <c r="K87" s="86">
        <v>8889.380000000001</v>
      </c>
      <c r="L87" s="88">
        <f t="shared" si="1"/>
      </c>
      <c r="M87" s="88">
        <f t="shared" si="5"/>
      </c>
      <c r="N87" s="89">
        <f t="shared" si="2"/>
      </c>
      <c r="O87" s="90"/>
      <c r="P87" s="86"/>
      <c r="Q87" s="91">
        <f t="shared" si="6"/>
      </c>
      <c r="R87" s="91">
        <f t="shared" si="0"/>
      </c>
      <c r="S87" s="91">
        <f t="shared" si="3"/>
      </c>
    </row>
    <row hidden="true" r="88">
      <c r="A88" s="94" t="s">
        <v>203</v>
      </c>
      <c r="B88" s="95" t="s">
        <v>164</v>
      </c>
      <c r="C88" s="96"/>
      <c r="D88" s="96">
        <f>SUM(D86:D87)</f>
      </c>
      <c r="E88" s="96">
        <f>SUM(E86:E87)</f>
      </c>
      <c r="F88" s="96">
        <f>SUM(F86:F87)</f>
      </c>
      <c r="G88" s="96">
        <f>SUM(G86:G87)</f>
      </c>
      <c r="H88" s="96">
        <f>SUM(H86:H87)</f>
      </c>
      <c r="I88" s="96">
        <f>SUM(I86:I87)</f>
      </c>
      <c r="J88" s="96">
        <f>SUM(J86:J87)</f>
      </c>
      <c r="K88" s="96">
        <f>SUM(K86:K87)</f>
      </c>
      <c r="L88" s="97">
        <f t="shared" si="1"/>
      </c>
      <c r="M88" s="98">
        <f t="shared" si="5"/>
      </c>
      <c r="N88" s="99">
        <f t="shared" si="2"/>
      </c>
      <c r="O88" s="100"/>
      <c r="P88" s="101">
        <f>SUM(P86:P87)</f>
      </c>
      <c r="Q88" s="102">
        <f t="shared" si="6"/>
      </c>
      <c r="R88" s="102">
        <f t="shared" si="0"/>
      </c>
      <c r="S88" s="102">
        <f t="shared" si="3"/>
      </c>
    </row>
    <row r="89">
      <c r="A89" s="85" t="s">
        <v>204</v>
      </c>
      <c r="B89" s="86" t="s">
        <v>159</v>
      </c>
      <c r="C89" s="86" t="s">
        <v>157</v>
      </c>
      <c r="D89" s="86">
        <v>5</v>
      </c>
      <c r="E89" s="86">
        <v>28</v>
      </c>
      <c r="F89" s="86">
        <v>15</v>
      </c>
      <c r="G89" s="86">
        <v>1</v>
      </c>
      <c r="H89" s="86">
        <v>2</v>
      </c>
      <c r="I89" s="86">
        <v>12</v>
      </c>
      <c r="J89" s="87">
        <v>29165</v>
      </c>
      <c r="K89" s="87">
        <v>15763.480000000001</v>
      </c>
      <c r="L89" s="88">
        <f t="shared" si="1"/>
      </c>
      <c r="M89" s="88">
        <f t="shared" si="5"/>
      </c>
      <c r="N89" s="89">
        <f t="shared" si="2"/>
      </c>
      <c r="O89" s="90" t="s">
        <v>158</v>
      </c>
      <c r="P89" s="86">
        <v>7</v>
      </c>
      <c r="Q89" s="91">
        <f t="shared" si="6"/>
      </c>
      <c r="R89" s="91">
        <f t="shared" si="0"/>
      </c>
      <c r="S89" s="91">
        <f t="shared" si="3"/>
      </c>
    </row>
    <row hidden="true" r="90">
      <c r="A90" s="85" t="s">
        <v>204</v>
      </c>
      <c r="B90" s="86" t="s">
        <v>156</v>
      </c>
      <c r="C90" s="86" t="s">
        <v>168</v>
      </c>
      <c r="D90" s="114">
        <f>2-1.25</f>
      </c>
      <c r="E90" s="86">
        <v>8</v>
      </c>
      <c r="F90" s="86">
        <v>3</v>
      </c>
      <c r="G90" s="86">
        <v>0</v>
      </c>
      <c r="H90" s="86">
        <v>1</v>
      </c>
      <c r="I90" s="86">
        <v>2</v>
      </c>
      <c r="J90" s="87">
        <v>5484</v>
      </c>
      <c r="K90" s="86">
        <v>6089.01</v>
      </c>
      <c r="L90" s="88">
        <f t="shared" si="1"/>
      </c>
      <c r="M90" s="88">
        <f t="shared" si="5"/>
      </c>
      <c r="N90" s="89">
        <f t="shared" si="2"/>
      </c>
      <c r="O90" s="90"/>
      <c r="P90" s="86"/>
      <c r="Q90" s="91">
        <f t="shared" si="6"/>
      </c>
      <c r="R90" s="91">
        <f t="shared" si="0"/>
      </c>
      <c r="S90" s="91">
        <f t="shared" si="3"/>
      </c>
    </row>
    <row hidden="true" r="91">
      <c r="A91" s="94" t="s">
        <v>204</v>
      </c>
      <c r="B91" s="95" t="s">
        <v>164</v>
      </c>
      <c r="C91" s="96"/>
      <c r="D91" s="96">
        <f>SUM(D89:D90)</f>
      </c>
      <c r="E91" s="96">
        <f>SUM(E89:E90)</f>
      </c>
      <c r="F91" s="96">
        <f>SUM(F89:F90)</f>
      </c>
      <c r="G91" s="96">
        <f>SUM(G89:G90)</f>
      </c>
      <c r="H91" s="96">
        <f>SUM(H89:H90)</f>
      </c>
      <c r="I91" s="96">
        <f>SUM(I89:I90)</f>
      </c>
      <c r="J91" s="96">
        <f>SUM(J89:J90)</f>
      </c>
      <c r="K91" s="96">
        <f>SUM(K89:K90)</f>
      </c>
      <c r="L91" s="97">
        <f t="shared" si="1"/>
      </c>
      <c r="M91" s="98">
        <f t="shared" si="5"/>
      </c>
      <c r="N91" s="99">
        <f t="shared" si="2"/>
      </c>
      <c r="O91" s="100"/>
      <c r="P91" s="101">
        <f>SUM(P89:P90)</f>
      </c>
      <c r="Q91" s="102">
        <f t="shared" si="6"/>
      </c>
      <c r="R91" s="102">
        <f t="shared" si="0"/>
      </c>
      <c r="S91" s="102">
        <f t="shared" si="3"/>
      </c>
    </row>
    <row r="92">
      <c r="A92" s="85" t="s">
        <v>205</v>
      </c>
      <c r="B92" s="86" t="s">
        <v>159</v>
      </c>
      <c r="C92" s="86" t="s">
        <v>157</v>
      </c>
      <c r="D92" s="86">
        <v>5</v>
      </c>
      <c r="E92" s="86">
        <v>28</v>
      </c>
      <c r="F92" s="86">
        <v>14</v>
      </c>
      <c r="G92" s="86">
        <v>2</v>
      </c>
      <c r="H92" s="86">
        <v>6</v>
      </c>
      <c r="I92" s="86">
        <v>6</v>
      </c>
      <c r="J92" s="87">
        <v>19856</v>
      </c>
      <c r="K92" s="87">
        <v>17063.79</v>
      </c>
      <c r="L92" s="88">
        <f t="shared" si="1"/>
      </c>
      <c r="M92" s="88">
        <f t="shared" si="5"/>
      </c>
      <c r="N92" s="89">
        <f t="shared" si="2"/>
      </c>
      <c r="O92" s="90" t="s">
        <v>158</v>
      </c>
      <c r="P92" s="86">
        <v>9</v>
      </c>
      <c r="Q92" s="91">
        <f t="shared" si="6"/>
      </c>
      <c r="R92" s="91">
        <f t="shared" si="0"/>
      </c>
      <c r="S92" s="91">
        <f t="shared" si="3"/>
      </c>
    </row>
    <row hidden="true" r="93">
      <c r="A93" s="85" t="s">
        <v>205</v>
      </c>
      <c r="B93" s="86" t="s">
        <v>206</v>
      </c>
      <c r="C93" s="86" t="s">
        <v>171</v>
      </c>
      <c r="D93" s="86">
        <v>4</v>
      </c>
      <c r="E93" s="86">
        <v>24</v>
      </c>
      <c r="F93" s="86">
        <v>10</v>
      </c>
      <c r="G93" s="86">
        <v>0</v>
      </c>
      <c r="H93" s="86">
        <v>1</v>
      </c>
      <c r="I93" s="86">
        <v>9</v>
      </c>
      <c r="J93" s="87">
        <v>21172</v>
      </c>
      <c r="K93" s="86">
        <v>11083.279999999999</v>
      </c>
      <c r="L93" s="88">
        <f t="shared" si="1"/>
      </c>
      <c r="M93" s="88">
        <f t="shared" si="5"/>
      </c>
      <c r="N93" s="89">
        <f t="shared" si="2"/>
      </c>
      <c r="O93" s="90"/>
      <c r="P93" s="86"/>
      <c r="Q93" s="91">
        <f t="shared" si="6"/>
      </c>
      <c r="R93" s="91">
        <f t="shared" si="0"/>
      </c>
      <c r="S93" s="91">
        <f t="shared" si="3"/>
      </c>
    </row>
    <row hidden="true" r="94">
      <c r="A94" s="94" t="s">
        <v>205</v>
      </c>
      <c r="B94" s="95" t="s">
        <v>164</v>
      </c>
      <c r="C94" s="96"/>
      <c r="D94" s="96">
        <f>SUM(D92:D93)</f>
      </c>
      <c r="E94" s="96">
        <f>SUM(E92:E93)</f>
      </c>
      <c r="F94" s="96">
        <f>SUM(F92:F93)</f>
      </c>
      <c r="G94" s="96">
        <f>SUM(G92:G93)</f>
      </c>
      <c r="H94" s="96">
        <f>SUM(H92:H93)</f>
      </c>
      <c r="I94" s="96">
        <f>SUM(I92:I93)</f>
      </c>
      <c r="J94" s="96">
        <f>SUM(J92:J93)</f>
      </c>
      <c r="K94" s="96">
        <f>SUM(K92:K93)</f>
      </c>
      <c r="L94" s="97">
        <f t="shared" si="1"/>
      </c>
      <c r="M94" s="98">
        <f t="shared" si="5"/>
      </c>
      <c r="N94" s="99">
        <f t="shared" si="2"/>
      </c>
      <c r="O94" s="100"/>
      <c r="P94" s="101">
        <f>SUM(P92:P93)</f>
      </c>
      <c r="Q94" s="102">
        <f t="shared" si="6"/>
      </c>
      <c r="R94" s="102">
        <f t="shared" si="0"/>
      </c>
      <c r="S94" s="102">
        <f t="shared" si="3"/>
      </c>
    </row>
    <row r="95">
      <c r="A95" s="85" t="s">
        <v>207</v>
      </c>
      <c r="B95" s="86" t="s">
        <v>159</v>
      </c>
      <c r="C95" s="86" t="s">
        <v>157</v>
      </c>
      <c r="D95" s="86">
        <v>5</v>
      </c>
      <c r="E95" s="86">
        <v>14</v>
      </c>
      <c r="F95" s="86">
        <v>9</v>
      </c>
      <c r="G95" s="86">
        <v>0</v>
      </c>
      <c r="H95" s="86">
        <v>3</v>
      </c>
      <c r="I95" s="86">
        <v>5</v>
      </c>
      <c r="J95" s="87">
        <v>14777.199999999999</v>
      </c>
      <c r="K95" s="87">
        <v>13198.8</v>
      </c>
      <c r="L95" s="88">
        <f t="shared" si="1"/>
      </c>
      <c r="M95" s="88">
        <f t="shared" si="5"/>
      </c>
      <c r="N95" s="89">
        <f t="shared" si="2"/>
      </c>
      <c r="O95" s="90" t="s">
        <v>158</v>
      </c>
      <c r="P95" s="86">
        <v>6</v>
      </c>
      <c r="Q95" s="91">
        <f t="shared" si="6"/>
      </c>
      <c r="R95" s="91">
        <f t="shared" si="0"/>
      </c>
      <c r="S95" s="91">
        <f t="shared" si="3"/>
      </c>
    </row>
    <row hidden="true" r="96">
      <c r="A96" s="85" t="s">
        <v>207</v>
      </c>
      <c r="B96" s="86" t="s">
        <v>206</v>
      </c>
      <c r="C96" s="86" t="s">
        <v>208</v>
      </c>
      <c r="D96" s="86">
        <v>1</v>
      </c>
      <c r="E96" s="86">
        <v>0</v>
      </c>
      <c r="F96" s="86">
        <v>0</v>
      </c>
      <c r="G96" s="86">
        <v>0</v>
      </c>
      <c r="H96" s="86">
        <v>0</v>
      </c>
      <c r="I96" s="86">
        <v>0</v>
      </c>
      <c r="J96" s="87">
        <v>0</v>
      </c>
      <c r="K96" s="86">
        <v>1283.21</v>
      </c>
      <c r="L96" s="88">
        <f t="shared" si="1"/>
      </c>
      <c r="M96" s="88">
        <f t="shared" si="5"/>
      </c>
      <c r="N96" s="89">
        <f t="shared" si="2"/>
      </c>
      <c r="O96" s="90"/>
      <c r="P96" s="86"/>
      <c r="Q96" s="91">
        <f t="shared" si="6"/>
      </c>
      <c r="R96" s="91">
        <f t="shared" si="0"/>
      </c>
      <c r="S96" s="91">
        <f t="shared" si="3"/>
      </c>
    </row>
    <row hidden="true" r="97">
      <c r="A97" s="94" t="s">
        <v>207</v>
      </c>
      <c r="B97" s="95" t="s">
        <v>164</v>
      </c>
      <c r="C97" s="96"/>
      <c r="D97" s="96">
        <f>SUM(D95:D96)</f>
      </c>
      <c r="E97" s="96">
        <f>SUM(E95:E96)</f>
      </c>
      <c r="F97" s="96">
        <f>SUM(F95:F96)</f>
      </c>
      <c r="G97" s="96">
        <f>SUM(G95:G96)</f>
      </c>
      <c r="H97" s="96">
        <f>SUM(H95:H96)</f>
      </c>
      <c r="I97" s="96">
        <f>SUM(I95:I96)</f>
      </c>
      <c r="J97" s="96">
        <f>SUM(J95:J96)</f>
      </c>
      <c r="K97" s="96">
        <f>SUM(K95:K96)</f>
      </c>
      <c r="L97" s="97">
        <f t="shared" si="1"/>
      </c>
      <c r="M97" s="98">
        <f t="shared" si="5"/>
      </c>
      <c r="N97" s="99">
        <f t="shared" si="2"/>
      </c>
      <c r="O97" s="100"/>
      <c r="P97" s="101">
        <f>SUM(P95:P96)</f>
      </c>
      <c r="Q97" s="102">
        <f t="shared" si="6"/>
      </c>
      <c r="R97" s="102">
        <f t="shared" si="0"/>
      </c>
      <c r="S97" s="102">
        <f t="shared" si="3"/>
      </c>
    </row>
    <row r="98">
      <c r="A98" s="85" t="s">
        <v>209</v>
      </c>
      <c r="B98" s="86" t="s">
        <v>159</v>
      </c>
      <c r="C98" s="86" t="s">
        <v>157</v>
      </c>
      <c r="D98" s="86">
        <v>5</v>
      </c>
      <c r="E98" s="86">
        <v>29</v>
      </c>
      <c r="F98" s="86">
        <v>13</v>
      </c>
      <c r="G98" s="86">
        <v>0</v>
      </c>
      <c r="H98" s="86">
        <v>2</v>
      </c>
      <c r="I98" s="86">
        <v>11</v>
      </c>
      <c r="J98" s="87">
        <v>26844</v>
      </c>
      <c r="K98" s="87">
        <v>15304.949999999999</v>
      </c>
      <c r="L98" s="88">
        <f t="shared" si="1"/>
      </c>
      <c r="M98" s="88">
        <f t="shared" si="5"/>
      </c>
      <c r="N98" s="89">
        <f t="shared" si="2"/>
      </c>
      <c r="O98" s="90" t="s">
        <v>158</v>
      </c>
      <c r="P98" s="86">
        <v>8</v>
      </c>
      <c r="Q98" s="91">
        <f t="shared" si="6"/>
      </c>
      <c r="R98" s="91">
        <f t="shared" si="0"/>
      </c>
      <c r="S98" s="91">
        <f t="shared" si="3"/>
      </c>
    </row>
    <row hidden="true" r="99">
      <c r="A99" s="85" t="s">
        <v>209</v>
      </c>
      <c r="B99" s="86" t="s">
        <v>206</v>
      </c>
      <c r="C99" s="86" t="s">
        <v>178</v>
      </c>
      <c r="D99" s="86">
        <v>3</v>
      </c>
      <c r="E99" s="86">
        <v>20</v>
      </c>
      <c r="F99" s="86">
        <v>8</v>
      </c>
      <c r="G99" s="86">
        <v>0</v>
      </c>
      <c r="H99" s="86">
        <v>0</v>
      </c>
      <c r="I99" s="86">
        <v>7</v>
      </c>
      <c r="J99" s="87">
        <v>15420</v>
      </c>
      <c r="K99" s="86">
        <v>11160.300000000001</v>
      </c>
      <c r="L99" s="88">
        <f t="shared" si="1"/>
      </c>
      <c r="M99" s="88">
        <f t="shared" si="5"/>
      </c>
      <c r="N99" s="89">
        <f t="shared" si="2"/>
      </c>
      <c r="O99" s="90"/>
      <c r="P99" s="86"/>
      <c r="Q99" s="91">
        <f t="shared" si="6"/>
      </c>
      <c r="R99" s="91">
        <f t="shared" si="0"/>
      </c>
      <c r="S99" s="91">
        <f t="shared" si="3"/>
      </c>
    </row>
    <row hidden="true" r="100">
      <c r="A100" s="94" t="s">
        <v>209</v>
      </c>
      <c r="B100" s="95" t="s">
        <v>164</v>
      </c>
      <c r="C100" s="96"/>
      <c r="D100" s="96">
        <f>SUM(D98:D99)</f>
      </c>
      <c r="E100" s="96">
        <f>SUM(E98:E99)</f>
      </c>
      <c r="F100" s="96">
        <f>SUM(F98:F99)</f>
      </c>
      <c r="G100" s="96">
        <f>SUM(G98:G99)</f>
      </c>
      <c r="H100" s="96">
        <f>SUM(H98:H99)</f>
      </c>
      <c r="I100" s="96">
        <f>SUM(I98:I99)</f>
      </c>
      <c r="J100" s="96">
        <f>SUM(J98:J99)</f>
      </c>
      <c r="K100" s="96">
        <f>SUM(K98:K99)</f>
      </c>
      <c r="L100" s="97">
        <f t="shared" si="1"/>
      </c>
      <c r="M100" s="98">
        <f t="shared" si="5"/>
      </c>
      <c r="N100" s="99">
        <f t="shared" si="2"/>
      </c>
      <c r="O100" s="100"/>
      <c r="P100" s="101">
        <f>SUM(P98:P99)</f>
      </c>
      <c r="Q100" s="102">
        <f t="shared" si="6"/>
      </c>
      <c r="R100" s="102">
        <f t="shared" si="0"/>
      </c>
      <c r="S100" s="102">
        <f t="shared" si="3"/>
      </c>
    </row>
    <row hidden="true" r="101">
      <c r="A101" s="85" t="s">
        <v>210</v>
      </c>
      <c r="B101" s="86" t="s">
        <v>159</v>
      </c>
      <c r="C101" s="86" t="s">
        <v>157</v>
      </c>
      <c r="D101" s="86">
        <v>5</v>
      </c>
      <c r="E101" s="86">
        <v>23</v>
      </c>
      <c r="F101" s="86">
        <v>11</v>
      </c>
      <c r="G101" s="86">
        <v>2</v>
      </c>
      <c r="H101" s="86">
        <v>2</v>
      </c>
      <c r="I101" s="86">
        <v>7</v>
      </c>
      <c r="J101" s="87">
        <v>18708</v>
      </c>
      <c r="K101" s="87">
        <v>15034.34</v>
      </c>
      <c r="L101" s="88">
        <f t="shared" si="1"/>
      </c>
      <c r="M101" s="88">
        <f t="shared" si="5"/>
      </c>
      <c r="N101" s="89">
        <f t="shared" si="2"/>
      </c>
      <c r="O101" s="90" t="s">
        <v>211</v>
      </c>
      <c r="P101" s="86">
        <v>5</v>
      </c>
      <c r="Q101" s="91">
        <f t="shared" si="6"/>
      </c>
      <c r="R101" s="91">
        <f t="shared" si="0"/>
      </c>
      <c r="S101" s="91">
        <f t="shared" si="3"/>
      </c>
    </row>
    <row hidden="true" r="102">
      <c r="A102" s="94" t="s">
        <v>210</v>
      </c>
      <c r="B102" s="95" t="s">
        <v>164</v>
      </c>
      <c r="C102" s="96"/>
      <c r="D102" s="96">
        <f>SUM(D101)</f>
      </c>
      <c r="E102" s="96">
        <f>SUM(E101)</f>
      </c>
      <c r="F102" s="96">
        <f>SUM(F101)</f>
      </c>
      <c r="G102" s="96">
        <f>SUM(G101)</f>
      </c>
      <c r="H102" s="96">
        <f>SUM(H101)</f>
      </c>
      <c r="I102" s="96">
        <f>SUM(I101)</f>
      </c>
      <c r="J102" s="96">
        <f>SUM(J101)</f>
      </c>
      <c r="K102" s="96">
        <f>SUM(K101)</f>
      </c>
      <c r="L102" s="97">
        <f t="shared" si="1"/>
      </c>
      <c r="M102" s="98">
        <f t="shared" si="5"/>
      </c>
      <c r="N102" s="99">
        <f t="shared" si="2"/>
      </c>
      <c r="O102" s="100"/>
      <c r="P102" s="101">
        <f>SUM(P101)</f>
      </c>
      <c r="Q102" s="102">
        <f t="shared" si="6"/>
      </c>
      <c r="R102" s="102">
        <f t="shared" si="0"/>
      </c>
      <c r="S102" s="102">
        <f t="shared" si="3"/>
      </c>
    </row>
    <row hidden="true" r="103">
      <c r="A103" s="85" t="s">
        <v>212</v>
      </c>
      <c r="B103" s="86" t="s">
        <v>159</v>
      </c>
      <c r="C103" s="86" t="s">
        <v>157</v>
      </c>
      <c r="D103" s="86">
        <v>5</v>
      </c>
      <c r="E103" s="86">
        <v>21</v>
      </c>
      <c r="F103" s="86">
        <v>12</v>
      </c>
      <c r="G103" s="86">
        <v>1</v>
      </c>
      <c r="H103" s="86">
        <v>1</v>
      </c>
      <c r="I103" s="86">
        <v>9</v>
      </c>
      <c r="J103" s="87">
        <v>22468</v>
      </c>
      <c r="K103" s="87">
        <v>18281.11</v>
      </c>
      <c r="L103" s="88">
        <f t="shared" si="1"/>
      </c>
      <c r="M103" s="88">
        <f t="shared" si="5"/>
      </c>
      <c r="N103" s="89">
        <f t="shared" si="2"/>
      </c>
      <c r="O103" s="90" t="s">
        <v>211</v>
      </c>
      <c r="P103" s="86">
        <v>6</v>
      </c>
      <c r="Q103" s="91">
        <f t="shared" si="6"/>
      </c>
      <c r="R103" s="91">
        <f t="shared" si="0"/>
      </c>
      <c r="S103" s="91">
        <f t="shared" si="3"/>
      </c>
    </row>
    <row hidden="true" r="104">
      <c r="A104" s="85" t="s">
        <v>212</v>
      </c>
      <c r="B104" s="86" t="s">
        <v>156</v>
      </c>
      <c r="C104" s="86" t="s">
        <v>208</v>
      </c>
      <c r="D104" s="86">
        <v>1</v>
      </c>
      <c r="E104" s="86">
        <v>5</v>
      </c>
      <c r="F104" s="86">
        <v>0</v>
      </c>
      <c r="G104" s="86">
        <v>0</v>
      </c>
      <c r="H104" s="86">
        <v>0</v>
      </c>
      <c r="I104" s="86">
        <v>0</v>
      </c>
      <c r="J104" s="87">
        <v>0</v>
      </c>
      <c r="K104" s="86">
        <v>2491.77</v>
      </c>
      <c r="L104" s="88">
        <f t="shared" si="1"/>
      </c>
      <c r="M104" s="88">
        <f t="shared" si="5"/>
      </c>
      <c r="N104" s="89">
        <f t="shared" si="2"/>
      </c>
      <c r="O104" s="90"/>
      <c r="P104" s="86"/>
      <c r="Q104" s="91">
        <f t="shared" si="6"/>
      </c>
      <c r="R104" s="91">
        <f t="shared" si="0"/>
      </c>
      <c r="S104" s="91">
        <f t="shared" si="3"/>
      </c>
    </row>
    <row hidden="true" r="105">
      <c r="A105" s="94" t="s">
        <v>212</v>
      </c>
      <c r="B105" s="95" t="s">
        <v>164</v>
      </c>
      <c r="C105" s="96"/>
      <c r="D105" s="96">
        <f>SUM(D103:D104)</f>
      </c>
      <c r="E105" s="96">
        <f>SUM(E103:E104)</f>
      </c>
      <c r="F105" s="96">
        <f>SUM(F103:F104)</f>
      </c>
      <c r="G105" s="96">
        <f>SUM(G103:G104)</f>
      </c>
      <c r="H105" s="96">
        <f>SUM(H103:H104)</f>
      </c>
      <c r="I105" s="96">
        <f>SUM(I103:I104)</f>
      </c>
      <c r="J105" s="96">
        <f>SUM(J103:J104)</f>
      </c>
      <c r="K105" s="96">
        <f>SUM(K103:K104)</f>
      </c>
      <c r="L105" s="97">
        <f t="shared" si="1"/>
      </c>
      <c r="M105" s="98">
        <f t="shared" si="5"/>
      </c>
      <c r="N105" s="99">
        <f t="shared" si="2"/>
      </c>
      <c r="O105" s="100"/>
      <c r="P105" s="101">
        <f>SUM(P103:P104)</f>
      </c>
      <c r="Q105" s="102">
        <f t="shared" si="6"/>
      </c>
      <c r="R105" s="102">
        <f t="shared" si="0"/>
      </c>
      <c r="S105" s="102">
        <f t="shared" si="3"/>
      </c>
    </row>
    <row hidden="true" r="106">
      <c r="A106" s="85" t="s">
        <v>213</v>
      </c>
      <c r="B106" s="86" t="s">
        <v>159</v>
      </c>
      <c r="C106" s="86" t="s">
        <v>157</v>
      </c>
      <c r="D106" s="86">
        <v>5</v>
      </c>
      <c r="E106" s="86">
        <v>24</v>
      </c>
      <c r="F106" s="86">
        <f t="shared" ref="F106:F107" si="4">G106+H106+I106</f>
      </c>
      <c r="G106" s="86">
        <v>2</v>
      </c>
      <c r="H106" s="86">
        <v>1</v>
      </c>
      <c r="I106" s="86">
        <v>7</v>
      </c>
      <c r="J106" s="87">
        <v>17721</v>
      </c>
      <c r="K106" s="87">
        <v>14936.31</v>
      </c>
      <c r="L106" s="88">
        <f t="shared" si="1"/>
      </c>
      <c r="M106" s="88">
        <f t="shared" si="5"/>
      </c>
      <c r="N106" s="89">
        <f t="shared" si="2"/>
      </c>
      <c r="O106" s="90" t="s">
        <v>214</v>
      </c>
      <c r="P106" s="86">
        <v>8</v>
      </c>
      <c r="Q106" s="91">
        <f t="shared" si="6"/>
      </c>
      <c r="R106" s="91">
        <f t="shared" si="0"/>
      </c>
      <c r="S106" s="91">
        <f t="shared" si="3"/>
      </c>
    </row>
    <row hidden="true" r="107">
      <c r="A107" s="85" t="s">
        <v>213</v>
      </c>
      <c r="B107" s="86" t="s">
        <v>206</v>
      </c>
      <c r="C107" s="86" t="s">
        <v>178</v>
      </c>
      <c r="D107" s="86">
        <v>3</v>
      </c>
      <c r="E107" s="86">
        <v>23</v>
      </c>
      <c r="F107" s="86">
        <f t="shared" si="4"/>
      </c>
      <c r="G107" s="86">
        <v>1</v>
      </c>
      <c r="H107" s="86">
        <v>2</v>
      </c>
      <c r="I107" s="86">
        <v>9</v>
      </c>
      <c r="J107" s="87">
        <v>22776</v>
      </c>
      <c r="K107" s="86">
        <v>13663.46</v>
      </c>
      <c r="L107" s="88">
        <f t="shared" si="1"/>
      </c>
      <c r="M107" s="88">
        <f t="shared" si="5"/>
      </c>
      <c r="N107" s="89">
        <f t="shared" si="2"/>
      </c>
      <c r="O107" s="90"/>
      <c r="P107" s="86"/>
      <c r="Q107" s="91">
        <f t="shared" si="6"/>
      </c>
      <c r="R107" s="91">
        <f t="shared" si="0"/>
      </c>
      <c r="S107" s="91">
        <f t="shared" si="3"/>
      </c>
    </row>
    <row hidden="true" r="108">
      <c r="A108" s="94" t="s">
        <v>213</v>
      </c>
      <c r="B108" s="95" t="s">
        <v>164</v>
      </c>
      <c r="C108" s="96"/>
      <c r="D108" s="96">
        <f>SUM(D106:D107)</f>
      </c>
      <c r="E108" s="96">
        <f>SUM(E106:E107)</f>
      </c>
      <c r="F108" s="96">
        <f>SUM(F106:F107)</f>
      </c>
      <c r="G108" s="96">
        <f>SUM(G106:G107)</f>
      </c>
      <c r="H108" s="96">
        <f>SUM(H106:H107)</f>
      </c>
      <c r="I108" s="96">
        <f>SUM(I106:I107)</f>
      </c>
      <c r="J108" s="96">
        <f>SUM(J106:J107)</f>
      </c>
      <c r="K108" s="96">
        <f>SUM(K106:K107)</f>
      </c>
      <c r="L108" s="97">
        <f t="shared" si="1"/>
      </c>
      <c r="M108" s="98">
        <f t="shared" si="5"/>
      </c>
      <c r="N108" s="99">
        <f t="shared" si="2"/>
      </c>
      <c r="O108" s="100"/>
      <c r="P108" s="101">
        <f>SUM(P106:P107)</f>
      </c>
      <c r="Q108" s="102">
        <f t="shared" si="6"/>
      </c>
      <c r="R108" s="102">
        <f t="shared" si="0"/>
      </c>
      <c r="S108" s="102">
        <f t="shared" si="3"/>
      </c>
    </row>
    <row hidden="true" r="109">
      <c r="A109" s="85" t="s">
        <v>215</v>
      </c>
      <c r="B109" s="86" t="s">
        <v>159</v>
      </c>
      <c r="C109" s="86" t="s">
        <v>181</v>
      </c>
      <c r="D109" s="114">
        <f>4-1.5</f>
      </c>
      <c r="E109" s="86">
        <v>20</v>
      </c>
      <c r="F109" s="86">
        <v>9</v>
      </c>
      <c r="G109" s="86">
        <v>0</v>
      </c>
      <c r="H109" s="86">
        <v>0</v>
      </c>
      <c r="I109" s="86">
        <v>9</v>
      </c>
      <c r="J109" s="87">
        <v>20412</v>
      </c>
      <c r="K109" s="87">
        <v>13470.44</v>
      </c>
      <c r="L109" s="88">
        <f t="shared" si="1"/>
      </c>
      <c r="M109" s="88">
        <f t="shared" si="5"/>
      </c>
      <c r="N109" s="89">
        <f t="shared" si="2"/>
      </c>
      <c r="O109" s="90" t="s">
        <v>211</v>
      </c>
      <c r="P109" s="86">
        <v>5</v>
      </c>
      <c r="Q109" s="91">
        <f t="shared" si="6"/>
      </c>
      <c r="R109" s="91">
        <f t="shared" si="0"/>
      </c>
      <c r="S109" s="91">
        <f t="shared" si="3"/>
      </c>
    </row>
    <row hidden="true" r="110">
      <c r="A110" s="85" t="s">
        <v>215</v>
      </c>
      <c r="B110" s="86" t="s">
        <v>206</v>
      </c>
      <c r="C110" s="86" t="s">
        <v>216</v>
      </c>
      <c r="D110" s="86">
        <v>1</v>
      </c>
      <c r="E110" s="86">
        <v>1</v>
      </c>
      <c r="F110" s="86">
        <v>0</v>
      </c>
      <c r="G110" s="86">
        <v>0</v>
      </c>
      <c r="H110" s="86">
        <v>0</v>
      </c>
      <c r="I110" s="86">
        <v>0</v>
      </c>
      <c r="J110" s="87">
        <v>0</v>
      </c>
      <c r="K110" s="86">
        <v>2623.65</v>
      </c>
      <c r="L110" s="88">
        <f t="shared" si="1"/>
      </c>
      <c r="M110" s="88">
        <f t="shared" si="5"/>
      </c>
      <c r="N110" s="89">
        <f t="shared" si="2"/>
      </c>
      <c r="O110" s="90"/>
      <c r="P110" s="86"/>
      <c r="Q110" s="91">
        <f t="shared" si="6"/>
      </c>
      <c r="R110" s="91">
        <f t="shared" si="0"/>
      </c>
      <c r="S110" s="91">
        <f t="shared" si="3"/>
      </c>
    </row>
    <row hidden="true" r="111">
      <c r="A111" s="94" t="s">
        <v>215</v>
      </c>
      <c r="B111" s="95" t="s">
        <v>164</v>
      </c>
      <c r="C111" s="96"/>
      <c r="D111" s="96">
        <f>SUM(D109:D110)</f>
      </c>
      <c r="E111" s="96">
        <f>SUM(E109:E110)</f>
      </c>
      <c r="F111" s="96">
        <f>SUM(F109:F110)</f>
      </c>
      <c r="G111" s="96">
        <f>SUM(G109:G110)</f>
      </c>
      <c r="H111" s="96">
        <f>SUM(H109:H110)</f>
      </c>
      <c r="I111" s="96">
        <f>SUM(I109:I110)</f>
      </c>
      <c r="J111" s="96">
        <f>SUM(J109:J110)</f>
      </c>
      <c r="K111" s="96">
        <f>SUM(K109:K110)</f>
      </c>
      <c r="L111" s="97">
        <f t="shared" si="1"/>
      </c>
      <c r="M111" s="98">
        <f t="shared" si="5"/>
      </c>
      <c r="N111" s="99">
        <f t="shared" si="2"/>
      </c>
      <c r="O111" s="100"/>
      <c r="P111" s="101">
        <f>SUM(P109:P110)</f>
      </c>
      <c r="Q111" s="102">
        <f t="shared" si="6"/>
      </c>
      <c r="R111" s="102">
        <f t="shared" si="0"/>
      </c>
      <c r="S111" s="102">
        <f t="shared" si="3"/>
      </c>
    </row>
    <row hidden="true" r="112">
      <c r="G112" s="115"/>
      <c r="H112" s="115"/>
      <c r="I112" s="115"/>
    </row>
    <row hidden="true" r="113">
      <c r="G113" s="115"/>
      <c r="H113" s="115"/>
      <c r="I113" s="115"/>
    </row>
    <row hidden="true" r="114">
      <c r="G114" s="115"/>
      <c r="H114" s="115"/>
      <c r="I114" s="115"/>
    </row>
    <row hidden="true" r="115">
      <c r="G115" s="115"/>
      <c r="H115" s="115"/>
      <c r="I115" s="115"/>
    </row>
    <row hidden="true" r="116">
      <c r="G116" s="115"/>
      <c r="H116" s="115"/>
      <c r="I116" s="115"/>
    </row>
    <row hidden="true" r="117">
      <c r="G117" s="115"/>
      <c r="H117" s="115"/>
      <c r="I117" s="115"/>
    </row>
    <row hidden="true" r="118">
      <c r="G118" s="115"/>
      <c r="H118" s="115"/>
      <c r="I118" s="115"/>
    </row>
    <row hidden="true" r="119">
      <c r="G119" s="115"/>
      <c r="H119" s="115"/>
      <c r="I119" s="115"/>
    </row>
    <row r="120">
      <c r="G120" s="115"/>
      <c r="H120" s="115"/>
      <c r="I120" s="115"/>
    </row>
    <row r="121">
      <c r="G121" s="115"/>
      <c r="H121" s="115"/>
      <c r="I121" s="115"/>
    </row>
    <row r="122">
      <c r="G122" s="115"/>
      <c r="H122" s="115"/>
      <c r="I122" s="115"/>
    </row>
    <row r="123">
      <c r="G123" s="115"/>
      <c r="H123" s="115"/>
      <c r="I123" s="115"/>
    </row>
    <row r="124">
      <c r="G124" s="115"/>
      <c r="H124" s="115"/>
      <c r="I124" s="115"/>
    </row>
    <row r="125">
      <c r="G125" s="115"/>
      <c r="H125" s="115"/>
      <c r="I125" s="115"/>
    </row>
    <row r="126">
      <c r="G126" s="115"/>
      <c r="H126" s="115"/>
      <c r="I126" s="115"/>
    </row>
    <row r="127">
      <c r="G127" s="115"/>
      <c r="H127" s="115"/>
      <c r="I127" s="115"/>
    </row>
    <row r="128">
      <c r="G128" s="115"/>
      <c r="H128" s="115"/>
      <c r="I128" s="115"/>
    </row>
    <row r="129">
      <c r="G129" s="115"/>
      <c r="H129" s="115"/>
      <c r="I129" s="115"/>
    </row>
    <row r="130">
      <c r="G130" s="115"/>
      <c r="H130" s="115"/>
      <c r="I130" s="115"/>
    </row>
    <row r="131">
      <c r="G131" s="115"/>
      <c r="H131" s="115"/>
      <c r="I131" s="115"/>
    </row>
  </sheetData>
  <autoFilter ref="A1:T119">
    <filterColumn colId="14">
      <filters>
        <filter val="代文聪"/>
      </filters>
    </filterColumn>
  </autoFilter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4" min="14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15" min="15" style="0" width="11.211267605633802"/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</cols>
  <sheetData>
    <row r="1">
      <c r="A1" s="116" t="s">
        <v>217</v>
      </c>
      <c r="B1" s="117" t="s">
        <v>218</v>
      </c>
      <c r="C1" s="117" t="s">
        <v>219</v>
      </c>
      <c r="D1" s="117" t="s">
        <v>220</v>
      </c>
      <c r="E1" s="117" t="s">
        <v>221</v>
      </c>
      <c r="F1" s="117" t="s">
        <v>222</v>
      </c>
      <c r="J1" s="117" t="s">
        <v>223</v>
      </c>
      <c r="K1" s="117" t="s">
        <v>224</v>
      </c>
      <c r="L1" s="118" t="s">
        <v>225</v>
      </c>
      <c r="M1" s="118" t="s">
        <v>226</v>
      </c>
      <c r="N1" s="118" t="s">
        <v>227</v>
      </c>
      <c r="O1" s="118" t="s">
        <v>228</v>
      </c>
      <c r="P1" s="117" t="s">
        <v>229</v>
      </c>
    </row>
    <row r="2">
      <c r="A2" s="119" t="s">
        <v>230</v>
      </c>
      <c r="B2" s="120" t="s">
        <v>231</v>
      </c>
      <c r="C2" s="120" t="s">
        <v>232</v>
      </c>
      <c r="D2" s="120">
        <v>4</v>
      </c>
      <c r="E2" s="120">
        <v>38</v>
      </c>
      <c r="F2" s="120">
        <v>23</v>
      </c>
      <c r="J2" s="121">
        <v>36709</v>
      </c>
      <c r="K2" s="121">
        <v>18517.86</v>
      </c>
      <c r="L2" s="122">
        <f t="shared" ref="L2:L109" si="1">J2/K2</f>
      </c>
      <c r="M2" s="123">
        <f t="shared" ref="M2:M109" si="4">J2/F2</f>
      </c>
      <c r="N2" s="124">
        <f t="shared" ref="N2:N109" si="6">K2/F2</f>
      </c>
      <c r="O2" s="125" t="s">
        <v>233</v>
      </c>
      <c r="P2" s="125">
        <v>8</v>
      </c>
    </row>
    <row r="3">
      <c r="A3" s="119" t="s">
        <v>230</v>
      </c>
      <c r="B3" s="120" t="s">
        <v>234</v>
      </c>
      <c r="C3" s="120" t="s">
        <v>235</v>
      </c>
      <c r="D3" s="120">
        <v>4</v>
      </c>
      <c r="E3" s="120">
        <v>29</v>
      </c>
      <c r="F3" s="120">
        <v>16</v>
      </c>
      <c r="J3" s="121">
        <v>26192</v>
      </c>
      <c r="K3" s="120">
        <v>16639.23</v>
      </c>
      <c r="L3" s="123">
        <f t="shared" si="1"/>
      </c>
      <c r="M3" s="123">
        <f t="shared" si="4"/>
      </c>
      <c r="N3" s="124">
        <f t="shared" si="6"/>
      </c>
      <c r="O3" s="125" t="s">
        <v>236</v>
      </c>
      <c r="P3" s="120">
        <v>4</v>
      </c>
    </row>
    <row r="4">
      <c r="A4" s="119" t="s">
        <v>230</v>
      </c>
      <c r="B4" s="120" t="s">
        <v>237</v>
      </c>
      <c r="C4" s="120" t="s">
        <v>238</v>
      </c>
      <c r="D4" s="120">
        <v>4</v>
      </c>
      <c r="E4" s="120">
        <v>41</v>
      </c>
      <c r="F4" s="120">
        <v>20</v>
      </c>
      <c r="J4" s="121">
        <v>29441</v>
      </c>
      <c r="K4" s="121">
        <v>21407.61</v>
      </c>
      <c r="L4" s="123">
        <f t="shared" si="1"/>
      </c>
      <c r="M4" s="123">
        <f t="shared" si="4"/>
      </c>
      <c r="N4" s="124">
        <f t="shared" si="6"/>
      </c>
      <c r="O4" s="120"/>
      <c r="P4" s="120"/>
    </row>
    <row r="5">
      <c r="A5" s="126" t="s">
        <v>230</v>
      </c>
      <c r="B5" s="127" t="s">
        <v>239</v>
      </c>
      <c r="C5" s="128"/>
      <c r="D5" s="128">
        <f>SUM(D2:D4)</f>
      </c>
      <c r="E5" s="128">
        <f>SUM(E2:E4)</f>
      </c>
      <c r="F5" s="128">
        <f>SUM(F2:F4)</f>
      </c>
      <c r="J5" s="128">
        <f>SUM(J2:J4)</f>
      </c>
      <c r="K5" s="128">
        <f>SUM(K2:K4)</f>
      </c>
      <c r="L5" s="129">
        <f t="shared" si="1"/>
      </c>
      <c r="M5" s="130">
        <f t="shared" si="4"/>
      </c>
      <c r="N5" s="130">
        <f t="shared" si="6"/>
      </c>
      <c r="O5" s="131"/>
      <c r="P5" s="132">
        <f>SUM(P2:P4)</f>
      </c>
    </row>
    <row r="6">
      <c r="A6" s="119" t="s">
        <v>240</v>
      </c>
      <c r="B6" s="120" t="s">
        <v>231</v>
      </c>
      <c r="C6" s="120" t="s">
        <v>232</v>
      </c>
      <c r="D6" s="120">
        <v>4</v>
      </c>
      <c r="E6" s="120">
        <v>39</v>
      </c>
      <c r="F6" s="120">
        <v>24</v>
      </c>
      <c r="J6" s="121">
        <v>40777</v>
      </c>
      <c r="K6" s="121">
        <v>23228.49</v>
      </c>
      <c r="L6" s="122">
        <f t="shared" si="1"/>
      </c>
      <c r="M6" s="123">
        <f t="shared" si="4"/>
      </c>
      <c r="N6" s="124">
        <f t="shared" si="6"/>
      </c>
      <c r="O6" s="125" t="s">
        <v>233</v>
      </c>
      <c r="P6" s="125">
        <v>8</v>
      </c>
    </row>
    <row r="7">
      <c r="A7" s="119" t="s">
        <v>240</v>
      </c>
      <c r="B7" s="120" t="s">
        <v>237</v>
      </c>
      <c r="C7" s="120" t="s">
        <v>235</v>
      </c>
      <c r="D7" s="120">
        <v>4</v>
      </c>
      <c r="E7" s="120">
        <v>33</v>
      </c>
      <c r="F7" s="120">
        <v>20</v>
      </c>
      <c r="J7" s="121">
        <v>30933</v>
      </c>
      <c r="K7" s="120">
        <v>22801.07</v>
      </c>
      <c r="L7" s="123">
        <f t="shared" si="1"/>
      </c>
      <c r="M7" s="123">
        <f t="shared" si="4"/>
      </c>
      <c r="N7" s="124">
        <f t="shared" si="6"/>
      </c>
      <c r="O7" s="125" t="s">
        <v>236</v>
      </c>
      <c r="P7" s="120">
        <v>4</v>
      </c>
    </row>
    <row r="8">
      <c r="A8" s="119" t="s">
        <v>240</v>
      </c>
      <c r="B8" s="120" t="s">
        <v>234</v>
      </c>
      <c r="C8" s="120" t="s">
        <v>238</v>
      </c>
      <c r="D8" s="120">
        <v>4</v>
      </c>
      <c r="E8" s="120">
        <v>24</v>
      </c>
      <c r="F8" s="120">
        <v>8</v>
      </c>
      <c r="J8" s="121">
        <v>14184</v>
      </c>
      <c r="K8" s="121">
        <v>14470.46</v>
      </c>
      <c r="L8" s="123">
        <f t="shared" si="1"/>
      </c>
      <c r="M8" s="123">
        <f t="shared" si="4"/>
      </c>
      <c r="N8" s="124">
        <f t="shared" si="6"/>
      </c>
      <c r="O8" s="120"/>
      <c r="P8" s="120"/>
    </row>
    <row r="9">
      <c r="A9" s="126" t="s">
        <v>240</v>
      </c>
      <c r="B9" s="127" t="s">
        <v>239</v>
      </c>
      <c r="C9" s="128"/>
      <c r="D9" s="128">
        <f>SUM(D6:D8)</f>
      </c>
      <c r="E9" s="128">
        <f>SUM(E6:E8)</f>
      </c>
      <c r="F9" s="128">
        <f>SUM(F6:F8)</f>
      </c>
      <c r="J9" s="128">
        <f>SUM(J6:J8)</f>
      </c>
      <c r="K9" s="128">
        <f>SUM(K6:K8)</f>
      </c>
      <c r="L9" s="129">
        <f t="shared" si="1"/>
      </c>
      <c r="M9" s="130">
        <f t="shared" si="4"/>
      </c>
      <c r="N9" s="130">
        <f t="shared" si="6"/>
      </c>
      <c r="O9" s="131"/>
      <c r="P9" s="132">
        <f>SUM(P6:P8)</f>
      </c>
    </row>
    <row r="10">
      <c r="A10" s="119" t="s">
        <v>241</v>
      </c>
      <c r="B10" s="120" t="s">
        <v>231</v>
      </c>
      <c r="C10" s="120" t="s">
        <v>232</v>
      </c>
      <c r="D10" s="120">
        <v>4</v>
      </c>
      <c r="E10" s="120">
        <v>29</v>
      </c>
      <c r="F10" s="120">
        <v>9</v>
      </c>
      <c r="J10" s="121">
        <v>15132</v>
      </c>
      <c r="K10" s="121">
        <v>18339.64</v>
      </c>
      <c r="L10" s="122">
        <f t="shared" si="1"/>
      </c>
      <c r="M10" s="123">
        <f t="shared" si="4"/>
      </c>
      <c r="N10" s="124">
        <f t="shared" si="6"/>
      </c>
      <c r="O10" s="125" t="s">
        <v>233</v>
      </c>
      <c r="P10" s="125">
        <v>8</v>
      </c>
    </row>
    <row r="11">
      <c r="A11" s="119" t="s">
        <v>241</v>
      </c>
      <c r="B11" s="120" t="s">
        <v>234</v>
      </c>
      <c r="C11" s="120" t="s">
        <v>235</v>
      </c>
      <c r="D11" s="120">
        <v>4</v>
      </c>
      <c r="E11" s="120">
        <v>22</v>
      </c>
      <c r="F11" s="120">
        <v>10</v>
      </c>
      <c r="J11" s="121">
        <v>15120</v>
      </c>
      <c r="K11" s="120">
        <v>11557.87</v>
      </c>
      <c r="L11" s="123">
        <f t="shared" si="1"/>
      </c>
      <c r="M11" s="123">
        <f t="shared" si="4"/>
      </c>
      <c r="N11" s="124">
        <f t="shared" si="6"/>
      </c>
      <c r="O11" s="125" t="s">
        <v>236</v>
      </c>
      <c r="P11" s="120">
        <v>4</v>
      </c>
    </row>
    <row r="12">
      <c r="A12" s="119" t="s">
        <v>241</v>
      </c>
      <c r="B12" s="120" t="s">
        <v>237</v>
      </c>
      <c r="C12" s="120" t="s">
        <v>238</v>
      </c>
      <c r="D12" s="120">
        <v>4</v>
      </c>
      <c r="E12" s="120">
        <v>28</v>
      </c>
      <c r="F12" s="120">
        <v>13</v>
      </c>
      <c r="J12" s="121">
        <v>21188</v>
      </c>
      <c r="K12" s="121">
        <v>13130.68</v>
      </c>
      <c r="L12" s="123">
        <f t="shared" si="1"/>
      </c>
      <c r="M12" s="123">
        <f t="shared" si="4"/>
      </c>
      <c r="N12" s="124">
        <f t="shared" si="6"/>
      </c>
      <c r="O12" s="120"/>
      <c r="P12" s="120"/>
    </row>
    <row r="13">
      <c r="A13" s="126" t="s">
        <v>241</v>
      </c>
      <c r="B13" s="127" t="s">
        <v>239</v>
      </c>
      <c r="C13" s="128"/>
      <c r="D13" s="128">
        <f>SUM(D10:D12)</f>
      </c>
      <c r="E13" s="128">
        <f>SUM(E10:E12)</f>
      </c>
      <c r="F13" s="128">
        <f>SUM(F10:F12)</f>
      </c>
      <c r="J13" s="128">
        <f>SUM(J10:J12)</f>
      </c>
      <c r="K13" s="128">
        <f>SUM(K10:K12)</f>
      </c>
      <c r="L13" s="129">
        <f t="shared" si="1"/>
      </c>
      <c r="M13" s="130">
        <f t="shared" si="4"/>
      </c>
      <c r="N13" s="130">
        <f t="shared" si="6"/>
      </c>
      <c r="O13" s="131"/>
      <c r="P13" s="132">
        <f>SUM(P10:P12)</f>
      </c>
    </row>
    <row r="14">
      <c r="A14" s="119" t="s">
        <v>242</v>
      </c>
      <c r="B14" s="120" t="s">
        <v>231</v>
      </c>
      <c r="C14" s="120" t="s">
        <v>232</v>
      </c>
      <c r="D14" s="120">
        <v>4</v>
      </c>
      <c r="E14" s="120">
        <v>26</v>
      </c>
      <c r="F14" s="120">
        <v>8</v>
      </c>
      <c r="J14" s="121">
        <v>15316</v>
      </c>
      <c r="K14" s="121">
        <v>13140.220000000001</v>
      </c>
      <c r="L14" s="122">
        <f t="shared" si="1"/>
      </c>
      <c r="M14" s="123">
        <f t="shared" si="4"/>
      </c>
      <c r="N14" s="124">
        <f t="shared" si="6"/>
      </c>
      <c r="O14" s="125" t="s">
        <v>243</v>
      </c>
      <c r="P14" s="125">
        <v>8</v>
      </c>
    </row>
    <row r="15">
      <c r="A15" s="119" t="s">
        <v>242</v>
      </c>
      <c r="B15" s="120" t="s">
        <v>234</v>
      </c>
      <c r="C15" s="120" t="s">
        <v>235</v>
      </c>
      <c r="D15" s="120">
        <v>4</v>
      </c>
      <c r="E15" s="120">
        <v>26</v>
      </c>
      <c r="F15" s="120">
        <v>12</v>
      </c>
      <c r="J15" s="121">
        <v>17016</v>
      </c>
      <c r="K15" s="120">
        <v>13043.86</v>
      </c>
      <c r="L15" s="123">
        <f t="shared" si="1"/>
      </c>
      <c r="M15" s="123">
        <f t="shared" si="4"/>
      </c>
      <c r="N15" s="124">
        <f t="shared" si="6"/>
      </c>
      <c r="O15" s="125" t="s">
        <v>244</v>
      </c>
      <c r="P15" s="120">
        <v>4</v>
      </c>
    </row>
    <row r="16">
      <c r="A16" s="119" t="s">
        <v>242</v>
      </c>
      <c r="B16" s="120" t="s">
        <v>237</v>
      </c>
      <c r="C16" s="120" t="s">
        <v>238</v>
      </c>
      <c r="D16" s="120">
        <v>4</v>
      </c>
      <c r="E16" s="120">
        <v>24</v>
      </c>
      <c r="F16" s="120">
        <v>13</v>
      </c>
      <c r="J16" s="121">
        <v>22404</v>
      </c>
      <c r="K16" s="121">
        <v>13911.52</v>
      </c>
      <c r="L16" s="123">
        <f t="shared" si="1"/>
      </c>
      <c r="M16" s="123">
        <f t="shared" si="4"/>
      </c>
      <c r="N16" s="124">
        <f t="shared" si="6"/>
      </c>
      <c r="O16" s="120"/>
      <c r="P16" s="120"/>
    </row>
    <row r="17">
      <c r="A17" s="126" t="s">
        <v>242</v>
      </c>
      <c r="B17" s="127" t="s">
        <v>239</v>
      </c>
      <c r="C17" s="128"/>
      <c r="D17" s="128">
        <f>SUM(D14:D16)</f>
      </c>
      <c r="E17" s="128">
        <f>SUM(E14:E16)</f>
      </c>
      <c r="F17" s="128">
        <f>SUM(F14:F16)</f>
      </c>
      <c r="J17" s="128">
        <f>SUM(J14:J16)</f>
      </c>
      <c r="K17" s="128">
        <f>SUM(K14:K16)</f>
      </c>
      <c r="L17" s="129">
        <f t="shared" si="1"/>
      </c>
      <c r="M17" s="130">
        <f t="shared" si="4"/>
      </c>
      <c r="N17" s="130">
        <f t="shared" si="6"/>
      </c>
      <c r="O17" s="131"/>
      <c r="P17" s="132">
        <f>SUM(P14:P16)</f>
      </c>
    </row>
    <row r="18">
      <c r="A18" s="119" t="s">
        <v>245</v>
      </c>
      <c r="B18" s="120" t="s">
        <v>231</v>
      </c>
      <c r="C18" s="120" t="s">
        <v>232</v>
      </c>
      <c r="D18" s="120">
        <v>4</v>
      </c>
      <c r="E18" s="120">
        <v>25</v>
      </c>
      <c r="F18" s="120">
        <v>13</v>
      </c>
      <c r="J18" s="121">
        <v>22508</v>
      </c>
      <c r="K18" s="121">
        <v>13147.740000000002</v>
      </c>
      <c r="L18" s="122">
        <f t="shared" si="1"/>
      </c>
      <c r="M18" s="123">
        <f t="shared" si="4"/>
      </c>
      <c r="N18" s="124">
        <f t="shared" si="6"/>
      </c>
      <c r="O18" s="125" t="s">
        <v>243</v>
      </c>
      <c r="P18" s="125">
        <v>8</v>
      </c>
    </row>
    <row r="19">
      <c r="A19" s="119" t="s">
        <v>245</v>
      </c>
      <c r="B19" s="120" t="s">
        <v>237</v>
      </c>
      <c r="C19" s="120" t="s">
        <v>235</v>
      </c>
      <c r="D19" s="120">
        <v>4</v>
      </c>
      <c r="E19" s="120">
        <v>33</v>
      </c>
      <c r="F19" s="120">
        <v>12</v>
      </c>
      <c r="J19" s="121">
        <v>18816</v>
      </c>
      <c r="K19" s="120">
        <v>12685.32</v>
      </c>
      <c r="L19" s="123">
        <f t="shared" si="1"/>
      </c>
      <c r="M19" s="123">
        <f t="shared" si="4"/>
      </c>
      <c r="N19" s="124">
        <f t="shared" si="6"/>
      </c>
      <c r="O19" s="125" t="s">
        <v>244</v>
      </c>
      <c r="P19" s="120">
        <v>4</v>
      </c>
    </row>
    <row r="20">
      <c r="A20" s="119" t="s">
        <v>245</v>
      </c>
      <c r="B20" s="120" t="s">
        <v>234</v>
      </c>
      <c r="C20" s="120" t="s">
        <v>238</v>
      </c>
      <c r="D20" s="120">
        <v>4</v>
      </c>
      <c r="E20" s="120">
        <v>25</v>
      </c>
      <c r="F20" s="120">
        <v>11</v>
      </c>
      <c r="J20" s="121">
        <v>18348</v>
      </c>
      <c r="K20" s="121">
        <v>11178.900000000001</v>
      </c>
      <c r="L20" s="123">
        <f t="shared" si="1"/>
      </c>
      <c r="M20" s="123">
        <f t="shared" si="4"/>
      </c>
      <c r="N20" s="124">
        <f t="shared" si="6"/>
      </c>
      <c r="O20" s="120"/>
      <c r="P20" s="120"/>
    </row>
    <row r="21">
      <c r="A21" s="126" t="s">
        <v>245</v>
      </c>
      <c r="B21" s="127" t="s">
        <v>239</v>
      </c>
      <c r="C21" s="128"/>
      <c r="D21" s="128">
        <f>SUM(D18:D20)</f>
      </c>
      <c r="E21" s="128">
        <f>SUM(E18:E20)</f>
      </c>
      <c r="F21" s="128">
        <f>SUM(F18:F20)</f>
      </c>
      <c r="J21" s="128">
        <f>SUM(J18:J20)</f>
      </c>
      <c r="K21" s="128">
        <f>SUM(K18:K20)</f>
      </c>
      <c r="L21" s="129">
        <f t="shared" si="1"/>
      </c>
      <c r="M21" s="130">
        <f t="shared" si="4"/>
      </c>
      <c r="N21" s="130">
        <f t="shared" si="6"/>
      </c>
      <c r="O21" s="131"/>
      <c r="P21" s="132">
        <f>SUM(P18:P20)</f>
      </c>
    </row>
    <row r="22">
      <c r="A22" s="119" t="s">
        <v>246</v>
      </c>
      <c r="B22" s="120" t="s">
        <v>231</v>
      </c>
      <c r="C22" s="120" t="s">
        <v>232</v>
      </c>
      <c r="D22" s="120">
        <v>4</v>
      </c>
      <c r="E22" s="120">
        <v>11</v>
      </c>
      <c r="F22" s="120">
        <v>7</v>
      </c>
      <c r="J22" s="121">
        <v>13048</v>
      </c>
      <c r="K22" s="121">
        <v>10567.19</v>
      </c>
      <c r="L22" s="122">
        <f t="shared" si="1"/>
      </c>
      <c r="M22" s="123">
        <f t="shared" si="4"/>
      </c>
      <c r="N22" s="124">
        <f t="shared" si="6"/>
      </c>
      <c r="O22" s="125" t="s">
        <v>243</v>
      </c>
      <c r="P22" s="125">
        <v>8</v>
      </c>
    </row>
    <row r="23">
      <c r="A23" s="119" t="s">
        <v>246</v>
      </c>
      <c r="B23" s="120" t="s">
        <v>234</v>
      </c>
      <c r="C23" s="120" t="s">
        <v>235</v>
      </c>
      <c r="D23" s="120">
        <v>4</v>
      </c>
      <c r="E23" s="120">
        <v>19</v>
      </c>
      <c r="F23" s="120">
        <v>7</v>
      </c>
      <c r="J23" s="121">
        <v>11436</v>
      </c>
      <c r="K23" s="120">
        <v>11575.39</v>
      </c>
      <c r="L23" s="123">
        <f t="shared" si="1"/>
      </c>
      <c r="M23" s="123">
        <f t="shared" si="4"/>
      </c>
      <c r="N23" s="124">
        <f t="shared" si="6"/>
      </c>
      <c r="O23" s="125" t="s">
        <v>244</v>
      </c>
      <c r="P23" s="120">
        <v>4</v>
      </c>
    </row>
    <row r="24">
      <c r="A24" s="119" t="s">
        <v>246</v>
      </c>
      <c r="B24" s="120" t="s">
        <v>237</v>
      </c>
      <c r="C24" s="120" t="s">
        <v>238</v>
      </c>
      <c r="D24" s="120">
        <v>4</v>
      </c>
      <c r="E24" s="120">
        <v>7</v>
      </c>
      <c r="F24" s="120">
        <v>2</v>
      </c>
      <c r="J24" s="121">
        <v>3028</v>
      </c>
      <c r="K24" s="121">
        <v>4428.179999999999</v>
      </c>
      <c r="L24" s="123">
        <f t="shared" si="1"/>
      </c>
      <c r="M24" s="123">
        <f t="shared" si="4"/>
      </c>
      <c r="N24" s="124">
        <f t="shared" si="6"/>
      </c>
      <c r="O24" s="120"/>
      <c r="P24" s="120"/>
    </row>
    <row r="25">
      <c r="A25" s="126" t="s">
        <v>246</v>
      </c>
      <c r="B25" s="127" t="s">
        <v>239</v>
      </c>
      <c r="C25" s="128"/>
      <c r="D25" s="128">
        <f>SUM(D22:D24)</f>
      </c>
      <c r="E25" s="128">
        <f>SUM(E22:E24)</f>
      </c>
      <c r="F25" s="128">
        <f>SUM(F22:F24)</f>
      </c>
      <c r="J25" s="128">
        <f>SUM(J22:J24)</f>
      </c>
      <c r="K25" s="128">
        <f>SUM(K22:K24)</f>
      </c>
      <c r="L25" s="129">
        <f t="shared" si="1"/>
      </c>
      <c r="M25" s="130">
        <f t="shared" si="4"/>
      </c>
      <c r="N25" s="130">
        <f t="shared" si="6"/>
      </c>
      <c r="O25" s="131"/>
      <c r="P25" s="132">
        <f>SUM(P22:P24)</f>
      </c>
    </row>
    <row r="26">
      <c r="A26" s="119" t="s">
        <v>247</v>
      </c>
      <c r="B26" s="120" t="s">
        <v>237</v>
      </c>
      <c r="C26" s="120" t="s">
        <v>232</v>
      </c>
      <c r="D26" s="120">
        <v>4</v>
      </c>
      <c r="E26" s="120">
        <v>24</v>
      </c>
      <c r="F26" s="120">
        <v>9</v>
      </c>
      <c r="J26" s="121">
        <v>16076</v>
      </c>
      <c r="K26" s="121">
        <v>11010.77</v>
      </c>
      <c r="L26" s="122">
        <f t="shared" si="1"/>
      </c>
      <c r="M26" s="123">
        <f t="shared" si="4"/>
      </c>
      <c r="N26" s="124">
        <f t="shared" si="6"/>
      </c>
      <c r="O26" s="125" t="s">
        <v>243</v>
      </c>
      <c r="P26" s="125">
        <v>8</v>
      </c>
    </row>
    <row r="27">
      <c r="A27" s="119" t="s">
        <v>247</v>
      </c>
      <c r="B27" s="120" t="s">
        <v>231</v>
      </c>
      <c r="C27" s="120" t="s">
        <v>235</v>
      </c>
      <c r="D27" s="120">
        <v>4</v>
      </c>
      <c r="E27" s="120">
        <v>16</v>
      </c>
      <c r="F27" s="120">
        <v>7</v>
      </c>
      <c r="J27" s="121">
        <v>10116</v>
      </c>
      <c r="K27" s="120">
        <v>11481.45</v>
      </c>
      <c r="L27" s="123">
        <f t="shared" si="1"/>
      </c>
      <c r="M27" s="123">
        <f t="shared" si="4"/>
      </c>
      <c r="N27" s="124">
        <f t="shared" si="6"/>
      </c>
      <c r="O27" s="125" t="s">
        <v>244</v>
      </c>
      <c r="P27" s="120">
        <v>3</v>
      </c>
    </row>
    <row r="28">
      <c r="A28" s="119" t="s">
        <v>247</v>
      </c>
      <c r="B28" s="120" t="s">
        <v>234</v>
      </c>
      <c r="C28" s="120" t="s">
        <v>248</v>
      </c>
      <c r="D28" s="120">
        <v>3</v>
      </c>
      <c r="E28" s="120">
        <v>2</v>
      </c>
      <c r="F28" s="120">
        <v>0</v>
      </c>
      <c r="J28" s="121">
        <v>0</v>
      </c>
      <c r="K28" s="121">
        <v>3779.91</v>
      </c>
      <c r="L28" s="123">
        <f t="shared" si="1"/>
      </c>
      <c r="M28" s="123">
        <f t="shared" si="4"/>
      </c>
      <c r="N28" s="124">
        <f t="shared" si="6"/>
      </c>
      <c r="O28" s="120"/>
      <c r="P28" s="120"/>
    </row>
    <row r="29">
      <c r="A29" s="126" t="s">
        <v>247</v>
      </c>
      <c r="B29" s="127" t="s">
        <v>239</v>
      </c>
      <c r="C29" s="128"/>
      <c r="D29" s="128">
        <f>SUM(D26:D28)</f>
      </c>
      <c r="E29" s="128">
        <f>SUM(E26:E28)</f>
      </c>
      <c r="F29" s="128">
        <f>SUM(F26:F28)</f>
      </c>
      <c r="J29" s="128">
        <f>SUM(J26:J28)</f>
      </c>
      <c r="K29" s="128">
        <f>SUM(K26:K28)</f>
      </c>
      <c r="L29" s="129">
        <f t="shared" si="1"/>
      </c>
      <c r="M29" s="130">
        <f t="shared" si="4"/>
      </c>
      <c r="N29" s="130">
        <f t="shared" si="6"/>
      </c>
      <c r="O29" s="131"/>
      <c r="P29" s="132">
        <f>SUM(P26:P28)</f>
      </c>
    </row>
    <row r="30">
      <c r="A30" s="119" t="s">
        <v>249</v>
      </c>
      <c r="B30" s="120" t="s">
        <v>231</v>
      </c>
      <c r="C30" s="120" t="s">
        <v>232</v>
      </c>
      <c r="D30" s="120">
        <v>4</v>
      </c>
      <c r="E30" s="120">
        <v>30</v>
      </c>
      <c r="F30" s="120">
        <v>13</v>
      </c>
      <c r="J30" s="121">
        <v>23640</v>
      </c>
      <c r="K30" s="121">
        <v>13458.130000000001</v>
      </c>
      <c r="L30" s="122">
        <f t="shared" si="1"/>
      </c>
      <c r="M30" s="123">
        <f t="shared" si="4"/>
      </c>
      <c r="N30" s="124">
        <f t="shared" si="6"/>
      </c>
      <c r="O30" s="125" t="s">
        <v>243</v>
      </c>
      <c r="P30" s="125">
        <v>8</v>
      </c>
    </row>
    <row r="31">
      <c r="A31" s="119" t="s">
        <v>249</v>
      </c>
      <c r="B31" s="120" t="s">
        <v>234</v>
      </c>
      <c r="C31" s="120" t="s">
        <v>235</v>
      </c>
      <c r="D31" s="120">
        <v>4</v>
      </c>
      <c r="E31" s="120">
        <v>25</v>
      </c>
      <c r="F31" s="120">
        <v>7</v>
      </c>
      <c r="J31" s="121">
        <v>13048</v>
      </c>
      <c r="K31" s="120">
        <v>8811.86</v>
      </c>
      <c r="L31" s="123">
        <f t="shared" si="1"/>
      </c>
      <c r="M31" s="123">
        <f t="shared" si="4"/>
      </c>
      <c r="N31" s="124">
        <f t="shared" si="6"/>
      </c>
      <c r="O31" s="125" t="s">
        <v>244</v>
      </c>
      <c r="P31" s="120">
        <v>4</v>
      </c>
    </row>
    <row r="32">
      <c r="A32" s="119" t="s">
        <v>249</v>
      </c>
      <c r="B32" s="120" t="s">
        <v>237</v>
      </c>
      <c r="C32" s="120" t="s">
        <v>238</v>
      </c>
      <c r="D32" s="120">
        <v>4</v>
      </c>
      <c r="E32" s="120">
        <v>7</v>
      </c>
      <c r="F32" s="120">
        <v>4</v>
      </c>
      <c r="J32" s="121">
        <v>6244</v>
      </c>
      <c r="K32" s="121">
        <v>5719.630000000001</v>
      </c>
      <c r="L32" s="123">
        <f t="shared" si="1"/>
      </c>
      <c r="M32" s="123">
        <f t="shared" si="4"/>
      </c>
      <c r="N32" s="124">
        <f t="shared" si="6"/>
      </c>
      <c r="O32" s="120"/>
      <c r="P32" s="120"/>
    </row>
    <row r="33">
      <c r="A33" s="126" t="s">
        <v>249</v>
      </c>
      <c r="B33" s="127" t="s">
        <v>239</v>
      </c>
      <c r="C33" s="128"/>
      <c r="D33" s="128">
        <f>SUM(D30:D32)</f>
      </c>
      <c r="E33" s="128">
        <f>SUM(E30:E32)</f>
      </c>
      <c r="F33" s="128">
        <f>SUM(F30:F32)</f>
      </c>
      <c r="J33" s="128">
        <f>SUM(J30:J32)</f>
      </c>
      <c r="K33" s="128">
        <f>SUM(K30:K32)</f>
      </c>
      <c r="L33" s="129">
        <f t="shared" si="1"/>
      </c>
      <c r="M33" s="130">
        <f t="shared" si="4"/>
      </c>
      <c r="N33" s="130">
        <f t="shared" si="6"/>
      </c>
      <c r="O33" s="131"/>
      <c r="P33" s="132">
        <f>SUM(P30:P32)</f>
      </c>
    </row>
    <row r="34">
      <c r="A34" s="119" t="s">
        <v>250</v>
      </c>
      <c r="B34" s="120" t="s">
        <v>231</v>
      </c>
      <c r="C34" s="120" t="s">
        <v>232</v>
      </c>
      <c r="D34" s="120">
        <v>4</v>
      </c>
      <c r="E34" s="120">
        <v>37</v>
      </c>
      <c r="F34" s="120">
        <v>19</v>
      </c>
      <c r="J34" s="121">
        <v>28092</v>
      </c>
      <c r="K34" s="121">
        <v>12247.190000000002</v>
      </c>
      <c r="L34" s="122">
        <f t="shared" si="1"/>
      </c>
      <c r="M34" s="123">
        <f t="shared" si="4"/>
      </c>
      <c r="N34" s="124">
        <f t="shared" si="6"/>
      </c>
      <c r="O34" s="125" t="s">
        <v>243</v>
      </c>
      <c r="P34" s="125">
        <v>8</v>
      </c>
    </row>
    <row r="35">
      <c r="A35" s="119" t="s">
        <v>250</v>
      </c>
      <c r="B35" s="120" t="s">
        <v>237</v>
      </c>
      <c r="C35" s="120" t="s">
        <v>235</v>
      </c>
      <c r="D35" s="120">
        <v>4</v>
      </c>
      <c r="E35" s="120">
        <v>27</v>
      </c>
      <c r="F35" s="120">
        <v>14</v>
      </c>
      <c r="J35" s="121">
        <v>21192</v>
      </c>
      <c r="K35" s="120">
        <v>17116.940000000002</v>
      </c>
      <c r="L35" s="123">
        <f t="shared" si="1"/>
      </c>
      <c r="M35" s="123">
        <f t="shared" si="4"/>
      </c>
      <c r="N35" s="124">
        <f t="shared" si="6"/>
      </c>
      <c r="O35" s="125" t="s">
        <v>244</v>
      </c>
      <c r="P35" s="120">
        <v>4</v>
      </c>
    </row>
    <row r="36">
      <c r="A36" s="119" t="s">
        <v>250</v>
      </c>
      <c r="B36" s="120" t="s">
        <v>234</v>
      </c>
      <c r="C36" s="120" t="s">
        <v>238</v>
      </c>
      <c r="D36" s="120">
        <v>4</v>
      </c>
      <c r="E36" s="120">
        <v>23</v>
      </c>
      <c r="F36" s="120">
        <v>8</v>
      </c>
      <c r="J36" s="121">
        <v>12864</v>
      </c>
      <c r="K36" s="121">
        <v>11848.85</v>
      </c>
      <c r="L36" s="123">
        <f t="shared" si="1"/>
      </c>
      <c r="M36" s="123">
        <f t="shared" si="4"/>
      </c>
      <c r="N36" s="124">
        <f t="shared" si="6"/>
      </c>
      <c r="O36" s="120"/>
      <c r="P36" s="120"/>
    </row>
    <row r="37">
      <c r="A37" s="126" t="s">
        <v>250</v>
      </c>
      <c r="B37" s="127" t="s">
        <v>239</v>
      </c>
      <c r="C37" s="128"/>
      <c r="D37" s="128">
        <f>SUM(D34:D36)</f>
      </c>
      <c r="E37" s="128">
        <f>SUM(E34:E36)</f>
      </c>
      <c r="F37" s="128">
        <f>SUM(F34:F36)</f>
      </c>
      <c r="J37" s="128">
        <f>SUM(J34:J36)</f>
      </c>
      <c r="K37" s="128">
        <f>SUM(K34:K36)</f>
      </c>
      <c r="L37" s="129">
        <f t="shared" si="1"/>
      </c>
      <c r="M37" s="130">
        <f t="shared" si="4"/>
      </c>
      <c r="N37" s="130">
        <f t="shared" si="6"/>
      </c>
      <c r="O37" s="131"/>
      <c r="P37" s="132">
        <f>SUM(P34:P36)</f>
      </c>
    </row>
    <row r="38">
      <c r="A38" s="119" t="s">
        <v>251</v>
      </c>
      <c r="B38" s="120" t="s">
        <v>231</v>
      </c>
      <c r="C38" s="120" t="s">
        <v>232</v>
      </c>
      <c r="D38" s="120">
        <v>4</v>
      </c>
      <c r="E38" s="120">
        <v>14</v>
      </c>
      <c r="F38" s="120">
        <v>5</v>
      </c>
      <c r="J38" s="121">
        <v>10020</v>
      </c>
      <c r="K38" s="121">
        <v>7050.41</v>
      </c>
      <c r="L38" s="122">
        <f t="shared" si="1"/>
      </c>
      <c r="M38" s="123">
        <f t="shared" si="4"/>
      </c>
      <c r="N38" s="124">
        <f t="shared" si="6"/>
      </c>
      <c r="O38" s="125" t="s">
        <v>243</v>
      </c>
      <c r="P38" s="125">
        <v>4</v>
      </c>
    </row>
    <row r="39">
      <c r="A39" s="119" t="s">
        <v>251</v>
      </c>
      <c r="B39" s="120" t="s">
        <v>234</v>
      </c>
      <c r="C39" s="120" t="s">
        <v>235</v>
      </c>
      <c r="D39" s="120">
        <v>4</v>
      </c>
      <c r="E39" s="120">
        <v>26</v>
      </c>
      <c r="F39" s="120">
        <v>11</v>
      </c>
      <c r="J39" s="121">
        <v>20800</v>
      </c>
      <c r="K39" s="120">
        <v>9692.84</v>
      </c>
      <c r="L39" s="123">
        <f t="shared" si="1"/>
      </c>
      <c r="M39" s="123">
        <f t="shared" si="4"/>
      </c>
      <c r="N39" s="124">
        <f t="shared" si="6"/>
      </c>
      <c r="O39" s="125" t="s">
        <v>252</v>
      </c>
      <c r="P39" s="120">
        <v>8</v>
      </c>
    </row>
    <row r="40">
      <c r="A40" s="119" t="s">
        <v>251</v>
      </c>
      <c r="B40" s="120" t="s">
        <v>237</v>
      </c>
      <c r="C40" s="120" t="s">
        <v>238</v>
      </c>
      <c r="D40" s="120">
        <v>4</v>
      </c>
      <c r="E40" s="120">
        <v>14</v>
      </c>
      <c r="F40" s="120">
        <v>8</v>
      </c>
      <c r="J40" s="121">
        <v>15237</v>
      </c>
      <c r="K40" s="121">
        <v>7291</v>
      </c>
      <c r="L40" s="123">
        <f t="shared" si="1"/>
      </c>
      <c r="M40" s="123">
        <f t="shared" si="4"/>
      </c>
      <c r="N40" s="124">
        <f t="shared" si="6"/>
      </c>
      <c r="O40" s="120"/>
      <c r="P40" s="120"/>
    </row>
    <row r="41">
      <c r="A41" s="126" t="s">
        <v>251</v>
      </c>
      <c r="B41" s="127" t="s">
        <v>239</v>
      </c>
      <c r="C41" s="128"/>
      <c r="D41" s="128">
        <f>SUM(D38:D40)</f>
      </c>
      <c r="E41" s="128">
        <f>SUM(E38:E40)</f>
      </c>
      <c r="F41" s="128">
        <f>SUM(F38:F40)</f>
      </c>
      <c r="J41" s="128">
        <f>SUM(J38:J40)</f>
      </c>
      <c r="K41" s="128">
        <f>SUM(K38:K40)</f>
      </c>
      <c r="L41" s="129">
        <f t="shared" si="1"/>
      </c>
      <c r="M41" s="130">
        <f t="shared" si="4"/>
      </c>
      <c r="N41" s="130">
        <f t="shared" si="6"/>
      </c>
      <c r="O41" s="131"/>
      <c r="P41" s="132">
        <f>SUM(P38:P40)</f>
      </c>
    </row>
    <row r="42">
      <c r="A42" s="119" t="s">
        <v>253</v>
      </c>
      <c r="B42" s="120" t="s">
        <v>231</v>
      </c>
      <c r="C42" s="120" t="s">
        <v>232</v>
      </c>
      <c r="D42" s="120">
        <v>4</v>
      </c>
      <c r="E42" s="120">
        <v>15</v>
      </c>
      <c r="F42" s="120">
        <v>6</v>
      </c>
      <c r="J42" s="121">
        <v>9460</v>
      </c>
      <c r="K42" s="121">
        <v>6796.97</v>
      </c>
      <c r="L42" s="122">
        <f t="shared" si="1"/>
      </c>
      <c r="M42" s="123">
        <f t="shared" si="4"/>
      </c>
      <c r="N42" s="124">
        <f t="shared" si="6"/>
      </c>
      <c r="O42" s="125" t="s">
        <v>243</v>
      </c>
      <c r="P42" s="125">
        <v>4</v>
      </c>
    </row>
    <row r="43">
      <c r="A43" s="119" t="s">
        <v>253</v>
      </c>
      <c r="B43" s="120" t="s">
        <v>234</v>
      </c>
      <c r="C43" s="120" t="s">
        <v>235</v>
      </c>
      <c r="D43" s="120">
        <v>4</v>
      </c>
      <c r="E43" s="120">
        <v>22</v>
      </c>
      <c r="F43" s="120">
        <v>7</v>
      </c>
      <c r="J43" s="121">
        <v>11248</v>
      </c>
      <c r="K43" s="120">
        <v>10645.19</v>
      </c>
      <c r="L43" s="123">
        <f t="shared" si="1"/>
      </c>
      <c r="M43" s="123">
        <f t="shared" si="4"/>
      </c>
      <c r="N43" s="124">
        <f t="shared" si="6"/>
      </c>
      <c r="O43" s="125" t="s">
        <v>252</v>
      </c>
      <c r="P43" s="120">
        <v>8</v>
      </c>
    </row>
    <row r="44">
      <c r="A44" s="119" t="s">
        <v>253</v>
      </c>
      <c r="B44" s="120" t="s">
        <v>237</v>
      </c>
      <c r="C44" s="120" t="s">
        <v>238</v>
      </c>
      <c r="D44" s="120">
        <v>4</v>
      </c>
      <c r="E44" s="120">
        <v>53</v>
      </c>
      <c r="F44" s="120">
        <v>21</v>
      </c>
      <c r="J44" s="121">
        <v>27828</v>
      </c>
      <c r="K44" s="121">
        <v>18079.629999999997</v>
      </c>
      <c r="L44" s="123">
        <f t="shared" si="1"/>
      </c>
      <c r="M44" s="123">
        <f t="shared" si="4"/>
      </c>
      <c r="N44" s="124">
        <f t="shared" si="6"/>
      </c>
      <c r="O44" s="120"/>
      <c r="P44" s="120"/>
    </row>
    <row r="45">
      <c r="A45" s="126" t="s">
        <v>253</v>
      </c>
      <c r="B45" s="127" t="s">
        <v>239</v>
      </c>
      <c r="C45" s="128"/>
      <c r="D45" s="128">
        <f>SUM(D42:D44)</f>
      </c>
      <c r="E45" s="128">
        <f>SUM(E42:E44)</f>
      </c>
      <c r="F45" s="128">
        <f>SUM(F42:F44)</f>
      </c>
      <c r="J45" s="128">
        <f>SUM(J42:J44)</f>
      </c>
      <c r="K45" s="128">
        <f>SUM(K42:K44)</f>
      </c>
      <c r="L45" s="129">
        <f t="shared" si="1"/>
      </c>
      <c r="M45" s="130">
        <f t="shared" si="4"/>
      </c>
      <c r="N45" s="130">
        <f t="shared" si="6"/>
      </c>
      <c r="O45" s="131"/>
      <c r="P45" s="132">
        <f>SUM(P42:P44)</f>
      </c>
    </row>
    <row r="46">
      <c r="A46" s="119" t="s">
        <v>254</v>
      </c>
      <c r="B46" s="120" t="s">
        <v>231</v>
      </c>
      <c r="C46" s="120" t="s">
        <v>232</v>
      </c>
      <c r="D46" s="120">
        <v>4</v>
      </c>
      <c r="E46" s="120">
        <v>34</v>
      </c>
      <c r="F46" s="120">
        <v>11</v>
      </c>
      <c r="J46" s="121">
        <v>12588</v>
      </c>
      <c r="K46" s="121">
        <v>15335.119999999999</v>
      </c>
      <c r="L46" s="122">
        <f t="shared" si="1"/>
      </c>
      <c r="M46" s="123">
        <f t="shared" si="4"/>
      </c>
      <c r="N46" s="124">
        <f t="shared" si="6"/>
      </c>
      <c r="O46" s="125" t="s">
        <v>243</v>
      </c>
      <c r="P46" s="125">
        <v>4</v>
      </c>
    </row>
    <row r="47">
      <c r="A47" s="119" t="s">
        <v>254</v>
      </c>
      <c r="B47" s="120" t="s">
        <v>237</v>
      </c>
      <c r="C47" s="120" t="s">
        <v>235</v>
      </c>
      <c r="D47" s="120">
        <v>4</v>
      </c>
      <c r="E47" s="120">
        <v>48</v>
      </c>
      <c r="F47" s="120">
        <v>19</v>
      </c>
      <c r="J47" s="121">
        <v>33476</v>
      </c>
      <c r="K47" s="120">
        <v>16345.080000000002</v>
      </c>
      <c r="L47" s="123">
        <f t="shared" si="1"/>
      </c>
      <c r="M47" s="123">
        <f t="shared" si="4"/>
      </c>
      <c r="N47" s="124">
        <f t="shared" si="6"/>
      </c>
      <c r="O47" s="125" t="s">
        <v>252</v>
      </c>
      <c r="P47" s="120">
        <v>8</v>
      </c>
    </row>
    <row r="48">
      <c r="A48" s="119" t="s">
        <v>254</v>
      </c>
      <c r="B48" s="120" t="s">
        <v>234</v>
      </c>
      <c r="C48" s="120" t="s">
        <v>238</v>
      </c>
      <c r="D48" s="120">
        <v>4</v>
      </c>
      <c r="E48" s="120">
        <v>50</v>
      </c>
      <c r="F48" s="120">
        <v>19</v>
      </c>
      <c r="J48" s="121">
        <v>26292</v>
      </c>
      <c r="K48" s="121">
        <v>13832.51</v>
      </c>
      <c r="L48" s="123">
        <f t="shared" si="1"/>
      </c>
      <c r="M48" s="123">
        <f t="shared" si="4"/>
      </c>
      <c r="N48" s="124">
        <f t="shared" si="6"/>
      </c>
      <c r="O48" s="120"/>
      <c r="P48" s="120"/>
    </row>
    <row r="49">
      <c r="A49" s="126" t="s">
        <v>254</v>
      </c>
      <c r="B49" s="127" t="s">
        <v>239</v>
      </c>
      <c r="C49" s="128"/>
      <c r="D49" s="128">
        <f>SUM(D46:D48)</f>
      </c>
      <c r="E49" s="128">
        <f>SUM(E46:E48)</f>
      </c>
      <c r="F49" s="128">
        <f>SUM(F46:F48)</f>
      </c>
      <c r="J49" s="128">
        <f>SUM(J46:J48)</f>
      </c>
      <c r="K49" s="128">
        <f>SUM(K46:K48)</f>
      </c>
      <c r="L49" s="129">
        <f t="shared" si="1"/>
      </c>
      <c r="M49" s="130">
        <f t="shared" si="4"/>
      </c>
      <c r="N49" s="130">
        <f t="shared" si="6"/>
      </c>
      <c r="O49" s="131"/>
      <c r="P49" s="132">
        <f>SUM(P46:P48)</f>
      </c>
    </row>
    <row r="50">
      <c r="A50" s="119" t="s">
        <v>255</v>
      </c>
      <c r="B50" s="120" t="s">
        <v>237</v>
      </c>
      <c r="C50" s="120" t="s">
        <v>232</v>
      </c>
      <c r="D50" s="120">
        <v>4</v>
      </c>
      <c r="E50" s="120">
        <v>61</v>
      </c>
      <c r="F50" s="120">
        <v>27</v>
      </c>
      <c r="J50" s="121">
        <v>42489</v>
      </c>
      <c r="K50" s="121">
        <v>26796.389999999996</v>
      </c>
      <c r="L50" s="122">
        <f t="shared" si="1"/>
      </c>
      <c r="M50" s="123">
        <f t="shared" si="4"/>
      </c>
      <c r="N50" s="124">
        <f t="shared" si="6"/>
      </c>
      <c r="O50" s="125" t="s">
        <v>243</v>
      </c>
      <c r="P50" s="125">
        <v>4</v>
      </c>
    </row>
    <row r="51">
      <c r="A51" s="119" t="s">
        <v>255</v>
      </c>
      <c r="B51" s="120" t="s">
        <v>231</v>
      </c>
      <c r="C51" s="120" t="s">
        <v>235</v>
      </c>
      <c r="D51" s="120">
        <v>4</v>
      </c>
      <c r="E51" s="120">
        <v>20</v>
      </c>
      <c r="F51" s="120">
        <v>6</v>
      </c>
      <c r="J51" s="121">
        <v>9168</v>
      </c>
      <c r="K51" s="120">
        <v>14126.25</v>
      </c>
      <c r="L51" s="123">
        <f t="shared" si="1"/>
      </c>
      <c r="M51" s="123">
        <f t="shared" si="4"/>
      </c>
      <c r="N51" s="124">
        <f t="shared" si="6"/>
      </c>
      <c r="O51" s="125" t="s">
        <v>252</v>
      </c>
      <c r="P51" s="120">
        <v>8</v>
      </c>
    </row>
    <row r="52">
      <c r="A52" s="119" t="s">
        <v>255</v>
      </c>
      <c r="B52" s="120" t="s">
        <v>234</v>
      </c>
      <c r="C52" s="120" t="s">
        <v>238</v>
      </c>
      <c r="D52" s="120">
        <v>4</v>
      </c>
      <c r="E52" s="120">
        <v>26</v>
      </c>
      <c r="F52" s="120">
        <v>8</v>
      </c>
      <c r="J52" s="121">
        <v>14836</v>
      </c>
      <c r="K52" s="121">
        <v>9411.23</v>
      </c>
      <c r="L52" s="123">
        <f t="shared" si="1"/>
      </c>
      <c r="M52" s="123">
        <f t="shared" si="4"/>
      </c>
      <c r="N52" s="124">
        <f t="shared" si="6"/>
      </c>
      <c r="O52" s="120"/>
      <c r="P52" s="120"/>
    </row>
    <row r="53">
      <c r="A53" s="126" t="s">
        <v>255</v>
      </c>
      <c r="B53" s="127" t="s">
        <v>239</v>
      </c>
      <c r="C53" s="128"/>
      <c r="D53" s="128">
        <f>SUM(D50:D52)</f>
      </c>
      <c r="E53" s="128">
        <f>SUM(E50:E52)</f>
      </c>
      <c r="F53" s="128">
        <f>SUM(F50:F52)</f>
      </c>
      <c r="J53" s="128">
        <f>SUM(J50:J52)</f>
      </c>
      <c r="K53" s="128">
        <f>SUM(K50:K52)</f>
      </c>
      <c r="L53" s="129">
        <f t="shared" si="1"/>
      </c>
      <c r="M53" s="130">
        <f t="shared" si="4"/>
      </c>
      <c r="N53" s="130">
        <f t="shared" si="6"/>
      </c>
      <c r="O53" s="131"/>
      <c r="P53" s="132">
        <f>SUM(P50:P52)</f>
      </c>
    </row>
    <row r="54">
      <c r="A54" s="119" t="s">
        <v>256</v>
      </c>
      <c r="B54" s="120" t="s">
        <v>237</v>
      </c>
      <c r="C54" s="120" t="s">
        <v>232</v>
      </c>
      <c r="D54" s="120">
        <v>4</v>
      </c>
      <c r="E54" s="120">
        <v>56</v>
      </c>
      <c r="F54" s="120">
        <v>21</v>
      </c>
      <c r="J54" s="121">
        <v>38748</v>
      </c>
      <c r="K54" s="121">
        <v>17155.13</v>
      </c>
      <c r="L54" s="122">
        <f t="shared" si="1"/>
      </c>
      <c r="M54" s="123">
        <f t="shared" si="4"/>
      </c>
      <c r="N54" s="124">
        <f t="shared" si="6"/>
      </c>
      <c r="O54" s="125" t="s">
        <v>243</v>
      </c>
      <c r="P54" s="125">
        <v>4</v>
      </c>
    </row>
    <row r="55">
      <c r="A55" s="119" t="s">
        <v>256</v>
      </c>
      <c r="B55" s="120" t="s">
        <v>234</v>
      </c>
      <c r="C55" s="120" t="s">
        <v>235</v>
      </c>
      <c r="D55" s="120">
        <v>4</v>
      </c>
      <c r="E55" s="120">
        <v>49</v>
      </c>
      <c r="F55" s="120">
        <v>22</v>
      </c>
      <c r="J55" s="121">
        <v>43909</v>
      </c>
      <c r="K55" s="120">
        <v>23357.390000000003</v>
      </c>
      <c r="L55" s="123">
        <f t="shared" si="1"/>
      </c>
      <c r="M55" s="123">
        <f t="shared" si="4"/>
      </c>
      <c r="N55" s="124">
        <f t="shared" si="6"/>
      </c>
      <c r="O55" s="125" t="s">
        <v>252</v>
      </c>
      <c r="P55" s="120">
        <v>8</v>
      </c>
    </row>
    <row r="56">
      <c r="A56" s="119" t="s">
        <v>256</v>
      </c>
      <c r="B56" s="120" t="s">
        <v>231</v>
      </c>
      <c r="C56" s="120" t="s">
        <v>238</v>
      </c>
      <c r="D56" s="120">
        <v>4</v>
      </c>
      <c r="E56" s="120">
        <v>23</v>
      </c>
      <c r="F56" s="120">
        <v>9</v>
      </c>
      <c r="J56" s="121">
        <v>19092</v>
      </c>
      <c r="K56" s="121">
        <v>13148.22</v>
      </c>
      <c r="L56" s="123">
        <f t="shared" si="1"/>
      </c>
      <c r="M56" s="123">
        <f t="shared" si="4"/>
      </c>
      <c r="N56" s="124">
        <f t="shared" si="6"/>
      </c>
      <c r="O56" s="120"/>
      <c r="P56" s="120"/>
    </row>
    <row r="57">
      <c r="A57" s="126" t="s">
        <v>256</v>
      </c>
      <c r="B57" s="127" t="s">
        <v>239</v>
      </c>
      <c r="C57" s="128"/>
      <c r="D57" s="128">
        <f>SUM(D54:D56)</f>
      </c>
      <c r="E57" s="128">
        <f>SUM(E54:E56)</f>
      </c>
      <c r="F57" s="128">
        <f>SUM(F54:F56)</f>
      </c>
      <c r="J57" s="128">
        <f>SUM(J54:J56)</f>
      </c>
      <c r="K57" s="128">
        <f>SUM(K54:K56)</f>
      </c>
      <c r="L57" s="129">
        <f t="shared" si="1"/>
      </c>
      <c r="M57" s="130">
        <f t="shared" si="4"/>
      </c>
      <c r="N57" s="130">
        <f t="shared" si="6"/>
      </c>
      <c r="O57" s="131"/>
      <c r="P57" s="132">
        <f>SUM(P54:P56)</f>
      </c>
    </row>
    <row r="58">
      <c r="A58" s="119" t="s">
        <v>257</v>
      </c>
      <c r="B58" s="120" t="s">
        <v>237</v>
      </c>
      <c r="C58" s="120" t="s">
        <v>258</v>
      </c>
      <c r="D58" s="120">
        <v>5</v>
      </c>
      <c r="E58" s="120">
        <v>72</v>
      </c>
      <c r="F58" s="120">
        <v>40</v>
      </c>
      <c r="J58" s="121">
        <v>76945</v>
      </c>
      <c r="K58" s="121">
        <v>36008.14</v>
      </c>
      <c r="L58" s="122">
        <f t="shared" si="1"/>
      </c>
      <c r="M58" s="123">
        <f t="shared" si="4"/>
      </c>
      <c r="N58" s="124">
        <f t="shared" si="6"/>
      </c>
      <c r="O58" s="125" t="s">
        <v>259</v>
      </c>
      <c r="P58" s="125">
        <v>4</v>
      </c>
    </row>
    <row r="59">
      <c r="A59" s="119" t="s">
        <v>257</v>
      </c>
      <c r="B59" s="120" t="s">
        <v>234</v>
      </c>
      <c r="C59" s="120" t="s">
        <v>260</v>
      </c>
      <c r="D59" s="120">
        <v>4</v>
      </c>
      <c r="E59" s="120">
        <v>33</v>
      </c>
      <c r="F59" s="120">
        <v>13</v>
      </c>
      <c r="J59" s="121">
        <v>26844</v>
      </c>
      <c r="K59" s="120">
        <v>18266.809999999998</v>
      </c>
      <c r="L59" s="123">
        <f t="shared" si="1"/>
      </c>
      <c r="M59" s="123">
        <f t="shared" si="4"/>
      </c>
      <c r="N59" s="124">
        <f t="shared" si="6"/>
      </c>
      <c r="O59" s="125" t="s">
        <v>252</v>
      </c>
      <c r="P59" s="120">
        <v>8</v>
      </c>
    </row>
    <row r="60">
      <c r="A60" s="119" t="s">
        <v>257</v>
      </c>
      <c r="B60" s="120" t="s">
        <v>231</v>
      </c>
      <c r="C60" s="120" t="s">
        <v>261</v>
      </c>
      <c r="D60" s="120">
        <v>3</v>
      </c>
      <c r="E60" s="120">
        <v>17</v>
      </c>
      <c r="F60" s="120">
        <v>8</v>
      </c>
      <c r="J60" s="121">
        <v>15504</v>
      </c>
      <c r="K60" s="121">
        <v>8155.08</v>
      </c>
      <c r="L60" s="123">
        <f t="shared" si="1"/>
      </c>
      <c r="M60" s="123">
        <f t="shared" si="4"/>
      </c>
      <c r="N60" s="124">
        <f t="shared" si="6"/>
      </c>
      <c r="O60" s="120"/>
      <c r="P60" s="120"/>
    </row>
    <row r="61">
      <c r="A61" s="126" t="s">
        <v>257</v>
      </c>
      <c r="B61" s="127" t="s">
        <v>239</v>
      </c>
      <c r="C61" s="128"/>
      <c r="D61" s="128">
        <f>SUM(D58:D60)</f>
      </c>
      <c r="E61" s="128">
        <f>SUM(E58:E60)</f>
      </c>
      <c r="F61" s="128">
        <f>SUM(F58:F60)</f>
      </c>
      <c r="J61" s="128">
        <f>SUM(J58:J60)</f>
      </c>
      <c r="K61" s="128">
        <f>SUM(K58:K60)</f>
      </c>
      <c r="L61" s="129">
        <f t="shared" si="1"/>
      </c>
      <c r="M61" s="130">
        <f t="shared" si="4"/>
      </c>
      <c r="N61" s="130">
        <f t="shared" si="6"/>
      </c>
      <c r="O61" s="131"/>
      <c r="P61" s="132">
        <f>SUM(P58:P60)</f>
      </c>
    </row>
    <row r="62">
      <c r="A62" s="119" t="s">
        <v>262</v>
      </c>
      <c r="B62" s="120" t="s">
        <v>237</v>
      </c>
      <c r="C62" s="120" t="s">
        <v>258</v>
      </c>
      <c r="D62" s="120">
        <v>5</v>
      </c>
      <c r="E62" s="120">
        <v>39</v>
      </c>
      <c r="F62" s="120">
        <v>15</v>
      </c>
      <c r="J62" s="121">
        <v>27420</v>
      </c>
      <c r="K62" s="121">
        <v>18004.01</v>
      </c>
      <c r="L62" s="122">
        <f t="shared" si="1"/>
      </c>
      <c r="M62" s="123">
        <f t="shared" si="4"/>
      </c>
      <c r="N62" s="124">
        <f t="shared" si="6"/>
      </c>
      <c r="O62" s="125" t="s">
        <v>259</v>
      </c>
      <c r="P62" s="125">
        <v>4</v>
      </c>
    </row>
    <row r="63">
      <c r="A63" s="119" t="s">
        <v>262</v>
      </c>
      <c r="B63" s="120" t="s">
        <v>231</v>
      </c>
      <c r="C63" s="120" t="s">
        <v>260</v>
      </c>
      <c r="D63" s="133">
        <f>4-1</f>
      </c>
      <c r="E63" s="120">
        <v>22</v>
      </c>
      <c r="F63" s="120">
        <v>8</v>
      </c>
      <c r="J63" s="121">
        <v>16636</v>
      </c>
      <c r="K63" s="120">
        <v>12048.109999999999</v>
      </c>
      <c r="L63" s="123">
        <f t="shared" si="1"/>
      </c>
      <c r="M63" s="123">
        <f t="shared" si="4"/>
      </c>
      <c r="N63" s="124">
        <f t="shared" si="6"/>
      </c>
      <c r="O63" s="125" t="s">
        <v>252</v>
      </c>
      <c r="P63" s="120">
        <v>8</v>
      </c>
    </row>
    <row r="64">
      <c r="A64" s="119" t="s">
        <v>262</v>
      </c>
      <c r="B64" s="120" t="s">
        <v>234</v>
      </c>
      <c r="C64" s="120" t="s">
        <v>261</v>
      </c>
      <c r="D64" s="120">
        <v>3</v>
      </c>
      <c r="E64" s="120">
        <v>16</v>
      </c>
      <c r="F64" s="120">
        <v>7</v>
      </c>
      <c r="J64" s="121">
        <v>11916</v>
      </c>
      <c r="K64" s="121">
        <v>6196.2</v>
      </c>
      <c r="L64" s="123">
        <f t="shared" si="1"/>
      </c>
      <c r="M64" s="123">
        <f t="shared" si="4"/>
      </c>
      <c r="N64" s="124">
        <f t="shared" si="6"/>
      </c>
      <c r="O64" s="120"/>
      <c r="P64" s="120"/>
    </row>
    <row r="65">
      <c r="A65" s="126" t="s">
        <v>262</v>
      </c>
      <c r="B65" s="127" t="s">
        <v>239</v>
      </c>
      <c r="C65" s="128"/>
      <c r="D65" s="128">
        <f>SUM(D62:D64)</f>
      </c>
      <c r="E65" s="128">
        <f>SUM(E62:E64)</f>
      </c>
      <c r="F65" s="128">
        <f>SUM(F62:F64)</f>
      </c>
      <c r="J65" s="128">
        <f>SUM(J62:J64)</f>
      </c>
      <c r="K65" s="128">
        <f>SUM(K62:K64)</f>
      </c>
      <c r="L65" s="129">
        <f t="shared" si="1"/>
      </c>
      <c r="M65" s="130">
        <f t="shared" si="4"/>
      </c>
      <c r="N65" s="130">
        <f t="shared" si="6"/>
      </c>
      <c r="O65" s="131"/>
      <c r="P65" s="132">
        <f>SUM(P62:P64)</f>
      </c>
    </row>
    <row r="66">
      <c r="A66" s="119" t="s">
        <v>263</v>
      </c>
      <c r="B66" s="120" t="s">
        <v>237</v>
      </c>
      <c r="C66" s="120" t="s">
        <v>258</v>
      </c>
      <c r="D66" s="120">
        <v>5</v>
      </c>
      <c r="E66" s="120">
        <v>51</v>
      </c>
      <c r="F66" s="120">
        <v>21</v>
      </c>
      <c r="J66" s="121">
        <v>41852</v>
      </c>
      <c r="K66" s="121">
        <v>22177.58</v>
      </c>
      <c r="L66" s="122">
        <f t="shared" si="1"/>
      </c>
      <c r="M66" s="123">
        <f t="shared" si="4"/>
      </c>
      <c r="N66" s="124">
        <f t="shared" si="6"/>
      </c>
      <c r="O66" s="125" t="s">
        <v>252</v>
      </c>
      <c r="P66" s="125">
        <v>10</v>
      </c>
    </row>
    <row r="67">
      <c r="A67" s="119" t="s">
        <v>263</v>
      </c>
      <c r="B67" s="120" t="s">
        <v>234</v>
      </c>
      <c r="C67" s="120" t="s">
        <v>264</v>
      </c>
      <c r="D67" s="120">
        <v>5</v>
      </c>
      <c r="E67" s="120">
        <v>47</v>
      </c>
      <c r="F67" s="120">
        <v>26</v>
      </c>
      <c r="J67" s="121">
        <v>50860</v>
      </c>
      <c r="K67" s="121">
        <v>22408.37</v>
      </c>
      <c r="L67" s="123">
        <f t="shared" si="1"/>
      </c>
      <c r="M67" s="123">
        <f t="shared" si="4"/>
      </c>
      <c r="N67" s="124">
        <f t="shared" si="6"/>
      </c>
      <c r="O67" s="120"/>
      <c r="P67" s="120"/>
    </row>
    <row r="68">
      <c r="A68" s="126" t="s">
        <v>263</v>
      </c>
      <c r="B68" s="127" t="s">
        <v>239</v>
      </c>
      <c r="C68" s="128"/>
      <c r="D68" s="128">
        <f>SUM(D66:D67)</f>
      </c>
      <c r="E68" s="128">
        <f>SUM(E66:E67)</f>
      </c>
      <c r="F68" s="128">
        <f>SUM(F66:F67)</f>
      </c>
      <c r="J68" s="128">
        <f>SUM(J66:J67)</f>
      </c>
      <c r="K68" s="128">
        <f>SUM(K66:K67)</f>
      </c>
      <c r="L68" s="129">
        <f t="shared" si="1"/>
      </c>
      <c r="M68" s="130">
        <f t="shared" si="4"/>
      </c>
      <c r="N68" s="130">
        <f t="shared" si="6"/>
      </c>
      <c r="O68" s="131"/>
      <c r="P68" s="132">
        <f>SUM(P66:P67)</f>
      </c>
    </row>
    <row r="69">
      <c r="A69" s="119" t="s">
        <v>265</v>
      </c>
      <c r="B69" s="120" t="s">
        <v>237</v>
      </c>
      <c r="C69" s="120" t="s">
        <v>258</v>
      </c>
      <c r="D69" s="120">
        <v>5</v>
      </c>
      <c r="E69" s="120">
        <v>42</v>
      </c>
      <c r="F69" s="120">
        <v>16</v>
      </c>
      <c r="J69" s="121">
        <v>32492</v>
      </c>
      <c r="K69" s="121">
        <v>20251.27</v>
      </c>
      <c r="L69" s="122">
        <f t="shared" si="1"/>
      </c>
      <c r="M69" s="123">
        <f t="shared" si="4"/>
      </c>
      <c r="N69" s="124">
        <f t="shared" si="6"/>
      </c>
      <c r="O69" s="125" t="s">
        <v>252</v>
      </c>
      <c r="P69" s="125">
        <v>10</v>
      </c>
    </row>
    <row r="70">
      <c r="A70" s="119" t="s">
        <v>265</v>
      </c>
      <c r="B70" s="120" t="s">
        <v>234</v>
      </c>
      <c r="C70" s="120" t="s">
        <v>264</v>
      </c>
      <c r="D70" s="120">
        <v>5</v>
      </c>
      <c r="E70" s="120">
        <v>31</v>
      </c>
      <c r="F70" s="120">
        <v>11</v>
      </c>
      <c r="J70" s="121">
        <v>20988</v>
      </c>
      <c r="K70" s="121">
        <v>16019.510000000002</v>
      </c>
      <c r="L70" s="123">
        <f t="shared" si="1"/>
      </c>
      <c r="M70" s="123">
        <f t="shared" si="4"/>
      </c>
      <c r="N70" s="124">
        <f t="shared" si="6"/>
      </c>
      <c r="O70" s="120"/>
      <c r="P70" s="120"/>
    </row>
    <row r="71">
      <c r="A71" s="126" t="s">
        <v>265</v>
      </c>
      <c r="B71" s="127" t="s">
        <v>239</v>
      </c>
      <c r="C71" s="128"/>
      <c r="D71" s="128">
        <f>SUM(D69:D70)</f>
      </c>
      <c r="E71" s="128">
        <f>SUM(E69:E70)</f>
      </c>
      <c r="F71" s="128">
        <f>SUM(F69:F70)</f>
      </c>
      <c r="J71" s="128">
        <f>SUM(J69:J70)</f>
      </c>
      <c r="K71" s="128">
        <f>SUM(K69:K70)</f>
      </c>
      <c r="L71" s="129">
        <f t="shared" si="1"/>
      </c>
      <c r="M71" s="130">
        <f t="shared" si="4"/>
      </c>
      <c r="N71" s="130">
        <f t="shared" si="6"/>
      </c>
      <c r="O71" s="131"/>
      <c r="P71" s="132">
        <f>SUM(P69:P70)</f>
      </c>
    </row>
    <row r="72">
      <c r="A72" s="119" t="s">
        <v>266</v>
      </c>
      <c r="B72" s="120" t="s">
        <v>237</v>
      </c>
      <c r="C72" s="120" t="s">
        <v>258</v>
      </c>
      <c r="D72" s="120">
        <v>5</v>
      </c>
      <c r="E72" s="120">
        <v>44</v>
      </c>
      <c r="F72" s="120">
        <v>20</v>
      </c>
      <c r="J72" s="121">
        <v>39813</v>
      </c>
      <c r="K72" s="121">
        <v>20564.32</v>
      </c>
      <c r="L72" s="122">
        <f t="shared" si="1"/>
      </c>
      <c r="M72" s="123">
        <f t="shared" si="4"/>
      </c>
      <c r="N72" s="124">
        <f t="shared" si="6"/>
      </c>
      <c r="O72" s="125" t="s">
        <v>252</v>
      </c>
      <c r="P72" s="125">
        <v>10</v>
      </c>
    </row>
    <row r="73">
      <c r="A73" s="119" t="s">
        <v>266</v>
      </c>
      <c r="B73" s="120" t="s">
        <v>234</v>
      </c>
      <c r="C73" s="120" t="s">
        <v>264</v>
      </c>
      <c r="D73" s="120">
        <v>5</v>
      </c>
      <c r="E73" s="120">
        <v>35</v>
      </c>
      <c r="F73" s="120">
        <v>12</v>
      </c>
      <c r="J73" s="121">
        <v>23256</v>
      </c>
      <c r="K73" s="121">
        <v>18075.100000000002</v>
      </c>
      <c r="L73" s="123">
        <f t="shared" si="1"/>
      </c>
      <c r="M73" s="123">
        <f t="shared" si="4"/>
      </c>
      <c r="N73" s="124">
        <f t="shared" si="6"/>
      </c>
      <c r="O73" s="120"/>
      <c r="P73" s="120"/>
    </row>
    <row r="74">
      <c r="A74" s="126" t="s">
        <v>266</v>
      </c>
      <c r="B74" s="127" t="s">
        <v>239</v>
      </c>
      <c r="C74" s="128"/>
      <c r="D74" s="128">
        <f>SUM(D72:D73)</f>
      </c>
      <c r="E74" s="128">
        <f>SUM(E72:E73)</f>
      </c>
      <c r="F74" s="128">
        <f>SUM(F72:F73)</f>
      </c>
      <c r="J74" s="128">
        <f>SUM(J72:J73)</f>
      </c>
      <c r="K74" s="128">
        <f>SUM(K72:K73)</f>
      </c>
      <c r="L74" s="129">
        <f t="shared" si="1"/>
      </c>
      <c r="M74" s="130">
        <f t="shared" si="4"/>
      </c>
      <c r="N74" s="130">
        <f t="shared" si="6"/>
      </c>
      <c r="O74" s="131"/>
      <c r="P74" s="132">
        <f>SUM(P72:P73)</f>
      </c>
    </row>
    <row r="75">
      <c r="A75" s="119" t="s">
        <v>267</v>
      </c>
      <c r="B75" s="120" t="s">
        <v>237</v>
      </c>
      <c r="C75" s="120" t="s">
        <v>258</v>
      </c>
      <c r="D75" s="120">
        <v>5</v>
      </c>
      <c r="E75" s="120">
        <v>39</v>
      </c>
      <c r="F75" s="120">
        <v>21</v>
      </c>
      <c r="J75" s="121">
        <v>38748</v>
      </c>
      <c r="K75" s="121">
        <v>19967.03</v>
      </c>
      <c r="L75" s="122">
        <f t="shared" si="1"/>
      </c>
      <c r="M75" s="123">
        <f t="shared" si="4"/>
      </c>
      <c r="N75" s="124">
        <f t="shared" si="6"/>
      </c>
      <c r="O75" s="125" t="s">
        <v>252</v>
      </c>
      <c r="P75" s="125">
        <v>10</v>
      </c>
    </row>
    <row r="76">
      <c r="A76" s="119" t="s">
        <v>267</v>
      </c>
      <c r="B76" s="120" t="s">
        <v>234</v>
      </c>
      <c r="C76" s="120" t="s">
        <v>264</v>
      </c>
      <c r="D76" s="120">
        <v>5</v>
      </c>
      <c r="E76" s="120">
        <v>22</v>
      </c>
      <c r="F76" s="120">
        <v>12</v>
      </c>
      <c r="J76" s="121">
        <v>18110</v>
      </c>
      <c r="K76" s="121">
        <v>15276.369999999999</v>
      </c>
      <c r="L76" s="123">
        <f t="shared" si="1"/>
      </c>
      <c r="M76" s="123">
        <f t="shared" si="4"/>
      </c>
      <c r="N76" s="124">
        <f t="shared" si="6"/>
      </c>
      <c r="O76" s="120"/>
      <c r="P76" s="120"/>
    </row>
    <row r="77">
      <c r="A77" s="126" t="s">
        <v>267</v>
      </c>
      <c r="B77" s="127" t="s">
        <v>239</v>
      </c>
      <c r="C77" s="128"/>
      <c r="D77" s="128">
        <f>SUM(D75:D76)</f>
      </c>
      <c r="E77" s="128">
        <f>SUM(E75:E76)</f>
      </c>
      <c r="F77" s="128">
        <f>SUM(F75:F76)</f>
      </c>
      <c r="J77" s="128">
        <f>SUM(J75:J76)</f>
      </c>
      <c r="K77" s="128">
        <f>SUM(K75:K76)</f>
      </c>
      <c r="L77" s="129">
        <f t="shared" si="1"/>
      </c>
      <c r="M77" s="130">
        <f t="shared" si="4"/>
      </c>
      <c r="N77" s="130">
        <f t="shared" si="6"/>
      </c>
      <c r="O77" s="131"/>
      <c r="P77" s="132">
        <f>SUM(P75:P76)</f>
      </c>
    </row>
    <row r="78">
      <c r="A78" s="119" t="s">
        <v>268</v>
      </c>
      <c r="B78" s="120" t="s">
        <v>237</v>
      </c>
      <c r="C78" s="120" t="s">
        <v>258</v>
      </c>
      <c r="D78" s="120">
        <v>5</v>
      </c>
      <c r="E78" s="120">
        <v>27</v>
      </c>
      <c r="F78" s="120">
        <v>17</v>
      </c>
      <c r="J78" s="121">
        <v>30276</v>
      </c>
      <c r="K78" s="121">
        <v>17765.35</v>
      </c>
      <c r="L78" s="122">
        <f t="shared" si="1"/>
      </c>
      <c r="M78" s="123">
        <f t="shared" si="4"/>
      </c>
      <c r="N78" s="124">
        <f t="shared" si="6"/>
      </c>
      <c r="O78" s="125" t="s">
        <v>252</v>
      </c>
      <c r="P78" s="125">
        <v>10</v>
      </c>
    </row>
    <row r="79">
      <c r="A79" s="119" t="s">
        <v>268</v>
      </c>
      <c r="B79" s="120" t="s">
        <v>234</v>
      </c>
      <c r="C79" s="120" t="s">
        <v>264</v>
      </c>
      <c r="D79" s="120">
        <v>5</v>
      </c>
      <c r="E79" s="120">
        <v>27</v>
      </c>
      <c r="F79" s="120">
        <v>10</v>
      </c>
      <c r="J79" s="121">
        <v>18884</v>
      </c>
      <c r="K79" s="121">
        <v>13974.4</v>
      </c>
      <c r="L79" s="123">
        <f t="shared" si="1"/>
      </c>
      <c r="M79" s="123">
        <f t="shared" si="4"/>
      </c>
      <c r="N79" s="124">
        <f t="shared" si="6"/>
      </c>
      <c r="O79" s="120"/>
      <c r="P79" s="120"/>
    </row>
    <row r="80">
      <c r="A80" s="126" t="s">
        <v>268</v>
      </c>
      <c r="B80" s="127" t="s">
        <v>239</v>
      </c>
      <c r="C80" s="128"/>
      <c r="D80" s="128">
        <f>SUM(D78:D79)</f>
      </c>
      <c r="E80" s="128">
        <f>SUM(E78:E79)</f>
      </c>
      <c r="F80" s="128">
        <f>SUM(F78:F79)</f>
      </c>
      <c r="J80" s="128">
        <f>SUM(J78:J79)</f>
      </c>
      <c r="K80" s="128">
        <f>SUM(K78:K79)</f>
      </c>
      <c r="L80" s="129">
        <f t="shared" si="1"/>
      </c>
      <c r="M80" s="130">
        <f t="shared" si="4"/>
      </c>
      <c r="N80" s="130">
        <f t="shared" si="6"/>
      </c>
      <c r="O80" s="131"/>
      <c r="P80" s="132">
        <f>SUM(P78:P79)</f>
      </c>
    </row>
    <row r="81">
      <c r="A81" s="119" t="s">
        <v>269</v>
      </c>
      <c r="B81" s="120" t="s">
        <v>237</v>
      </c>
      <c r="C81" s="120" t="s">
        <v>258</v>
      </c>
      <c r="D81" s="120">
        <v>5</v>
      </c>
      <c r="E81" s="120">
        <v>19</v>
      </c>
      <c r="F81" s="120">
        <v>7</v>
      </c>
      <c r="J81" s="121">
        <v>14556</v>
      </c>
      <c r="K81" s="121">
        <v>10618.11</v>
      </c>
      <c r="L81" s="123">
        <f t="shared" si="1"/>
      </c>
      <c r="M81" s="123">
        <f t="shared" si="4"/>
      </c>
      <c r="N81" s="124">
        <f t="shared" si="6"/>
      </c>
      <c r="O81" s="125" t="s">
        <v>252</v>
      </c>
      <c r="P81" s="120">
        <v>8</v>
      </c>
    </row>
    <row r="82">
      <c r="A82" s="119" t="s">
        <v>269</v>
      </c>
      <c r="B82" s="120" t="s">
        <v>234</v>
      </c>
      <c r="C82" s="120" t="s">
        <v>264</v>
      </c>
      <c r="D82" s="120">
        <v>5</v>
      </c>
      <c r="E82" s="120">
        <v>16</v>
      </c>
      <c r="F82" s="120">
        <v>10</v>
      </c>
      <c r="J82" s="121">
        <v>22680</v>
      </c>
      <c r="K82" s="120">
        <v>10009.95</v>
      </c>
      <c r="L82" s="123">
        <f t="shared" si="1"/>
      </c>
      <c r="M82" s="123">
        <f t="shared" si="4"/>
      </c>
      <c r="N82" s="124">
        <f t="shared" si="6"/>
      </c>
      <c r="O82" s="125" t="s">
        <v>243</v>
      </c>
      <c r="P82" s="120">
        <v>4</v>
      </c>
    </row>
    <row r="83">
      <c r="A83" s="119" t="s">
        <v>269</v>
      </c>
      <c r="B83" s="120" t="s">
        <v>270</v>
      </c>
      <c r="C83" s="120" t="s">
        <v>271</v>
      </c>
      <c r="D83" s="120">
        <v>2</v>
      </c>
      <c r="E83" s="120">
        <v>10</v>
      </c>
      <c r="F83" s="120">
        <v>3</v>
      </c>
      <c r="J83" s="121">
        <v>6804</v>
      </c>
      <c r="K83" s="121">
        <v>3199.6800000000003</v>
      </c>
      <c r="L83" s="123">
        <f t="shared" si="1"/>
      </c>
      <c r="M83" s="123">
        <f t="shared" si="4"/>
      </c>
      <c r="N83" s="134">
        <f t="shared" si="6"/>
      </c>
      <c r="O83" s="135"/>
      <c r="P83" s="121"/>
    </row>
    <row r="84">
      <c r="A84" s="126" t="s">
        <v>269</v>
      </c>
      <c r="B84" s="127" t="s">
        <v>239</v>
      </c>
      <c r="C84" s="128"/>
      <c r="D84" s="128">
        <f>SUM(D81:D83)</f>
      </c>
      <c r="E84" s="128">
        <f>SUM(E81:E83)</f>
      </c>
      <c r="F84" s="128">
        <f>SUM(F81:F83)</f>
      </c>
      <c r="J84" s="128">
        <f>SUM(J81:J83)</f>
      </c>
      <c r="K84" s="128">
        <f>SUM(K81:K83)</f>
      </c>
      <c r="L84" s="129">
        <f t="shared" si="1"/>
      </c>
      <c r="M84" s="130">
        <f t="shared" si="4"/>
      </c>
      <c r="N84" s="136">
        <f t="shared" si="6"/>
      </c>
      <c r="O84" s="137"/>
      <c r="P84" s="138">
        <f>SUM(P81:P82)</f>
      </c>
    </row>
    <row r="85">
      <c r="A85" s="119" t="s">
        <v>272</v>
      </c>
      <c r="B85" s="120" t="s">
        <v>234</v>
      </c>
      <c r="C85" s="120" t="s">
        <v>232</v>
      </c>
      <c r="D85" s="120">
        <v>4</v>
      </c>
      <c r="E85" s="120">
        <v>29</v>
      </c>
      <c r="F85" s="120">
        <v>7</v>
      </c>
      <c r="J85" s="121">
        <v>11357</v>
      </c>
      <c r="K85" s="121">
        <v>12532.35</v>
      </c>
      <c r="L85" s="123">
        <f t="shared" si="1"/>
      </c>
      <c r="M85" s="123">
        <f t="shared" si="4"/>
      </c>
      <c r="N85" s="124">
        <f t="shared" si="6"/>
      </c>
      <c r="O85" s="125" t="s">
        <v>259</v>
      </c>
      <c r="P85" s="120">
        <v>8</v>
      </c>
    </row>
    <row r="86">
      <c r="A86" s="119" t="s">
        <v>272</v>
      </c>
      <c r="B86" s="120" t="s">
        <v>273</v>
      </c>
      <c r="C86" s="120" t="s">
        <v>274</v>
      </c>
      <c r="D86" s="120">
        <v>2</v>
      </c>
      <c r="E86" s="120">
        <v>10</v>
      </c>
      <c r="F86" s="120">
        <v>4</v>
      </c>
      <c r="J86" s="121">
        <v>6432</v>
      </c>
      <c r="K86" s="120">
        <v>5689.889999999999</v>
      </c>
      <c r="L86" s="123">
        <f t="shared" si="1"/>
      </c>
      <c r="M86" s="123">
        <f t="shared" si="4"/>
      </c>
      <c r="N86" s="124">
        <f t="shared" si="6"/>
      </c>
      <c r="O86" s="125" t="s">
        <v>243</v>
      </c>
      <c r="P86" s="120">
        <v>4</v>
      </c>
    </row>
    <row customHeight="true" ht="16.071428571428573" r="87">
      <c r="A87" s="119" t="s">
        <v>272</v>
      </c>
      <c r="B87" s="120" t="s">
        <v>237</v>
      </c>
      <c r="C87" s="120" t="s">
        <v>275</v>
      </c>
      <c r="D87" s="120">
        <v>4</v>
      </c>
      <c r="E87" s="120">
        <v>26</v>
      </c>
      <c r="F87" s="120">
        <v>11</v>
      </c>
      <c r="J87" s="121">
        <v>20612</v>
      </c>
      <c r="K87" s="120">
        <v>10508.49</v>
      </c>
      <c r="L87" s="123">
        <f t="shared" si="1"/>
      </c>
      <c r="M87" s="123">
        <f t="shared" si="4"/>
      </c>
      <c r="N87" s="124">
        <f t="shared" si="6"/>
      </c>
      <c r="O87" s="125"/>
      <c r="P87" s="120"/>
    </row>
    <row r="88">
      <c r="A88" s="119" t="s">
        <v>272</v>
      </c>
      <c r="B88" s="120" t="s">
        <v>270</v>
      </c>
      <c r="C88" s="120" t="s">
        <v>271</v>
      </c>
      <c r="D88" s="120">
        <v>2</v>
      </c>
      <c r="E88" s="120">
        <v>3</v>
      </c>
      <c r="F88" s="120">
        <v>2</v>
      </c>
      <c r="J88" s="121">
        <v>3216</v>
      </c>
      <c r="K88" s="121">
        <v>5619.09</v>
      </c>
      <c r="L88" s="123">
        <f t="shared" si="1"/>
      </c>
      <c r="M88" s="123">
        <f t="shared" si="4"/>
      </c>
      <c r="N88" s="134">
        <f t="shared" si="6"/>
      </c>
      <c r="O88" s="135"/>
      <c r="P88" s="121"/>
    </row>
    <row r="89">
      <c r="A89" s="126" t="s">
        <v>272</v>
      </c>
      <c r="B89" s="127" t="s">
        <v>239</v>
      </c>
      <c r="C89" s="128"/>
      <c r="D89" s="128">
        <f>SUM(D85:D88)</f>
      </c>
      <c r="E89" s="128">
        <f>SUM(E85:E88)</f>
      </c>
      <c r="F89" s="128">
        <f>SUM(F85:F88)</f>
      </c>
      <c r="J89" s="128">
        <f>SUM(J85:J88)</f>
      </c>
      <c r="K89" s="128">
        <f>SUM(K85:K88)</f>
      </c>
      <c r="L89" s="129">
        <f t="shared" si="1"/>
      </c>
      <c r="M89" s="130">
        <f t="shared" si="4"/>
      </c>
      <c r="N89" s="136">
        <f t="shared" si="6"/>
      </c>
      <c r="O89" s="137"/>
      <c r="P89" s="138">
        <f>SUM(P85:P86)</f>
      </c>
    </row>
    <row r="90">
      <c r="A90" s="119" t="s">
        <v>276</v>
      </c>
      <c r="B90" s="120" t="s">
        <v>237</v>
      </c>
      <c r="C90" s="120" t="s">
        <v>258</v>
      </c>
      <c r="D90" s="120">
        <v>5</v>
      </c>
      <c r="E90" s="120">
        <v>24</v>
      </c>
      <c r="F90" s="120">
        <v>9</v>
      </c>
      <c r="J90" s="121">
        <v>18236</v>
      </c>
      <c r="K90" s="121">
        <v>9626.87</v>
      </c>
      <c r="L90" s="123">
        <f t="shared" si="1"/>
      </c>
      <c r="M90" s="123">
        <f t="shared" si="4"/>
      </c>
      <c r="N90" s="124">
        <f t="shared" si="6"/>
      </c>
      <c r="O90" s="125" t="s">
        <v>252</v>
      </c>
      <c r="P90" s="120">
        <v>8</v>
      </c>
    </row>
    <row r="91">
      <c r="A91" s="119" t="s">
        <v>276</v>
      </c>
      <c r="B91" s="120" t="s">
        <v>234</v>
      </c>
      <c r="C91" s="120" t="s">
        <v>264</v>
      </c>
      <c r="D91" s="120">
        <v>5</v>
      </c>
      <c r="E91" s="120">
        <v>33</v>
      </c>
      <c r="F91" s="120">
        <v>21</v>
      </c>
      <c r="J91" s="121">
        <v>37641</v>
      </c>
      <c r="K91" s="120">
        <v>20368.25</v>
      </c>
      <c r="L91" s="123">
        <f t="shared" si="1"/>
      </c>
      <c r="M91" s="123">
        <f t="shared" si="4"/>
      </c>
      <c r="N91" s="124">
        <f t="shared" si="6"/>
      </c>
      <c r="O91" s="125" t="s">
        <v>243</v>
      </c>
      <c r="P91" s="120">
        <v>4</v>
      </c>
    </row>
    <row r="92">
      <c r="A92" s="119" t="s">
        <v>276</v>
      </c>
      <c r="B92" s="120" t="s">
        <v>270</v>
      </c>
      <c r="C92" s="120" t="s">
        <v>271</v>
      </c>
      <c r="D92" s="120">
        <v>2</v>
      </c>
      <c r="E92" s="120">
        <v>4</v>
      </c>
      <c r="F92" s="120">
        <v>1</v>
      </c>
      <c r="J92" s="121">
        <v>948</v>
      </c>
      <c r="K92" s="121">
        <v>3947.1699999999996</v>
      </c>
      <c r="L92" s="123">
        <f t="shared" si="1"/>
      </c>
      <c r="M92" s="123">
        <f t="shared" si="4"/>
      </c>
      <c r="N92" s="134">
        <f t="shared" si="6"/>
      </c>
      <c r="O92" s="135"/>
      <c r="P92" s="121"/>
    </row>
    <row r="93">
      <c r="A93" s="126" t="s">
        <v>276</v>
      </c>
      <c r="B93" s="127" t="s">
        <v>239</v>
      </c>
      <c r="C93" s="128"/>
      <c r="D93" s="128">
        <f>SUM(D90:D92)</f>
      </c>
      <c r="E93" s="128">
        <f>SUM(E90:E92)</f>
      </c>
      <c r="F93" s="128">
        <f>SUM(F90:F92)</f>
      </c>
      <c r="J93" s="128">
        <f>SUM(J90:J92)</f>
      </c>
      <c r="K93" s="128">
        <f>SUM(K90:K92)</f>
      </c>
      <c r="L93" s="129">
        <f t="shared" si="1"/>
      </c>
      <c r="M93" s="130">
        <f t="shared" si="4"/>
      </c>
      <c r="N93" s="136">
        <f t="shared" si="6"/>
      </c>
      <c r="O93" s="137"/>
      <c r="P93" s="138">
        <f>SUM(P90:P91)</f>
      </c>
    </row>
    <row r="94">
      <c r="A94" s="119" t="s">
        <v>277</v>
      </c>
      <c r="B94" s="120" t="s">
        <v>237</v>
      </c>
      <c r="C94" s="120" t="s">
        <v>232</v>
      </c>
      <c r="D94" s="120">
        <v>4</v>
      </c>
      <c r="E94" s="120">
        <v>13</v>
      </c>
      <c r="F94" s="120">
        <v>4</v>
      </c>
      <c r="J94" s="121">
        <v>7752</v>
      </c>
      <c r="K94" s="121">
        <v>9326.69</v>
      </c>
      <c r="L94" s="123">
        <f t="shared" si="1"/>
      </c>
      <c r="M94" s="123">
        <f t="shared" si="4"/>
      </c>
      <c r="N94" s="124">
        <f t="shared" si="6"/>
      </c>
      <c r="O94" s="125" t="s">
        <v>252</v>
      </c>
      <c r="P94" s="120">
        <v>8</v>
      </c>
    </row>
    <row r="95">
      <c r="A95" s="119" t="s">
        <v>277</v>
      </c>
      <c r="B95" s="120" t="s">
        <v>234</v>
      </c>
      <c r="C95" s="120" t="s">
        <v>235</v>
      </c>
      <c r="D95" s="120">
        <v>4</v>
      </c>
      <c r="E95" s="120">
        <v>29</v>
      </c>
      <c r="F95" s="120">
        <v>11</v>
      </c>
      <c r="J95" s="121">
        <v>23361</v>
      </c>
      <c r="K95" s="120">
        <v>12254.659999999998</v>
      </c>
      <c r="L95" s="123">
        <f t="shared" si="1"/>
      </c>
      <c r="M95" s="123">
        <f t="shared" si="4"/>
      </c>
      <c r="N95" s="124">
        <f t="shared" si="6"/>
      </c>
      <c r="O95" s="125" t="s">
        <v>243</v>
      </c>
      <c r="P95" s="120">
        <v>3</v>
      </c>
    </row>
    <row r="96">
      <c r="A96" s="119" t="s">
        <v>277</v>
      </c>
      <c r="B96" s="120" t="s">
        <v>278</v>
      </c>
      <c r="C96" s="120" t="s">
        <v>238</v>
      </c>
      <c r="D96" s="120">
        <v>4</v>
      </c>
      <c r="E96" s="120">
        <v>14</v>
      </c>
      <c r="F96" s="120">
        <v>8</v>
      </c>
      <c r="J96" s="121">
        <v>12384</v>
      </c>
      <c r="K96" s="121">
        <v>10735.02</v>
      </c>
      <c r="L96" s="123">
        <f t="shared" si="1"/>
      </c>
      <c r="M96" s="123">
        <f t="shared" si="4"/>
      </c>
      <c r="N96" s="134">
        <f t="shared" si="6"/>
      </c>
      <c r="O96" s="135" t="s">
        <v>279</v>
      </c>
      <c r="P96" s="121">
        <v>1</v>
      </c>
    </row>
    <row r="97">
      <c r="A97" s="126" t="s">
        <v>277</v>
      </c>
      <c r="B97" s="127" t="s">
        <v>239</v>
      </c>
      <c r="C97" s="128"/>
      <c r="D97" s="128">
        <f>SUM(D94:D96)</f>
      </c>
      <c r="E97" s="128">
        <f>SUM(E94:E96)</f>
      </c>
      <c r="F97" s="128">
        <f>SUM(F94:F96)</f>
      </c>
      <c r="J97" s="128">
        <f>SUM(J94:J96)</f>
      </c>
      <c r="K97" s="128">
        <f>SUM(K94:K96)</f>
      </c>
      <c r="L97" s="129">
        <f t="shared" si="1"/>
      </c>
      <c r="M97" s="130">
        <f t="shared" si="4"/>
      </c>
      <c r="N97" s="136">
        <f t="shared" si="6"/>
      </c>
      <c r="O97" s="137"/>
      <c r="P97" s="138">
        <f>SUM(P94:P96)</f>
      </c>
    </row>
    <row r="98">
      <c r="A98" s="119" t="s">
        <v>280</v>
      </c>
      <c r="B98" s="120" t="s">
        <v>237</v>
      </c>
      <c r="C98" s="120" t="s">
        <v>232</v>
      </c>
      <c r="D98" s="120">
        <v>4</v>
      </c>
      <c r="E98" s="120">
        <v>34</v>
      </c>
      <c r="F98" s="120">
        <v>12</v>
      </c>
      <c r="J98" s="121">
        <v>18920</v>
      </c>
      <c r="K98" s="121">
        <v>14888.300000000001</v>
      </c>
      <c r="L98" s="123">
        <f t="shared" si="1"/>
      </c>
      <c r="M98" s="123">
        <f t="shared" si="4"/>
      </c>
      <c r="N98" s="124">
        <f t="shared" si="6"/>
      </c>
      <c r="O98" s="125" t="s">
        <v>252</v>
      </c>
      <c r="P98" s="120">
        <v>8</v>
      </c>
    </row>
    <row r="99">
      <c r="A99" s="119" t="s">
        <v>280</v>
      </c>
      <c r="B99" s="120" t="s">
        <v>278</v>
      </c>
      <c r="C99" s="120" t="s">
        <v>235</v>
      </c>
      <c r="D99" s="120">
        <v>4</v>
      </c>
      <c r="E99" s="120">
        <v>34</v>
      </c>
      <c r="F99" s="120">
        <v>19</v>
      </c>
      <c r="J99" s="121">
        <v>37060</v>
      </c>
      <c r="K99" s="120">
        <v>16370.88</v>
      </c>
      <c r="L99" s="123">
        <f t="shared" si="1"/>
      </c>
      <c r="M99" s="123">
        <f t="shared" si="4"/>
      </c>
      <c r="N99" s="124">
        <f t="shared" si="6"/>
      </c>
      <c r="O99" s="125" t="s">
        <v>243</v>
      </c>
      <c r="P99" s="120">
        <v>4</v>
      </c>
    </row>
    <row r="100">
      <c r="A100" s="119" t="s">
        <v>280</v>
      </c>
      <c r="B100" s="120" t="s">
        <v>234</v>
      </c>
      <c r="C100" s="120" t="s">
        <v>238</v>
      </c>
      <c r="D100" s="120">
        <v>4</v>
      </c>
      <c r="E100" s="120">
        <v>20</v>
      </c>
      <c r="F100" s="120">
        <v>7</v>
      </c>
      <c r="J100" s="121">
        <v>14556</v>
      </c>
      <c r="K100" s="121">
        <v>13075.999999999998</v>
      </c>
      <c r="L100" s="123">
        <f t="shared" si="1"/>
      </c>
      <c r="M100" s="123">
        <f t="shared" si="4"/>
      </c>
      <c r="N100" s="134">
        <f t="shared" si="6"/>
      </c>
      <c r="O100" s="135"/>
      <c r="P100" s="121"/>
    </row>
    <row r="101">
      <c r="A101" s="126" t="s">
        <v>280</v>
      </c>
      <c r="B101" s="127" t="s">
        <v>239</v>
      </c>
      <c r="C101" s="128"/>
      <c r="D101" s="128">
        <f>SUM(D98:D100)</f>
      </c>
      <c r="E101" s="128">
        <f>SUM(E98:E100)</f>
      </c>
      <c r="F101" s="128">
        <f>SUM(F98:F100)</f>
      </c>
      <c r="J101" s="128">
        <f>SUM(J98:J100)</f>
      </c>
      <c r="K101" s="128">
        <f>SUM(K98:K100)</f>
      </c>
      <c r="L101" s="129">
        <f t="shared" si="1"/>
      </c>
      <c r="M101" s="130">
        <f t="shared" si="4"/>
      </c>
      <c r="N101" s="136">
        <f t="shared" si="6"/>
      </c>
      <c r="O101" s="137"/>
      <c r="P101" s="138">
        <f>SUM(P98:P99)</f>
      </c>
    </row>
    <row r="102">
      <c r="A102" s="119" t="s">
        <v>281</v>
      </c>
      <c r="B102" s="120" t="s">
        <v>278</v>
      </c>
      <c r="C102" s="120" t="s">
        <v>232</v>
      </c>
      <c r="D102" s="120">
        <v>4</v>
      </c>
      <c r="E102" s="120">
        <v>16</v>
      </c>
      <c r="F102" s="120">
        <v>4</v>
      </c>
      <c r="J102" s="121">
        <v>5592</v>
      </c>
      <c r="K102" s="121">
        <v>9450.75</v>
      </c>
      <c r="L102" s="123">
        <f t="shared" si="1"/>
      </c>
      <c r="M102" s="123">
        <f t="shared" si="4"/>
      </c>
      <c r="N102" s="124">
        <f t="shared" si="6"/>
      </c>
      <c r="O102" s="125" t="s">
        <v>252</v>
      </c>
      <c r="P102" s="120">
        <v>8</v>
      </c>
    </row>
    <row r="103">
      <c r="A103" s="119" t="s">
        <v>281</v>
      </c>
      <c r="B103" s="120" t="s">
        <v>234</v>
      </c>
      <c r="C103" s="120" t="s">
        <v>235</v>
      </c>
      <c r="D103" s="120">
        <v>4</v>
      </c>
      <c r="E103" s="120">
        <v>14</v>
      </c>
      <c r="F103" s="120">
        <v>6</v>
      </c>
      <c r="J103" s="121">
        <v>10780</v>
      </c>
      <c r="K103" s="120">
        <v>8846.19</v>
      </c>
      <c r="L103" s="123">
        <f t="shared" si="1"/>
      </c>
      <c r="M103" s="123">
        <f t="shared" si="4"/>
      </c>
      <c r="N103" s="124">
        <f t="shared" si="6"/>
      </c>
      <c r="O103" s="125" t="s">
        <v>279</v>
      </c>
      <c r="P103" s="120">
        <v>4</v>
      </c>
    </row>
    <row r="104">
      <c r="A104" s="119" t="s">
        <v>281</v>
      </c>
      <c r="B104" s="120" t="s">
        <v>237</v>
      </c>
      <c r="C104" s="120" t="s">
        <v>238</v>
      </c>
      <c r="D104" s="120">
        <v>4</v>
      </c>
      <c r="E104" s="120">
        <v>15</v>
      </c>
      <c r="F104" s="120">
        <v>4</v>
      </c>
      <c r="J104" s="121">
        <v>7752</v>
      </c>
      <c r="K104" s="121">
        <v>9413.66</v>
      </c>
      <c r="L104" s="123">
        <f t="shared" si="1"/>
      </c>
      <c r="M104" s="123">
        <f t="shared" si="4"/>
      </c>
      <c r="N104" s="134">
        <f t="shared" si="6"/>
      </c>
      <c r="O104" s="135"/>
      <c r="P104" s="121"/>
    </row>
    <row r="105">
      <c r="A105" s="126" t="s">
        <v>281</v>
      </c>
      <c r="B105" s="127" t="s">
        <v>239</v>
      </c>
      <c r="C105" s="128"/>
      <c r="D105" s="128">
        <f>SUM(D102:D104)</f>
      </c>
      <c r="E105" s="128">
        <f>SUM(E102:E104)</f>
      </c>
      <c r="F105" s="128">
        <f>SUM(F102:F104)</f>
      </c>
      <c r="J105" s="128">
        <f>SUM(J102:J104)</f>
      </c>
      <c r="K105" s="128">
        <f>SUM(K102:K104)</f>
      </c>
      <c r="L105" s="129">
        <f t="shared" si="1"/>
      </c>
      <c r="M105" s="130">
        <f t="shared" si="4"/>
      </c>
      <c r="N105" s="136">
        <f t="shared" si="6"/>
      </c>
      <c r="O105" s="137"/>
      <c r="P105" s="138">
        <f>SUM(P102:P103)</f>
      </c>
    </row>
    <row r="106">
      <c r="A106" s="119" t="s">
        <v>282</v>
      </c>
      <c r="B106" s="120" t="s">
        <v>237</v>
      </c>
      <c r="C106" s="120" t="s">
        <v>232</v>
      </c>
      <c r="D106" s="120">
        <v>4</v>
      </c>
      <c r="E106" s="120">
        <v>14</v>
      </c>
      <c r="F106" s="120">
        <v>8</v>
      </c>
      <c r="J106" s="121">
        <v>15504</v>
      </c>
      <c r="K106" s="121">
        <v>12542.54</v>
      </c>
      <c r="L106" s="123">
        <f t="shared" si="1"/>
      </c>
      <c r="M106" s="123">
        <f t="shared" si="4"/>
      </c>
      <c r="N106" s="124">
        <f t="shared" si="6"/>
      </c>
      <c r="O106" s="125" t="s">
        <v>236</v>
      </c>
      <c r="P106" s="120">
        <v>8</v>
      </c>
    </row>
    <row r="107">
      <c r="A107" s="119" t="s">
        <v>282</v>
      </c>
      <c r="B107" s="120" t="s">
        <v>234</v>
      </c>
      <c r="C107" s="120" t="s">
        <v>235</v>
      </c>
      <c r="D107" s="120">
        <v>4</v>
      </c>
      <c r="E107" s="120">
        <v>17</v>
      </c>
      <c r="F107" s="120">
        <v>7</v>
      </c>
      <c r="J107" s="121">
        <v>8071.559999999998</v>
      </c>
      <c r="K107" s="120">
        <v>7379.150000000001</v>
      </c>
      <c r="L107" s="123">
        <f t="shared" si="1"/>
      </c>
      <c r="M107" s="123">
        <f t="shared" si="4"/>
      </c>
      <c r="N107" s="124">
        <f t="shared" si="6"/>
      </c>
      <c r="O107" s="125" t="s">
        <v>279</v>
      </c>
      <c r="P107" s="120">
        <v>4</v>
      </c>
    </row>
    <row r="108">
      <c r="A108" s="119" t="s">
        <v>282</v>
      </c>
      <c r="B108" s="120" t="s">
        <v>278</v>
      </c>
      <c r="C108" s="120" t="s">
        <v>238</v>
      </c>
      <c r="D108" s="133">
        <f>4-0.5</f>
      </c>
      <c r="E108" s="120">
        <v>30</v>
      </c>
      <c r="F108" s="120">
        <v>19</v>
      </c>
      <c r="J108" s="121">
        <v>36304</v>
      </c>
      <c r="K108" s="121">
        <v>32861.8</v>
      </c>
      <c r="L108" s="123">
        <f t="shared" si="1"/>
      </c>
      <c r="M108" s="123">
        <f t="shared" si="4"/>
      </c>
      <c r="N108" s="134">
        <f t="shared" si="6"/>
      </c>
      <c r="O108" s="135"/>
      <c r="P108" s="121"/>
    </row>
    <row r="109">
      <c r="A109" s="126" t="s">
        <v>282</v>
      </c>
      <c r="B109" s="127" t="s">
        <v>239</v>
      </c>
      <c r="C109" s="128"/>
      <c r="D109" s="128">
        <f>SUM(D106:D108)</f>
      </c>
      <c r="E109" s="128">
        <f>SUM(E106:E108)</f>
      </c>
      <c r="F109" s="128">
        <f>SUM(F106:F108)</f>
      </c>
      <c r="J109" s="128">
        <f>SUM(J106:J108)</f>
      </c>
      <c r="K109" s="128">
        <f>SUM(K106:K108)</f>
      </c>
      <c r="L109" s="129">
        <f t="shared" si="1"/>
      </c>
      <c r="M109" s="130">
        <f t="shared" si="4"/>
      </c>
      <c r="N109" s="136">
        <f t="shared" si="6"/>
      </c>
      <c r="O109" s="137"/>
      <c r="P109" s="138">
        <f>SUM(P106:P107)</f>
      </c>
    </row>
    <row r="110">
      <c r="A110" s="116" t="s">
        <v>217</v>
      </c>
      <c r="B110" s="117" t="s">
        <v>218</v>
      </c>
      <c r="C110" s="117" t="s">
        <v>219</v>
      </c>
      <c r="D110" s="117" t="s">
        <v>220</v>
      </c>
      <c r="E110" s="117" t="s">
        <v>221</v>
      </c>
      <c r="F110" s="139" t="s">
        <v>283</v>
      </c>
      <c r="G110" s="139" t="s">
        <v>284</v>
      </c>
      <c r="H110" s="139" t="s">
        <v>285</v>
      </c>
      <c r="I110" s="139" t="s">
        <v>286</v>
      </c>
      <c r="J110" s="117" t="s">
        <v>223</v>
      </c>
      <c r="K110" s="117" t="s">
        <v>224</v>
      </c>
      <c r="L110" s="118" t="s">
        <v>225</v>
      </c>
      <c r="M110" s="118" t="s">
        <v>226</v>
      </c>
      <c r="N110" s="118" t="s">
        <v>227</v>
      </c>
      <c r="O110" s="118" t="s">
        <v>228</v>
      </c>
      <c r="P110" s="117" t="s">
        <v>229</v>
      </c>
      <c r="Q110" s="139" t="s">
        <v>287</v>
      </c>
      <c r="R110" s="139" t="s">
        <v>288</v>
      </c>
      <c r="S110" s="139" t="s">
        <v>289</v>
      </c>
    </row>
    <row r="111">
      <c r="A111" s="119" t="s">
        <v>290</v>
      </c>
      <c r="B111" s="120" t="s">
        <v>237</v>
      </c>
      <c r="C111" s="120" t="s">
        <v>258</v>
      </c>
      <c r="D111" s="120">
        <v>5</v>
      </c>
      <c r="E111" s="120">
        <v>20</v>
      </c>
      <c r="F111" s="120">
        <v>10</v>
      </c>
      <c r="G111" s="120">
        <v>2</v>
      </c>
      <c r="H111" s="120">
        <v>1</v>
      </c>
      <c r="I111" s="120">
        <v>7</v>
      </c>
      <c r="J111" s="121">
        <v>17384</v>
      </c>
      <c r="K111" s="121">
        <v>16674.57</v>
      </c>
      <c r="L111" s="123">
        <f t="shared" ref="L111:L122" si="2">J111/K111</f>
      </c>
      <c r="M111" s="123">
        <f t="shared" ref="M111:M122" si="5">J111/F111</f>
      </c>
      <c r="N111" s="124">
        <f t="shared" ref="N111:N122" si="7">K111/F111</f>
      </c>
      <c r="O111" s="125" t="s">
        <v>252</v>
      </c>
      <c r="P111" s="120">
        <v>8</v>
      </c>
      <c r="Q111" s="140">
        <f t="shared" ref="Q111:Q122" si="8">G111/F111</f>
      </c>
      <c r="R111" s="140">
        <f t="shared" ref="R111:R122" si="0">H111/F111</f>
      </c>
      <c r="S111" s="140">
        <f t="shared" ref="S111:S122" si="3">I111/F111</f>
      </c>
    </row>
    <row r="112">
      <c r="A112" s="119" t="s">
        <v>290</v>
      </c>
      <c r="B112" s="120" t="s">
        <v>234</v>
      </c>
      <c r="C112" s="120" t="s">
        <v>264</v>
      </c>
      <c r="D112" s="120">
        <v>5</v>
      </c>
      <c r="E112" s="120">
        <v>15</v>
      </c>
      <c r="F112" s="120">
        <v>8</v>
      </c>
      <c r="G112" s="120">
        <v>2</v>
      </c>
      <c r="H112" s="120">
        <v>2</v>
      </c>
      <c r="I112" s="120">
        <v>4</v>
      </c>
      <c r="J112" s="121">
        <v>11904</v>
      </c>
      <c r="K112" s="120">
        <v>11230.51</v>
      </c>
      <c r="L112" s="123">
        <f t="shared" si="2"/>
      </c>
      <c r="M112" s="123">
        <f t="shared" si="5"/>
      </c>
      <c r="N112" s="124">
        <f t="shared" si="7"/>
      </c>
      <c r="O112" s="125" t="s">
        <v>259</v>
      </c>
      <c r="P112" s="120">
        <v>4</v>
      </c>
      <c r="Q112" s="140">
        <f t="shared" si="8"/>
      </c>
      <c r="R112" s="140">
        <f t="shared" si="0"/>
      </c>
      <c r="S112" s="140">
        <f t="shared" si="3"/>
      </c>
    </row>
    <row r="113">
      <c r="A113" s="119" t="s">
        <v>290</v>
      </c>
      <c r="B113" s="120" t="s">
        <v>273</v>
      </c>
      <c r="C113" s="120" t="s">
        <v>271</v>
      </c>
      <c r="D113" s="120">
        <v>2</v>
      </c>
      <c r="E113" s="120">
        <v>7</v>
      </c>
      <c r="F113" s="120">
        <v>2</v>
      </c>
      <c r="G113" s="120">
        <v>0</v>
      </c>
      <c r="H113" s="120">
        <v>0</v>
      </c>
      <c r="I113" s="120">
        <v>1</v>
      </c>
      <c r="J113" s="121">
        <v>2376</v>
      </c>
      <c r="K113" s="121">
        <v>3995.96</v>
      </c>
      <c r="L113" s="123">
        <f t="shared" si="2"/>
      </c>
      <c r="M113" s="123">
        <f t="shared" si="5"/>
      </c>
      <c r="N113" s="134">
        <f t="shared" si="7"/>
      </c>
      <c r="O113" s="135"/>
      <c r="P113" s="121"/>
      <c r="Q113" s="140">
        <f t="shared" si="8"/>
      </c>
      <c r="R113" s="140">
        <f t="shared" si="0"/>
      </c>
      <c r="S113" s="140">
        <f t="shared" si="3"/>
      </c>
    </row>
    <row r="114">
      <c r="A114" s="126" t="s">
        <v>290</v>
      </c>
      <c r="B114" s="127" t="s">
        <v>239</v>
      </c>
      <c r="C114" s="128"/>
      <c r="D114" s="128">
        <f>SUM(D111:D113)</f>
      </c>
      <c r="E114" s="128">
        <f>SUM(E111:E113)</f>
      </c>
      <c r="F114" s="128">
        <f>SUM(F111:F113)</f>
      </c>
      <c r="G114" s="128">
        <f>SUM(G111:G113)</f>
      </c>
      <c r="H114" s="128">
        <f>SUM(H111:H113)</f>
      </c>
      <c r="I114" s="128">
        <f>SUM(I111:I113)</f>
      </c>
      <c r="J114" s="128">
        <f>SUM(J111:J113)</f>
      </c>
      <c r="K114" s="128">
        <f>SUM(K111:K113)</f>
      </c>
      <c r="L114" s="129">
        <f t="shared" si="2"/>
      </c>
      <c r="M114" s="130">
        <f t="shared" si="5"/>
      </c>
      <c r="N114" s="136">
        <f t="shared" si="7"/>
      </c>
      <c r="O114" s="137"/>
      <c r="P114" s="138">
        <f>SUM(P111:P113)</f>
      </c>
      <c r="Q114" s="141">
        <f t="shared" si="8"/>
      </c>
      <c r="R114" s="141">
        <f t="shared" si="0"/>
      </c>
      <c r="S114" s="141">
        <f t="shared" si="3"/>
      </c>
    </row>
    <row r="115">
      <c r="A115" s="119" t="s">
        <v>291</v>
      </c>
      <c r="B115" s="120" t="s">
        <v>237</v>
      </c>
      <c r="C115" s="120" t="s">
        <v>258</v>
      </c>
      <c r="D115" s="120">
        <v>5</v>
      </c>
      <c r="E115" s="120">
        <v>12</v>
      </c>
      <c r="F115" s="120">
        <v>4</v>
      </c>
      <c r="G115" s="120">
        <v>1</v>
      </c>
      <c r="H115" s="120">
        <v>0</v>
      </c>
      <c r="I115" s="120">
        <v>3</v>
      </c>
      <c r="J115" s="121">
        <v>7272</v>
      </c>
      <c r="K115" s="121">
        <v>8818.71</v>
      </c>
      <c r="L115" s="123">
        <f t="shared" si="2"/>
      </c>
      <c r="M115" s="123">
        <f t="shared" si="5"/>
      </c>
      <c r="N115" s="124">
        <f t="shared" si="7"/>
      </c>
      <c r="O115" s="125" t="s">
        <v>252</v>
      </c>
      <c r="P115" s="120">
        <v>8.5</v>
      </c>
      <c r="Q115" s="140">
        <f t="shared" si="8"/>
      </c>
      <c r="R115" s="140">
        <f t="shared" si="0"/>
      </c>
      <c r="S115" s="140">
        <f t="shared" si="3"/>
      </c>
    </row>
    <row r="116">
      <c r="A116" s="119" t="s">
        <v>291</v>
      </c>
      <c r="B116" s="120" t="s">
        <v>234</v>
      </c>
      <c r="C116" s="120" t="s">
        <v>264</v>
      </c>
      <c r="D116" s="120">
        <v>5</v>
      </c>
      <c r="E116" s="120">
        <v>7</v>
      </c>
      <c r="F116" s="120">
        <v>4</v>
      </c>
      <c r="G116" s="120">
        <v>0</v>
      </c>
      <c r="H116" s="120">
        <v>1</v>
      </c>
      <c r="I116" s="120">
        <v>2</v>
      </c>
      <c r="J116" s="121">
        <v>5464</v>
      </c>
      <c r="K116" s="120">
        <v>6963.37</v>
      </c>
      <c r="L116" s="123">
        <f t="shared" si="2"/>
      </c>
      <c r="M116" s="123">
        <f t="shared" si="5"/>
      </c>
      <c r="N116" s="124">
        <f t="shared" si="7"/>
      </c>
      <c r="O116" s="125" t="s">
        <v>259</v>
      </c>
      <c r="P116" s="120">
        <v>3.5</v>
      </c>
      <c r="Q116" s="140">
        <f t="shared" si="8"/>
      </c>
      <c r="R116" s="140">
        <f t="shared" si="0"/>
      </c>
      <c r="S116" s="140">
        <f t="shared" si="3"/>
      </c>
    </row>
    <row r="117">
      <c r="A117" s="119" t="s">
        <v>291</v>
      </c>
      <c r="B117" s="120" t="s">
        <v>273</v>
      </c>
      <c r="C117" s="120" t="s">
        <v>271</v>
      </c>
      <c r="D117" s="120">
        <v>2</v>
      </c>
      <c r="E117" s="120">
        <v>3</v>
      </c>
      <c r="F117" s="120">
        <v>2</v>
      </c>
      <c r="G117" s="120">
        <v>1</v>
      </c>
      <c r="H117" s="120">
        <v>0</v>
      </c>
      <c r="I117" s="120">
        <v>1</v>
      </c>
      <c r="J117" s="121">
        <v>2736</v>
      </c>
      <c r="K117" s="121">
        <v>1570.88</v>
      </c>
      <c r="L117" s="123">
        <f t="shared" si="2"/>
      </c>
      <c r="M117" s="123">
        <f t="shared" si="5"/>
      </c>
      <c r="N117" s="134">
        <f t="shared" si="7"/>
      </c>
      <c r="O117" s="135"/>
      <c r="P117" s="121"/>
      <c r="Q117" s="140">
        <f t="shared" si="8"/>
      </c>
      <c r="R117" s="140">
        <f t="shared" si="0"/>
      </c>
      <c r="S117" s="140">
        <f t="shared" si="3"/>
      </c>
    </row>
    <row r="118">
      <c r="A118" s="126" t="s">
        <v>291</v>
      </c>
      <c r="B118" s="127" t="s">
        <v>239</v>
      </c>
      <c r="C118" s="128"/>
      <c r="D118" s="128">
        <f>SUM(D115:D117)</f>
      </c>
      <c r="E118" s="128">
        <f>SUM(E115:E117)</f>
      </c>
      <c r="F118" s="128">
        <f>SUM(F115:F117)</f>
      </c>
      <c r="G118" s="128">
        <f>SUM(G115:G117)</f>
      </c>
      <c r="H118" s="128">
        <f>SUM(H115:H117)</f>
      </c>
      <c r="I118" s="128">
        <f>SUM(I115:I117)</f>
      </c>
      <c r="J118" s="128">
        <f>SUM(J115:J117)</f>
      </c>
      <c r="K118" s="128">
        <f>SUM(K115:K117)</f>
      </c>
      <c r="L118" s="129">
        <f t="shared" si="2"/>
      </c>
      <c r="M118" s="130">
        <f t="shared" si="5"/>
      </c>
      <c r="N118" s="136">
        <f t="shared" si="7"/>
      </c>
      <c r="O118" s="137"/>
      <c r="P118" s="138">
        <f>SUM(P115:P117)</f>
      </c>
      <c r="Q118" s="141">
        <f t="shared" si="8"/>
      </c>
      <c r="R118" s="141">
        <f t="shared" si="0"/>
      </c>
      <c r="S118" s="141">
        <f t="shared" si="3"/>
      </c>
    </row>
    <row r="119">
      <c r="A119" s="119" t="s">
        <v>292</v>
      </c>
      <c r="B119" s="120" t="s">
        <v>234</v>
      </c>
      <c r="C119" s="120" t="s">
        <v>258</v>
      </c>
      <c r="D119" s="133">
        <f>5-2</f>
      </c>
      <c r="E119" s="120">
        <v>17</v>
      </c>
      <c r="F119" s="120">
        <v>8</v>
      </c>
      <c r="G119" s="120">
        <v>0</v>
      </c>
      <c r="H119" s="120">
        <v>1</v>
      </c>
      <c r="I119" s="120">
        <v>7</v>
      </c>
      <c r="J119" s="121">
        <v>16824</v>
      </c>
      <c r="K119" s="121">
        <v>12103.099999999999</v>
      </c>
      <c r="L119" s="123">
        <f t="shared" si="2"/>
      </c>
      <c r="M119" s="123">
        <f t="shared" si="5"/>
      </c>
      <c r="N119" s="124">
        <f t="shared" si="7"/>
      </c>
      <c r="O119" s="125" t="s">
        <v>252</v>
      </c>
      <c r="P119" s="120">
        <v>8</v>
      </c>
      <c r="Q119" s="140">
        <f t="shared" si="8"/>
      </c>
      <c r="R119" s="140">
        <f t="shared" si="0"/>
      </c>
      <c r="S119" s="140">
        <f t="shared" si="3"/>
      </c>
    </row>
    <row r="120">
      <c r="A120" s="119" t="s">
        <v>292</v>
      </c>
      <c r="B120" s="120" t="s">
        <v>237</v>
      </c>
      <c r="C120" s="120" t="s">
        <v>264</v>
      </c>
      <c r="D120" s="133">
        <f>5-1</f>
      </c>
      <c r="E120" s="120">
        <v>13</v>
      </c>
      <c r="F120" s="120">
        <v>5</v>
      </c>
      <c r="G120" s="120">
        <v>0</v>
      </c>
      <c r="H120" s="120">
        <v>0</v>
      </c>
      <c r="I120" s="120">
        <v>5</v>
      </c>
      <c r="J120" s="121">
        <v>11340</v>
      </c>
      <c r="K120" s="120">
        <v>8845.62</v>
      </c>
      <c r="L120" s="123">
        <f t="shared" si="2"/>
      </c>
      <c r="M120" s="123">
        <f t="shared" si="5"/>
      </c>
      <c r="N120" s="124">
        <f t="shared" si="7"/>
      </c>
      <c r="O120" s="125" t="s">
        <v>233</v>
      </c>
      <c r="P120" s="120">
        <v>4</v>
      </c>
      <c r="Q120" s="140">
        <f t="shared" si="8"/>
      </c>
      <c r="R120" s="140">
        <f t="shared" si="0"/>
      </c>
      <c r="S120" s="140">
        <f t="shared" si="3"/>
      </c>
    </row>
    <row r="121">
      <c r="A121" s="119" t="s">
        <v>292</v>
      </c>
      <c r="B121" s="120" t="s">
        <v>273</v>
      </c>
      <c r="C121" s="120" t="s">
        <v>271</v>
      </c>
      <c r="D121" s="120">
        <v>2</v>
      </c>
      <c r="E121" s="120">
        <v>5</v>
      </c>
      <c r="F121" s="120">
        <v>1</v>
      </c>
      <c r="G121" s="120">
        <v>0</v>
      </c>
      <c r="H121" s="120">
        <v>0</v>
      </c>
      <c r="I121" s="120">
        <v>1</v>
      </c>
      <c r="J121" s="121">
        <v>2268</v>
      </c>
      <c r="K121" s="121">
        <v>2747.15</v>
      </c>
      <c r="L121" s="123">
        <f t="shared" si="2"/>
      </c>
      <c r="M121" s="123">
        <f t="shared" si="5"/>
      </c>
      <c r="N121" s="134">
        <f t="shared" si="7"/>
      </c>
      <c r="O121" s="135"/>
      <c r="P121" s="121"/>
      <c r="Q121" s="140">
        <f t="shared" si="8"/>
      </c>
      <c r="R121" s="140">
        <f t="shared" si="0"/>
      </c>
      <c r="S121" s="140">
        <f t="shared" si="3"/>
      </c>
    </row>
    <row r="122">
      <c r="A122" s="126" t="s">
        <v>292</v>
      </c>
      <c r="B122" s="127" t="s">
        <v>239</v>
      </c>
      <c r="C122" s="128"/>
      <c r="D122" s="128">
        <f>SUM(D119:D121)</f>
      </c>
      <c r="E122" s="128">
        <f>SUM(E119:E121)</f>
      </c>
      <c r="F122" s="128">
        <f>SUM(F119:F121)</f>
      </c>
      <c r="G122" s="128">
        <f>SUM(G119:G121)</f>
      </c>
      <c r="H122" s="128">
        <f>SUM(H119:H121)</f>
      </c>
      <c r="I122" s="128">
        <f>SUM(I119:I121)</f>
      </c>
      <c r="J122" s="128">
        <f>SUM(J119:J121)</f>
      </c>
      <c r="K122" s="128">
        <f>SUM(K119:K121)</f>
      </c>
      <c r="L122" s="129">
        <f t="shared" si="2"/>
      </c>
      <c r="M122" s="130">
        <f t="shared" si="5"/>
      </c>
      <c r="N122" s="136">
        <f t="shared" si="7"/>
      </c>
      <c r="O122" s="137"/>
      <c r="P122" s="138">
        <f>SUM(P119:P121)</f>
      </c>
      <c r="Q122" s="141">
        <f t="shared" si="8"/>
      </c>
      <c r="R122" s="141">
        <f t="shared" si="0"/>
      </c>
      <c r="S122" s="141">
        <f t="shared" si="3"/>
      </c>
    </row>
    <row r="123">
      <c r="A123" s="142"/>
      <c r="C123" s="142"/>
      <c r="D123" s="142"/>
      <c r="F123" s="142"/>
      <c r="H123" s="142"/>
      <c r="I123" s="142"/>
    </row>
    <row r="124">
      <c r="A124" s="142"/>
      <c r="C124" s="142"/>
      <c r="D124" s="142"/>
      <c r="E124" s="142"/>
      <c r="F124" s="142"/>
      <c r="H124" s="142"/>
      <c r="I124" s="142"/>
    </row>
    <row r="125">
      <c r="A125" s="142"/>
      <c r="B125" s="142"/>
      <c r="C125" s="142"/>
      <c r="D125" s="142"/>
      <c r="E125" s="142"/>
      <c r="F125" s="142"/>
      <c r="H125" s="142"/>
      <c r="I125" s="142"/>
      <c r="K125" s="142"/>
    </row>
    <row r="126">
      <c r="A126" s="142"/>
      <c r="C126" s="142"/>
      <c r="D126" s="142"/>
      <c r="E126" s="142"/>
      <c r="F126" s="142"/>
      <c r="G126" s="142"/>
      <c r="H126" s="142"/>
      <c r="I126" s="142"/>
    </row>
    <row r="127">
      <c r="C127" s="142"/>
      <c r="E127" s="142"/>
      <c r="F127" s="142"/>
    </row>
    <row r="128">
      <c r="C128" s="142"/>
      <c r="E128" s="142"/>
      <c r="F128" s="142"/>
      <c r="H128" s="142"/>
      <c r="I128" s="142"/>
    </row>
    <row r="129">
      <c r="F129" s="142"/>
      <c r="G129" s="142"/>
      <c r="H129" s="142"/>
      <c r="I129" s="142"/>
      <c r="K129" s="142"/>
    </row>
    <row r="130"/>
    <row r="131">
      <c r="E131" s="142"/>
      <c r="F131" s="142"/>
      <c r="H131" s="142"/>
      <c r="I131" s="142"/>
    </row>
    <row r="132">
      <c r="F132" s="142"/>
      <c r="G132" s="142"/>
      <c r="H132" s="142"/>
      <c r="I132" s="142"/>
    </row>
    <row r="133"/>
    <row r="134">
      <c r="E134" s="142"/>
      <c r="F134" s="142"/>
      <c r="H134" s="142"/>
      <c r="I134" s="142"/>
    </row>
    <row r="135">
      <c r="F135" s="142"/>
      <c r="G135" s="142"/>
      <c r="H135" s="142"/>
      <c r="I135" s="142"/>
    </row>
    <row r="136"/>
    <row r="137">
      <c r="E137" s="142"/>
      <c r="F137" s="142"/>
      <c r="H137" s="142"/>
      <c r="I137" s="142"/>
    </row>
    <row r="138">
      <c r="F138" s="142"/>
      <c r="G138" s="142"/>
      <c r="H138" s="142"/>
      <c r="I138" s="142"/>
    </row>
    <row r="139"/>
    <row r="140">
      <c r="E140" s="142"/>
      <c r="F140" s="142"/>
      <c r="H140" s="142"/>
      <c r="I140" s="142"/>
    </row>
    <row r="141">
      <c r="F141" s="142"/>
      <c r="G141" s="142"/>
      <c r="H141" s="142"/>
      <c r="I141" s="142"/>
    </row>
    <row r="142">
      <c r="F142" s="142"/>
      <c r="H142" s="142"/>
      <c r="I142" s="142"/>
    </row>
  </sheetData>
  <autoFilter ref="A1:T12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</cols>
  <sheetData>
    <row r="1">
      <c r="A1" s="143" t="s">
        <v>293</v>
      </c>
      <c r="B1" s="144" t="s">
        <v>294</v>
      </c>
      <c r="C1" s="144" t="s">
        <v>295</v>
      </c>
      <c r="D1" s="144" t="s">
        <v>296</v>
      </c>
      <c r="E1" s="144" t="s">
        <v>297</v>
      </c>
      <c r="F1" s="144" t="s">
        <v>298</v>
      </c>
      <c r="G1" s="144" t="s">
        <v>299</v>
      </c>
      <c r="H1" s="144" t="s">
        <v>300</v>
      </c>
      <c r="I1" s="145" t="s">
        <v>301</v>
      </c>
      <c r="J1" s="145" t="s">
        <v>302</v>
      </c>
      <c r="K1" s="145" t="s">
        <v>303</v>
      </c>
      <c r="L1" s="145" t="s">
        <v>304</v>
      </c>
      <c r="M1" s="144" t="s">
        <v>305</v>
      </c>
      <c r="N1" s="146"/>
      <c r="O1" s="146"/>
      <c r="P1" s="146"/>
    </row>
    <row r="2">
      <c r="A2" s="147" t="s">
        <v>306</v>
      </c>
      <c r="B2" s="148" t="s">
        <v>307</v>
      </c>
      <c r="C2" s="148" t="s">
        <v>308</v>
      </c>
      <c r="D2" s="148">
        <v>4</v>
      </c>
      <c r="E2" s="148">
        <v>14</v>
      </c>
      <c r="F2" s="148">
        <v>1</v>
      </c>
      <c r="G2" s="149">
        <v>468</v>
      </c>
      <c r="H2" s="149">
        <v>3272.2</v>
      </c>
      <c r="I2" s="150">
        <f t="shared" ref="I2:I51" si="1">G2/H2</f>
      </c>
      <c r="J2" s="151">
        <f t="shared" ref="J2:J51" si="3">G2/F2</f>
      </c>
      <c r="K2" s="152">
        <f t="shared" ref="K2:K51" si="2">H2/F2</f>
      </c>
      <c r="L2" s="153" t="s">
        <v>309</v>
      </c>
      <c r="M2" s="153">
        <v>6</v>
      </c>
      <c r="N2" s="146"/>
      <c r="O2" s="146"/>
      <c r="P2" s="146"/>
    </row>
    <row r="3">
      <c r="A3" s="154" t="s">
        <v>306</v>
      </c>
      <c r="B3" s="148" t="s">
        <v>310</v>
      </c>
      <c r="C3" s="148" t="s">
        <v>311</v>
      </c>
      <c r="D3" s="148">
        <v>2</v>
      </c>
      <c r="E3" s="148">
        <v>10</v>
      </c>
      <c r="F3" s="148">
        <v>3</v>
      </c>
      <c r="G3" s="149">
        <v>4164</v>
      </c>
      <c r="H3" s="149">
        <v>5577.299999999999</v>
      </c>
      <c r="I3" s="151">
        <f t="shared" si="1"/>
      </c>
      <c r="J3" s="151">
        <f t="shared" si="3"/>
      </c>
      <c r="K3" s="152">
        <f t="shared" si="2"/>
      </c>
      <c r="L3" s="155"/>
      <c r="M3" s="155"/>
      <c r="N3" s="146"/>
      <c r="O3" s="146"/>
      <c r="P3" s="146"/>
    </row>
    <row r="4">
      <c r="A4" s="156" t="s">
        <v>306</v>
      </c>
      <c r="B4" s="157"/>
      <c r="C4" s="158"/>
      <c r="D4" s="158">
        <f>SUM(D2:D3)</f>
      </c>
      <c r="E4" s="158">
        <f>SUM(E2:E3)</f>
      </c>
      <c r="F4" s="158">
        <f>SUM(F2:F3)</f>
      </c>
      <c r="G4" s="159">
        <f>SUM(G2:G3)</f>
      </c>
      <c r="H4" s="158">
        <f>SUM(H2:H3)</f>
      </c>
      <c r="I4" s="160">
        <f t="shared" si="1"/>
      </c>
      <c r="J4" s="161">
        <f t="shared" si="3"/>
      </c>
      <c r="K4" s="161">
        <f t="shared" si="2"/>
      </c>
      <c r="L4" s="162"/>
      <c r="M4" s="157">
        <f>SUM(M2:M3)</f>
      </c>
      <c r="N4" s="146"/>
      <c r="O4" s="146"/>
      <c r="P4" s="146"/>
    </row>
    <row r="5">
      <c r="A5" s="147" t="s">
        <v>312</v>
      </c>
      <c r="B5" s="148" t="s">
        <v>307</v>
      </c>
      <c r="C5" s="148" t="s">
        <v>308</v>
      </c>
      <c r="D5" s="148">
        <v>4</v>
      </c>
      <c r="E5" s="148">
        <v>32</v>
      </c>
      <c r="F5" s="148">
        <v>13</v>
      </c>
      <c r="G5" s="149">
        <v>21188</v>
      </c>
      <c r="H5" s="149">
        <v>19861.520000000004</v>
      </c>
      <c r="I5" s="150">
        <f t="shared" si="1"/>
      </c>
      <c r="J5" s="151">
        <f t="shared" si="3"/>
      </c>
      <c r="K5" s="152">
        <f t="shared" si="2"/>
      </c>
      <c r="L5" s="153" t="s">
        <v>313</v>
      </c>
      <c r="M5" s="153">
        <v>6</v>
      </c>
    </row>
    <row r="6">
      <c r="A6" s="147" t="s">
        <v>312</v>
      </c>
      <c r="B6" s="148" t="s">
        <v>310</v>
      </c>
      <c r="C6" s="148" t="s">
        <v>311</v>
      </c>
      <c r="D6" s="148">
        <v>2</v>
      </c>
      <c r="E6" s="148">
        <v>7</v>
      </c>
      <c r="F6" s="148">
        <v>3</v>
      </c>
      <c r="G6" s="149">
        <v>3976</v>
      </c>
      <c r="H6" s="149">
        <v>6370.07</v>
      </c>
      <c r="I6" s="151">
        <f t="shared" si="1"/>
      </c>
      <c r="J6" s="151">
        <f t="shared" si="3"/>
      </c>
      <c r="K6" s="152">
        <f t="shared" si="2"/>
      </c>
      <c r="L6" s="155"/>
      <c r="M6" s="155"/>
    </row>
    <row r="7">
      <c r="A7" s="163" t="s">
        <v>312</v>
      </c>
      <c r="B7" s="157"/>
      <c r="C7" s="158"/>
      <c r="D7" s="158">
        <f>SUM(D5:D6)</f>
      </c>
      <c r="E7" s="158">
        <f>SUM(E5:E6)</f>
      </c>
      <c r="F7" s="158">
        <f>SUM(F5:F6)</f>
      </c>
      <c r="G7" s="159">
        <f>SUM(G5:G6)</f>
      </c>
      <c r="H7" s="158">
        <f>SUM(H5:H6)</f>
      </c>
      <c r="I7" s="160">
        <f t="shared" si="1"/>
      </c>
      <c r="J7" s="161">
        <f t="shared" si="3"/>
      </c>
      <c r="K7" s="161">
        <f t="shared" si="2"/>
      </c>
      <c r="L7" s="162"/>
      <c r="M7" s="157">
        <f>SUM(M5:M6)</f>
      </c>
    </row>
    <row r="8">
      <c r="A8" s="147" t="s">
        <v>314</v>
      </c>
      <c r="B8" s="148" t="s">
        <v>307</v>
      </c>
      <c r="C8" s="148" t="s">
        <v>308</v>
      </c>
      <c r="D8" s="148">
        <v>4</v>
      </c>
      <c r="E8" s="148">
        <v>69</v>
      </c>
      <c r="F8" s="148">
        <v>28</v>
      </c>
      <c r="G8" s="149">
        <v>39264</v>
      </c>
      <c r="H8" s="149">
        <v>40225.87</v>
      </c>
      <c r="I8" s="150">
        <f t="shared" si="1"/>
      </c>
      <c r="J8" s="151">
        <f t="shared" si="3"/>
      </c>
      <c r="K8" s="152">
        <f t="shared" si="2"/>
      </c>
      <c r="L8" s="153" t="s">
        <v>315</v>
      </c>
      <c r="M8" s="153">
        <v>6</v>
      </c>
    </row>
    <row r="9">
      <c r="A9" s="147" t="s">
        <v>314</v>
      </c>
      <c r="B9" s="148" t="s">
        <v>310</v>
      </c>
      <c r="C9" s="148" t="s">
        <v>311</v>
      </c>
      <c r="D9" s="148">
        <v>2</v>
      </c>
      <c r="E9" s="148">
        <v>16</v>
      </c>
      <c r="F9" s="148">
        <v>2</v>
      </c>
      <c r="G9" s="149">
        <v>4536</v>
      </c>
      <c r="H9" s="149">
        <v>5930.1900000000005</v>
      </c>
      <c r="I9" s="151">
        <f t="shared" si="1"/>
      </c>
      <c r="J9" s="151">
        <f t="shared" si="3"/>
      </c>
      <c r="K9" s="152">
        <f t="shared" si="2"/>
      </c>
      <c r="L9" s="155"/>
      <c r="M9" s="155"/>
    </row>
    <row r="10">
      <c r="A10" s="163" t="s">
        <v>314</v>
      </c>
      <c r="B10" s="157"/>
      <c r="C10" s="158"/>
      <c r="D10" s="158">
        <f>SUM(D8:D9)</f>
      </c>
      <c r="E10" s="158">
        <f>SUM(E8:E9)</f>
      </c>
      <c r="F10" s="158">
        <f>SUM(F8:F9)</f>
      </c>
      <c r="G10" s="159">
        <f>SUM(G8:G9)</f>
      </c>
      <c r="H10" s="158">
        <f>SUM(H8:H9)</f>
      </c>
      <c r="I10" s="160">
        <f t="shared" si="1"/>
      </c>
      <c r="J10" s="161">
        <f t="shared" si="3"/>
      </c>
      <c r="K10" s="161">
        <f t="shared" si="2"/>
      </c>
      <c r="L10" s="162"/>
      <c r="M10" s="157">
        <f>SUM(M8:M9)</f>
      </c>
    </row>
    <row r="11">
      <c r="A11" s="147" t="s">
        <v>316</v>
      </c>
      <c r="B11" s="148" t="s">
        <v>307</v>
      </c>
      <c r="C11" s="148" t="s">
        <v>317</v>
      </c>
      <c r="D11" s="148">
        <v>3</v>
      </c>
      <c r="E11" s="148">
        <v>19</v>
      </c>
      <c r="F11" s="148">
        <v>5</v>
      </c>
      <c r="G11" s="149">
        <v>7301</v>
      </c>
      <c r="H11" s="149">
        <v>12221.789999999999</v>
      </c>
      <c r="I11" s="150">
        <f t="shared" si="1"/>
      </c>
      <c r="J11" s="151">
        <f t="shared" si="3"/>
      </c>
      <c r="K11" s="152">
        <f t="shared" si="2"/>
      </c>
      <c r="L11" s="153" t="s">
        <v>315</v>
      </c>
      <c r="M11" s="153">
        <v>6</v>
      </c>
    </row>
    <row r="12">
      <c r="A12" s="147" t="s">
        <v>316</v>
      </c>
      <c r="B12" s="148" t="s">
        <v>310</v>
      </c>
      <c r="C12" s="148" t="s">
        <v>318</v>
      </c>
      <c r="D12" s="148">
        <v>3</v>
      </c>
      <c r="E12" s="148">
        <v>24</v>
      </c>
      <c r="F12" s="148">
        <v>11</v>
      </c>
      <c r="G12" s="149">
        <v>17028</v>
      </c>
      <c r="H12" s="149">
        <v>9840.579999999998</v>
      </c>
      <c r="I12" s="151">
        <f t="shared" si="1"/>
      </c>
      <c r="J12" s="151">
        <f t="shared" si="3"/>
      </c>
      <c r="K12" s="152">
        <f t="shared" si="2"/>
      </c>
      <c r="L12" s="155"/>
      <c r="M12" s="155"/>
    </row>
    <row r="13">
      <c r="A13" s="163" t="s">
        <v>316</v>
      </c>
      <c r="B13" s="157"/>
      <c r="C13" s="158"/>
      <c r="D13" s="158">
        <f>SUM(D11:D12)</f>
      </c>
      <c r="E13" s="158">
        <f>SUM(E11:E12)</f>
      </c>
      <c r="F13" s="158">
        <f>SUM(F11:F12)</f>
      </c>
      <c r="G13" s="159">
        <f>SUM(G11:G12)</f>
      </c>
      <c r="H13" s="158">
        <f>SUM(H11:H12)</f>
      </c>
      <c r="I13" s="160">
        <f t="shared" si="1"/>
      </c>
      <c r="J13" s="161">
        <f t="shared" si="3"/>
      </c>
      <c r="K13" s="161">
        <f t="shared" si="2"/>
      </c>
      <c r="L13" s="162"/>
      <c r="M13" s="157">
        <f>SUM(M11:M12)</f>
      </c>
    </row>
    <row r="14">
      <c r="A14" s="147" t="s">
        <v>319</v>
      </c>
      <c r="B14" s="148" t="s">
        <v>307</v>
      </c>
      <c r="C14" s="148" t="s">
        <v>317</v>
      </c>
      <c r="D14" s="148">
        <v>3</v>
      </c>
      <c r="E14" s="148">
        <v>31</v>
      </c>
      <c r="F14" s="148">
        <v>12</v>
      </c>
      <c r="G14" s="149">
        <v>15257</v>
      </c>
      <c r="H14" s="149">
        <v>13829.5</v>
      </c>
      <c r="I14" s="150">
        <f t="shared" si="1"/>
      </c>
      <c r="J14" s="151">
        <f t="shared" si="3"/>
      </c>
      <c r="K14" s="152">
        <f t="shared" si="2"/>
      </c>
      <c r="L14" s="153" t="s">
        <v>315</v>
      </c>
      <c r="M14" s="153">
        <v>8</v>
      </c>
    </row>
    <row r="15">
      <c r="A15" s="147" t="s">
        <v>319</v>
      </c>
      <c r="B15" s="148" t="s">
        <v>310</v>
      </c>
      <c r="C15" s="148" t="s">
        <v>320</v>
      </c>
      <c r="D15" s="148">
        <v>5</v>
      </c>
      <c r="E15" s="148">
        <v>57</v>
      </c>
      <c r="F15" s="148">
        <v>21</v>
      </c>
      <c r="G15" s="149">
        <v>35080</v>
      </c>
      <c r="H15" s="149">
        <v>34109.630000000005</v>
      </c>
      <c r="I15" s="151">
        <f t="shared" si="1"/>
      </c>
      <c r="J15" s="151">
        <f t="shared" si="3"/>
      </c>
      <c r="K15" s="152">
        <f t="shared" si="2"/>
      </c>
      <c r="L15" s="155"/>
      <c r="M15" s="155"/>
    </row>
    <row r="16">
      <c r="A16" s="163" t="s">
        <v>319</v>
      </c>
      <c r="B16" s="157"/>
      <c r="C16" s="158"/>
      <c r="D16" s="158">
        <f>SUM(D14:D15)</f>
      </c>
      <c r="E16" s="158">
        <f>SUM(E14:E15)</f>
      </c>
      <c r="F16" s="158">
        <f>SUM(F14:F15)</f>
      </c>
      <c r="G16" s="159">
        <f>SUM(G14:G15)</f>
      </c>
      <c r="H16" s="158">
        <f>SUM(H14:H15)</f>
      </c>
      <c r="I16" s="160">
        <f t="shared" si="1"/>
      </c>
      <c r="J16" s="161">
        <f t="shared" si="3"/>
      </c>
      <c r="K16" s="161">
        <f t="shared" si="2"/>
      </c>
      <c r="L16" s="162"/>
      <c r="M16" s="157">
        <f>SUM(M14:M15)</f>
      </c>
    </row>
    <row r="17">
      <c r="A17" s="147" t="s">
        <v>321</v>
      </c>
      <c r="B17" s="148" t="s">
        <v>307</v>
      </c>
      <c r="C17" s="148" t="s">
        <v>317</v>
      </c>
      <c r="D17" s="148">
        <v>3</v>
      </c>
      <c r="E17" s="148">
        <v>19</v>
      </c>
      <c r="F17" s="148">
        <v>9</v>
      </c>
      <c r="G17" s="149">
        <v>12012</v>
      </c>
      <c r="H17" s="149">
        <v>15755.1</v>
      </c>
      <c r="I17" s="150">
        <f t="shared" si="1"/>
      </c>
      <c r="J17" s="151">
        <f t="shared" si="3"/>
      </c>
      <c r="K17" s="152">
        <f t="shared" si="2"/>
      </c>
      <c r="L17" s="153" t="s">
        <v>315</v>
      </c>
      <c r="M17" s="153">
        <v>8</v>
      </c>
    </row>
    <row r="18">
      <c r="A18" s="147" t="s">
        <v>321</v>
      </c>
      <c r="B18" s="148" t="s">
        <v>310</v>
      </c>
      <c r="C18" s="148" t="s">
        <v>320</v>
      </c>
      <c r="D18" s="148">
        <v>5</v>
      </c>
      <c r="E18" s="148">
        <v>39</v>
      </c>
      <c r="F18" s="148">
        <v>16</v>
      </c>
      <c r="G18" s="149">
        <v>29964</v>
      </c>
      <c r="H18" s="149">
        <v>23252.79</v>
      </c>
      <c r="I18" s="151">
        <f t="shared" si="1"/>
      </c>
      <c r="J18" s="151">
        <f t="shared" si="3"/>
      </c>
      <c r="K18" s="152">
        <f t="shared" si="2"/>
      </c>
      <c r="L18" s="148"/>
      <c r="M18" s="155"/>
    </row>
    <row r="19">
      <c r="A19" s="163" t="s">
        <v>321</v>
      </c>
      <c r="B19" s="157"/>
      <c r="C19" s="158"/>
      <c r="D19" s="158">
        <f>SUM(D17:D18)</f>
      </c>
      <c r="E19" s="158">
        <f>SUM(E17:E18)</f>
      </c>
      <c r="F19" s="158">
        <f>SUM(F17:F18)</f>
      </c>
      <c r="G19" s="159">
        <f>SUM(G17:G18)</f>
      </c>
      <c r="H19" s="158">
        <f>SUM(H17:H18)</f>
      </c>
      <c r="I19" s="160">
        <f t="shared" si="1"/>
      </c>
      <c r="J19" s="161">
        <f t="shared" si="3"/>
      </c>
      <c r="K19" s="161">
        <f t="shared" si="2"/>
      </c>
      <c r="L19" s="162"/>
      <c r="M19" s="157">
        <f>SUM(M17:M18)</f>
      </c>
    </row>
    <row r="20">
      <c r="A20" s="147" t="s">
        <v>322</v>
      </c>
      <c r="B20" s="148" t="s">
        <v>307</v>
      </c>
      <c r="C20" s="148" t="s">
        <v>323</v>
      </c>
      <c r="D20" s="148">
        <v>4</v>
      </c>
      <c r="E20" s="148">
        <v>60</v>
      </c>
      <c r="F20" s="148">
        <v>23</v>
      </c>
      <c r="G20" s="149">
        <v>38296</v>
      </c>
      <c r="H20" s="149">
        <v>27360.92</v>
      </c>
      <c r="I20" s="150">
        <f t="shared" si="1"/>
      </c>
      <c r="J20" s="151">
        <f t="shared" si="3"/>
      </c>
      <c r="K20" s="152">
        <f t="shared" si="2"/>
      </c>
      <c r="L20" s="153" t="s">
        <v>315</v>
      </c>
      <c r="M20" s="153">
        <v>7</v>
      </c>
    </row>
    <row r="21">
      <c r="A21" s="147" t="s">
        <v>322</v>
      </c>
      <c r="B21" s="148" t="s">
        <v>324</v>
      </c>
      <c r="C21" s="148" t="s">
        <v>325</v>
      </c>
      <c r="D21" s="148">
        <v>2</v>
      </c>
      <c r="E21" s="148">
        <v>14</v>
      </c>
      <c r="F21" s="148">
        <v>7</v>
      </c>
      <c r="G21" s="149">
        <v>8316</v>
      </c>
      <c r="H21" s="149">
        <v>7892.5599999999995</v>
      </c>
      <c r="I21" s="151">
        <f t="shared" si="1"/>
      </c>
      <c r="J21" s="151">
        <f t="shared" si="3"/>
      </c>
      <c r="K21" s="152">
        <f t="shared" si="2"/>
      </c>
      <c r="L21" s="148" t="s">
        <v>326</v>
      </c>
      <c r="M21" s="148">
        <v>3</v>
      </c>
    </row>
    <row customHeight="true" ht="16.071428571428573" r="22">
      <c r="A22" s="147" t="s">
        <v>322</v>
      </c>
      <c r="B22" s="148" t="s">
        <v>310</v>
      </c>
      <c r="C22" s="148" t="s">
        <v>327</v>
      </c>
      <c r="D22" s="148">
        <v>4</v>
      </c>
      <c r="E22" s="148">
        <v>34</v>
      </c>
      <c r="F22" s="148">
        <v>22</v>
      </c>
      <c r="G22" s="149">
        <v>35297</v>
      </c>
      <c r="H22" s="164">
        <v>24644.86</v>
      </c>
      <c r="I22" s="151">
        <f t="shared" si="1"/>
      </c>
      <c r="J22" s="151">
        <f t="shared" si="3"/>
      </c>
      <c r="K22" s="152">
        <f t="shared" si="2"/>
      </c>
      <c r="L22" s="148"/>
      <c r="M22" s="148"/>
    </row>
    <row r="23">
      <c r="A23" s="163" t="s">
        <v>322</v>
      </c>
      <c r="B23" s="157"/>
      <c r="C23" s="158"/>
      <c r="D23" s="158">
        <f>SUM(D20:D22)</f>
      </c>
      <c r="E23" s="158">
        <f>SUM(E20:E22)</f>
      </c>
      <c r="F23" s="158">
        <f>SUM(F20:F22)</f>
      </c>
      <c r="G23" s="158">
        <f>SUM(G20:G22)</f>
      </c>
      <c r="H23" s="158">
        <f>SUM(H20:H22)</f>
      </c>
      <c r="I23" s="160">
        <f t="shared" si="1"/>
      </c>
      <c r="J23" s="161">
        <f t="shared" si="3"/>
      </c>
      <c r="K23" s="161">
        <f t="shared" si="2"/>
      </c>
      <c r="L23" s="162"/>
      <c r="M23" s="157">
        <f>SUM(M20:M21)</f>
      </c>
    </row>
    <row r="24">
      <c r="A24" s="147" t="s">
        <v>328</v>
      </c>
      <c r="B24" s="148" t="s">
        <v>307</v>
      </c>
      <c r="C24" s="148" t="s">
        <v>329</v>
      </c>
      <c r="D24" s="148">
        <v>3</v>
      </c>
      <c r="E24" s="148">
        <v>30</v>
      </c>
      <c r="F24" s="148">
        <v>13</v>
      </c>
      <c r="G24" s="149">
        <v>18924</v>
      </c>
      <c r="H24" s="149">
        <v>18104.329999999998</v>
      </c>
      <c r="I24" s="150">
        <f t="shared" si="1"/>
      </c>
      <c r="J24" s="151">
        <f t="shared" si="3"/>
      </c>
      <c r="K24" s="152">
        <f t="shared" si="2"/>
      </c>
      <c r="L24" s="153" t="s">
        <v>315</v>
      </c>
      <c r="M24" s="153">
        <v>8</v>
      </c>
    </row>
    <row r="25">
      <c r="A25" s="147" t="s">
        <v>328</v>
      </c>
      <c r="B25" s="148" t="s">
        <v>324</v>
      </c>
      <c r="C25" s="148" t="s">
        <v>330</v>
      </c>
      <c r="D25" s="148">
        <v>2</v>
      </c>
      <c r="E25" s="148">
        <v>17</v>
      </c>
      <c r="F25" s="148">
        <v>8</v>
      </c>
      <c r="G25" s="149">
        <v>11465</v>
      </c>
      <c r="H25" s="149">
        <v>10505.869999999999</v>
      </c>
      <c r="I25" s="151">
        <f t="shared" si="1"/>
      </c>
      <c r="J25" s="151">
        <f t="shared" si="3"/>
      </c>
      <c r="K25" s="152">
        <f t="shared" si="2"/>
      </c>
      <c r="L25" s="148"/>
      <c r="M25" s="148"/>
    </row>
    <row r="26">
      <c r="A26" s="147" t="s">
        <v>328</v>
      </c>
      <c r="B26" s="148" t="s">
        <v>310</v>
      </c>
      <c r="C26" s="148" t="s">
        <v>331</v>
      </c>
      <c r="D26" s="148">
        <v>3</v>
      </c>
      <c r="E26" s="148">
        <v>25</v>
      </c>
      <c r="F26" s="148">
        <v>10</v>
      </c>
      <c r="G26" s="149">
        <v>13361</v>
      </c>
      <c r="H26" s="164">
        <v>10988.44</v>
      </c>
      <c r="I26" s="151">
        <f t="shared" si="1"/>
      </c>
      <c r="J26" s="151">
        <f t="shared" si="3"/>
      </c>
      <c r="K26" s="152">
        <f t="shared" si="2"/>
      </c>
      <c r="L26" s="148"/>
      <c r="M26" s="148"/>
    </row>
    <row r="27">
      <c r="A27" s="163" t="s">
        <v>328</v>
      </c>
      <c r="B27" s="157"/>
      <c r="C27" s="158"/>
      <c r="D27" s="158">
        <f>SUM(D24:D26)</f>
      </c>
      <c r="E27" s="158">
        <f>SUM(E24:E26)</f>
      </c>
      <c r="F27" s="158">
        <f>SUM(F24:F26)</f>
      </c>
      <c r="G27" s="158">
        <f>SUM(G24:G26)</f>
      </c>
      <c r="H27" s="158">
        <f>SUM(H24:H26)</f>
      </c>
      <c r="I27" s="160">
        <f t="shared" si="1"/>
      </c>
      <c r="J27" s="161">
        <f t="shared" si="3"/>
      </c>
      <c r="K27" s="161">
        <f t="shared" si="2"/>
      </c>
      <c r="L27" s="162"/>
      <c r="M27" s="157">
        <f>SUM(M24:M25)</f>
      </c>
    </row>
    <row r="28">
      <c r="A28" s="147" t="s">
        <v>332</v>
      </c>
      <c r="B28" s="148" t="s">
        <v>307</v>
      </c>
      <c r="C28" s="148" t="s">
        <v>308</v>
      </c>
      <c r="D28" s="148">
        <v>4</v>
      </c>
      <c r="E28" s="148">
        <v>57</v>
      </c>
      <c r="F28" s="148">
        <v>24</v>
      </c>
      <c r="G28" s="149">
        <v>36006</v>
      </c>
      <c r="H28" s="149">
        <v>31954.16</v>
      </c>
      <c r="I28" s="150">
        <f t="shared" si="1"/>
      </c>
      <c r="J28" s="151">
        <f t="shared" si="3"/>
      </c>
      <c r="K28" s="152">
        <f t="shared" si="2"/>
      </c>
      <c r="L28" s="153" t="s">
        <v>315</v>
      </c>
      <c r="M28" s="153">
        <v>8</v>
      </c>
    </row>
    <row r="29">
      <c r="A29" s="147" t="s">
        <v>332</v>
      </c>
      <c r="B29" s="148" t="s">
        <v>324</v>
      </c>
      <c r="C29" s="148" t="s">
        <v>333</v>
      </c>
      <c r="D29" s="148">
        <v>4</v>
      </c>
      <c r="E29" s="148">
        <v>42</v>
      </c>
      <c r="F29" s="148">
        <v>24</v>
      </c>
      <c r="G29" s="164">
        <v>31032</v>
      </c>
      <c r="H29" s="164">
        <v>22552.16</v>
      </c>
      <c r="I29" s="151">
        <f t="shared" si="1"/>
      </c>
      <c r="J29" s="151">
        <f t="shared" si="3"/>
      </c>
      <c r="K29" s="152">
        <f t="shared" si="2"/>
      </c>
      <c r="L29" s="148" t="s">
        <v>334</v>
      </c>
      <c r="M29" s="148">
        <v>4</v>
      </c>
    </row>
    <row r="30">
      <c r="A30" s="147" t="s">
        <v>332</v>
      </c>
      <c r="B30" s="148" t="s">
        <v>310</v>
      </c>
      <c r="C30" s="148" t="s">
        <v>327</v>
      </c>
      <c r="D30" s="148">
        <v>4</v>
      </c>
      <c r="E30" s="148">
        <v>45</v>
      </c>
      <c r="F30" s="148">
        <v>22</v>
      </c>
      <c r="G30" s="164">
        <v>37160</v>
      </c>
      <c r="H30" s="164">
        <v>34717.94</v>
      </c>
      <c r="I30" s="151">
        <f t="shared" si="1"/>
      </c>
      <c r="J30" s="151">
        <f t="shared" si="3"/>
      </c>
      <c r="K30" s="152">
        <f t="shared" si="2"/>
      </c>
      <c r="L30" s="148"/>
      <c r="M30" s="148"/>
    </row>
    <row r="31">
      <c r="A31" s="163" t="s">
        <v>332</v>
      </c>
      <c r="B31" s="157"/>
      <c r="C31" s="158"/>
      <c r="D31" s="158">
        <f>SUM(D28:D30)</f>
      </c>
      <c r="E31" s="158">
        <f>SUM(E28:E30)</f>
      </c>
      <c r="F31" s="158">
        <f>SUM(F28:F30)</f>
      </c>
      <c r="G31" s="158">
        <f>SUM(G28:G30)</f>
      </c>
      <c r="H31" s="158">
        <f>SUM(H28:H30)</f>
      </c>
      <c r="I31" s="160">
        <f t="shared" si="1"/>
      </c>
      <c r="J31" s="161">
        <f t="shared" si="3"/>
      </c>
      <c r="K31" s="161">
        <f t="shared" si="2"/>
      </c>
      <c r="L31" s="162"/>
      <c r="M31" s="157">
        <f>SUM(M28:M29)</f>
      </c>
    </row>
    <row r="32">
      <c r="A32" s="147" t="s">
        <v>335</v>
      </c>
      <c r="B32" s="148" t="s">
        <v>307</v>
      </c>
      <c r="C32" s="148" t="s">
        <v>308</v>
      </c>
      <c r="D32" s="148">
        <v>4</v>
      </c>
      <c r="E32" s="148">
        <v>11</v>
      </c>
      <c r="F32" s="148">
        <v>5</v>
      </c>
      <c r="G32" s="149">
        <v>9832</v>
      </c>
      <c r="H32" s="149">
        <v>14957.93</v>
      </c>
      <c r="I32" s="150">
        <f t="shared" si="1"/>
      </c>
      <c r="J32" s="151">
        <f t="shared" si="3"/>
      </c>
      <c r="K32" s="152">
        <f t="shared" si="2"/>
      </c>
      <c r="L32" s="153" t="s">
        <v>315</v>
      </c>
      <c r="M32" s="153">
        <v>11</v>
      </c>
    </row>
    <row r="33">
      <c r="A33" s="147" t="s">
        <v>335</v>
      </c>
      <c r="B33" s="148" t="s">
        <v>324</v>
      </c>
      <c r="C33" s="148" t="s">
        <v>333</v>
      </c>
      <c r="D33" s="148">
        <v>4</v>
      </c>
      <c r="E33" s="148">
        <v>32</v>
      </c>
      <c r="F33" s="148">
        <v>19</v>
      </c>
      <c r="G33" s="164">
        <v>20776</v>
      </c>
      <c r="H33" s="164">
        <v>15700.59</v>
      </c>
      <c r="I33" s="151">
        <f t="shared" si="1"/>
      </c>
      <c r="J33" s="151">
        <f t="shared" si="3"/>
      </c>
      <c r="K33" s="152">
        <f t="shared" si="2"/>
      </c>
      <c r="L33" s="148"/>
      <c r="M33" s="148"/>
    </row>
    <row r="34">
      <c r="A34" s="147" t="s">
        <v>335</v>
      </c>
      <c r="B34" s="148" t="s">
        <v>310</v>
      </c>
      <c r="C34" s="148" t="s">
        <v>336</v>
      </c>
      <c r="D34" s="148">
        <v>3</v>
      </c>
      <c r="E34" s="148">
        <v>13</v>
      </c>
      <c r="F34" s="148">
        <v>4</v>
      </c>
      <c r="G34" s="164">
        <v>7564</v>
      </c>
      <c r="H34" s="164">
        <v>10682.57</v>
      </c>
      <c r="I34" s="151">
        <f t="shared" si="1"/>
      </c>
      <c r="J34" s="151">
        <f t="shared" si="3"/>
      </c>
      <c r="K34" s="152">
        <f t="shared" si="2"/>
      </c>
      <c r="L34" s="148"/>
      <c r="M34" s="148"/>
    </row>
    <row r="35">
      <c r="A35" s="163" t="s">
        <v>335</v>
      </c>
      <c r="B35" s="157"/>
      <c r="C35" s="158"/>
      <c r="D35" s="158">
        <f>SUM(D32:D34)</f>
      </c>
      <c r="E35" s="158">
        <f>SUM(E32:E34)</f>
      </c>
      <c r="F35" s="158">
        <f>SUM(F32:F34)</f>
      </c>
      <c r="G35" s="158">
        <f>SUM(G32:G34)</f>
      </c>
      <c r="H35" s="158">
        <f>SUM(H32:H34)</f>
      </c>
      <c r="I35" s="160">
        <f t="shared" si="1"/>
      </c>
      <c r="J35" s="161">
        <f t="shared" si="3"/>
      </c>
      <c r="K35" s="161">
        <f t="shared" si="2"/>
      </c>
      <c r="L35" s="162"/>
      <c r="M35" s="157">
        <f>SUM(M32:M33)</f>
      </c>
    </row>
    <row r="36">
      <c r="A36" s="147" t="s">
        <v>337</v>
      </c>
      <c r="B36" s="148" t="s">
        <v>307</v>
      </c>
      <c r="C36" s="148" t="s">
        <v>308</v>
      </c>
      <c r="D36" s="148">
        <v>4</v>
      </c>
      <c r="E36" s="148">
        <v>43</v>
      </c>
      <c r="F36" s="148">
        <v>19</v>
      </c>
      <c r="G36" s="149">
        <v>28013</v>
      </c>
      <c r="H36" s="149">
        <v>21121.99</v>
      </c>
      <c r="I36" s="150">
        <f t="shared" si="1"/>
      </c>
      <c r="J36" s="151">
        <f t="shared" si="3"/>
      </c>
      <c r="K36" s="152">
        <f t="shared" si="2"/>
      </c>
      <c r="L36" s="153" t="s">
        <v>313</v>
      </c>
      <c r="M36" s="153">
        <v>7</v>
      </c>
    </row>
    <row r="37">
      <c r="A37" s="147" t="s">
        <v>337</v>
      </c>
      <c r="B37" s="148" t="s">
        <v>324</v>
      </c>
      <c r="C37" s="148" t="s">
        <v>333</v>
      </c>
      <c r="D37" s="148">
        <v>4</v>
      </c>
      <c r="E37" s="148">
        <v>51</v>
      </c>
      <c r="F37" s="148">
        <v>20</v>
      </c>
      <c r="G37" s="164">
        <v>31012</v>
      </c>
      <c r="H37" s="164">
        <v>21086.13</v>
      </c>
      <c r="I37" s="151">
        <f t="shared" si="1"/>
      </c>
      <c r="J37" s="151">
        <f t="shared" si="3"/>
      </c>
      <c r="K37" s="152">
        <f t="shared" si="2"/>
      </c>
      <c r="L37" s="148" t="s">
        <v>334</v>
      </c>
      <c r="M37" s="148">
        <v>1</v>
      </c>
    </row>
    <row r="38">
      <c r="A38" s="147" t="s">
        <v>337</v>
      </c>
      <c r="B38" s="148" t="s">
        <v>310</v>
      </c>
      <c r="C38" s="148" t="s">
        <v>327</v>
      </c>
      <c r="D38" s="148">
        <v>4</v>
      </c>
      <c r="E38" s="148">
        <v>22</v>
      </c>
      <c r="F38" s="148">
        <v>11</v>
      </c>
      <c r="G38" s="164">
        <v>16761</v>
      </c>
      <c r="H38" s="164">
        <v>14844.79</v>
      </c>
      <c r="I38" s="151">
        <f t="shared" si="1"/>
      </c>
      <c r="J38" s="151">
        <f t="shared" si="3"/>
      </c>
      <c r="K38" s="152">
        <f t="shared" si="2"/>
      </c>
      <c r="L38" s="148" t="s">
        <v>338</v>
      </c>
      <c r="M38" s="148">
        <v>4</v>
      </c>
    </row>
    <row r="39">
      <c r="A39" s="163" t="s">
        <v>337</v>
      </c>
      <c r="B39" s="157"/>
      <c r="C39" s="158"/>
      <c r="D39" s="158">
        <f>SUM(D36:D38)</f>
      </c>
      <c r="E39" s="158">
        <f>SUM(E36:E38)</f>
      </c>
      <c r="F39" s="158">
        <f>SUM(F36:F38)</f>
      </c>
      <c r="G39" s="158">
        <f>SUM(G36:G38)</f>
      </c>
      <c r="H39" s="158">
        <f>SUM(H36:H38)</f>
      </c>
      <c r="I39" s="160">
        <f t="shared" si="1"/>
      </c>
      <c r="J39" s="161">
        <f t="shared" si="3"/>
      </c>
      <c r="K39" s="161">
        <f t="shared" si="2"/>
      </c>
      <c r="L39" s="162"/>
      <c r="M39" s="157">
        <f>SUM(M36:M38)</f>
      </c>
    </row>
    <row r="40">
      <c r="A40" s="147" t="s">
        <v>339</v>
      </c>
      <c r="B40" s="148" t="s">
        <v>307</v>
      </c>
      <c r="C40" s="148" t="s">
        <v>308</v>
      </c>
      <c r="D40" s="148">
        <v>4</v>
      </c>
      <c r="E40" s="148">
        <v>63</v>
      </c>
      <c r="F40" s="148">
        <v>30</v>
      </c>
      <c r="G40" s="164">
        <v>45614</v>
      </c>
      <c r="H40" s="164">
        <v>30605.93</v>
      </c>
      <c r="I40" s="150">
        <f t="shared" si="1"/>
      </c>
      <c r="J40" s="151">
        <f t="shared" si="3"/>
      </c>
      <c r="K40" s="152">
        <f t="shared" si="2"/>
      </c>
      <c r="L40" s="153" t="s">
        <v>315</v>
      </c>
      <c r="M40" s="153">
        <v>7</v>
      </c>
    </row>
    <row r="41">
      <c r="A41" s="147" t="s">
        <v>339</v>
      </c>
      <c r="B41" s="148" t="s">
        <v>324</v>
      </c>
      <c r="C41" s="148" t="s">
        <v>333</v>
      </c>
      <c r="D41" s="148">
        <v>4</v>
      </c>
      <c r="E41" s="148">
        <v>24</v>
      </c>
      <c r="F41" s="148">
        <v>12</v>
      </c>
      <c r="G41" s="164">
        <v>23068</v>
      </c>
      <c r="H41" s="164">
        <v>22766.5</v>
      </c>
      <c r="I41" s="151">
        <f t="shared" si="1"/>
      </c>
      <c r="J41" s="151">
        <f t="shared" si="3"/>
      </c>
      <c r="K41" s="152">
        <f t="shared" si="2"/>
      </c>
      <c r="L41" s="148" t="s">
        <v>334</v>
      </c>
      <c r="M41" s="148">
        <v>1</v>
      </c>
    </row>
    <row r="42">
      <c r="A42" s="147" t="s">
        <v>339</v>
      </c>
      <c r="B42" s="148" t="s">
        <v>310</v>
      </c>
      <c r="C42" s="148" t="s">
        <v>327</v>
      </c>
      <c r="D42" s="148">
        <v>4</v>
      </c>
      <c r="E42" s="148">
        <v>22</v>
      </c>
      <c r="F42" s="148">
        <v>9</v>
      </c>
      <c r="G42" s="164">
        <v>13812</v>
      </c>
      <c r="H42" s="164">
        <v>13616.44</v>
      </c>
      <c r="I42" s="151">
        <f t="shared" si="1"/>
      </c>
      <c r="J42" s="151">
        <f t="shared" si="3"/>
      </c>
      <c r="K42" s="152">
        <f t="shared" si="2"/>
      </c>
      <c r="L42" s="148" t="s">
        <v>338</v>
      </c>
      <c r="M42" s="148">
        <v>4</v>
      </c>
    </row>
    <row r="43">
      <c r="A43" s="163" t="s">
        <v>339</v>
      </c>
      <c r="B43" s="157"/>
      <c r="C43" s="158"/>
      <c r="D43" s="158">
        <f>SUM(D40:D42)</f>
      </c>
      <c r="E43" s="158">
        <f>SUM(E40:E42)</f>
      </c>
      <c r="F43" s="158">
        <f>SUM(F40:F42)</f>
      </c>
      <c r="G43" s="158">
        <f>SUM(G40:G42)</f>
      </c>
      <c r="H43" s="158">
        <f>SUM(H40:H42)</f>
      </c>
      <c r="I43" s="160">
        <f t="shared" si="1"/>
      </c>
      <c r="J43" s="161">
        <f t="shared" si="3"/>
      </c>
      <c r="K43" s="161">
        <f t="shared" si="2"/>
      </c>
      <c r="L43" s="162"/>
      <c r="M43" s="157">
        <f>SUM(M40:M42)</f>
      </c>
    </row>
    <row r="44">
      <c r="A44" s="147" t="s">
        <v>340</v>
      </c>
      <c r="B44" s="148" t="s">
        <v>307</v>
      </c>
      <c r="C44" s="148" t="s">
        <v>308</v>
      </c>
      <c r="D44" s="148">
        <v>4</v>
      </c>
      <c r="E44" s="148">
        <v>26</v>
      </c>
      <c r="F44" s="148">
        <v>15</v>
      </c>
      <c r="G44" s="164">
        <v>23924</v>
      </c>
      <c r="H44" s="164">
        <v>15099.39</v>
      </c>
      <c r="I44" s="150">
        <f t="shared" si="1"/>
      </c>
      <c r="J44" s="151">
        <f t="shared" si="3"/>
      </c>
      <c r="K44" s="152">
        <f t="shared" si="2"/>
      </c>
      <c r="L44" s="153" t="s">
        <v>341</v>
      </c>
      <c r="M44" s="153">
        <v>8</v>
      </c>
    </row>
    <row r="45">
      <c r="A45" s="147" t="s">
        <v>340</v>
      </c>
      <c r="B45" s="148" t="s">
        <v>324</v>
      </c>
      <c r="C45" s="148" t="s">
        <v>333</v>
      </c>
      <c r="D45" s="148">
        <v>4</v>
      </c>
      <c r="E45" s="148">
        <v>30</v>
      </c>
      <c r="F45" s="148">
        <v>18</v>
      </c>
      <c r="G45" s="164">
        <v>27624</v>
      </c>
      <c r="H45" s="164">
        <v>18933.7</v>
      </c>
      <c r="I45" s="151">
        <f t="shared" si="1"/>
      </c>
      <c r="J45" s="151">
        <f t="shared" si="3"/>
      </c>
      <c r="K45" s="152">
        <f t="shared" si="2"/>
      </c>
      <c r="L45" s="153" t="s">
        <v>315</v>
      </c>
      <c r="M45" s="148">
        <v>4</v>
      </c>
    </row>
    <row r="46">
      <c r="A46" s="147" t="s">
        <v>340</v>
      </c>
      <c r="B46" s="148" t="s">
        <v>310</v>
      </c>
      <c r="C46" s="148" t="s">
        <v>327</v>
      </c>
      <c r="D46" s="148">
        <v>4</v>
      </c>
      <c r="E46" s="148">
        <v>28</v>
      </c>
      <c r="F46" s="148">
        <v>12</v>
      </c>
      <c r="G46" s="164">
        <v>21748</v>
      </c>
      <c r="H46" s="164">
        <v>16303.289999999999</v>
      </c>
      <c r="I46" s="151">
        <f t="shared" si="1"/>
      </c>
      <c r="J46" s="151">
        <f t="shared" si="3"/>
      </c>
      <c r="K46" s="152">
        <f t="shared" si="2"/>
      </c>
      <c r="L46" s="148"/>
      <c r="M46" s="148"/>
    </row>
    <row r="47">
      <c r="A47" s="163" t="s">
        <v>340</v>
      </c>
      <c r="B47" s="157"/>
      <c r="C47" s="158"/>
      <c r="D47" s="158">
        <f>SUM(D44:D46)</f>
      </c>
      <c r="E47" s="158">
        <f>SUM(E44:E46)</f>
      </c>
      <c r="F47" s="158">
        <f>SUM(F44:F46)</f>
      </c>
      <c r="G47" s="158">
        <f>SUM(G44:G46)</f>
      </c>
      <c r="H47" s="158">
        <f>SUM(H44:H46)</f>
      </c>
      <c r="I47" s="160">
        <f t="shared" si="1"/>
      </c>
      <c r="J47" s="161">
        <f t="shared" si="3"/>
      </c>
      <c r="K47" s="161">
        <f t="shared" si="2"/>
      </c>
      <c r="L47" s="162"/>
      <c r="M47" s="157">
        <f>SUM(M44:M46)</f>
      </c>
    </row>
    <row r="48">
      <c r="A48" s="147" t="s">
        <v>342</v>
      </c>
      <c r="B48" s="148" t="s">
        <v>307</v>
      </c>
      <c r="C48" s="148" t="s">
        <v>308</v>
      </c>
      <c r="D48" s="165">
        <f>4-0.5</f>
      </c>
      <c r="E48" s="148">
        <v>19</v>
      </c>
      <c r="F48" s="148">
        <v>8</v>
      </c>
      <c r="G48" s="164">
        <v>15504</v>
      </c>
      <c r="H48" s="164">
        <v>13428.970000000001</v>
      </c>
      <c r="I48" s="150">
        <f t="shared" si="1"/>
      </c>
      <c r="J48" s="151">
        <f t="shared" si="3"/>
      </c>
      <c r="K48" s="152">
        <f t="shared" si="2"/>
      </c>
      <c r="L48" s="153" t="s">
        <v>343</v>
      </c>
      <c r="M48" s="153">
        <v>8</v>
      </c>
    </row>
    <row r="49">
      <c r="A49" s="147" t="s">
        <v>342</v>
      </c>
      <c r="B49" s="148" t="s">
        <v>310</v>
      </c>
      <c r="C49" s="148" t="s">
        <v>333</v>
      </c>
      <c r="D49" s="165">
        <f t="shared" ref="D49:D50" si="4">4-0.25</f>
      </c>
      <c r="E49" s="148">
        <v>33</v>
      </c>
      <c r="F49" s="148">
        <v>16</v>
      </c>
      <c r="G49" s="164">
        <v>29020</v>
      </c>
      <c r="H49" s="148">
        <v>14401.080000000002</v>
      </c>
      <c r="I49" s="151">
        <f t="shared" si="1"/>
      </c>
      <c r="J49" s="151">
        <f t="shared" si="3"/>
      </c>
      <c r="K49" s="152">
        <f t="shared" si="2"/>
      </c>
      <c r="L49" s="153" t="s">
        <v>315</v>
      </c>
      <c r="M49" s="148">
        <v>4</v>
      </c>
    </row>
    <row r="50">
      <c r="A50" s="147" t="s">
        <v>342</v>
      </c>
      <c r="B50" s="148" t="s">
        <v>324</v>
      </c>
      <c r="C50" s="148" t="s">
        <v>327</v>
      </c>
      <c r="D50" s="165">
        <f t="shared" si="4"/>
      </c>
      <c r="E50" s="148">
        <v>26</v>
      </c>
      <c r="F50" s="148">
        <v>13</v>
      </c>
      <c r="G50" s="164">
        <v>22025</v>
      </c>
      <c r="H50" s="164">
        <v>13458.820000000002</v>
      </c>
      <c r="I50" s="151">
        <f t="shared" si="1"/>
      </c>
      <c r="J50" s="151">
        <f t="shared" si="3"/>
      </c>
      <c r="K50" s="152">
        <f t="shared" si="2"/>
      </c>
      <c r="L50" s="148"/>
      <c r="M50" s="148"/>
    </row>
    <row r="51">
      <c r="A51" s="163" t="s">
        <v>342</v>
      </c>
      <c r="B51" s="157"/>
      <c r="C51" s="158"/>
      <c r="D51" s="158">
        <f>SUM(D48:D50)</f>
      </c>
      <c r="E51" s="158">
        <f>SUM(E48:E50)</f>
      </c>
      <c r="F51" s="158">
        <f>SUM(F48:F50)</f>
      </c>
      <c r="G51" s="158">
        <f>SUM(G48:G50)</f>
      </c>
      <c r="H51" s="158">
        <f>SUM(H48:H50)</f>
      </c>
      <c r="I51" s="160">
        <f t="shared" si="1"/>
      </c>
      <c r="J51" s="161">
        <f t="shared" si="3"/>
      </c>
      <c r="K51" s="161">
        <f t="shared" si="2"/>
      </c>
      <c r="L51" s="162"/>
      <c r="M51" s="157">
        <f>SUM(M48:M50)</f>
      </c>
    </row>
    <row r="52"/>
    <row r="53"/>
    <row r="54"/>
    <row customHeight="true" ht="16.071428571428573" r="55"/>
    <row customHeight="true" ht="16.071428571428573" r="56"/>
    <row customHeight="true" ht="16.071428571428573" r="57"/>
    <row customHeight="true" ht="16.071428571428573" r="58"/>
    <row customHeight="true" ht="16.071428571428573" r="59"/>
    <row customHeight="true" ht="16.071428571428573" r="60"/>
    <row customHeight="true" ht="16.071428571428573" r="61"/>
    <row customHeight="true" ht="16.071428571428573" r="62"/>
    <row customHeight="true" ht="16.071428571428573" r="63"/>
    <row customHeight="true" ht="16.071428571428573" r="64"/>
    <row r="65">
      <c r="G65" s="166" t="s">
        <v>344</v>
      </c>
    </row>
    <row r="66">
      <c r="G66" s="167">
        <f t="shared" ref="G66:G69" si="0">E66/F66</f>
      </c>
    </row>
    <row r="67">
      <c r="G67" s="167">
        <f t="shared" si="0"/>
      </c>
    </row>
    <row r="68">
      <c r="G68" s="167">
        <f t="shared" si="0"/>
      </c>
    </row>
    <row r="69">
      <c r="G69" s="167">
        <f t="shared" si="0"/>
      </c>
    </row>
  </sheetData>
  <autoFilter ref="A1:M5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68" t="s">
        <v>345</v>
      </c>
      <c r="B1" s="169" t="s">
        <v>346</v>
      </c>
      <c r="C1" s="169" t="s">
        <v>347</v>
      </c>
      <c r="D1" s="169" t="s">
        <v>348</v>
      </c>
      <c r="E1" s="169" t="s">
        <v>349</v>
      </c>
      <c r="F1" s="170" t="s">
        <v>350</v>
      </c>
      <c r="G1" s="170" t="s">
        <v>351</v>
      </c>
      <c r="H1" s="170" t="s">
        <v>352</v>
      </c>
      <c r="I1" s="170" t="s">
        <v>353</v>
      </c>
      <c r="J1" s="170" t="s">
        <v>354</v>
      </c>
      <c r="K1" s="170" t="s">
        <v>355</v>
      </c>
      <c r="L1" s="170" t="s">
        <v>356</v>
      </c>
      <c r="M1" s="170" t="s">
        <v>357</v>
      </c>
      <c r="N1" s="169" t="s">
        <v>358</v>
      </c>
      <c r="O1" s="171" t="s">
        <v>359</v>
      </c>
      <c r="P1" s="171" t="s">
        <v>360</v>
      </c>
      <c r="Q1" s="171" t="s">
        <v>361</v>
      </c>
      <c r="R1" s="171" t="s">
        <v>362</v>
      </c>
      <c r="S1" s="169" t="s">
        <v>363</v>
      </c>
      <c r="T1" s="170" t="s">
        <v>364</v>
      </c>
      <c r="U1" s="170" t="s">
        <v>365</v>
      </c>
      <c r="V1" s="170" t="s">
        <v>366</v>
      </c>
    </row>
    <row r="2">
      <c r="A2" s="172" t="s">
        <v>367</v>
      </c>
      <c r="B2" s="173" t="s">
        <v>368</v>
      </c>
      <c r="C2" s="174" t="s">
        <v>369</v>
      </c>
      <c r="D2" s="174">
        <v>4</v>
      </c>
      <c r="E2" s="174">
        <v>26</v>
      </c>
      <c r="F2" s="174">
        <v>11</v>
      </c>
      <c r="G2" s="175">
        <v>1</v>
      </c>
      <c r="H2" s="176">
        <f>39*12*G2-39</f>
      </c>
      <c r="I2" s="173">
        <v>2</v>
      </c>
      <c r="J2" s="174">
        <f>79*12*I2</f>
      </c>
      <c r="K2" s="175">
        <v>8</v>
      </c>
      <c r="L2" s="177">
        <f>189*12*K2</f>
      </c>
      <c r="M2" s="173">
        <f t="shared" ref="M2:M3" si="0">L2+J2+H2</f>
      </c>
      <c r="N2" s="173">
        <v>12756.97</v>
      </c>
      <c r="O2" s="178">
        <f t="shared" ref="O2:O22" si="20">M2/N2</f>
      </c>
      <c r="P2" s="178">
        <f t="shared" ref="P2:P22" si="18">M2/F2</f>
      </c>
      <c r="Q2" s="179">
        <f t="shared" ref="Q2:Q22" si="8">N2/F2</f>
      </c>
      <c r="R2" s="180" t="s">
        <v>370</v>
      </c>
      <c r="S2" s="174">
        <v>8</v>
      </c>
      <c r="T2" s="181">
        <f t="shared" ref="T2:T22" si="4">G2/F2</f>
      </c>
      <c r="U2" s="181">
        <f t="shared" ref="U2:U22" si="21">I2/F2</f>
      </c>
      <c r="V2" s="181">
        <f t="shared" ref="V2:V22" si="19">K2/F2</f>
      </c>
    </row>
    <row r="3">
      <c r="A3" s="172" t="s">
        <v>367</v>
      </c>
      <c r="B3" s="173" t="s">
        <v>371</v>
      </c>
      <c r="C3" s="174" t="s">
        <v>372</v>
      </c>
      <c r="D3" s="174">
        <v>4</v>
      </c>
      <c r="E3" s="174">
        <v>45</v>
      </c>
      <c r="F3" s="174">
        <v>9</v>
      </c>
      <c r="G3" s="175">
        <v>0</v>
      </c>
      <c r="H3" s="176">
        <f>39*12*G3</f>
      </c>
      <c r="I3" s="173">
        <v>3</v>
      </c>
      <c r="J3" s="174">
        <f>79*12*I3-79</f>
      </c>
      <c r="K3" s="175">
        <v>6</v>
      </c>
      <c r="L3" s="177">
        <f>189*12*K3-188</f>
      </c>
      <c r="M3" s="173">
        <f t="shared" si="0"/>
      </c>
      <c r="N3" s="173">
        <v>11524.670000000002</v>
      </c>
      <c r="O3" s="178">
        <f t="shared" si="20"/>
      </c>
      <c r="P3" s="178">
        <f t="shared" si="18"/>
      </c>
      <c r="Q3" s="179">
        <f t="shared" si="8"/>
      </c>
      <c r="R3" s="180"/>
      <c r="S3" s="174"/>
      <c r="T3" s="181">
        <f t="shared" si="4"/>
      </c>
      <c r="U3" s="181">
        <f t="shared" si="21"/>
      </c>
      <c r="V3" s="181">
        <f t="shared" si="19"/>
      </c>
    </row>
    <row r="4">
      <c r="A4" s="182" t="s">
        <v>367</v>
      </c>
      <c r="B4" s="183" t="s">
        <v>373</v>
      </c>
      <c r="C4" s="184"/>
      <c r="D4" s="185">
        <f>SUM(D2:D3)</f>
      </c>
      <c r="E4" s="185">
        <f>SUM(E2:E3)</f>
      </c>
      <c r="F4" s="185">
        <f>SUM(F2:F3)</f>
      </c>
      <c r="G4" s="185">
        <f>SUM(G2:G3)</f>
      </c>
      <c r="H4" s="185">
        <f>SUM(H2:H3)</f>
      </c>
      <c r="I4" s="185">
        <f>SUM(I2:I3)</f>
      </c>
      <c r="J4" s="185">
        <f>SUM(J2:J3)</f>
      </c>
      <c r="K4" s="185">
        <f>SUM(K2:K3)</f>
      </c>
      <c r="L4" s="185">
        <f>SUM(L2:L3)</f>
      </c>
      <c r="M4" s="185">
        <f>SUM(M2:M3)</f>
      </c>
      <c r="N4" s="185">
        <f>SUM(N2:N3)</f>
      </c>
      <c r="O4" s="186">
        <f t="shared" si="20"/>
      </c>
      <c r="P4" s="187">
        <f t="shared" si="18"/>
      </c>
      <c r="Q4" s="188">
        <f t="shared" si="8"/>
      </c>
      <c r="R4" s="189"/>
      <c r="S4" s="185">
        <f>SUM(S2:S3)</f>
      </c>
      <c r="T4" s="190">
        <f t="shared" si="4"/>
      </c>
      <c r="U4" s="190">
        <f t="shared" si="21"/>
      </c>
      <c r="V4" s="190">
        <f t="shared" si="19"/>
      </c>
    </row>
    <row r="5">
      <c r="A5" s="172" t="s">
        <v>374</v>
      </c>
      <c r="B5" s="173" t="s">
        <v>368</v>
      </c>
      <c r="C5" s="174" t="s">
        <v>369</v>
      </c>
      <c r="D5" s="174">
        <v>4</v>
      </c>
      <c r="E5" s="174">
        <v>29</v>
      </c>
      <c r="F5" s="174">
        <v>12</v>
      </c>
      <c r="G5" s="175">
        <v>0</v>
      </c>
      <c r="H5" s="176">
        <f t="shared" ref="H5:H6" si="9">39*12*G5</f>
      </c>
      <c r="I5" s="173">
        <v>4</v>
      </c>
      <c r="J5" s="174">
        <f t="shared" ref="J5:J6" si="14">79*12*I5</f>
      </c>
      <c r="K5" s="175">
        <v>8</v>
      </c>
      <c r="L5" s="177">
        <f t="shared" ref="L5:L6" si="5">189*12*K5</f>
      </c>
      <c r="M5" s="173">
        <f t="shared" ref="M5:M6" si="1">L5+J5+H5</f>
      </c>
      <c r="N5" s="173">
        <v>13164.82</v>
      </c>
      <c r="O5" s="178">
        <f t="shared" si="20"/>
      </c>
      <c r="P5" s="178">
        <f t="shared" si="18"/>
      </c>
      <c r="Q5" s="179">
        <f t="shared" si="8"/>
      </c>
      <c r="R5" s="180" t="s">
        <v>370</v>
      </c>
      <c r="S5" s="174">
        <v>8</v>
      </c>
      <c r="T5" s="181">
        <f t="shared" si="4"/>
      </c>
      <c r="U5" s="181">
        <f t="shared" si="21"/>
      </c>
      <c r="V5" s="181">
        <f t="shared" si="19"/>
      </c>
    </row>
    <row r="6">
      <c r="A6" s="172" t="s">
        <v>374</v>
      </c>
      <c r="B6" s="173" t="s">
        <v>371</v>
      </c>
      <c r="C6" s="174" t="s">
        <v>372</v>
      </c>
      <c r="D6" s="174">
        <v>4</v>
      </c>
      <c r="E6" s="174">
        <v>49</v>
      </c>
      <c r="F6" s="174">
        <v>17</v>
      </c>
      <c r="G6" s="175">
        <v>2</v>
      </c>
      <c r="H6" s="176">
        <f t="shared" si="9"/>
      </c>
      <c r="I6" s="173">
        <v>3</v>
      </c>
      <c r="J6" s="174">
        <f t="shared" si="14"/>
      </c>
      <c r="K6" s="175">
        <v>12</v>
      </c>
      <c r="L6" s="177">
        <f t="shared" si="5"/>
      </c>
      <c r="M6" s="173">
        <f t="shared" si="1"/>
      </c>
      <c r="N6" s="173">
        <v>16112.36</v>
      </c>
      <c r="O6" s="178">
        <f t="shared" si="20"/>
      </c>
      <c r="P6" s="178">
        <f t="shared" si="18"/>
      </c>
      <c r="Q6" s="179">
        <f t="shared" si="8"/>
      </c>
      <c r="R6" s="180"/>
      <c r="S6" s="174"/>
      <c r="T6" s="181">
        <f t="shared" si="4"/>
      </c>
      <c r="U6" s="181">
        <f t="shared" si="21"/>
      </c>
      <c r="V6" s="181">
        <f t="shared" si="19"/>
      </c>
    </row>
    <row r="7">
      <c r="A7" s="182" t="s">
        <v>374</v>
      </c>
      <c r="B7" s="183" t="s">
        <v>373</v>
      </c>
      <c r="C7" s="184"/>
      <c r="D7" s="185">
        <f>SUM(D5:D6)</f>
      </c>
      <c r="E7" s="185">
        <f>SUM(E5:E6)</f>
      </c>
      <c r="F7" s="185">
        <f>SUM(F5:F6)</f>
      </c>
      <c r="G7" s="185">
        <f>SUM(G5:G6)</f>
      </c>
      <c r="H7" s="185">
        <f>SUM(H5:H6)</f>
      </c>
      <c r="I7" s="185">
        <f>SUM(I5:I6)</f>
      </c>
      <c r="J7" s="185">
        <f>SUM(J5:J6)</f>
      </c>
      <c r="K7" s="185">
        <f>SUM(K5:K6)</f>
      </c>
      <c r="L7" s="185">
        <f>SUM(L5:L6)</f>
      </c>
      <c r="M7" s="185">
        <f>SUM(M5:M6)</f>
      </c>
      <c r="N7" s="185">
        <f>SUM(N5:N6)</f>
      </c>
      <c r="O7" s="186">
        <f t="shared" si="20"/>
      </c>
      <c r="P7" s="187">
        <f t="shared" si="18"/>
      </c>
      <c r="Q7" s="188">
        <f t="shared" si="8"/>
      </c>
      <c r="R7" s="189"/>
      <c r="S7" s="185">
        <f>SUM(S5:S6)</f>
      </c>
      <c r="T7" s="190">
        <f t="shared" si="4"/>
      </c>
      <c r="U7" s="190">
        <f t="shared" si="21"/>
      </c>
      <c r="V7" s="190">
        <f t="shared" si="19"/>
      </c>
    </row>
    <row r="8">
      <c r="A8" s="172" t="s">
        <v>375</v>
      </c>
      <c r="B8" s="173" t="s">
        <v>368</v>
      </c>
      <c r="C8" s="174" t="s">
        <v>369</v>
      </c>
      <c r="D8" s="191">
        <v>4</v>
      </c>
      <c r="E8" s="174">
        <v>29</v>
      </c>
      <c r="F8" s="174">
        <v>8</v>
      </c>
      <c r="G8" s="175">
        <v>3</v>
      </c>
      <c r="H8" s="176">
        <f t="shared" ref="H8:H9" si="10">39*12*G8</f>
      </c>
      <c r="I8" s="173">
        <v>0</v>
      </c>
      <c r="J8" s="174">
        <f t="shared" ref="J8:J9" si="15">79*12*I8</f>
      </c>
      <c r="K8" s="175">
        <v>5</v>
      </c>
      <c r="L8" s="177">
        <f>189*12*K8-188</f>
      </c>
      <c r="M8" s="173">
        <f t="shared" ref="M8:M9" si="2">L8+J8+H8</f>
      </c>
      <c r="N8" s="173">
        <v>13780.18</v>
      </c>
      <c r="O8" s="178">
        <f t="shared" si="20"/>
      </c>
      <c r="P8" s="178">
        <f t="shared" si="18"/>
      </c>
      <c r="Q8" s="179">
        <f t="shared" si="8"/>
      </c>
      <c r="R8" s="180" t="s">
        <v>370</v>
      </c>
      <c r="S8" s="174">
        <v>8</v>
      </c>
      <c r="T8" s="181">
        <f t="shared" si="4"/>
      </c>
      <c r="U8" s="181">
        <f t="shared" si="21"/>
      </c>
      <c r="V8" s="181">
        <f t="shared" si="19"/>
      </c>
    </row>
    <row r="9">
      <c r="A9" s="172" t="s">
        <v>375</v>
      </c>
      <c r="B9" s="173" t="s">
        <v>371</v>
      </c>
      <c r="C9" s="174" t="s">
        <v>372</v>
      </c>
      <c r="D9" s="174">
        <v>4</v>
      </c>
      <c r="E9" s="174">
        <v>31</v>
      </c>
      <c r="F9" s="174">
        <v>10</v>
      </c>
      <c r="G9" s="175">
        <v>0</v>
      </c>
      <c r="H9" s="176">
        <f t="shared" si="10"/>
      </c>
      <c r="I9" s="173">
        <v>2</v>
      </c>
      <c r="J9" s="174">
        <f t="shared" si="15"/>
      </c>
      <c r="K9" s="175">
        <v>8</v>
      </c>
      <c r="L9" s="177">
        <f>189*12*K9</f>
      </c>
      <c r="M9" s="173">
        <f t="shared" si="2"/>
      </c>
      <c r="N9" s="173">
        <v>13250.18</v>
      </c>
      <c r="O9" s="178">
        <f t="shared" si="20"/>
      </c>
      <c r="P9" s="178">
        <f t="shared" si="18"/>
      </c>
      <c r="Q9" s="179">
        <f t="shared" si="8"/>
      </c>
      <c r="R9" s="180"/>
      <c r="S9" s="174"/>
      <c r="T9" s="181">
        <f t="shared" si="4"/>
      </c>
      <c r="U9" s="181">
        <f t="shared" si="21"/>
      </c>
      <c r="V9" s="181">
        <f t="shared" si="19"/>
      </c>
    </row>
    <row r="10">
      <c r="A10" s="182" t="s">
        <v>375</v>
      </c>
      <c r="B10" s="183" t="s">
        <v>373</v>
      </c>
      <c r="C10" s="184"/>
      <c r="D10" s="185">
        <f>SUM(D8:D9)</f>
      </c>
      <c r="E10" s="185">
        <f>SUM(E8:E9)</f>
      </c>
      <c r="F10" s="185">
        <f>SUM(F8:F9)</f>
      </c>
      <c r="G10" s="185">
        <f>SUM(G8:G9)</f>
      </c>
      <c r="H10" s="185">
        <f>SUM(H8:H9)</f>
      </c>
      <c r="I10" s="185">
        <f>SUM(I8:I9)</f>
      </c>
      <c r="J10" s="185">
        <f>SUM(J8:J9)</f>
      </c>
      <c r="K10" s="185">
        <f>SUM(K8:K9)</f>
      </c>
      <c r="L10" s="185">
        <f>SUM(L8:L9)</f>
      </c>
      <c r="M10" s="185">
        <f>SUM(M8:M9)</f>
      </c>
      <c r="N10" s="185">
        <f>SUM(N8:N9)</f>
      </c>
      <c r="O10" s="186">
        <f t="shared" si="20"/>
      </c>
      <c r="P10" s="187">
        <f t="shared" si="18"/>
      </c>
      <c r="Q10" s="188">
        <f t="shared" si="8"/>
      </c>
      <c r="R10" s="189"/>
      <c r="S10" s="185">
        <f>SUM(S8:S9)</f>
      </c>
      <c r="T10" s="190">
        <f t="shared" si="4"/>
      </c>
      <c r="U10" s="190">
        <f t="shared" si="21"/>
      </c>
      <c r="V10" s="190">
        <f t="shared" si="19"/>
      </c>
    </row>
    <row r="11">
      <c r="A11" s="172" t="s">
        <v>376</v>
      </c>
      <c r="B11" s="173" t="s">
        <v>368</v>
      </c>
      <c r="C11" s="174" t="s">
        <v>369</v>
      </c>
      <c r="D11" s="174">
        <v>4</v>
      </c>
      <c r="E11" s="174">
        <v>19</v>
      </c>
      <c r="F11" s="174">
        <v>9</v>
      </c>
      <c r="G11" s="175">
        <v>1</v>
      </c>
      <c r="H11" s="176">
        <f t="shared" ref="H11:H12" si="11">39*12*G11</f>
      </c>
      <c r="I11" s="173">
        <v>0</v>
      </c>
      <c r="J11" s="174">
        <f>79*12*I11</f>
      </c>
      <c r="K11" s="175">
        <v>8</v>
      </c>
      <c r="L11" s="177">
        <f t="shared" ref="L11:L12" si="6">189*12*K11</f>
      </c>
      <c r="M11" s="173">
        <f t="shared" ref="M11:M12" si="3">L11+J11+H11</f>
      </c>
      <c r="N11" s="173">
        <v>12943.69</v>
      </c>
      <c r="O11" s="178">
        <f t="shared" si="20"/>
      </c>
      <c r="P11" s="178">
        <f t="shared" si="18"/>
      </c>
      <c r="Q11" s="179">
        <f t="shared" si="8"/>
      </c>
      <c r="R11" s="180" t="s">
        <v>370</v>
      </c>
      <c r="S11" s="174">
        <v>8</v>
      </c>
      <c r="T11" s="181">
        <f t="shared" si="4"/>
      </c>
      <c r="U11" s="181">
        <f t="shared" si="21"/>
      </c>
      <c r="V11" s="181">
        <f t="shared" si="19"/>
      </c>
    </row>
    <row r="12">
      <c r="A12" s="172" t="s">
        <v>376</v>
      </c>
      <c r="B12" s="173" t="s">
        <v>371</v>
      </c>
      <c r="C12" s="174" t="s">
        <v>372</v>
      </c>
      <c r="D12" s="174">
        <v>4</v>
      </c>
      <c r="E12" s="174">
        <v>28</v>
      </c>
      <c r="F12" s="174">
        <v>12</v>
      </c>
      <c r="G12" s="175">
        <v>0</v>
      </c>
      <c r="H12" s="176">
        <f t="shared" si="11"/>
      </c>
      <c r="I12" s="173">
        <v>4</v>
      </c>
      <c r="J12" s="174">
        <f>79*12*I12-79</f>
      </c>
      <c r="K12" s="175">
        <v>8</v>
      </c>
      <c r="L12" s="177">
        <f t="shared" si="6"/>
      </c>
      <c r="M12" s="173">
        <f t="shared" si="3"/>
      </c>
      <c r="N12" s="173">
        <v>11145.220000000001</v>
      </c>
      <c r="O12" s="178">
        <f t="shared" si="20"/>
      </c>
      <c r="P12" s="178">
        <f t="shared" si="18"/>
      </c>
      <c r="Q12" s="179">
        <f t="shared" si="8"/>
      </c>
      <c r="R12" s="180"/>
      <c r="S12" s="174"/>
      <c r="T12" s="181">
        <f t="shared" si="4"/>
      </c>
      <c r="U12" s="181">
        <f t="shared" si="21"/>
      </c>
      <c r="V12" s="181">
        <f t="shared" si="19"/>
      </c>
    </row>
    <row r="13">
      <c r="A13" s="182" t="s">
        <v>376</v>
      </c>
      <c r="B13" s="183" t="s">
        <v>373</v>
      </c>
      <c r="C13" s="184"/>
      <c r="D13" s="185">
        <f>SUM(D11:D12)</f>
      </c>
      <c r="E13" s="185">
        <f>SUM(E11:E12)</f>
      </c>
      <c r="F13" s="185">
        <f>SUM(F11:F12)</f>
      </c>
      <c r="G13" s="185">
        <f>SUM(G11:G12)</f>
      </c>
      <c r="H13" s="185">
        <f>SUM(H11:H12)</f>
      </c>
      <c r="I13" s="185">
        <f>SUM(I11:I12)</f>
      </c>
      <c r="J13" s="185">
        <f>SUM(J11:J12)</f>
      </c>
      <c r="K13" s="185">
        <f>SUM(K11:K12)</f>
      </c>
      <c r="L13" s="185">
        <f>SUM(L11:L12)</f>
      </c>
      <c r="M13" s="185">
        <f>SUM(M11:M12)</f>
      </c>
      <c r="N13" s="185">
        <f>SUM(N11:N12)</f>
      </c>
      <c r="O13" s="186">
        <f t="shared" si="20"/>
      </c>
      <c r="P13" s="187">
        <f t="shared" si="18"/>
      </c>
      <c r="Q13" s="188">
        <f t="shared" si="8"/>
      </c>
      <c r="R13" s="189"/>
      <c r="S13" s="185">
        <f>SUM(S11:S12)</f>
      </c>
      <c r="T13" s="190">
        <f t="shared" si="4"/>
      </c>
      <c r="U13" s="190">
        <f t="shared" si="21"/>
      </c>
      <c r="V13" s="190">
        <f t="shared" si="19"/>
      </c>
    </row>
    <row r="14">
      <c r="A14" s="172" t="s">
        <v>377</v>
      </c>
      <c r="B14" s="173" t="s">
        <v>368</v>
      </c>
      <c r="C14" s="174" t="s">
        <v>369</v>
      </c>
      <c r="D14" s="174">
        <v>4</v>
      </c>
      <c r="E14" s="174">
        <v>43</v>
      </c>
      <c r="F14" s="174">
        <v>19</v>
      </c>
      <c r="G14" s="175">
        <v>0</v>
      </c>
      <c r="H14" s="176">
        <f t="shared" ref="H14:H15" si="12">39*12*G14</f>
      </c>
      <c r="I14" s="173">
        <v>2</v>
      </c>
      <c r="J14" s="174">
        <f t="shared" ref="J14:J15" si="16">79*12*I14</f>
      </c>
      <c r="K14" s="175">
        <v>17</v>
      </c>
      <c r="L14" s="177">
        <f t="shared" ref="L14:L15" si="7">189*12*K14</f>
      </c>
      <c r="M14" s="173">
        <f>L14+J14+H14</f>
      </c>
      <c r="N14" s="173">
        <v>19661.38</v>
      </c>
      <c r="O14" s="178">
        <f t="shared" si="20"/>
      </c>
      <c r="P14" s="178">
        <f t="shared" si="18"/>
      </c>
      <c r="Q14" s="179">
        <f t="shared" si="8"/>
      </c>
      <c r="R14" s="180" t="s">
        <v>370</v>
      </c>
      <c r="S14" s="174">
        <v>8</v>
      </c>
      <c r="T14" s="181">
        <f t="shared" si="4"/>
      </c>
      <c r="U14" s="181">
        <f t="shared" si="21"/>
      </c>
      <c r="V14" s="181">
        <f t="shared" si="19"/>
      </c>
    </row>
    <row r="15">
      <c r="A15" s="172" t="s">
        <v>377</v>
      </c>
      <c r="B15" s="173" t="s">
        <v>371</v>
      </c>
      <c r="C15" s="174" t="s">
        <v>372</v>
      </c>
      <c r="D15" s="174">
        <v>4</v>
      </c>
      <c r="E15" s="174">
        <v>40</v>
      </c>
      <c r="F15" s="174">
        <v>11</v>
      </c>
      <c r="G15" s="175">
        <v>0</v>
      </c>
      <c r="H15" s="176">
        <f t="shared" si="12"/>
      </c>
      <c r="I15" s="173">
        <v>1</v>
      </c>
      <c r="J15" s="174">
        <f t="shared" si="16"/>
      </c>
      <c r="K15" s="175">
        <v>8</v>
      </c>
      <c r="L15" s="177">
        <f t="shared" si="7"/>
      </c>
      <c r="M15" s="173">
        <f>L15+J15+H15+108+828</f>
      </c>
      <c r="N15" s="173">
        <v>16282.91</v>
      </c>
      <c r="O15" s="178">
        <f t="shared" si="20"/>
      </c>
      <c r="P15" s="178">
        <f t="shared" si="18"/>
      </c>
      <c r="Q15" s="179">
        <f t="shared" si="8"/>
      </c>
      <c r="R15" s="180"/>
      <c r="S15" s="174"/>
      <c r="T15" s="181">
        <f t="shared" si="4"/>
      </c>
      <c r="U15" s="181">
        <f t="shared" si="21"/>
      </c>
      <c r="V15" s="181">
        <f t="shared" si="19"/>
      </c>
    </row>
    <row r="16">
      <c r="A16" s="182" t="s">
        <v>377</v>
      </c>
      <c r="B16" s="183" t="s">
        <v>373</v>
      </c>
      <c r="C16" s="184"/>
      <c r="D16" s="185">
        <f>SUM(D14:D15)</f>
      </c>
      <c r="E16" s="185">
        <f>SUM(E14:E15)</f>
      </c>
      <c r="F16" s="185">
        <f>SUM(F14:F15)</f>
      </c>
      <c r="G16" s="185">
        <f>SUM(G14:G15)</f>
      </c>
      <c r="H16" s="185">
        <f>SUM(H14:H15)</f>
      </c>
      <c r="I16" s="185">
        <f>SUM(I14:I15)</f>
      </c>
      <c r="J16" s="185">
        <f>SUM(J14:J15)</f>
      </c>
      <c r="K16" s="185">
        <f>SUM(K14:K15)</f>
      </c>
      <c r="L16" s="185">
        <f>SUM(L14:L15)</f>
      </c>
      <c r="M16" s="185">
        <f>SUM(M14:M15)</f>
      </c>
      <c r="N16" s="185">
        <f>SUM(N14:N15)</f>
      </c>
      <c r="O16" s="186">
        <f t="shared" si="20"/>
      </c>
      <c r="P16" s="187">
        <f t="shared" si="18"/>
      </c>
      <c r="Q16" s="188">
        <f t="shared" si="8"/>
      </c>
      <c r="R16" s="189"/>
      <c r="S16" s="185">
        <f>SUM(S14:S15)</f>
      </c>
      <c r="T16" s="190">
        <f t="shared" si="4"/>
      </c>
      <c r="U16" s="190">
        <f t="shared" si="21"/>
      </c>
      <c r="V16" s="190">
        <f t="shared" si="19"/>
      </c>
    </row>
    <row r="17">
      <c r="A17" s="172" t="s">
        <v>378</v>
      </c>
      <c r="B17" s="173" t="s">
        <v>368</v>
      </c>
      <c r="C17" s="174" t="s">
        <v>369</v>
      </c>
      <c r="D17" s="174">
        <v>4</v>
      </c>
      <c r="E17" s="174">
        <v>55</v>
      </c>
      <c r="F17" s="174">
        <v>21</v>
      </c>
      <c r="G17" s="175">
        <v>1</v>
      </c>
      <c r="H17" s="176">
        <f>39*12*G17</f>
      </c>
      <c r="I17" s="173">
        <v>3</v>
      </c>
      <c r="J17" s="174">
        <f>79*12*I17-79</f>
      </c>
      <c r="K17" s="175">
        <v>17</v>
      </c>
      <c r="L17" s="177">
        <f>189*12*K17-188</f>
      </c>
      <c r="M17" s="173">
        <f>L17+J17+H17</f>
      </c>
      <c r="N17" s="173">
        <v>18836.74</v>
      </c>
      <c r="O17" s="178">
        <f t="shared" si="20"/>
      </c>
      <c r="P17" s="178">
        <f t="shared" si="18"/>
      </c>
      <c r="Q17" s="179">
        <f t="shared" si="8"/>
      </c>
      <c r="R17" s="180" t="s">
        <v>370</v>
      </c>
      <c r="S17" s="174">
        <v>8</v>
      </c>
      <c r="T17" s="181">
        <f t="shared" si="4"/>
      </c>
      <c r="U17" s="181">
        <f t="shared" si="21"/>
      </c>
      <c r="V17" s="181">
        <f t="shared" si="19"/>
      </c>
    </row>
    <row r="18">
      <c r="A18" s="172" t="s">
        <v>378</v>
      </c>
      <c r="B18" s="173" t="s">
        <v>371</v>
      </c>
      <c r="C18" s="174" t="s">
        <v>372</v>
      </c>
      <c r="D18" s="174">
        <v>4</v>
      </c>
      <c r="E18" s="174">
        <v>43</v>
      </c>
      <c r="F18" s="174">
        <v>17</v>
      </c>
      <c r="G18" s="175">
        <v>2</v>
      </c>
      <c r="H18" s="176">
        <f>39*12*G18-39</f>
      </c>
      <c r="I18" s="173">
        <v>3</v>
      </c>
      <c r="J18" s="174">
        <f>79*12*I18</f>
      </c>
      <c r="K18" s="175">
        <v>11</v>
      </c>
      <c r="L18" s="177">
        <f>189*12*K18</f>
      </c>
      <c r="M18" s="173">
        <f>L18+J18+H18+168</f>
      </c>
      <c r="N18" s="173">
        <v>18698.54</v>
      </c>
      <c r="O18" s="178">
        <f t="shared" si="20"/>
      </c>
      <c r="P18" s="178">
        <f t="shared" si="18"/>
      </c>
      <c r="Q18" s="179">
        <f t="shared" si="8"/>
      </c>
      <c r="R18" s="180"/>
      <c r="S18" s="174"/>
      <c r="T18" s="181">
        <f t="shared" si="4"/>
      </c>
      <c r="U18" s="181">
        <f t="shared" si="21"/>
      </c>
      <c r="V18" s="181">
        <f t="shared" si="19"/>
      </c>
    </row>
    <row r="19">
      <c r="A19" s="182" t="s">
        <v>378</v>
      </c>
      <c r="B19" s="183" t="s">
        <v>373</v>
      </c>
      <c r="C19" s="184"/>
      <c r="D19" s="185">
        <f>SUM(D17:D18)</f>
      </c>
      <c r="E19" s="185">
        <f>SUM(E17:E18)</f>
      </c>
      <c r="F19" s="185">
        <f>SUM(F17:F18)</f>
      </c>
      <c r="G19" s="185">
        <f>SUM(G17:G18)</f>
      </c>
      <c r="H19" s="185">
        <f>SUM(H17:H18)</f>
      </c>
      <c r="I19" s="185">
        <f>SUM(I17:I18)</f>
      </c>
      <c r="J19" s="185">
        <f>SUM(J17:J18)</f>
      </c>
      <c r="K19" s="185">
        <f>SUM(K17:K18)</f>
      </c>
      <c r="L19" s="185">
        <f>SUM(L17:L18)</f>
      </c>
      <c r="M19" s="185">
        <f>SUM(M17:M18)</f>
      </c>
      <c r="N19" s="185">
        <f>SUM(N17:N18)</f>
      </c>
      <c r="O19" s="186">
        <f t="shared" si="20"/>
      </c>
      <c r="P19" s="187">
        <f t="shared" si="18"/>
      </c>
      <c r="Q19" s="188">
        <f t="shared" si="8"/>
      </c>
      <c r="R19" s="189"/>
      <c r="S19" s="185">
        <f>SUM(S17:S18)</f>
      </c>
      <c r="T19" s="190">
        <f t="shared" si="4"/>
      </c>
      <c r="U19" s="190">
        <f t="shared" si="21"/>
      </c>
      <c r="V19" s="190">
        <f t="shared" si="19"/>
      </c>
    </row>
    <row r="20">
      <c r="A20" s="172" t="s">
        <v>379</v>
      </c>
      <c r="B20" s="173" t="s">
        <v>368</v>
      </c>
      <c r="C20" s="174" t="s">
        <v>369</v>
      </c>
      <c r="D20" s="174">
        <v>4</v>
      </c>
      <c r="E20" s="174">
        <v>22</v>
      </c>
      <c r="F20" s="174">
        <v>7</v>
      </c>
      <c r="G20" s="175">
        <v>0</v>
      </c>
      <c r="H20" s="176">
        <f t="shared" ref="H20:H21" si="13">39*12*G20</f>
      </c>
      <c r="I20" s="173">
        <v>1</v>
      </c>
      <c r="J20" s="174">
        <f t="shared" ref="J20:J21" si="17">79*12*I20</f>
      </c>
      <c r="K20" s="175">
        <v>4</v>
      </c>
      <c r="L20" s="177">
        <f t="shared" ref="L20:L21" si="22">189*12*K20-188</f>
      </c>
      <c r="M20" s="173">
        <f>L20+J20+H20+748.8</f>
      </c>
      <c r="N20" s="173">
        <v>16039.130000000001</v>
      </c>
      <c r="O20" s="178">
        <f t="shared" si="20"/>
      </c>
      <c r="P20" s="178">
        <f t="shared" si="18"/>
      </c>
      <c r="Q20" s="179">
        <f t="shared" si="8"/>
      </c>
      <c r="R20" s="180" t="s">
        <v>370</v>
      </c>
      <c r="S20" s="174">
        <v>8</v>
      </c>
      <c r="T20" s="181">
        <f t="shared" si="4"/>
      </c>
      <c r="U20" s="181">
        <f t="shared" si="21"/>
      </c>
      <c r="V20" s="181">
        <f t="shared" si="19"/>
      </c>
    </row>
    <row r="21">
      <c r="A21" s="172" t="s">
        <v>379</v>
      </c>
      <c r="B21" s="173" t="s">
        <v>371</v>
      </c>
      <c r="C21" s="174" t="s">
        <v>372</v>
      </c>
      <c r="D21" s="174">
        <v>4</v>
      </c>
      <c r="E21" s="174">
        <v>27</v>
      </c>
      <c r="F21" s="174">
        <v>9</v>
      </c>
      <c r="G21" s="175">
        <v>0</v>
      </c>
      <c r="H21" s="176">
        <f t="shared" si="13"/>
      </c>
      <c r="I21" s="173">
        <v>0</v>
      </c>
      <c r="J21" s="174">
        <f t="shared" si="17"/>
      </c>
      <c r="K21" s="175">
        <v>8</v>
      </c>
      <c r="L21" s="177">
        <f t="shared" si="22"/>
      </c>
      <c r="M21" s="173">
        <f>L21+J21+H21+108</f>
      </c>
      <c r="N21" s="173">
        <v>12549.460000000001</v>
      </c>
      <c r="O21" s="178">
        <f t="shared" si="20"/>
      </c>
      <c r="P21" s="178">
        <f t="shared" si="18"/>
      </c>
      <c r="Q21" s="179">
        <f t="shared" si="8"/>
      </c>
      <c r="R21" s="180"/>
      <c r="S21" s="174"/>
      <c r="T21" s="181">
        <f t="shared" si="4"/>
      </c>
      <c r="U21" s="181">
        <f t="shared" si="21"/>
      </c>
      <c r="V21" s="181">
        <f t="shared" si="19"/>
      </c>
    </row>
    <row r="22">
      <c r="A22" s="182" t="s">
        <v>379</v>
      </c>
      <c r="B22" s="183" t="s">
        <v>373</v>
      </c>
      <c r="C22" s="184"/>
      <c r="D22" s="185">
        <f>SUM(D20:D21)</f>
      </c>
      <c r="E22" s="185">
        <f>SUM(E20:E21)</f>
      </c>
      <c r="F22" s="185">
        <f>SUM(F20:F21)</f>
      </c>
      <c r="G22" s="185">
        <f>SUM(G20:G21)</f>
      </c>
      <c r="H22" s="185">
        <f>SUM(H20:H21)</f>
      </c>
      <c r="I22" s="185">
        <f>SUM(I20:I21)</f>
      </c>
      <c r="J22" s="185">
        <f>SUM(J20:J21)</f>
      </c>
      <c r="K22" s="185">
        <f>SUM(K20:K21)</f>
      </c>
      <c r="L22" s="185">
        <f>SUM(L20:L21)</f>
      </c>
      <c r="M22" s="185">
        <f>SUM(M20:M21)</f>
      </c>
      <c r="N22" s="185">
        <f>SUM(N20:N21)</f>
      </c>
      <c r="O22" s="186">
        <f t="shared" si="20"/>
      </c>
      <c r="P22" s="187">
        <f t="shared" si="18"/>
      </c>
      <c r="Q22" s="188">
        <f t="shared" si="8"/>
      </c>
      <c r="R22" s="189"/>
      <c r="S22" s="185">
        <f>SUM(S20:S21)</f>
      </c>
      <c r="T22" s="190">
        <f t="shared" si="4"/>
      </c>
      <c r="U22" s="190">
        <f t="shared" si="21"/>
      </c>
      <c r="V22" s="190">
        <f t="shared" si="19"/>
      </c>
    </row>
  </sheetData>
  <autoFilter ref="A1:V2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