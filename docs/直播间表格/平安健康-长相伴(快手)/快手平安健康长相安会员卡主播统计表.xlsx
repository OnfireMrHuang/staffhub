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7" sheetId="2" r:id="rId5"/>
    <sheet name="2026.8" sheetId="3" r:id="rId7"/>
    <sheet name="2026.9" sheetId="4" r:id="rId9"/>
    <sheet name="2026.10" sheetId="5" r:id="rId11"/>
    <sheet name="Sheet4" sheetId="6" r:id="rId12"/>
  </sheets>
  <calcPr calcMode="auto"/>
  <pivotCaches>
    <pivotCache cacheId="1" r:id="rId6"/>
    <pivotCache cacheId="2" r:id="rId8"/>
    <pivotCache cacheId="3" r:id="rId10"/>
    <pivotCache cacheId="4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<sst xmlns="http://schemas.openxmlformats.org/spreadsheetml/2006/main" count="255" uniqueCount="255">
  <si>
    <t xml:space="preserve">  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</si>
  <si>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</si>
  <si>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</si>
  <si>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</si>
  <si>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</si>
  <si>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</si>
  <si>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</si>
  <si>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</si>
  <si>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月缴单量</t>
  </si>
  <si>
    <t xml:space="preserve">月交保费</t>
  </si>
  <si>
    <t xml:space="preserve">年缴单量</t>
  </si>
  <si>
    <t xml:space="preserve">年缴保费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</si>
  <si>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</si>
  <si>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</si>
  <si>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</si>
  <si>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</si>
  <si>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</si>
  <si>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</si>
  <si>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投手</t>
  </si>
  <si>
    <t xml:space="preserve">展示数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</si>
  <si>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</si>
  <si>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</si>
  <si>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</si>
  <si>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</si>
  <si>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</si>
  <si>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</si>
  <si>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</si>
  <si>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</si>
  <si>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</si>
  <si>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</si>
  <si>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</si>
  <si>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</si>
  <si>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</si>
  <si>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</si>
  <si>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谢子柔</t>
  </si>
  <si>
    <t xml:space="preserve">20:00-23:00</t>
  </si>
  <si>
    <t xml:space="preserve">卢佳轩</t>
  </si>
  <si>
    <t xml:space="preserve">秦博塬</t>
  </si>
  <si>
    <t xml:space="preserve">20:00-22:00</t>
  </si>
  <si>
    <t xml:space="preserve">赵子淳</t>
  </si>
  <si>
    <t xml:space="preserve">22:00-24:00</t>
  </si>
  <si>
    <t xml:space="preserve">朱明双</t>
  </si>
  <si>
    <t xml:space="preserve">李叶叶双</t>
  </si>
  <si>
    <t xml:space="preserve">李叶叶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</si>
  <si>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</si>
  <si>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</si>
  <si>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</si>
  <si>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</si>
  <si>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</si>
  <si>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</si>
  <si>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</si>
  <si>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单量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</si>
  <si>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</si>
  <si>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</si>
  <si>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</si>
  <si>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</si>
  <si>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</si>
  <si>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</si>
  <si>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投手</t>
  </si>
  <si>
    <t xml:space="preserve">2026.8.12</t>
  </si>
  <si>
    <t xml:space="preserve">周梓涵 /马强</t>
  </si>
  <si>
    <t xml:space="preserve">16:00-18:00</t>
  </si>
  <si>
    <t xml:space="preserve">郭子泉/康昊杰</t>
  </si>
  <si>
    <t xml:space="preserve">18:00-20:00</t>
  </si>
  <si>
    <t xml:space="preserve">任子硕双</t>
  </si>
  <si>
    <t xml:space="preserve">秦博塬</t>
  </si>
  <si>
    <t xml:space="preserve">20:00-22:00</t>
  </si>
  <si>
    <t xml:space="preserve">22:00-24:00</t>
  </si>
  <si>
    <t xml:space="preserve">2026.8.13</t>
  </si>
  <si>
    <t xml:space="preserve">任子硕</t>
  </si>
  <si>
    <t xml:space="preserve">2026.8.14</t>
  </si>
  <si>
    <t xml:space="preserve">2026.8.15</t>
  </si>
  <si>
    <t xml:space="preserve">14:00-16:00</t>
  </si>
  <si>
    <t xml:space="preserve">2026.8.16</t>
  </si>
  <si>
    <t xml:space="preserve">王学伟双</t>
  </si>
  <si>
    <t xml:space="preserve">2026.8.17</t>
  </si>
  <si>
    <t xml:space="preserve">贾占通</t>
  </si>
  <si>
    <t xml:space="preserve">2026.8.18</t>
  </si>
  <si>
    <t xml:space="preserve">2026.8.19</t>
  </si>
  <si>
    <t xml:space="preserve">17:00-19:00</t>
  </si>
  <si>
    <t xml:space="preserve">19:00-21:00</t>
  </si>
  <si>
    <t xml:space="preserve">2026.8.20</t>
  </si>
  <si>
    <t xml:space="preserve">2026.8.21</t>
  </si>
  <si>
    <t xml:space="preserve">17:00-21:00</t>
  </si>
  <si>
    <t xml:space="preserve">2026.8.22</t>
  </si>
  <si>
    <t xml:space="preserve">周梓涵 /郭子泉</t>
  </si>
  <si>
    <t xml:space="preserve">2026.8.23</t>
  </si>
  <si>
    <t xml:space="preserve">2026.8.24</t>
  </si>
  <si>
    <t xml:space="preserve">2026.8.25</t>
  </si>
  <si>
    <t xml:space="preserve">张靖瑶 /郭子泉</t>
  </si>
  <si>
    <t xml:space="preserve">2026.8.26</t>
  </si>
  <si>
    <t xml:space="preserve">周梓涵&amp;王晨</t>
  </si>
  <si>
    <t xml:space="preserve">2026.8.27</t>
  </si>
  <si>
    <t xml:space="preserve">郭子泉&amp;张靖瑶</t>
  </si>
  <si>
    <t xml:space="preserve">2026.8.28</t>
  </si>
  <si>
    <t xml:space="preserve">周梓涵&amp;马强</t>
  </si>
  <si>
    <t xml:space="preserve">2026.8.29</t>
  </si>
  <si>
    <t xml:space="preserve">马强&amp;郭子泉</t>
  </si>
  <si>
    <t xml:space="preserve">2026.8.30</t>
  </si>
  <si>
    <t xml:space="preserve">2026.8.31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</si>
  <si>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</si>
  <si>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</si>
  <si>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</si>
  <si>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</si>
  <si>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</si>
  <si>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</si>
  <si>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</si>
  <si>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单量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</si>
  <si>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</si>
  <si>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</si>
  <si>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</si>
  <si>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</si>
  <si>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</si>
  <si>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</si>
  <si>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投手</t>
  </si>
  <si>
    <t xml:space="preserve">2026.9.1</t>
  </si>
  <si>
    <t xml:space="preserve">周梓涵&amp;马强</t>
  </si>
  <si>
    <t xml:space="preserve">17:00-21:00</t>
  </si>
  <si>
    <t xml:space="preserve">贾占通双</t>
  </si>
  <si>
    <t xml:space="preserve">2026.9.2</t>
  </si>
  <si>
    <t xml:space="preserve">王晨&amp;郭子泉</t>
  </si>
  <si>
    <t xml:space="preserve">2026.9.3</t>
  </si>
  <si>
    <t xml:space="preserve">2026.9.4</t>
  </si>
  <si>
    <t xml:space="preserve">2026.9.5</t>
  </si>
  <si>
    <t xml:space="preserve">2026.9.6</t>
  </si>
  <si>
    <t xml:space="preserve">2026.9.7</t>
  </si>
  <si>
    <t xml:space="preserve">2026.9.8</t>
  </si>
  <si>
    <t xml:space="preserve">2026.9.9</t>
  </si>
  <si>
    <t xml:space="preserve">2026.9.10</t>
  </si>
  <si>
    <t xml:space="preserve">王晨</t>
  </si>
  <si>
    <t xml:space="preserve">2026.9.11</t>
  </si>
  <si>
    <t xml:space="preserve">李寒玉</t>
  </si>
  <si>
    <t xml:space="preserve">2026.9.12</t>
  </si>
  <si>
    <t xml:space="preserve">李寒玉双</t>
  </si>
  <si>
    <t xml:space="preserve">2026.9.13</t>
  </si>
  <si>
    <t xml:space="preserve">2026.9.14</t>
  </si>
  <si>
    <t xml:space="preserve">2026.9.15</t>
  </si>
  <si>
    <t xml:space="preserve">2026.9.16</t>
  </si>
  <si>
    <t xml:space="preserve">2026.9.17</t>
  </si>
  <si>
    <t xml:space="preserve">王晨&amp;马强</t>
  </si>
  <si>
    <t xml:space="preserve">2026.9.18</t>
  </si>
  <si>
    <t xml:space="preserve">郭子泉&amp;王晨</t>
  </si>
  <si>
    <t xml:space="preserve">2026.9.19</t>
  </si>
  <si>
    <t xml:space="preserve">2026.9.20</t>
  </si>
  <si>
    <t xml:space="preserve">2026.9.21</t>
  </si>
  <si>
    <t xml:space="preserve">17:00-18:00</t>
  </si>
  <si>
    <t xml:space="preserve">求和项:时长-2</t>
  </si>
  <si>
    <t xml:space="preserve">总计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</si>
  <si>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</si>
  <si>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</si>
  <si>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</si>
  <si>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</si>
  <si>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</si>
  <si>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</si>
  <si>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</si>
  <si>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单量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</si>
  <si>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</si>
  <si>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</si>
  <si>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</si>
  <si>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</si>
  <si>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</si>
  <si>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</t>
  </si>
  <si>
    <t xml:space="preserve">投手</t>
  </si>
  <si>
    <t xml:space="preserve">2026.10.5</t>
  </si>
  <si>
    <t xml:space="preserve">周梓涵&amp;马强</t>
  </si>
  <si>
    <t xml:space="preserve">19:00-21:00</t>
  </si>
  <si>
    <t xml:space="preserve">李寒玉双</t>
  </si>
  <si>
    <t xml:space="preserve">2026.10.6</t>
  </si>
  <si>
    <t xml:space="preserve">王晨&amp;马强</t>
  </si>
  <si>
    <t xml:space="preserve">2026.10.7</t>
  </si>
  <si>
    <t xml:space="preserve">周梓涵&amp;王晨</t>
  </si>
  <si>
    <t xml:space="preserve">2026.10.8</t>
  </si>
  <si>
    <t xml:space="preserve">马强&amp;王晨</t>
  </si>
  <si>
    <t xml:space="preserve">2026.10.9</t>
  </si>
  <si>
    <t xml:space="preserve">马强&amp;周梓涵</t>
  </si>
  <si>
    <t xml:space="preserve">时间</t>
  </si>
  <si>
    <t xml:space="preserve">消耗</t>
  </si>
  <si>
    <t xml:space="preserve">观众人数</t>
  </si>
  <si>
    <t xml:space="preserve">最高在线人数</t>
  </si>
  <si>
    <t xml:space="preserve">人均看播时长</t>
  </si>
  <si>
    <t xml:space="preserve">评论人数</t>
  </si>
  <si>
    <t xml:space="preserve">点赞次数</t>
  </si>
  <si>
    <t xml:space="preserve">净增粉丝</t>
  </si>
  <si>
    <t xml:space="preserve">主动看播天数</t>
  </si>
  <si>
    <t xml:space="preserve">王学伟双</t>
  </si>
  <si>
    <t xml:space="preserve">2026.10.10</t>
  </si>
  <si>
    <t xml:space="preserve">马强&amp;王晨/郭子泉&amp;王晨</t>
  </si>
  <si>
    <t xml:space="preserve">8:00-10:00/19:00-21:00</t>
  </si>
  <si>
    <t xml:space="preserve">贾占通双</t>
  </si>
  <si>
    <t xml:space="preserve">2026.10.11</t>
  </si>
  <si>
    <t xml:space="preserve">周梓涵&amp;郭子泉</t>
  </si>
  <si>
    <t xml:space="preserve">8:00-10:00</t>
  </si>
  <si>
    <t xml:space="preserve">合计</t>
  </si>
  <si>
    <t xml:space="preserve">2026.10.12</t>
  </si>
  <si>
    <t xml:space="preserve">2026.10.13</t>
  </si>
  <si>
    <t xml:space="preserve">郭子泉&amp;王晨</t>
  </si>
  <si>
    <t xml:space="preserve">2026.10.14</t>
  </si>
  <si>
    <t xml:space="preserve">李寒玉</t>
  </si>
  <si>
    <t xml:space="preserve">马强&amp;王伟</t>
  </si>
  <si>
    <t xml:space="preserve">19:00-20:00</t>
  </si>
  <si>
    <t xml:space="preserve">20:00-21:00</t>
  </si>
  <si>
    <t xml:space="preserve">2026.10.15</t>
  </si>
  <si>
    <t xml:space="preserve">王志红&amp;马强</t>
  </si>
  <si>
    <t xml:space="preserve">8:00-9:00</t>
  </si>
  <si>
    <t xml:space="preserve">9:00-10:00</t>
  </si>
  <si>
    <t xml:space="preserve">马强&amp;王轩</t>
  </si>
  <si>
    <t xml:space="preserve">2026.10.16</t>
  </si>
  <si>
    <t xml:space="preserve">2026.10.17</t>
  </si>
  <si>
    <t xml:space="preserve">张志红&amp;马强</t>
  </si>
  <si>
    <t xml:space="preserve">王晨&amp;周梓涵</t>
  </si>
  <si>
    <t xml:space="preserve">2026.10.18</t>
  </si>
  <si>
    <t xml:space="preserve">10:00-11:30</t>
  </si>
  <si>
    <t xml:space="preserve">19:00-20:30</t>
  </si>
  <si>
    <t xml:space="preserve">2026.10.19</t>
  </si>
  <si>
    <t xml:space="preserve">王轩&amp;马强</t>
  </si>
  <si>
    <t xml:space="preserve">日期</t>
  </si>
  <si>
    <t xml:space="preserve">主播</t>
  </si>
  <si>
    <t xml:space="preserve">直播时段</t>
  </si>
  <si>
    <t xml:space="preserve">时长</t>
  </si>
  <si>
    <t xml:space="preserve">2026.8.12</t>
  </si>
  <si>
    <t xml:space="preserve">周梓涵 /马强</t>
  </si>
  <si>
    <t xml:space="preserve">16:00-18:00</t>
  </si>
  <si>
    <t xml:space="preserve">郭子泉/康昊杰</t>
  </si>
  <si>
    <t xml:space="preserve">18:00-20:00</t>
  </si>
  <si>
    <t xml:space="preserve">20:00-22:00</t>
  </si>
  <si>
    <t xml:space="preserve">22:00-24:00</t>
  </si>
  <si>
    <t xml:space="preserve">2026.8.13</t>
  </si>
  <si>
    <t xml:space="preserve">2026.8.14</t>
  </si>
  <si>
    <t xml:space="preserve">2026.8.15</t>
  </si>
  <si>
    <t xml:space="preserve">14:00-16:00</t>
  </si>
  <si>
    <t xml:space="preserve">2026.8.16</t>
  </si>
  <si>
    <t xml:space="preserve">2026.8.17</t>
  </si>
  <si>
    <t xml:space="preserve">2026.8.18</t>
  </si>
  <si>
    <t xml:space="preserve">2026.8.19</t>
  </si>
  <si>
    <t xml:space="preserve">17:00-19:00</t>
  </si>
  <si>
    <t xml:space="preserve">19:00-21:00</t>
  </si>
  <si>
    <t xml:space="preserve">2026.8.20</t>
  </si>
  <si>
    <t xml:space="preserve">2026.8.21</t>
  </si>
  <si>
    <t xml:space="preserve">17:00-21:00</t>
  </si>
  <si>
    <t xml:space="preserve">2026.8.22</t>
  </si>
  <si>
    <t xml:space="preserve">周梓涵 /郭子泉</t>
  </si>
  <si>
    <t xml:space="preserve">2026.8.23</t>
  </si>
  <si>
    <t xml:space="preserve">2026.8.24</t>
  </si>
  <si>
    <t xml:space="preserve">2026.8.25</t>
  </si>
  <si>
    <t xml:space="preserve">张靖瑶 /郭子泉</t>
  </si>
  <si>
    <t xml:space="preserve">2026.8.26</t>
  </si>
  <si>
    <t xml:space="preserve">周梓涵&amp;王晨</t>
  </si>
  <si>
    <t xml:space="preserve">2026.8.27</t>
  </si>
  <si>
    <t xml:space="preserve">郭子泉&amp;张靖瑶</t>
  </si>
  <si>
    <t xml:space="preserve">2026.8.28</t>
  </si>
  <si>
    <t xml:space="preserve">周梓涵&amp;马强</t>
  </si>
  <si>
    <t xml:space="preserve">2026.8.29</t>
  </si>
  <si>
    <t xml:space="preserve">马强&amp;郭子泉</t>
  </si>
  <si>
    <t xml:space="preserve">2026.8.30</t>
  </si>
  <si>
    <t xml:space="preserve">2026.8.31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</si>
</sst>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164" formatCode="yyyy/MM/dd"/>
    <numFmt numFmtId="165" formatCode="#,##0.00_ "/>
    <numFmt numFmtId="166" formatCode="#,##0.00"/>
    <numFmt numFmtId="167" formatCode="0.00_);[Red]\(0.00\)"/>
    <numFmt numFmtId="168" formatCode="#,##0"/>
    <numFmt numFmtId="169" formatCode="0.00%"/>
    <numFmt numFmtId="170" formatCode="0.00_ "/>
    <numFmt numFmtId="171" formatCode="yyyy/MM/dd"/>
    <numFmt numFmtId="172" formatCode="#,##0.00"/>
    <numFmt numFmtId="173" formatCode="0.00_);[Red]\(0.00\)"/>
    <numFmt numFmtId="174" formatCode="0.00"/>
    <numFmt numFmtId="175" formatCode="yyyy/MM/dd"/>
    <numFmt numFmtId="176" formatCode="#,##0.00"/>
    <numFmt numFmtId="177" formatCode="0.00_);[Red]\(0.00\)"/>
    <numFmt numFmtId="178" formatCode="yyyy/MM/dd"/>
    <numFmt numFmtId="179" formatCode="#,##0.00"/>
    <numFmt numFmtId="180" formatCode="0.00_);[Red]\(0.00\)"/>
    <numFmt numFmtId="181" formatCode="General"/>
    <numFmt numFmtId="182" formatCode="yyyy/MM/dd"/>
  </numFmts>
  <fonts count="10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A415C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</fonts>
  <fills count="3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F57AC0"/>
        <bgColor/>
      </patternFill>
    </fill>
    <fill>
      <patternFill patternType="solid">
        <fgColor rgb="FFFFFF00"/>
        <bgColor/>
      </patternFill>
    </fill>
    <fill>
      <patternFill patternType="solid">
        <fgColor rgb="FFF76964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FC000"/>
        <bgColor/>
      </patternFill>
    </fill>
    <fill>
      <patternFill patternType="solid">
        <fgColor rgb="FFFDEBFF"/>
        <bgColor/>
      </patternFill>
    </fill>
    <fill>
      <patternFill patternType="solid">
        <fgColor rgb="FFF57AC0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FC000"/>
        <bgColor/>
      </patternFill>
    </fill>
    <fill>
      <patternFill patternType="solid">
        <fgColor rgb="FFFDEBFF"/>
        <bgColor/>
      </patternFill>
    </fill>
    <fill>
      <patternFill patternType="solid">
        <fgColor rgb="FFF57AC0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FC000"/>
        <bgColor/>
      </patternFill>
    </fill>
    <fill>
      <patternFill patternType="solid">
        <fgColor rgb="FFFDEBFF"/>
        <bgColor/>
      </patternFill>
    </fill>
    <fill>
      <patternFill patternType="solid">
        <fgColor rgb="FFF57AC0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FC000"/>
        <bgColor/>
      </patternFill>
    </fill>
    <fill>
      <patternFill patternType="solid">
        <fgColor rgb="FFFDDDEF"/>
        <bgColor/>
      </patternFill>
    </fill>
    <fill>
      <patternFill patternType="solid">
        <fgColor rgb="FFBACEFD"/>
        <bgColor/>
      </patternFill>
    </fill>
    <fill>
      <patternFill patternType="solid">
        <fgColor rgb="FFFFFFFF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FFFF00"/>
        <bgColor/>
      </patternFill>
    </fill>
    <fill>
      <patternFill patternType="solid">
        <fgColor rgb="FFFDEBFF"/>
        <bgColor/>
      </patternFill>
    </fill>
    <fill>
      <patternFill patternType="solid">
        <fgColor rgb="FFFFC000"/>
        <bgColor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5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true" applyProtection="false" borderId="1" fillId="6" fontId="1" numFmtId="166" xfId="0">
      <alignment horizontal="center" vertical="center"/>
    </xf>
    <xf applyAlignment="true" applyBorder="false" applyFill="true" applyFont="true" applyNumberFormat="true" applyProtection="false" borderId="1" fillId="7" fontId="2" numFmtId="167" xfId="0">
      <alignment horizontal="center" vertical="center"/>
    </xf>
    <xf applyAlignment="true" applyBorder="false" applyFill="true" applyFont="true" applyNumberFormat="true" applyProtection="false" borderId="1" fillId="7" fontId="1" numFmtId="167" xfId="0">
      <alignment horizontal="center" vertical="center"/>
    </xf>
    <xf applyAlignment="true" applyBorder="false" applyFill="true" applyFont="true" applyNumberFormat="true" applyProtection="false" borderId="2" fillId="7" fontId="1" numFmtId="167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true" applyProtection="false" borderId="5" fillId="0" fontId="1" numFmtId="168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true" applyProtection="false" borderId="1" fillId="7" fontId="1" numFmtId="169" xfId="0">
      <alignment horizontal="center" vertical="center"/>
    </xf>
    <xf applyAlignment="true" applyBorder="false" applyFill="true" applyFont="true" applyNumberFormat="true" applyProtection="false" borderId="1" fillId="7" fontId="1" numFmtId="170" xfId="0">
      <alignment horizontal="center" vertical="center"/>
    </xf>
    <xf applyAlignment="true" applyBorder="false" applyFill="true" applyFont="true" applyNumberFormat="true" applyProtection="false" borderId="1" fillId="7" fontId="3" numFmtId="169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true" applyProtection="false" borderId="7" fillId="8" fontId="3" numFmtId="164" xfId="0">
      <alignment horizontal="center" vertical="center"/>
    </xf>
    <xf applyAlignment="true" applyBorder="false" applyFill="true" applyFont="true" applyNumberFormat="false" applyProtection="false" borderId="7" fillId="8" fontId="3" numFmtId="0" xfId="0">
      <alignment horizontal="center" vertical="center"/>
    </xf>
    <xf applyAlignment="true" applyBorder="false" applyFill="true" applyFont="true" applyNumberFormat="true" applyProtection="false" borderId="1" fillId="8" fontId="3" numFmtId="167" xfId="0">
      <alignment horizontal="center" vertical="center"/>
    </xf>
    <xf applyAlignment="true" applyBorder="false" applyFill="true" applyFont="true" applyNumberFormat="false" applyProtection="false" borderId="2" fillId="8" fontId="3" numFmtId="0" xfId="0">
      <alignment horizontal="center" vertical="center"/>
    </xf>
    <xf applyAlignment="true" applyBorder="false" applyFill="true" applyFont="true" applyNumberFormat="false" applyProtection="false" borderId="4" fillId="8" fontId="3" numFmtId="0" xfId="0">
      <alignment horizontal="center" vertical="center"/>
    </xf>
    <xf applyAlignment="true" applyBorder="false" applyFill="true" applyFont="true" applyNumberFormat="false" applyProtection="false" borderId="8" fillId="8" fontId="3" numFmtId="0" xfId="0">
      <alignment horizontal="center" vertical="center"/>
    </xf>
    <xf applyAlignment="true" applyBorder="false" applyFill="true" applyFont="true" applyNumberFormat="false" applyProtection="false" borderId="9" fillId="8" fontId="3" numFmtId="0" xfId="0">
      <alignment horizontal="center" vertical="center"/>
    </xf>
    <xf applyAlignment="true" applyBorder="false" applyFill="true" applyFont="true" applyNumberFormat="false" applyProtection="false" borderId="5" fillId="8" fontId="3" numFmtId="0" xfId="0">
      <alignment horizontal="center" vertical="center"/>
    </xf>
    <xf applyAlignment="true" applyBorder="false" applyFill="true" applyFont="true" applyNumberFormat="true" applyProtection="false" borderId="7" fillId="8" fontId="3" numFmtId="169" xfId="0">
      <alignment horizontal="center" vertical="center"/>
    </xf>
    <xf applyAlignment="true" applyBorder="false" applyFill="true" applyFont="true" applyNumberFormat="true" applyProtection="false" borderId="1" fillId="8" fontId="3" numFmtId="17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true" applyFont="true" applyNumberFormat="true" applyProtection="false" borderId="7" fillId="8" fontId="3" numFmtId="164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false" applyProtection="false" borderId="7" fillId="8" fontId="3" numFmtId="0" xfId="0">
      <alignment horizontal="center" vertical="center"/>
    </xf>
    <xf applyAlignment="true" applyBorder="false" applyFill="false" applyFont="true" applyNumberFormat="true" applyProtection="false" borderId="0" fillId="0" fontId="4" numFmtId="168" xfId="0">
      <alignment vertical="center"/>
    </xf>
    <xf applyAlignment="true" applyBorder="false" applyFill="true" applyFont="true" applyNumberFormat="true" applyProtection="false" borderId="10" fillId="9" fontId="1" numFmtId="171" xfId="0">
      <alignment horizontal="center" vertical="center"/>
    </xf>
    <xf applyAlignment="true" applyBorder="false" applyFill="true" applyFont="true" applyNumberFormat="false" applyProtection="false" borderId="10" fillId="9" fontId="1" numFmtId="0" xfId="0">
      <alignment horizontal="center" vertical="center"/>
    </xf>
    <xf applyAlignment="true" applyBorder="false" applyFill="true" applyFont="true" applyNumberFormat="false" applyProtection="false" borderId="10" fillId="10" fontId="1" numFmtId="0" xfId="0">
      <alignment horizontal="center" vertical="center"/>
    </xf>
    <xf applyAlignment="true" applyBorder="false" applyFill="true" applyFont="true" applyNumberFormat="true" applyProtection="false" borderId="10" fillId="9" fontId="1" numFmtId="171" xfId="0">
      <alignment horizontal="center" vertical="center"/>
    </xf>
    <xf applyAlignment="true" applyBorder="false" applyFill="true" applyFont="true" applyNumberFormat="false" applyProtection="false" borderId="11" fillId="9" fontId="1" numFmtId="0" xfId="0">
      <alignment horizontal="center" vertical="center"/>
    </xf>
    <xf applyAlignment="true" applyBorder="false" applyFill="true" applyFont="true" applyNumberFormat="false" applyProtection="false" borderId="12" fillId="9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false" applyProtection="false" borderId="10" fillId="9" fontId="1" numFmtId="0" xfId="0">
      <alignment horizontal="center" vertical="center"/>
    </xf>
    <xf applyAlignment="true" applyBorder="false" applyFill="true" applyFont="true" applyNumberFormat="true" applyProtection="false" borderId="10" fillId="11" fontId="1" numFmtId="172" xfId="0">
      <alignment horizontal="center" vertical="center"/>
    </xf>
    <xf applyAlignment="true" applyBorder="false" applyFill="true" applyFont="true" applyNumberFormat="true" applyProtection="false" borderId="10" fillId="12" fontId="2" numFmtId="173" xfId="0">
      <alignment horizontal="center" vertical="center"/>
    </xf>
    <xf applyAlignment="true" applyBorder="false" applyFill="true" applyFont="true" applyNumberFormat="true" applyProtection="false" borderId="10" fillId="12" fontId="1" numFmtId="173" xfId="0">
      <alignment horizontal="center" vertical="center"/>
    </xf>
    <xf applyAlignment="true" applyBorder="false" applyFill="true" applyFont="true" applyNumberFormat="true" applyProtection="false" borderId="11" fillId="12" fontId="1" numFmtId="173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true" applyProtection="false" borderId="10" fillId="11" fontId="1" numFmtId="172" xfId="0">
      <alignment horizontal="center" vertical="center"/>
    </xf>
    <xf applyAlignment="true" applyBorder="false" applyFill="true" applyFont="true" applyNumberFormat="true" applyProtection="false" borderId="16" fillId="13" fontId="3" numFmtId="171" xfId="0">
      <alignment horizontal="center" vertical="center"/>
    </xf>
    <xf applyAlignment="true" applyBorder="false" applyFill="true" applyFont="true" applyNumberFormat="false" applyProtection="false" borderId="16" fillId="13" fontId="3" numFmtId="0" xfId="0">
      <alignment horizontal="center" vertical="center"/>
    </xf>
    <xf applyAlignment="true" applyBorder="false" applyFill="true" applyFont="true" applyNumberFormat="true" applyProtection="false" borderId="10" fillId="13" fontId="3" numFmtId="173" xfId="0">
      <alignment horizontal="center" vertical="center"/>
    </xf>
    <xf applyAlignment="true" applyBorder="false" applyFill="true" applyFont="true" applyNumberFormat="false" applyProtection="false" borderId="11" fillId="13" fontId="3" numFmtId="0" xfId="0">
      <alignment horizontal="center" vertical="center"/>
    </xf>
    <xf applyAlignment="true" applyBorder="false" applyFill="true" applyFont="true" applyNumberFormat="false" applyProtection="false" borderId="17" fillId="13" fontId="3" numFmtId="0" xfId="0">
      <alignment horizontal="center" vertical="center"/>
    </xf>
    <xf applyAlignment="true" applyBorder="false" applyFill="true" applyFont="true" applyNumberFormat="false" applyProtection="false" borderId="12" fillId="9" fontId="5" numFmtId="0" xfId="0">
      <alignment horizontal="center" vertical="center"/>
    </xf>
    <xf applyAlignment="true" applyBorder="false" applyFill="true" applyFont="true" applyNumberFormat="true" applyProtection="false" borderId="16" fillId="13" fontId="3" numFmtId="174" xfId="0">
      <alignment horizontal="center" vertical="center"/>
    </xf>
    <xf applyAlignment="true" applyBorder="false" applyFill="true" applyFont="true" applyNumberFormat="true" applyProtection="false" borderId="16" fillId="13" fontId="3" numFmtId="171" xfId="0">
      <alignment horizontal="center" vertical="center"/>
    </xf>
    <xf applyAlignment="true" applyBorder="false" applyFill="true" applyFont="true" applyNumberFormat="true" applyProtection="false" borderId="16" fillId="13" fontId="3" numFmtId="174" xfId="0">
      <alignment horizontal="center" vertical="center"/>
    </xf>
    <xf applyAlignment="true" applyBorder="false" applyFill="true" applyFont="true" applyNumberFormat="true" applyProtection="false" borderId="18" fillId="14" fontId="1" numFmtId="175" xfId="0">
      <alignment horizontal="center"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false" applyProtection="false" borderId="18" fillId="15" fontId="1" numFmtId="0" xfId="0">
      <alignment horizontal="center" vertical="center"/>
    </xf>
    <xf applyAlignment="true" applyBorder="false" applyFill="true" applyFont="true" applyNumberFormat="true" applyProtection="false" borderId="18" fillId="14" fontId="1" numFmtId="175" xfId="0">
      <alignment horizontal="center"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false" applyProtection="false" borderId="19" fillId="14" fontId="1" numFmtId="0" xfId="0">
      <alignment horizontal="center" vertical="center"/>
    </xf>
    <xf applyAlignment="true" applyBorder="false" applyFill="true" applyFont="true" applyNumberFormat="false" applyProtection="false" borderId="20" fillId="14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true" applyFont="true" applyNumberFormat="true" applyProtection="false" borderId="18" fillId="16" fontId="1" numFmtId="176" xfId="0">
      <alignment horizontal="center" vertical="center"/>
    </xf>
    <xf applyAlignment="true" applyBorder="false" applyFill="true" applyFont="true" applyNumberFormat="true" applyProtection="false" borderId="18" fillId="17" fontId="2" numFmtId="177" xfId="0">
      <alignment horizontal="center" vertical="center"/>
    </xf>
    <xf applyAlignment="true" applyBorder="false" applyFill="true" applyFont="true" applyNumberFormat="true" applyProtection="false" borderId="18" fillId="17" fontId="1" numFmtId="177" xfId="0">
      <alignment horizontal="center" vertical="center"/>
    </xf>
    <xf applyAlignment="true" applyBorder="false" applyFill="true" applyFont="true" applyNumberFormat="true" applyProtection="false" borderId="19" fillId="17" fontId="1" numFmtId="177" xfId="0">
      <alignment horizontal="center" vertical="center"/>
    </xf>
    <xf applyAlignment="true" applyBorder="false" applyFill="false" applyFont="true" applyNumberFormat="false" applyProtection="false" borderId="23" fillId="0" fontId="1" numFmtId="0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true" applyFont="true" applyNumberFormat="true" applyProtection="false" borderId="24" fillId="18" fontId="3" numFmtId="175" xfId="0">
      <alignment horizontal="center" vertical="center"/>
    </xf>
    <xf applyAlignment="true" applyBorder="false" applyFill="true" applyFont="true" applyNumberFormat="false" applyProtection="false" borderId="24" fillId="18" fontId="3" numFmtId="0" xfId="0">
      <alignment horizontal="center" vertical="center"/>
    </xf>
    <xf applyAlignment="true" applyBorder="false" applyFill="true" applyFont="true" applyNumberFormat="true" applyProtection="false" borderId="18" fillId="18" fontId="3" numFmtId="177" xfId="0">
      <alignment horizontal="center" vertical="center"/>
    </xf>
    <xf applyAlignment="true" applyBorder="false" applyFill="true" applyFont="true" applyNumberFormat="false" applyProtection="false" borderId="19" fillId="18" fontId="3" numFmtId="0" xfId="0">
      <alignment horizontal="center" vertical="center"/>
    </xf>
    <xf applyAlignment="true" applyBorder="false" applyFill="true" applyFont="true" applyNumberFormat="false" applyProtection="false" borderId="25" fillId="18" fontId="3" numFmtId="0" xfId="0">
      <alignment horizontal="center" vertical="center"/>
    </xf>
    <xf applyAlignment="true" applyBorder="false" applyFill="true" applyFont="true" applyNumberFormat="true" applyProtection="false" borderId="18" fillId="16" fontId="1" numFmtId="176" xfId="0">
      <alignment horizontal="center" vertical="center"/>
    </xf>
    <xf applyAlignment="true" applyBorder="false" applyFill="true" applyFont="true" applyNumberFormat="true" applyProtection="false" borderId="26" fillId="19" fontId="1" numFmtId="178" xfId="0">
      <alignment horizontal="center" vertical="center"/>
    </xf>
    <xf applyAlignment="true" applyBorder="false" applyFill="true" applyFont="true" applyNumberFormat="false" applyProtection="false" borderId="26" fillId="19" fontId="1" numFmtId="0" xfId="0">
      <alignment horizontal="center" vertical="center"/>
    </xf>
    <xf applyAlignment="true" applyBorder="false" applyFill="true" applyFont="true" applyNumberFormat="false" applyProtection="false" borderId="26" fillId="20" fontId="1" numFmtId="0" xfId="0">
      <alignment horizontal="center" vertical="center"/>
    </xf>
    <xf applyAlignment="true" applyBorder="false" applyFill="true" applyFont="true" applyNumberFormat="true" applyProtection="false" borderId="26" fillId="19" fontId="1" numFmtId="178" xfId="0">
      <alignment horizontal="center" vertical="center"/>
    </xf>
    <xf applyAlignment="true" applyBorder="false" applyFill="true" applyFont="true" applyNumberFormat="false" applyProtection="false" borderId="26" fillId="19" fontId="1" numFmtId="0" xfId="0">
      <alignment horizontal="center" vertical="center"/>
    </xf>
    <xf applyAlignment="true" applyBorder="false" applyFill="true" applyFont="true" applyNumberFormat="false" applyProtection="false" borderId="27" fillId="19" fontId="1" numFmtId="0" xfId="0">
      <alignment horizontal="center" vertical="center"/>
    </xf>
    <xf applyAlignment="true" applyBorder="false" applyFill="true" applyFont="true" applyNumberFormat="false" applyProtection="false" borderId="28" fillId="19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true" applyFont="true" applyNumberFormat="true" applyProtection="false" borderId="26" fillId="21" fontId="1" numFmtId="179" xfId="0">
      <alignment horizontal="center" vertical="center"/>
    </xf>
    <xf applyAlignment="true" applyBorder="false" applyFill="true" applyFont="true" applyNumberFormat="true" applyProtection="false" borderId="26" fillId="22" fontId="2" numFmtId="180" xfId="0">
      <alignment horizontal="center" vertical="center"/>
    </xf>
    <xf applyAlignment="true" applyBorder="false" applyFill="true" applyFont="true" applyNumberFormat="true" applyProtection="false" borderId="26" fillId="22" fontId="1" numFmtId="180" xfId="0">
      <alignment horizontal="center" vertical="center"/>
    </xf>
    <xf applyAlignment="true" applyBorder="false" applyFill="true" applyFont="true" applyNumberFormat="true" applyProtection="false" borderId="27" fillId="22" fontId="1" numFmtId="18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true" applyFont="true" applyNumberFormat="true" applyProtection="false" borderId="32" fillId="23" fontId="3" numFmtId="178" xfId="0">
      <alignment horizontal="center" vertical="center"/>
    </xf>
    <xf applyAlignment="true" applyBorder="false" applyFill="true" applyFont="true" applyNumberFormat="false" applyProtection="false" borderId="32" fillId="23" fontId="3" numFmtId="0" xfId="0">
      <alignment horizontal="center" vertical="center"/>
    </xf>
    <xf applyAlignment="true" applyBorder="false" applyFill="true" applyFont="true" applyNumberFormat="true" applyProtection="false" borderId="26" fillId="23" fontId="3" numFmtId="180" xfId="0">
      <alignment horizontal="center" vertical="center"/>
    </xf>
    <xf applyAlignment="true" applyBorder="false" applyFill="true" applyFont="true" applyNumberFormat="false" applyProtection="false" borderId="27" fillId="23" fontId="3" numFmtId="0" xfId="0">
      <alignment horizontal="center" vertical="center"/>
    </xf>
    <xf applyAlignment="true" applyBorder="false" applyFill="true" applyFont="true" applyNumberFormat="false" applyProtection="false" borderId="33" fillId="23" fontId="3" numFmtId="0" xfId="0">
      <alignment horizontal="center" vertical="center"/>
    </xf>
    <xf applyAlignment="true" applyBorder="false" applyFill="true" applyFont="true" applyNumberFormat="true" applyProtection="false" borderId="32" fillId="23" fontId="3" numFmtId="180" xfId="0">
      <alignment horizontal="center" vertical="center"/>
    </xf>
    <xf applyAlignment="true" applyBorder="false" applyFill="true" applyFont="true" applyNumberFormat="false" applyProtection="false" borderId="34" fillId="23" fontId="3" numFmtId="0" xfId="0">
      <alignment horizontal="center" vertical="center"/>
    </xf>
    <xf applyAlignment="true" applyBorder="false" applyFill="true" applyFont="true" applyNumberFormat="false" applyProtection="false" borderId="35" fillId="23" fontId="3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false" applyProtection="false" borderId="36" fillId="24" fontId="6" numFmtId="0" xfId="0">
      <alignment horizontal="center" vertical="center"/>
    </xf>
    <xf applyAlignment="true" applyBorder="false" applyFill="true" applyFont="true" applyNumberFormat="false" applyProtection="false" borderId="36" fillId="24" fontId="6" numFmtId="0" xfId="0">
      <alignment horizontal="center" vertical="center"/>
    </xf>
    <xf applyAlignment="true" applyBorder="false" applyFill="true" applyFont="true" applyNumberFormat="false" applyProtection="false" borderId="36" fillId="24" fontId="7" numFmtId="0" xfId="0">
      <alignment horizontal="center" vertical="center"/>
    </xf>
    <xf applyAlignment="true" applyBorder="false" applyFill="true" applyFont="true" applyNumberFormat="false" applyProtection="false" borderId="37" fillId="24" fontId="7" numFmtId="0" xfId="0">
      <alignment horizontal="center" vertical="center"/>
    </xf>
    <xf applyAlignment="true" applyBorder="false" applyFill="true" applyFont="true" applyNumberFormat="false" applyProtection="false" borderId="36" fillId="25" fontId="1" numFmtId="0" xfId="0">
      <alignment horizontal="center" vertical="center"/>
    </xf>
    <xf applyAlignment="true" applyBorder="false" applyFill="true" applyFont="true" applyNumberFormat="false" applyProtection="false" borderId="36" fillId="25" fontId="1" numFmtId="0" xfId="0">
      <alignment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vertical="center"/>
    </xf>
    <xf applyAlignment="true" applyBorder="false" applyFill="false" applyFont="true" applyNumberFormat="false" applyProtection="false" borderId="38" fillId="0" fontId="4" numFmtId="0" xfId="0">
      <alignment vertical="center"/>
    </xf>
    <xf applyAlignment="true" applyBorder="false" applyFill="true" applyFont="true" applyNumberFormat="false" applyProtection="false" borderId="37" fillId="26" fontId="8" numFmtId="0" xfId="0">
      <alignment horizontal="center" vertical="center"/>
    </xf>
    <xf applyAlignment="true" applyBorder="false" applyFill="true" applyFont="true" applyNumberFormat="false" applyProtection="false" borderId="37" fillId="26" fontId="1" numFmtId="0" xfId="0">
      <alignment vertical="center"/>
    </xf>
    <xf applyAlignment="true" applyBorder="false" applyFill="true" applyFont="true" applyNumberFormat="false" applyProtection="false" borderId="37" fillId="26" fontId="8" numFmtId="0" xfId="0">
      <alignment vertical="center"/>
    </xf>
    <xf applyAlignment="true" applyBorder="false" applyFill="true" applyFont="true" applyNumberFormat="false" applyProtection="false" borderId="39" fillId="27" fontId="4" numFmtId="0" xfId="0">
      <alignment horizontal="center" vertical="center"/>
    </xf>
    <xf applyAlignment="true" applyBorder="false" applyFill="true" applyFont="true" applyNumberFormat="false" applyProtection="false" borderId="36" fillId="27" fontId="4" numFmtId="0" xfId="0">
      <alignment horizontal="center" vertical="center"/>
    </xf>
    <xf applyAlignment="true" applyBorder="false" applyFill="true" applyFont="true" applyNumberFormat="false" applyProtection="false" borderId="40" fillId="27" fontId="1" numFmtId="0" xfId="0">
      <alignment horizontal="center" vertical="center"/>
    </xf>
    <xf applyAlignment="true" applyBorder="false" applyFill="true" applyFont="true" applyNumberFormat="false" applyProtection="false" borderId="37" fillId="27" fontId="1" numFmtId="0" xfId="0">
      <alignment horizontal="center" vertical="center"/>
    </xf>
    <xf applyAlignment="true" applyBorder="false" applyFill="true" applyFont="true" applyNumberFormat="false" applyProtection="false" borderId="36" fillId="28" fontId="1" numFmtId="0" xfId="0">
      <alignment horizontal="center" vertical="center"/>
    </xf>
    <xf applyAlignment="true" applyBorder="false" applyFill="true" applyFont="true" applyNumberFormat="false" applyProtection="false" borderId="36" fillId="26" fontId="4" numFmtId="0" xfId="0">
      <alignment horizontal="center" vertical="center"/>
    </xf>
    <xf applyAlignment="true" applyBorder="false" applyFill="true" applyFont="true" applyNumberFormat="false" applyProtection="false" borderId="36" fillId="26" fontId="4" numFmtId="0" xfId="0">
      <alignment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8" numFmtId="0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true" applyFont="true" applyNumberFormat="false" applyProtection="false" borderId="36" fillId="26" fontId="1" numFmtId="0" xfId="0">
      <alignment horizontal="center" vertical="center"/>
    </xf>
    <xf applyAlignment="true" applyBorder="false" applyFill="true" applyFont="true" applyNumberFormat="false" applyProtection="false" borderId="37" fillId="26" fontId="1" numFmtId="0" xfId="0">
      <alignment horizontal="center" vertical="center"/>
    </xf>
    <xf applyAlignment="true" applyBorder="false" applyFill="true" applyFont="true" applyNumberFormat="false" applyProtection="false" borderId="37" fillId="26" fontId="4" numFmtId="0" xfId="0">
      <alignment horizontal="center" vertical="center"/>
    </xf>
    <xf applyAlignment="true" applyBorder="false" applyFill="true" applyFont="true" applyNumberFormat="true" applyProtection="false" borderId="29" fillId="29" fontId="9" numFmtId="181" xfId="0">
      <alignment horizontal="center" vertical="center"/>
    </xf>
    <xf applyAlignment="true" applyBorder="false" applyFill="true" applyFont="true" applyNumberFormat="true" applyProtection="false" borderId="28" fillId="24" fontId="6" numFmtId="179" xfId="0">
      <alignment horizontal="center" vertical="center"/>
    </xf>
    <xf applyAlignment="true" applyBorder="false" applyFill="true" applyFont="true" applyNumberFormat="true" applyProtection="false" borderId="36" fillId="24" fontId="6" numFmtId="179" xfId="0">
      <alignment horizontal="center" vertical="center"/>
    </xf>
    <xf applyAlignment="true" applyBorder="false" applyFill="true" applyFont="true" applyNumberFormat="true" applyProtection="false" borderId="31" fillId="24" fontId="6" numFmtId="179" xfId="0">
      <alignment horizontal="center" vertical="center"/>
    </xf>
    <xf applyAlignment="true" applyBorder="false" applyFill="true" applyFont="true" applyNumberFormat="true" applyProtection="false" borderId="29" fillId="24" fontId="6" numFmtId="179" xfId="0">
      <alignment horizontal="center" vertical="center"/>
    </xf>
    <xf applyAlignment="true" applyBorder="false" applyFill="true" applyFont="true" applyNumberFormat="false" applyProtection="false" borderId="36" fillId="24" fontId="4" numFmtId="0" xfId="0">
      <alignment vertical="center"/>
    </xf>
    <xf applyAlignment="true" applyBorder="false" applyFill="true" applyFont="true" applyNumberFormat="false" applyProtection="false" borderId="41" fillId="24" fontId="4" numFmtId="0" xfId="0">
      <alignment vertical="center"/>
    </xf>
    <xf applyAlignment="true" applyBorder="false" applyFill="false" applyFont="true" applyNumberFormat="false" applyProtection="false" borderId="42" fillId="0" fontId="4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6" fillId="0" fontId="8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8" numFmtId="0" xfId="0">
      <alignment horizontal="center" vertical="center"/>
    </xf>
    <xf applyAlignment="true" applyBorder="false" applyFill="false" applyFont="true" applyNumberFormat="false" applyProtection="false" borderId="41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true" applyFont="true" applyNumberFormat="false" applyProtection="false" borderId="36" fillId="26" fontId="1" numFmtId="0" xfId="0">
      <alignment horizontal="center" vertical="center"/>
    </xf>
    <xf applyAlignment="true" applyBorder="false" applyFill="false" applyFont="true" applyNumberFormat="false" applyProtection="false" borderId="42" fillId="0" fontId="4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true" applyFont="true" applyNumberFormat="false" applyProtection="false" borderId="37" fillId="26" fontId="1" numFmtId="0" xfId="0">
      <alignment horizontal="center" vertical="center"/>
    </xf>
    <xf applyAlignment="true" applyBorder="false" applyFill="true" applyFont="true" applyNumberFormat="false" applyProtection="false" borderId="37" fillId="26" fontId="4" numFmtId="0" xfId="0">
      <alignment horizontal="center" vertical="center"/>
    </xf>
    <xf applyAlignment="true" applyBorder="false" applyFill="true" applyFont="true" applyNumberFormat="true" applyProtection="false" borderId="29" fillId="29" fontId="9" numFmtId="181" xfId="0">
      <alignment horizontal="center" vertical="center"/>
    </xf>
    <xf applyAlignment="true" applyBorder="false" applyFill="true" applyFont="true" applyNumberFormat="true" applyProtection="false" borderId="29" fillId="24" fontId="6" numFmtId="179" xfId="0">
      <alignment horizontal="center" vertical="center"/>
    </xf>
    <xf applyAlignment="true" applyBorder="false" applyFill="true" applyFont="true" applyNumberFormat="false" applyProtection="false" borderId="36" fillId="24" fontId="4" numFmtId="0" xfId="0">
      <alignment vertical="center"/>
    </xf>
    <xf applyAlignment="true" applyBorder="false" applyFill="true" applyFont="true" applyNumberFormat="true" applyProtection="false" borderId="43" fillId="30" fontId="1" numFmtId="182" xfId="0">
      <alignment horizontal="center" vertical="center"/>
    </xf>
    <xf applyAlignment="true" applyBorder="false" applyFill="true" applyFont="true" applyNumberFormat="false" applyProtection="false" borderId="43" fillId="30" fontId="1" numFmtId="0" xfId="0">
      <alignment horizontal="center" vertical="center"/>
    </xf>
    <xf applyAlignment="true" applyBorder="false" applyFill="true" applyFont="true" applyNumberFormat="true" applyProtection="false" borderId="43" fillId="30" fontId="1" numFmtId="182" xfId="0">
      <alignment horizontal="center" vertical="center"/>
    </xf>
    <xf applyAlignment="true" applyBorder="false" applyFill="true" applyFont="true" applyNumberFormat="false" applyProtection="false" borderId="44" fillId="30" fontId="1" numFmtId="0" xfId="0">
      <alignment horizontal="center" vertical="center"/>
    </xf>
    <xf applyAlignment="true" applyBorder="false" applyFill="true" applyFont="true" applyNumberFormat="false" applyProtection="false" borderId="45" fillId="30" fontId="1" numFmtId="0" xfId="0">
      <alignment horizontal="center" vertical="center"/>
    </xf>
    <xf applyAlignment="true" applyBorder="false" applyFill="true" applyFont="true" applyNumberFormat="false" applyProtection="false" borderId="43" fillId="30" fontId="1" numFmtId="0" xfId="0">
      <alignment horizontal="center" vertical="center"/>
    </xf>
    <xf applyAlignment="true" applyBorder="false" applyFill="true" applyFont="true" applyNumberFormat="true" applyProtection="false" borderId="46" fillId="31" fontId="3" numFmtId="182" xfId="0">
      <alignment horizontal="center" vertical="center"/>
    </xf>
    <xf applyAlignment="true" applyBorder="false" applyFill="true" applyFont="true" applyNumberFormat="false" applyProtection="false" borderId="46" fillId="31" fontId="3" numFmtId="0" xfId="0">
      <alignment horizontal="center" vertical="center"/>
    </xf>
    <xf applyAlignment="true" applyBorder="false" applyFill="true" applyFont="true" applyNumberFormat="true" applyProtection="false" borderId="46" fillId="31" fontId="3" numFmtId="182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worksheets/sheet6.xml" Type="http://schemas.openxmlformats.org/officeDocument/2006/relationships/worksheet"></Relationship><Relationship Id="rId13" Target="/xl/pivotCache/pivotCacheDefinition4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AI$23" sheet="2026.7"/>
  </cacheSource>
  <cacheFields count="35">
    <cacheField name="日期" numFmtId="0">
      <sharedItems containsSemiMixedTypes="false" containsNonDate="false" containsDate="true" containsString="false" minDate="2026-07-04T00:00:00.000Z" maxDate="2026-07-11T00:00:00.000Z" count="0"/>
    </cacheField>
    <cacheField name="主播" numFmtId="0">
      <sharedItems containsBlank="true" count="3">
        <s v="谢子柔"/>
        <m/>
        <s v="赵子淳"/>
      </sharedItems>
    </cacheField>
    <cacheField name="直播时段" numFmtId="0">
      <sharedItems containsBlank="true" count="0"/>
    </cacheField>
    <cacheField name="时长" numFmtId="0">
      <sharedItems containsSemiMixedTypes="false" containsString="false" containsNumber="true" minValue="1.75" maxValue="4" count="5">
        <n v="3"/>
        <n v="2"/>
        <n v="4"/>
        <n v="1.75"/>
        <n v="3.75"/>
      </sharedItems>
    </cacheField>
    <cacheField name="订单数量" numFmtId="0">
      <sharedItems containsSemiMixedTypes="false" containsString="false" containsNumber="true" containsInteger="true" minValue="0" maxValue="3" count="0"/>
    </cacheField>
    <cacheField name="保单数量" numFmtId="0">
      <sharedItems containsSemiMixedTypes="false" containsString="false" containsNumber="true" containsInteger="true" minValue="0" maxValue="0" count="0"/>
    </cacheField>
    <cacheField name="保险支付数" numFmtId="0">
      <sharedItems containsSemiMixedTypes="false" containsString="false" containsNumber="true" containsInteger="true" minValue="0" maxValue="0" count="0"/>
    </cacheField>
    <cacheField name="月缴单量" numFmtId="0">
      <sharedItems containsSemiMixedTypes="false" containsString="false" containsNumber="true" containsInteger="true" minValue="0" maxValue="0" count="0"/>
    </cacheField>
    <cacheField name="月交保费" numFmtId="0">
      <sharedItems containsSemiMixedTypes="false" containsString="false" containsNumber="true" containsInteger="true" minValue="0" maxValue="0" count="0"/>
    </cacheField>
    <cacheField name="年缴单量" numFmtId="0">
      <sharedItems containsSemiMixedTypes="false" containsString="false" containsNumber="true" containsInteger="true" minValue="0" maxValue="0" count="0"/>
    </cacheField>
    <cacheField name="年缴保费" numFmtId="0">
      <sharedItems containsSemiMixedTypes="false" containsString="false" containsNumber="true" containsInteger="true" minValue="0" maxValue="0" count="0"/>
    </cacheField>
    <cacheField name="年化保费" numFmtId="0">
      <sharedItems containsSemiMixedTypes="false" containsString="false" containsNumber="true" containsInteger="true" minValue="0" maxValue="0" count="1">
        <n v="0"/>
      </sharedItems>
    </cacheField>
    <cacheField name="投流消耗" numFmtId="0">
      <sharedItems containsSemiMixedTypes="false" containsString="false" containsNumber="true" minValue="13.962" maxValue="3555.79" count="20">
        <n v="13.962"/>
        <n v="3424.266"/>
        <n v="355.875"/>
        <n v="667.383"/>
        <n v="1023.258"/>
        <n v="2123.3489999999997"/>
        <n v="1432.441"/>
        <n v="3555.79"/>
        <n v="491.539"/>
        <n v="556.948"/>
        <n v="1048.487"/>
        <n v="549.813"/>
        <n v="887.262"/>
        <n v="1437.0749999999998"/>
        <n v="1160.652"/>
        <n v="1159.839"/>
        <n v="2320.491"/>
        <n v="1156.587"/>
        <n v="1000.275"/>
        <n v="2156.862"/>
      </sharedItems>
    </cacheField>
    <cacheField name="ROI" numFmtId="0">
      <sharedItems containsSemiMixedTypes="false" containsString="false" containsNumber="true" containsInteger="true" minValue="0" maxValue="0" count="0"/>
    </cacheField>
    <cacheField name="单均" numFmtId="0">
      <sharedItems count="0"/>
    </cacheField>
    <cacheField name="保单成本" numFmtId="0">
      <sharedItems count="0"/>
    </cacheField>
    <cacheField name="助播" numFmtId="0">
      <sharedItems containsBlank="true" count="0"/>
    </cacheField>
    <cacheField name="时长-2" numFmtId="0">
      <sharedItems containsString="false" containsBlank="true" containsNumber="true" containsInteger="true" minValue="2" maxValue="4" count="0"/>
    </cacheField>
    <cacheField name="投手" numFmtId="0">
      <sharedItems containsBlank="true" count="0"/>
    </cacheField>
    <cacheField name="时长-3" numFmtId="0">
      <sharedItems containsString="false" containsBlank="true" containsNumber="true" containsInteger="true" minValue="3" maxValue="4" count="0"/>
    </cacheField>
    <cacheField name="展示数" numFmtId="0">
      <sharedItems containsSemiMixedTypes="false" containsString="false" containsNumber="true" containsInteger="true" minValue="2746" maxValue="788154" count="0"/>
    </cacheField>
    <cacheField name="点击数" numFmtId="0">
      <sharedItems containsSemiMixedTypes="false" containsString="false" containsNumber="true" containsInteger="true" minValue="41" maxValue="15979" count="0"/>
    </cacheField>
    <cacheField name="直播间观看数" numFmtId="0">
      <sharedItems containsSemiMixedTypes="false" containsString="false" containsNumber="true" containsInteger="true" minValue="0" maxValue="19171" count="16">
        <n v="0"/>
        <n v="7104"/>
        <n v="12067"/>
        <n v="19171"/>
        <n v="1754"/>
        <n v="3526"/>
        <n v="5280"/>
        <n v="3828"/>
        <n v="5539"/>
        <n v="9367"/>
        <n v="5732"/>
        <n v="5641"/>
        <n v="11373"/>
        <n v="4180"/>
        <n v="5702"/>
        <n v="9882"/>
      </sharedItems>
    </cacheField>
    <cacheField name="直播间超过1分钟观看数" numFmtId="0">
      <sharedItems containsSemiMixedTypes="false" containsString="false" containsNumber="true" containsInteger="true" minValue="8" maxValue="1345" count="20">
        <n v="208"/>
        <n v="1345"/>
        <n v="8"/>
        <n v="34"/>
        <n v="42"/>
        <n v="498"/>
        <n v="730"/>
        <n v="1228"/>
        <n v="28"/>
        <n v="105"/>
        <n v="133"/>
        <n v="100"/>
        <n v="307"/>
        <n v="407"/>
        <n v="246"/>
        <n v="287"/>
        <n v="533"/>
        <n v="169"/>
        <n v="163"/>
        <n v="332"/>
      </sharedItems>
    </cacheField>
    <cacheField name="组件点击数" numFmtId="0">
      <sharedItems containsSemiMixedTypes="false" containsString="false" containsNumber="true" containsInteger="true" minValue="0" maxValue="0" count="0"/>
    </cacheField>
    <cacheField name="直播间关注数" numFmtId="0">
      <sharedItems containsSemiMixedTypes="false" containsString="false" containsNumber="true" containsInteger="true" minValue="10" maxValue="273" count="0"/>
    </cacheField>
    <cacheField name="直播间评论数" numFmtId="0">
      <sharedItems containsSemiMixedTypes="false" containsString="false" containsNumber="true" containsInteger="true" minValue="7" maxValue="203" count="0"/>
    </cacheField>
    <cacheField name="直播间分享数" numFmtId="0">
      <sharedItems containsSemiMixedTypes="false" containsString="false" containsNumber="true" containsInteger="true" minValue="0" maxValue="14" count="0"/>
    </cacheField>
    <cacheField name="组件点击率" numFmtId="0">
      <sharedItems containsSemiMixedTypes="false" containsString="false" containsNumber="true" containsInteger="true" minValue="0" maxValue="0" count="0"/>
    </cacheField>
    <cacheField name="外层点击率" numFmtId="0">
      <sharedItems containsSemiMixedTypes="false" containsString="false" containsNumber="true" minValue="0.006808824724396652" maxValue="0.029036221025204867" count="0"/>
    </cacheField>
    <cacheField name="互动率" numFmtId="0">
      <sharedItems containsMixedTypes="true" containsNumber="true" minValue="0.00935904707884288" maxValue="0.030686936936936936" count="0"/>
    </cacheField>
    <cacheField name="直播间超过1分钟观看率" numFmtId="0">
      <sharedItems containsMixedTypes="true" containsNumber="true" minValue="0.01596351197263398" maxValue="0.07010135135135136" count="0"/>
    </cacheField>
    <cacheField name="直播间评论率" numFmtId="0">
      <sharedItems containsMixedTypes="true" containsNumber="true" minValue="0.0019852524106636414" maxValue="0.010607441783376149" count="0"/>
    </cacheField>
    <cacheField name="组件点击成本" numFmtId="0">
      <sharedItems count="0"/>
    </cacheField>
    <cacheField name="保单率" numFmtId="0">
      <sharedItems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64" sheet="2026.8"/>
  </cacheSource>
  <cacheFields count="17">
    <cacheField name="日期" numFmtId="0">
      <sharedItems count="0"/>
    </cacheField>
    <cacheField name="主播" numFmtId="0">
      <sharedItems containsBlank="true" count="9">
        <s v="周梓涵 /马强"/>
        <s v="郭子泉/康昊杰"/>
        <m/>
        <s v="周梓涵 /郭子泉"/>
        <s v="张靖瑶 /郭子泉"/>
        <s v="周梓涵&amp;王晨"/>
        <s v="郭子泉&amp;张靖瑶"/>
        <s v="周梓涵&amp;马强"/>
        <s v="马强&amp;郭子泉"/>
      </sharedItems>
    </cacheField>
    <cacheField name="直播时段" numFmtId="0">
      <sharedItems containsBlank="true" count="0"/>
    </cacheField>
    <cacheField name="时长" numFmtId="0">
      <sharedItems containsSemiMixedTypes="false" containsString="false" containsNumber="true" minValue="1.25" maxValue="8" count="5">
        <n v="2"/>
        <n v="8"/>
        <n v="1.25"/>
        <n v="7.25"/>
        <n v="4"/>
      </sharedItems>
    </cacheField>
    <cacheField name="订单数量" numFmtId="0">
      <sharedItems containsSemiMixedTypes="false" containsString="false" containsNumber="true" containsInteger="true" minValue="0" maxValue="0" count="0"/>
    </cacheField>
    <cacheField name="保单数量" numFmtId="0">
      <sharedItems containsSemiMixedTypes="false" containsString="false" containsNumber="true" containsInteger="true" minValue="0" maxValue="1" count="0"/>
    </cacheField>
    <cacheField name="保险支付数" numFmtId="0">
      <sharedItems containsSemiMixedTypes="false" containsString="false" containsNumber="true" containsInteger="true" minValue="0" maxValue="1" count="0"/>
    </cacheField>
    <cacheField name="单量" numFmtId="0">
      <sharedItems containsSemiMixedTypes="false" containsString="false" containsNumber="true" containsInteger="true" minValue="0" maxValue="1" count="0"/>
    </cacheField>
    <cacheField name="年化保费" numFmtId="0">
      <sharedItems containsSemiMixedTypes="false" containsString="false" containsNumber="true" minValue="0" maxValue="29.9" count="2">
        <n v="29.9"/>
        <n v="0"/>
      </sharedItems>
    </cacheField>
    <cacheField name="投流消耗" numFmtId="0">
      <sharedItems containsSemiMixedTypes="false" containsString="false" containsNumber="true" minValue="24.03" maxValue="2908.237" count="52">
        <n v="489.562"/>
        <n v="875.5179999999999"/>
        <n v="758.447"/>
        <n v="535.621"/>
        <n v="2659.148"/>
        <n v="951.1320000000001"/>
        <n v="755.963"/>
        <n v="622.7729999999999"/>
        <n v="578.369"/>
        <n v="2908.237"/>
        <n v="147.831"/>
        <n v="236.982"/>
        <n v="367.028"/>
        <n v="188.13"/>
        <n v="939.971"/>
        <n v="235.538"/>
        <n v="296.147"/>
        <n v="242.139"/>
        <n v="274.34900000000005"/>
        <n v="1048.173"/>
        <n v="140.724"/>
        <n v="217.85399999999998"/>
        <n v="226.949"/>
        <n v="315.16499999999996"/>
        <n v="900.692"/>
        <n v="200.04199999999997"/>
        <n v="296.188"/>
        <n v="250.974"/>
        <n v="169.062"/>
        <n v="916.266"/>
        <n v="24.03"/>
        <n v="117.713"/>
        <n v="267.748"/>
        <n v="389.216"/>
        <n v="798.707"/>
        <n v="270.016"/>
        <n v="353.315"/>
        <n v="623.331"/>
        <n v="286.563"/>
        <n v="527.4879999999999"/>
        <n v="814.0509999999999"/>
        <n v="649.8420000000001"/>
        <n v="592.372"/>
        <n v="496.628"/>
        <n v="624.34"/>
        <n v="549.1129999999999"/>
        <n v="679.501"/>
        <n v="728.336"/>
        <n v="543.944"/>
        <n v="487.91700000000003"/>
        <n v="644.691"/>
        <n v="368.395"/>
      </sharedItems>
    </cacheField>
    <cacheField name="ROI" numFmtId="0">
      <sharedItems containsSemiMixedTypes="false" containsString="false" containsNumber="true" minValue="0" maxValue="0.06107500173624587" count="0"/>
    </cacheField>
    <cacheField name="单均" numFmtId="0">
      <sharedItems containsMixedTypes="true" containsNumber="true" minValue="29.9" maxValue="29.9" count="0"/>
    </cacheField>
    <cacheField name="保单成本" numFmtId="0">
      <sharedItems containsMixedTypes="true" containsNumber="true" minValue="489.562" maxValue="2659.148" count="0"/>
    </cacheField>
    <cacheField name="助播" numFmtId="0">
      <sharedItems containsBlank="true" count="0"/>
    </cacheField>
    <cacheField name="时长-2" numFmtId="0">
      <sharedItems containsString="false" containsBlank="true" containsNumber="true" containsInteger="true" minValue="2" maxValue="8" count="0"/>
    </cacheField>
    <cacheField name="投手" numFmtId="0">
      <sharedItems containsBlank="true" count="0"/>
    </cacheField>
    <cacheField name="时长-3" numFmtId="0">
      <sharedItems containsString="false" containsBlank="true" containsNumber="true" containsInteger="true" minValue="0" maxValue="8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43" sheet="2026.9"/>
  </cacheSource>
  <cacheFields count="17">
    <cacheField name="日期" numFmtId="0">
      <sharedItems count="0"/>
    </cacheField>
    <cacheField name="主播" numFmtId="0">
      <sharedItems containsBlank="true" count="6">
        <s v="周梓涵&amp;马强"/>
        <m/>
        <s v="王晨&amp;郭子泉"/>
        <s v="王晨"/>
        <s v="王晨&amp;马强"/>
        <s v="郭子泉&amp;王晨"/>
      </sharedItems>
    </cacheField>
    <cacheField name="直播时段" numFmtId="0">
      <sharedItems containsBlank="true" count="0"/>
    </cacheField>
    <cacheField name="时长" numFmtId="0">
      <sharedItems containsSemiMixedTypes="false" containsString="false" containsNumber="true" containsInteger="true" minValue="1" maxValue="4" count="2">
        <n v="4"/>
        <n v="1"/>
      </sharedItems>
    </cacheField>
    <cacheField name="订单数量" numFmtId="0">
      <sharedItems containsSemiMixedTypes="false" containsString="false" containsNumber="true" containsInteger="true" minValue="0" maxValue="0" count="0"/>
    </cacheField>
    <cacheField name="保单数量" numFmtId="0">
      <sharedItems containsSemiMixedTypes="false" containsString="false" containsNumber="true" containsInteger="true" minValue="0" maxValue="0" count="0"/>
    </cacheField>
    <cacheField name="保险支付数" numFmtId="0">
      <sharedItems containsSemiMixedTypes="false" containsString="false" containsNumber="true" containsInteger="true" minValue="0" maxValue="0" count="0"/>
    </cacheField>
    <cacheField name="单量" numFmtId="0">
      <sharedItems containsSemiMixedTypes="false" containsString="false" containsNumber="true" containsInteger="true" minValue="0" maxValue="0" count="0"/>
    </cacheField>
    <cacheField name="年化保费" numFmtId="0">
      <sharedItems containsSemiMixedTypes="false" containsString="false" containsNumber="true" containsInteger="true" minValue="0" maxValue="0" count="1">
        <n v="0"/>
      </sharedItems>
    </cacheField>
    <cacheField name="投流消耗" numFmtId="0">
      <sharedItems containsSemiMixedTypes="false" containsString="false" containsNumber="true" minValue="77.09" maxValue="784.244" count="21">
        <n v="784.244"/>
        <n v="714.0809999999999"/>
        <n v="375.14699999999993"/>
        <n v="714.623"/>
        <n v="502.29"/>
        <n v="493.634"/>
        <n v="389.20900000000006"/>
        <n v="448.274"/>
        <n v="563.66"/>
        <n v="251.09"/>
        <n v="622.48"/>
        <n v="585.31"/>
        <n v="662.79"/>
        <n v="479.09"/>
        <n v="590.68"/>
        <n v="391.5"/>
        <n v="477.7"/>
        <n v="421.3"/>
        <n v="432.43"/>
        <n v="418.31"/>
        <n v="77.09"/>
      </sharedItems>
    </cacheField>
    <cacheField name="ROI" numFmtId="0">
      <sharedItems containsSemiMixedTypes="false" containsString="false" containsNumber="true" containsInteger="true" minValue="0" maxValue="0" count="0"/>
    </cacheField>
    <cacheField name="单均" numFmtId="0">
      <sharedItems count="0"/>
    </cacheField>
    <cacheField name="保单成本" numFmtId="0">
      <sharedItems count="0"/>
    </cacheField>
    <cacheField name="助播" numFmtId="0">
      <sharedItems containsBlank="true" count="0"/>
    </cacheField>
    <cacheField name="时长-2" numFmtId="0">
      <sharedItems containsSemiMixedTypes="false" containsString="false" containsNumber="true" containsInteger="true" minValue="1" maxValue="4" count="0"/>
    </cacheField>
    <cacheField name="投手" numFmtId="0">
      <sharedItems containsString="false" containsBlank="true" count="0"/>
    </cacheField>
    <cacheField name="时长-3" numFmtId="0">
      <sharedItems containsString="false" containsBlank="true" containsNumber="true" containsInteger="true" minValue="0" maxValue="0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D$64" sheet="Sheet4"/>
  </cacheSource>
  <cacheFields count="4">
    <cacheField name="日期" numFmtId="0">
      <sharedItems count="0"/>
    </cacheField>
    <cacheField name="主播" numFmtId="0">
      <sharedItems containsBlank="true" count="9">
        <s v="周梓涵 /马强"/>
        <s v="郭子泉/康昊杰"/>
        <m/>
        <s v="周梓涵 /郭子泉"/>
        <s v="张靖瑶 /郭子泉"/>
        <s v="周梓涵&amp;王晨"/>
        <s v="郭子泉&amp;张靖瑶"/>
        <s v="周梓涵&amp;马强"/>
        <s v="马强&amp;郭子泉"/>
      </sharedItems>
    </cacheField>
    <cacheField name="直播时段" numFmtId="0">
      <sharedItems containsBlank="true" count="0"/>
    </cacheField>
    <cacheField name="时长" numFmtId="0">
      <sharedItems containsSemiMixedTypes="false" containsString="false" containsNumber="true" containsInteger="true" minValue="2" maxValue="8" count="3">
        <n v="2"/>
        <n v="8"/>
        <n v="4"/>
      </sharedItems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28:$H$31" firstHeaderRow="1" firstDataRow="1" firstDataCol="1"/>
  <pivotFields count="35">
    <pivotField compact="false" outline="false" showAll="false"/>
    <pivotField axis="axisRow" compact="false" outline="false" showAll="false">
      <items count="4">
        <item x="0"/>
        <item h="true" x="1"/>
        <item x="2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2">
        <item x="0"/>
        <item t="default"/>
      </items>
    </pivotField>
    <pivotField dataField="true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true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5">
    <dataField name="求和项:时长" fld="3" subtotal="sum"/>
    <dataField name="求和项:年化保费" fld="11" subtotal="sum"/>
    <dataField name="求和项:投流消耗" fld="12" subtotal="sum"/>
    <dataField name="求和项:直播间观看数" fld="22" subtotal="sum"/>
    <dataField name="求和项:直播间超过1分钟观看数" fld="2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68:$G$77" firstHeaderRow="1" firstDataRow="1" firstDataCol="1"/>
  <pivotFields count="17">
    <pivotField compact="false" outline="false" showAll="false"/>
    <pivotField axis="axisRow" compact="false" outline="false" showAll="false">
      <items count="10">
        <item x="0"/>
        <item x="1"/>
        <item h="true"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dataField="true" compact="false" outline="false" showAll="false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46:$F$52" firstHeaderRow="1" firstDataRow="1" firstDataCol="1"/>
  <pivotFields count="17">
    <pivotField compact="false" outline="false" showAll="false"/>
    <pivotField axis="axisRow" compact="false" outline="false" showAll="false">
      <items count="7">
        <item x="0"/>
        <item h="true" x="1"/>
        <item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2">
        <item x="0"/>
        <item t="default"/>
      </items>
    </pivotField>
    <pivotField dataField="true" compact="false" outline="false" showAll="false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8" subtotal="sum"/>
    <dataField name="求和项:投流消耗" fld="9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G$19:$H$28" firstHeaderRow="1" firstDataRow="1" firstDataCol="1"/>
  <pivotFields count="4">
    <pivotField compact="false" outline="false" showAll="false"/>
    <pivotField axis="axisRow" compact="false" outline="false" showAll="false">
      <items count="10">
        <item x="0"/>
        <item x="1"/>
        <item h="true"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4">
        <item x="0"/>
        <item x="1"/>
        <item x="2"/>
        <item t="default"/>
      </items>
    </pivotField>
  </pivotFields>
  <rowFields count="1">
    <field x="1"/>
  </rowFields>
  <dataFields count="1">
    <dataField name="求和项: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3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4.109595070422536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20.768375880281692"/>
    <col collapsed="false" customWidth="true" hidden="false" max="10" min="10" style="0" width="11.211267605633802"/>
    <col collapsed="false" customWidth="true" hidden="false" max="12" min="12" style="0" width="11.211267605633802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4</v>
      </c>
      <c r="S1" s="2" t="s">
        <v>18</v>
      </c>
      <c r="T1" s="2" t="s">
        <v>4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6"/>
    </row>
    <row hidden="true" r="2">
      <c r="A2" s="7">
        <v>46207</v>
      </c>
      <c r="B2" s="2" t="s">
        <v>34</v>
      </c>
      <c r="C2" s="8" t="s">
        <v>35</v>
      </c>
      <c r="D2" s="9">
        <v>3</v>
      </c>
      <c r="E2" s="10">
        <v>0</v>
      </c>
      <c r="F2" s="10">
        <v>0</v>
      </c>
      <c r="G2" s="11">
        <v>0</v>
      </c>
      <c r="H2" s="12">
        <v>0</v>
      </c>
      <c r="I2" s="13">
        <v>0</v>
      </c>
      <c r="J2" s="12">
        <v>0</v>
      </c>
      <c r="K2" s="14">
        <v>0</v>
      </c>
      <c r="L2" s="2">
        <f t="shared" ref="L2:L7" si="15">(I2*12)+K2</f>
      </c>
      <c r="M2" s="15">
        <v>13.962</v>
      </c>
      <c r="N2" s="16">
        <f t="shared" ref="N2:N23" si="5">L2/M2</f>
      </c>
      <c r="O2" s="17">
        <f t="shared" ref="O2:O23" si="2">L2/F2</f>
      </c>
      <c r="P2" s="18">
        <f t="shared" ref="P2:P23" si="0">M2/F2</f>
      </c>
      <c r="Q2" s="10" t="s">
        <v>36</v>
      </c>
      <c r="R2" s="19">
        <v>3</v>
      </c>
      <c r="S2" s="10" t="s">
        <v>37</v>
      </c>
      <c r="T2" s="20">
        <v>3</v>
      </c>
      <c r="U2" s="21">
        <v>2746</v>
      </c>
      <c r="V2" s="22">
        <v>41</v>
      </c>
      <c r="W2" s="13">
        <v>0</v>
      </c>
      <c r="X2" s="22">
        <v>208</v>
      </c>
      <c r="Y2" s="22">
        <v>0</v>
      </c>
      <c r="Z2" s="13">
        <v>10</v>
      </c>
      <c r="AA2" s="23">
        <v>11</v>
      </c>
      <c r="AB2" s="13">
        <v>2</v>
      </c>
      <c r="AC2" s="24">
        <f>Y2/V2</f>
      </c>
      <c r="AD2" s="24">
        <f t="shared" ref="AD2:AD23" si="12">V2/U2</f>
      </c>
      <c r="AE2" s="24">
        <f t="shared" ref="AE2:AE23" si="3">(Z2+AA2+AB2)/W2</f>
      </c>
      <c r="AF2" s="24">
        <f t="shared" ref="AF2:AF23" si="13">X2/W2</f>
      </c>
      <c r="AG2" s="24">
        <f t="shared" ref="AG2:AG23" si="1">AA2/W2</f>
      </c>
      <c r="AH2" s="25">
        <f t="shared" ref="AH2:AH23" si="14">M2/Y2</f>
      </c>
      <c r="AI2" s="26">
        <f t="shared" ref="AI2:AI23" si="4">F2/Y2</f>
      </c>
      <c r="AJ2" s="27"/>
    </row>
    <row r="3">
      <c r="A3" s="28">
        <v>46207</v>
      </c>
      <c r="B3" s="29"/>
      <c r="C3" s="29"/>
      <c r="D3" s="29">
        <f>SUM(D2)</f>
      </c>
      <c r="E3" s="29">
        <f>SUM(E2)</f>
      </c>
      <c r="F3" s="29">
        <f>SUM(F2)</f>
      </c>
      <c r="G3" s="29">
        <f>SUM(G2)</f>
      </c>
      <c r="H3" s="29">
        <f>SUM(H2)</f>
      </c>
      <c r="I3" s="29">
        <f>SUM(I2)</f>
      </c>
      <c r="J3" s="29">
        <f>SUM(J2)</f>
      </c>
      <c r="K3" s="29">
        <f>SUM(K2)</f>
      </c>
      <c r="L3" s="29">
        <f t="shared" si="15"/>
      </c>
      <c r="M3" s="29">
        <f>SUM(M2)</f>
      </c>
      <c r="N3" s="30">
        <f t="shared" si="5"/>
      </c>
      <c r="O3" s="30">
        <f t="shared" si="2"/>
      </c>
      <c r="P3" s="30">
        <f t="shared" si="0"/>
      </c>
      <c r="Q3" s="31"/>
      <c r="R3" s="32">
        <f>SUM(R2)</f>
      </c>
      <c r="S3" s="33"/>
      <c r="T3" s="34">
        <f>SUM(T2)</f>
      </c>
      <c r="U3" s="32">
        <f>SUM(U2)</f>
      </c>
      <c r="V3" s="32">
        <f>SUM(V2)</f>
      </c>
      <c r="W3" s="32">
        <f>SUM(W2)</f>
      </c>
      <c r="X3" s="32">
        <f>SUM(X2)</f>
      </c>
      <c r="Y3" s="32">
        <f>SUM(Y2)</f>
      </c>
      <c r="Z3" s="32">
        <f>SUM(Z2)</f>
      </c>
      <c r="AA3" s="32">
        <f>SUM(AA2)</f>
      </c>
      <c r="AB3" s="32">
        <f>SUM(AB2)</f>
      </c>
      <c r="AC3" s="35">
        <f>SUM(AC2)</f>
      </c>
      <c r="AD3" s="36">
        <f t="shared" si="12"/>
      </c>
      <c r="AE3" s="36">
        <f t="shared" si="3"/>
      </c>
      <c r="AF3" s="36">
        <f t="shared" si="13"/>
      </c>
      <c r="AG3" s="36">
        <f t="shared" si="1"/>
      </c>
      <c r="AH3" s="37">
        <f t="shared" si="14"/>
      </c>
      <c r="AI3" s="36">
        <f t="shared" si="4"/>
      </c>
      <c r="AJ3" s="27"/>
    </row>
    <row hidden="true" r="4">
      <c r="A4" s="7">
        <v>46208</v>
      </c>
      <c r="B4" s="2" t="s">
        <v>34</v>
      </c>
      <c r="C4" s="8" t="s">
        <v>35</v>
      </c>
      <c r="D4" s="9">
        <v>3</v>
      </c>
      <c r="E4" s="38">
        <v>3</v>
      </c>
      <c r="F4" s="10">
        <v>0</v>
      </c>
      <c r="G4" s="11">
        <v>0</v>
      </c>
      <c r="H4" s="12">
        <v>0</v>
      </c>
      <c r="I4" s="13">
        <v>0</v>
      </c>
      <c r="J4" s="12">
        <v>0</v>
      </c>
      <c r="K4" s="14">
        <v>0</v>
      </c>
      <c r="L4" s="2">
        <f t="shared" si="15"/>
      </c>
      <c r="M4" s="15">
        <v>3424.266</v>
      </c>
      <c r="N4" s="16">
        <f t="shared" si="5"/>
      </c>
      <c r="O4" s="17">
        <f t="shared" si="2"/>
      </c>
      <c r="P4" s="18">
        <f t="shared" si="0"/>
      </c>
      <c r="Q4" s="10" t="s">
        <v>36</v>
      </c>
      <c r="R4" s="19">
        <v>3</v>
      </c>
      <c r="S4" s="10" t="s">
        <v>37</v>
      </c>
      <c r="T4" s="20">
        <v>3</v>
      </c>
      <c r="U4" s="21">
        <v>295352</v>
      </c>
      <c r="V4" s="22">
        <v>2011</v>
      </c>
      <c r="W4" s="13">
        <v>0</v>
      </c>
      <c r="X4" s="22">
        <v>1345</v>
      </c>
      <c r="Y4" s="22">
        <v>0</v>
      </c>
      <c r="Z4" s="13">
        <v>223</v>
      </c>
      <c r="AA4" s="23">
        <v>167</v>
      </c>
      <c r="AB4" s="13">
        <v>9</v>
      </c>
      <c r="AC4" s="24">
        <f>Y4/V4</f>
      </c>
      <c r="AD4" s="24">
        <f t="shared" si="12"/>
      </c>
      <c r="AE4" s="24">
        <f t="shared" si="3"/>
      </c>
      <c r="AF4" s="24">
        <f t="shared" si="13"/>
      </c>
      <c r="AG4" s="24">
        <f t="shared" si="1"/>
      </c>
      <c r="AH4" s="25">
        <f t="shared" si="14"/>
      </c>
      <c r="AI4" s="26">
        <f t="shared" si="4"/>
      </c>
      <c r="AJ4" s="27"/>
    </row>
    <row r="5">
      <c r="A5" s="39">
        <v>46208</v>
      </c>
      <c r="B5" s="29"/>
      <c r="C5" s="29"/>
      <c r="D5" s="29">
        <f>SUM(D4)</f>
      </c>
      <c r="E5" s="29">
        <f>SUM(E4)</f>
      </c>
      <c r="F5" s="29">
        <f>SUM(F4)</f>
      </c>
      <c r="G5" s="29">
        <f>SUM(G4)</f>
      </c>
      <c r="H5" s="29">
        <f>SUM(H4)</f>
      </c>
      <c r="I5" s="29">
        <f>SUM(I4)</f>
      </c>
      <c r="J5" s="29">
        <f>SUM(J4)</f>
      </c>
      <c r="K5" s="29">
        <f>SUM(K4)</f>
      </c>
      <c r="L5" s="29">
        <f t="shared" si="15"/>
      </c>
      <c r="M5" s="29">
        <f>SUM(M4)</f>
      </c>
      <c r="N5" s="30">
        <f t="shared" si="5"/>
      </c>
      <c r="O5" s="30">
        <f t="shared" si="2"/>
      </c>
      <c r="P5" s="30">
        <f t="shared" si="0"/>
      </c>
      <c r="Q5" s="31"/>
      <c r="R5" s="32">
        <f>SUM(R4)</f>
      </c>
      <c r="S5" s="33"/>
      <c r="T5" s="34">
        <f>SUM(T4)</f>
      </c>
      <c r="U5" s="32">
        <f>SUM(U4)</f>
      </c>
      <c r="V5" s="32">
        <f>SUM(V4)</f>
      </c>
      <c r="W5" s="32">
        <f>SUM(W4)</f>
      </c>
      <c r="X5" s="32">
        <f>SUM(X4)</f>
      </c>
      <c r="Y5" s="32">
        <f>SUM(Y4)</f>
      </c>
      <c r="Z5" s="32">
        <f>SUM(Z4)</f>
      </c>
      <c r="AA5" s="32">
        <f>SUM(AA4)</f>
      </c>
      <c r="AB5" s="32">
        <f>SUM(AB4)</f>
      </c>
      <c r="AC5" s="35">
        <f>SUM(AC4)</f>
      </c>
      <c r="AD5" s="36">
        <f t="shared" si="12"/>
      </c>
      <c r="AE5" s="36">
        <f t="shared" si="3"/>
      </c>
      <c r="AF5" s="36">
        <f t="shared" si="13"/>
      </c>
      <c r="AG5" s="36">
        <f t="shared" si="1"/>
      </c>
      <c r="AH5" s="37">
        <f t="shared" si="14"/>
      </c>
      <c r="AI5" s="36">
        <f t="shared" si="4"/>
      </c>
      <c r="AJ5" s="27"/>
    </row>
    <row hidden="true" r="6">
      <c r="A6" s="7">
        <v>46209</v>
      </c>
      <c r="B6" s="2" t="s">
        <v>34</v>
      </c>
      <c r="C6" s="8" t="s">
        <v>38</v>
      </c>
      <c r="D6" s="9">
        <v>2</v>
      </c>
      <c r="E6" s="38">
        <v>0</v>
      </c>
      <c r="F6" s="10">
        <v>0</v>
      </c>
      <c r="G6" s="11">
        <v>0</v>
      </c>
      <c r="H6" s="12">
        <v>0</v>
      </c>
      <c r="I6" s="13">
        <v>0</v>
      </c>
      <c r="J6" s="12">
        <v>0</v>
      </c>
      <c r="K6" s="14">
        <v>0</v>
      </c>
      <c r="L6" s="2">
        <f t="shared" si="15"/>
      </c>
      <c r="M6" s="15">
        <v>355.875</v>
      </c>
      <c r="N6" s="16">
        <f t="shared" si="5"/>
      </c>
      <c r="O6" s="17">
        <f t="shared" si="2"/>
      </c>
      <c r="P6" s="18">
        <f t="shared" si="0"/>
      </c>
      <c r="Q6" s="10" t="s">
        <v>36</v>
      </c>
      <c r="R6" s="19">
        <v>4</v>
      </c>
      <c r="S6" s="10" t="s">
        <v>37</v>
      </c>
      <c r="T6" s="20">
        <v>4</v>
      </c>
      <c r="U6" s="21">
        <v>56306</v>
      </c>
      <c r="V6" s="22">
        <v>1080</v>
      </c>
      <c r="W6" s="13">
        <v>0</v>
      </c>
      <c r="X6" s="22">
        <v>8</v>
      </c>
      <c r="Y6" s="22">
        <v>0</v>
      </c>
      <c r="Z6" s="23">
        <v>21</v>
      </c>
      <c r="AA6" s="23">
        <v>58</v>
      </c>
      <c r="AB6" s="23">
        <v>5</v>
      </c>
      <c r="AC6" s="24">
        <f t="shared" ref="AC6:AC7" si="6">Y6/V6</f>
      </c>
      <c r="AD6" s="24">
        <f t="shared" si="12"/>
      </c>
      <c r="AE6" s="24">
        <f t="shared" si="3"/>
      </c>
      <c r="AF6" s="24">
        <f t="shared" si="13"/>
      </c>
      <c r="AG6" s="24">
        <f t="shared" si="1"/>
      </c>
      <c r="AH6" s="25">
        <f t="shared" si="14"/>
      </c>
      <c r="AI6" s="26">
        <f t="shared" si="4"/>
      </c>
      <c r="AJ6" s="27"/>
    </row>
    <row customHeight="true" hidden="true" ht="16.071428571428573" r="7">
      <c r="A7" s="7">
        <v>46209</v>
      </c>
      <c r="B7" s="12" t="s">
        <v>39</v>
      </c>
      <c r="C7" s="8" t="s">
        <v>40</v>
      </c>
      <c r="D7" s="9">
        <v>2</v>
      </c>
      <c r="E7" s="38">
        <v>0</v>
      </c>
      <c r="F7" s="20">
        <v>0</v>
      </c>
      <c r="G7" s="40">
        <v>0</v>
      </c>
      <c r="H7" s="12">
        <v>0</v>
      </c>
      <c r="I7" s="23">
        <v>0</v>
      </c>
      <c r="J7" s="12">
        <v>0</v>
      </c>
      <c r="K7" s="41">
        <v>0</v>
      </c>
      <c r="L7" s="2">
        <f t="shared" si="15"/>
      </c>
      <c r="M7" s="15">
        <v>667.383</v>
      </c>
      <c r="N7" s="16">
        <f t="shared" si="5"/>
      </c>
      <c r="O7" s="17">
        <f t="shared" si="2"/>
      </c>
      <c r="P7" s="18">
        <f t="shared" si="0"/>
      </c>
      <c r="Q7" s="10"/>
      <c r="R7" s="19"/>
      <c r="S7" s="10"/>
      <c r="T7" s="20"/>
      <c r="U7" s="21">
        <v>126191</v>
      </c>
      <c r="V7" s="22">
        <v>2891</v>
      </c>
      <c r="W7" s="13">
        <v>0</v>
      </c>
      <c r="X7" s="22">
        <v>34</v>
      </c>
      <c r="Y7" s="22">
        <v>0</v>
      </c>
      <c r="Z7" s="13">
        <v>71</v>
      </c>
      <c r="AA7" s="23">
        <v>115</v>
      </c>
      <c r="AB7" s="13">
        <v>6</v>
      </c>
      <c r="AC7" s="24">
        <f t="shared" si="6"/>
      </c>
      <c r="AD7" s="24">
        <f t="shared" si="12"/>
      </c>
      <c r="AE7" s="24">
        <f t="shared" si="3"/>
      </c>
      <c r="AF7" s="24">
        <f t="shared" si="13"/>
      </c>
      <c r="AG7" s="24">
        <f t="shared" si="1"/>
      </c>
      <c r="AH7" s="25">
        <f t="shared" si="14"/>
      </c>
      <c r="AI7" s="26">
        <f t="shared" si="4"/>
      </c>
      <c r="AJ7" s="27"/>
    </row>
    <row r="8">
      <c r="A8" s="39">
        <v>46209</v>
      </c>
      <c r="B8" s="29"/>
      <c r="C8" s="29"/>
      <c r="D8" s="42">
        <f>SUM(D6:D7)</f>
      </c>
      <c r="E8" s="42">
        <f>SUM(E6:E7)</f>
      </c>
      <c r="F8" s="42">
        <f>SUM(F6:F7)</f>
      </c>
      <c r="G8" s="42">
        <f>SUM(G6:G7)</f>
      </c>
      <c r="H8" s="42">
        <f>SUM(H6:H7)</f>
      </c>
      <c r="I8" s="42">
        <f>SUM(I6:I7)</f>
      </c>
      <c r="J8" s="42">
        <f>SUM(J6:J7)</f>
      </c>
      <c r="K8" s="42">
        <f>SUM(K6:K7)</f>
      </c>
      <c r="L8" s="42">
        <f>SUM(L6:L7)</f>
      </c>
      <c r="M8" s="42">
        <f>SUM(M6:M7)</f>
      </c>
      <c r="N8" s="30">
        <f t="shared" si="5"/>
      </c>
      <c r="O8" s="30">
        <f t="shared" si="2"/>
      </c>
      <c r="P8" s="30">
        <f t="shared" si="0"/>
      </c>
      <c r="Q8" s="31"/>
      <c r="R8" s="32">
        <f>SUM(R6)</f>
      </c>
      <c r="S8" s="33"/>
      <c r="T8" s="34">
        <f>SUM(T6)</f>
      </c>
      <c r="U8" s="32">
        <f>SUM(U6:U7)</f>
      </c>
      <c r="V8" s="32">
        <f>SUM(V6:V7)</f>
      </c>
      <c r="W8" s="32">
        <f>SUM(W6:W7)</f>
      </c>
      <c r="X8" s="32">
        <f>SUM(X6:X7)</f>
      </c>
      <c r="Y8" s="32">
        <f>SUM(Y6:Y7)</f>
      </c>
      <c r="Z8" s="32">
        <f>SUM(Z6:Z7)</f>
      </c>
      <c r="AA8" s="32">
        <f>SUM(AA6:AA7)</f>
      </c>
      <c r="AB8" s="32">
        <f>SUM(AB6:AB7)</f>
      </c>
      <c r="AC8" s="35">
        <f>SUM(AC6)</f>
      </c>
      <c r="AD8" s="36">
        <f t="shared" si="12"/>
      </c>
      <c r="AE8" s="36">
        <f t="shared" si="3"/>
      </c>
      <c r="AF8" s="36">
        <f t="shared" si="13"/>
      </c>
      <c r="AG8" s="36">
        <f t="shared" si="1"/>
      </c>
      <c r="AH8" s="37">
        <f t="shared" si="14"/>
      </c>
      <c r="AI8" s="36">
        <f t="shared" si="4"/>
      </c>
      <c r="AJ8" s="27"/>
    </row>
    <row hidden="true" r="9">
      <c r="A9" s="7">
        <v>46210</v>
      </c>
      <c r="B9" s="2" t="s">
        <v>34</v>
      </c>
      <c r="C9" s="8" t="s">
        <v>38</v>
      </c>
      <c r="D9" s="9">
        <v>2</v>
      </c>
      <c r="E9" s="38">
        <v>0</v>
      </c>
      <c r="F9" s="10">
        <v>0</v>
      </c>
      <c r="G9" s="11">
        <v>0</v>
      </c>
      <c r="H9" s="12">
        <v>0</v>
      </c>
      <c r="I9" s="13">
        <v>0</v>
      </c>
      <c r="J9" s="12">
        <v>0</v>
      </c>
      <c r="K9" s="14">
        <v>0</v>
      </c>
      <c r="L9" s="2">
        <f t="shared" ref="L9:L10" si="16">(I9*12)+K9</f>
      </c>
      <c r="M9" s="15">
        <v>2123.3489999999997</v>
      </c>
      <c r="N9" s="16">
        <f t="shared" si="5"/>
      </c>
      <c r="O9" s="17">
        <f t="shared" si="2"/>
      </c>
      <c r="P9" s="18">
        <f t="shared" si="0"/>
      </c>
      <c r="Q9" s="20" t="s">
        <v>41</v>
      </c>
      <c r="R9" s="19">
        <v>4</v>
      </c>
      <c r="S9" s="10" t="s">
        <v>37</v>
      </c>
      <c r="T9" s="20">
        <v>4</v>
      </c>
      <c r="U9" s="21">
        <v>171175</v>
      </c>
      <c r="V9" s="22">
        <v>1596</v>
      </c>
      <c r="W9" s="13">
        <v>7104</v>
      </c>
      <c r="X9" s="22">
        <v>498</v>
      </c>
      <c r="Y9" s="22">
        <v>0</v>
      </c>
      <c r="Z9" s="23">
        <v>138</v>
      </c>
      <c r="AA9" s="23">
        <v>75</v>
      </c>
      <c r="AB9" s="23">
        <v>5</v>
      </c>
      <c r="AC9" s="24">
        <f t="shared" ref="AC9:AC10" si="7">Y9/V9</f>
      </c>
      <c r="AD9" s="24">
        <f t="shared" si="12"/>
      </c>
      <c r="AE9" s="24">
        <f t="shared" si="3"/>
      </c>
      <c r="AF9" s="24">
        <f t="shared" si="13"/>
      </c>
      <c r="AG9" s="24">
        <f t="shared" si="1"/>
      </c>
      <c r="AH9" s="25">
        <f t="shared" si="14"/>
      </c>
      <c r="AI9" s="26">
        <f t="shared" si="4"/>
      </c>
      <c r="AJ9" s="27"/>
    </row>
    <row hidden="true" r="10">
      <c r="A10" s="7">
        <v>46210</v>
      </c>
      <c r="B10" s="12" t="s">
        <v>39</v>
      </c>
      <c r="C10" s="8" t="s">
        <v>40</v>
      </c>
      <c r="D10" s="9">
        <v>2</v>
      </c>
      <c r="E10" s="38">
        <v>0</v>
      </c>
      <c r="F10" s="20">
        <v>0</v>
      </c>
      <c r="G10" s="40">
        <v>0</v>
      </c>
      <c r="H10" s="12">
        <v>0</v>
      </c>
      <c r="I10" s="23">
        <v>0</v>
      </c>
      <c r="J10" s="12">
        <v>0</v>
      </c>
      <c r="K10" s="41">
        <v>0</v>
      </c>
      <c r="L10" s="2">
        <f t="shared" si="16"/>
      </c>
      <c r="M10" s="15">
        <v>1432.441</v>
      </c>
      <c r="N10" s="16">
        <f t="shared" si="5"/>
      </c>
      <c r="O10" s="17">
        <f t="shared" si="2"/>
      </c>
      <c r="P10" s="18">
        <f t="shared" si="0"/>
      </c>
      <c r="Q10" s="10"/>
      <c r="R10" s="19"/>
      <c r="S10" s="10"/>
      <c r="T10" s="20"/>
      <c r="U10" s="21">
        <v>150728</v>
      </c>
      <c r="V10" s="22">
        <v>1898</v>
      </c>
      <c r="W10" s="13">
        <v>12067</v>
      </c>
      <c r="X10" s="22">
        <v>730</v>
      </c>
      <c r="Y10" s="22">
        <v>0</v>
      </c>
      <c r="Z10" s="13">
        <v>135</v>
      </c>
      <c r="AA10" s="23">
        <v>128</v>
      </c>
      <c r="AB10" s="13">
        <v>9</v>
      </c>
      <c r="AC10" s="24">
        <f t="shared" si="7"/>
      </c>
      <c r="AD10" s="24">
        <f t="shared" si="12"/>
      </c>
      <c r="AE10" s="24">
        <f t="shared" si="3"/>
      </c>
      <c r="AF10" s="24">
        <f t="shared" si="13"/>
      </c>
      <c r="AG10" s="24">
        <f t="shared" si="1"/>
      </c>
      <c r="AH10" s="25">
        <f t="shared" si="14"/>
      </c>
      <c r="AI10" s="26">
        <f t="shared" si="4"/>
      </c>
      <c r="AJ10" s="27"/>
    </row>
    <row r="11">
      <c r="A11" s="39">
        <v>46210</v>
      </c>
      <c r="B11" s="29"/>
      <c r="C11" s="29"/>
      <c r="D11" s="42">
        <f>SUM(D9:D10)</f>
      </c>
      <c r="E11" s="42">
        <f>SUM(E9:E10)</f>
      </c>
      <c r="F11" s="42">
        <f>SUM(F9:F10)</f>
      </c>
      <c r="G11" s="42">
        <f>SUM(G9:G10)</f>
      </c>
      <c r="H11" s="42">
        <f>SUM(H9:H10)</f>
      </c>
      <c r="I11" s="42">
        <f>SUM(I9:I10)</f>
      </c>
      <c r="J11" s="42">
        <f>SUM(J9:J10)</f>
      </c>
      <c r="K11" s="42">
        <f>SUM(K9:K10)</f>
      </c>
      <c r="L11" s="42">
        <f>SUM(L9:L10)</f>
      </c>
      <c r="M11" s="42">
        <f>SUM(M9:M10)</f>
      </c>
      <c r="N11" s="30">
        <f t="shared" si="5"/>
      </c>
      <c r="O11" s="30">
        <f t="shared" si="2"/>
      </c>
      <c r="P11" s="30">
        <f t="shared" si="0"/>
      </c>
      <c r="Q11" s="31"/>
      <c r="R11" s="32">
        <f>SUM(R9)</f>
      </c>
      <c r="S11" s="33"/>
      <c r="T11" s="34">
        <f>SUM(T9)</f>
      </c>
      <c r="U11" s="32">
        <f>SUM(U9:U10)</f>
      </c>
      <c r="V11" s="32">
        <f>SUM(V9:V10)</f>
      </c>
      <c r="W11" s="32">
        <f>SUM(W9:W10)</f>
      </c>
      <c r="X11" s="32">
        <f>SUM(X9:X10)</f>
      </c>
      <c r="Y11" s="32">
        <f>SUM(Y9:Y10)</f>
      </c>
      <c r="Z11" s="32">
        <f>SUM(Z9:Z10)</f>
      </c>
      <c r="AA11" s="32">
        <f>SUM(AA9:AA10)</f>
      </c>
      <c r="AB11" s="32">
        <f>SUM(AB9:AB10)</f>
      </c>
      <c r="AC11" s="35">
        <f>SUM(AC9)</f>
      </c>
      <c r="AD11" s="36">
        <f t="shared" si="12"/>
      </c>
      <c r="AE11" s="36">
        <f t="shared" si="3"/>
      </c>
      <c r="AF11" s="36">
        <f t="shared" si="13"/>
      </c>
      <c r="AG11" s="36">
        <f t="shared" si="1"/>
      </c>
      <c r="AH11" s="37">
        <f t="shared" si="14"/>
      </c>
      <c r="AI11" s="36">
        <f t="shared" si="4"/>
      </c>
      <c r="AJ11" s="27"/>
    </row>
    <row hidden="true" r="12">
      <c r="A12" s="7">
        <v>46211</v>
      </c>
      <c r="B12" s="2" t="s">
        <v>34</v>
      </c>
      <c r="C12" s="8" t="s">
        <v>38</v>
      </c>
      <c r="D12" s="9">
        <v>2</v>
      </c>
      <c r="E12" s="38">
        <v>0</v>
      </c>
      <c r="F12" s="10">
        <v>0</v>
      </c>
      <c r="G12" s="11">
        <v>0</v>
      </c>
      <c r="H12" s="12">
        <v>0</v>
      </c>
      <c r="I12" s="13">
        <v>0</v>
      </c>
      <c r="J12" s="12">
        <v>0</v>
      </c>
      <c r="K12" s="14">
        <v>0</v>
      </c>
      <c r="L12" s="2">
        <f t="shared" ref="L12:L13" si="17">(I12*12)+K12</f>
      </c>
      <c r="M12" s="15">
        <v>491.539</v>
      </c>
      <c r="N12" s="16">
        <f t="shared" si="5"/>
      </c>
      <c r="O12" s="17">
        <f t="shared" si="2"/>
      </c>
      <c r="P12" s="18">
        <f t="shared" si="0"/>
      </c>
      <c r="Q12" s="20" t="s">
        <v>41</v>
      </c>
      <c r="R12" s="19">
        <v>4</v>
      </c>
      <c r="S12" s="10" t="s">
        <v>37</v>
      </c>
      <c r="T12" s="20">
        <v>4</v>
      </c>
      <c r="U12" s="21">
        <v>79022</v>
      </c>
      <c r="V12" s="22">
        <v>931</v>
      </c>
      <c r="W12" s="13">
        <v>1754</v>
      </c>
      <c r="X12" s="22">
        <v>28</v>
      </c>
      <c r="Y12" s="22">
        <v>0</v>
      </c>
      <c r="Z12" s="23">
        <v>16</v>
      </c>
      <c r="AA12" s="23">
        <v>10</v>
      </c>
      <c r="AB12" s="23">
        <v>0</v>
      </c>
      <c r="AC12" s="24">
        <f t="shared" ref="AC12:AC13" si="8">Y12/V12</f>
      </c>
      <c r="AD12" s="24">
        <f t="shared" si="12"/>
      </c>
      <c r="AE12" s="24">
        <f t="shared" si="3"/>
      </c>
      <c r="AF12" s="24">
        <f t="shared" si="13"/>
      </c>
      <c r="AG12" s="24">
        <f t="shared" si="1"/>
      </c>
      <c r="AH12" s="25">
        <f t="shared" si="14"/>
      </c>
      <c r="AI12" s="26">
        <f t="shared" si="4"/>
      </c>
      <c r="AJ12" s="27"/>
    </row>
    <row hidden="true" r="13">
      <c r="A13" s="7">
        <v>46211</v>
      </c>
      <c r="B13" s="12" t="s">
        <v>39</v>
      </c>
      <c r="C13" s="8" t="s">
        <v>40</v>
      </c>
      <c r="D13" s="9">
        <v>2</v>
      </c>
      <c r="E13" s="38">
        <v>0</v>
      </c>
      <c r="F13" s="20">
        <v>0</v>
      </c>
      <c r="G13" s="40">
        <v>0</v>
      </c>
      <c r="H13" s="12">
        <v>0</v>
      </c>
      <c r="I13" s="23">
        <v>0</v>
      </c>
      <c r="J13" s="12">
        <v>0</v>
      </c>
      <c r="K13" s="41">
        <v>0</v>
      </c>
      <c r="L13" s="2">
        <f t="shared" si="17"/>
      </c>
      <c r="M13" s="15">
        <v>556.948</v>
      </c>
      <c r="N13" s="16">
        <f t="shared" si="5"/>
      </c>
      <c r="O13" s="17">
        <f t="shared" si="2"/>
      </c>
      <c r="P13" s="18">
        <f t="shared" si="0"/>
      </c>
      <c r="Q13" s="10"/>
      <c r="R13" s="19"/>
      <c r="S13" s="10"/>
      <c r="T13" s="20"/>
      <c r="U13" s="21">
        <v>164972</v>
      </c>
      <c r="V13" s="22">
        <v>2518</v>
      </c>
      <c r="W13" s="13">
        <v>3526</v>
      </c>
      <c r="X13" s="22">
        <v>105</v>
      </c>
      <c r="Y13" s="22">
        <v>0</v>
      </c>
      <c r="Z13" s="13">
        <v>23</v>
      </c>
      <c r="AA13" s="23">
        <v>7</v>
      </c>
      <c r="AB13" s="13">
        <v>3</v>
      </c>
      <c r="AC13" s="24">
        <f t="shared" si="8"/>
      </c>
      <c r="AD13" s="24">
        <f t="shared" si="12"/>
      </c>
      <c r="AE13" s="24">
        <f t="shared" si="3"/>
      </c>
      <c r="AF13" s="24">
        <f t="shared" si="13"/>
      </c>
      <c r="AG13" s="24">
        <f t="shared" si="1"/>
      </c>
      <c r="AH13" s="25">
        <f t="shared" si="14"/>
      </c>
      <c r="AI13" s="26">
        <f t="shared" si="4"/>
      </c>
      <c r="AJ13" s="27"/>
    </row>
    <row r="14">
      <c r="A14" s="39">
        <v>46211</v>
      </c>
      <c r="B14" s="29"/>
      <c r="C14" s="29"/>
      <c r="D14" s="42">
        <f>SUM(D12:D13)</f>
      </c>
      <c r="E14" s="42">
        <f>SUM(E12:E13)</f>
      </c>
      <c r="F14" s="42">
        <f>SUM(F12:F13)</f>
      </c>
      <c r="G14" s="42">
        <f>SUM(G12:G13)</f>
      </c>
      <c r="H14" s="42">
        <f>SUM(H12:H13)</f>
      </c>
      <c r="I14" s="42">
        <f>SUM(I12:I13)</f>
      </c>
      <c r="J14" s="42">
        <f>SUM(J12:J13)</f>
      </c>
      <c r="K14" s="42">
        <f>SUM(K12:K13)</f>
      </c>
      <c r="L14" s="42">
        <f>SUM(L12:L13)</f>
      </c>
      <c r="M14" s="42">
        <f>SUM(M12:M13)</f>
      </c>
      <c r="N14" s="30">
        <f t="shared" si="5"/>
      </c>
      <c r="O14" s="30">
        <f t="shared" si="2"/>
      </c>
      <c r="P14" s="30">
        <f t="shared" si="0"/>
      </c>
      <c r="Q14" s="31"/>
      <c r="R14" s="32">
        <f>SUM(R12)</f>
      </c>
      <c r="S14" s="33"/>
      <c r="T14" s="34">
        <f>SUM(T12)</f>
      </c>
      <c r="U14" s="32">
        <f>SUM(U12:U13)</f>
      </c>
      <c r="V14" s="32">
        <f>SUM(V12:V13)</f>
      </c>
      <c r="W14" s="32">
        <f>SUM(W12:W13)</f>
      </c>
      <c r="X14" s="32">
        <f>SUM(X12:X13)</f>
      </c>
      <c r="Y14" s="32">
        <f>SUM(Y12:Y13)</f>
      </c>
      <c r="Z14" s="32">
        <f>SUM(Z12:Z13)</f>
      </c>
      <c r="AA14" s="32">
        <f>SUM(AA12:AA13)</f>
      </c>
      <c r="AB14" s="32">
        <f>SUM(AB12:AB13)</f>
      </c>
      <c r="AC14" s="35">
        <f>SUM(AC12)</f>
      </c>
      <c r="AD14" s="36">
        <f t="shared" si="12"/>
      </c>
      <c r="AE14" s="36">
        <f t="shared" si="3"/>
      </c>
      <c r="AF14" s="36">
        <f t="shared" si="13"/>
      </c>
      <c r="AG14" s="36">
        <f t="shared" si="1"/>
      </c>
      <c r="AH14" s="37">
        <f t="shared" si="14"/>
      </c>
      <c r="AI14" s="36">
        <f t="shared" si="4"/>
      </c>
      <c r="AJ14" s="27"/>
    </row>
    <row hidden="true" r="15">
      <c r="A15" s="7">
        <v>46212</v>
      </c>
      <c r="B15" s="2" t="s">
        <v>34</v>
      </c>
      <c r="C15" s="8" t="s">
        <v>38</v>
      </c>
      <c r="D15" s="9">
        <v>2</v>
      </c>
      <c r="E15" s="38">
        <v>0</v>
      </c>
      <c r="F15" s="10">
        <v>0</v>
      </c>
      <c r="G15" s="11">
        <v>0</v>
      </c>
      <c r="H15" s="12">
        <v>0</v>
      </c>
      <c r="I15" s="13">
        <v>0</v>
      </c>
      <c r="J15" s="12">
        <v>0</v>
      </c>
      <c r="K15" s="14">
        <v>0</v>
      </c>
      <c r="L15" s="2">
        <f t="shared" ref="L15:L16" si="18">(I15*12)+K15</f>
      </c>
      <c r="M15" s="15">
        <v>549.813</v>
      </c>
      <c r="N15" s="16">
        <f t="shared" si="5"/>
      </c>
      <c r="O15" s="17">
        <f t="shared" si="2"/>
      </c>
      <c r="P15" s="18">
        <f t="shared" si="0"/>
      </c>
      <c r="Q15" s="20" t="s">
        <v>41</v>
      </c>
      <c r="R15" s="19">
        <v>4</v>
      </c>
      <c r="S15" s="10" t="s">
        <v>37</v>
      </c>
      <c r="T15" s="20">
        <v>4</v>
      </c>
      <c r="U15" s="21">
        <v>189711</v>
      </c>
      <c r="V15" s="22">
        <v>1907</v>
      </c>
      <c r="W15" s="13">
        <v>3828</v>
      </c>
      <c r="X15" s="22">
        <v>100</v>
      </c>
      <c r="Y15" s="22">
        <v>0</v>
      </c>
      <c r="Z15" s="23">
        <v>19</v>
      </c>
      <c r="AA15" s="23">
        <v>16</v>
      </c>
      <c r="AB15" s="23">
        <v>4</v>
      </c>
      <c r="AC15" s="24">
        <f t="shared" ref="AC15:AC16" si="9">Y15/V15</f>
      </c>
      <c r="AD15" s="24">
        <f t="shared" si="12"/>
      </c>
      <c r="AE15" s="24">
        <f t="shared" si="3"/>
      </c>
      <c r="AF15" s="24">
        <f t="shared" si="13"/>
      </c>
      <c r="AG15" s="24">
        <f t="shared" si="1"/>
      </c>
      <c r="AH15" s="25">
        <f t="shared" si="14"/>
      </c>
      <c r="AI15" s="26">
        <f t="shared" si="4"/>
      </c>
      <c r="AJ15" s="27"/>
    </row>
    <row hidden="true" r="16">
      <c r="A16" s="7">
        <v>46212</v>
      </c>
      <c r="B16" s="12" t="s">
        <v>39</v>
      </c>
      <c r="C16" s="8" t="s">
        <v>40</v>
      </c>
      <c r="D16" s="9">
        <v>2</v>
      </c>
      <c r="E16" s="38">
        <v>0</v>
      </c>
      <c r="F16" s="20">
        <v>0</v>
      </c>
      <c r="G16" s="40">
        <v>0</v>
      </c>
      <c r="H16" s="12">
        <v>0</v>
      </c>
      <c r="I16" s="23">
        <v>0</v>
      </c>
      <c r="J16" s="12">
        <v>0</v>
      </c>
      <c r="K16" s="41">
        <v>0</v>
      </c>
      <c r="L16" s="2">
        <f t="shared" si="18"/>
      </c>
      <c r="M16" s="15">
        <v>887.262</v>
      </c>
      <c r="N16" s="16">
        <f t="shared" si="5"/>
      </c>
      <c r="O16" s="17">
        <f t="shared" si="2"/>
      </c>
      <c r="P16" s="18">
        <f t="shared" si="0"/>
      </c>
      <c r="Q16" s="10"/>
      <c r="R16" s="19"/>
      <c r="S16" s="10"/>
      <c r="T16" s="20"/>
      <c r="U16" s="21">
        <v>266205</v>
      </c>
      <c r="V16" s="22">
        <v>5184</v>
      </c>
      <c r="W16" s="13">
        <v>5539</v>
      </c>
      <c r="X16" s="22">
        <v>307</v>
      </c>
      <c r="Y16" s="22">
        <v>0</v>
      </c>
      <c r="Z16" s="13">
        <v>23</v>
      </c>
      <c r="AA16" s="23">
        <v>44</v>
      </c>
      <c r="AB16" s="13">
        <v>7</v>
      </c>
      <c r="AC16" s="24">
        <f t="shared" si="9"/>
      </c>
      <c r="AD16" s="24">
        <f t="shared" si="12"/>
      </c>
      <c r="AE16" s="24">
        <f t="shared" si="3"/>
      </c>
      <c r="AF16" s="24">
        <f t="shared" si="13"/>
      </c>
      <c r="AG16" s="24">
        <f t="shared" si="1"/>
      </c>
      <c r="AH16" s="25">
        <f t="shared" si="14"/>
      </c>
      <c r="AI16" s="26">
        <f t="shared" si="4"/>
      </c>
      <c r="AJ16" s="27"/>
    </row>
    <row r="17">
      <c r="A17" s="39">
        <v>46212</v>
      </c>
      <c r="B17" s="29"/>
      <c r="C17" s="29"/>
      <c r="D17" s="42">
        <f>SUM(D15:D16)</f>
      </c>
      <c r="E17" s="42">
        <f>SUM(E15:E16)</f>
      </c>
      <c r="F17" s="42">
        <f>SUM(F15:F16)</f>
      </c>
      <c r="G17" s="42">
        <f>SUM(G15:G16)</f>
      </c>
      <c r="H17" s="42">
        <f>SUM(H15:H16)</f>
      </c>
      <c r="I17" s="42">
        <f>SUM(I15:I16)</f>
      </c>
      <c r="J17" s="42">
        <f>SUM(J15:J16)</f>
      </c>
      <c r="K17" s="42">
        <f>SUM(K15:K16)</f>
      </c>
      <c r="L17" s="42">
        <f>SUM(L15:L16)</f>
      </c>
      <c r="M17" s="42">
        <f>SUM(M15:M16)</f>
      </c>
      <c r="N17" s="30">
        <f t="shared" si="5"/>
      </c>
      <c r="O17" s="30">
        <f t="shared" si="2"/>
      </c>
      <c r="P17" s="30">
        <f t="shared" si="0"/>
      </c>
      <c r="Q17" s="31"/>
      <c r="R17" s="32">
        <f>SUM(R15)</f>
      </c>
      <c r="S17" s="33"/>
      <c r="T17" s="34">
        <f>SUM(T15)</f>
      </c>
      <c r="U17" s="32">
        <f>SUM(U15:U16)</f>
      </c>
      <c r="V17" s="32">
        <f>SUM(V15:V16)</f>
      </c>
      <c r="W17" s="32">
        <f>SUM(W15:W16)</f>
      </c>
      <c r="X17" s="32">
        <f>SUM(X15:X16)</f>
      </c>
      <c r="Y17" s="32">
        <f>SUM(Y15:Y16)</f>
      </c>
      <c r="Z17" s="32">
        <f>SUM(Z15:Z16)</f>
      </c>
      <c r="AA17" s="32">
        <f>SUM(AA15:AA16)</f>
      </c>
      <c r="AB17" s="32">
        <f>SUM(AB15:AB16)</f>
      </c>
      <c r="AC17" s="35">
        <f>SUM(AC15)</f>
      </c>
      <c r="AD17" s="36">
        <f t="shared" si="12"/>
      </c>
      <c r="AE17" s="36">
        <f t="shared" si="3"/>
      </c>
      <c r="AF17" s="36">
        <f t="shared" si="13"/>
      </c>
      <c r="AG17" s="36">
        <f t="shared" si="1"/>
      </c>
      <c r="AH17" s="37">
        <f t="shared" si="14"/>
      </c>
      <c r="AI17" s="36">
        <f t="shared" si="4"/>
      </c>
      <c r="AJ17" s="27"/>
    </row>
    <row hidden="true" r="18">
      <c r="A18" s="7">
        <v>46213</v>
      </c>
      <c r="B18" s="2" t="s">
        <v>34</v>
      </c>
      <c r="C18" s="8" t="s">
        <v>38</v>
      </c>
      <c r="D18" s="9">
        <v>2</v>
      </c>
      <c r="E18" s="38">
        <v>0</v>
      </c>
      <c r="F18" s="10">
        <v>0</v>
      </c>
      <c r="G18" s="11">
        <v>0</v>
      </c>
      <c r="H18" s="12">
        <v>0</v>
      </c>
      <c r="I18" s="13">
        <v>0</v>
      </c>
      <c r="J18" s="12">
        <v>0</v>
      </c>
      <c r="K18" s="14">
        <v>0</v>
      </c>
      <c r="L18" s="2">
        <f t="shared" ref="L18:L19" si="19">(I18*12)+K18</f>
      </c>
      <c r="M18" s="15">
        <v>1160.652</v>
      </c>
      <c r="N18" s="16">
        <f t="shared" si="5"/>
      </c>
      <c r="O18" s="17">
        <f t="shared" si="2"/>
      </c>
      <c r="P18" s="18">
        <f t="shared" si="0"/>
      </c>
      <c r="Q18" s="20" t="s">
        <v>41</v>
      </c>
      <c r="R18" s="19">
        <v>4</v>
      </c>
      <c r="S18" s="10" t="s">
        <v>37</v>
      </c>
      <c r="T18" s="20">
        <v>4</v>
      </c>
      <c r="U18" s="21">
        <v>408118</v>
      </c>
      <c r="V18" s="22">
        <v>7993</v>
      </c>
      <c r="W18" s="13">
        <v>5732</v>
      </c>
      <c r="X18" s="22">
        <v>246</v>
      </c>
      <c r="Y18" s="22">
        <v>0</v>
      </c>
      <c r="Z18" s="23">
        <v>39</v>
      </c>
      <c r="AA18" s="23">
        <v>56</v>
      </c>
      <c r="AB18" s="23">
        <v>3</v>
      </c>
      <c r="AC18" s="24">
        <f t="shared" ref="AC18:AC19" si="10">Y18/V18</f>
      </c>
      <c r="AD18" s="24">
        <f t="shared" si="12"/>
      </c>
      <c r="AE18" s="24">
        <f t="shared" si="3"/>
      </c>
      <c r="AF18" s="24">
        <f t="shared" si="13"/>
      </c>
      <c r="AG18" s="24">
        <f t="shared" si="1"/>
      </c>
      <c r="AH18" s="25">
        <f t="shared" si="14"/>
      </c>
      <c r="AI18" s="26">
        <f t="shared" si="4"/>
      </c>
      <c r="AJ18" s="27"/>
    </row>
    <row hidden="true" r="19">
      <c r="A19" s="7">
        <v>46213</v>
      </c>
      <c r="B19" s="12" t="s">
        <v>39</v>
      </c>
      <c r="C19" s="8" t="s">
        <v>40</v>
      </c>
      <c r="D19" s="9">
        <v>2</v>
      </c>
      <c r="E19" s="38">
        <v>0</v>
      </c>
      <c r="F19" s="20">
        <v>0</v>
      </c>
      <c r="G19" s="40">
        <v>0</v>
      </c>
      <c r="H19" s="12">
        <v>0</v>
      </c>
      <c r="I19" s="23">
        <v>0</v>
      </c>
      <c r="J19" s="12">
        <v>0</v>
      </c>
      <c r="K19" s="41">
        <v>0</v>
      </c>
      <c r="L19" s="2">
        <f t="shared" si="19"/>
      </c>
      <c r="M19" s="15">
        <v>1159.839</v>
      </c>
      <c r="N19" s="16">
        <f t="shared" si="5"/>
      </c>
      <c r="O19" s="17">
        <f t="shared" si="2"/>
      </c>
      <c r="P19" s="18">
        <f t="shared" si="0"/>
      </c>
      <c r="Q19" s="10"/>
      <c r="R19" s="19"/>
      <c r="S19" s="10"/>
      <c r="T19" s="20"/>
      <c r="U19" s="21">
        <v>380036</v>
      </c>
      <c r="V19" s="22">
        <v>4658</v>
      </c>
      <c r="W19" s="13">
        <v>5641</v>
      </c>
      <c r="X19" s="22">
        <v>287</v>
      </c>
      <c r="Y19" s="22">
        <v>0</v>
      </c>
      <c r="Z19" s="13">
        <v>36</v>
      </c>
      <c r="AA19" s="23">
        <v>41</v>
      </c>
      <c r="AB19" s="13">
        <v>2</v>
      </c>
      <c r="AC19" s="24">
        <f t="shared" si="10"/>
      </c>
      <c r="AD19" s="24">
        <f t="shared" si="12"/>
      </c>
      <c r="AE19" s="24">
        <f t="shared" si="3"/>
      </c>
      <c r="AF19" s="24">
        <f t="shared" si="13"/>
      </c>
      <c r="AG19" s="24">
        <f t="shared" si="1"/>
      </c>
      <c r="AH19" s="25">
        <f t="shared" si="14"/>
      </c>
      <c r="AI19" s="26">
        <f t="shared" si="4"/>
      </c>
      <c r="AJ19" s="27"/>
    </row>
    <row r="20">
      <c r="A20" s="39">
        <v>46213</v>
      </c>
      <c r="B20" s="29"/>
      <c r="C20" s="29"/>
      <c r="D20" s="42">
        <f>SUM(D18:D19)</f>
      </c>
      <c r="E20" s="42">
        <f>SUM(E18:E19)</f>
      </c>
      <c r="F20" s="42">
        <f>SUM(F18:F19)</f>
      </c>
      <c r="G20" s="42">
        <f>SUM(G18:G19)</f>
      </c>
      <c r="H20" s="42">
        <f>SUM(H18:H19)</f>
      </c>
      <c r="I20" s="42">
        <f>SUM(I18:I19)</f>
      </c>
      <c r="J20" s="42">
        <f>SUM(J18:J19)</f>
      </c>
      <c r="K20" s="42">
        <f>SUM(K18:K19)</f>
      </c>
      <c r="L20" s="42">
        <f>SUM(L18:L19)</f>
      </c>
      <c r="M20" s="42">
        <f>SUM(M18:M19)</f>
      </c>
      <c r="N20" s="30">
        <f t="shared" si="5"/>
      </c>
      <c r="O20" s="30">
        <f t="shared" si="2"/>
      </c>
      <c r="P20" s="30">
        <f t="shared" si="0"/>
      </c>
      <c r="Q20" s="31"/>
      <c r="R20" s="32">
        <f>SUM(R18)</f>
      </c>
      <c r="S20" s="33"/>
      <c r="T20" s="34">
        <f>SUM(T18)</f>
      </c>
      <c r="U20" s="32">
        <f>SUM(U18:U19)</f>
      </c>
      <c r="V20" s="32">
        <f>SUM(V18:V19)</f>
      </c>
      <c r="W20" s="32">
        <f>SUM(W18:W19)</f>
      </c>
      <c r="X20" s="32">
        <f>SUM(X18:X19)</f>
      </c>
      <c r="Y20" s="32">
        <f>SUM(Y18:Y19)</f>
      </c>
      <c r="Z20" s="32">
        <f>SUM(Z18:Z19)</f>
      </c>
      <c r="AA20" s="32">
        <f>SUM(AA18:AA19)</f>
      </c>
      <c r="AB20" s="32">
        <f>SUM(AB18:AB19)</f>
      </c>
      <c r="AC20" s="35">
        <f>SUM(AC18)</f>
      </c>
      <c r="AD20" s="36">
        <f t="shared" si="12"/>
      </c>
      <c r="AE20" s="36">
        <f t="shared" si="3"/>
      </c>
      <c r="AF20" s="36">
        <f t="shared" si="13"/>
      </c>
      <c r="AG20" s="36">
        <f t="shared" si="1"/>
      </c>
      <c r="AH20" s="37">
        <f t="shared" si="14"/>
      </c>
      <c r="AI20" s="36">
        <f t="shared" si="4"/>
      </c>
      <c r="AJ20" s="27"/>
    </row>
    <row hidden="true" r="21">
      <c r="A21" s="7">
        <v>46214</v>
      </c>
      <c r="B21" s="2" t="s">
        <v>34</v>
      </c>
      <c r="C21" s="8" t="s">
        <v>38</v>
      </c>
      <c r="D21" s="9">
        <f>2-0.25</f>
      </c>
      <c r="E21" s="38">
        <v>0</v>
      </c>
      <c r="F21" s="20">
        <v>0</v>
      </c>
      <c r="G21" s="40">
        <v>0</v>
      </c>
      <c r="H21" s="12">
        <v>0</v>
      </c>
      <c r="I21" s="23">
        <v>0</v>
      </c>
      <c r="J21" s="12">
        <v>0</v>
      </c>
      <c r="K21" s="41">
        <v>0</v>
      </c>
      <c r="L21" s="12">
        <v>0</v>
      </c>
      <c r="M21" s="15">
        <v>1156.587</v>
      </c>
      <c r="N21" s="16">
        <f t="shared" si="5"/>
      </c>
      <c r="O21" s="17">
        <f t="shared" si="2"/>
      </c>
      <c r="P21" s="18">
        <f t="shared" si="0"/>
      </c>
      <c r="Q21" s="20" t="s">
        <v>42</v>
      </c>
      <c r="R21" s="19">
        <v>2</v>
      </c>
      <c r="S21" s="10" t="s">
        <v>37</v>
      </c>
      <c r="T21" s="20">
        <v>4</v>
      </c>
      <c r="U21" s="21">
        <v>304679</v>
      </c>
      <c r="V21" s="22">
        <v>5225</v>
      </c>
      <c r="W21" s="13">
        <v>4180</v>
      </c>
      <c r="X21" s="22">
        <v>169</v>
      </c>
      <c r="Y21" s="22">
        <v>0</v>
      </c>
      <c r="Z21" s="23">
        <v>27</v>
      </c>
      <c r="AA21" s="23">
        <v>23</v>
      </c>
      <c r="AB21" s="23">
        <v>0</v>
      </c>
      <c r="AC21" s="24">
        <f t="shared" ref="AC21:AC22" si="11">Y21/V21</f>
      </c>
      <c r="AD21" s="24">
        <f t="shared" si="12"/>
      </c>
      <c r="AE21" s="24">
        <f t="shared" si="3"/>
      </c>
      <c r="AF21" s="24">
        <f t="shared" si="13"/>
      </c>
      <c r="AG21" s="24">
        <f t="shared" si="1"/>
      </c>
      <c r="AH21" s="25">
        <f t="shared" si="14"/>
      </c>
      <c r="AI21" s="26">
        <f t="shared" si="4"/>
      </c>
      <c r="AJ21" s="27"/>
    </row>
    <row hidden="true" r="22">
      <c r="A22" s="7">
        <v>46214</v>
      </c>
      <c r="B22" s="12" t="s">
        <v>39</v>
      </c>
      <c r="C22" s="8" t="s">
        <v>40</v>
      </c>
      <c r="D22" s="9">
        <v>2</v>
      </c>
      <c r="E22" s="38">
        <v>0</v>
      </c>
      <c r="F22" s="20">
        <v>0</v>
      </c>
      <c r="G22" s="40">
        <v>0</v>
      </c>
      <c r="H22" s="12">
        <v>0</v>
      </c>
      <c r="I22" s="23">
        <v>0</v>
      </c>
      <c r="J22" s="12">
        <v>0</v>
      </c>
      <c r="K22" s="41">
        <v>0</v>
      </c>
      <c r="L22" s="12">
        <v>0</v>
      </c>
      <c r="M22" s="15">
        <v>1000.275</v>
      </c>
      <c r="N22" s="16">
        <f t="shared" si="5"/>
      </c>
      <c r="O22" s="17">
        <f t="shared" si="2"/>
      </c>
      <c r="P22" s="18">
        <f t="shared" si="0"/>
      </c>
      <c r="Q22" s="20" t="s">
        <v>43</v>
      </c>
      <c r="R22" s="19">
        <v>2</v>
      </c>
      <c r="S22" s="10"/>
      <c r="T22" s="20"/>
      <c r="U22" s="21">
        <v>370365</v>
      </c>
      <c r="V22" s="22">
        <v>10754</v>
      </c>
      <c r="W22" s="13">
        <v>5702</v>
      </c>
      <c r="X22" s="22">
        <v>163</v>
      </c>
      <c r="Y22" s="22">
        <v>0</v>
      </c>
      <c r="Z22" s="13">
        <v>32</v>
      </c>
      <c r="AA22" s="23">
        <v>33</v>
      </c>
      <c r="AB22" s="13">
        <v>6</v>
      </c>
      <c r="AC22" s="24">
        <f t="shared" si="11"/>
      </c>
      <c r="AD22" s="24">
        <f t="shared" si="12"/>
      </c>
      <c r="AE22" s="24">
        <f t="shared" si="3"/>
      </c>
      <c r="AF22" s="24">
        <f t="shared" si="13"/>
      </c>
      <c r="AG22" s="24">
        <f t="shared" si="1"/>
      </c>
      <c r="AH22" s="25">
        <f t="shared" si="14"/>
      </c>
      <c r="AI22" s="26">
        <f t="shared" si="4"/>
      </c>
      <c r="AJ22" s="27"/>
    </row>
    <row r="23">
      <c r="A23" s="39">
        <v>46214</v>
      </c>
      <c r="B23" s="29"/>
      <c r="C23" s="29"/>
      <c r="D23" s="42">
        <f>SUM(D21:D22)</f>
      </c>
      <c r="E23" s="42">
        <f>SUM(E21:E22)</f>
      </c>
      <c r="F23" s="42">
        <f>SUM(F21:F22)</f>
      </c>
      <c r="G23" s="42">
        <f>SUM(G21:G22)</f>
      </c>
      <c r="H23" s="42">
        <f>SUM(H21:H22)</f>
      </c>
      <c r="I23" s="42">
        <f>SUM(I21:I22)</f>
      </c>
      <c r="J23" s="42">
        <f>SUM(J21:J22)</f>
      </c>
      <c r="K23" s="42">
        <f>SUM(K21:K22)</f>
      </c>
      <c r="L23" s="42">
        <f>SUM(L21:L22)</f>
      </c>
      <c r="M23" s="42">
        <f>SUM(M21:M22)</f>
      </c>
      <c r="N23" s="30">
        <f t="shared" si="5"/>
      </c>
      <c r="O23" s="30">
        <f t="shared" si="2"/>
      </c>
      <c r="P23" s="30">
        <f t="shared" si="0"/>
      </c>
      <c r="Q23" s="31"/>
      <c r="R23" s="32">
        <f>SUM(R21)</f>
      </c>
      <c r="S23" s="33"/>
      <c r="T23" s="34">
        <f>SUM(T21)</f>
      </c>
      <c r="U23" s="32">
        <f>SUM(U21:U22)</f>
      </c>
      <c r="V23" s="32">
        <f>SUM(V21:V22)</f>
      </c>
      <c r="W23" s="32">
        <f>SUM(W21:W22)</f>
      </c>
      <c r="X23" s="32">
        <f>SUM(X21:X22)</f>
      </c>
      <c r="Y23" s="32">
        <f>SUM(Y21:Y22)</f>
      </c>
      <c r="Z23" s="32">
        <f>SUM(Z21:Z22)</f>
      </c>
      <c r="AA23" s="32">
        <f>SUM(AA21:AA22)</f>
      </c>
      <c r="AB23" s="32">
        <f>SUM(AB21:AB22)</f>
      </c>
      <c r="AC23" s="35">
        <f>SUM(AC21)</f>
      </c>
      <c r="AD23" s="36">
        <f t="shared" si="12"/>
      </c>
      <c r="AE23" s="36">
        <f t="shared" si="3"/>
      </c>
      <c r="AF23" s="36">
        <f t="shared" si="13"/>
      </c>
      <c r="AG23" s="36">
        <f t="shared" si="1"/>
      </c>
      <c r="AH23" s="37">
        <f t="shared" si="14"/>
      </c>
      <c r="AI23" s="36">
        <f t="shared" si="4"/>
      </c>
      <c r="AJ23" s="27"/>
    </row>
    <row r="24"/>
    <row r="25">
      <c r="U25" s="43"/>
      <c r="V25" s="43"/>
      <c r="W25" s="43"/>
    </row>
    <row r="26">
      <c r="U26" s="43"/>
      <c r="V26" s="43"/>
      <c r="W26" s="43"/>
    </row>
    <row r="27">
      <c r="U27" s="43"/>
      <c r="V27" s="43"/>
      <c r="W27" s="43"/>
    </row>
    <row r="28">
      <c r="U28" s="43"/>
      <c r="V28" s="43"/>
      <c r="W28" s="43"/>
    </row>
    <row r="29">
      <c r="U29" s="43"/>
      <c r="V29" s="43"/>
      <c r="W29" s="43"/>
    </row>
    <row r="30"/>
    <row r="31">
      <c r="I31">
        <f>H31/G31</f>
      </c>
    </row>
  </sheetData>
  <autoFilter ref="A1:AJ200">
    <filterColumn colId="1">
      <filters blank="true"/>
    </filterColumn>
  </autoFilter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44" t="s">
        <v>44</v>
      </c>
      <c r="B1" s="45" t="s">
        <v>45</v>
      </c>
      <c r="C1" s="45" t="s">
        <v>46</v>
      </c>
      <c r="D1" s="45" t="s">
        <v>47</v>
      </c>
      <c r="E1" s="45" t="s">
        <v>48</v>
      </c>
      <c r="F1" s="45" t="s">
        <v>49</v>
      </c>
      <c r="G1" s="45" t="s">
        <v>50</v>
      </c>
      <c r="H1" s="46" t="s">
        <v>51</v>
      </c>
      <c r="I1" s="45" t="s">
        <v>52</v>
      </c>
      <c r="J1" s="45" t="s">
        <v>53</v>
      </c>
      <c r="K1" s="45" t="s">
        <v>54</v>
      </c>
      <c r="L1" s="45" t="s">
        <v>55</v>
      </c>
      <c r="M1" s="45" t="s">
        <v>56</v>
      </c>
      <c r="N1" s="45" t="s">
        <v>57</v>
      </c>
      <c r="O1" s="45" t="s">
        <v>47</v>
      </c>
      <c r="P1" s="45" t="s">
        <v>58</v>
      </c>
      <c r="Q1" s="45" t="s">
        <v>47</v>
      </c>
    </row>
    <row customHeight="true" ht="16.071428571428573" r="2">
      <c r="A2" s="47" t="s">
        <v>59</v>
      </c>
      <c r="B2" s="45" t="s">
        <v>60</v>
      </c>
      <c r="C2" s="48" t="s">
        <v>61</v>
      </c>
      <c r="D2" s="49">
        <v>2</v>
      </c>
      <c r="E2" s="50">
        <v>0</v>
      </c>
      <c r="F2" s="50">
        <v>1</v>
      </c>
      <c r="G2" s="51">
        <v>1</v>
      </c>
      <c r="H2" s="52">
        <v>1</v>
      </c>
      <c r="I2" s="52">
        <v>29.9</v>
      </c>
      <c r="J2" s="53">
        <v>489.562</v>
      </c>
      <c r="K2" s="54">
        <f t="shared" ref="K2:K64" si="0">I2/J2</f>
      </c>
      <c r="L2" s="55">
        <f t="shared" ref="L2:L64" si="1">I2/F2</f>
      </c>
      <c r="M2" s="56">
        <f t="shared" ref="M2:M64" si="2">J2/F2</f>
      </c>
      <c r="N2" s="57"/>
      <c r="O2" s="58"/>
      <c r="P2" s="57"/>
      <c r="Q2" s="50"/>
    </row>
    <row r="3">
      <c r="A3" s="47" t="s">
        <v>59</v>
      </c>
      <c r="B3" s="52" t="s">
        <v>62</v>
      </c>
      <c r="C3" s="48" t="s">
        <v>63</v>
      </c>
      <c r="D3" s="49">
        <v>2</v>
      </c>
      <c r="E3" s="57">
        <v>0</v>
      </c>
      <c r="F3" s="57">
        <v>0</v>
      </c>
      <c r="G3" s="59">
        <v>0</v>
      </c>
      <c r="H3" s="52">
        <v>0</v>
      </c>
      <c r="I3" s="52">
        <v>0</v>
      </c>
      <c r="J3" s="53">
        <v>875.5179999999999</v>
      </c>
      <c r="K3" s="54">
        <f t="shared" si="0"/>
      </c>
      <c r="L3" s="55">
        <f t="shared" si="1"/>
      </c>
      <c r="M3" s="56">
        <f t="shared" si="2"/>
      </c>
      <c r="N3" s="50" t="s">
        <v>64</v>
      </c>
      <c r="O3" s="58">
        <v>8</v>
      </c>
      <c r="P3" s="57" t="s">
        <v>65</v>
      </c>
      <c r="Q3" s="50">
        <v>8</v>
      </c>
    </row>
    <row customHeight="true" ht="16.071428571428573" r="4">
      <c r="A4" s="47" t="s">
        <v>59</v>
      </c>
      <c r="B4" s="45" t="s">
        <v>60</v>
      </c>
      <c r="C4" s="48" t="s">
        <v>66</v>
      </c>
      <c r="D4" s="49">
        <v>2</v>
      </c>
      <c r="E4" s="50">
        <v>0</v>
      </c>
      <c r="F4" s="50">
        <v>0</v>
      </c>
      <c r="G4" s="51">
        <v>0</v>
      </c>
      <c r="H4" s="52">
        <v>0</v>
      </c>
      <c r="I4" s="52">
        <v>0</v>
      </c>
      <c r="J4" s="53">
        <v>758.447</v>
      </c>
      <c r="K4" s="54">
        <f t="shared" si="0"/>
      </c>
      <c r="L4" s="55">
        <f t="shared" si="1"/>
      </c>
      <c r="M4" s="56">
        <f t="shared" si="2"/>
      </c>
      <c r="N4" s="57"/>
      <c r="O4" s="58"/>
      <c r="P4" s="57"/>
      <c r="Q4" s="50"/>
    </row>
    <row customHeight="true" ht="16.071428571428573" r="5">
      <c r="A5" s="47" t="s">
        <v>59</v>
      </c>
      <c r="B5" s="52" t="s">
        <v>62</v>
      </c>
      <c r="C5" s="48" t="s">
        <v>67</v>
      </c>
      <c r="D5" s="49">
        <v>2</v>
      </c>
      <c r="E5" s="50">
        <v>0</v>
      </c>
      <c r="F5" s="50">
        <v>0</v>
      </c>
      <c r="G5" s="51">
        <v>0</v>
      </c>
      <c r="H5" s="52">
        <v>0</v>
      </c>
      <c r="I5" s="52">
        <v>0</v>
      </c>
      <c r="J5" s="60">
        <v>535.621</v>
      </c>
      <c r="K5" s="54">
        <f t="shared" si="0"/>
      </c>
      <c r="L5" s="55">
        <f t="shared" si="1"/>
      </c>
      <c r="M5" s="56">
        <f t="shared" si="2"/>
      </c>
      <c r="N5" s="57"/>
      <c r="O5" s="58"/>
      <c r="P5" s="57"/>
      <c r="Q5" s="50"/>
    </row>
    <row r="6">
      <c r="A6" s="61" t="s">
        <v>59</v>
      </c>
      <c r="B6" s="62"/>
      <c r="C6" s="62"/>
      <c r="D6" s="62">
        <f>D2+D3+D4+D5</f>
      </c>
      <c r="E6" s="62">
        <f>E2+E3+E4+E5</f>
      </c>
      <c r="F6" s="62">
        <f>F2+F3+F4+F5</f>
      </c>
      <c r="G6" s="62">
        <f>G2+G3+G4+G5</f>
      </c>
      <c r="H6" s="62">
        <f>H2+H3+H4+H5</f>
      </c>
      <c r="I6" s="62">
        <f>I2+I3+I4+I5</f>
      </c>
      <c r="J6" s="62">
        <f>J2+J3+J4+J5</f>
      </c>
      <c r="K6" s="63">
        <f t="shared" si="0"/>
      </c>
      <c r="L6" s="63">
        <f t="shared" si="1"/>
      </c>
      <c r="M6" s="63">
        <f t="shared" si="2"/>
      </c>
      <c r="N6" s="64"/>
      <c r="O6" s="62">
        <f>O2+O3+O4+O5</f>
      </c>
      <c r="P6" s="65"/>
      <c r="Q6" s="62">
        <f>Q2+Q3+Q4+Q5</f>
      </c>
    </row>
    <row r="7">
      <c r="A7" s="47" t="s">
        <v>68</v>
      </c>
      <c r="B7" s="45" t="s">
        <v>60</v>
      </c>
      <c r="C7" s="48" t="s">
        <v>61</v>
      </c>
      <c r="D7" s="49">
        <v>2</v>
      </c>
      <c r="E7" s="50">
        <v>0</v>
      </c>
      <c r="F7" s="50">
        <v>0</v>
      </c>
      <c r="G7" s="51">
        <v>0</v>
      </c>
      <c r="H7" s="52">
        <v>0</v>
      </c>
      <c r="I7" s="52">
        <v>0</v>
      </c>
      <c r="J7" s="53">
        <v>951.1320000000001</v>
      </c>
      <c r="K7" s="54">
        <f t="shared" si="0"/>
      </c>
      <c r="L7" s="55">
        <f t="shared" si="1"/>
      </c>
      <c r="M7" s="56">
        <f t="shared" si="2"/>
      </c>
      <c r="N7" s="57"/>
      <c r="O7" s="58"/>
      <c r="P7" s="57"/>
      <c r="Q7" s="50"/>
    </row>
    <row r="8">
      <c r="A8" s="47" t="s">
        <v>68</v>
      </c>
      <c r="B8" s="52" t="s">
        <v>62</v>
      </c>
      <c r="C8" s="48" t="s">
        <v>63</v>
      </c>
      <c r="D8" s="49">
        <v>2</v>
      </c>
      <c r="E8" s="50">
        <v>0</v>
      </c>
      <c r="F8" s="50">
        <v>0</v>
      </c>
      <c r="G8" s="51">
        <v>0</v>
      </c>
      <c r="H8" s="52">
        <v>0</v>
      </c>
      <c r="I8" s="52">
        <v>0</v>
      </c>
      <c r="J8" s="53">
        <v>755.963</v>
      </c>
      <c r="K8" s="54">
        <f t="shared" si="0"/>
      </c>
      <c r="L8" s="55">
        <f t="shared" si="1"/>
      </c>
      <c r="M8" s="56">
        <f t="shared" si="2"/>
      </c>
      <c r="N8" s="50" t="s">
        <v>69</v>
      </c>
      <c r="O8" s="58">
        <v>8</v>
      </c>
      <c r="P8" s="57" t="s">
        <v>65</v>
      </c>
      <c r="Q8" s="50">
        <v>8</v>
      </c>
    </row>
    <row r="9">
      <c r="A9" s="47" t="s">
        <v>68</v>
      </c>
      <c r="B9" s="45" t="s">
        <v>60</v>
      </c>
      <c r="C9" s="48" t="s">
        <v>66</v>
      </c>
      <c r="D9" s="49">
        <v>2</v>
      </c>
      <c r="E9" s="50">
        <v>0</v>
      </c>
      <c r="F9" s="50">
        <v>0</v>
      </c>
      <c r="G9" s="51">
        <v>0</v>
      </c>
      <c r="H9" s="52">
        <v>0</v>
      </c>
      <c r="I9" s="52">
        <v>0</v>
      </c>
      <c r="J9" s="53">
        <v>622.7729999999999</v>
      </c>
      <c r="K9" s="54">
        <f t="shared" si="0"/>
      </c>
      <c r="L9" s="55">
        <f t="shared" si="1"/>
      </c>
      <c r="M9" s="56">
        <f t="shared" si="2"/>
      </c>
      <c r="N9" s="57"/>
      <c r="O9" s="58"/>
      <c r="P9" s="57"/>
      <c r="Q9" s="50"/>
    </row>
    <row r="10">
      <c r="A10" s="47" t="s">
        <v>68</v>
      </c>
      <c r="B10" s="52" t="s">
        <v>62</v>
      </c>
      <c r="C10" s="48" t="s">
        <v>67</v>
      </c>
      <c r="D10" s="49">
        <v>2</v>
      </c>
      <c r="E10" s="50">
        <v>0</v>
      </c>
      <c r="F10" s="50">
        <v>0</v>
      </c>
      <c r="G10" s="51">
        <v>0</v>
      </c>
      <c r="H10" s="52">
        <v>0</v>
      </c>
      <c r="I10" s="52">
        <v>0</v>
      </c>
      <c r="J10" s="60">
        <v>578.369</v>
      </c>
      <c r="K10" s="54">
        <f t="shared" si="0"/>
      </c>
      <c r="L10" s="55">
        <f t="shared" si="1"/>
      </c>
      <c r="M10" s="56">
        <f t="shared" si="2"/>
      </c>
      <c r="N10" s="57"/>
      <c r="O10" s="58"/>
      <c r="P10" s="57"/>
      <c r="Q10" s="50"/>
    </row>
    <row r="11">
      <c r="A11" s="61" t="s">
        <v>68</v>
      </c>
      <c r="B11" s="62"/>
      <c r="C11" s="62"/>
      <c r="D11" s="62">
        <f>D7+D8+D9+D10</f>
      </c>
      <c r="E11" s="62">
        <f>E7+E8+E9+E10</f>
      </c>
      <c r="F11" s="62">
        <f>F7+F8+F9+F10</f>
      </c>
      <c r="G11" s="62">
        <f>G7+G8+G9+G10</f>
      </c>
      <c r="H11" s="62">
        <f>H7+H8+H9+H10</f>
      </c>
      <c r="I11" s="62">
        <f>I7+I8+I9+I10</f>
      </c>
      <c r="J11" s="62">
        <f>J7+J8+J9+J10</f>
      </c>
      <c r="K11" s="63">
        <f t="shared" si="0"/>
      </c>
      <c r="L11" s="63">
        <f t="shared" si="1"/>
      </c>
      <c r="M11" s="63">
        <f t="shared" si="2"/>
      </c>
      <c r="N11" s="64"/>
      <c r="O11" s="62">
        <f>O7+O8+O9+O10</f>
      </c>
      <c r="P11" s="65"/>
      <c r="Q11" s="62">
        <f>Q7+Q8+Q9+Q10</f>
      </c>
    </row>
    <row r="12">
      <c r="A12" s="47" t="s">
        <v>70</v>
      </c>
      <c r="B12" s="45" t="s">
        <v>60</v>
      </c>
      <c r="C12" s="48" t="s">
        <v>61</v>
      </c>
      <c r="D12" s="49">
        <v>2</v>
      </c>
      <c r="E12" s="50">
        <v>0</v>
      </c>
      <c r="F12" s="50">
        <v>0</v>
      </c>
      <c r="G12" s="51">
        <v>0</v>
      </c>
      <c r="H12" s="52">
        <v>0</v>
      </c>
      <c r="I12" s="52">
        <v>0</v>
      </c>
      <c r="J12" s="53">
        <v>147.831</v>
      </c>
      <c r="K12" s="54">
        <f t="shared" si="0"/>
      </c>
      <c r="L12" s="55">
        <f t="shared" si="1"/>
      </c>
      <c r="M12" s="56">
        <f t="shared" si="2"/>
      </c>
      <c r="N12" s="57"/>
      <c r="O12" s="58"/>
      <c r="P12" s="57"/>
      <c r="Q12" s="50"/>
    </row>
    <row r="13">
      <c r="A13" s="47" t="s">
        <v>70</v>
      </c>
      <c r="B13" s="52" t="s">
        <v>62</v>
      </c>
      <c r="C13" s="48" t="s">
        <v>63</v>
      </c>
      <c r="D13" s="49">
        <v>2</v>
      </c>
      <c r="E13" s="50">
        <v>0</v>
      </c>
      <c r="F13" s="50">
        <v>0</v>
      </c>
      <c r="G13" s="51">
        <v>0</v>
      </c>
      <c r="H13" s="52">
        <v>0</v>
      </c>
      <c r="I13" s="52">
        <v>0</v>
      </c>
      <c r="J13" s="53">
        <v>236.982</v>
      </c>
      <c r="K13" s="54">
        <f t="shared" si="0"/>
      </c>
      <c r="L13" s="55">
        <f t="shared" si="1"/>
      </c>
      <c r="M13" s="56">
        <f t="shared" si="2"/>
      </c>
      <c r="N13" s="50" t="s">
        <v>69</v>
      </c>
      <c r="O13" s="58">
        <v>8</v>
      </c>
      <c r="P13" s="57" t="s">
        <v>65</v>
      </c>
      <c r="Q13" s="50">
        <v>8</v>
      </c>
    </row>
    <row r="14">
      <c r="A14" s="47" t="s">
        <v>70</v>
      </c>
      <c r="B14" s="45" t="s">
        <v>60</v>
      </c>
      <c r="C14" s="48" t="s">
        <v>66</v>
      </c>
      <c r="D14" s="66">
        <f>2-0.75</f>
      </c>
      <c r="E14" s="50">
        <v>0</v>
      </c>
      <c r="F14" s="50">
        <v>0</v>
      </c>
      <c r="G14" s="51">
        <v>0</v>
      </c>
      <c r="H14" s="52">
        <v>0</v>
      </c>
      <c r="I14" s="52">
        <v>0</v>
      </c>
      <c r="J14" s="53">
        <v>367.028</v>
      </c>
      <c r="K14" s="54">
        <f t="shared" si="0"/>
      </c>
      <c r="L14" s="55">
        <f t="shared" si="1"/>
      </c>
      <c r="M14" s="56">
        <f t="shared" si="2"/>
      </c>
      <c r="N14" s="57"/>
      <c r="O14" s="58"/>
      <c r="P14" s="57"/>
      <c r="Q14" s="50"/>
    </row>
    <row r="15">
      <c r="A15" s="47" t="s">
        <v>70</v>
      </c>
      <c r="B15" s="52" t="s">
        <v>62</v>
      </c>
      <c r="C15" s="48" t="s">
        <v>67</v>
      </c>
      <c r="D15" s="49">
        <v>2</v>
      </c>
      <c r="E15" s="50">
        <v>0</v>
      </c>
      <c r="F15" s="50">
        <v>0</v>
      </c>
      <c r="G15" s="51">
        <v>0</v>
      </c>
      <c r="H15" s="52">
        <v>0</v>
      </c>
      <c r="I15" s="52">
        <v>0</v>
      </c>
      <c r="J15" s="60">
        <v>188.13</v>
      </c>
      <c r="K15" s="54">
        <f t="shared" si="0"/>
      </c>
      <c r="L15" s="55">
        <f t="shared" si="1"/>
      </c>
      <c r="M15" s="56">
        <f t="shared" si="2"/>
      </c>
      <c r="N15" s="57"/>
      <c r="O15" s="58"/>
      <c r="P15" s="57"/>
      <c r="Q15" s="50"/>
    </row>
    <row r="16">
      <c r="A16" s="61" t="s">
        <v>70</v>
      </c>
      <c r="B16" s="62"/>
      <c r="C16" s="62"/>
      <c r="D16" s="62">
        <f>D12+D13+D14+D15</f>
      </c>
      <c r="E16" s="62">
        <f>E12+E13+E14+E15</f>
      </c>
      <c r="F16" s="62">
        <f>F12+F13+F14+F15</f>
      </c>
      <c r="G16" s="62">
        <f>G12+G13+G14+G15</f>
      </c>
      <c r="H16" s="62">
        <f>H12+H13+H14+H15</f>
      </c>
      <c r="I16" s="62">
        <f>I12+I13+I14+I15</f>
      </c>
      <c r="J16" s="62">
        <f>J12+J13+J14+J15</f>
      </c>
      <c r="K16" s="63">
        <f t="shared" si="0"/>
      </c>
      <c r="L16" s="63">
        <f t="shared" si="1"/>
      </c>
      <c r="M16" s="63">
        <f t="shared" si="2"/>
      </c>
      <c r="N16" s="64"/>
      <c r="O16" s="62">
        <f>O12+O13+O14+O15</f>
      </c>
      <c r="P16" s="65"/>
      <c r="Q16" s="62">
        <f>Q12+Q13+Q14+Q15</f>
      </c>
    </row>
    <row r="17">
      <c r="A17" s="47" t="s">
        <v>71</v>
      </c>
      <c r="B17" s="52" t="s">
        <v>62</v>
      </c>
      <c r="C17" s="48" t="s">
        <v>72</v>
      </c>
      <c r="D17" s="49">
        <v>2</v>
      </c>
      <c r="E17" s="50">
        <v>0</v>
      </c>
      <c r="F17" s="50">
        <v>0</v>
      </c>
      <c r="G17" s="51">
        <v>0</v>
      </c>
      <c r="H17" s="52">
        <v>0</v>
      </c>
      <c r="I17" s="52">
        <v>0</v>
      </c>
      <c r="J17" s="53">
        <v>235.538</v>
      </c>
      <c r="K17" s="54">
        <f t="shared" si="0"/>
      </c>
      <c r="L17" s="55">
        <f t="shared" si="1"/>
      </c>
      <c r="M17" s="56">
        <f t="shared" si="2"/>
      </c>
      <c r="N17" s="57"/>
      <c r="O17" s="58"/>
      <c r="P17" s="57"/>
      <c r="Q17" s="50"/>
    </row>
    <row r="18">
      <c r="A18" s="47" t="s">
        <v>71</v>
      </c>
      <c r="B18" s="45" t="s">
        <v>60</v>
      </c>
      <c r="C18" s="48" t="s">
        <v>61</v>
      </c>
      <c r="D18" s="49">
        <v>2</v>
      </c>
      <c r="E18" s="50">
        <v>0</v>
      </c>
      <c r="F18" s="50">
        <v>0</v>
      </c>
      <c r="G18" s="51">
        <v>0</v>
      </c>
      <c r="H18" s="52">
        <v>0</v>
      </c>
      <c r="I18" s="52">
        <v>0</v>
      </c>
      <c r="J18" s="53">
        <v>296.147</v>
      </c>
      <c r="K18" s="54">
        <f t="shared" si="0"/>
      </c>
      <c r="L18" s="55">
        <f t="shared" si="1"/>
      </c>
      <c r="M18" s="56">
        <f t="shared" si="2"/>
      </c>
      <c r="N18" s="50" t="s">
        <v>69</v>
      </c>
      <c r="O18" s="58">
        <v>8</v>
      </c>
      <c r="P18" s="57" t="s">
        <v>65</v>
      </c>
      <c r="Q18" s="50">
        <v>8</v>
      </c>
    </row>
    <row r="19">
      <c r="A19" s="47" t="s">
        <v>71</v>
      </c>
      <c r="B19" s="52" t="s">
        <v>62</v>
      </c>
      <c r="C19" s="48" t="s">
        <v>63</v>
      </c>
      <c r="D19" s="49">
        <v>2</v>
      </c>
      <c r="E19" s="50">
        <v>0</v>
      </c>
      <c r="F19" s="50">
        <v>0</v>
      </c>
      <c r="G19" s="51">
        <v>0</v>
      </c>
      <c r="H19" s="52">
        <v>0</v>
      </c>
      <c r="I19" s="52">
        <v>0</v>
      </c>
      <c r="J19" s="53">
        <v>242.139</v>
      </c>
      <c r="K19" s="54">
        <f t="shared" si="0"/>
      </c>
      <c r="L19" s="55">
        <f t="shared" si="1"/>
      </c>
      <c r="M19" s="56">
        <f t="shared" si="2"/>
      </c>
      <c r="N19" s="50"/>
      <c r="O19" s="58"/>
      <c r="P19" s="57"/>
      <c r="Q19" s="50"/>
    </row>
    <row r="20">
      <c r="A20" s="47" t="s">
        <v>71</v>
      </c>
      <c r="B20" s="45" t="s">
        <v>60</v>
      </c>
      <c r="C20" s="48" t="s">
        <v>66</v>
      </c>
      <c r="D20" s="49">
        <v>2</v>
      </c>
      <c r="E20" s="50">
        <v>0</v>
      </c>
      <c r="F20" s="50">
        <v>0</v>
      </c>
      <c r="G20" s="51">
        <v>0</v>
      </c>
      <c r="H20" s="52">
        <v>0</v>
      </c>
      <c r="I20" s="52">
        <v>0</v>
      </c>
      <c r="J20" s="60">
        <v>274.34900000000005</v>
      </c>
      <c r="K20" s="54">
        <f t="shared" si="0"/>
      </c>
      <c r="L20" s="55">
        <f t="shared" si="1"/>
      </c>
      <c r="M20" s="56">
        <f t="shared" si="2"/>
      </c>
      <c r="N20" s="57"/>
      <c r="O20" s="58"/>
      <c r="P20" s="57"/>
      <c r="Q20" s="50"/>
    </row>
    <row r="21">
      <c r="A21" s="61" t="s">
        <v>71</v>
      </c>
      <c r="B21" s="62"/>
      <c r="C21" s="62"/>
      <c r="D21" s="62">
        <f>D17+D18+D19+D20</f>
      </c>
      <c r="E21" s="62">
        <f>E17+E18+E19+E20</f>
      </c>
      <c r="F21" s="62">
        <f>F17+F18+F19+F20</f>
      </c>
      <c r="G21" s="62">
        <f>G17+G18+G19+G20</f>
      </c>
      <c r="H21" s="62">
        <f>H17+H18+H19+H20</f>
      </c>
      <c r="I21" s="62">
        <f>I17+I18+I19+I20</f>
      </c>
      <c r="J21" s="62">
        <f>J17+J18+J19+J20</f>
      </c>
      <c r="K21" s="63">
        <f t="shared" si="0"/>
      </c>
      <c r="L21" s="63">
        <f t="shared" si="1"/>
      </c>
      <c r="M21" s="63">
        <f t="shared" si="2"/>
      </c>
      <c r="N21" s="64"/>
      <c r="O21" s="62">
        <f>O17+O18+O19+O20</f>
      </c>
      <c r="P21" s="65"/>
      <c r="Q21" s="62">
        <f>Q17+Q18+Q19+Q20</f>
      </c>
    </row>
    <row r="22">
      <c r="A22" s="47" t="s">
        <v>73</v>
      </c>
      <c r="B22" s="45" t="s">
        <v>60</v>
      </c>
      <c r="C22" s="48" t="s">
        <v>72</v>
      </c>
      <c r="D22" s="49">
        <v>2</v>
      </c>
      <c r="E22" s="50">
        <v>0</v>
      </c>
      <c r="F22" s="50">
        <v>0</v>
      </c>
      <c r="G22" s="51">
        <v>0</v>
      </c>
      <c r="H22" s="52">
        <v>0</v>
      </c>
      <c r="I22" s="52">
        <v>0</v>
      </c>
      <c r="J22" s="53">
        <v>140.724</v>
      </c>
      <c r="K22" s="54">
        <f t="shared" si="0"/>
      </c>
      <c r="L22" s="55">
        <f t="shared" si="1"/>
      </c>
      <c r="M22" s="56">
        <f t="shared" si="2"/>
      </c>
      <c r="N22" s="50" t="s">
        <v>74</v>
      </c>
      <c r="O22" s="58">
        <v>2</v>
      </c>
      <c r="P22" s="57"/>
      <c r="Q22" s="50"/>
    </row>
    <row r="23">
      <c r="A23" s="47" t="s">
        <v>73</v>
      </c>
      <c r="B23" s="52" t="s">
        <v>62</v>
      </c>
      <c r="C23" s="48" t="s">
        <v>61</v>
      </c>
      <c r="D23" s="49">
        <v>2</v>
      </c>
      <c r="E23" s="50">
        <v>0</v>
      </c>
      <c r="F23" s="50">
        <v>0</v>
      </c>
      <c r="G23" s="51">
        <v>0</v>
      </c>
      <c r="H23" s="52">
        <v>0</v>
      </c>
      <c r="I23" s="52">
        <v>0</v>
      </c>
      <c r="J23" s="53">
        <v>217.85399999999998</v>
      </c>
      <c r="K23" s="54">
        <f t="shared" si="0"/>
      </c>
      <c r="L23" s="55">
        <f t="shared" si="1"/>
      </c>
      <c r="M23" s="56">
        <f t="shared" si="2"/>
      </c>
      <c r="N23" s="50" t="s">
        <v>69</v>
      </c>
      <c r="O23" s="58">
        <v>3</v>
      </c>
      <c r="P23" s="57" t="s">
        <v>65</v>
      </c>
      <c r="Q23" s="50">
        <v>8</v>
      </c>
    </row>
    <row r="24">
      <c r="A24" s="47" t="s">
        <v>73</v>
      </c>
      <c r="B24" s="45" t="s">
        <v>60</v>
      </c>
      <c r="C24" s="48" t="s">
        <v>63</v>
      </c>
      <c r="D24" s="49">
        <v>2</v>
      </c>
      <c r="E24" s="50">
        <v>0</v>
      </c>
      <c r="F24" s="50">
        <v>0</v>
      </c>
      <c r="G24" s="51">
        <v>0</v>
      </c>
      <c r="H24" s="52">
        <v>0</v>
      </c>
      <c r="I24" s="52">
        <v>0</v>
      </c>
      <c r="J24" s="53">
        <v>226.949</v>
      </c>
      <c r="K24" s="54">
        <f t="shared" si="0"/>
      </c>
      <c r="L24" s="55">
        <f t="shared" si="1"/>
      </c>
      <c r="M24" s="56">
        <f t="shared" si="2"/>
      </c>
      <c r="N24" s="50" t="s">
        <v>64</v>
      </c>
      <c r="O24" s="58">
        <v>3</v>
      </c>
      <c r="P24" s="57"/>
      <c r="Q24" s="50"/>
    </row>
    <row r="25">
      <c r="A25" s="47" t="s">
        <v>73</v>
      </c>
      <c r="B25" s="52" t="s">
        <v>62</v>
      </c>
      <c r="C25" s="48" t="s">
        <v>66</v>
      </c>
      <c r="D25" s="49">
        <v>2</v>
      </c>
      <c r="E25" s="50">
        <v>0</v>
      </c>
      <c r="F25" s="50">
        <v>0</v>
      </c>
      <c r="G25" s="51">
        <v>0</v>
      </c>
      <c r="H25" s="52">
        <v>0</v>
      </c>
      <c r="I25" s="52">
        <v>0</v>
      </c>
      <c r="J25" s="60">
        <v>315.16499999999996</v>
      </c>
      <c r="K25" s="54">
        <f t="shared" si="0"/>
      </c>
      <c r="L25" s="55">
        <f t="shared" si="1"/>
      </c>
      <c r="M25" s="56">
        <f t="shared" si="2"/>
      </c>
      <c r="N25" s="57"/>
      <c r="O25" s="58"/>
      <c r="P25" s="57"/>
      <c r="Q25" s="50"/>
    </row>
    <row r="26">
      <c r="A26" s="61" t="s">
        <v>73</v>
      </c>
      <c r="B26" s="62"/>
      <c r="C26" s="62"/>
      <c r="D26" s="62">
        <f>D22+D23+D24+D25</f>
      </c>
      <c r="E26" s="62">
        <f>E22+E23+E24+E25</f>
      </c>
      <c r="F26" s="62">
        <f>F22+F23+F24+F25</f>
      </c>
      <c r="G26" s="62">
        <f>G22+G23+G24+G25</f>
      </c>
      <c r="H26" s="62">
        <f>H22+H23+H24+H25</f>
      </c>
      <c r="I26" s="62">
        <f>I22+I23+I24+I25</f>
      </c>
      <c r="J26" s="62">
        <f>J22+J23+J24+J25</f>
      </c>
      <c r="K26" s="63">
        <f t="shared" si="0"/>
      </c>
      <c r="L26" s="63">
        <f t="shared" si="1"/>
      </c>
      <c r="M26" s="63">
        <f t="shared" si="2"/>
      </c>
      <c r="N26" s="64"/>
      <c r="O26" s="62">
        <f>O22+O23+O24+O25</f>
      </c>
      <c r="P26" s="65"/>
      <c r="Q26" s="62">
        <f>Q22+Q23+Q24+Q25</f>
      </c>
    </row>
    <row r="27">
      <c r="A27" s="47" t="s">
        <v>75</v>
      </c>
      <c r="B27" s="52" t="s">
        <v>62</v>
      </c>
      <c r="C27" s="48" t="s">
        <v>72</v>
      </c>
      <c r="D27" s="49">
        <v>2</v>
      </c>
      <c r="E27" s="50">
        <v>0</v>
      </c>
      <c r="F27" s="50">
        <v>0</v>
      </c>
      <c r="G27" s="51">
        <v>0</v>
      </c>
      <c r="H27" s="52">
        <v>0</v>
      </c>
      <c r="I27" s="52">
        <v>0</v>
      </c>
      <c r="J27" s="53">
        <v>200.04199999999997</v>
      </c>
      <c r="K27" s="54">
        <f t="shared" si="0"/>
      </c>
      <c r="L27" s="55">
        <f t="shared" si="1"/>
      </c>
      <c r="M27" s="56">
        <f t="shared" si="2"/>
      </c>
      <c r="N27" s="50" t="s">
        <v>74</v>
      </c>
      <c r="O27" s="58">
        <v>2</v>
      </c>
      <c r="P27" s="57"/>
      <c r="Q27" s="50"/>
    </row>
    <row r="28">
      <c r="A28" s="47" t="s">
        <v>75</v>
      </c>
      <c r="B28" s="45" t="s">
        <v>60</v>
      </c>
      <c r="C28" s="48" t="s">
        <v>61</v>
      </c>
      <c r="D28" s="49">
        <v>2</v>
      </c>
      <c r="E28" s="50">
        <v>0</v>
      </c>
      <c r="F28" s="50">
        <v>0</v>
      </c>
      <c r="G28" s="51">
        <v>0</v>
      </c>
      <c r="H28" s="52">
        <v>0</v>
      </c>
      <c r="I28" s="52">
        <v>0</v>
      </c>
      <c r="J28" s="53">
        <v>296.188</v>
      </c>
      <c r="K28" s="54">
        <f t="shared" si="0"/>
      </c>
      <c r="L28" s="55">
        <f t="shared" si="1"/>
      </c>
      <c r="M28" s="56">
        <f t="shared" si="2"/>
      </c>
      <c r="N28" s="50"/>
      <c r="O28" s="58"/>
      <c r="P28" s="57" t="s">
        <v>65</v>
      </c>
      <c r="Q28" s="50">
        <v>8</v>
      </c>
    </row>
    <row r="29">
      <c r="A29" s="47" t="s">
        <v>75</v>
      </c>
      <c r="B29" s="52" t="s">
        <v>62</v>
      </c>
      <c r="C29" s="48" t="s">
        <v>63</v>
      </c>
      <c r="D29" s="49">
        <v>2</v>
      </c>
      <c r="E29" s="50">
        <v>0</v>
      </c>
      <c r="F29" s="50">
        <v>0</v>
      </c>
      <c r="G29" s="51">
        <v>0</v>
      </c>
      <c r="H29" s="52">
        <v>0</v>
      </c>
      <c r="I29" s="52">
        <v>0</v>
      </c>
      <c r="J29" s="53">
        <v>250.974</v>
      </c>
      <c r="K29" s="54">
        <f t="shared" si="0"/>
      </c>
      <c r="L29" s="55">
        <f t="shared" si="1"/>
      </c>
      <c r="M29" s="56">
        <f t="shared" si="2"/>
      </c>
      <c r="N29" s="50" t="s">
        <v>76</v>
      </c>
      <c r="O29" s="58">
        <v>6</v>
      </c>
      <c r="P29" s="57"/>
      <c r="Q29" s="50"/>
    </row>
    <row r="30">
      <c r="A30" s="47" t="s">
        <v>75</v>
      </c>
      <c r="B30" s="45" t="s">
        <v>60</v>
      </c>
      <c r="C30" s="48" t="s">
        <v>66</v>
      </c>
      <c r="D30" s="49">
        <v>2</v>
      </c>
      <c r="E30" s="50">
        <v>0</v>
      </c>
      <c r="F30" s="50">
        <v>0</v>
      </c>
      <c r="G30" s="51">
        <v>0</v>
      </c>
      <c r="H30" s="52">
        <v>0</v>
      </c>
      <c r="I30" s="52">
        <v>0</v>
      </c>
      <c r="J30" s="60">
        <v>169.062</v>
      </c>
      <c r="K30" s="54">
        <f t="shared" si="0"/>
      </c>
      <c r="L30" s="55">
        <f t="shared" si="1"/>
      </c>
      <c r="M30" s="56">
        <f t="shared" si="2"/>
      </c>
      <c r="N30" s="50"/>
      <c r="O30" s="58"/>
      <c r="P30" s="57"/>
      <c r="Q30" s="50"/>
    </row>
    <row r="31">
      <c r="A31" s="61" t="s">
        <v>75</v>
      </c>
      <c r="B31" s="62"/>
      <c r="C31" s="62"/>
      <c r="D31" s="62">
        <f>D27+D28+D29+D30</f>
      </c>
      <c r="E31" s="62">
        <f>E27+E28+E29+E30</f>
      </c>
      <c r="F31" s="62">
        <f>F27+F28+F29+F30</f>
      </c>
      <c r="G31" s="62">
        <f>G27+G28+G29+G30</f>
      </c>
      <c r="H31" s="62">
        <f>H27+H28+H29+H30</f>
      </c>
      <c r="I31" s="62">
        <f>I27+I28+I29+I30</f>
      </c>
      <c r="J31" s="67">
        <f>J27+J28+J29+J30</f>
      </c>
      <c r="K31" s="63">
        <f t="shared" si="0"/>
      </c>
      <c r="L31" s="63">
        <f t="shared" si="1"/>
      </c>
      <c r="M31" s="63">
        <f t="shared" si="2"/>
      </c>
      <c r="N31" s="64"/>
      <c r="O31" s="62">
        <f>O27+O28+O29+O30</f>
      </c>
      <c r="P31" s="65"/>
      <c r="Q31" s="62">
        <f>Q27+Q28+Q29+Q30</f>
      </c>
    </row>
    <row r="32">
      <c r="A32" s="47" t="s">
        <v>77</v>
      </c>
      <c r="B32" s="45" t="s">
        <v>60</v>
      </c>
      <c r="C32" s="48" t="s">
        <v>72</v>
      </c>
      <c r="D32" s="49">
        <v>2</v>
      </c>
      <c r="E32" s="50">
        <v>0</v>
      </c>
      <c r="F32" s="50">
        <v>0</v>
      </c>
      <c r="G32" s="51">
        <v>0</v>
      </c>
      <c r="H32" s="52">
        <v>0</v>
      </c>
      <c r="I32" s="52">
        <v>0</v>
      </c>
      <c r="J32" s="53">
        <v>24.03</v>
      </c>
      <c r="K32" s="54">
        <f t="shared" si="0"/>
      </c>
      <c r="L32" s="55">
        <f t="shared" si="1"/>
      </c>
      <c r="M32" s="56">
        <f t="shared" si="2"/>
      </c>
      <c r="N32" s="50" t="s">
        <v>74</v>
      </c>
      <c r="O32" s="58">
        <v>2</v>
      </c>
      <c r="P32" s="57"/>
      <c r="Q32" s="50"/>
    </row>
    <row r="33">
      <c r="A33" s="47" t="s">
        <v>77</v>
      </c>
      <c r="B33" s="52" t="s">
        <v>62</v>
      </c>
      <c r="C33" s="48" t="s">
        <v>61</v>
      </c>
      <c r="D33" s="49">
        <v>2</v>
      </c>
      <c r="E33" s="50">
        <v>0</v>
      </c>
      <c r="F33" s="50">
        <v>0</v>
      </c>
      <c r="G33" s="51">
        <v>0</v>
      </c>
      <c r="H33" s="52">
        <v>0</v>
      </c>
      <c r="I33" s="52">
        <v>0</v>
      </c>
      <c r="J33" s="53">
        <v>117.713</v>
      </c>
      <c r="K33" s="54">
        <f t="shared" si="0"/>
      </c>
      <c r="L33" s="55">
        <f t="shared" si="1"/>
      </c>
      <c r="M33" s="56">
        <f t="shared" si="2"/>
      </c>
      <c r="N33" s="50"/>
      <c r="O33" s="58"/>
      <c r="P33" s="57" t="s">
        <v>65</v>
      </c>
      <c r="Q33" s="50">
        <v>8</v>
      </c>
    </row>
    <row r="34">
      <c r="A34" s="47" t="s">
        <v>77</v>
      </c>
      <c r="B34" s="45" t="s">
        <v>60</v>
      </c>
      <c r="C34" s="48" t="s">
        <v>63</v>
      </c>
      <c r="D34" s="49">
        <v>2</v>
      </c>
      <c r="E34" s="50">
        <v>0</v>
      </c>
      <c r="F34" s="50">
        <v>0</v>
      </c>
      <c r="G34" s="51">
        <v>0</v>
      </c>
      <c r="H34" s="52">
        <v>0</v>
      </c>
      <c r="I34" s="52">
        <v>0</v>
      </c>
      <c r="J34" s="53">
        <v>267.748</v>
      </c>
      <c r="K34" s="54">
        <f t="shared" si="0"/>
      </c>
      <c r="L34" s="55">
        <f t="shared" si="1"/>
      </c>
      <c r="M34" s="56">
        <f t="shared" si="2"/>
      </c>
      <c r="N34" s="50" t="s">
        <v>76</v>
      </c>
      <c r="O34" s="58">
        <v>6</v>
      </c>
      <c r="P34" s="57"/>
      <c r="Q34" s="50"/>
    </row>
    <row r="35">
      <c r="A35" s="47" t="s">
        <v>77</v>
      </c>
      <c r="B35" s="52" t="s">
        <v>62</v>
      </c>
      <c r="C35" s="48" t="s">
        <v>66</v>
      </c>
      <c r="D35" s="49">
        <v>2</v>
      </c>
      <c r="E35" s="50">
        <v>0</v>
      </c>
      <c r="F35" s="50">
        <v>0</v>
      </c>
      <c r="G35" s="51">
        <v>0</v>
      </c>
      <c r="H35" s="52">
        <v>0</v>
      </c>
      <c r="I35" s="52">
        <v>0</v>
      </c>
      <c r="J35" s="60">
        <v>389.216</v>
      </c>
      <c r="K35" s="54">
        <f t="shared" si="0"/>
      </c>
      <c r="L35" s="55">
        <f t="shared" si="1"/>
      </c>
      <c r="M35" s="56">
        <f t="shared" si="2"/>
      </c>
      <c r="N35" s="57"/>
      <c r="O35" s="58"/>
      <c r="P35" s="57"/>
      <c r="Q35" s="50"/>
    </row>
    <row r="36">
      <c r="A36" s="61" t="s">
        <v>77</v>
      </c>
      <c r="B36" s="62"/>
      <c r="C36" s="62"/>
      <c r="D36" s="62">
        <f>D32+D33+D34+D35</f>
      </c>
      <c r="E36" s="62">
        <f>E32+E33+E34+E35</f>
      </c>
      <c r="F36" s="62">
        <f>F32+F33+F34+F35</f>
      </c>
      <c r="G36" s="62">
        <f>G32+G33+G34+G35</f>
      </c>
      <c r="H36" s="62">
        <f>H32+H33+H34+H35</f>
      </c>
      <c r="I36" s="62">
        <f>I32+I33+I34+I35</f>
      </c>
      <c r="J36" s="67">
        <f>J32+J33+J34+J35</f>
      </c>
      <c r="K36" s="63">
        <f t="shared" si="0"/>
      </c>
      <c r="L36" s="63">
        <f t="shared" si="1"/>
      </c>
      <c r="M36" s="63">
        <f t="shared" si="2"/>
      </c>
      <c r="N36" s="64"/>
      <c r="O36" s="62">
        <f>O32+O33+O34+O35</f>
      </c>
      <c r="P36" s="65"/>
      <c r="Q36" s="62">
        <f>Q32+Q33+Q34+Q35</f>
      </c>
    </row>
    <row r="37">
      <c r="A37" s="47" t="s">
        <v>78</v>
      </c>
      <c r="B37" s="45" t="s">
        <v>60</v>
      </c>
      <c r="C37" s="48" t="s">
        <v>79</v>
      </c>
      <c r="D37" s="49">
        <v>2</v>
      </c>
      <c r="E37" s="50">
        <v>0</v>
      </c>
      <c r="F37" s="50">
        <v>0</v>
      </c>
      <c r="G37" s="51">
        <v>0</v>
      </c>
      <c r="H37" s="52">
        <v>0</v>
      </c>
      <c r="I37" s="52">
        <v>0</v>
      </c>
      <c r="J37" s="53">
        <v>270.016</v>
      </c>
      <c r="K37" s="54">
        <f t="shared" si="0"/>
      </c>
      <c r="L37" s="55">
        <f t="shared" si="1"/>
      </c>
      <c r="M37" s="56">
        <f t="shared" si="2"/>
      </c>
      <c r="N37" s="50" t="s">
        <v>76</v>
      </c>
      <c r="O37" s="58">
        <v>4</v>
      </c>
      <c r="P37" s="57"/>
      <c r="Q37" s="50"/>
    </row>
    <row r="38">
      <c r="A38" s="47" t="s">
        <v>78</v>
      </c>
      <c r="B38" s="52" t="s">
        <v>62</v>
      </c>
      <c r="C38" s="48" t="s">
        <v>80</v>
      </c>
      <c r="D38" s="49">
        <v>2</v>
      </c>
      <c r="E38" s="50">
        <v>0</v>
      </c>
      <c r="F38" s="50">
        <v>0</v>
      </c>
      <c r="G38" s="51">
        <v>0</v>
      </c>
      <c r="H38" s="52">
        <v>0</v>
      </c>
      <c r="I38" s="52">
        <v>0</v>
      </c>
      <c r="J38" s="60">
        <v>353.315</v>
      </c>
      <c r="K38" s="54">
        <f t="shared" si="0"/>
      </c>
      <c r="L38" s="55">
        <f t="shared" si="1"/>
      </c>
      <c r="M38" s="56">
        <f t="shared" si="2"/>
      </c>
      <c r="N38" s="57"/>
      <c r="O38" s="58"/>
      <c r="P38" s="57"/>
      <c r="Q38" s="50"/>
    </row>
    <row r="39">
      <c r="A39" s="68" t="s">
        <v>78</v>
      </c>
      <c r="B39" s="62"/>
      <c r="C39" s="62"/>
      <c r="D39" s="62">
        <f>D37+D38</f>
      </c>
      <c r="E39" s="62">
        <f>E37+E38</f>
      </c>
      <c r="F39" s="62">
        <f>F37+F38</f>
      </c>
      <c r="G39" s="62">
        <f>G37+G38</f>
      </c>
      <c r="H39" s="62">
        <f>H37+H38</f>
      </c>
      <c r="I39" s="62">
        <f>I37+I38</f>
      </c>
      <c r="J39" s="67">
        <f>J37+J38</f>
      </c>
      <c r="K39" s="63">
        <f t="shared" si="0"/>
      </c>
      <c r="L39" s="63">
        <f t="shared" si="1"/>
      </c>
      <c r="M39" s="63">
        <f t="shared" si="2"/>
      </c>
      <c r="N39" s="64"/>
      <c r="O39" s="62">
        <f>O37+O38</f>
      </c>
      <c r="P39" s="65"/>
      <c r="Q39" s="62">
        <f>Q37+Q38</f>
      </c>
    </row>
    <row r="40">
      <c r="A40" s="47" t="s">
        <v>81</v>
      </c>
      <c r="B40" s="45" t="s">
        <v>60</v>
      </c>
      <c r="C40" s="48" t="s">
        <v>79</v>
      </c>
      <c r="D40" s="49">
        <v>2</v>
      </c>
      <c r="E40" s="50">
        <v>0</v>
      </c>
      <c r="F40" s="50">
        <v>0</v>
      </c>
      <c r="G40" s="51">
        <v>0</v>
      </c>
      <c r="H40" s="52">
        <v>0</v>
      </c>
      <c r="I40" s="52">
        <v>0</v>
      </c>
      <c r="J40" s="53">
        <v>286.563</v>
      </c>
      <c r="K40" s="54">
        <f t="shared" si="0"/>
      </c>
      <c r="L40" s="55">
        <f t="shared" si="1"/>
      </c>
      <c r="M40" s="56">
        <f t="shared" si="2"/>
      </c>
      <c r="N40" s="50" t="s">
        <v>76</v>
      </c>
      <c r="O40" s="58">
        <v>4</v>
      </c>
      <c r="P40" s="57"/>
      <c r="Q40" s="50"/>
    </row>
    <row r="41">
      <c r="A41" s="47" t="s">
        <v>81</v>
      </c>
      <c r="B41" s="52" t="s">
        <v>62</v>
      </c>
      <c r="C41" s="48" t="s">
        <v>80</v>
      </c>
      <c r="D41" s="49">
        <v>2</v>
      </c>
      <c r="E41" s="50">
        <v>0</v>
      </c>
      <c r="F41" s="50">
        <v>0</v>
      </c>
      <c r="G41" s="51">
        <v>0</v>
      </c>
      <c r="H41" s="52">
        <v>0</v>
      </c>
      <c r="I41" s="52">
        <v>0</v>
      </c>
      <c r="J41" s="60">
        <v>527.4879999999999</v>
      </c>
      <c r="K41" s="54">
        <f t="shared" si="0"/>
      </c>
      <c r="L41" s="55">
        <f t="shared" si="1"/>
      </c>
      <c r="M41" s="56">
        <f t="shared" si="2"/>
      </c>
      <c r="N41" s="57"/>
      <c r="O41" s="58"/>
      <c r="P41" s="57"/>
      <c r="Q41" s="50"/>
    </row>
    <row r="42">
      <c r="A42" s="68" t="s">
        <v>81</v>
      </c>
      <c r="B42" s="62"/>
      <c r="C42" s="62"/>
      <c r="D42" s="62">
        <f>D40+D41</f>
      </c>
      <c r="E42" s="62">
        <f>E40+E41</f>
      </c>
      <c r="F42" s="62">
        <f>F40+F41</f>
      </c>
      <c r="G42" s="62">
        <f>G40+G41</f>
      </c>
      <c r="H42" s="62">
        <f>H40+H41</f>
      </c>
      <c r="I42" s="62">
        <f>I40+I41</f>
      </c>
      <c r="J42" s="67">
        <f>J40+J41</f>
      </c>
      <c r="K42" s="63">
        <f t="shared" si="0"/>
      </c>
      <c r="L42" s="63">
        <f t="shared" si="1"/>
      </c>
      <c r="M42" s="63">
        <f t="shared" si="2"/>
      </c>
      <c r="N42" s="64"/>
      <c r="O42" s="62">
        <f>O40+O41</f>
      </c>
      <c r="P42" s="65"/>
      <c r="Q42" s="62">
        <f>Q40+Q41</f>
      </c>
    </row>
    <row r="43">
      <c r="A43" s="47" t="s">
        <v>82</v>
      </c>
      <c r="B43" s="52" t="s">
        <v>60</v>
      </c>
      <c r="C43" s="48" t="s">
        <v>83</v>
      </c>
      <c r="D43" s="49">
        <v>4</v>
      </c>
      <c r="E43" s="50">
        <v>0</v>
      </c>
      <c r="F43" s="50">
        <v>0</v>
      </c>
      <c r="G43" s="51">
        <v>0</v>
      </c>
      <c r="H43" s="52">
        <v>0</v>
      </c>
      <c r="I43" s="52">
        <v>0</v>
      </c>
      <c r="J43" s="60">
        <v>649.8420000000001</v>
      </c>
      <c r="K43" s="54">
        <f t="shared" si="0"/>
      </c>
      <c r="L43" s="55">
        <f t="shared" si="1"/>
      </c>
      <c r="M43" s="56">
        <f t="shared" si="2"/>
      </c>
      <c r="N43" s="50" t="s">
        <v>76</v>
      </c>
      <c r="O43" s="58">
        <v>4</v>
      </c>
      <c r="P43" s="57"/>
      <c r="Q43" s="50"/>
    </row>
    <row r="44">
      <c r="A44" s="68" t="s">
        <v>82</v>
      </c>
      <c r="B44" s="62"/>
      <c r="C44" s="62"/>
      <c r="D44" s="62">
        <f>D43</f>
      </c>
      <c r="E44" s="62">
        <f>E42+E43</f>
      </c>
      <c r="F44" s="62">
        <f>F42+F43</f>
      </c>
      <c r="G44" s="62">
        <f>G42+G43</f>
      </c>
      <c r="H44" s="62">
        <f>H42+H43</f>
      </c>
      <c r="I44" s="62">
        <f>I42+I43</f>
      </c>
      <c r="J44" s="69">
        <f>J43</f>
      </c>
      <c r="K44" s="63">
        <f t="shared" si="0"/>
      </c>
      <c r="L44" s="63">
        <f t="shared" si="1"/>
      </c>
      <c r="M44" s="63">
        <f t="shared" si="2"/>
      </c>
      <c r="N44" s="64"/>
      <c r="O44" s="62">
        <f>O43</f>
      </c>
      <c r="P44" s="65"/>
      <c r="Q44" s="62">
        <f>Q42+Q43</f>
      </c>
    </row>
    <row r="45">
      <c r="A45" s="47" t="s">
        <v>84</v>
      </c>
      <c r="B45" s="52" t="s">
        <v>85</v>
      </c>
      <c r="C45" s="48" t="s">
        <v>83</v>
      </c>
      <c r="D45" s="49">
        <v>4</v>
      </c>
      <c r="E45" s="50">
        <v>0</v>
      </c>
      <c r="F45" s="50">
        <v>0</v>
      </c>
      <c r="G45" s="51">
        <v>0</v>
      </c>
      <c r="H45" s="52">
        <v>0</v>
      </c>
      <c r="I45" s="52">
        <v>0</v>
      </c>
      <c r="J45" s="60">
        <v>592.372</v>
      </c>
      <c r="K45" s="54">
        <f t="shared" si="0"/>
      </c>
      <c r="L45" s="55">
        <f t="shared" si="1"/>
      </c>
      <c r="M45" s="56">
        <f t="shared" si="2"/>
      </c>
      <c r="N45" s="50" t="s">
        <v>76</v>
      </c>
      <c r="O45" s="58">
        <v>4</v>
      </c>
      <c r="P45" s="57"/>
      <c r="Q45" s="50"/>
    </row>
    <row r="46">
      <c r="A46" s="68" t="s">
        <v>84</v>
      </c>
      <c r="B46" s="62"/>
      <c r="C46" s="62"/>
      <c r="D46" s="62">
        <f>D45</f>
      </c>
      <c r="E46" s="62">
        <f>E44+E45</f>
      </c>
      <c r="F46" s="62">
        <f>F44+F45</f>
      </c>
      <c r="G46" s="62">
        <f>G44+G45</f>
      </c>
      <c r="H46" s="62">
        <f>H44+H45</f>
      </c>
      <c r="I46" s="62">
        <f>I44+I45</f>
      </c>
      <c r="J46" s="69">
        <f>J45</f>
      </c>
      <c r="K46" s="63">
        <f t="shared" si="0"/>
      </c>
      <c r="L46" s="63">
        <f t="shared" si="1"/>
      </c>
      <c r="M46" s="63">
        <f t="shared" si="2"/>
      </c>
      <c r="N46" s="64"/>
      <c r="O46" s="62">
        <f>O45</f>
      </c>
      <c r="P46" s="65"/>
      <c r="Q46" s="62">
        <f>Q44+Q45</f>
      </c>
    </row>
    <row r="47">
      <c r="A47" s="47" t="s">
        <v>86</v>
      </c>
      <c r="B47" s="52" t="s">
        <v>85</v>
      </c>
      <c r="C47" s="48" t="s">
        <v>83</v>
      </c>
      <c r="D47" s="49">
        <v>4</v>
      </c>
      <c r="E47" s="50">
        <v>0</v>
      </c>
      <c r="F47" s="50">
        <v>0</v>
      </c>
      <c r="G47" s="51">
        <v>0</v>
      </c>
      <c r="H47" s="52">
        <v>0</v>
      </c>
      <c r="I47" s="52">
        <v>0</v>
      </c>
      <c r="J47" s="60">
        <v>496.628</v>
      </c>
      <c r="K47" s="54">
        <f t="shared" si="0"/>
      </c>
      <c r="L47" s="55">
        <f t="shared" si="1"/>
      </c>
      <c r="M47" s="56">
        <f t="shared" si="2"/>
      </c>
      <c r="N47" s="50" t="s">
        <v>76</v>
      </c>
      <c r="O47" s="58">
        <v>4</v>
      </c>
      <c r="P47" s="57"/>
      <c r="Q47" s="50"/>
    </row>
    <row r="48">
      <c r="A48" s="68" t="s">
        <v>86</v>
      </c>
      <c r="B48" s="62"/>
      <c r="C48" s="62"/>
      <c r="D48" s="62">
        <f>D47</f>
      </c>
      <c r="E48" s="62">
        <f>E46+E47</f>
      </c>
      <c r="F48" s="62">
        <f>F46+F47</f>
      </c>
      <c r="G48" s="62">
        <f>G46+G47</f>
      </c>
      <c r="H48" s="62">
        <f>H46+H47</f>
      </c>
      <c r="I48" s="62">
        <f>I46+I47</f>
      </c>
      <c r="J48" s="69">
        <f>J47</f>
      </c>
      <c r="K48" s="63">
        <f t="shared" si="0"/>
      </c>
      <c r="L48" s="63">
        <f t="shared" si="1"/>
      </c>
      <c r="M48" s="63">
        <f t="shared" si="2"/>
      </c>
      <c r="N48" s="64"/>
      <c r="O48" s="62">
        <f>O47</f>
      </c>
      <c r="P48" s="65"/>
      <c r="Q48" s="62">
        <f>Q46+Q47</f>
      </c>
    </row>
    <row r="49">
      <c r="A49" s="47" t="s">
        <v>87</v>
      </c>
      <c r="B49" s="52" t="s">
        <v>85</v>
      </c>
      <c r="C49" s="48" t="s">
        <v>83</v>
      </c>
      <c r="D49" s="49">
        <v>4</v>
      </c>
      <c r="E49" s="50">
        <v>0</v>
      </c>
      <c r="F49" s="50">
        <v>0</v>
      </c>
      <c r="G49" s="51">
        <v>0</v>
      </c>
      <c r="H49" s="52">
        <v>0</v>
      </c>
      <c r="I49" s="52">
        <v>0</v>
      </c>
      <c r="J49" s="60">
        <v>624.34</v>
      </c>
      <c r="K49" s="54">
        <f t="shared" si="0"/>
      </c>
      <c r="L49" s="55">
        <f t="shared" si="1"/>
      </c>
      <c r="M49" s="56">
        <f t="shared" si="2"/>
      </c>
      <c r="N49" s="50" t="s">
        <v>76</v>
      </c>
      <c r="O49" s="58">
        <v>4</v>
      </c>
      <c r="P49" s="57"/>
      <c r="Q49" s="50"/>
    </row>
    <row r="50">
      <c r="A50" s="68" t="s">
        <v>87</v>
      </c>
      <c r="B50" s="62"/>
      <c r="C50" s="62"/>
      <c r="D50" s="62">
        <f>D49</f>
      </c>
      <c r="E50" s="62">
        <f>E48+E49</f>
      </c>
      <c r="F50" s="62">
        <f>F48+F49</f>
      </c>
      <c r="G50" s="62">
        <f>G48+G49</f>
      </c>
      <c r="H50" s="62">
        <f>H48+H49</f>
      </c>
      <c r="I50" s="62">
        <f>I48+I49</f>
      </c>
      <c r="J50" s="69">
        <f>J49</f>
      </c>
      <c r="K50" s="63">
        <f t="shared" si="0"/>
      </c>
      <c r="L50" s="63">
        <f t="shared" si="1"/>
      </c>
      <c r="M50" s="63">
        <f t="shared" si="2"/>
      </c>
      <c r="N50" s="64"/>
      <c r="O50" s="62">
        <f>O49</f>
      </c>
      <c r="P50" s="65"/>
      <c r="Q50" s="62">
        <f>Q48+Q49</f>
      </c>
    </row>
    <row r="51">
      <c r="A51" s="47" t="s">
        <v>88</v>
      </c>
      <c r="B51" s="52" t="s">
        <v>89</v>
      </c>
      <c r="C51" s="48" t="s">
        <v>83</v>
      </c>
      <c r="D51" s="49">
        <v>4</v>
      </c>
      <c r="E51" s="50">
        <v>0</v>
      </c>
      <c r="F51" s="50">
        <v>0</v>
      </c>
      <c r="G51" s="51">
        <v>0</v>
      </c>
      <c r="H51" s="52">
        <v>0</v>
      </c>
      <c r="I51" s="52">
        <v>0</v>
      </c>
      <c r="J51" s="60">
        <v>549.1129999999999</v>
      </c>
      <c r="K51" s="54">
        <f t="shared" si="0"/>
      </c>
      <c r="L51" s="55">
        <f t="shared" si="1"/>
      </c>
      <c r="M51" s="56">
        <f t="shared" si="2"/>
      </c>
      <c r="N51" s="50" t="s">
        <v>76</v>
      </c>
      <c r="O51" s="58">
        <v>4</v>
      </c>
      <c r="P51" s="57"/>
      <c r="Q51" s="50"/>
    </row>
    <row r="52">
      <c r="A52" s="68" t="s">
        <v>88</v>
      </c>
      <c r="B52" s="62"/>
      <c r="C52" s="62"/>
      <c r="D52" s="62">
        <f>D51</f>
      </c>
      <c r="E52" s="62">
        <f>E50+E51</f>
      </c>
      <c r="F52" s="62">
        <f>F50+F51</f>
      </c>
      <c r="G52" s="62">
        <f>G50+G51</f>
      </c>
      <c r="H52" s="62">
        <f>H50+H51</f>
      </c>
      <c r="I52" s="62">
        <f>I50+I51</f>
      </c>
      <c r="J52" s="69">
        <f>J51</f>
      </c>
      <c r="K52" s="63">
        <f t="shared" si="0"/>
      </c>
      <c r="L52" s="63">
        <f t="shared" si="1"/>
      </c>
      <c r="M52" s="63">
        <f t="shared" si="2"/>
      </c>
      <c r="N52" s="64"/>
      <c r="O52" s="62">
        <f>O51</f>
      </c>
      <c r="P52" s="65"/>
      <c r="Q52" s="62">
        <f>Q50+Q51</f>
      </c>
    </row>
    <row r="53">
      <c r="A53" s="47" t="s">
        <v>90</v>
      </c>
      <c r="B53" s="52" t="s">
        <v>91</v>
      </c>
      <c r="C53" s="48" t="s">
        <v>83</v>
      </c>
      <c r="D53" s="49">
        <v>4</v>
      </c>
      <c r="E53" s="50">
        <v>0</v>
      </c>
      <c r="F53" s="50">
        <v>0</v>
      </c>
      <c r="G53" s="51">
        <v>0</v>
      </c>
      <c r="H53" s="52">
        <v>0</v>
      </c>
      <c r="I53" s="52">
        <v>0</v>
      </c>
      <c r="J53" s="60">
        <v>679.501</v>
      </c>
      <c r="K53" s="54">
        <f t="shared" si="0"/>
      </c>
      <c r="L53" s="55">
        <f t="shared" si="1"/>
      </c>
      <c r="M53" s="56">
        <f t="shared" si="2"/>
      </c>
      <c r="N53" s="50" t="s">
        <v>76</v>
      </c>
      <c r="O53" s="58">
        <v>4</v>
      </c>
      <c r="P53" s="57"/>
      <c r="Q53" s="50"/>
    </row>
    <row r="54">
      <c r="A54" s="68" t="s">
        <v>90</v>
      </c>
      <c r="B54" s="62"/>
      <c r="C54" s="62"/>
      <c r="D54" s="62">
        <f>D53</f>
      </c>
      <c r="E54" s="62">
        <f>E52+E53</f>
      </c>
      <c r="F54" s="62">
        <f>F52+F53</f>
      </c>
      <c r="G54" s="62">
        <f>G52+G53</f>
      </c>
      <c r="H54" s="62">
        <f>H52+H53</f>
      </c>
      <c r="I54" s="62">
        <f>I52+I53</f>
      </c>
      <c r="J54" s="69">
        <f>J53</f>
      </c>
      <c r="K54" s="63">
        <f t="shared" si="0"/>
      </c>
      <c r="L54" s="63">
        <f t="shared" si="1"/>
      </c>
      <c r="M54" s="63">
        <f t="shared" si="2"/>
      </c>
      <c r="N54" s="64"/>
      <c r="O54" s="62">
        <f>O53</f>
      </c>
      <c r="P54" s="65"/>
      <c r="Q54" s="62">
        <f>Q52+Q53</f>
      </c>
    </row>
    <row r="55">
      <c r="A55" s="47" t="s">
        <v>92</v>
      </c>
      <c r="B55" s="52" t="s">
        <v>93</v>
      </c>
      <c r="C55" s="48" t="s">
        <v>83</v>
      </c>
      <c r="D55" s="49">
        <v>4</v>
      </c>
      <c r="E55" s="50">
        <v>0</v>
      </c>
      <c r="F55" s="50">
        <v>0</v>
      </c>
      <c r="G55" s="51">
        <v>0</v>
      </c>
      <c r="H55" s="52">
        <v>0</v>
      </c>
      <c r="I55" s="52">
        <v>0</v>
      </c>
      <c r="J55" s="60">
        <v>728.336</v>
      </c>
      <c r="K55" s="54">
        <f t="shared" si="0"/>
      </c>
      <c r="L55" s="55">
        <f t="shared" si="1"/>
      </c>
      <c r="M55" s="56">
        <f t="shared" si="2"/>
      </c>
      <c r="N55" s="50" t="s">
        <v>76</v>
      </c>
      <c r="O55" s="58">
        <v>4</v>
      </c>
      <c r="P55" s="57"/>
      <c r="Q55" s="50"/>
    </row>
    <row r="56">
      <c r="A56" s="68" t="s">
        <v>92</v>
      </c>
      <c r="B56" s="62"/>
      <c r="C56" s="62"/>
      <c r="D56" s="62">
        <f>D55</f>
      </c>
      <c r="E56" s="62">
        <f>E54+E55</f>
      </c>
      <c r="F56" s="62">
        <f>F54+F55</f>
      </c>
      <c r="G56" s="62">
        <f>G54+G55</f>
      </c>
      <c r="H56" s="62">
        <f>H54+H55</f>
      </c>
      <c r="I56" s="62">
        <f>I54+I55</f>
      </c>
      <c r="J56" s="69">
        <f>J55</f>
      </c>
      <c r="K56" s="63">
        <f t="shared" si="0"/>
      </c>
      <c r="L56" s="63">
        <f t="shared" si="1"/>
      </c>
      <c r="M56" s="63">
        <f t="shared" si="2"/>
      </c>
      <c r="N56" s="64"/>
      <c r="O56" s="62">
        <f>O55</f>
      </c>
      <c r="P56" s="65"/>
      <c r="Q56" s="62">
        <f>Q54+Q55</f>
      </c>
    </row>
    <row r="57">
      <c r="A57" s="47" t="s">
        <v>94</v>
      </c>
      <c r="B57" s="52" t="s">
        <v>95</v>
      </c>
      <c r="C57" s="48" t="s">
        <v>83</v>
      </c>
      <c r="D57" s="49">
        <v>4</v>
      </c>
      <c r="E57" s="50">
        <v>0</v>
      </c>
      <c r="F57" s="50">
        <v>0</v>
      </c>
      <c r="G57" s="51">
        <v>0</v>
      </c>
      <c r="H57" s="52">
        <v>0</v>
      </c>
      <c r="I57" s="52">
        <v>0</v>
      </c>
      <c r="J57" s="60">
        <v>543.944</v>
      </c>
      <c r="K57" s="54">
        <f t="shared" si="0"/>
      </c>
      <c r="L57" s="55">
        <f t="shared" si="1"/>
      </c>
      <c r="M57" s="56">
        <f t="shared" si="2"/>
      </c>
      <c r="N57" s="50" t="s">
        <v>76</v>
      </c>
      <c r="O57" s="58">
        <v>4</v>
      </c>
      <c r="P57" s="57"/>
      <c r="Q57" s="50"/>
    </row>
    <row r="58">
      <c r="A58" s="68" t="s">
        <v>94</v>
      </c>
      <c r="B58" s="62"/>
      <c r="C58" s="62"/>
      <c r="D58" s="62">
        <f>D57</f>
      </c>
      <c r="E58" s="62">
        <f>E56+E57</f>
      </c>
      <c r="F58" s="62">
        <f>F56+F57</f>
      </c>
      <c r="G58" s="62">
        <f>G56+G57</f>
      </c>
      <c r="H58" s="62">
        <f>H56+H57</f>
      </c>
      <c r="I58" s="62">
        <f>I56+I57</f>
      </c>
      <c r="J58" s="69">
        <f>J57</f>
      </c>
      <c r="K58" s="63">
        <f t="shared" si="0"/>
      </c>
      <c r="L58" s="63">
        <f t="shared" si="1"/>
      </c>
      <c r="M58" s="63">
        <f t="shared" si="2"/>
      </c>
      <c r="N58" s="64"/>
      <c r="O58" s="62">
        <f>O57</f>
      </c>
      <c r="P58" s="65"/>
      <c r="Q58" s="62">
        <f>Q56+Q57</f>
      </c>
    </row>
    <row r="59">
      <c r="A59" s="47" t="s">
        <v>96</v>
      </c>
      <c r="B59" s="52" t="s">
        <v>97</v>
      </c>
      <c r="C59" s="48" t="s">
        <v>83</v>
      </c>
      <c r="D59" s="49">
        <v>4</v>
      </c>
      <c r="E59" s="50">
        <v>0</v>
      </c>
      <c r="F59" s="50">
        <v>0</v>
      </c>
      <c r="G59" s="51">
        <v>0</v>
      </c>
      <c r="H59" s="52">
        <v>0</v>
      </c>
      <c r="I59" s="52">
        <v>0</v>
      </c>
      <c r="J59" s="60">
        <v>487.91700000000003</v>
      </c>
      <c r="K59" s="54">
        <f t="shared" si="0"/>
      </c>
      <c r="L59" s="55">
        <f t="shared" si="1"/>
      </c>
      <c r="M59" s="56">
        <f t="shared" si="2"/>
      </c>
      <c r="N59" s="50" t="s">
        <v>76</v>
      </c>
      <c r="O59" s="58">
        <v>4</v>
      </c>
      <c r="P59" s="57"/>
      <c r="Q59" s="50"/>
    </row>
    <row r="60">
      <c r="A60" s="68" t="s">
        <v>96</v>
      </c>
      <c r="B60" s="62"/>
      <c r="C60" s="62"/>
      <c r="D60" s="62">
        <f>D59</f>
      </c>
      <c r="E60" s="62">
        <f>E58+E59</f>
      </c>
      <c r="F60" s="62">
        <f>F58+F59</f>
      </c>
      <c r="G60" s="62">
        <f>G58+G59</f>
      </c>
      <c r="H60" s="62">
        <f>H58+H59</f>
      </c>
      <c r="I60" s="62">
        <f>I58+I59</f>
      </c>
      <c r="J60" s="69">
        <f>J59</f>
      </c>
      <c r="K60" s="63">
        <f t="shared" si="0"/>
      </c>
      <c r="L60" s="63">
        <f t="shared" si="1"/>
      </c>
      <c r="M60" s="63">
        <f t="shared" si="2"/>
      </c>
      <c r="N60" s="64"/>
      <c r="O60" s="62">
        <f>O59</f>
      </c>
      <c r="P60" s="65"/>
      <c r="Q60" s="62">
        <f>Q58+Q59</f>
      </c>
    </row>
    <row r="61">
      <c r="A61" s="47" t="s">
        <v>98</v>
      </c>
      <c r="B61" s="52" t="s">
        <v>91</v>
      </c>
      <c r="C61" s="48" t="s">
        <v>83</v>
      </c>
      <c r="D61" s="49">
        <v>4</v>
      </c>
      <c r="E61" s="50">
        <v>0</v>
      </c>
      <c r="F61" s="50">
        <v>0</v>
      </c>
      <c r="G61" s="51">
        <v>0</v>
      </c>
      <c r="H61" s="52">
        <v>0</v>
      </c>
      <c r="I61" s="52">
        <v>0</v>
      </c>
      <c r="J61" s="60">
        <v>644.691</v>
      </c>
      <c r="K61" s="54">
        <f t="shared" si="0"/>
      </c>
      <c r="L61" s="55">
        <f t="shared" si="1"/>
      </c>
      <c r="M61" s="56">
        <f t="shared" si="2"/>
      </c>
      <c r="N61" s="50" t="s">
        <v>76</v>
      </c>
      <c r="O61" s="58">
        <v>4</v>
      </c>
      <c r="P61" s="57"/>
      <c r="Q61" s="50"/>
    </row>
    <row r="62">
      <c r="A62" s="68" t="s">
        <v>98</v>
      </c>
      <c r="B62" s="62"/>
      <c r="C62" s="62"/>
      <c r="D62" s="62">
        <f>D61</f>
      </c>
      <c r="E62" s="62">
        <f>E60+E61</f>
      </c>
      <c r="F62" s="62">
        <f>F60+F61</f>
      </c>
      <c r="G62" s="62">
        <f>G60+G61</f>
      </c>
      <c r="H62" s="62">
        <f>H60+H61</f>
      </c>
      <c r="I62" s="62">
        <f>I60+I61</f>
      </c>
      <c r="J62" s="69">
        <f>J61</f>
      </c>
      <c r="K62" s="63">
        <f t="shared" si="0"/>
      </c>
      <c r="L62" s="63">
        <f t="shared" si="1"/>
      </c>
      <c r="M62" s="63">
        <f t="shared" si="2"/>
      </c>
      <c r="N62" s="64"/>
      <c r="O62" s="62">
        <f>O61</f>
      </c>
      <c r="P62" s="65"/>
      <c r="Q62" s="62">
        <f>Q60+Q61</f>
      </c>
    </row>
    <row r="63">
      <c r="A63" s="47" t="s">
        <v>99</v>
      </c>
      <c r="B63" s="52" t="s">
        <v>93</v>
      </c>
      <c r="C63" s="48" t="s">
        <v>83</v>
      </c>
      <c r="D63" s="49">
        <v>4</v>
      </c>
      <c r="E63" s="50">
        <v>0</v>
      </c>
      <c r="F63" s="50">
        <v>0</v>
      </c>
      <c r="G63" s="51">
        <v>0</v>
      </c>
      <c r="H63" s="52">
        <v>0</v>
      </c>
      <c r="I63" s="52">
        <v>0</v>
      </c>
      <c r="J63" s="60">
        <v>368.395</v>
      </c>
      <c r="K63" s="54">
        <f t="shared" si="0"/>
      </c>
      <c r="L63" s="55">
        <f t="shared" si="1"/>
      </c>
      <c r="M63" s="56">
        <f t="shared" si="2"/>
      </c>
      <c r="N63" s="50" t="s">
        <v>76</v>
      </c>
      <c r="O63" s="58">
        <v>4</v>
      </c>
      <c r="P63" s="57"/>
      <c r="Q63" s="50"/>
    </row>
    <row r="64">
      <c r="A64" s="68" t="s">
        <v>99</v>
      </c>
      <c r="B64" s="62"/>
      <c r="C64" s="62"/>
      <c r="D64" s="62">
        <f>D63</f>
      </c>
      <c r="E64" s="62">
        <f>E62+E63</f>
      </c>
      <c r="F64" s="62">
        <f>F62+F63</f>
      </c>
      <c r="G64" s="62">
        <f>G62+G63</f>
      </c>
      <c r="H64" s="62">
        <f>H62+H63</f>
      </c>
      <c r="I64" s="62">
        <f>I62+I63</f>
      </c>
      <c r="J64" s="69">
        <f>J63</f>
      </c>
      <c r="K64" s="63">
        <f t="shared" si="0"/>
      </c>
      <c r="L64" s="63">
        <f t="shared" si="1"/>
      </c>
      <c r="M64" s="63">
        <f t="shared" si="2"/>
      </c>
      <c r="N64" s="64"/>
      <c r="O64" s="62">
        <f>O63</f>
      </c>
      <c r="P64" s="65"/>
      <c r="Q64" s="62">
        <f>Q62+Q63</f>
      </c>
    </row>
  </sheetData>
  <autoFilter ref="A1:Q6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70" t="s">
        <v>100</v>
      </c>
      <c r="B1" s="71" t="s">
        <v>101</v>
      </c>
      <c r="C1" s="71" t="s">
        <v>102</v>
      </c>
      <c r="D1" s="71" t="s">
        <v>103</v>
      </c>
      <c r="E1" s="71" t="s">
        <v>104</v>
      </c>
      <c r="F1" s="71" t="s">
        <v>105</v>
      </c>
      <c r="G1" s="71" t="s">
        <v>106</v>
      </c>
      <c r="H1" s="72" t="s">
        <v>107</v>
      </c>
      <c r="I1" s="71" t="s">
        <v>108</v>
      </c>
      <c r="J1" s="71" t="s">
        <v>109</v>
      </c>
      <c r="K1" s="71" t="s">
        <v>110</v>
      </c>
      <c r="L1" s="71" t="s">
        <v>111</v>
      </c>
      <c r="M1" s="71" t="s">
        <v>112</v>
      </c>
      <c r="N1" s="71" t="s">
        <v>113</v>
      </c>
      <c r="O1" s="71" t="s">
        <v>103</v>
      </c>
      <c r="P1" s="71" t="s">
        <v>114</v>
      </c>
      <c r="Q1" s="71" t="s">
        <v>103</v>
      </c>
    </row>
    <row r="2">
      <c r="A2" s="73" t="s">
        <v>115</v>
      </c>
      <c r="B2" s="74" t="s">
        <v>116</v>
      </c>
      <c r="C2" s="75" t="s">
        <v>117</v>
      </c>
      <c r="D2" s="76">
        <v>4</v>
      </c>
      <c r="E2" s="77">
        <v>0</v>
      </c>
      <c r="F2" s="77">
        <v>0</v>
      </c>
      <c r="G2" s="78">
        <v>0</v>
      </c>
      <c r="H2" s="74">
        <v>0</v>
      </c>
      <c r="I2" s="74">
        <v>0</v>
      </c>
      <c r="J2" s="79">
        <v>784.244</v>
      </c>
      <c r="K2" s="80">
        <f t="shared" ref="K2:K43" si="0">I2/J2</f>
      </c>
      <c r="L2" s="81">
        <f t="shared" ref="L2:L43" si="1">I2/F2</f>
      </c>
      <c r="M2" s="82">
        <f t="shared" ref="M2:M43" si="2">J2/F2</f>
      </c>
      <c r="N2" s="77" t="s">
        <v>118</v>
      </c>
      <c r="O2" s="83">
        <v>4</v>
      </c>
      <c r="P2" s="84"/>
      <c r="Q2" s="77"/>
    </row>
    <row r="3">
      <c r="A3" s="85" t="s">
        <v>115</v>
      </c>
      <c r="B3" s="86"/>
      <c r="C3" s="86"/>
      <c r="D3" s="86">
        <f>D2</f>
      </c>
      <c r="E3" s="86">
        <f>E2</f>
      </c>
      <c r="F3" s="86">
        <f>F2</f>
      </c>
      <c r="G3" s="86">
        <f>G2</f>
      </c>
      <c r="H3" s="86">
        <f>H2</f>
      </c>
      <c r="I3" s="86">
        <f>I2</f>
      </c>
      <c r="J3" s="86">
        <f>J2</f>
      </c>
      <c r="K3" s="87">
        <f t="shared" si="0"/>
      </c>
      <c r="L3" s="87">
        <f t="shared" si="1"/>
      </c>
      <c r="M3" s="87">
        <f t="shared" si="2"/>
      </c>
      <c r="N3" s="88"/>
      <c r="O3" s="86">
        <f>O2</f>
      </c>
      <c r="P3" s="89"/>
      <c r="Q3" s="86">
        <f>Q2</f>
      </c>
    </row>
    <row r="4">
      <c r="A4" s="73" t="s">
        <v>119</v>
      </c>
      <c r="B4" s="74" t="s">
        <v>120</v>
      </c>
      <c r="C4" s="75" t="s">
        <v>117</v>
      </c>
      <c r="D4" s="76">
        <v>4</v>
      </c>
      <c r="E4" s="77">
        <v>0</v>
      </c>
      <c r="F4" s="77">
        <v>0</v>
      </c>
      <c r="G4" s="78">
        <v>0</v>
      </c>
      <c r="H4" s="74">
        <v>0</v>
      </c>
      <c r="I4" s="74">
        <v>0</v>
      </c>
      <c r="J4" s="79">
        <v>714.0809999999999</v>
      </c>
      <c r="K4" s="80">
        <f t="shared" si="0"/>
      </c>
      <c r="L4" s="81">
        <f t="shared" si="1"/>
      </c>
      <c r="M4" s="82">
        <f t="shared" si="2"/>
      </c>
      <c r="N4" s="77" t="s">
        <v>118</v>
      </c>
      <c r="O4" s="83">
        <v>4</v>
      </c>
      <c r="P4" s="84"/>
      <c r="Q4" s="77"/>
    </row>
    <row r="5">
      <c r="A5" s="85" t="s">
        <v>119</v>
      </c>
      <c r="B5" s="86"/>
      <c r="C5" s="86"/>
      <c r="D5" s="86">
        <f>D4</f>
      </c>
      <c r="E5" s="86">
        <f>E4</f>
      </c>
      <c r="F5" s="86">
        <f>F4</f>
      </c>
      <c r="G5" s="86">
        <f>G4</f>
      </c>
      <c r="H5" s="86">
        <f>H4</f>
      </c>
      <c r="I5" s="86">
        <f>I4</f>
      </c>
      <c r="J5" s="86">
        <f>J4</f>
      </c>
      <c r="K5" s="87">
        <f t="shared" si="0"/>
      </c>
      <c r="L5" s="87">
        <f t="shared" si="1"/>
      </c>
      <c r="M5" s="87">
        <f t="shared" si="2"/>
      </c>
      <c r="N5" s="88"/>
      <c r="O5" s="86">
        <f>O4</f>
      </c>
      <c r="P5" s="89"/>
      <c r="Q5" s="86">
        <f>Q4</f>
      </c>
    </row>
    <row r="6">
      <c r="A6" s="73" t="s">
        <v>121</v>
      </c>
      <c r="B6" s="74" t="s">
        <v>116</v>
      </c>
      <c r="C6" s="75" t="s">
        <v>117</v>
      </c>
      <c r="D6" s="76">
        <v>4</v>
      </c>
      <c r="E6" s="77">
        <v>0</v>
      </c>
      <c r="F6" s="77">
        <v>0</v>
      </c>
      <c r="G6" s="78">
        <v>0</v>
      </c>
      <c r="H6" s="74">
        <v>0</v>
      </c>
      <c r="I6" s="74">
        <v>0</v>
      </c>
      <c r="J6" s="79">
        <v>375.14699999999993</v>
      </c>
      <c r="K6" s="80">
        <f t="shared" si="0"/>
      </c>
      <c r="L6" s="81">
        <f t="shared" si="1"/>
      </c>
      <c r="M6" s="82">
        <f t="shared" si="2"/>
      </c>
      <c r="N6" s="77" t="s">
        <v>118</v>
      </c>
      <c r="O6" s="83">
        <v>4</v>
      </c>
      <c r="P6" s="84"/>
      <c r="Q6" s="77"/>
    </row>
    <row r="7">
      <c r="A7" s="85" t="s">
        <v>121</v>
      </c>
      <c r="B7" s="86"/>
      <c r="C7" s="86"/>
      <c r="D7" s="86">
        <f>D6</f>
      </c>
      <c r="E7" s="86">
        <f>E6</f>
      </c>
      <c r="F7" s="86">
        <f>F6</f>
      </c>
      <c r="G7" s="86">
        <f>G6</f>
      </c>
      <c r="H7" s="86">
        <f>H6</f>
      </c>
      <c r="I7" s="86">
        <f>I6</f>
      </c>
      <c r="J7" s="86">
        <f>J6</f>
      </c>
      <c r="K7" s="87">
        <f t="shared" si="0"/>
      </c>
      <c r="L7" s="87">
        <f t="shared" si="1"/>
      </c>
      <c r="M7" s="87">
        <f t="shared" si="2"/>
      </c>
      <c r="N7" s="88"/>
      <c r="O7" s="86">
        <f>O6</f>
      </c>
      <c r="P7" s="89"/>
      <c r="Q7" s="86">
        <f>Q6</f>
      </c>
    </row>
    <row r="8">
      <c r="A8" s="73" t="s">
        <v>122</v>
      </c>
      <c r="B8" s="74" t="s">
        <v>120</v>
      </c>
      <c r="C8" s="75" t="s">
        <v>117</v>
      </c>
      <c r="D8" s="76">
        <v>4</v>
      </c>
      <c r="E8" s="77">
        <v>0</v>
      </c>
      <c r="F8" s="77">
        <v>0</v>
      </c>
      <c r="G8" s="78">
        <v>0</v>
      </c>
      <c r="H8" s="74">
        <v>0</v>
      </c>
      <c r="I8" s="74">
        <v>0</v>
      </c>
      <c r="J8" s="79">
        <v>714.623</v>
      </c>
      <c r="K8" s="80">
        <f t="shared" si="0"/>
      </c>
      <c r="L8" s="81">
        <f t="shared" si="1"/>
      </c>
      <c r="M8" s="82">
        <f t="shared" si="2"/>
      </c>
      <c r="N8" s="77" t="s">
        <v>118</v>
      </c>
      <c r="O8" s="83">
        <v>4</v>
      </c>
      <c r="P8" s="84"/>
      <c r="Q8" s="77"/>
    </row>
    <row r="9">
      <c r="A9" s="85" t="s">
        <v>122</v>
      </c>
      <c r="B9" s="86"/>
      <c r="C9" s="86"/>
      <c r="D9" s="86">
        <f>D8</f>
      </c>
      <c r="E9" s="86">
        <f>E8</f>
      </c>
      <c r="F9" s="86">
        <f>F8</f>
      </c>
      <c r="G9" s="86">
        <f>G8</f>
      </c>
      <c r="H9" s="86">
        <f>H8</f>
      </c>
      <c r="I9" s="86">
        <f>I8</f>
      </c>
      <c r="J9" s="86">
        <f>J8</f>
      </c>
      <c r="K9" s="87">
        <f t="shared" si="0"/>
      </c>
      <c r="L9" s="87">
        <f t="shared" si="1"/>
      </c>
      <c r="M9" s="87">
        <f t="shared" si="2"/>
      </c>
      <c r="N9" s="88"/>
      <c r="O9" s="86">
        <f>O8</f>
      </c>
      <c r="P9" s="89"/>
      <c r="Q9" s="86">
        <f>Q8</f>
      </c>
    </row>
    <row r="10">
      <c r="A10" s="73" t="s">
        <v>123</v>
      </c>
      <c r="B10" s="74" t="s">
        <v>116</v>
      </c>
      <c r="C10" s="75" t="s">
        <v>117</v>
      </c>
      <c r="D10" s="76">
        <v>4</v>
      </c>
      <c r="E10" s="77">
        <v>0</v>
      </c>
      <c r="F10" s="77">
        <v>0</v>
      </c>
      <c r="G10" s="78">
        <v>0</v>
      </c>
      <c r="H10" s="74">
        <v>0</v>
      </c>
      <c r="I10" s="74">
        <v>0</v>
      </c>
      <c r="J10" s="90">
        <v>502.29</v>
      </c>
      <c r="K10" s="80">
        <f t="shared" si="0"/>
      </c>
      <c r="L10" s="81">
        <f t="shared" si="1"/>
      </c>
      <c r="M10" s="82">
        <f t="shared" si="2"/>
      </c>
      <c r="N10" s="77" t="s">
        <v>118</v>
      </c>
      <c r="O10" s="83">
        <v>4</v>
      </c>
      <c r="P10" s="84"/>
      <c r="Q10" s="77"/>
    </row>
    <row r="11">
      <c r="A11" s="85" t="s">
        <v>123</v>
      </c>
      <c r="B11" s="86"/>
      <c r="C11" s="86"/>
      <c r="D11" s="86">
        <f>D10</f>
      </c>
      <c r="E11" s="86">
        <f>E10</f>
      </c>
      <c r="F11" s="86">
        <f>F10</f>
      </c>
      <c r="G11" s="86">
        <f>G10</f>
      </c>
      <c r="H11" s="86">
        <f>H10</f>
      </c>
      <c r="I11" s="86">
        <f>I10</f>
      </c>
      <c r="J11" s="86">
        <f>J10</f>
      </c>
      <c r="K11" s="87">
        <f t="shared" si="0"/>
      </c>
      <c r="L11" s="87">
        <f t="shared" si="1"/>
      </c>
      <c r="M11" s="87">
        <f t="shared" si="2"/>
      </c>
      <c r="N11" s="88"/>
      <c r="O11" s="86">
        <f>O10</f>
      </c>
      <c r="P11" s="89"/>
      <c r="Q11" s="86">
        <f>Q10</f>
      </c>
    </row>
    <row r="12">
      <c r="A12" s="73" t="s">
        <v>124</v>
      </c>
      <c r="B12" s="74" t="s">
        <v>120</v>
      </c>
      <c r="C12" s="75" t="s">
        <v>117</v>
      </c>
      <c r="D12" s="76">
        <v>4</v>
      </c>
      <c r="E12" s="77">
        <v>0</v>
      </c>
      <c r="F12" s="77">
        <v>0</v>
      </c>
      <c r="G12" s="78">
        <v>0</v>
      </c>
      <c r="H12" s="74">
        <v>0</v>
      </c>
      <c r="I12" s="74">
        <v>0</v>
      </c>
      <c r="J12" s="90">
        <v>493.634</v>
      </c>
      <c r="K12" s="80">
        <f t="shared" si="0"/>
      </c>
      <c r="L12" s="81">
        <f t="shared" si="1"/>
      </c>
      <c r="M12" s="82">
        <f t="shared" si="2"/>
      </c>
      <c r="N12" s="77" t="s">
        <v>118</v>
      </c>
      <c r="O12" s="83">
        <v>4</v>
      </c>
      <c r="P12" s="84"/>
      <c r="Q12" s="77"/>
    </row>
    <row r="13">
      <c r="A13" s="85" t="s">
        <v>124</v>
      </c>
      <c r="B13" s="86"/>
      <c r="C13" s="86"/>
      <c r="D13" s="86">
        <f>D12</f>
      </c>
      <c r="E13" s="86">
        <f>E12</f>
      </c>
      <c r="F13" s="86">
        <f>F12</f>
      </c>
      <c r="G13" s="86">
        <f>G12</f>
      </c>
      <c r="H13" s="86">
        <f>H12</f>
      </c>
      <c r="I13" s="86">
        <f>I12</f>
      </c>
      <c r="J13" s="86">
        <f>J12</f>
      </c>
      <c r="K13" s="87">
        <f t="shared" si="0"/>
      </c>
      <c r="L13" s="87">
        <f t="shared" si="1"/>
      </c>
      <c r="M13" s="87">
        <f t="shared" si="2"/>
      </c>
      <c r="N13" s="88"/>
      <c r="O13" s="86">
        <f>O12</f>
      </c>
      <c r="P13" s="89"/>
      <c r="Q13" s="86">
        <f>Q12</f>
      </c>
    </row>
    <row r="14">
      <c r="A14" s="73" t="s">
        <v>125</v>
      </c>
      <c r="B14" s="74" t="s">
        <v>116</v>
      </c>
      <c r="C14" s="75" t="s">
        <v>117</v>
      </c>
      <c r="D14" s="76">
        <v>4</v>
      </c>
      <c r="E14" s="77">
        <v>0</v>
      </c>
      <c r="F14" s="77">
        <v>0</v>
      </c>
      <c r="G14" s="78">
        <v>0</v>
      </c>
      <c r="H14" s="74">
        <v>0</v>
      </c>
      <c r="I14" s="74">
        <v>0</v>
      </c>
      <c r="J14" s="90">
        <v>389.20900000000006</v>
      </c>
      <c r="K14" s="80">
        <f t="shared" si="0"/>
      </c>
      <c r="L14" s="81">
        <f t="shared" si="1"/>
      </c>
      <c r="M14" s="82">
        <f t="shared" si="2"/>
      </c>
      <c r="N14" s="77" t="s">
        <v>118</v>
      </c>
      <c r="O14" s="83">
        <v>4</v>
      </c>
      <c r="P14" s="84"/>
      <c r="Q14" s="77"/>
    </row>
    <row r="15">
      <c r="A15" s="85" t="s">
        <v>125</v>
      </c>
      <c r="B15" s="86"/>
      <c r="C15" s="86"/>
      <c r="D15" s="86">
        <f>D14</f>
      </c>
      <c r="E15" s="86">
        <f>E14</f>
      </c>
      <c r="F15" s="86">
        <f>F14</f>
      </c>
      <c r="G15" s="86">
        <f>G14</f>
      </c>
      <c r="H15" s="86">
        <f>H14</f>
      </c>
      <c r="I15" s="86">
        <f>I14</f>
      </c>
      <c r="J15" s="86">
        <f>J14</f>
      </c>
      <c r="K15" s="87">
        <f t="shared" si="0"/>
      </c>
      <c r="L15" s="87">
        <f t="shared" si="1"/>
      </c>
      <c r="M15" s="87">
        <f t="shared" si="2"/>
      </c>
      <c r="N15" s="88"/>
      <c r="O15" s="86">
        <f>O14</f>
      </c>
      <c r="P15" s="89"/>
      <c r="Q15" s="86">
        <f>Q14</f>
      </c>
    </row>
    <row r="16">
      <c r="A16" s="73" t="s">
        <v>126</v>
      </c>
      <c r="B16" s="74" t="s">
        <v>116</v>
      </c>
      <c r="C16" s="75" t="s">
        <v>117</v>
      </c>
      <c r="D16" s="76">
        <v>4</v>
      </c>
      <c r="E16" s="77">
        <v>0</v>
      </c>
      <c r="F16" s="77">
        <v>0</v>
      </c>
      <c r="G16" s="78">
        <v>0</v>
      </c>
      <c r="H16" s="74">
        <v>0</v>
      </c>
      <c r="I16" s="74">
        <v>0</v>
      </c>
      <c r="J16" s="90">
        <v>448.274</v>
      </c>
      <c r="K16" s="80">
        <f t="shared" si="0"/>
      </c>
      <c r="L16" s="81">
        <f t="shared" si="1"/>
      </c>
      <c r="M16" s="82">
        <f t="shared" si="2"/>
      </c>
      <c r="N16" s="77" t="s">
        <v>118</v>
      </c>
      <c r="O16" s="83">
        <v>4</v>
      </c>
      <c r="P16" s="84"/>
      <c r="Q16" s="77"/>
    </row>
    <row r="17">
      <c r="A17" s="85" t="s">
        <v>126</v>
      </c>
      <c r="B17" s="86"/>
      <c r="C17" s="86"/>
      <c r="D17" s="86">
        <f>D16</f>
      </c>
      <c r="E17" s="86">
        <f>E16</f>
      </c>
      <c r="F17" s="86">
        <f>F16</f>
      </c>
      <c r="G17" s="86">
        <f>G16</f>
      </c>
      <c r="H17" s="86">
        <f>H16</f>
      </c>
      <c r="I17" s="86">
        <f>I16</f>
      </c>
      <c r="J17" s="86">
        <f>J16</f>
      </c>
      <c r="K17" s="87">
        <f t="shared" si="0"/>
      </c>
      <c r="L17" s="87">
        <f t="shared" si="1"/>
      </c>
      <c r="M17" s="87">
        <f t="shared" si="2"/>
      </c>
      <c r="N17" s="88"/>
      <c r="O17" s="86">
        <f>O16</f>
      </c>
      <c r="P17" s="89"/>
      <c r="Q17" s="86">
        <f>Q16</f>
      </c>
    </row>
    <row r="18">
      <c r="A18" s="73" t="s">
        <v>127</v>
      </c>
      <c r="B18" s="74" t="s">
        <v>120</v>
      </c>
      <c r="C18" s="75" t="s">
        <v>117</v>
      </c>
      <c r="D18" s="76">
        <v>4</v>
      </c>
      <c r="E18" s="77">
        <v>0</v>
      </c>
      <c r="F18" s="77">
        <v>0</v>
      </c>
      <c r="G18" s="78">
        <v>0</v>
      </c>
      <c r="H18" s="74">
        <v>0</v>
      </c>
      <c r="I18" s="74">
        <v>0</v>
      </c>
      <c r="J18" s="90">
        <v>563.66</v>
      </c>
      <c r="K18" s="80">
        <f t="shared" si="0"/>
      </c>
      <c r="L18" s="81">
        <f t="shared" si="1"/>
      </c>
      <c r="M18" s="82">
        <f t="shared" si="2"/>
      </c>
      <c r="N18" s="77" t="s">
        <v>118</v>
      </c>
      <c r="O18" s="83">
        <v>4</v>
      </c>
      <c r="P18" s="84"/>
      <c r="Q18" s="77"/>
    </row>
    <row r="19">
      <c r="A19" s="85" t="s">
        <v>127</v>
      </c>
      <c r="B19" s="86"/>
      <c r="C19" s="86"/>
      <c r="D19" s="86">
        <f>D18</f>
      </c>
      <c r="E19" s="86">
        <f>E18</f>
      </c>
      <c r="F19" s="86">
        <f>F18</f>
      </c>
      <c r="G19" s="86">
        <f>G18</f>
      </c>
      <c r="H19" s="86">
        <f>H18</f>
      </c>
      <c r="I19" s="86">
        <f>I18</f>
      </c>
      <c r="J19" s="86">
        <f>J18</f>
      </c>
      <c r="K19" s="87">
        <f t="shared" si="0"/>
      </c>
      <c r="L19" s="87">
        <f t="shared" si="1"/>
      </c>
      <c r="M19" s="87">
        <f t="shared" si="2"/>
      </c>
      <c r="N19" s="88"/>
      <c r="O19" s="86">
        <f>O18</f>
      </c>
      <c r="P19" s="89"/>
      <c r="Q19" s="86">
        <f>Q18</f>
      </c>
    </row>
    <row r="20">
      <c r="A20" s="73" t="s">
        <v>128</v>
      </c>
      <c r="B20" s="74" t="s">
        <v>129</v>
      </c>
      <c r="C20" s="75" t="s">
        <v>117</v>
      </c>
      <c r="D20" s="76">
        <v>4</v>
      </c>
      <c r="E20" s="77">
        <v>0</v>
      </c>
      <c r="F20" s="77">
        <v>0</v>
      </c>
      <c r="G20" s="78">
        <v>0</v>
      </c>
      <c r="H20" s="74">
        <v>0</v>
      </c>
      <c r="I20" s="74">
        <v>0</v>
      </c>
      <c r="J20" s="90">
        <v>251.09</v>
      </c>
      <c r="K20" s="80">
        <f t="shared" si="0"/>
      </c>
      <c r="L20" s="81">
        <f t="shared" si="1"/>
      </c>
      <c r="M20" s="82">
        <f t="shared" si="2"/>
      </c>
      <c r="N20" s="77" t="s">
        <v>118</v>
      </c>
      <c r="O20" s="83">
        <v>4</v>
      </c>
      <c r="P20" s="84"/>
      <c r="Q20" s="77"/>
    </row>
    <row r="21">
      <c r="A21" s="85" t="s">
        <v>128</v>
      </c>
      <c r="B21" s="86"/>
      <c r="C21" s="86"/>
      <c r="D21" s="86">
        <f>D20</f>
      </c>
      <c r="E21" s="86">
        <f>E20</f>
      </c>
      <c r="F21" s="86">
        <f>F20</f>
      </c>
      <c r="G21" s="86">
        <f>G20</f>
      </c>
      <c r="H21" s="86">
        <f>H20</f>
      </c>
      <c r="I21" s="86">
        <f>I20</f>
      </c>
      <c r="J21" s="86">
        <f>J20</f>
      </c>
      <c r="K21" s="87">
        <f t="shared" si="0"/>
      </c>
      <c r="L21" s="87">
        <f t="shared" si="1"/>
      </c>
      <c r="M21" s="87">
        <f t="shared" si="2"/>
      </c>
      <c r="N21" s="88"/>
      <c r="O21" s="86">
        <f>O20</f>
      </c>
      <c r="P21" s="89"/>
      <c r="Q21" s="86">
        <f>Q20</f>
      </c>
    </row>
    <row r="22">
      <c r="A22" s="73" t="s">
        <v>130</v>
      </c>
      <c r="B22" s="74" t="s">
        <v>116</v>
      </c>
      <c r="C22" s="75" t="s">
        <v>117</v>
      </c>
      <c r="D22" s="76">
        <v>4</v>
      </c>
      <c r="E22" s="77">
        <v>0</v>
      </c>
      <c r="F22" s="77">
        <v>0</v>
      </c>
      <c r="G22" s="78">
        <v>0</v>
      </c>
      <c r="H22" s="74">
        <v>0</v>
      </c>
      <c r="I22" s="74">
        <v>0</v>
      </c>
      <c r="J22" s="90">
        <v>622.48</v>
      </c>
      <c r="K22" s="80">
        <f t="shared" si="0"/>
      </c>
      <c r="L22" s="81">
        <f t="shared" si="1"/>
      </c>
      <c r="M22" s="82">
        <f t="shared" si="2"/>
      </c>
      <c r="N22" s="77" t="s">
        <v>131</v>
      </c>
      <c r="O22" s="83">
        <v>4</v>
      </c>
      <c r="P22" s="84"/>
      <c r="Q22" s="77"/>
    </row>
    <row r="23">
      <c r="A23" s="85" t="s">
        <v>130</v>
      </c>
      <c r="B23" s="86"/>
      <c r="C23" s="86"/>
      <c r="D23" s="86">
        <f>D22</f>
      </c>
      <c r="E23" s="86">
        <f>E22</f>
      </c>
      <c r="F23" s="86">
        <f>F22</f>
      </c>
      <c r="G23" s="86">
        <f>G22</f>
      </c>
      <c r="H23" s="86">
        <f>H22</f>
      </c>
      <c r="I23" s="86">
        <f>I22</f>
      </c>
      <c r="J23" s="86">
        <f>J22</f>
      </c>
      <c r="K23" s="87">
        <f t="shared" si="0"/>
      </c>
      <c r="L23" s="87">
        <f t="shared" si="1"/>
      </c>
      <c r="M23" s="87">
        <f t="shared" si="2"/>
      </c>
      <c r="N23" s="88"/>
      <c r="O23" s="86">
        <f>O22</f>
      </c>
      <c r="P23" s="89"/>
      <c r="Q23" s="86">
        <f>Q22</f>
      </c>
    </row>
    <row r="24">
      <c r="A24" s="73" t="s">
        <v>132</v>
      </c>
      <c r="B24" s="74" t="s">
        <v>120</v>
      </c>
      <c r="C24" s="75" t="s">
        <v>117</v>
      </c>
      <c r="D24" s="76">
        <v>4</v>
      </c>
      <c r="E24" s="77">
        <v>0</v>
      </c>
      <c r="F24" s="77">
        <v>0</v>
      </c>
      <c r="G24" s="78">
        <v>0</v>
      </c>
      <c r="H24" s="74">
        <v>0</v>
      </c>
      <c r="I24" s="74">
        <v>0</v>
      </c>
      <c r="J24" s="90">
        <v>585.31</v>
      </c>
      <c r="K24" s="80">
        <f t="shared" si="0"/>
      </c>
      <c r="L24" s="81">
        <f t="shared" si="1"/>
      </c>
      <c r="M24" s="82">
        <f t="shared" si="2"/>
      </c>
      <c r="N24" s="77" t="s">
        <v>133</v>
      </c>
      <c r="O24" s="83">
        <v>4</v>
      </c>
      <c r="P24" s="84"/>
      <c r="Q24" s="77"/>
    </row>
    <row r="25">
      <c r="A25" s="85" t="s">
        <v>132</v>
      </c>
      <c r="B25" s="86"/>
      <c r="C25" s="86"/>
      <c r="D25" s="86">
        <f>D24</f>
      </c>
      <c r="E25" s="86">
        <f>E24</f>
      </c>
      <c r="F25" s="86">
        <f>F24</f>
      </c>
      <c r="G25" s="86">
        <f>G24</f>
      </c>
      <c r="H25" s="86">
        <f>H24</f>
      </c>
      <c r="I25" s="86">
        <f>I24</f>
      </c>
      <c r="J25" s="86">
        <f>J24</f>
      </c>
      <c r="K25" s="87">
        <f t="shared" si="0"/>
      </c>
      <c r="L25" s="87">
        <f t="shared" si="1"/>
      </c>
      <c r="M25" s="87">
        <f t="shared" si="2"/>
      </c>
      <c r="N25" s="88"/>
      <c r="O25" s="86">
        <f>O24</f>
      </c>
      <c r="P25" s="89"/>
      <c r="Q25" s="86">
        <f>Q24</f>
      </c>
    </row>
    <row r="26">
      <c r="A26" s="73" t="s">
        <v>134</v>
      </c>
      <c r="B26" s="74" t="s">
        <v>120</v>
      </c>
      <c r="C26" s="75" t="s">
        <v>117</v>
      </c>
      <c r="D26" s="76">
        <v>4</v>
      </c>
      <c r="E26" s="77">
        <v>0</v>
      </c>
      <c r="F26" s="77">
        <v>0</v>
      </c>
      <c r="G26" s="78">
        <v>0</v>
      </c>
      <c r="H26" s="74">
        <v>0</v>
      </c>
      <c r="I26" s="74">
        <v>0</v>
      </c>
      <c r="J26" s="90">
        <v>662.79</v>
      </c>
      <c r="K26" s="80">
        <f t="shared" si="0"/>
      </c>
      <c r="L26" s="81">
        <f t="shared" si="1"/>
      </c>
      <c r="M26" s="82">
        <f t="shared" si="2"/>
      </c>
      <c r="N26" s="77" t="s">
        <v>133</v>
      </c>
      <c r="O26" s="83">
        <v>4</v>
      </c>
      <c r="P26" s="84"/>
      <c r="Q26" s="77"/>
    </row>
    <row r="27">
      <c r="A27" s="85" t="s">
        <v>134</v>
      </c>
      <c r="B27" s="86"/>
      <c r="C27" s="86"/>
      <c r="D27" s="86">
        <f>D26</f>
      </c>
      <c r="E27" s="86">
        <f>E26</f>
      </c>
      <c r="F27" s="86">
        <f>F26</f>
      </c>
      <c r="G27" s="86">
        <f>G26</f>
      </c>
      <c r="H27" s="86">
        <f>H26</f>
      </c>
      <c r="I27" s="86">
        <f>I26</f>
      </c>
      <c r="J27" s="86">
        <f>J26</f>
      </c>
      <c r="K27" s="87">
        <f t="shared" si="0"/>
      </c>
      <c r="L27" s="87">
        <f t="shared" si="1"/>
      </c>
      <c r="M27" s="87">
        <f t="shared" si="2"/>
      </c>
      <c r="N27" s="88"/>
      <c r="O27" s="86">
        <f>O26</f>
      </c>
      <c r="P27" s="89"/>
      <c r="Q27" s="86">
        <f>Q26</f>
      </c>
    </row>
    <row r="28">
      <c r="A28" s="73" t="s">
        <v>135</v>
      </c>
      <c r="B28" s="74" t="s">
        <v>116</v>
      </c>
      <c r="C28" s="75" t="s">
        <v>117</v>
      </c>
      <c r="D28" s="76">
        <v>4</v>
      </c>
      <c r="E28" s="77">
        <v>0</v>
      </c>
      <c r="F28" s="77">
        <v>0</v>
      </c>
      <c r="G28" s="78">
        <v>0</v>
      </c>
      <c r="H28" s="74">
        <v>0</v>
      </c>
      <c r="I28" s="74">
        <v>0</v>
      </c>
      <c r="J28" s="90">
        <v>479.09</v>
      </c>
      <c r="K28" s="80">
        <f t="shared" si="0"/>
      </c>
      <c r="L28" s="81">
        <f t="shared" si="1"/>
      </c>
      <c r="M28" s="82">
        <f t="shared" si="2"/>
      </c>
      <c r="N28" s="77" t="s">
        <v>133</v>
      </c>
      <c r="O28" s="83">
        <v>4</v>
      </c>
      <c r="P28" s="84"/>
      <c r="Q28" s="77"/>
    </row>
    <row r="29">
      <c r="A29" s="85" t="s">
        <v>135</v>
      </c>
      <c r="B29" s="86"/>
      <c r="C29" s="86"/>
      <c r="D29" s="86">
        <f>D28</f>
      </c>
      <c r="E29" s="86">
        <f>E28</f>
      </c>
      <c r="F29" s="86">
        <f>F28</f>
      </c>
      <c r="G29" s="86">
        <f>G28</f>
      </c>
      <c r="H29" s="86">
        <f>H28</f>
      </c>
      <c r="I29" s="86">
        <f>I28</f>
      </c>
      <c r="J29" s="86">
        <f>J28</f>
      </c>
      <c r="K29" s="87">
        <f t="shared" si="0"/>
      </c>
      <c r="L29" s="87">
        <f t="shared" si="1"/>
      </c>
      <c r="M29" s="87">
        <f t="shared" si="2"/>
      </c>
      <c r="N29" s="88"/>
      <c r="O29" s="86">
        <f>O28</f>
      </c>
      <c r="P29" s="89"/>
      <c r="Q29" s="86">
        <f>Q28</f>
      </c>
    </row>
    <row r="30">
      <c r="A30" s="73" t="s">
        <v>136</v>
      </c>
      <c r="B30" s="74" t="s">
        <v>116</v>
      </c>
      <c r="C30" s="75" t="s">
        <v>117</v>
      </c>
      <c r="D30" s="76">
        <v>4</v>
      </c>
      <c r="E30" s="77">
        <v>0</v>
      </c>
      <c r="F30" s="77">
        <v>0</v>
      </c>
      <c r="G30" s="78">
        <v>0</v>
      </c>
      <c r="H30" s="74">
        <v>0</v>
      </c>
      <c r="I30" s="74">
        <v>0</v>
      </c>
      <c r="J30" s="90">
        <v>590.68</v>
      </c>
      <c r="K30" s="80">
        <f t="shared" si="0"/>
      </c>
      <c r="L30" s="81">
        <f t="shared" si="1"/>
      </c>
      <c r="M30" s="82">
        <f t="shared" si="2"/>
      </c>
      <c r="N30" s="77" t="s">
        <v>133</v>
      </c>
      <c r="O30" s="83">
        <v>4</v>
      </c>
      <c r="P30" s="84"/>
      <c r="Q30" s="77"/>
    </row>
    <row r="31">
      <c r="A31" s="85" t="s">
        <v>136</v>
      </c>
      <c r="B31" s="86"/>
      <c r="C31" s="86"/>
      <c r="D31" s="86">
        <f>D30</f>
      </c>
      <c r="E31" s="86">
        <f>E30</f>
      </c>
      <c r="F31" s="86">
        <f>F30</f>
      </c>
      <c r="G31" s="86">
        <f>G30</f>
      </c>
      <c r="H31" s="86">
        <f>H30</f>
      </c>
      <c r="I31" s="86">
        <f>I30</f>
      </c>
      <c r="J31" s="86">
        <f>J30</f>
      </c>
      <c r="K31" s="87">
        <f t="shared" si="0"/>
      </c>
      <c r="L31" s="87">
        <f t="shared" si="1"/>
      </c>
      <c r="M31" s="87">
        <f t="shared" si="2"/>
      </c>
      <c r="N31" s="88"/>
      <c r="O31" s="86">
        <f>O30</f>
      </c>
      <c r="P31" s="89"/>
      <c r="Q31" s="86">
        <f>Q30</f>
      </c>
    </row>
    <row r="32">
      <c r="A32" s="73" t="s">
        <v>137</v>
      </c>
      <c r="B32" s="74" t="s">
        <v>116</v>
      </c>
      <c r="C32" s="75" t="s">
        <v>117</v>
      </c>
      <c r="D32" s="76">
        <v>4</v>
      </c>
      <c r="E32" s="77">
        <v>0</v>
      </c>
      <c r="F32" s="77">
        <v>0</v>
      </c>
      <c r="G32" s="78">
        <v>0</v>
      </c>
      <c r="H32" s="74">
        <v>0</v>
      </c>
      <c r="I32" s="74">
        <v>0</v>
      </c>
      <c r="J32" s="90">
        <v>391.5</v>
      </c>
      <c r="K32" s="80">
        <f t="shared" si="0"/>
      </c>
      <c r="L32" s="81">
        <f t="shared" si="1"/>
      </c>
      <c r="M32" s="82">
        <f t="shared" si="2"/>
      </c>
      <c r="N32" s="77" t="s">
        <v>133</v>
      </c>
      <c r="O32" s="83">
        <v>4</v>
      </c>
      <c r="P32" s="84"/>
      <c r="Q32" s="77"/>
    </row>
    <row r="33">
      <c r="A33" s="85" t="s">
        <v>137</v>
      </c>
      <c r="B33" s="86"/>
      <c r="C33" s="86"/>
      <c r="D33" s="86">
        <f>D32</f>
      </c>
      <c r="E33" s="86">
        <f>E32</f>
      </c>
      <c r="F33" s="86">
        <f>F32</f>
      </c>
      <c r="G33" s="86">
        <f>G32</f>
      </c>
      <c r="H33" s="86">
        <f>H32</f>
      </c>
      <c r="I33" s="86">
        <f>I32</f>
      </c>
      <c r="J33" s="86">
        <f>J32</f>
      </c>
      <c r="K33" s="87">
        <f t="shared" si="0"/>
      </c>
      <c r="L33" s="87">
        <f t="shared" si="1"/>
      </c>
      <c r="M33" s="87">
        <f t="shared" si="2"/>
      </c>
      <c r="N33" s="88"/>
      <c r="O33" s="86">
        <f>O32</f>
      </c>
      <c r="P33" s="89"/>
      <c r="Q33" s="86">
        <f>Q32</f>
      </c>
    </row>
    <row r="34">
      <c r="A34" s="73" t="s">
        <v>138</v>
      </c>
      <c r="B34" s="74" t="s">
        <v>139</v>
      </c>
      <c r="C34" s="75" t="s">
        <v>117</v>
      </c>
      <c r="D34" s="76">
        <v>4</v>
      </c>
      <c r="E34" s="77">
        <v>0</v>
      </c>
      <c r="F34" s="77">
        <v>0</v>
      </c>
      <c r="G34" s="78">
        <v>0</v>
      </c>
      <c r="H34" s="74">
        <v>0</v>
      </c>
      <c r="I34" s="74">
        <v>0</v>
      </c>
      <c r="J34" s="90">
        <v>477.7</v>
      </c>
      <c r="K34" s="80">
        <f t="shared" si="0"/>
      </c>
      <c r="L34" s="81">
        <f t="shared" si="1"/>
      </c>
      <c r="M34" s="82">
        <f t="shared" si="2"/>
      </c>
      <c r="N34" s="77" t="s">
        <v>133</v>
      </c>
      <c r="O34" s="83">
        <v>4</v>
      </c>
      <c r="P34" s="84"/>
      <c r="Q34" s="77"/>
    </row>
    <row r="35">
      <c r="A35" s="85" t="s">
        <v>138</v>
      </c>
      <c r="B35" s="86"/>
      <c r="C35" s="86"/>
      <c r="D35" s="86">
        <f>D34</f>
      </c>
      <c r="E35" s="86">
        <f>E34</f>
      </c>
      <c r="F35" s="86">
        <f>F34</f>
      </c>
      <c r="G35" s="86">
        <f>G34</f>
      </c>
      <c r="H35" s="86">
        <f>H34</f>
      </c>
      <c r="I35" s="86">
        <f>I34</f>
      </c>
      <c r="J35" s="86">
        <f>J34</f>
      </c>
      <c r="K35" s="87">
        <f t="shared" si="0"/>
      </c>
      <c r="L35" s="87">
        <f t="shared" si="1"/>
      </c>
      <c r="M35" s="87">
        <f t="shared" si="2"/>
      </c>
      <c r="N35" s="88"/>
      <c r="O35" s="86">
        <f>O34</f>
      </c>
      <c r="P35" s="89"/>
      <c r="Q35" s="86">
        <f>Q34</f>
      </c>
    </row>
    <row r="36">
      <c r="A36" s="73" t="s">
        <v>140</v>
      </c>
      <c r="B36" s="74" t="s">
        <v>141</v>
      </c>
      <c r="C36" s="75" t="s">
        <v>117</v>
      </c>
      <c r="D36" s="76">
        <v>4</v>
      </c>
      <c r="E36" s="77">
        <v>0</v>
      </c>
      <c r="F36" s="77">
        <v>0</v>
      </c>
      <c r="G36" s="78">
        <v>0</v>
      </c>
      <c r="H36" s="74">
        <v>0</v>
      </c>
      <c r="I36" s="74">
        <v>0</v>
      </c>
      <c r="J36" s="90">
        <v>421.3</v>
      </c>
      <c r="K36" s="80">
        <f t="shared" si="0"/>
      </c>
      <c r="L36" s="81">
        <f t="shared" si="1"/>
      </c>
      <c r="M36" s="82">
        <f t="shared" si="2"/>
      </c>
      <c r="N36" s="77" t="s">
        <v>133</v>
      </c>
      <c r="O36" s="83">
        <v>4</v>
      </c>
      <c r="P36" s="84"/>
      <c r="Q36" s="77"/>
    </row>
    <row r="37">
      <c r="A37" s="85" t="s">
        <v>140</v>
      </c>
      <c r="B37" s="86"/>
      <c r="C37" s="86"/>
      <c r="D37" s="86">
        <f>D36</f>
      </c>
      <c r="E37" s="86">
        <f>E36</f>
      </c>
      <c r="F37" s="86">
        <f>F36</f>
      </c>
      <c r="G37" s="86">
        <f>G36</f>
      </c>
      <c r="H37" s="86">
        <f>H36</f>
      </c>
      <c r="I37" s="86">
        <f>I36</f>
      </c>
      <c r="J37" s="86">
        <f>J36</f>
      </c>
      <c r="K37" s="87">
        <f t="shared" si="0"/>
      </c>
      <c r="L37" s="87">
        <f t="shared" si="1"/>
      </c>
      <c r="M37" s="87">
        <f t="shared" si="2"/>
      </c>
      <c r="N37" s="88"/>
      <c r="O37" s="86">
        <f>O36</f>
      </c>
      <c r="P37" s="89"/>
      <c r="Q37" s="86">
        <f>Q36</f>
      </c>
    </row>
    <row r="38">
      <c r="A38" s="73" t="s">
        <v>142</v>
      </c>
      <c r="B38" s="74" t="s">
        <v>141</v>
      </c>
      <c r="C38" s="75" t="s">
        <v>117</v>
      </c>
      <c r="D38" s="76">
        <v>4</v>
      </c>
      <c r="E38" s="77">
        <v>0</v>
      </c>
      <c r="F38" s="77">
        <v>0</v>
      </c>
      <c r="G38" s="78">
        <v>0</v>
      </c>
      <c r="H38" s="74">
        <v>0</v>
      </c>
      <c r="I38" s="74">
        <v>0</v>
      </c>
      <c r="J38" s="90">
        <v>432.43</v>
      </c>
      <c r="K38" s="80">
        <f t="shared" si="0"/>
      </c>
      <c r="L38" s="81">
        <f t="shared" si="1"/>
      </c>
      <c r="M38" s="82">
        <f t="shared" si="2"/>
      </c>
      <c r="N38" s="77" t="s">
        <v>133</v>
      </c>
      <c r="O38" s="83">
        <v>4</v>
      </c>
      <c r="P38" s="84"/>
      <c r="Q38" s="77"/>
    </row>
    <row r="39">
      <c r="A39" s="85" t="s">
        <v>142</v>
      </c>
      <c r="B39" s="86"/>
      <c r="C39" s="86"/>
      <c r="D39" s="86">
        <f>D38</f>
      </c>
      <c r="E39" s="86">
        <f>E38</f>
      </c>
      <c r="F39" s="86">
        <f>F38</f>
      </c>
      <c r="G39" s="86">
        <f>G38</f>
      </c>
      <c r="H39" s="86">
        <f>H38</f>
      </c>
      <c r="I39" s="86">
        <f>I38</f>
      </c>
      <c r="J39" s="86">
        <f>J38</f>
      </c>
      <c r="K39" s="87">
        <f t="shared" si="0"/>
      </c>
      <c r="L39" s="87">
        <f t="shared" si="1"/>
      </c>
      <c r="M39" s="87">
        <f t="shared" si="2"/>
      </c>
      <c r="N39" s="88"/>
      <c r="O39" s="86">
        <f>O38</f>
      </c>
      <c r="P39" s="89"/>
      <c r="Q39" s="86">
        <f>Q38</f>
      </c>
    </row>
    <row r="40">
      <c r="A40" s="73" t="s">
        <v>143</v>
      </c>
      <c r="B40" s="74" t="s">
        <v>116</v>
      </c>
      <c r="C40" s="75" t="s">
        <v>117</v>
      </c>
      <c r="D40" s="76">
        <v>4</v>
      </c>
      <c r="E40" s="77">
        <v>0</v>
      </c>
      <c r="F40" s="77">
        <v>0</v>
      </c>
      <c r="G40" s="78">
        <v>0</v>
      </c>
      <c r="H40" s="74">
        <v>0</v>
      </c>
      <c r="I40" s="74">
        <v>0</v>
      </c>
      <c r="J40" s="90">
        <v>418.31</v>
      </c>
      <c r="K40" s="80">
        <f t="shared" si="0"/>
      </c>
      <c r="L40" s="81">
        <f t="shared" si="1"/>
      </c>
      <c r="M40" s="82">
        <f t="shared" si="2"/>
      </c>
      <c r="N40" s="77" t="s">
        <v>133</v>
      </c>
      <c r="O40" s="83">
        <v>4</v>
      </c>
      <c r="P40" s="84"/>
      <c r="Q40" s="77"/>
    </row>
    <row r="41">
      <c r="A41" s="85" t="s">
        <v>143</v>
      </c>
      <c r="B41" s="86"/>
      <c r="C41" s="86"/>
      <c r="D41" s="86">
        <f>D40</f>
      </c>
      <c r="E41" s="86">
        <f>E40</f>
      </c>
      <c r="F41" s="86">
        <f>F40</f>
      </c>
      <c r="G41" s="86">
        <f>G40</f>
      </c>
      <c r="H41" s="86">
        <f>H40</f>
      </c>
      <c r="I41" s="86">
        <f>I40</f>
      </c>
      <c r="J41" s="86">
        <f>J40</f>
      </c>
      <c r="K41" s="87">
        <f t="shared" si="0"/>
      </c>
      <c r="L41" s="87">
        <f t="shared" si="1"/>
      </c>
      <c r="M41" s="87">
        <f t="shared" si="2"/>
      </c>
      <c r="N41" s="88"/>
      <c r="O41" s="86">
        <f>O40</f>
      </c>
      <c r="P41" s="89"/>
      <c r="Q41" s="86">
        <f>Q40</f>
      </c>
    </row>
    <row r="42">
      <c r="A42" s="73" t="s">
        <v>144</v>
      </c>
      <c r="B42" s="74" t="s">
        <v>116</v>
      </c>
      <c r="C42" s="75" t="s">
        <v>145</v>
      </c>
      <c r="D42" s="76">
        <v>1</v>
      </c>
      <c r="E42" s="77">
        <v>0</v>
      </c>
      <c r="F42" s="77">
        <v>0</v>
      </c>
      <c r="G42" s="78">
        <v>0</v>
      </c>
      <c r="H42" s="74">
        <v>0</v>
      </c>
      <c r="I42" s="74">
        <v>0</v>
      </c>
      <c r="J42" s="90">
        <v>77.09</v>
      </c>
      <c r="K42" s="80">
        <f t="shared" si="0"/>
      </c>
      <c r="L42" s="81">
        <f t="shared" si="1"/>
      </c>
      <c r="M42" s="82">
        <f t="shared" si="2"/>
      </c>
      <c r="N42" s="77" t="s">
        <v>133</v>
      </c>
      <c r="O42" s="83">
        <v>1</v>
      </c>
      <c r="P42" s="84"/>
      <c r="Q42" s="77"/>
    </row>
    <row r="43">
      <c r="A43" s="85" t="s">
        <v>144</v>
      </c>
      <c r="B43" s="86"/>
      <c r="C43" s="86"/>
      <c r="D43" s="86">
        <f>D42</f>
      </c>
      <c r="E43" s="86">
        <f>E42</f>
      </c>
      <c r="F43" s="86">
        <f>F42</f>
      </c>
      <c r="G43" s="86">
        <f>G42</f>
      </c>
      <c r="H43" s="86">
        <f>H42</f>
      </c>
      <c r="I43" s="86">
        <f>I42</f>
      </c>
      <c r="J43" s="86">
        <f>J42</f>
      </c>
      <c r="K43" s="87">
        <f t="shared" si="0"/>
      </c>
      <c r="L43" s="87">
        <f t="shared" si="1"/>
      </c>
      <c r="M43" s="87">
        <f t="shared" si="2"/>
      </c>
      <c r="N43" s="88"/>
      <c r="O43" s="86">
        <f>O42</f>
      </c>
      <c r="P43" s="89"/>
      <c r="Q43" s="86">
        <f>Q42</f>
      </c>
    </row>
    <row r="44"/>
    <row r="45"/>
    <row r="46">
      <c r="I46" t="s">
        <v>113</v>
      </c>
      <c r="J46" t="s">
        <v>146</v>
      </c>
    </row>
    <row r="47">
      <c r="I47" t="s">
        <v>118</v>
      </c>
      <c r="J47">
        <v>40</v>
      </c>
    </row>
    <row r="48">
      <c r="I48" t="s">
        <v>131</v>
      </c>
      <c r="J48">
        <v>4</v>
      </c>
    </row>
    <row r="49">
      <c r="I49" t="s">
        <v>133</v>
      </c>
      <c r="J49">
        <v>37</v>
      </c>
    </row>
    <row r="50">
      <c r="I50" t="s">
        <v>147</v>
      </c>
      <c r="J50">
        <v>81</v>
      </c>
    </row>
  </sheetData>
  <autoFilter ref="A1:Q43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6" min="6" style="0" width="16.625770246478872"/>
    <col collapsed="false" customWidth="true" hidden="false" max="7" min="7" style="0" width="16.625770246478872"/>
    <col collapsed="false" customWidth="true" hidden="false" max="9" min="9" style="0" width="16.619718309859156"/>
    <col collapsed="false" customWidth="true" hidden="false" max="11" min="11" style="0" width="16.619718309859156"/>
    <col collapsed="false" customWidth="true" hidden="false" max="13" min="13" style="0" width="16.619718309859156"/>
    <col collapsed="false" customWidth="true" hidden="false" max="3" min="3" style="0" width="16.625770246478872"/>
    <col collapsed="false" customWidth="true" hidden="false" max="4" min="4" style="0" width="16.619718309859156"/>
    <col collapsed="false" customWidth="true" hidden="false" max="5" min="5" style="0" width="16.625770246478872"/>
    <col collapsed="false" customWidth="true" hidden="false" max="8" min="8" style="0" width="16.619718309859156"/>
    <col collapsed="false" customWidth="true" hidden="false" max="10" min="10" style="0" width="16.619718309859156"/>
    <col collapsed="false" customWidth="true" hidden="false" max="12" min="12" style="0" width="16.619718309859156"/>
    <col collapsed="false" customWidth="true" hidden="false" max="2" min="2" style="0" width="16.11152068661972"/>
  </cols>
  <sheetData>
    <row r="1">
      <c r="A1" s="91" t="s">
        <v>148</v>
      </c>
      <c r="B1" s="92" t="s">
        <v>149</v>
      </c>
      <c r="C1" s="92" t="s">
        <v>150</v>
      </c>
      <c r="D1" s="92" t="s">
        <v>151</v>
      </c>
      <c r="E1" s="92" t="s">
        <v>152</v>
      </c>
      <c r="F1" s="92" t="s">
        <v>153</v>
      </c>
      <c r="G1" s="92" t="s">
        <v>154</v>
      </c>
      <c r="H1" s="93" t="s">
        <v>155</v>
      </c>
      <c r="I1" s="92" t="s">
        <v>156</v>
      </c>
      <c r="J1" s="92" t="s">
        <v>157</v>
      </c>
      <c r="K1" s="92" t="s">
        <v>158</v>
      </c>
      <c r="L1" s="92" t="s">
        <v>159</v>
      </c>
      <c r="M1" s="92" t="s">
        <v>160</v>
      </c>
      <c r="N1" s="92" t="s">
        <v>161</v>
      </c>
      <c r="O1" s="92" t="s">
        <v>151</v>
      </c>
      <c r="P1" s="92" t="s">
        <v>162</v>
      </c>
      <c r="Q1" s="92" t="s">
        <v>151</v>
      </c>
    </row>
    <row r="2">
      <c r="A2" s="94" t="s">
        <v>163</v>
      </c>
      <c r="B2" s="95" t="s">
        <v>164</v>
      </c>
      <c r="C2" s="96" t="s">
        <v>165</v>
      </c>
      <c r="D2" s="97">
        <v>2</v>
      </c>
      <c r="E2" s="98">
        <v>0</v>
      </c>
      <c r="F2" s="98">
        <v>0</v>
      </c>
      <c r="G2" s="99">
        <v>0</v>
      </c>
      <c r="H2" s="95">
        <v>0</v>
      </c>
      <c r="I2" s="95">
        <v>0</v>
      </c>
      <c r="J2" s="100">
        <v>54.1</v>
      </c>
      <c r="K2" s="101">
        <f t="shared" ref="K2:K11" si="2">I2/J2</f>
      </c>
      <c r="L2" s="102">
        <f t="shared" ref="L2:L11" si="0">I2/F2</f>
      </c>
      <c r="M2" s="103">
        <f t="shared" ref="M2:M11" si="1">J2/F2</f>
      </c>
      <c r="N2" s="98" t="s">
        <v>166</v>
      </c>
      <c r="O2" s="104">
        <v>2</v>
      </c>
      <c r="P2" s="105"/>
      <c r="Q2" s="98"/>
    </row>
    <row r="3">
      <c r="A3" s="106" t="s">
        <v>163</v>
      </c>
      <c r="B3" s="107"/>
      <c r="C3" s="107"/>
      <c r="D3" s="107">
        <f>D2</f>
      </c>
      <c r="E3" s="107">
        <f>E2</f>
      </c>
      <c r="F3" s="107">
        <f>F2</f>
      </c>
      <c r="G3" s="107">
        <f>G2</f>
      </c>
      <c r="H3" s="107">
        <f>H2</f>
      </c>
      <c r="I3" s="107">
        <f>I2</f>
      </c>
      <c r="J3" s="107">
        <f>J2</f>
      </c>
      <c r="K3" s="108">
        <f t="shared" si="2"/>
      </c>
      <c r="L3" s="108">
        <f t="shared" si="0"/>
      </c>
      <c r="M3" s="108">
        <f t="shared" si="1"/>
      </c>
      <c r="N3" s="109"/>
      <c r="O3" s="107">
        <f>O2</f>
      </c>
      <c r="P3" s="110"/>
      <c r="Q3" s="107">
        <f>Q2</f>
      </c>
    </row>
    <row r="4">
      <c r="A4" s="94" t="s">
        <v>167</v>
      </c>
      <c r="B4" s="95" t="s">
        <v>168</v>
      </c>
      <c r="C4" s="96" t="s">
        <v>165</v>
      </c>
      <c r="D4" s="97">
        <v>2</v>
      </c>
      <c r="E4" s="98">
        <v>0</v>
      </c>
      <c r="F4" s="98">
        <v>0</v>
      </c>
      <c r="G4" s="99">
        <v>0</v>
      </c>
      <c r="H4" s="95">
        <v>0</v>
      </c>
      <c r="I4" s="95">
        <v>0</v>
      </c>
      <c r="J4" s="100">
        <v>0</v>
      </c>
      <c r="K4" s="101">
        <f t="shared" si="2"/>
      </c>
      <c r="L4" s="102">
        <f t="shared" si="0"/>
      </c>
      <c r="M4" s="103">
        <f t="shared" si="1"/>
      </c>
      <c r="N4" s="98" t="s">
        <v>166</v>
      </c>
      <c r="O4" s="104">
        <v>2</v>
      </c>
      <c r="P4" s="105"/>
      <c r="Q4" s="98"/>
    </row>
    <row r="5">
      <c r="A5" s="106" t="s">
        <v>167</v>
      </c>
      <c r="B5" s="107"/>
      <c r="C5" s="107"/>
      <c r="D5" s="107">
        <f>D4</f>
      </c>
      <c r="E5" s="107">
        <f>E4</f>
      </c>
      <c r="F5" s="107">
        <f>F4</f>
      </c>
      <c r="G5" s="107">
        <f>G4</f>
      </c>
      <c r="H5" s="107">
        <f>H4</f>
      </c>
      <c r="I5" s="107">
        <f>I4</f>
      </c>
      <c r="J5" s="107">
        <f>J4</f>
      </c>
      <c r="K5" s="108">
        <f t="shared" si="2"/>
      </c>
      <c r="L5" s="108">
        <f t="shared" si="0"/>
      </c>
      <c r="M5" s="108">
        <f t="shared" si="1"/>
      </c>
      <c r="N5" s="109"/>
      <c r="O5" s="107">
        <f>O4</f>
      </c>
      <c r="P5" s="110"/>
      <c r="Q5" s="107">
        <f>Q4</f>
      </c>
    </row>
    <row r="6">
      <c r="A6" s="94" t="s">
        <v>169</v>
      </c>
      <c r="B6" s="95" t="s">
        <v>170</v>
      </c>
      <c r="C6" s="96" t="s">
        <v>165</v>
      </c>
      <c r="D6" s="97">
        <v>2</v>
      </c>
      <c r="E6" s="98">
        <v>0</v>
      </c>
      <c r="F6" s="98">
        <v>0</v>
      </c>
      <c r="G6" s="99">
        <v>0</v>
      </c>
      <c r="H6" s="95">
        <v>0</v>
      </c>
      <c r="I6" s="95">
        <v>0</v>
      </c>
      <c r="J6" s="100">
        <v>0</v>
      </c>
      <c r="K6" s="101">
        <f t="shared" si="2"/>
      </c>
      <c r="L6" s="102">
        <f t="shared" si="0"/>
      </c>
      <c r="M6" s="103">
        <f t="shared" si="1"/>
      </c>
      <c r="N6" s="98" t="s">
        <v>166</v>
      </c>
      <c r="O6" s="104">
        <v>2</v>
      </c>
      <c r="P6" s="105"/>
      <c r="Q6" s="98"/>
    </row>
    <row r="7">
      <c r="A7" s="106" t="s">
        <v>169</v>
      </c>
      <c r="B7" s="107"/>
      <c r="C7" s="107"/>
      <c r="D7" s="107">
        <f>D6</f>
      </c>
      <c r="E7" s="107">
        <f>E6</f>
      </c>
      <c r="F7" s="107">
        <f>F6</f>
      </c>
      <c r="G7" s="107">
        <f>G6</f>
      </c>
      <c r="H7" s="107">
        <f>H6</f>
      </c>
      <c r="I7" s="107">
        <f>I6</f>
      </c>
      <c r="J7" s="107">
        <f>J6</f>
      </c>
      <c r="K7" s="108">
        <f t="shared" si="2"/>
      </c>
      <c r="L7" s="108">
        <f t="shared" si="0"/>
      </c>
      <c r="M7" s="108">
        <f t="shared" si="1"/>
      </c>
      <c r="N7" s="109"/>
      <c r="O7" s="107">
        <f>O6</f>
      </c>
      <c r="P7" s="110"/>
      <c r="Q7" s="107">
        <f>Q6</f>
      </c>
    </row>
    <row r="8">
      <c r="A8" s="94" t="s">
        <v>171</v>
      </c>
      <c r="B8" s="95" t="s">
        <v>172</v>
      </c>
      <c r="C8" s="96" t="s">
        <v>165</v>
      </c>
      <c r="D8" s="97">
        <v>2</v>
      </c>
      <c r="E8" s="98">
        <v>0</v>
      </c>
      <c r="F8" s="98">
        <v>0</v>
      </c>
      <c r="G8" s="99">
        <v>0</v>
      </c>
      <c r="H8" s="95">
        <v>0</v>
      </c>
      <c r="I8" s="95">
        <v>0</v>
      </c>
      <c r="J8" s="100">
        <v>0</v>
      </c>
      <c r="K8" s="101">
        <f t="shared" si="2"/>
      </c>
      <c r="L8" s="102">
        <f t="shared" si="0"/>
      </c>
      <c r="M8" s="103">
        <f t="shared" si="1"/>
      </c>
      <c r="N8" s="98" t="s">
        <v>166</v>
      </c>
      <c r="O8" s="104">
        <v>2</v>
      </c>
      <c r="P8" s="105"/>
      <c r="Q8" s="98"/>
    </row>
    <row r="9">
      <c r="A9" s="106" t="s">
        <v>171</v>
      </c>
      <c r="B9" s="107"/>
      <c r="C9" s="107"/>
      <c r="D9" s="107">
        <f>D8</f>
      </c>
      <c r="E9" s="107">
        <f>E8</f>
      </c>
      <c r="F9" s="107">
        <f>F8</f>
      </c>
      <c r="G9" s="107">
        <f>G8</f>
      </c>
      <c r="H9" s="107">
        <f>H8</f>
      </c>
      <c r="I9" s="107">
        <f>I8</f>
      </c>
      <c r="J9" s="107">
        <f>J8</f>
      </c>
      <c r="K9" s="108">
        <f t="shared" si="2"/>
      </c>
      <c r="L9" s="108">
        <f t="shared" si="0"/>
      </c>
      <c r="M9" s="108">
        <f t="shared" si="1"/>
      </c>
      <c r="N9" s="109"/>
      <c r="O9" s="107">
        <f>O8</f>
      </c>
      <c r="P9" s="110"/>
      <c r="Q9" s="107">
        <f>Q8</f>
      </c>
    </row>
    <row r="10">
      <c r="A10" s="94" t="s">
        <v>173</v>
      </c>
      <c r="B10" s="95" t="s">
        <v>174</v>
      </c>
      <c r="C10" s="96" t="s">
        <v>165</v>
      </c>
      <c r="D10" s="97">
        <v>2</v>
      </c>
      <c r="E10" s="98">
        <v>0</v>
      </c>
      <c r="F10" s="98">
        <v>0</v>
      </c>
      <c r="G10" s="99">
        <v>0</v>
      </c>
      <c r="H10" s="95">
        <v>0</v>
      </c>
      <c r="I10" s="95">
        <v>0</v>
      </c>
      <c r="J10" s="100">
        <v>0</v>
      </c>
      <c r="K10" s="101">
        <f t="shared" si="2"/>
      </c>
      <c r="L10" s="102">
        <f t="shared" si="0"/>
      </c>
      <c r="M10" s="103">
        <f t="shared" si="1"/>
      </c>
      <c r="N10" s="98" t="s">
        <v>166</v>
      </c>
      <c r="O10" s="104">
        <v>2</v>
      </c>
      <c r="P10" s="105"/>
      <c r="Q10" s="98"/>
    </row>
    <row r="11">
      <c r="A11" s="106" t="s">
        <v>173</v>
      </c>
      <c r="B11" s="107"/>
      <c r="C11" s="107"/>
      <c r="D11" s="107">
        <f>D10</f>
      </c>
      <c r="E11" s="107">
        <f>E10</f>
      </c>
      <c r="F11" s="107">
        <f>F10</f>
      </c>
      <c r="G11" s="107">
        <f>G10</f>
      </c>
      <c r="H11" s="107">
        <f>H10</f>
      </c>
      <c r="I11" s="107">
        <f>I10</f>
      </c>
      <c r="J11" s="107">
        <f>J10</f>
      </c>
      <c r="K11" s="111">
        <f t="shared" si="2"/>
      </c>
      <c r="L11" s="111">
        <f t="shared" si="0"/>
      </c>
      <c r="M11" s="111">
        <f t="shared" si="1"/>
      </c>
      <c r="N11" s="112"/>
      <c r="O11" s="107">
        <f>O10</f>
      </c>
      <c r="P11" s="113"/>
      <c r="Q11" s="107">
        <f>Q10</f>
      </c>
      <c r="R11" s="114"/>
    </row>
    <row r="12">
      <c r="A12" s="115" t="s">
        <v>148</v>
      </c>
      <c r="B12" s="115" t="s">
        <v>149</v>
      </c>
      <c r="C12" s="116" t="s">
        <v>175</v>
      </c>
      <c r="D12" s="117" t="s">
        <v>151</v>
      </c>
      <c r="E12" s="118" t="s">
        <v>176</v>
      </c>
      <c r="F12" s="119" t="s">
        <v>177</v>
      </c>
      <c r="G12" s="119" t="s">
        <v>178</v>
      </c>
      <c r="H12" s="119" t="s">
        <v>179</v>
      </c>
      <c r="I12" s="119" t="s">
        <v>180</v>
      </c>
      <c r="J12" s="119" t="s">
        <v>181</v>
      </c>
      <c r="K12" s="119" t="s">
        <v>182</v>
      </c>
      <c r="L12" s="119" t="s">
        <v>183</v>
      </c>
      <c r="M12" s="120"/>
      <c r="N12" s="121" t="s">
        <v>184</v>
      </c>
      <c r="O12" s="121">
        <v>2</v>
      </c>
      <c r="Q12" s="122"/>
      <c r="R12" s="123"/>
      <c r="S12" s="114"/>
    </row>
    <row r="13">
      <c r="A13" s="124" t="s">
        <v>185</v>
      </c>
      <c r="B13" s="125" t="s">
        <v>186</v>
      </c>
      <c r="C13" s="126" t="s">
        <v>187</v>
      </c>
      <c r="D13" s="127">
        <v>4</v>
      </c>
      <c r="E13" s="128">
        <v>0</v>
      </c>
      <c r="F13" s="129">
        <v>54</v>
      </c>
      <c r="G13" s="130">
        <v>3</v>
      </c>
      <c r="H13" s="130">
        <v>0.3</v>
      </c>
      <c r="I13" s="130">
        <v>3</v>
      </c>
      <c r="J13" s="130">
        <v>39</v>
      </c>
      <c r="K13" s="130">
        <v>1</v>
      </c>
      <c r="L13" s="130">
        <v>0</v>
      </c>
      <c r="M13" s="131"/>
      <c r="N13" s="132" t="s">
        <v>188</v>
      </c>
      <c r="O13" s="132">
        <v>2</v>
      </c>
      <c r="Q13" s="133"/>
      <c r="R13" s="123"/>
      <c r="S13" s="114"/>
    </row>
    <row r="14">
      <c r="A14" s="121" t="s">
        <v>189</v>
      </c>
      <c r="B14" s="134" t="s">
        <v>190</v>
      </c>
      <c r="C14" s="135" t="s">
        <v>191</v>
      </c>
      <c r="D14" s="136">
        <v>2</v>
      </c>
      <c r="E14" s="121">
        <v>0</v>
      </c>
      <c r="F14" s="137">
        <v>23</v>
      </c>
      <c r="G14" s="134">
        <v>4</v>
      </c>
      <c r="H14" s="134">
        <v>3.7</v>
      </c>
      <c r="I14" s="134">
        <v>0</v>
      </c>
      <c r="J14" s="134">
        <v>46</v>
      </c>
      <c r="K14" s="134">
        <v>0</v>
      </c>
      <c r="L14" s="134">
        <v>0</v>
      </c>
      <c r="M14" s="138"/>
      <c r="N14" s="121" t="s">
        <v>184</v>
      </c>
      <c r="O14" s="121">
        <v>2</v>
      </c>
      <c r="Q14" s="114"/>
      <c r="R14" s="114"/>
    </row>
    <row r="15">
      <c r="A15" s="121"/>
      <c r="B15" s="134" t="s">
        <v>170</v>
      </c>
      <c r="C15" s="135" t="s">
        <v>165</v>
      </c>
      <c r="D15" s="136">
        <v>2</v>
      </c>
      <c r="E15" s="121">
        <v>0</v>
      </c>
      <c r="F15" s="137">
        <v>28</v>
      </c>
      <c r="G15" s="134">
        <v>4</v>
      </c>
      <c r="H15" s="134">
        <v>4.3</v>
      </c>
      <c r="I15" s="134">
        <v>2</v>
      </c>
      <c r="J15" s="134">
        <v>10</v>
      </c>
      <c r="K15" s="134">
        <v>0</v>
      </c>
      <c r="L15" s="134">
        <v>0</v>
      </c>
      <c r="M15" s="139"/>
      <c r="N15" s="140" t="s">
        <v>188</v>
      </c>
      <c r="O15" s="140">
        <v>2</v>
      </c>
    </row>
    <row r="16">
      <c r="A16" s="121"/>
      <c r="B16" s="141" t="s">
        <v>192</v>
      </c>
      <c r="C16" s="141"/>
      <c r="D16" s="142">
        <f>SUM(D14:D15)</f>
      </c>
      <c r="E16" s="143">
        <f>SUM(F14:F15)</f>
      </c>
      <c r="F16" s="144">
        <f>SUM(G14:G15)</f>
      </c>
      <c r="G16" s="145">
        <f>(H14+H15)/2</f>
      </c>
      <c r="H16" s="145">
        <f>SUM(I14:I15)</f>
      </c>
      <c r="I16" s="145">
        <f>SUM(J14:J15)</f>
      </c>
      <c r="J16" s="145">
        <f>SUM(K14:K15)</f>
      </c>
      <c r="K16" s="142">
        <f>SUM(L14:L15)</f>
      </c>
      <c r="L16" s="146"/>
      <c r="M16" s="146"/>
      <c r="N16" s="147"/>
      <c r="O16" s="122"/>
      <c r="P16" s="114"/>
    </row>
    <row r="17">
      <c r="A17" s="121" t="s">
        <v>193</v>
      </c>
      <c r="B17" s="134" t="s">
        <v>172</v>
      </c>
      <c r="C17" s="135" t="s">
        <v>191</v>
      </c>
      <c r="D17" s="136">
        <v>2</v>
      </c>
      <c r="E17" s="121">
        <v>0</v>
      </c>
      <c r="F17" s="137">
        <v>24</v>
      </c>
      <c r="G17" s="134">
        <v>3</v>
      </c>
      <c r="H17" s="134">
        <v>0</v>
      </c>
      <c r="I17" s="134">
        <v>1</v>
      </c>
      <c r="J17" s="134">
        <v>3</v>
      </c>
      <c r="K17" s="134">
        <v>0</v>
      </c>
      <c r="L17" s="134">
        <v>0</v>
      </c>
      <c r="M17" s="138"/>
      <c r="N17" s="121" t="s">
        <v>184</v>
      </c>
      <c r="O17" s="148">
        <v>2</v>
      </c>
    </row>
    <row r="18">
      <c r="A18" s="121"/>
      <c r="B18" s="149" t="s">
        <v>164</v>
      </c>
      <c r="C18" s="135" t="s">
        <v>165</v>
      </c>
      <c r="D18" s="136">
        <v>2</v>
      </c>
      <c r="E18" s="150">
        <v>363.10900000000004</v>
      </c>
      <c r="F18" s="137">
        <f>F19-F17</f>
      </c>
      <c r="G18" s="134">
        <f>G19-G17</f>
      </c>
      <c r="H18" s="134">
        <f>H19-H17</f>
      </c>
      <c r="I18" s="134">
        <f>I19-I17</f>
      </c>
      <c r="J18" s="134">
        <f>J19-J17</f>
      </c>
      <c r="K18" s="134">
        <f>K19-K17</f>
      </c>
      <c r="L18" s="134">
        <f>L19-L17</f>
      </c>
      <c r="M18" s="139"/>
      <c r="N18" s="140" t="s">
        <v>188</v>
      </c>
      <c r="O18" s="140">
        <v>2</v>
      </c>
    </row>
    <row r="19">
      <c r="A19" s="121"/>
      <c r="B19" s="141" t="s">
        <v>192</v>
      </c>
      <c r="C19" s="141"/>
      <c r="D19" s="145">
        <f>SUM(D17:D18)</f>
      </c>
      <c r="E19" s="145">
        <f>SUM(E17:E18)</f>
      </c>
      <c r="F19" s="145">
        <v>4720</v>
      </c>
      <c r="G19" s="145">
        <v>119</v>
      </c>
      <c r="H19" s="145">
        <v>0.15</v>
      </c>
      <c r="I19" s="145">
        <v>7</v>
      </c>
      <c r="J19" s="145">
        <v>386</v>
      </c>
      <c r="K19" s="145">
        <v>24</v>
      </c>
      <c r="L19" s="145">
        <v>0</v>
      </c>
      <c r="M19" s="146"/>
      <c r="N19" s="146"/>
      <c r="O19" s="146"/>
      <c r="P19" s="133"/>
    </row>
    <row r="20">
      <c r="A20" s="121" t="s">
        <v>194</v>
      </c>
      <c r="B20" s="149" t="s">
        <v>195</v>
      </c>
      <c r="C20" s="135" t="s">
        <v>191</v>
      </c>
      <c r="D20" s="136">
        <v>2</v>
      </c>
      <c r="E20" s="121">
        <v>320.802</v>
      </c>
      <c r="F20" s="137">
        <v>2678</v>
      </c>
      <c r="G20" s="134">
        <v>91</v>
      </c>
      <c r="H20" s="134">
        <v>0.4</v>
      </c>
      <c r="I20" s="134">
        <v>4</v>
      </c>
      <c r="J20" s="134">
        <v>123</v>
      </c>
      <c r="K20" s="134">
        <v>24</v>
      </c>
      <c r="L20" s="134">
        <v>0</v>
      </c>
      <c r="M20" s="138"/>
      <c r="N20" s="121" t="s">
        <v>166</v>
      </c>
      <c r="O20" s="148">
        <v>2</v>
      </c>
    </row>
    <row r="21">
      <c r="A21" s="121"/>
      <c r="B21" s="149" t="s">
        <v>174</v>
      </c>
      <c r="C21" s="135" t="s">
        <v>165</v>
      </c>
      <c r="D21" s="136">
        <v>2</v>
      </c>
      <c r="E21" s="150">
        <v>500</v>
      </c>
      <c r="F21" s="137">
        <v>7256</v>
      </c>
      <c r="G21" s="134">
        <v>918</v>
      </c>
      <c r="H21" s="134">
        <v>0.3</v>
      </c>
      <c r="I21" s="134">
        <v>32</v>
      </c>
      <c r="J21" s="134">
        <v>738</v>
      </c>
      <c r="K21" s="134">
        <v>59</v>
      </c>
      <c r="L21" s="134">
        <v>0</v>
      </c>
      <c r="M21" s="139"/>
      <c r="N21" s="140" t="s">
        <v>188</v>
      </c>
      <c r="O21" s="140">
        <v>2</v>
      </c>
    </row>
    <row r="22">
      <c r="A22" s="121"/>
      <c r="B22" s="141" t="s">
        <v>192</v>
      </c>
      <c r="C22" s="141"/>
      <c r="D22" s="145">
        <f>SUM(D20:D21)</f>
      </c>
      <c r="E22" s="145">
        <f>SUM(E20:E21)</f>
      </c>
      <c r="F22" s="145">
        <f>F20+F21</f>
      </c>
      <c r="G22" s="145">
        <f>(G20+G21)/2</f>
      </c>
      <c r="H22" s="145">
        <f>(H20+H21)/2</f>
      </c>
      <c r="I22" s="145">
        <f>I20+I21</f>
      </c>
      <c r="J22" s="145">
        <f>J20+J21</f>
      </c>
      <c r="K22" s="145">
        <f>K20+K21</f>
      </c>
      <c r="L22" s="145">
        <f>L20+L21</f>
      </c>
      <c r="M22" s="146"/>
      <c r="N22" s="146"/>
      <c r="O22" s="146"/>
    </row>
    <row r="23">
      <c r="A23" s="121" t="s">
        <v>196</v>
      </c>
      <c r="B23" s="149" t="s">
        <v>170</v>
      </c>
      <c r="C23" s="135" t="s">
        <v>191</v>
      </c>
      <c r="D23" s="136">
        <v>2</v>
      </c>
      <c r="E23" s="121">
        <v>443.25</v>
      </c>
      <c r="F23" s="137">
        <v>2716</v>
      </c>
      <c r="G23" s="134">
        <v>48</v>
      </c>
      <c r="H23" s="134">
        <v>0.5</v>
      </c>
      <c r="I23" s="134">
        <v>5</v>
      </c>
      <c r="J23" s="134">
        <v>33</v>
      </c>
      <c r="K23" s="134">
        <v>10</v>
      </c>
      <c r="L23" s="134">
        <v>0</v>
      </c>
      <c r="M23" s="138"/>
      <c r="N23" s="121" t="s">
        <v>197</v>
      </c>
      <c r="O23" s="148">
        <v>2</v>
      </c>
    </row>
    <row r="24">
      <c r="A24" s="121"/>
      <c r="B24" s="149" t="s">
        <v>198</v>
      </c>
      <c r="C24" s="151" t="s">
        <v>199</v>
      </c>
      <c r="D24" s="136">
        <v>1</v>
      </c>
      <c r="E24" s="149">
        <v>358.949</v>
      </c>
      <c r="F24" s="149">
        <v>4408</v>
      </c>
      <c r="G24" s="149">
        <v>209</v>
      </c>
      <c r="H24" s="149">
        <v>0.3</v>
      </c>
      <c r="I24" s="149">
        <v>11</v>
      </c>
      <c r="J24" s="149">
        <v>255</v>
      </c>
      <c r="K24" s="149">
        <v>20</v>
      </c>
      <c r="L24" s="149">
        <v>0</v>
      </c>
      <c r="M24" s="139"/>
      <c r="N24" s="140" t="s">
        <v>188</v>
      </c>
      <c r="O24" s="140">
        <v>2</v>
      </c>
    </row>
    <row customHeight="true" ht="18.452380952380953" r="25">
      <c r="A25" s="121"/>
      <c r="B25" s="149" t="s">
        <v>172</v>
      </c>
      <c r="C25" s="151" t="s">
        <v>200</v>
      </c>
      <c r="D25" s="136">
        <v>1</v>
      </c>
      <c r="E25" s="134">
        <v>238.405</v>
      </c>
      <c r="F25" s="134"/>
      <c r="G25" s="134"/>
      <c r="H25" s="134"/>
      <c r="I25" s="134"/>
      <c r="J25" s="134"/>
      <c r="K25" s="134"/>
      <c r="L25" s="134"/>
      <c r="M25" s="139"/>
      <c r="N25" s="140"/>
      <c r="O25" s="140"/>
    </row>
    <row r="26">
      <c r="A26" s="121"/>
      <c r="B26" s="141" t="s">
        <v>192</v>
      </c>
      <c r="C26" s="141"/>
      <c r="D26" s="145">
        <f>SUM(D23:D25)</f>
      </c>
      <c r="E26" s="145">
        <f>SUM(E23:E25)</f>
      </c>
      <c r="F26" s="145">
        <f>F23+F24</f>
      </c>
      <c r="G26" s="145">
        <f>(G23+G24)/2</f>
      </c>
      <c r="H26" s="145">
        <f>(H23+H24)/2</f>
      </c>
      <c r="I26" s="145">
        <f>I23+I24</f>
      </c>
      <c r="J26" s="145">
        <f>J23+J24</f>
      </c>
      <c r="K26" s="145">
        <f>K23+K24</f>
      </c>
      <c r="L26" s="145">
        <f>L23+L24</f>
      </c>
      <c r="M26" s="146"/>
      <c r="N26" s="146"/>
      <c r="O26" s="146"/>
    </row>
    <row r="27">
      <c r="A27" s="121" t="s">
        <v>201</v>
      </c>
      <c r="B27" s="149" t="s">
        <v>202</v>
      </c>
      <c r="C27" s="151" t="s">
        <v>203</v>
      </c>
      <c r="D27" s="136">
        <v>1</v>
      </c>
      <c r="E27" s="149">
        <v>319.843</v>
      </c>
      <c r="F27" s="149">
        <v>4626</v>
      </c>
      <c r="G27" s="149">
        <v>109</v>
      </c>
      <c r="H27" s="149">
        <v>0.5</v>
      </c>
      <c r="I27" s="149">
        <v>29</v>
      </c>
      <c r="J27" s="149">
        <v>193</v>
      </c>
      <c r="K27" s="149">
        <v>55</v>
      </c>
      <c r="L27" s="149">
        <v>0</v>
      </c>
      <c r="M27" s="139"/>
      <c r="N27" s="140" t="s">
        <v>166</v>
      </c>
      <c r="O27" s="140">
        <v>2</v>
      </c>
    </row>
    <row r="28">
      <c r="A28" s="121"/>
      <c r="B28" s="149" t="s">
        <v>164</v>
      </c>
      <c r="C28" s="151" t="s">
        <v>204</v>
      </c>
      <c r="D28" s="136">
        <v>1</v>
      </c>
      <c r="E28" s="134">
        <v>155.279</v>
      </c>
      <c r="F28" s="149"/>
      <c r="G28" s="149"/>
      <c r="H28" s="149"/>
      <c r="I28" s="149"/>
      <c r="J28" s="149"/>
      <c r="K28" s="149"/>
      <c r="L28" s="149"/>
      <c r="M28" s="139"/>
      <c r="N28" s="140"/>
      <c r="O28" s="140"/>
    </row>
    <row customHeight="true" ht="18.452380952380953" r="29">
      <c r="A29" s="121"/>
      <c r="B29" s="149" t="s">
        <v>205</v>
      </c>
      <c r="C29" s="151" t="s">
        <v>199</v>
      </c>
      <c r="D29" s="136">
        <v>1</v>
      </c>
      <c r="E29" s="121">
        <v>341.649</v>
      </c>
      <c r="F29" s="152">
        <v>7365</v>
      </c>
      <c r="G29" s="152">
        <v>227</v>
      </c>
      <c r="H29" s="152">
        <v>0.3</v>
      </c>
      <c r="I29" s="152">
        <v>16</v>
      </c>
      <c r="J29" s="152">
        <v>377</v>
      </c>
      <c r="K29" s="152">
        <v>38</v>
      </c>
      <c r="L29" s="152">
        <v>0</v>
      </c>
      <c r="M29" s="138"/>
      <c r="N29" s="140"/>
      <c r="O29" s="140"/>
    </row>
    <row customHeight="true" ht="18.452380952380953" r="30">
      <c r="A30" s="121"/>
      <c r="B30" s="149" t="s">
        <v>172</v>
      </c>
      <c r="C30" s="151" t="s">
        <v>200</v>
      </c>
      <c r="D30" s="136">
        <v>1</v>
      </c>
      <c r="E30" s="121">
        <v>300</v>
      </c>
      <c r="F30" s="137"/>
      <c r="G30" s="137"/>
      <c r="H30" s="137"/>
      <c r="I30" s="137"/>
      <c r="J30" s="137"/>
      <c r="K30" s="137"/>
      <c r="L30" s="137"/>
      <c r="M30" s="138"/>
      <c r="N30" s="140" t="s">
        <v>188</v>
      </c>
      <c r="O30" s="148">
        <v>2</v>
      </c>
    </row>
    <row r="31">
      <c r="A31" s="121"/>
      <c r="B31" s="141" t="s">
        <v>192</v>
      </c>
      <c r="C31" s="141"/>
      <c r="D31" s="145">
        <f>SUM(D27:D30)</f>
      </c>
      <c r="E31" s="145">
        <f>SUM(E27:E30)</f>
      </c>
      <c r="F31" s="145">
        <f>F27+F29</f>
      </c>
      <c r="G31" s="145">
        <f>(G28+G29)/2</f>
      </c>
      <c r="H31" s="145">
        <f>(H27+H30)/2</f>
      </c>
      <c r="I31" s="145">
        <f>I27+I29</f>
      </c>
      <c r="J31" s="145">
        <f>J27+J29</f>
      </c>
      <c r="K31" s="145">
        <f>K27+K29</f>
      </c>
      <c r="L31" s="145">
        <f>L27+L29</f>
      </c>
      <c r="M31" s="146"/>
      <c r="N31" s="146"/>
      <c r="O31" s="146"/>
    </row>
    <row r="32">
      <c r="A32" s="121" t="s">
        <v>206</v>
      </c>
      <c r="B32" s="105" t="s">
        <v>168</v>
      </c>
      <c r="C32" s="135" t="s">
        <v>191</v>
      </c>
      <c r="D32" s="136">
        <v>2</v>
      </c>
      <c r="E32" s="121">
        <v>233.87</v>
      </c>
      <c r="F32" s="137">
        <v>2565</v>
      </c>
      <c r="G32" s="134">
        <v>110</v>
      </c>
      <c r="H32" s="134">
        <v>0.4</v>
      </c>
      <c r="I32" s="134">
        <v>12</v>
      </c>
      <c r="J32" s="134">
        <v>182</v>
      </c>
      <c r="K32" s="134">
        <v>32</v>
      </c>
      <c r="L32" s="134">
        <v>0</v>
      </c>
      <c r="M32" s="138"/>
      <c r="N32" s="121" t="s">
        <v>166</v>
      </c>
      <c r="O32" s="148">
        <v>2</v>
      </c>
    </row>
    <row r="33">
      <c r="A33" s="121"/>
      <c r="B33" s="105" t="s">
        <v>168</v>
      </c>
      <c r="C33" s="135" t="s">
        <v>165</v>
      </c>
      <c r="D33" s="136">
        <v>2</v>
      </c>
      <c r="E33" s="150">
        <v>300.2</v>
      </c>
      <c r="F33" s="152">
        <v>3317</v>
      </c>
      <c r="G33" s="149">
        <v>178</v>
      </c>
      <c r="H33" s="149">
        <v>0.3</v>
      </c>
      <c r="I33" s="149">
        <v>11</v>
      </c>
      <c r="J33" s="149">
        <v>87</v>
      </c>
      <c r="K33" s="149">
        <v>17</v>
      </c>
      <c r="L33" s="149">
        <v>0</v>
      </c>
      <c r="M33" s="139"/>
      <c r="N33" s="140" t="s">
        <v>188</v>
      </c>
      <c r="O33" s="140">
        <v>2</v>
      </c>
    </row>
    <row r="34">
      <c r="A34" s="121"/>
      <c r="B34" s="141" t="s">
        <v>192</v>
      </c>
      <c r="C34" s="141"/>
      <c r="D34" s="145">
        <f>SUM(D32:D33)</f>
      </c>
      <c r="E34" s="145">
        <f>SUM(E32:E33)</f>
      </c>
      <c r="F34" s="145">
        <f>F32+F33</f>
      </c>
      <c r="G34" s="145">
        <f>(G32+G33)/2</f>
      </c>
      <c r="H34" s="145">
        <f>(H32+H33)/2</f>
      </c>
      <c r="I34" s="145">
        <f>I32+I33</f>
      </c>
      <c r="J34" s="145">
        <f>J32+J33</f>
      </c>
      <c r="K34" s="145">
        <f>K32+K33</f>
      </c>
      <c r="L34" s="145">
        <f>L32+L33</f>
      </c>
      <c r="M34" s="146"/>
      <c r="N34" s="146"/>
      <c r="O34" s="146"/>
    </row>
    <row r="35">
      <c r="A35" s="121" t="s">
        <v>207</v>
      </c>
      <c r="B35" s="98" t="s">
        <v>208</v>
      </c>
      <c r="C35" s="135" t="s">
        <v>191</v>
      </c>
      <c r="D35" s="136">
        <v>2</v>
      </c>
      <c r="E35" s="121">
        <v>300</v>
      </c>
      <c r="F35" s="137">
        <v>3362</v>
      </c>
      <c r="G35" s="134">
        <v>169</v>
      </c>
      <c r="H35" s="134">
        <v>0.4</v>
      </c>
      <c r="I35" s="134">
        <v>8</v>
      </c>
      <c r="J35" s="134">
        <v>400</v>
      </c>
      <c r="K35" s="134">
        <v>30</v>
      </c>
      <c r="L35" s="134">
        <v>0</v>
      </c>
      <c r="M35" s="138"/>
      <c r="N35" s="121" t="s">
        <v>184</v>
      </c>
      <c r="O35" s="148">
        <v>2</v>
      </c>
    </row>
    <row r="36">
      <c r="A36" s="121"/>
      <c r="B36" s="105" t="s">
        <v>209</v>
      </c>
      <c r="C36" s="135" t="s">
        <v>165</v>
      </c>
      <c r="D36" s="136">
        <v>2</v>
      </c>
      <c r="E36" s="150">
        <v>700</v>
      </c>
      <c r="F36" s="152">
        <v>7023</v>
      </c>
      <c r="G36" s="149">
        <v>235</v>
      </c>
      <c r="H36" s="149">
        <v>0.3</v>
      </c>
      <c r="I36" s="149">
        <v>15</v>
      </c>
      <c r="J36" s="149">
        <v>112</v>
      </c>
      <c r="K36" s="149">
        <v>32</v>
      </c>
      <c r="L36" s="149">
        <v>0</v>
      </c>
      <c r="M36" s="139"/>
      <c r="N36" s="140" t="s">
        <v>188</v>
      </c>
      <c r="O36" s="140">
        <v>2</v>
      </c>
    </row>
    <row r="37">
      <c r="A37" s="121"/>
      <c r="B37" s="141" t="s">
        <v>192</v>
      </c>
      <c r="C37" s="141"/>
      <c r="D37" s="145">
        <f>SUM(D35:D36)</f>
      </c>
      <c r="E37" s="145">
        <f>SUM(E35:E36)</f>
      </c>
      <c r="F37" s="145">
        <f>F35+F36</f>
      </c>
      <c r="G37" s="145">
        <f>(G35+G36)/2</f>
      </c>
      <c r="H37" s="145">
        <f>(H35+H36)/2</f>
      </c>
      <c r="I37" s="145">
        <f>I35+I36</f>
      </c>
      <c r="J37" s="145">
        <f>J35+J36</f>
      </c>
      <c r="K37" s="145">
        <f>K35+K36</f>
      </c>
      <c r="L37" s="145">
        <f>L35+L36</f>
      </c>
      <c r="M37" s="146"/>
      <c r="N37" s="146"/>
      <c r="O37" s="146"/>
    </row>
    <row r="38">
      <c r="A38" s="121" t="s">
        <v>210</v>
      </c>
      <c r="B38" s="98" t="s">
        <v>208</v>
      </c>
      <c r="C38" s="151" t="s">
        <v>211</v>
      </c>
      <c r="D38" s="136">
        <v>1.5</v>
      </c>
      <c r="E38" s="121">
        <v>417.869</v>
      </c>
      <c r="F38" s="137">
        <v>4982</v>
      </c>
      <c r="G38" s="134">
        <v>152</v>
      </c>
      <c r="H38" s="134">
        <v>0.4</v>
      </c>
      <c r="I38" s="134">
        <v>23</v>
      </c>
      <c r="J38" s="134">
        <v>188</v>
      </c>
      <c r="K38" s="134">
        <v>40</v>
      </c>
      <c r="L38" s="134">
        <v>0</v>
      </c>
      <c r="M38" s="138"/>
      <c r="N38" s="121" t="s">
        <v>184</v>
      </c>
      <c r="O38" s="148">
        <v>1.5</v>
      </c>
    </row>
    <row r="39">
      <c r="A39" s="121"/>
      <c r="B39" s="105" t="s">
        <v>168</v>
      </c>
      <c r="C39" s="151" t="s">
        <v>212</v>
      </c>
      <c r="D39" s="136">
        <v>1.5</v>
      </c>
      <c r="E39" s="150">
        <v>0</v>
      </c>
      <c r="F39" s="152">
        <v>24</v>
      </c>
      <c r="G39" s="149">
        <v>3</v>
      </c>
      <c r="H39" s="149">
        <v>0.2</v>
      </c>
      <c r="I39" s="149">
        <v>1</v>
      </c>
      <c r="J39" s="149">
        <v>0</v>
      </c>
      <c r="K39" s="149">
        <v>0</v>
      </c>
      <c r="L39" s="149">
        <v>0</v>
      </c>
      <c r="M39" s="139"/>
      <c r="N39" s="140" t="s">
        <v>188</v>
      </c>
      <c r="O39" s="140">
        <v>1.5</v>
      </c>
    </row>
    <row r="40">
      <c r="A40" s="121"/>
      <c r="B40" s="141" t="s">
        <v>192</v>
      </c>
      <c r="C40" s="141"/>
      <c r="D40" s="145">
        <f>SUM(D38:D39)</f>
      </c>
      <c r="E40" s="145">
        <f>SUM(E38:E39)</f>
      </c>
      <c r="F40" s="145">
        <f>F38+F39</f>
      </c>
      <c r="G40" s="145">
        <f>(G38+G39)/2</f>
      </c>
      <c r="H40" s="145">
        <f>(H38+H39)/2</f>
      </c>
      <c r="I40" s="145">
        <f>I38+I39</f>
      </c>
      <c r="J40" s="145">
        <f>J38+J39</f>
      </c>
      <c r="K40" s="145">
        <f>K38+K39</f>
      </c>
      <c r="L40" s="145">
        <f>L38+L39</f>
      </c>
      <c r="M40" s="146"/>
      <c r="N40" s="146"/>
      <c r="O40" s="146"/>
    </row>
    <row r="41">
      <c r="A41" s="153" t="s">
        <v>213</v>
      </c>
      <c r="B41" s="154" t="s">
        <v>208</v>
      </c>
      <c r="C41" s="155" t="s">
        <v>211</v>
      </c>
      <c r="D41" s="156">
        <v>1.5</v>
      </c>
      <c r="E41" s="153">
        <v>0</v>
      </c>
      <c r="F41" s="157">
        <v>41</v>
      </c>
      <c r="G41" s="158">
        <v>4</v>
      </c>
      <c r="H41" s="158">
        <v>0.8</v>
      </c>
      <c r="I41" s="158">
        <v>0</v>
      </c>
      <c r="J41" s="158">
        <v>0</v>
      </c>
      <c r="K41" s="158">
        <v>0</v>
      </c>
      <c r="L41" s="158">
        <v>0</v>
      </c>
      <c r="M41" s="159"/>
      <c r="N41" s="153" t="s">
        <v>184</v>
      </c>
      <c r="O41" s="160">
        <v>1.5</v>
      </c>
    </row>
    <row r="42">
      <c r="A42" s="153"/>
      <c r="B42" s="161" t="s">
        <v>214</v>
      </c>
      <c r="C42" s="155" t="s">
        <v>212</v>
      </c>
      <c r="D42" s="156">
        <v>1.5</v>
      </c>
      <c r="E42" s="162"/>
      <c r="F42" s="163"/>
      <c r="G42" s="164"/>
      <c r="H42" s="164"/>
      <c r="I42" s="164"/>
      <c r="J42" s="164"/>
      <c r="K42" s="164"/>
      <c r="L42" s="164"/>
      <c r="M42" s="165"/>
      <c r="N42" s="166" t="s">
        <v>188</v>
      </c>
      <c r="O42" s="166">
        <v>1.5</v>
      </c>
    </row>
    <row r="43">
      <c r="A43" s="153"/>
      <c r="B43" s="167" t="s">
        <v>192</v>
      </c>
      <c r="C43" s="167"/>
      <c r="D43" s="168">
        <f>SUM(D41:D42)</f>
      </c>
      <c r="E43" s="168">
        <f>SUM(E41:E42)</f>
      </c>
      <c r="F43" s="168">
        <f>F41+F42</f>
      </c>
      <c r="G43" s="168">
        <f>(G41+G42)/2</f>
      </c>
      <c r="H43" s="168">
        <f>(H41+H42)/2</f>
      </c>
      <c r="I43" s="168">
        <f>I41+I42</f>
      </c>
      <c r="J43" s="168">
        <f>J41+J42</f>
      </c>
      <c r="K43" s="168">
        <f>K41+K42</f>
      </c>
      <c r="L43" s="168">
        <f>L41+L42</f>
      </c>
      <c r="M43" s="169"/>
      <c r="N43" s="169"/>
      <c r="O43" s="169"/>
    </row>
  </sheetData>
  <autoFilter ref="A1:T188"/>
  <mergeCells>
    <mergeCell ref="B40:C40"/>
    <mergeCell ref="A38:A40"/>
    <mergeCell ref="B37:C37"/>
    <mergeCell ref="A35:A37"/>
    <mergeCell ref="B34:C34"/>
    <mergeCell ref="A32:A34"/>
    <mergeCell ref="L29:L30"/>
    <mergeCell ref="K29:K30"/>
    <mergeCell ref="J29:J30"/>
    <mergeCell ref="I29:I30"/>
    <mergeCell ref="H29:H30"/>
    <mergeCell ref="G29:G30"/>
    <mergeCell ref="F29:F30"/>
    <mergeCell ref="B31:C31"/>
    <mergeCell ref="A27:A31"/>
    <mergeCell ref="L27:L28"/>
    <mergeCell ref="K27:K28"/>
    <mergeCell ref="J27:J28"/>
    <mergeCell ref="I27:I28"/>
    <mergeCell ref="H27:H28"/>
    <mergeCell ref="G27:G28"/>
    <mergeCell ref="F27:F28"/>
    <mergeCell ref="L24:L25"/>
    <mergeCell ref="K24:K25"/>
    <mergeCell ref="J24:J25"/>
    <mergeCell ref="I24:I25"/>
    <mergeCell ref="H24:H25"/>
    <mergeCell ref="G24:G25"/>
    <mergeCell ref="F24:F25"/>
    <mergeCell ref="A23:A26"/>
    <mergeCell ref="B26:C26"/>
    <mergeCell ref="B22:C22"/>
    <mergeCell ref="A20:A22"/>
    <mergeCell ref="B16:C16"/>
    <mergeCell ref="A14:A16"/>
    <mergeCell ref="B19:C19"/>
    <mergeCell ref="A17:A19"/>
    <mergeCell ref="A41:A43"/>
    <mergeCell ref="B43:C43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7" min="7" style="0" width="11.211267605633802"/>
    <col collapsed="false" customWidth="true" hidden="false" max="8" min="8" style="0" width="11.211267605633802"/>
  </cols>
  <sheetData>
    <row r="1">
      <c r="A1" s="170" t="s">
        <v>215</v>
      </c>
      <c r="B1" s="171" t="s">
        <v>216</v>
      </c>
      <c r="C1" s="171" t="s">
        <v>217</v>
      </c>
      <c r="D1" s="171" t="s">
        <v>218</v>
      </c>
    </row>
    <row r="2">
      <c r="A2" s="172" t="s">
        <v>219</v>
      </c>
      <c r="B2" s="171" t="s">
        <v>220</v>
      </c>
      <c r="C2" s="173" t="s">
        <v>221</v>
      </c>
      <c r="D2" s="174">
        <v>2</v>
      </c>
    </row>
    <row r="3">
      <c r="A3" s="172" t="s">
        <v>219</v>
      </c>
      <c r="B3" s="175" t="s">
        <v>222</v>
      </c>
      <c r="C3" s="173" t="s">
        <v>223</v>
      </c>
      <c r="D3" s="174">
        <v>2</v>
      </c>
    </row>
    <row r="4">
      <c r="A4" s="172" t="s">
        <v>219</v>
      </c>
      <c r="B4" s="171" t="s">
        <v>220</v>
      </c>
      <c r="C4" s="173" t="s">
        <v>224</v>
      </c>
      <c r="D4" s="174">
        <v>2</v>
      </c>
    </row>
    <row r="5">
      <c r="A5" s="172" t="s">
        <v>219</v>
      </c>
      <c r="B5" s="175" t="s">
        <v>222</v>
      </c>
      <c r="C5" s="173" t="s">
        <v>225</v>
      </c>
      <c r="D5" s="174">
        <v>2</v>
      </c>
    </row>
    <row r="6">
      <c r="A6" s="176" t="s">
        <v>219</v>
      </c>
      <c r="B6" s="177"/>
      <c r="C6" s="177"/>
      <c r="D6" s="177">
        <f>D2+D3+D4+D5</f>
      </c>
    </row>
    <row r="7">
      <c r="A7" s="172" t="s">
        <v>226</v>
      </c>
      <c r="B7" s="171" t="s">
        <v>220</v>
      </c>
      <c r="C7" s="173" t="s">
        <v>221</v>
      </c>
      <c r="D7" s="174">
        <v>2</v>
      </c>
    </row>
    <row r="8">
      <c r="A8" s="172" t="s">
        <v>226</v>
      </c>
      <c r="B8" s="175" t="s">
        <v>222</v>
      </c>
      <c r="C8" s="173" t="s">
        <v>223</v>
      </c>
      <c r="D8" s="174">
        <v>2</v>
      </c>
    </row>
    <row r="9">
      <c r="A9" s="172" t="s">
        <v>226</v>
      </c>
      <c r="B9" s="171" t="s">
        <v>220</v>
      </c>
      <c r="C9" s="173" t="s">
        <v>224</v>
      </c>
      <c r="D9" s="174">
        <v>2</v>
      </c>
    </row>
    <row r="10">
      <c r="A10" s="172" t="s">
        <v>226</v>
      </c>
      <c r="B10" s="175" t="s">
        <v>222</v>
      </c>
      <c r="C10" s="173" t="s">
        <v>225</v>
      </c>
      <c r="D10" s="174">
        <v>2</v>
      </c>
    </row>
    <row r="11">
      <c r="A11" s="176" t="s">
        <v>226</v>
      </c>
      <c r="B11" s="177"/>
      <c r="C11" s="177"/>
      <c r="D11" s="177">
        <f>D7+D8+D9+D10</f>
      </c>
    </row>
    <row r="12">
      <c r="A12" s="172" t="s">
        <v>227</v>
      </c>
      <c r="B12" s="171" t="s">
        <v>220</v>
      </c>
      <c r="C12" s="173" t="s">
        <v>221</v>
      </c>
      <c r="D12" s="174">
        <v>2</v>
      </c>
    </row>
    <row r="13">
      <c r="A13" s="172" t="s">
        <v>227</v>
      </c>
      <c r="B13" s="175" t="s">
        <v>222</v>
      </c>
      <c r="C13" s="173" t="s">
        <v>223</v>
      </c>
      <c r="D13" s="174">
        <v>2</v>
      </c>
    </row>
    <row r="14">
      <c r="A14" s="172" t="s">
        <v>227</v>
      </c>
      <c r="B14" s="171" t="s">
        <v>220</v>
      </c>
      <c r="C14" s="173" t="s">
        <v>224</v>
      </c>
      <c r="D14" s="174">
        <v>2</v>
      </c>
    </row>
    <row r="15">
      <c r="A15" s="172" t="s">
        <v>227</v>
      </c>
      <c r="B15" s="175" t="s">
        <v>222</v>
      </c>
      <c r="C15" s="173" t="s">
        <v>225</v>
      </c>
      <c r="D15" s="174">
        <v>2</v>
      </c>
    </row>
    <row r="16">
      <c r="A16" s="176" t="s">
        <v>227</v>
      </c>
      <c r="B16" s="177"/>
      <c r="C16" s="177"/>
      <c r="D16" s="177">
        <f>D12+D13+D14+D15</f>
      </c>
    </row>
    <row r="17">
      <c r="A17" s="172" t="s">
        <v>228</v>
      </c>
      <c r="B17" s="175" t="s">
        <v>222</v>
      </c>
      <c r="C17" s="173" t="s">
        <v>229</v>
      </c>
      <c r="D17" s="174">
        <v>2</v>
      </c>
    </row>
    <row r="18">
      <c r="A18" s="172" t="s">
        <v>228</v>
      </c>
      <c r="B18" s="171" t="s">
        <v>220</v>
      </c>
      <c r="C18" s="173" t="s">
        <v>221</v>
      </c>
      <c r="D18" s="174">
        <v>2</v>
      </c>
    </row>
    <row r="19">
      <c r="A19" s="172" t="s">
        <v>228</v>
      </c>
      <c r="B19" s="175" t="s">
        <v>222</v>
      </c>
      <c r="C19" s="173" t="s">
        <v>223</v>
      </c>
      <c r="D19" s="174">
        <v>2</v>
      </c>
    </row>
    <row r="20">
      <c r="A20" s="172" t="s">
        <v>228</v>
      </c>
      <c r="B20" s="171" t="s">
        <v>220</v>
      </c>
      <c r="C20" s="173" t="s">
        <v>224</v>
      </c>
      <c r="D20" s="174">
        <v>2</v>
      </c>
    </row>
    <row r="21">
      <c r="A21" s="176" t="s">
        <v>228</v>
      </c>
      <c r="B21" s="177"/>
      <c r="C21" s="177"/>
      <c r="D21" s="177">
        <f>D17+D18+D19+D20</f>
      </c>
    </row>
    <row r="22">
      <c r="A22" s="172" t="s">
        <v>230</v>
      </c>
      <c r="B22" s="171" t="s">
        <v>220</v>
      </c>
      <c r="C22" s="173" t="s">
        <v>229</v>
      </c>
      <c r="D22" s="174">
        <v>2</v>
      </c>
    </row>
    <row r="23">
      <c r="A23" s="172" t="s">
        <v>230</v>
      </c>
      <c r="B23" s="175" t="s">
        <v>222</v>
      </c>
      <c r="C23" s="173" t="s">
        <v>221</v>
      </c>
      <c r="D23" s="174">
        <v>2</v>
      </c>
    </row>
    <row r="24">
      <c r="A24" s="172" t="s">
        <v>230</v>
      </c>
      <c r="B24" s="171" t="s">
        <v>220</v>
      </c>
      <c r="C24" s="173" t="s">
        <v>223</v>
      </c>
      <c r="D24" s="174">
        <v>2</v>
      </c>
    </row>
    <row r="25">
      <c r="A25" s="172" t="s">
        <v>230</v>
      </c>
      <c r="B25" s="175" t="s">
        <v>222</v>
      </c>
      <c r="C25" s="173" t="s">
        <v>224</v>
      </c>
      <c r="D25" s="174">
        <v>2</v>
      </c>
    </row>
    <row r="26">
      <c r="A26" s="176" t="s">
        <v>230</v>
      </c>
      <c r="B26" s="177"/>
      <c r="C26" s="177"/>
      <c r="D26" s="177">
        <f>D22+D23+D24+D25</f>
      </c>
    </row>
    <row r="27">
      <c r="A27" s="172" t="s">
        <v>231</v>
      </c>
      <c r="B27" s="175" t="s">
        <v>222</v>
      </c>
      <c r="C27" s="173" t="s">
        <v>229</v>
      </c>
      <c r="D27" s="174">
        <v>2</v>
      </c>
    </row>
    <row r="28">
      <c r="A28" s="172" t="s">
        <v>231</v>
      </c>
      <c r="B28" s="171" t="s">
        <v>220</v>
      </c>
      <c r="C28" s="173" t="s">
        <v>221</v>
      </c>
      <c r="D28" s="174">
        <v>2</v>
      </c>
    </row>
    <row r="29">
      <c r="A29" s="172" t="s">
        <v>231</v>
      </c>
      <c r="B29" s="175" t="s">
        <v>222</v>
      </c>
      <c r="C29" s="173" t="s">
        <v>223</v>
      </c>
      <c r="D29" s="174">
        <v>2</v>
      </c>
    </row>
    <row r="30">
      <c r="A30" s="172" t="s">
        <v>231</v>
      </c>
      <c r="B30" s="171" t="s">
        <v>220</v>
      </c>
      <c r="C30" s="173" t="s">
        <v>224</v>
      </c>
      <c r="D30" s="174">
        <v>2</v>
      </c>
    </row>
    <row r="31">
      <c r="A31" s="176" t="s">
        <v>231</v>
      </c>
      <c r="B31" s="177"/>
      <c r="C31" s="177"/>
      <c r="D31" s="177">
        <f>D27+D28+D29+D30</f>
      </c>
    </row>
    <row r="32">
      <c r="A32" s="172" t="s">
        <v>232</v>
      </c>
      <c r="B32" s="171" t="s">
        <v>220</v>
      </c>
      <c r="C32" s="173" t="s">
        <v>229</v>
      </c>
      <c r="D32" s="174">
        <v>2</v>
      </c>
    </row>
    <row r="33">
      <c r="A33" s="172" t="s">
        <v>232</v>
      </c>
      <c r="B33" s="175" t="s">
        <v>222</v>
      </c>
      <c r="C33" s="173" t="s">
        <v>221</v>
      </c>
      <c r="D33" s="174">
        <v>2</v>
      </c>
    </row>
    <row r="34">
      <c r="A34" s="172" t="s">
        <v>232</v>
      </c>
      <c r="B34" s="171" t="s">
        <v>220</v>
      </c>
      <c r="C34" s="173" t="s">
        <v>223</v>
      </c>
      <c r="D34" s="174">
        <v>2</v>
      </c>
    </row>
    <row r="35">
      <c r="A35" s="172" t="s">
        <v>232</v>
      </c>
      <c r="B35" s="175" t="s">
        <v>222</v>
      </c>
      <c r="C35" s="173" t="s">
        <v>224</v>
      </c>
      <c r="D35" s="174">
        <v>2</v>
      </c>
    </row>
    <row r="36">
      <c r="A36" s="176" t="s">
        <v>232</v>
      </c>
      <c r="B36" s="177"/>
      <c r="C36" s="177"/>
      <c r="D36" s="177">
        <f>D32+D33+D34+D35</f>
      </c>
    </row>
    <row r="37">
      <c r="A37" s="172" t="s">
        <v>233</v>
      </c>
      <c r="B37" s="171" t="s">
        <v>220</v>
      </c>
      <c r="C37" s="173" t="s">
        <v>234</v>
      </c>
      <c r="D37" s="174">
        <v>2</v>
      </c>
    </row>
    <row r="38">
      <c r="A38" s="172" t="s">
        <v>233</v>
      </c>
      <c r="B38" s="175" t="s">
        <v>222</v>
      </c>
      <c r="C38" s="173" t="s">
        <v>235</v>
      </c>
      <c r="D38" s="174">
        <v>2</v>
      </c>
    </row>
    <row r="39">
      <c r="A39" s="178" t="s">
        <v>233</v>
      </c>
      <c r="B39" s="177"/>
      <c r="C39" s="177"/>
      <c r="D39" s="177">
        <f>D37+D38</f>
      </c>
    </row>
    <row r="40">
      <c r="A40" s="172" t="s">
        <v>236</v>
      </c>
      <c r="B40" s="171" t="s">
        <v>220</v>
      </c>
      <c r="C40" s="173" t="s">
        <v>234</v>
      </c>
      <c r="D40" s="174">
        <v>2</v>
      </c>
    </row>
    <row r="41">
      <c r="A41" s="172" t="s">
        <v>236</v>
      </c>
      <c r="B41" s="175" t="s">
        <v>222</v>
      </c>
      <c r="C41" s="173" t="s">
        <v>235</v>
      </c>
      <c r="D41" s="174">
        <v>2</v>
      </c>
    </row>
    <row r="42">
      <c r="A42" s="178" t="s">
        <v>236</v>
      </c>
      <c r="B42" s="177"/>
      <c r="C42" s="177"/>
      <c r="D42" s="177">
        <f>D40+D41</f>
      </c>
    </row>
    <row r="43">
      <c r="A43" s="172" t="s">
        <v>237</v>
      </c>
      <c r="B43" s="175" t="s">
        <v>220</v>
      </c>
      <c r="C43" s="173" t="s">
        <v>238</v>
      </c>
      <c r="D43" s="174">
        <v>4</v>
      </c>
    </row>
    <row r="44">
      <c r="A44" s="178" t="s">
        <v>237</v>
      </c>
      <c r="B44" s="177"/>
      <c r="C44" s="177"/>
      <c r="D44" s="177">
        <f>D43</f>
      </c>
    </row>
    <row r="45">
      <c r="A45" s="172" t="s">
        <v>239</v>
      </c>
      <c r="B45" s="175" t="s">
        <v>240</v>
      </c>
      <c r="C45" s="173" t="s">
        <v>238</v>
      </c>
      <c r="D45" s="174">
        <v>4</v>
      </c>
    </row>
    <row r="46">
      <c r="A46" s="178" t="s">
        <v>239</v>
      </c>
      <c r="B46" s="177"/>
      <c r="C46" s="177"/>
      <c r="D46" s="177">
        <f>D45</f>
      </c>
    </row>
    <row r="47">
      <c r="A47" s="172" t="s">
        <v>241</v>
      </c>
      <c r="B47" s="175" t="s">
        <v>240</v>
      </c>
      <c r="C47" s="173" t="s">
        <v>238</v>
      </c>
      <c r="D47" s="174">
        <v>4</v>
      </c>
    </row>
    <row r="48">
      <c r="A48" s="178" t="s">
        <v>241</v>
      </c>
      <c r="B48" s="177"/>
      <c r="C48" s="177"/>
      <c r="D48" s="177">
        <f>D47</f>
      </c>
    </row>
    <row r="49">
      <c r="A49" s="172" t="s">
        <v>242</v>
      </c>
      <c r="B49" s="175" t="s">
        <v>240</v>
      </c>
      <c r="C49" s="173" t="s">
        <v>238</v>
      </c>
      <c r="D49" s="174">
        <v>4</v>
      </c>
    </row>
    <row r="50">
      <c r="A50" s="178" t="s">
        <v>242</v>
      </c>
      <c r="B50" s="177"/>
      <c r="C50" s="177"/>
      <c r="D50" s="177">
        <f>D49</f>
      </c>
    </row>
    <row r="51">
      <c r="A51" s="172" t="s">
        <v>243</v>
      </c>
      <c r="B51" s="175" t="s">
        <v>244</v>
      </c>
      <c r="C51" s="173" t="s">
        <v>238</v>
      </c>
      <c r="D51" s="174">
        <v>4</v>
      </c>
    </row>
    <row r="52">
      <c r="A52" s="178" t="s">
        <v>243</v>
      </c>
      <c r="B52" s="177"/>
      <c r="C52" s="177"/>
      <c r="D52" s="177">
        <f>D51</f>
      </c>
    </row>
    <row r="53">
      <c r="A53" s="172" t="s">
        <v>245</v>
      </c>
      <c r="B53" s="175" t="s">
        <v>246</v>
      </c>
      <c r="C53" s="173" t="s">
        <v>238</v>
      </c>
      <c r="D53" s="174">
        <v>4</v>
      </c>
    </row>
    <row r="54">
      <c r="A54" s="178" t="s">
        <v>245</v>
      </c>
      <c r="B54" s="177"/>
      <c r="C54" s="177"/>
      <c r="D54" s="177">
        <f>D53</f>
      </c>
    </row>
    <row r="55">
      <c r="A55" s="172" t="s">
        <v>247</v>
      </c>
      <c r="B55" s="175" t="s">
        <v>248</v>
      </c>
      <c r="C55" s="173" t="s">
        <v>238</v>
      </c>
      <c r="D55" s="174">
        <v>4</v>
      </c>
    </row>
    <row r="56">
      <c r="A56" s="178" t="s">
        <v>247</v>
      </c>
      <c r="B56" s="177"/>
      <c r="C56" s="177"/>
      <c r="D56" s="177">
        <f>D55</f>
      </c>
    </row>
    <row r="57">
      <c r="A57" s="172" t="s">
        <v>249</v>
      </c>
      <c r="B57" s="175" t="s">
        <v>250</v>
      </c>
      <c r="C57" s="173" t="s">
        <v>238</v>
      </c>
      <c r="D57" s="174">
        <v>4</v>
      </c>
    </row>
    <row r="58">
      <c r="A58" s="178" t="s">
        <v>249</v>
      </c>
      <c r="B58" s="177"/>
      <c r="C58" s="177"/>
      <c r="D58" s="177">
        <f>D57</f>
      </c>
    </row>
    <row r="59">
      <c r="A59" s="172" t="s">
        <v>251</v>
      </c>
      <c r="B59" s="175" t="s">
        <v>252</v>
      </c>
      <c r="C59" s="173" t="s">
        <v>238</v>
      </c>
      <c r="D59" s="174">
        <v>4</v>
      </c>
    </row>
    <row r="60">
      <c r="A60" s="178" t="s">
        <v>251</v>
      </c>
      <c r="B60" s="177"/>
      <c r="C60" s="177"/>
      <c r="D60" s="177">
        <f>D59</f>
      </c>
    </row>
    <row r="61">
      <c r="A61" s="172" t="s">
        <v>253</v>
      </c>
      <c r="B61" s="175" t="s">
        <v>246</v>
      </c>
      <c r="C61" s="173" t="s">
        <v>238</v>
      </c>
      <c r="D61" s="174">
        <v>4</v>
      </c>
    </row>
    <row r="62">
      <c r="A62" s="178" t="s">
        <v>253</v>
      </c>
      <c r="B62" s="177"/>
      <c r="C62" s="177"/>
      <c r="D62" s="177">
        <f>D61</f>
      </c>
    </row>
    <row r="63">
      <c r="A63" s="172" t="s">
        <v>254</v>
      </c>
      <c r="B63" s="175" t="s">
        <v>248</v>
      </c>
      <c r="C63" s="173" t="s">
        <v>238</v>
      </c>
      <c r="D63" s="174">
        <v>4</v>
      </c>
    </row>
    <row r="64">
      <c r="A64" s="178" t="s">
        <v>254</v>
      </c>
      <c r="B64" s="177"/>
      <c r="C64" s="177"/>
      <c r="D64" s="177">
        <f>D63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