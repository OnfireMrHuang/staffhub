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6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Tables/pivotTable5.xml" ContentType="application/vnd.openxmlformats-officedocument.spreadsheetml.pivotTable+xml"/>
  <Override PartName="/xl/pivotCache/pivotCacheDefinition5.xml" ContentType="application/vnd.openxmlformats-officedocument.spreadsheetml.pivotCacheDefinition+xml"/>
  <Override PartName="/xl/worksheets/sheet10.xml" ContentType="application/vnd.openxmlformats-officedocument.spreadsheetml.worksheet+xml"/>
  <Override PartName="/xl/pivotTables/pivotTable6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worksheets/sheet11.xml" ContentType="application/vnd.openxmlformats-officedocument.spreadsheetml.worksheet+xml"/>
  <Override PartName="/xl/pivotTables/pivotTable7.xml" ContentType="application/vnd.openxmlformats-officedocument.spreadsheetml.pivotTable+xml"/>
  <Override PartName="/xl/pivotCache/pivotCacheDefinition7.xml" ContentType="application/vnd.openxmlformats-officedocument.spreadsheetml.pivotCacheDefinition+xml"/>
  <Override PartName="/xl/worksheets/sheet12.xml" ContentType="application/vnd.openxmlformats-officedocument.spreadsheetml.worksheet+xml"/>
  <Override PartName="/xl/pivotTables/pivotTable8.xml" ContentType="application/vnd.openxmlformats-officedocument.spreadsheetml.pivotTable+xml"/>
  <Override PartName="/xl/pivotCache/pivotCacheDefinition8.xml" ContentType="application/vnd.openxmlformats-officedocument.spreadsheetml.pivotCacheDefinition+xml"/>
  <Override PartName="/xl/worksheets/sheet13.xml" ContentType="application/vnd.openxmlformats-officedocument.spreadsheetml.worksheet+xml"/>
  <Override PartName="/xl/pivotTables/pivotTable9.xml" ContentType="application/vnd.openxmlformats-officedocument.spreadsheetml.pivotTable+xml"/>
  <Override PartName="/xl/pivotCache/pivotCacheDefinition9.xml" ContentType="application/vnd.openxmlformats-officedocument.spreadsheetml.pivotCacheDefinition+xml"/>
  <Override PartName="/xl/worksheets/sheet14.xml" ContentType="application/vnd.openxmlformats-officedocument.spreadsheetml.worksheet+xml"/>
  <Override PartName="/xl/pivotTables/pivotTable10.xml" ContentType="application/vnd.openxmlformats-officedocument.spreadsheetml.pivotTable+xml"/>
  <Override PartName="/xl/pivotCache/pivotCacheDefinition10.xml" ContentType="application/vnd.openxmlformats-officedocument.spreadsheetml.pivotCacheDefinition+xml"/>
  <Override PartName="/xl/worksheets/sheet1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8"/>
    <sheet name="2026.7" sheetId="5" r:id="rId10"/>
    <sheet name="2026.6" sheetId="6" r:id="rId12"/>
    <sheet name="2026.5" sheetId="7" r:id="rId14"/>
    <sheet name="2026.4" sheetId="8" r:id="rId15"/>
    <sheet name="2026.3" sheetId="9" r:id="rId16"/>
    <sheet name="2026.2" sheetId="10" r:id="rId18"/>
    <sheet name="2026.1" sheetId="11" r:id="rId20"/>
    <sheet name="2025.12" sheetId="12" r:id="rId22"/>
    <sheet name="2025.11" sheetId="13" r:id="rId24"/>
    <sheet name="2025.10" sheetId="14" r:id="rId26"/>
    <sheet name="Sheet16" sheetId="15" r:id="rId28"/>
  </sheets>
  <calcPr calcMode="auto"/>
  <pivotCaches>
    <pivotCache cacheId="1" r:id="rId7"/>
    <pivotCache cacheId="2" r:id="rId9"/>
    <pivotCache cacheId="3" r:id="rId11"/>
    <pivotCache cacheId="4" r:id="rId13"/>
    <pivotCache cacheId="5" r:id="rId17"/>
    <pivotCache cacheId="6" r:id="rId19"/>
    <pivotCache cacheId="7" r:id="rId21"/>
    <pivotCache cacheId="8" r:id="rId23"/>
    <pivotCache cacheId="9" r:id="rId25"/>
    <pivotCache cacheId="10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<sst xmlns="http://schemas.openxmlformats.org/spreadsheetml/2006/main" count="1115" uniqueCount="1115">
  <si>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</si>
  <si>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</si>
  <si>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</si>
  <si>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</si>
  <si>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</si>
  <si>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</si>
  <si>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</si>
  <si>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</si>
  <si>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</si>
  <si>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</si>
  <si>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</si>
  <si>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</si>
  <si>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</si>
  <si>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</si>
  <si>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</si>
  <si>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</si>
  <si>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</si>
  <si>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2026.10.1</t>
  </si>
  <si>
    <t xml:space="preserve">李莹</t>
  </si>
  <si>
    <t xml:space="preserve">06:00-10:00</t>
  </si>
  <si>
    <t xml:space="preserve">林智豪</t>
  </si>
  <si>
    <t xml:space="preserve">连贝贝</t>
  </si>
  <si>
    <t xml:space="preserve">10:00-14:00</t>
  </si>
  <si>
    <t xml:space="preserve">贾占通双</t>
  </si>
  <si>
    <t xml:space="preserve">张晓薇</t>
  </si>
  <si>
    <t xml:space="preserve">14:00-18:00</t>
  </si>
  <si>
    <t xml:space="preserve">栗敏纳</t>
  </si>
  <si>
    <t xml:space="preserve">18:00-22:00</t>
  </si>
  <si>
    <t xml:space="preserve">郝泽晗晚</t>
  </si>
  <si>
    <t xml:space="preserve">陈浏铭</t>
  </si>
  <si>
    <t xml:space="preserve">郝铭扬</t>
  </si>
  <si>
    <t xml:space="preserve">22:00-02:00</t>
  </si>
  <si>
    <t xml:space="preserve">2026.10.2</t>
  </si>
  <si>
    <t xml:space="preserve">刘慕涵</t>
  </si>
  <si>
    <t xml:space="preserve">2026.10.3</t>
  </si>
  <si>
    <t xml:space="preserve">2026.10.4</t>
  </si>
  <si>
    <t xml:space="preserve">2026.10.5</t>
  </si>
  <si>
    <t xml:space="preserve">2026.10.6</t>
  </si>
  <si>
    <t xml:space="preserve">2026.10.7</t>
  </si>
  <si>
    <t xml:space="preserve">李芳</t>
  </si>
  <si>
    <t xml:space="preserve">2026.10.8</t>
  </si>
  <si>
    <t xml:space="preserve">2026.10.9</t>
  </si>
  <si>
    <t xml:space="preserve">2026.10.10</t>
  </si>
  <si>
    <t xml:space="preserve">06:00-11:00</t>
  </si>
  <si>
    <t xml:space="preserve">11:00-16:00</t>
  </si>
  <si>
    <t xml:space="preserve">张嘉懿双</t>
  </si>
  <si>
    <t xml:space="preserve">16:00-21:00</t>
  </si>
  <si>
    <t xml:space="preserve">王悦暄晚</t>
  </si>
  <si>
    <t xml:space="preserve">21:00-2:00</t>
  </si>
  <si>
    <t xml:space="preserve">2026.10.11</t>
  </si>
  <si>
    <t xml:space="preserve">郝泽晗早</t>
  </si>
  <si>
    <t xml:space="preserve">14:00-16:00</t>
  </si>
  <si>
    <t xml:space="preserve">2026.10.12</t>
  </si>
  <si>
    <t xml:space="preserve">2026.10.13</t>
  </si>
  <si>
    <t xml:space="preserve">2026.10.14</t>
  </si>
  <si>
    <t xml:space="preserve">任子硕晚</t>
  </si>
  <si>
    <t xml:space="preserve">2026.10.15</t>
  </si>
  <si>
    <t xml:space="preserve">李寒玉早</t>
  </si>
  <si>
    <t xml:space="preserve">2026.10.16</t>
  </si>
  <si>
    <t xml:space="preserve">2026.10.17</t>
  </si>
  <si>
    <t xml:space="preserve">王悦暄早</t>
  </si>
  <si>
    <t xml:space="preserve">2026.10.18</t>
  </si>
  <si>
    <t xml:space="preserve">张嘉懿</t>
  </si>
  <si>
    <t xml:space="preserve">贾占通晚</t>
  </si>
  <si>
    <t xml:space="preserve">2026.10.19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</si>
  <si>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</si>
  <si>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</si>
  <si>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</si>
  <si>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</si>
  <si>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</si>
  <si>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</si>
  <si>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</si>
  <si>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</si>
  <si>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</si>
  <si>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</si>
  <si>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</si>
  <si>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</si>
  <si>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</si>
  <si>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</si>
  <si>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</si>
  <si>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</si>
  <si>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2026.9.1</t>
  </si>
  <si>
    <t xml:space="preserve">郝铭扬</t>
  </si>
  <si>
    <t xml:space="preserve">06:00-11:00</t>
  </si>
  <si>
    <t xml:space="preserve">谢镇雨</t>
  </si>
  <si>
    <t xml:space="preserve">连贝贝</t>
  </si>
  <si>
    <t xml:space="preserve">11:00-16:00</t>
  </si>
  <si>
    <t xml:space="preserve">郝泽晗早</t>
  </si>
  <si>
    <t xml:space="preserve">刘慕涵</t>
  </si>
  <si>
    <t xml:space="preserve">16:00-21:00</t>
  </si>
  <si>
    <t xml:space="preserve">李莹</t>
  </si>
  <si>
    <t xml:space="preserve">21:00-02:00</t>
  </si>
  <si>
    <t xml:space="preserve">张嘉懿晚</t>
  </si>
  <si>
    <t xml:space="preserve">林智豪</t>
  </si>
  <si>
    <t xml:space="preserve">2026.9.2</t>
  </si>
  <si>
    <t xml:space="preserve">2026.9.3</t>
  </si>
  <si>
    <t xml:space="preserve">张晓薇</t>
  </si>
  <si>
    <t xml:space="preserve">2026.9.4</t>
  </si>
  <si>
    <t xml:space="preserve">何彩樱早</t>
  </si>
  <si>
    <t xml:space="preserve">2026.9.5</t>
  </si>
  <si>
    <t xml:space="preserve">2026.9.6</t>
  </si>
  <si>
    <t xml:space="preserve">郭斯元晚</t>
  </si>
  <si>
    <t xml:space="preserve">2026.9.7</t>
  </si>
  <si>
    <t xml:space="preserve">2026.9.8</t>
  </si>
  <si>
    <t xml:space="preserve">06:00-10:00</t>
  </si>
  <si>
    <t xml:space="preserve">10:00-14:00</t>
  </si>
  <si>
    <t xml:space="preserve">14:00-18:00</t>
  </si>
  <si>
    <t xml:space="preserve">陈旭</t>
  </si>
  <si>
    <t xml:space="preserve">18:00-22:00</t>
  </si>
  <si>
    <t xml:space="preserve">22:00-02:00</t>
  </si>
  <si>
    <t xml:space="preserve">2026.9.9</t>
  </si>
  <si>
    <t xml:space="preserve">2026.9.10</t>
  </si>
  <si>
    <t xml:space="preserve">2026.9.11</t>
  </si>
  <si>
    <t xml:space="preserve">郝泽晗双</t>
  </si>
  <si>
    <t xml:space="preserve">董柯言双</t>
  </si>
  <si>
    <t xml:space="preserve">董柯言晚</t>
  </si>
  <si>
    <t xml:space="preserve">2026.9.12</t>
  </si>
  <si>
    <t xml:space="preserve">栗敏纳</t>
  </si>
  <si>
    <t xml:space="preserve">2026.9.13</t>
  </si>
  <si>
    <t xml:space="preserve">2026.9.14</t>
  </si>
  <si>
    <t xml:space="preserve">2026.9.15</t>
  </si>
  <si>
    <t xml:space="preserve">2026.9.16</t>
  </si>
  <si>
    <t xml:space="preserve">2026.9.17</t>
  </si>
  <si>
    <t xml:space="preserve">王悦暄晚</t>
  </si>
  <si>
    <t xml:space="preserve">2026.9.18</t>
  </si>
  <si>
    <t xml:space="preserve">2026.9.19</t>
  </si>
  <si>
    <t xml:space="preserve">贾占通早</t>
  </si>
  <si>
    <t xml:space="preserve">2026.9.20</t>
  </si>
  <si>
    <t xml:space="preserve">2026.9.21</t>
  </si>
  <si>
    <t xml:space="preserve">2026.9.22</t>
  </si>
  <si>
    <t xml:space="preserve">2026.9.23</t>
  </si>
  <si>
    <t xml:space="preserve">陈浏铭</t>
  </si>
  <si>
    <t xml:space="preserve">任子硕早</t>
  </si>
  <si>
    <t xml:space="preserve">2026.9.24</t>
  </si>
  <si>
    <t xml:space="preserve">2026.9.25</t>
  </si>
  <si>
    <t xml:space="preserve">李寒玉晚</t>
  </si>
  <si>
    <t xml:space="preserve">2026.9.26</t>
  </si>
  <si>
    <t xml:space="preserve">2026.9.27</t>
  </si>
  <si>
    <t xml:space="preserve">2026.9.28</t>
  </si>
  <si>
    <t xml:space="preserve">陈思钰早</t>
  </si>
  <si>
    <t xml:space="preserve">2026.9.29</t>
  </si>
  <si>
    <t xml:space="preserve">郝泽晗晚</t>
  </si>
  <si>
    <t xml:space="preserve">2026.9.30</t>
  </si>
  <si>
    <t xml:space="preserve">贾占通双</t>
  </si>
  <si>
    <t xml:space="preserve">roi</t>
  </si>
  <si>
    <t xml:space="preserve">时耗</t>
  </si>
  <si>
    <t xml:space="preserve">求和项:助播时长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</si>
  <si>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</si>
  <si>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</si>
  <si>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</si>
  <si>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</si>
  <si>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</si>
  <si>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</si>
  <si>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</si>
  <si>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</si>
  <si>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</si>
  <si>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</si>
  <si>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</si>
  <si>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</si>
  <si>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</si>
  <si>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</si>
  <si>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</si>
  <si>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</si>
  <si>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</si>
  <si>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2026.8.1</t>
  </si>
  <si>
    <t xml:space="preserve">刘慕涵</t>
  </si>
  <si>
    <t xml:space="preserve">06:00-11:00</t>
  </si>
  <si>
    <t xml:space="preserve">林智豪</t>
  </si>
  <si>
    <t xml:space="preserve">张晓薇</t>
  </si>
  <si>
    <t xml:space="preserve">11:00-16:00</t>
  </si>
  <si>
    <t xml:space="preserve">郝泽晗早</t>
  </si>
  <si>
    <t xml:space="preserve">郝铭扬</t>
  </si>
  <si>
    <t xml:space="preserve">16:00-21:00</t>
  </si>
  <si>
    <t xml:space="preserve">连贝贝</t>
  </si>
  <si>
    <t xml:space="preserve">21:00-02:00</t>
  </si>
  <si>
    <t xml:space="preserve">李寒玉晚</t>
  </si>
  <si>
    <t xml:space="preserve">谢镇雨</t>
  </si>
  <si>
    <t xml:space="preserve">2026.8.2</t>
  </si>
  <si>
    <t xml:space="preserve">李莹</t>
  </si>
  <si>
    <t xml:space="preserve">16:00-18:00</t>
  </si>
  <si>
    <t xml:space="preserve">18:00-22:00</t>
  </si>
  <si>
    <t xml:space="preserve">栗敏纳</t>
  </si>
  <si>
    <t xml:space="preserve">22:00-02:00</t>
  </si>
  <si>
    <t xml:space="preserve">2026.8.3</t>
  </si>
  <si>
    <t xml:space="preserve">2026.8.4</t>
  </si>
  <si>
    <t xml:space="preserve">06:00-10:00</t>
  </si>
  <si>
    <t xml:space="preserve">10:00-15:00</t>
  </si>
  <si>
    <t xml:space="preserve">15:00-18:00</t>
  </si>
  <si>
    <t xml:space="preserve">2026.8.5</t>
  </si>
  <si>
    <t xml:space="preserve">2026.8.6</t>
  </si>
  <si>
    <t xml:space="preserve">魏迪早</t>
  </si>
  <si>
    <t xml:space="preserve">郝泽晗晚</t>
  </si>
  <si>
    <t xml:space="preserve">2026.8.7</t>
  </si>
  <si>
    <t xml:space="preserve">2026.8.8</t>
  </si>
  <si>
    <t xml:space="preserve">李寒玉早</t>
  </si>
  <si>
    <t xml:space="preserve">2026.8.9</t>
  </si>
  <si>
    <t xml:space="preserve">2026.8.10</t>
  </si>
  <si>
    <t xml:space="preserve">10:00-14:00</t>
  </si>
  <si>
    <t xml:space="preserve">14:00-18:00</t>
  </si>
  <si>
    <t xml:space="preserve">2026.8.11</t>
  </si>
  <si>
    <t xml:space="preserve">2026.8.12</t>
  </si>
  <si>
    <t xml:space="preserve">15:00-19:00</t>
  </si>
  <si>
    <t xml:space="preserve">19:00-22:00</t>
  </si>
  <si>
    <t xml:space="preserve">2026.8.13</t>
  </si>
  <si>
    <t xml:space="preserve">2026.8.14</t>
  </si>
  <si>
    <t xml:space="preserve">2026.8.15</t>
  </si>
  <si>
    <t xml:space="preserve">2026.8.16</t>
  </si>
  <si>
    <t xml:space="preserve">2026.8.17</t>
  </si>
  <si>
    <t xml:space="preserve">2026.8.18</t>
  </si>
  <si>
    <t xml:space="preserve">2026.8.19</t>
  </si>
  <si>
    <t xml:space="preserve">2026.8.20</t>
  </si>
  <si>
    <t xml:space="preserve">李哲早</t>
  </si>
  <si>
    <t xml:space="preserve">2026.8.21</t>
  </si>
  <si>
    <t xml:space="preserve">2026.8.22</t>
  </si>
  <si>
    <t xml:space="preserve">2026.8.23</t>
  </si>
  <si>
    <t xml:space="preserve">2026.8.24</t>
  </si>
  <si>
    <t xml:space="preserve">2026.8.25</t>
  </si>
  <si>
    <t xml:space="preserve">2026.8.26</t>
  </si>
  <si>
    <t xml:space="preserve">2026.8.27</t>
  </si>
  <si>
    <t xml:space="preserve">2026.8.28</t>
  </si>
  <si>
    <t xml:space="preserve">2026.8.29</t>
  </si>
  <si>
    <t xml:space="preserve">2026.8.30</t>
  </si>
  <si>
    <t xml:space="preserve">2026.8.31</t>
  </si>
  <si>
    <t xml:space="preserve">张嘉懿晚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</si>
  <si>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</si>
  <si>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</si>
  <si>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</si>
  <si>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</si>
  <si>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</si>
  <si>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</si>
  <si>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</si>
  <si>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</si>
  <si>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</si>
  <si>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</si>
  <si>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</si>
  <si>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</si>
  <si>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</si>
  <si>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</si>
  <si>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</si>
  <si>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</si>
  <si>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2026.7.1</t>
  </si>
  <si>
    <t xml:space="preserve">刘慕涵</t>
  </si>
  <si>
    <t xml:space="preserve">06:00-10:00</t>
  </si>
  <si>
    <t xml:space="preserve">谢镇雨</t>
  </si>
  <si>
    <t xml:space="preserve">栗敏纳</t>
  </si>
  <si>
    <t xml:space="preserve">10:00-15:00</t>
  </si>
  <si>
    <t xml:space="preserve">李寒玉早</t>
  </si>
  <si>
    <t xml:space="preserve">郝铭扬</t>
  </si>
  <si>
    <t xml:space="preserve">15:00-18:00</t>
  </si>
  <si>
    <t xml:space="preserve">连贝贝</t>
  </si>
  <si>
    <t xml:space="preserve">18:00-22:00</t>
  </si>
  <si>
    <t xml:space="preserve">张晓薇</t>
  </si>
  <si>
    <t xml:space="preserve">22:00-02:00</t>
  </si>
  <si>
    <t xml:space="preserve">郝泽晗晚</t>
  </si>
  <si>
    <t xml:space="preserve">林智豪</t>
  </si>
  <si>
    <t xml:space="preserve">2026.7.2</t>
  </si>
  <si>
    <t xml:space="preserve">2026.7.3</t>
  </si>
  <si>
    <t xml:space="preserve">10:00-14:00</t>
  </si>
  <si>
    <t xml:space="preserve">14:00-18:00</t>
  </si>
  <si>
    <t xml:space="preserve">2026.7.4</t>
  </si>
  <si>
    <t xml:space="preserve">2026.7.5</t>
  </si>
  <si>
    <t xml:space="preserve">2026.7.6</t>
  </si>
  <si>
    <t xml:space="preserve">2026.7.7</t>
  </si>
  <si>
    <t xml:space="preserve">06:00-11:00</t>
  </si>
  <si>
    <t xml:space="preserve">11:00-16:00</t>
  </si>
  <si>
    <t xml:space="preserve">李哲早</t>
  </si>
  <si>
    <t xml:space="preserve">16:00-21:00</t>
  </si>
  <si>
    <t xml:space="preserve">21:00-02:00</t>
  </si>
  <si>
    <t xml:space="preserve">2026.7.8</t>
  </si>
  <si>
    <t xml:space="preserve">2026.7.9</t>
  </si>
  <si>
    <t xml:space="preserve">2026.7.10</t>
  </si>
  <si>
    <t xml:space="preserve">何彩樱早</t>
  </si>
  <si>
    <t xml:space="preserve">李寒玉晚</t>
  </si>
  <si>
    <t xml:space="preserve">2026.7.11</t>
  </si>
  <si>
    <t xml:space="preserve">郝泽晗早</t>
  </si>
  <si>
    <t xml:space="preserve">2026.7.12</t>
  </si>
  <si>
    <t xml:space="preserve">2026.7.13</t>
  </si>
  <si>
    <t xml:space="preserve">2026.7.14</t>
  </si>
  <si>
    <t xml:space="preserve">2026.7.15</t>
  </si>
  <si>
    <t xml:space="preserve">2026.7.16</t>
  </si>
  <si>
    <t xml:space="preserve">2026.7.17</t>
  </si>
  <si>
    <t xml:space="preserve">2026.7.18</t>
  </si>
  <si>
    <t xml:space="preserve">2026.7.19</t>
  </si>
  <si>
    <t xml:space="preserve">2026.7.20</t>
  </si>
  <si>
    <t xml:space="preserve">2026.7.21</t>
  </si>
  <si>
    <t xml:space="preserve">2026.7.22</t>
  </si>
  <si>
    <t xml:space="preserve">2026.7.23</t>
  </si>
  <si>
    <t xml:space="preserve">2026.7.24</t>
  </si>
  <si>
    <t xml:space="preserve">2026.7.25</t>
  </si>
  <si>
    <t xml:space="preserve">2026.7.26</t>
  </si>
  <si>
    <t xml:space="preserve">2026.7.27</t>
  </si>
  <si>
    <t xml:space="preserve">2026.7.28</t>
  </si>
  <si>
    <t xml:space="preserve">2026.7.29</t>
  </si>
  <si>
    <t xml:space="preserve">魏迪早</t>
  </si>
  <si>
    <t xml:space="preserve">21:00-01:00</t>
  </si>
  <si>
    <t xml:space="preserve">李寒玉</t>
  </si>
  <si>
    <t xml:space="preserve">2026.7.30</t>
  </si>
  <si>
    <t xml:space="preserve">董柯言早</t>
  </si>
  <si>
    <t xml:space="preserve">2026.7.31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</si>
  <si>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</si>
  <si>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</si>
  <si>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</si>
  <si>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</si>
  <si>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</si>
  <si>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</si>
  <si>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</si>
  <si>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</si>
  <si>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</si>
  <si>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</si>
  <si>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</si>
  <si>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</si>
  <si>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</si>
  <si>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</si>
  <si>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</si>
  <si>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</si>
  <si>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2026.6.1</t>
  </si>
  <si>
    <t xml:space="preserve">林育菁</t>
  </si>
  <si>
    <t xml:space="preserve">06:00-11:00</t>
  </si>
  <si>
    <t xml:space="preserve">李哲早</t>
  </si>
  <si>
    <t xml:space="preserve">林智豪</t>
  </si>
  <si>
    <t xml:space="preserve">刘慕涵</t>
  </si>
  <si>
    <t xml:space="preserve">11:00-16:00</t>
  </si>
  <si>
    <t xml:space="preserve">张晓薇</t>
  </si>
  <si>
    <t xml:space="preserve">16:00-21:00</t>
  </si>
  <si>
    <t xml:space="preserve">连贝贝</t>
  </si>
  <si>
    <t xml:space="preserve">21:00-02:00</t>
  </si>
  <si>
    <t xml:space="preserve">郝泽晗晚</t>
  </si>
  <si>
    <t xml:space="preserve">谢镇雨</t>
  </si>
  <si>
    <t xml:space="preserve">2026.6.2</t>
  </si>
  <si>
    <t xml:space="preserve">06:00-10:00</t>
  </si>
  <si>
    <t xml:space="preserve">葛鑫然早</t>
  </si>
  <si>
    <t xml:space="preserve">10:00-14:00</t>
  </si>
  <si>
    <t xml:space="preserve">14:00-18:00</t>
  </si>
  <si>
    <t xml:space="preserve">18:00-22:00</t>
  </si>
  <si>
    <t xml:space="preserve">郝泽晗双</t>
  </si>
  <si>
    <t xml:space="preserve">2026.6.3</t>
  </si>
  <si>
    <t xml:space="preserve">栗敏纳</t>
  </si>
  <si>
    <t xml:space="preserve">2026.6.4</t>
  </si>
  <si>
    <t xml:space="preserve">2026.6.5</t>
  </si>
  <si>
    <t xml:space="preserve">2026.6.6</t>
  </si>
  <si>
    <t xml:space="preserve">李子健双</t>
  </si>
  <si>
    <t xml:space="preserve">李子健晚</t>
  </si>
  <si>
    <t xml:space="preserve">2026.6.7</t>
  </si>
  <si>
    <t xml:space="preserve">李寒玉早</t>
  </si>
  <si>
    <t xml:space="preserve">李寒玉双</t>
  </si>
  <si>
    <t xml:space="preserve">葛鑫然</t>
  </si>
  <si>
    <t xml:space="preserve">2026.6.8</t>
  </si>
  <si>
    <t xml:space="preserve">李哲双</t>
  </si>
  <si>
    <t xml:space="preserve">2026.6.9</t>
  </si>
  <si>
    <t xml:space="preserve">2026.6.10</t>
  </si>
  <si>
    <t xml:space="preserve">2026.6.11</t>
  </si>
  <si>
    <t xml:space="preserve">2026.6.12</t>
  </si>
  <si>
    <t xml:space="preserve">2026.6.13</t>
  </si>
  <si>
    <t xml:space="preserve">2026.6.14</t>
  </si>
  <si>
    <t xml:space="preserve">2026.6.15</t>
  </si>
  <si>
    <t xml:space="preserve">2026.6.16</t>
  </si>
  <si>
    <t xml:space="preserve">魏迪早</t>
  </si>
  <si>
    <t xml:space="preserve">2026.6.17</t>
  </si>
  <si>
    <t xml:space="preserve">张嘉懿晚</t>
  </si>
  <si>
    <t xml:space="preserve">2026.6.18</t>
  </si>
  <si>
    <t xml:space="preserve">2026.6.19</t>
  </si>
  <si>
    <t xml:space="preserve">2026.6.20</t>
  </si>
  <si>
    <t xml:space="preserve">2026.6.21</t>
  </si>
  <si>
    <t xml:space="preserve">郭斯元晚</t>
  </si>
  <si>
    <t xml:space="preserve">2026.6.22</t>
  </si>
  <si>
    <t xml:space="preserve">2026.6.23</t>
  </si>
  <si>
    <t xml:space="preserve">2026.6.24</t>
  </si>
  <si>
    <t xml:space="preserve">21:00-24:00</t>
  </si>
  <si>
    <t xml:space="preserve">郝泽晗</t>
  </si>
  <si>
    <t xml:space="preserve">2026.6.25</t>
  </si>
  <si>
    <t xml:space="preserve">2026.6.26</t>
  </si>
  <si>
    <t xml:space="preserve">11:00-15:00</t>
  </si>
  <si>
    <t xml:space="preserve">郝铭扬</t>
  </si>
  <si>
    <t xml:space="preserve">15:00-17:00</t>
  </si>
  <si>
    <t xml:space="preserve">17:00-21:00</t>
  </si>
  <si>
    <t xml:space="preserve">2026.6.27</t>
  </si>
  <si>
    <t xml:space="preserve">2026.6.28</t>
  </si>
  <si>
    <t xml:space="preserve">2026.6.29</t>
  </si>
  <si>
    <t xml:space="preserve">2026.6.30</t>
  </si>
  <si>
    <t xml:space="preserve">10:00-15:00</t>
  </si>
  <si>
    <t xml:space="preserve">15:00-18:00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</si>
  <si>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</si>
  <si>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</si>
  <si>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</si>
  <si>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</si>
  <si>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</si>
  <si>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</si>
  <si>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</si>
  <si>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</si>
  <si>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</si>
  <si>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</si>
  <si>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</si>
  <si>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</si>
  <si>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</si>
  <si>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</si>
  <si>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</si>
  <si>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</si>
  <si>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2026.5.1</t>
  </si>
  <si>
    <t xml:space="preserve">林育菁</t>
  </si>
  <si>
    <t xml:space="preserve">04:00-9:00</t>
  </si>
  <si>
    <t xml:space="preserve">郝泽晗早</t>
  </si>
  <si>
    <t xml:space="preserve">谢镇雨</t>
  </si>
  <si>
    <t xml:space="preserve">郝旭靓</t>
  </si>
  <si>
    <t xml:space="preserve">9:00-13:00</t>
  </si>
  <si>
    <t xml:space="preserve">刘慕涵</t>
  </si>
  <si>
    <t xml:space="preserve">13:00-17:00</t>
  </si>
  <si>
    <t xml:space="preserve">杜思利</t>
  </si>
  <si>
    <t xml:space="preserve">17:00-21:00</t>
  </si>
  <si>
    <t xml:space="preserve">栗敏纳</t>
  </si>
  <si>
    <t xml:space="preserve">21:00-02:00</t>
  </si>
  <si>
    <t xml:space="preserve">葛鑫然晚</t>
  </si>
  <si>
    <t xml:space="preserve">林智豪</t>
  </si>
  <si>
    <t xml:space="preserve">2026.5.2</t>
  </si>
  <si>
    <t xml:space="preserve">张晓薇</t>
  </si>
  <si>
    <t xml:space="preserve">2026.5.3</t>
  </si>
  <si>
    <t xml:space="preserve">2026.5.4</t>
  </si>
  <si>
    <t xml:space="preserve">04:00-8:00</t>
  </si>
  <si>
    <t xml:space="preserve">郭斯元双</t>
  </si>
  <si>
    <t xml:space="preserve">8:00-12:00</t>
  </si>
  <si>
    <t xml:space="preserve">12:00-16:00</t>
  </si>
  <si>
    <t xml:space="preserve">魏迪双</t>
  </si>
  <si>
    <t xml:space="preserve">16:00-21:00</t>
  </si>
  <si>
    <t xml:space="preserve">2026.5.5</t>
  </si>
  <si>
    <t xml:space="preserve">2026.5.6</t>
  </si>
  <si>
    <t xml:space="preserve">郝泽晗</t>
  </si>
  <si>
    <t xml:space="preserve">2026.5.7</t>
  </si>
  <si>
    <t xml:space="preserve">2026.5.8</t>
  </si>
  <si>
    <t xml:space="preserve">8:00-13:00</t>
  </si>
  <si>
    <t xml:space="preserve">连贝贝</t>
  </si>
  <si>
    <t xml:space="preserve">13:00-16:00</t>
  </si>
  <si>
    <t xml:space="preserve">2026.5.9</t>
  </si>
  <si>
    <t xml:space="preserve">06:00-11:00</t>
  </si>
  <si>
    <t xml:space="preserve">11:00-15:00</t>
  </si>
  <si>
    <t xml:space="preserve">15:00-17:00</t>
  </si>
  <si>
    <t xml:space="preserve">2026.5.10</t>
  </si>
  <si>
    <t xml:space="preserve">2026.5.11</t>
  </si>
  <si>
    <t xml:space="preserve">11:00-16:00</t>
  </si>
  <si>
    <t xml:space="preserve">2026.5.12</t>
  </si>
  <si>
    <t xml:space="preserve">15:00-19:00</t>
  </si>
  <si>
    <t xml:space="preserve">陈梓栩</t>
  </si>
  <si>
    <t xml:space="preserve">19:00-21:00</t>
  </si>
  <si>
    <t xml:space="preserve">2026.5.13</t>
  </si>
  <si>
    <t xml:space="preserve">贾占通晚</t>
  </si>
  <si>
    <t xml:space="preserve">2026.5.14</t>
  </si>
  <si>
    <t xml:space="preserve">6:00-11:00</t>
  </si>
  <si>
    <t xml:space="preserve">11:00-14:00</t>
  </si>
  <si>
    <t xml:space="preserve">14:00-18:00</t>
  </si>
  <si>
    <t xml:space="preserve">18:00-22:00</t>
  </si>
  <si>
    <t xml:space="preserve">22:00-02:00</t>
  </si>
  <si>
    <t xml:space="preserve">2026.5.15</t>
  </si>
  <si>
    <t xml:space="preserve">18:00-21:00</t>
  </si>
  <si>
    <t xml:space="preserve">2026.5.16</t>
  </si>
  <si>
    <t xml:space="preserve">2026.5.17</t>
  </si>
  <si>
    <t xml:space="preserve">6:00-10:00</t>
  </si>
  <si>
    <t xml:space="preserve">10:00-14:00</t>
  </si>
  <si>
    <t xml:space="preserve">2026.5.18</t>
  </si>
  <si>
    <t xml:space="preserve">2026.5.19</t>
  </si>
  <si>
    <t xml:space="preserve">2026.5.20</t>
  </si>
  <si>
    <t xml:space="preserve">陈思钰</t>
  </si>
  <si>
    <t xml:space="preserve">李哲晚</t>
  </si>
  <si>
    <t xml:space="preserve">2026.5.21</t>
  </si>
  <si>
    <t xml:space="preserve">2026.5.22</t>
  </si>
  <si>
    <t xml:space="preserve">2026.5.23</t>
  </si>
  <si>
    <t xml:space="preserve">郭斯元晚</t>
  </si>
  <si>
    <t xml:space="preserve">2026.5.24</t>
  </si>
  <si>
    <t xml:space="preserve">06:00-10:00</t>
  </si>
  <si>
    <t xml:space="preserve">李子健早</t>
  </si>
  <si>
    <t xml:space="preserve">2026.5.25</t>
  </si>
  <si>
    <t xml:space="preserve">贾占通早</t>
  </si>
  <si>
    <t xml:space="preserve">郝泽晗晚</t>
  </si>
  <si>
    <t xml:space="preserve">2026.5.26</t>
  </si>
  <si>
    <t xml:space="preserve">李寒玉早</t>
  </si>
  <si>
    <t xml:space="preserve">2026.5.27</t>
  </si>
  <si>
    <t xml:space="preserve">2026.5.28</t>
  </si>
  <si>
    <t xml:space="preserve">2026.5.29</t>
  </si>
  <si>
    <t xml:space="preserve">董柯言早</t>
  </si>
  <si>
    <t xml:space="preserve">2026.5.30</t>
  </si>
  <si>
    <t xml:space="preserve">2026.5.31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</si>
  <si>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</si>
  <si>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</si>
  <si>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</si>
  <si>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</si>
  <si>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</si>
  <si>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</si>
  <si>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</si>
  <si>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</si>
  <si>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</si>
  <si>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</si>
  <si>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</si>
  <si>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</si>
  <si>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</si>
  <si>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</si>
  <si>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</si>
  <si>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</si>
  <si>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2026.4.01</t>
  </si>
  <si>
    <t xml:space="preserve">王亚倩</t>
  </si>
  <si>
    <t xml:space="preserve">06:00-11:00</t>
  </si>
  <si>
    <t xml:space="preserve">郭斯元双</t>
  </si>
  <si>
    <t xml:space="preserve">林智豪</t>
  </si>
  <si>
    <t xml:space="preserve">于慧</t>
  </si>
  <si>
    <t xml:space="preserve">11:00-16:00</t>
  </si>
  <si>
    <t xml:space="preserve">张晓薇</t>
  </si>
  <si>
    <t xml:space="preserve">16:00-18:00</t>
  </si>
  <si>
    <t xml:space="preserve">林育菁</t>
  </si>
  <si>
    <t xml:space="preserve">18:00-22:00</t>
  </si>
  <si>
    <t xml:space="preserve">郝旭靓</t>
  </si>
  <si>
    <t xml:space="preserve">22:00-02:00</t>
  </si>
  <si>
    <t xml:space="preserve">葛鑫然晚</t>
  </si>
  <si>
    <t xml:space="preserve">谢镇雨</t>
  </si>
  <si>
    <t xml:space="preserve">2026.4.02</t>
  </si>
  <si>
    <t xml:space="preserve">2026.4.03</t>
  </si>
  <si>
    <t xml:space="preserve">06:00-10:00</t>
  </si>
  <si>
    <t xml:space="preserve">10:00-15:00</t>
  </si>
  <si>
    <t xml:space="preserve">15:00-18:00</t>
  </si>
  <si>
    <t xml:space="preserve">刘慕涵</t>
  </si>
  <si>
    <t xml:space="preserve">18:00-21:00</t>
  </si>
  <si>
    <t xml:space="preserve">21:00-02:00</t>
  </si>
  <si>
    <t xml:space="preserve">2026.4.04</t>
  </si>
  <si>
    <t xml:space="preserve">郝泽晗早</t>
  </si>
  <si>
    <t xml:space="preserve">2026.4.05</t>
  </si>
  <si>
    <t xml:space="preserve">11:00-15:00</t>
  </si>
  <si>
    <t xml:space="preserve">2026.4.06</t>
  </si>
  <si>
    <t xml:space="preserve">2026.4.07</t>
  </si>
  <si>
    <t xml:space="preserve">10:00-14:00</t>
  </si>
  <si>
    <t xml:space="preserve">14:00-18:00</t>
  </si>
  <si>
    <t xml:space="preserve">2026.4.08</t>
  </si>
  <si>
    <t xml:space="preserve">2026.4.09</t>
  </si>
  <si>
    <t xml:space="preserve">2026.4.10</t>
  </si>
  <si>
    <t xml:space="preserve">贾占通早</t>
  </si>
  <si>
    <t xml:space="preserve">16:00-21:00</t>
  </si>
  <si>
    <t xml:space="preserve">21:00-01:00</t>
  </si>
  <si>
    <t xml:space="preserve">葛鑫然</t>
  </si>
  <si>
    <t xml:space="preserve">2026.4.11</t>
  </si>
  <si>
    <t xml:space="preserve">2026.4.12</t>
  </si>
  <si>
    <t xml:space="preserve">任子硕双</t>
  </si>
  <si>
    <t xml:space="preserve">2026.4.13</t>
  </si>
  <si>
    <t xml:space="preserve">李哲双</t>
  </si>
  <si>
    <t xml:space="preserve">李哲</t>
  </si>
  <si>
    <t xml:space="preserve">栗敏纳</t>
  </si>
  <si>
    <t xml:space="preserve">2026.4.14</t>
  </si>
  <si>
    <t xml:space="preserve">16:00-19:30</t>
  </si>
  <si>
    <t xml:space="preserve">21:30-02:00</t>
  </si>
  <si>
    <t xml:space="preserve">2026.4.15</t>
  </si>
  <si>
    <t xml:space="preserve">2026.4.16</t>
  </si>
  <si>
    <t xml:space="preserve">董柯言晚</t>
  </si>
  <si>
    <t xml:space="preserve">2026.4.17</t>
  </si>
  <si>
    <t xml:space="preserve">2026.4.18</t>
  </si>
  <si>
    <t xml:space="preserve">2026.4.19</t>
  </si>
  <si>
    <t xml:space="preserve">2026.4.20</t>
  </si>
  <si>
    <t xml:space="preserve">李哲早</t>
  </si>
  <si>
    <t xml:space="preserve">2026.4.21</t>
  </si>
  <si>
    <t xml:space="preserve">郭斯元晚</t>
  </si>
  <si>
    <t xml:space="preserve">2026.4.22</t>
  </si>
  <si>
    <t xml:space="preserve">2026.4.23</t>
  </si>
  <si>
    <t xml:space="preserve">04:00-9:00</t>
  </si>
  <si>
    <t xml:space="preserve">9:00-14:00</t>
  </si>
  <si>
    <t xml:space="preserve">杜思利</t>
  </si>
  <si>
    <t xml:space="preserve">14:00-16:00</t>
  </si>
  <si>
    <t xml:space="preserve">2026.4.24</t>
  </si>
  <si>
    <t xml:space="preserve">9:00-11:00</t>
  </si>
  <si>
    <t xml:space="preserve">2026.4.25</t>
  </si>
  <si>
    <t xml:space="preserve">2026.4.26</t>
  </si>
  <si>
    <t xml:space="preserve">14:00-19:00</t>
  </si>
  <si>
    <t xml:space="preserve">19:00-21:00</t>
  </si>
  <si>
    <t xml:space="preserve">2026.4.27</t>
  </si>
  <si>
    <t xml:space="preserve">04:00-10:00</t>
  </si>
  <si>
    <t xml:space="preserve">2026.4.28</t>
  </si>
  <si>
    <t xml:space="preserve">9:00-13:00</t>
  </si>
  <si>
    <t xml:space="preserve">13:00-17:00</t>
  </si>
  <si>
    <t xml:space="preserve">17:00-21:00</t>
  </si>
  <si>
    <t xml:space="preserve">2026.4.29</t>
  </si>
  <si>
    <t xml:space="preserve">21:00-24:00</t>
  </si>
  <si>
    <t xml:space="preserve">2026.4.30</t>
  </si>
  <si>
    <t xml:space="preserve">17:00-20:00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</si>
  <si>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</si>
  <si>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</si>
  <si>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</si>
  <si>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</si>
  <si>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</si>
  <si>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</si>
  <si>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</si>
  <si>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</si>
  <si>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</si>
  <si>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</si>
  <si>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</si>
  <si>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</si>
  <si>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</si>
  <si>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</si>
  <si>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</si>
  <si>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</si>
  <si>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2026.3.1</t>
  </si>
  <si>
    <t xml:space="preserve">王亚倩</t>
  </si>
  <si>
    <t xml:space="preserve">06:00-11:00</t>
  </si>
  <si>
    <t xml:space="preserve">李寒玉双</t>
  </si>
  <si>
    <t xml:space="preserve">谢镇雨</t>
  </si>
  <si>
    <t xml:space="preserve">林育菁</t>
  </si>
  <si>
    <t xml:space="preserve">11:00-16:00</t>
  </si>
  <si>
    <t xml:space="preserve">代艺旋</t>
  </si>
  <si>
    <t xml:space="preserve">16:00-21:00</t>
  </si>
  <si>
    <t xml:space="preserve">于慧</t>
  </si>
  <si>
    <t xml:space="preserve">21:00-02:00</t>
  </si>
  <si>
    <t xml:space="preserve">郭斯元晚</t>
  </si>
  <si>
    <t xml:space="preserve">林智豪</t>
  </si>
  <si>
    <t xml:space="preserve">2026.3.2</t>
  </si>
  <si>
    <t xml:space="preserve">郭斯元</t>
  </si>
  <si>
    <t xml:space="preserve">任子硕晚</t>
  </si>
  <si>
    <t xml:space="preserve">2026.3.3</t>
  </si>
  <si>
    <t xml:space="preserve">06:00-10:00</t>
  </si>
  <si>
    <t xml:space="preserve">李寒玉早</t>
  </si>
  <si>
    <t xml:space="preserve">郝旭靓</t>
  </si>
  <si>
    <t xml:space="preserve">12:00-16:00</t>
  </si>
  <si>
    <t xml:space="preserve">2026.3.4</t>
  </si>
  <si>
    <t xml:space="preserve">2026.3.5</t>
  </si>
  <si>
    <t xml:space="preserve">刘慕涵</t>
  </si>
  <si>
    <t xml:space="preserve">2026.3.6</t>
  </si>
  <si>
    <t xml:space="preserve">2026.3.7</t>
  </si>
  <si>
    <t xml:space="preserve">2026.3.8</t>
  </si>
  <si>
    <t xml:space="preserve">2026.3.9</t>
  </si>
  <si>
    <t xml:space="preserve">11:00-15:00</t>
  </si>
  <si>
    <t xml:space="preserve">15:00-21:00</t>
  </si>
  <si>
    <t xml:space="preserve">2026.3.10</t>
  </si>
  <si>
    <t xml:space="preserve">2026.3.11</t>
  </si>
  <si>
    <t xml:space="preserve">2026.3.12</t>
  </si>
  <si>
    <t xml:space="preserve">魏迪早</t>
  </si>
  <si>
    <t xml:space="preserve">2026.3.13</t>
  </si>
  <si>
    <t xml:space="preserve">葛鑫然</t>
  </si>
  <si>
    <t xml:space="preserve">2026.3.14</t>
  </si>
  <si>
    <t xml:space="preserve">葛鑫然晚</t>
  </si>
  <si>
    <t xml:space="preserve">2026.3.15</t>
  </si>
  <si>
    <t xml:space="preserve">2026.3.16</t>
  </si>
  <si>
    <t xml:space="preserve">2026.3.17</t>
  </si>
  <si>
    <t xml:space="preserve">2026.3.18</t>
  </si>
  <si>
    <t xml:space="preserve">2026.3.19</t>
  </si>
  <si>
    <t xml:space="preserve">2026.3.20</t>
  </si>
  <si>
    <t xml:space="preserve">2026.3.21</t>
  </si>
  <si>
    <t xml:space="preserve">2026.3.22</t>
  </si>
  <si>
    <t xml:space="preserve">2026.3.23</t>
  </si>
  <si>
    <t xml:space="preserve">2026.3.24</t>
  </si>
  <si>
    <t xml:space="preserve">2026.3.25</t>
  </si>
  <si>
    <t xml:space="preserve">郭斯元双</t>
  </si>
  <si>
    <t xml:space="preserve">2026.3.26</t>
  </si>
  <si>
    <t xml:space="preserve">21:00-01:00</t>
  </si>
  <si>
    <t xml:space="preserve">任子硕</t>
  </si>
  <si>
    <t xml:space="preserve">2026.3.27</t>
  </si>
  <si>
    <t xml:space="preserve">郝泽晗双</t>
  </si>
  <si>
    <t xml:space="preserve">2026.3.28</t>
  </si>
  <si>
    <t xml:space="preserve">2026.3.29</t>
  </si>
  <si>
    <t xml:space="preserve">2026.3.30</t>
  </si>
  <si>
    <t xml:space="preserve">9:00-14:00</t>
  </si>
  <si>
    <t xml:space="preserve">14:00-19:00</t>
  </si>
  <si>
    <t xml:space="preserve">19:00-24:00</t>
  </si>
  <si>
    <t xml:space="preserve">2026.3.31</t>
  </si>
  <si>
    <t xml:space="preserve">孟郁倩</t>
  </si>
  <si>
    <t xml:space="preserve">10:00-15:00</t>
  </si>
  <si>
    <t xml:space="preserve">张晓薇</t>
  </si>
  <si>
    <t xml:space="preserve">15:00-17:00</t>
  </si>
  <si>
    <t xml:space="preserve">17:00-22:00</t>
  </si>
  <si>
    <t xml:space="preserve">22:00-02:00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</si>
  <si>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</si>
  <si>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</si>
  <si>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</si>
  <si>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</si>
  <si>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</si>
  <si>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</si>
  <si>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</si>
  <si>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</si>
  <si>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</si>
  <si>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</si>
  <si>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</si>
  <si>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</si>
  <si>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</si>
  <si>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</si>
  <si>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</si>
  <si>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</si>
  <si>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2026.2.1</t>
  </si>
  <si>
    <t xml:space="preserve">刘慕涵</t>
  </si>
  <si>
    <t xml:space="preserve">08:00-12:00</t>
  </si>
  <si>
    <t xml:space="preserve">李寒玉</t>
  </si>
  <si>
    <t xml:space="preserve">谢镇雨</t>
  </si>
  <si>
    <t xml:space="preserve">王亚倩</t>
  </si>
  <si>
    <t xml:space="preserve">12:00-16:00</t>
  </si>
  <si>
    <t xml:space="preserve">林育菁</t>
  </si>
  <si>
    <t xml:space="preserve">16:00-20:00</t>
  </si>
  <si>
    <t xml:space="preserve">于慧</t>
  </si>
  <si>
    <t xml:space="preserve">20:00-24:00</t>
  </si>
  <si>
    <t xml:space="preserve">郭斯元</t>
  </si>
  <si>
    <t xml:space="preserve">林智豪</t>
  </si>
  <si>
    <t xml:space="preserve">2026.2.2</t>
  </si>
  <si>
    <t xml:space="preserve">代艺旋</t>
  </si>
  <si>
    <t xml:space="preserve">2026.2.3</t>
  </si>
  <si>
    <t xml:space="preserve">07:00-12:00</t>
  </si>
  <si>
    <t xml:space="preserve">郝泽晗</t>
  </si>
  <si>
    <t xml:space="preserve">12:00-17:00</t>
  </si>
  <si>
    <t xml:space="preserve">17:00-21:00</t>
  </si>
  <si>
    <t xml:space="preserve">21:00-01:00</t>
  </si>
  <si>
    <t xml:space="preserve">2026.2.5</t>
  </si>
  <si>
    <t xml:space="preserve">08:00-13:00</t>
  </si>
  <si>
    <t xml:space="preserve">13:00-17:00</t>
  </si>
  <si>
    <t xml:space="preserve">21:00-02:00</t>
  </si>
  <si>
    <t xml:space="preserve">2026.2.6</t>
  </si>
  <si>
    <t xml:space="preserve">20:00-01:00</t>
  </si>
  <si>
    <t xml:space="preserve">2026.2.7</t>
  </si>
  <si>
    <t xml:space="preserve">07:00-11:00</t>
  </si>
  <si>
    <t xml:space="preserve">11:00-16:00</t>
  </si>
  <si>
    <t xml:space="preserve">16:00-21:00</t>
  </si>
  <si>
    <t xml:space="preserve">2026.2.8</t>
  </si>
  <si>
    <t xml:space="preserve">2026.2.9</t>
  </si>
  <si>
    <t xml:space="preserve">21:00-24:00</t>
  </si>
  <si>
    <t xml:space="preserve">2026.2.10</t>
  </si>
  <si>
    <t xml:space="preserve">2026.2.11</t>
  </si>
  <si>
    <t xml:space="preserve">06:00-11:00</t>
  </si>
  <si>
    <t xml:space="preserve">李寒玉早</t>
  </si>
  <si>
    <t xml:space="preserve">郭斯元晚</t>
  </si>
  <si>
    <t xml:space="preserve">2026.2.12</t>
  </si>
  <si>
    <t xml:space="preserve">2026.2.13</t>
  </si>
  <si>
    <t xml:space="preserve">07:00-10:00</t>
  </si>
  <si>
    <t xml:space="preserve">10:00-15:00</t>
  </si>
  <si>
    <t xml:space="preserve">郝旭靓</t>
  </si>
  <si>
    <t xml:space="preserve">15:00-17:00</t>
  </si>
  <si>
    <t xml:space="preserve">2026.2.14</t>
  </si>
  <si>
    <t xml:space="preserve">06:00-10:00</t>
  </si>
  <si>
    <t xml:space="preserve">2026.2.15</t>
  </si>
  <si>
    <t xml:space="preserve">郭斯元（双）</t>
  </si>
  <si>
    <t xml:space="preserve">郝泽晗晚</t>
  </si>
  <si>
    <t xml:space="preserve">2026.2.16</t>
  </si>
  <si>
    <t xml:space="preserve">李哲早</t>
  </si>
  <si>
    <t xml:space="preserve">2026.2.17</t>
  </si>
  <si>
    <t xml:space="preserve">2026.2.18</t>
  </si>
  <si>
    <t xml:space="preserve">杨得草早</t>
  </si>
  <si>
    <t xml:space="preserve">2026.2.19</t>
  </si>
  <si>
    <t xml:space="preserve">2026.2.20</t>
  </si>
  <si>
    <t xml:space="preserve">2026.2.21</t>
  </si>
  <si>
    <t xml:space="preserve">2026.2.22</t>
  </si>
  <si>
    <t xml:space="preserve">2026.2.23</t>
  </si>
  <si>
    <t xml:space="preserve">2026.2.24</t>
  </si>
  <si>
    <t xml:space="preserve">2026.2.25</t>
  </si>
  <si>
    <t xml:space="preserve">2026.2.26</t>
  </si>
  <si>
    <t xml:space="preserve">2026.2.27</t>
  </si>
  <si>
    <t xml:space="preserve">2026.2.28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</si>
  <si>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</si>
  <si>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</si>
  <si>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</si>
  <si>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</si>
  <si>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</si>
  <si>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</si>
  <si>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</si>
  <si>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</si>
  <si>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</si>
  <si>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</si>
  <si>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</si>
  <si>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</si>
  <si>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</si>
  <si>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</si>
  <si>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</si>
  <si>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</si>
  <si>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2026.1.1</t>
  </si>
  <si>
    <t xml:space="preserve">王亚倩</t>
  </si>
  <si>
    <t xml:space="preserve">08:00-12:00</t>
  </si>
  <si>
    <t xml:space="preserve">郝泽晗</t>
  </si>
  <si>
    <t xml:space="preserve">谢镇雨</t>
  </si>
  <si>
    <t xml:space="preserve">代艺旋</t>
  </si>
  <si>
    <t xml:space="preserve">12:00-16:00</t>
  </si>
  <si>
    <t xml:space="preserve">林育菁</t>
  </si>
  <si>
    <t xml:space="preserve">16:00-20:00</t>
  </si>
  <si>
    <t xml:space="preserve">于慧</t>
  </si>
  <si>
    <t xml:space="preserve">20:00-24:00</t>
  </si>
  <si>
    <t xml:space="preserve">郭斯元</t>
  </si>
  <si>
    <t xml:space="preserve">林智豪</t>
  </si>
  <si>
    <t xml:space="preserve">2026.1.2</t>
  </si>
  <si>
    <t xml:space="preserve">2026.1.3</t>
  </si>
  <si>
    <t xml:space="preserve">刘慕涵</t>
  </si>
  <si>
    <t xml:space="preserve">12:00-15:00</t>
  </si>
  <si>
    <t xml:space="preserve">15:00-20:00</t>
  </si>
  <si>
    <t xml:space="preserve">2026.1.4</t>
  </si>
  <si>
    <t xml:space="preserve">郭斯元双</t>
  </si>
  <si>
    <t xml:space="preserve">2026.1.5</t>
  </si>
  <si>
    <t xml:space="preserve">2026.1.6</t>
  </si>
  <si>
    <t xml:space="preserve">2026.1.7</t>
  </si>
  <si>
    <t xml:space="preserve">2026.1.8</t>
  </si>
  <si>
    <t xml:space="preserve">08:00-13:00</t>
  </si>
  <si>
    <t xml:space="preserve">13:00-17:00</t>
  </si>
  <si>
    <t xml:space="preserve">17:00-21:00</t>
  </si>
  <si>
    <t xml:space="preserve">21:00-01:00</t>
  </si>
  <si>
    <t xml:space="preserve">2026.1.9</t>
  </si>
  <si>
    <t xml:space="preserve">2026.1.10</t>
  </si>
  <si>
    <t xml:space="preserve">2026.1.11</t>
  </si>
  <si>
    <t xml:space="preserve">2026.1.12</t>
  </si>
  <si>
    <t xml:space="preserve">2026.1.13</t>
  </si>
  <si>
    <t xml:space="preserve">2026.1.14</t>
  </si>
  <si>
    <t xml:space="preserve">2026.1.15</t>
  </si>
  <si>
    <t xml:space="preserve">2026.1.16</t>
  </si>
  <si>
    <t xml:space="preserve">李子健</t>
  </si>
  <si>
    <t xml:space="preserve">2026.1.17</t>
  </si>
  <si>
    <t xml:space="preserve">2026.1.18</t>
  </si>
  <si>
    <t xml:space="preserve">2026.1.19</t>
  </si>
  <si>
    <t xml:space="preserve">李哲双</t>
  </si>
  <si>
    <t xml:space="preserve">2026.1.20</t>
  </si>
  <si>
    <t xml:space="preserve">2026.1.21</t>
  </si>
  <si>
    <t xml:space="preserve">2026.1.22</t>
  </si>
  <si>
    <t xml:space="preserve">2026.1.23</t>
  </si>
  <si>
    <t xml:space="preserve">2026.1.24</t>
  </si>
  <si>
    <t xml:space="preserve">2026.1.25</t>
  </si>
  <si>
    <t xml:space="preserve">2026.1.26</t>
  </si>
  <si>
    <t xml:space="preserve">2026.1.27</t>
  </si>
  <si>
    <t xml:space="preserve">李寒玉</t>
  </si>
  <si>
    <t xml:space="preserve">2026.1.28</t>
  </si>
  <si>
    <t xml:space="preserve">2026.1.29</t>
  </si>
  <si>
    <t xml:space="preserve">2026.1.30</t>
  </si>
  <si>
    <t xml:space="preserve">2026.1.31</t>
  </si>
  <si>
    <t xml:space="preserve">董柯言双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</si>
  <si>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</si>
  <si>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</si>
  <si>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</si>
  <si>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</si>
  <si>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</si>
  <si>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</si>
  <si>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</si>
  <si>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</si>
  <si>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</si>
  <si>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</si>
  <si>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</si>
  <si>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</si>
  <si>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</si>
  <si>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</si>
  <si>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</si>
  <si>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</si>
  <si>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2025.12.01</t>
  </si>
  <si>
    <t xml:space="preserve">王亚倩</t>
  </si>
  <si>
    <t xml:space="preserve">08:00-13:00</t>
  </si>
  <si>
    <t xml:space="preserve">郭斯元</t>
  </si>
  <si>
    <t xml:space="preserve">林智豪</t>
  </si>
  <si>
    <t xml:space="preserve">林育菁</t>
  </si>
  <si>
    <t xml:space="preserve">13:00-17:00</t>
  </si>
  <si>
    <t xml:space="preserve">代艺旋</t>
  </si>
  <si>
    <t xml:space="preserve">17:00-20:00</t>
  </si>
  <si>
    <t xml:space="preserve">张垚</t>
  </si>
  <si>
    <t xml:space="preserve">20:00-24:00</t>
  </si>
  <si>
    <t xml:space="preserve">郝泽晗</t>
  </si>
  <si>
    <t xml:space="preserve">谢镇雨</t>
  </si>
  <si>
    <t xml:space="preserve">2025.12.02</t>
  </si>
  <si>
    <t xml:space="preserve">王佳鑫</t>
  </si>
  <si>
    <t xml:space="preserve">刘慕涵</t>
  </si>
  <si>
    <t xml:space="preserve">2025.12.03</t>
  </si>
  <si>
    <t xml:space="preserve">李哲</t>
  </si>
  <si>
    <t xml:space="preserve">2025.12.04</t>
  </si>
  <si>
    <t xml:space="preserve">2025.12.05</t>
  </si>
  <si>
    <t xml:space="preserve">08:00-12:00</t>
  </si>
  <si>
    <t xml:space="preserve">12:00-17:00</t>
  </si>
  <si>
    <t xml:space="preserve">李阳</t>
  </si>
  <si>
    <t xml:space="preserve">2025.12.06</t>
  </si>
  <si>
    <t xml:space="preserve">2025.12.07</t>
  </si>
  <si>
    <t xml:space="preserve">08:30-12:00</t>
  </si>
  <si>
    <t xml:space="preserve">郭斯元双</t>
  </si>
  <si>
    <t xml:space="preserve">12:00-16:00</t>
  </si>
  <si>
    <t xml:space="preserve">16:00-20:00</t>
  </si>
  <si>
    <t xml:space="preserve">2025.12.08</t>
  </si>
  <si>
    <t xml:space="preserve">16:00-19:00</t>
  </si>
  <si>
    <t xml:space="preserve">19:00-24:00</t>
  </si>
  <si>
    <t xml:space="preserve">2025.12.09</t>
  </si>
  <si>
    <t xml:space="preserve">2025.12.10</t>
  </si>
  <si>
    <t xml:space="preserve">2025.12.11</t>
  </si>
  <si>
    <t xml:space="preserve">2025.12.12</t>
  </si>
  <si>
    <t xml:space="preserve">任子硕</t>
  </si>
  <si>
    <t xml:space="preserve">2025.12.13</t>
  </si>
  <si>
    <t xml:space="preserve">2025.12.14</t>
  </si>
  <si>
    <t xml:space="preserve">16:00-17:00/19:00-22:00</t>
  </si>
  <si>
    <t xml:space="preserve">22:00-02:00</t>
  </si>
  <si>
    <t xml:space="preserve">2025.12.15</t>
  </si>
  <si>
    <t xml:space="preserve">2025.12.16</t>
  </si>
  <si>
    <t xml:space="preserve">2025.12.17</t>
  </si>
  <si>
    <t xml:space="preserve">于慧</t>
  </si>
  <si>
    <t xml:space="preserve">2025.12.18</t>
  </si>
  <si>
    <t xml:space="preserve">2025.12.19</t>
  </si>
  <si>
    <t xml:space="preserve">2025.12.20</t>
  </si>
  <si>
    <t xml:space="preserve">2025.12.21</t>
  </si>
  <si>
    <t xml:space="preserve">2025.12.22</t>
  </si>
  <si>
    <t xml:space="preserve">2025.12.23</t>
  </si>
  <si>
    <t xml:space="preserve">2025.12.24</t>
  </si>
  <si>
    <t xml:space="preserve">2025.12.25</t>
  </si>
  <si>
    <t xml:space="preserve">2025.12.26</t>
  </si>
  <si>
    <t xml:space="preserve">陈思钰双</t>
  </si>
  <si>
    <t xml:space="preserve">2025.12.27</t>
  </si>
  <si>
    <t xml:space="preserve">2025.12.28</t>
  </si>
  <si>
    <t xml:space="preserve">2025.12.29</t>
  </si>
  <si>
    <t xml:space="preserve">2025.12.31</t>
  </si>
  <si>
    <t xml:space="preserve">10:00-14:00</t>
  </si>
  <si>
    <t xml:space="preserve">14:00-18:00</t>
  </si>
  <si>
    <t xml:space="preserve">18:00-22:00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</si>
  <si>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</si>
  <si>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</si>
  <si>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</si>
  <si>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</si>
  <si>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</si>
  <si>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</si>
  <si>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</si>
  <si>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</si>
  <si>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</si>
  <si>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</si>
  <si>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</si>
  <si>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</si>
  <si>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</si>
  <si>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</si>
  <si>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</si>
  <si>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</si>
  <si>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</si>
  <si>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2025.11.01</t>
  </si>
  <si>
    <t xml:space="preserve">孟郁倩</t>
  </si>
  <si>
    <t xml:space="preserve">10:00-15:00</t>
  </si>
  <si>
    <t xml:space="preserve">任子硕双</t>
  </si>
  <si>
    <t xml:space="preserve">林育菁</t>
  </si>
  <si>
    <t xml:space="preserve">15:00-20:00</t>
  </si>
  <si>
    <t xml:space="preserve">刘慕涵</t>
  </si>
  <si>
    <t xml:space="preserve">20:00-24:00</t>
  </si>
  <si>
    <t xml:space="preserve">张滋怡</t>
  </si>
  <si>
    <t xml:space="preserve">谢镇雨</t>
  </si>
  <si>
    <t xml:space="preserve">2025.11.02</t>
  </si>
  <si>
    <t xml:space="preserve">09:00-14:00</t>
  </si>
  <si>
    <t xml:space="preserve">14:00-19:00</t>
  </si>
  <si>
    <t xml:space="preserve">19:00-24:00</t>
  </si>
  <si>
    <t xml:space="preserve">杨得草</t>
  </si>
  <si>
    <t xml:space="preserve">2025.11.03</t>
  </si>
  <si>
    <t xml:space="preserve">2025.11.04</t>
  </si>
  <si>
    <t xml:space="preserve">陈思钰</t>
  </si>
  <si>
    <t xml:space="preserve">李哲双</t>
  </si>
  <si>
    <t xml:space="preserve">2025.11.05</t>
  </si>
  <si>
    <t xml:space="preserve">2025.11.06</t>
  </si>
  <si>
    <t xml:space="preserve">07:00-12:00</t>
  </si>
  <si>
    <t xml:space="preserve">王亚倩</t>
  </si>
  <si>
    <t xml:space="preserve">12:00-16:00</t>
  </si>
  <si>
    <t xml:space="preserve">16:00-20:00</t>
  </si>
  <si>
    <t xml:space="preserve">20:00-01:00</t>
  </si>
  <si>
    <t xml:space="preserve">2025.11.07</t>
  </si>
  <si>
    <t xml:space="preserve">2025.11.08</t>
  </si>
  <si>
    <t xml:space="preserve">16:00-21:00</t>
  </si>
  <si>
    <t xml:space="preserve">21:00-01:00</t>
  </si>
  <si>
    <t xml:space="preserve">2025.11.09</t>
  </si>
  <si>
    <t xml:space="preserve">07:00-11:00</t>
  </si>
  <si>
    <t xml:space="preserve">陈思钰双</t>
  </si>
  <si>
    <t xml:space="preserve">张垚</t>
  </si>
  <si>
    <t xml:space="preserve">11:00-13:00</t>
  </si>
  <si>
    <t xml:space="preserve">13:00-17:00</t>
  </si>
  <si>
    <t xml:space="preserve">17:00-21:00</t>
  </si>
  <si>
    <t xml:space="preserve">李哲</t>
  </si>
  <si>
    <t xml:space="preserve">2025.11.10</t>
  </si>
  <si>
    <t xml:space="preserve">郭斯元双</t>
  </si>
  <si>
    <t xml:space="preserve">2025.11.11</t>
  </si>
  <si>
    <t xml:space="preserve">07:00-11:00（7:20-9:16断播）</t>
  </si>
  <si>
    <t xml:space="preserve">任子硕</t>
  </si>
  <si>
    <t xml:space="preserve">2025.11.12</t>
  </si>
  <si>
    <t xml:space="preserve">11:00-16:00</t>
  </si>
  <si>
    <t xml:space="preserve">郭斯元</t>
  </si>
  <si>
    <t xml:space="preserve">2025.11.13</t>
  </si>
  <si>
    <t xml:space="preserve">9:00-11:00</t>
  </si>
  <si>
    <t xml:space="preserve">2025.11.14</t>
  </si>
  <si>
    <t xml:space="preserve">7:00-11:00</t>
  </si>
  <si>
    <t xml:space="preserve">2025.11.15</t>
  </si>
  <si>
    <t xml:space="preserve">11:00-15:00</t>
  </si>
  <si>
    <t xml:space="preserve">2025.11.16</t>
  </si>
  <si>
    <t xml:space="preserve">段弼瑞</t>
  </si>
  <si>
    <t xml:space="preserve">12:00-17:00</t>
  </si>
  <si>
    <t xml:space="preserve">2025.11.17</t>
  </si>
  <si>
    <t xml:space="preserve">15:00-17:00</t>
  </si>
  <si>
    <t xml:space="preserve">2025.11.18</t>
  </si>
  <si>
    <t xml:space="preserve">2025.11.19</t>
  </si>
  <si>
    <t xml:space="preserve">郝泽晗</t>
  </si>
  <si>
    <t xml:space="preserve">2025.11.20</t>
  </si>
  <si>
    <t xml:space="preserve">2025.11.21</t>
  </si>
  <si>
    <t xml:space="preserve">010:00-12:00</t>
  </si>
  <si>
    <t xml:space="preserve">2025.11.22</t>
  </si>
  <si>
    <t xml:space="preserve">2025.11.23</t>
  </si>
  <si>
    <t xml:space="preserve">2025.11.24</t>
  </si>
  <si>
    <t xml:space="preserve">2025.11.25</t>
  </si>
  <si>
    <t xml:space="preserve">2025.11.26</t>
  </si>
  <si>
    <t xml:space="preserve">2025.11.27</t>
  </si>
  <si>
    <t xml:space="preserve">08:00-12:00</t>
  </si>
  <si>
    <t xml:space="preserve">代艺璇</t>
  </si>
  <si>
    <t xml:space="preserve">12:00-15:00</t>
  </si>
  <si>
    <t xml:space="preserve">2025.11.28</t>
  </si>
  <si>
    <t xml:space="preserve">08:00-13:00</t>
  </si>
  <si>
    <t xml:space="preserve">17:00-20:00</t>
  </si>
  <si>
    <t xml:space="preserve">2025.11.29</t>
  </si>
  <si>
    <t xml:space="preserve">2025.11.30</t>
  </si>
  <si>
    <t xml:space="preserve">林智豪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</si>
  <si>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</si>
  <si>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</si>
  <si>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</si>
  <si>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</si>
  <si>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</si>
  <si>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纯投放保单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</si>
  <si>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</si>
  <si>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</si>
  <si>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</si>
  <si>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</si>
  <si>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</si>
  <si>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</si>
  <si>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</si>
  <si>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</si>
  <si>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</si>
  <si>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</si>
  <si>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</si>
  <si>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2025.10.24</t>
  </si>
  <si>
    <t xml:space="preserve">孟郁倩</t>
  </si>
  <si>
    <t xml:space="preserve">17:00-21:00</t>
  </si>
  <si>
    <t xml:space="preserve">林育菁</t>
  </si>
  <si>
    <t xml:space="preserve">21:00-01:00</t>
  </si>
  <si>
    <t xml:space="preserve">任子硕</t>
  </si>
  <si>
    <t xml:space="preserve">谢镇雨</t>
  </si>
  <si>
    <t xml:space="preserve">2025.10.25</t>
  </si>
  <si>
    <t xml:space="preserve">刘慕涵</t>
  </si>
  <si>
    <t xml:space="preserve">2025.10.26</t>
  </si>
  <si>
    <t xml:space="preserve">2025.10.27</t>
  </si>
  <si>
    <t xml:space="preserve">09:00-14:00</t>
  </si>
  <si>
    <t xml:space="preserve">李哲双</t>
  </si>
  <si>
    <t xml:space="preserve">14:00-19:00</t>
  </si>
  <si>
    <t xml:space="preserve">19:00-24:00</t>
  </si>
  <si>
    <t xml:space="preserve">2025.10.28</t>
  </si>
  <si>
    <t xml:space="preserve">燕青尧</t>
  </si>
  <si>
    <t xml:space="preserve">2025.10.29</t>
  </si>
  <si>
    <t xml:space="preserve">8:00-12:00</t>
  </si>
  <si>
    <t xml:space="preserve">12:00-16:00</t>
  </si>
  <si>
    <t xml:space="preserve">16:00-20:00</t>
  </si>
  <si>
    <t xml:space="preserve">王硕硕</t>
  </si>
  <si>
    <t xml:space="preserve">20:00-24:00</t>
  </si>
  <si>
    <t xml:space="preserve">郭斯元</t>
  </si>
  <si>
    <t xml:space="preserve">2025.10.30</t>
  </si>
  <si>
    <t xml:space="preserve">7:00-12:00</t>
  </si>
  <si>
    <t xml:space="preserve">20:00-01:00</t>
  </si>
  <si>
    <t xml:space="preserve">2025.10.31</t>
  </si>
  <si>
    <t xml:space="preserve">10:00-15:00</t>
  </si>
  <si>
    <t xml:space="preserve">任子硕双</t>
  </si>
  <si>
    <t xml:space="preserve">15:00-20:00</t>
  </si>
  <si>
    <t xml:space="preserve">张滋怡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</si>
  <si>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</si>
  <si>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</si>
  <si>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</si>
  <si>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</si>
  <si>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</si>
  <si>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</si>
  <si>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</si>
  <si>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</si>
  <si>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</si>
  <si>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</si>
  <si>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</si>
  <si>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</si>
  <si>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</si>
  <si>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</si>
  <si>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</si>
  <si>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</si>
  <si>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</si>
  <si>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</si>
  <si>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</si>
  <si>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</si>
  <si>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</si>
  <si>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</si>
  <si>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</si>
  <si>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</si>
  <si>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</si>
  <si>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</si>
  <si>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</si>
  <si>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</si>
  <si>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</si>
  <si>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</si>
  <si>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</si>
  <si>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</si>
  <si>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腾讯微保家庭医疗险2026/10/1</t>
  </si>
  <si>
    <t xml:space="preserve">6:00-7:00</t>
  </si>
  <si>
    <t xml:space="preserve">李莹</t>
  </si>
  <si>
    <t xml:space="preserve">视频户</t>
  </si>
  <si>
    <t xml:space="preserve">林智豪</t>
  </si>
  <si>
    <t xml:space="preserve">直投户</t>
  </si>
  <si>
    <t xml:space="preserve">贾占通</t>
  </si>
  <si>
    <t xml:space="preserve">智擎</t>
  </si>
  <si>
    <t xml:space="preserve">7:00-8:00</t>
  </si>
  <si>
    <t xml:space="preserve">8:00-9:00</t>
  </si>
  <si>
    <t xml:space="preserve">9:00-10:00</t>
  </si>
  <si>
    <t xml:space="preserve">10:00-11:00</t>
  </si>
  <si>
    <t xml:space="preserve">连贝贝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</si>
  <si>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</si>
  <si>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</si>
  <si>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</si>
  <si>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</si>
  <si>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张晓薇</t>
  </si>
  <si>
    <t xml:space="preserve">15:00-16:00</t>
  </si>
  <si>
    <t xml:space="preserve">腾讯微保家庭医疗险2026/10/2</t>
  </si>
  <si>
    <t xml:space="preserve">栗敏纳</t>
  </si>
  <si>
    <t xml:space="preserve">腾讯微保家庭医疗险2026/10/3</t>
  </si>
  <si>
    <t xml:space="preserve">腾讯微保家庭医疗险2026/10/4</t>
  </si>
  <si>
    <t xml:space="preserve">郝铭扬</t>
  </si>
  <si>
    <t xml:space="preserve">腾讯微保家庭医疗险2026/10/5</t>
  </si>
  <si>
    <t xml:space="preserve">腾讯微保家庭医疗险2026/10/6</t>
  </si>
  <si>
    <t xml:space="preserve">刘慕涵</t>
  </si>
  <si>
    <t xml:space="preserve">腾讯微保家庭医疗险2026/10/7</t>
  </si>
  <si>
    <t xml:space="preserve">李芳</t>
  </si>
  <si>
    <t xml:space="preserve">腾讯微保家庭医疗险2026/10/8</t>
  </si>
  <si>
    <t xml:space="preserve">腾讯微保家庭医疗险2026/10/9</t>
  </si>
  <si>
    <t xml:space="preserve">腾讯微保家庭医疗险2026/10/10</t>
  </si>
  <si>
    <t xml:space="preserve">张嘉懿</t>
  </si>
  <si>
    <t xml:space="preserve">腾讯微保家庭医疗险2026/10/11</t>
  </si>
  <si>
    <t xml:space="preserve">郝泽晗</t>
  </si>
  <si>
    <t xml:space="preserve">陈浏铭</t>
  </si>
  <si>
    <t xml:space="preserve">王悦暄</t>
  </si>
  <si>
    <t xml:space="preserve">腾讯微保家庭医疗险2026/10/12</t>
  </si>
  <si>
    <t xml:space="preserve">腾讯微保家庭医疗险2026/10/13</t>
  </si>
  <si>
    <t xml:space="preserve">腾讯微保家庭医疗险2026/10/14</t>
  </si>
  <si>
    <t xml:space="preserve">腾讯微保家庭医疗险2026/10/15</t>
  </si>
  <si>
    <t xml:space="preserve">李寒玉</t>
  </si>
  <si>
    <t xml:space="preserve">腾讯微保家庭医疗险2026/10/16</t>
  </si>
  <si>
    <t xml:space="preserve">腾讯微保家庭医疗险2026/10/17</t>
  </si>
  <si>
    <t xml:space="preserve">腾讯微保家庭医疗险2026/10/18</t>
  </si>
  <si>
    <t xml:space="preserve">腾讯微保家庭医疗险2026/10/19</t>
  </si>
  <si>
    <t xml:space="preserve">微保三十月份截止到四点数据</t>
  </si>
  <si>
    <t xml:space="preserve">日期</t>
  </si>
  <si>
    <t xml:space="preserve">保单</t>
  </si>
  <si>
    <t xml:space="preserve">保费</t>
  </si>
  <si>
    <t xml:space="preserve"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</si>
</sst>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1">
    <numFmt numFmtId="164" formatCode="0.00_);[Red](0.00)"/>
    <numFmt numFmtId="165" formatCode="@"/>
    <numFmt numFmtId="166" formatCode="0.00"/>
    <numFmt numFmtId="167" formatCode="0.00_);(0.00)"/>
    <numFmt numFmtId="168" formatCode="0.00_);[Red](0.00)"/>
    <numFmt numFmtId="169" formatCode="@"/>
    <numFmt numFmtId="170" formatCode="0.00"/>
    <numFmt numFmtId="171" formatCode="0.00_);(0.00)"/>
    <numFmt numFmtId="172" formatCode="0.00_);[Red](0.00)"/>
    <numFmt numFmtId="173" formatCode="@"/>
    <numFmt numFmtId="174" formatCode="0.00"/>
    <numFmt numFmtId="175" formatCode="0.00_);(0.00)"/>
    <numFmt numFmtId="176" formatCode="0.00_);[Red](0.00)"/>
    <numFmt numFmtId="177" formatCode="@"/>
    <numFmt numFmtId="178" formatCode="0.00"/>
    <numFmt numFmtId="179" formatCode="0.00_);(0.00)"/>
    <numFmt numFmtId="180" formatCode="0.000"/>
    <numFmt numFmtId="181" formatCode="0.0000"/>
    <numFmt numFmtId="182" formatCode="0.00_);[Red](0.00)"/>
    <numFmt numFmtId="183" formatCode="@"/>
    <numFmt numFmtId="184" formatCode="0.00"/>
    <numFmt numFmtId="185" formatCode="0.00_);(0.00)"/>
    <numFmt numFmtId="186" formatCode="0"/>
    <numFmt numFmtId="187" formatCode="0.00_);[Red](0.00)"/>
    <numFmt numFmtId="188" formatCode="@"/>
    <numFmt numFmtId="189" formatCode="0.00"/>
    <numFmt numFmtId="190" formatCode="0.00_);(0.00)"/>
    <numFmt numFmtId="191" formatCode="0.00_);[Red](0.00)"/>
    <numFmt numFmtId="192" formatCode="@"/>
    <numFmt numFmtId="193" formatCode="0.00"/>
    <numFmt numFmtId="194" formatCode="0.00_);(0.00)"/>
    <numFmt numFmtId="195" formatCode="0.000"/>
    <numFmt numFmtId="196" formatCode="0.00_);[Red](0.00)"/>
    <numFmt numFmtId="197" formatCode="@"/>
    <numFmt numFmtId="198" formatCode="0.00"/>
    <numFmt numFmtId="199" formatCode="0.00_);(0.00)"/>
    <numFmt numFmtId="200" formatCode="0.00_);[Red](0.00)"/>
    <numFmt numFmtId="201" formatCode="@"/>
    <numFmt numFmtId="202" formatCode="0.00"/>
    <numFmt numFmtId="203" formatCode="0.00_);[Red](0.00)"/>
    <numFmt numFmtId="204" formatCode="@"/>
    <numFmt numFmtId="205" formatCode="0.00"/>
    <numFmt numFmtId="206" formatCode="0.00_);(0.00)"/>
    <numFmt numFmtId="207" formatCode="0.00_);[Red](0.00)"/>
    <numFmt numFmtId="208" formatCode="@"/>
    <numFmt numFmtId="209" formatCode="0.00"/>
    <numFmt numFmtId="210" formatCode="0.00_);(0.00)"/>
    <numFmt numFmtId="211" formatCode="yyyy/m/d"/>
    <numFmt numFmtId="212" formatCode="0.00_);[Red](0.00)"/>
    <numFmt numFmtId="213" formatCode="@"/>
    <numFmt numFmtId="214" formatCode="0.00"/>
    <numFmt numFmtId="215" formatCode="0.00_);[Red](0.00)"/>
    <numFmt numFmtId="216" formatCode="@"/>
    <numFmt numFmtId="217" formatCode="0.00"/>
    <numFmt numFmtId="218" formatCode="0.00%"/>
    <numFmt numFmtId="219" formatCode="0.00_);(0.00)"/>
    <numFmt numFmtId="220" formatCode="0.0_);(0.0)"/>
    <numFmt numFmtId="221" formatCode="0.00"/>
    <numFmt numFmtId="222" formatCode="0%"/>
    <numFmt numFmtId="223" formatCode="0"/>
    <numFmt numFmtId="224" formatCode="m月d日"/>
  </numFmts>
  <fonts count="17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0"/>
      <color rgb="FFC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1"/>
      <color rgb="FF8F959E"/>
      <name val="Calibri"/>
      <family val="2"/>
      <scheme val="minor"/>
    </font>
    <font>
      <sz val="14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8"/>
      <color rgb="FF333333"/>
      <name val="Calibri"/>
      <family val="2"/>
      <scheme val="minor"/>
    </font>
    <font>
      <sz val="18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4"/>
      <color rgb="FF333333"/>
      <name val="Calibri"/>
      <family val="2"/>
      <scheme val="minor"/>
    </font>
    <font>
      <sz val="18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</fonts>
  <fills count="3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5F6F7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FF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FF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F258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</fills>
  <borders count="5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9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true" applyProtection="false" borderId="1" fillId="2" fontId="1" numFmtId="164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false" applyFont="true" applyNumberFormat="true" applyProtection="false" borderId="3" fillId="0" fontId="2" numFmtId="165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false" applyFont="true" applyNumberFormat="true" applyProtection="false" borderId="3" fillId="0" fontId="2" numFmtId="166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true" applyFont="true" applyNumberFormat="false" applyProtection="false" borderId="3" fillId="3" fontId="4" numFmtId="0" xfId="0">
      <alignment horizontal="center" vertical="center" wrapText="true"/>
    </xf>
    <xf applyAlignment="true" applyBorder="false" applyFill="true" applyFont="true" applyNumberFormat="false" applyProtection="false" borderId="3" fillId="3" fontId="2" numFmtId="0" xfId="0">
      <alignment horizontal="center" vertical="center" wrapText="true"/>
    </xf>
    <xf applyAlignment="true" applyBorder="false" applyFill="true" applyFont="true" applyNumberFormat="false" applyProtection="false" borderId="3" fillId="3" fontId="5" numFmtId="0" xfId="0">
      <alignment horizontal="center" vertical="center" wrapText="true"/>
    </xf>
    <xf applyAlignment="true" applyBorder="false" applyFill="true" applyFont="true" applyNumberFormat="true" applyProtection="false" borderId="3" fillId="3" fontId="5" numFmtId="166" xfId="0">
      <alignment horizontal="center" vertical="center" wrapText="true"/>
    </xf>
    <xf applyAlignment="true" applyBorder="false" applyFill="true" applyFont="true" applyNumberFormat="false" applyProtection="false" borderId="5" fillId="3" fontId="6" numFmtId="0" xfId="0">
      <alignment horizontal="center" vertical="center"/>
    </xf>
    <xf applyAlignment="true" applyBorder="false" applyFill="true" applyFont="true" applyNumberFormat="false" applyProtection="false" borderId="1" fillId="3" fontId="6" numFmtId="0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false" applyFont="true" applyNumberFormat="true" applyProtection="false" borderId="3" fillId="0" fontId="2" numFmtId="167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true" applyFont="true" applyNumberFormat="false" applyProtection="false" borderId="6" fillId="4" fontId="1" numFmtId="0" xfId="0">
      <alignment horizontal="center" vertical="center" wrapText="true"/>
    </xf>
    <xf applyAlignment="true" applyBorder="false" applyFill="true" applyFont="true" applyNumberFormat="false" applyProtection="false" borderId="6" fillId="4" fontId="1" numFmtId="0" xfId="0">
      <alignment horizontal="center" vertical="center" wrapText="true"/>
    </xf>
    <xf applyAlignment="true" applyBorder="false" applyFill="true" applyFont="true" applyNumberFormat="true" applyProtection="false" borderId="6" fillId="4" fontId="1" numFmtId="168" xfId="0">
      <alignment horizontal="center" vertical="center" wrapText="true"/>
    </xf>
    <xf applyAlignment="true" applyBorder="false" applyFill="true" applyFont="true" applyNumberFormat="false" applyProtection="false" borderId="6" fillId="4" fontId="1" numFmtId="0" xfId="0">
      <alignment horizontal="center" vertical="center"/>
    </xf>
    <xf applyAlignment="true" applyBorder="false" applyFill="true" applyFont="true" applyNumberFormat="false" applyProtection="false" borderId="7" fillId="4" fontId="1" numFmtId="0" xfId="0">
      <alignment horizontal="center" vertical="center"/>
    </xf>
    <xf applyAlignment="true" applyBorder="false" applyFill="false" applyFont="true" applyNumberFormat="true" applyProtection="false" borderId="8" fillId="0" fontId="2" numFmtId="169" xfId="0">
      <alignment horizontal="center" vertical="center" wrapText="true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 wrapText="true"/>
    </xf>
    <xf applyAlignment="true" applyBorder="false" applyFill="false" applyFont="true" applyNumberFormat="true" applyProtection="false" borderId="6" fillId="0" fontId="2" numFmtId="170" xfId="0">
      <alignment horizontal="center" vertical="center"/>
    </xf>
    <xf applyAlignment="true" applyBorder="false" applyFill="false" applyFont="true" applyNumberFormat="true" applyProtection="false" borderId="8" fillId="0" fontId="2" numFmtId="170" xfId="0">
      <alignment horizontal="center" vertical="center" wrapText="true"/>
    </xf>
    <xf applyAlignment="true" applyBorder="false" applyFill="false" applyFont="true" applyNumberFormat="false" applyProtection="false" borderId="9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3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true" applyFont="true" applyNumberFormat="false" applyProtection="false" borderId="8" fillId="5" fontId="4" numFmtId="0" xfId="0">
      <alignment horizontal="center" vertical="center" wrapText="true"/>
    </xf>
    <xf applyAlignment="true" applyBorder="false" applyFill="true" applyFont="true" applyNumberFormat="false" applyProtection="false" borderId="8" fillId="5" fontId="2" numFmtId="0" xfId="0">
      <alignment horizontal="center" vertical="center" wrapText="true"/>
    </xf>
    <xf applyAlignment="true" applyBorder="false" applyFill="true" applyFont="true" applyNumberFormat="false" applyProtection="false" borderId="8" fillId="5" fontId="5" numFmtId="0" xfId="0">
      <alignment horizontal="center" vertical="center" wrapText="true"/>
    </xf>
    <xf applyAlignment="true" applyBorder="false" applyFill="true" applyFont="true" applyNumberFormat="true" applyProtection="false" borderId="8" fillId="5" fontId="5" numFmtId="171" xfId="0">
      <alignment horizontal="center" vertical="center" wrapText="true"/>
    </xf>
    <xf applyAlignment="true" applyBorder="false" applyFill="true" applyFont="true" applyNumberFormat="true" applyProtection="false" borderId="8" fillId="5" fontId="5" numFmtId="170" xfId="0">
      <alignment horizontal="center" vertical="center" wrapText="true"/>
    </xf>
    <xf applyAlignment="true" applyBorder="false" applyFill="true" applyFont="true" applyNumberFormat="false" applyProtection="false" borderId="9" fillId="5" fontId="5" numFmtId="0" xfId="0">
      <alignment horizontal="center" vertical="center"/>
    </xf>
    <xf applyAlignment="true" applyBorder="false" applyFill="true" applyFont="true" applyNumberFormat="false" applyProtection="false" borderId="10" fillId="5" fontId="6" numFmtId="0" xfId="0">
      <alignment horizontal="center" vertical="center"/>
    </xf>
    <xf applyAlignment="true" applyBorder="false" applyFill="true" applyFont="true" applyNumberFormat="false" applyProtection="false" borderId="6" fillId="5" fontId="5" numFmtId="0" xfId="0">
      <alignment horizontal="center" vertical="center"/>
    </xf>
    <xf applyAlignment="true" applyBorder="false" applyFill="true" applyFont="true" applyNumberFormat="false" applyProtection="false" borderId="6" fillId="5" fontId="6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3" numFmtId="170" xfId="0">
      <alignment vertical="center"/>
    </xf>
    <xf applyAlignment="true" applyBorder="false" applyFill="false" applyFont="true" applyNumberFormat="true" applyProtection="false" borderId="0" fillId="0" fontId="3" numFmtId="171" xfId="0">
      <alignment vertical="center"/>
    </xf>
    <xf applyAlignment="true" applyBorder="false" applyFill="true" applyFont="true" applyNumberFormat="false" applyProtection="false" borderId="11" fillId="6" fontId="1" numFmtId="0" xfId="0">
      <alignment horizontal="center" vertical="center" wrapText="true"/>
    </xf>
    <xf applyAlignment="true" applyBorder="false" applyFill="true" applyFont="true" applyNumberFormat="false" applyProtection="false" borderId="11" fillId="6" fontId="1" numFmtId="0" xfId="0">
      <alignment horizontal="center" vertical="center" wrapText="true"/>
    </xf>
    <xf applyAlignment="true" applyBorder="false" applyFill="true" applyFont="true" applyNumberFormat="true" applyProtection="false" borderId="11" fillId="6" fontId="1" numFmtId="172" xfId="0">
      <alignment horizontal="center" vertical="center" wrapText="true"/>
    </xf>
    <xf applyAlignment="true" applyBorder="false" applyFill="true" applyFont="true" applyNumberFormat="false" applyProtection="false" borderId="11" fillId="6" fontId="1" numFmtId="0" xfId="0">
      <alignment horizontal="center" vertical="center"/>
    </xf>
    <xf applyAlignment="true" applyBorder="false" applyFill="true" applyFont="true" applyNumberFormat="false" applyProtection="false" borderId="12" fillId="6" fontId="1" numFmtId="0" xfId="0">
      <alignment horizontal="center" vertical="center"/>
    </xf>
    <xf applyAlignment="true" applyBorder="false" applyFill="false" applyFont="true" applyNumberFormat="true" applyProtection="false" borderId="13" fillId="0" fontId="2" numFmtId="173" xfId="0">
      <alignment horizontal="center" vertical="center" wrapText="true"/>
    </xf>
    <xf applyAlignment="true" applyBorder="false" applyFill="false" applyFont="true" applyNumberFormat="false" applyProtection="false" borderId="13" fillId="0" fontId="2" numFmtId="0" xfId="0">
      <alignment horizontal="center" vertical="center" wrapText="true"/>
    </xf>
    <xf applyAlignment="true" applyBorder="false" applyFill="false" applyFont="true" applyNumberFormat="false" applyProtection="false" borderId="13" fillId="0" fontId="2" numFmtId="0" xfId="0">
      <alignment horizontal="center" vertical="center" wrapText="true"/>
    </xf>
    <xf applyAlignment="true" applyBorder="false" applyFill="false" applyFont="true" applyNumberFormat="true" applyProtection="false" borderId="11" fillId="0" fontId="2" numFmtId="174" xfId="0">
      <alignment horizontal="center" vertical="center"/>
    </xf>
    <xf applyAlignment="true" applyBorder="false" applyFill="false" applyFont="true" applyNumberFormat="true" applyProtection="false" borderId="13" fillId="0" fontId="2" numFmtId="174" xfId="0">
      <alignment horizontal="center" vertical="center" wrapText="true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false" applyProtection="false" borderId="15" fillId="0" fontId="3" numFmtId="0" xfId="0">
      <alignment horizontal="center" vertical="center"/>
    </xf>
    <xf applyAlignment="true" applyBorder="false" applyFill="false" applyFont="true" applyNumberFormat="false" applyProtection="false" borderId="11" fillId="0" fontId="3" numFmtId="0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true" applyFont="true" applyNumberFormat="false" applyProtection="false" borderId="13" fillId="7" fontId="4" numFmtId="0" xfId="0">
      <alignment horizontal="center" vertical="center" wrapText="true"/>
    </xf>
    <xf applyAlignment="true" applyBorder="false" applyFill="true" applyFont="true" applyNumberFormat="false" applyProtection="false" borderId="13" fillId="7" fontId="2" numFmtId="0" xfId="0">
      <alignment horizontal="center" vertical="center" wrapText="true"/>
    </xf>
    <xf applyAlignment="true" applyBorder="false" applyFill="true" applyFont="true" applyNumberFormat="false" applyProtection="false" borderId="13" fillId="7" fontId="5" numFmtId="0" xfId="0">
      <alignment horizontal="center" vertical="center" wrapText="true"/>
    </xf>
    <xf applyAlignment="true" applyBorder="false" applyFill="true" applyFont="true" applyNumberFormat="true" applyProtection="false" borderId="13" fillId="7" fontId="5" numFmtId="175" xfId="0">
      <alignment horizontal="center" vertical="center" wrapText="true"/>
    </xf>
    <xf applyAlignment="true" applyBorder="false" applyFill="true" applyFont="true" applyNumberFormat="true" applyProtection="false" borderId="13" fillId="7" fontId="5" numFmtId="174" xfId="0">
      <alignment horizontal="center" vertical="center" wrapText="true"/>
    </xf>
    <xf applyAlignment="true" applyBorder="false" applyFill="true" applyFont="true" applyNumberFormat="false" applyProtection="false" borderId="14" fillId="7" fontId="5" numFmtId="0" xfId="0">
      <alignment horizontal="center" vertical="center"/>
    </xf>
    <xf applyAlignment="true" applyBorder="false" applyFill="true" applyFont="true" applyNumberFormat="false" applyProtection="false" borderId="15" fillId="7" fontId="6" numFmtId="0" xfId="0">
      <alignment horizontal="center" vertical="center"/>
    </xf>
    <xf applyAlignment="true" applyBorder="false" applyFill="true" applyFont="true" applyNumberFormat="false" applyProtection="false" borderId="11" fillId="7" fontId="5" numFmtId="0" xfId="0">
      <alignment horizontal="center" vertical="center"/>
    </xf>
    <xf applyAlignment="true" applyBorder="false" applyFill="true" applyFont="true" applyNumberFormat="false" applyProtection="false" borderId="11" fillId="7" fontId="6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74" xfId="0">
      <alignment vertical="center"/>
    </xf>
    <xf applyAlignment="true" applyBorder="false" applyFill="false" applyFont="true" applyNumberFormat="true" applyProtection="false" borderId="0" fillId="0" fontId="3" numFmtId="175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6" fillId="8" fontId="1" numFmtId="0" xfId="0">
      <alignment horizontal="center" vertical="center" wrapText="true"/>
    </xf>
    <xf applyAlignment="true" applyBorder="false" applyFill="true" applyFont="true" applyNumberFormat="false" applyProtection="false" borderId="16" fillId="8" fontId="1" numFmtId="0" xfId="0">
      <alignment horizontal="center" vertical="center" wrapText="true"/>
    </xf>
    <xf applyAlignment="true" applyBorder="false" applyFill="true" applyFont="true" applyNumberFormat="true" applyProtection="false" borderId="16" fillId="8" fontId="1" numFmtId="176" xfId="0">
      <alignment horizontal="center" vertical="center" wrapText="true"/>
    </xf>
    <xf applyAlignment="true" applyBorder="false" applyFill="true" applyFont="true" applyNumberFormat="false" applyProtection="false" borderId="16" fillId="8" fontId="1" numFmtId="0" xfId="0">
      <alignment horizontal="center" vertical="center"/>
    </xf>
    <xf applyAlignment="true" applyBorder="false" applyFill="true" applyFont="true" applyNumberFormat="false" applyProtection="false" borderId="17" fillId="8" fontId="1" numFmtId="0" xfId="0">
      <alignment horizontal="center" vertical="center"/>
    </xf>
    <xf applyAlignment="true" applyBorder="false" applyFill="false" applyFont="true" applyNumberFormat="true" applyProtection="false" borderId="18" fillId="0" fontId="2" numFmtId="177" xfId="0">
      <alignment horizontal="center" vertical="center" wrapText="true"/>
    </xf>
    <xf applyAlignment="true" applyBorder="false" applyFill="false" applyFont="true" applyNumberFormat="false" applyProtection="false" borderId="18" fillId="0" fontId="2" numFmtId="0" xfId="0">
      <alignment horizontal="center" vertical="center" wrapText="true"/>
    </xf>
    <xf applyAlignment="true" applyBorder="false" applyFill="false" applyFont="true" applyNumberFormat="false" applyProtection="false" borderId="18" fillId="0" fontId="2" numFmtId="0" xfId="0">
      <alignment horizontal="center" vertical="center" wrapText="true"/>
    </xf>
    <xf applyAlignment="true" applyBorder="false" applyFill="false" applyFont="true" applyNumberFormat="true" applyProtection="false" borderId="16" fillId="0" fontId="2" numFmtId="178" xfId="0">
      <alignment horizontal="center" vertical="center"/>
    </xf>
    <xf applyAlignment="true" applyBorder="false" applyFill="false" applyFont="true" applyNumberFormat="true" applyProtection="false" borderId="18" fillId="0" fontId="2" numFmtId="178" xfId="0">
      <alignment horizontal="center" vertical="center" wrapText="true"/>
    </xf>
    <xf applyAlignment="true" applyBorder="false" applyFill="false" applyFont="true" applyNumberFormat="false" applyProtection="false" borderId="19" fillId="0" fontId="2" numFmtId="0" xfId="0">
      <alignment horizontal="center" vertical="center"/>
    </xf>
    <xf applyAlignment="true" applyBorder="false" applyFill="false" applyFont="true" applyNumberFormat="false" applyProtection="false" borderId="20" fillId="0" fontId="3" numFmtId="0" xfId="0">
      <alignment horizontal="center" vertical="center"/>
    </xf>
    <xf applyAlignment="true" applyBorder="false" applyFill="false" applyFont="true" applyNumberFormat="false" applyProtection="false" borderId="16" fillId="0" fontId="3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false" applyProtection="false" borderId="16" fillId="0" fontId="3" numFmtId="0" xfId="0">
      <alignment vertical="center"/>
    </xf>
    <xf applyAlignment="true" applyBorder="false" applyFill="false" applyFont="true" applyNumberFormat="false" applyProtection="false" borderId="20" fillId="0" fontId="2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true" applyFont="true" applyNumberFormat="false" applyProtection="false" borderId="18" fillId="9" fontId="4" numFmtId="0" xfId="0">
      <alignment horizontal="center" vertical="center" wrapText="true"/>
    </xf>
    <xf applyAlignment="true" applyBorder="false" applyFill="true" applyFont="true" applyNumberFormat="false" applyProtection="false" borderId="18" fillId="9" fontId="2" numFmtId="0" xfId="0">
      <alignment horizontal="center" vertical="center" wrapText="true"/>
    </xf>
    <xf applyAlignment="true" applyBorder="false" applyFill="true" applyFont="true" applyNumberFormat="false" applyProtection="false" borderId="18" fillId="9" fontId="5" numFmtId="0" xfId="0">
      <alignment horizontal="center" vertical="center" wrapText="true"/>
    </xf>
    <xf applyAlignment="true" applyBorder="false" applyFill="true" applyFont="true" applyNumberFormat="true" applyProtection="false" borderId="18" fillId="9" fontId="5" numFmtId="179" xfId="0">
      <alignment horizontal="center" vertical="center" wrapText="true"/>
    </xf>
    <xf applyAlignment="true" applyBorder="false" applyFill="true" applyFont="true" applyNumberFormat="true" applyProtection="false" borderId="18" fillId="9" fontId="5" numFmtId="178" xfId="0">
      <alignment horizontal="center" vertical="center" wrapText="true"/>
    </xf>
    <xf applyAlignment="true" applyBorder="false" applyFill="true" applyFont="true" applyNumberFormat="false" applyProtection="false" borderId="19" fillId="9" fontId="5" numFmtId="0" xfId="0">
      <alignment horizontal="center" vertical="center"/>
    </xf>
    <xf applyAlignment="true" applyBorder="false" applyFill="true" applyFont="true" applyNumberFormat="false" applyProtection="false" borderId="20" fillId="9" fontId="6" numFmtId="0" xfId="0">
      <alignment horizontal="center" vertical="center"/>
    </xf>
    <xf applyAlignment="true" applyBorder="false" applyFill="true" applyFont="true" applyNumberFormat="false" applyProtection="false" borderId="16" fillId="9" fontId="5" numFmtId="0" xfId="0">
      <alignment horizontal="center" vertical="center"/>
    </xf>
    <xf applyAlignment="true" applyBorder="false" applyFill="true" applyFont="true" applyNumberFormat="false" applyProtection="false" borderId="16" fillId="9" fontId="6" numFmtId="0" xfId="0">
      <alignment horizontal="center" vertical="center"/>
    </xf>
    <xf applyAlignment="true" applyBorder="false" applyFill="false" applyFont="true" applyNumberFormat="false" applyProtection="false" borderId="18" fillId="0" fontId="4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79" xfId="0">
      <alignment vertical="center"/>
    </xf>
    <xf applyAlignment="true" applyBorder="false" applyFill="false" applyFont="true" applyNumberFormat="true" applyProtection="false" borderId="0" fillId="0" fontId="3" numFmtId="180" xfId="0">
      <alignment vertical="center"/>
    </xf>
    <xf applyAlignment="true" applyBorder="false" applyFill="false" applyFont="true" applyNumberFormat="true" applyProtection="false" borderId="0" fillId="0" fontId="3" numFmtId="181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78" xfId="0">
      <alignment vertical="center"/>
    </xf>
    <xf applyAlignment="true" applyBorder="false" applyFill="true" applyFont="true" applyNumberFormat="false" applyProtection="false" borderId="21" fillId="10" fontId="1" numFmtId="0" xfId="0">
      <alignment horizontal="center" vertical="center" wrapText="true"/>
    </xf>
    <xf applyAlignment="true" applyBorder="false" applyFill="true" applyFont="true" applyNumberFormat="false" applyProtection="false" borderId="21" fillId="10" fontId="1" numFmtId="0" xfId="0">
      <alignment horizontal="center" vertical="center" wrapText="true"/>
    </xf>
    <xf applyAlignment="true" applyBorder="false" applyFill="true" applyFont="true" applyNumberFormat="true" applyProtection="false" borderId="21" fillId="10" fontId="1" numFmtId="182" xfId="0">
      <alignment horizontal="center" vertical="center" wrapText="true"/>
    </xf>
    <xf applyAlignment="true" applyBorder="false" applyFill="true" applyFont="true" applyNumberFormat="false" applyProtection="false" borderId="21" fillId="10" fontId="1" numFmtId="0" xfId="0">
      <alignment horizontal="center" vertical="center"/>
    </xf>
    <xf applyAlignment="true" applyBorder="false" applyFill="false" applyFont="true" applyNumberFormat="true" applyProtection="false" borderId="22" fillId="0" fontId="2" numFmtId="183" xfId="0">
      <alignment horizontal="center" vertical="center" wrapText="true"/>
    </xf>
    <xf applyAlignment="true" applyBorder="false" applyFill="false" applyFont="true" applyNumberFormat="false" applyProtection="false" borderId="22" fillId="0" fontId="2" numFmtId="0" xfId="0">
      <alignment horizontal="center" vertical="center" wrapText="true"/>
    </xf>
    <xf applyAlignment="true" applyBorder="false" applyFill="false" applyFont="true" applyNumberFormat="false" applyProtection="false" borderId="22" fillId="0" fontId="2" numFmtId="0" xfId="0">
      <alignment horizontal="center" vertical="center" wrapText="true"/>
    </xf>
    <xf applyAlignment="true" applyBorder="false" applyFill="false" applyFont="true" applyNumberFormat="true" applyProtection="false" borderId="21" fillId="0" fontId="2" numFmtId="184" xfId="0">
      <alignment horizontal="center" vertical="center"/>
    </xf>
    <xf applyAlignment="true" applyBorder="false" applyFill="false" applyFont="true" applyNumberFormat="true" applyProtection="false" borderId="22" fillId="0" fontId="2" numFmtId="184" xfId="0">
      <alignment horizontal="center" vertical="center" wrapText="true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true" applyFont="true" applyNumberFormat="false" applyProtection="false" borderId="22" fillId="11" fontId="4" numFmtId="0" xfId="0">
      <alignment horizontal="center" vertical="center" wrapText="true"/>
    </xf>
    <xf applyAlignment="true" applyBorder="false" applyFill="true" applyFont="true" applyNumberFormat="false" applyProtection="false" borderId="22" fillId="11" fontId="2" numFmtId="0" xfId="0">
      <alignment horizontal="center" vertical="center" wrapText="true"/>
    </xf>
    <xf applyAlignment="true" applyBorder="false" applyFill="true" applyFont="true" applyNumberFormat="false" applyProtection="false" borderId="22" fillId="11" fontId="5" numFmtId="0" xfId="0">
      <alignment horizontal="center" vertical="center" wrapText="true"/>
    </xf>
    <xf applyAlignment="true" applyBorder="false" applyFill="true" applyFont="true" applyNumberFormat="true" applyProtection="false" borderId="22" fillId="11" fontId="5" numFmtId="185" xfId="0">
      <alignment horizontal="center" vertical="center" wrapText="true"/>
    </xf>
    <xf applyAlignment="true" applyBorder="false" applyFill="true" applyFont="true" applyNumberFormat="true" applyProtection="false" borderId="22" fillId="11" fontId="5" numFmtId="184" xfId="0">
      <alignment horizontal="center" vertical="center" wrapText="true"/>
    </xf>
    <xf applyAlignment="true" applyBorder="false" applyFill="true" applyFont="true" applyNumberFormat="false" applyProtection="false" borderId="22" fillId="11" fontId="5" numFmtId="0" xfId="0">
      <alignment horizontal="center" vertical="center"/>
    </xf>
    <xf applyAlignment="true" applyBorder="false" applyFill="true" applyFont="true" applyNumberFormat="false" applyProtection="false" borderId="22" fillId="11" fontId="6" numFmtId="0" xfId="0">
      <alignment horizontal="center" vertical="center"/>
    </xf>
    <xf applyAlignment="true" applyBorder="false" applyFill="true" applyFont="true" applyNumberFormat="false" applyProtection="false" borderId="23" fillId="11" fontId="6" numFmtId="0" xfId="0">
      <alignment horizontal="center" vertical="center"/>
    </xf>
    <xf applyAlignment="true" applyBorder="false" applyFill="true" applyFont="true" applyNumberFormat="false" applyProtection="false" borderId="23" fillId="11" fontId="5" numFmtId="0" xfId="0">
      <alignment horizontal="center" vertical="center"/>
    </xf>
    <xf applyAlignment="true" applyBorder="false" applyFill="false" applyFont="true" applyNumberFormat="false" applyProtection="false" borderId="24" fillId="0" fontId="2" numFmtId="0" xfId="0">
      <alignment horizontal="center" vertical="center"/>
    </xf>
    <xf applyAlignment="true" applyBorder="false" applyFill="false" applyFont="true" applyNumberFormat="false" applyProtection="false" borderId="21" fillId="0" fontId="3" numFmtId="0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true" applyFont="true" applyNumberFormat="false" applyProtection="false" borderId="24" fillId="11" fontId="5" numFmtId="0" xfId="0">
      <alignment horizontal="center" vertical="center"/>
    </xf>
    <xf applyAlignment="true" applyBorder="false" applyFill="true" applyFont="true" applyNumberFormat="false" applyProtection="false" borderId="21" fillId="11" fontId="6" numFmtId="0" xfId="0">
      <alignment horizontal="center" vertical="center"/>
    </xf>
    <xf applyAlignment="true" applyBorder="false" applyFill="true" applyFont="true" applyNumberFormat="false" applyProtection="false" borderId="21" fillId="11" fontId="5" numFmtId="0" xfId="0">
      <alignment horizontal="center" vertical="center"/>
    </xf>
    <xf applyAlignment="true" applyBorder="false" applyFill="true" applyFont="true" applyNumberFormat="false" applyProtection="false" borderId="25" fillId="11" fontId="6" numFmtId="0" xfId="0">
      <alignment horizontal="center" vertical="center"/>
    </xf>
    <xf applyAlignment="true" applyBorder="false" applyFill="false" applyFont="true" applyNumberFormat="false" applyProtection="false" borderId="22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84" xfId="0">
      <alignment vertical="center"/>
    </xf>
    <xf applyAlignment="true" applyBorder="false" applyFill="false" applyFont="true" applyNumberFormat="true" applyProtection="false" borderId="0" fillId="0" fontId="3" numFmtId="185" xfId="0">
      <alignment vertical="center"/>
    </xf>
    <xf applyAlignment="true" applyBorder="false" applyFill="false" applyFont="true" applyNumberFormat="true" applyProtection="false" borderId="0" fillId="0" fontId="3" numFmtId="186" xfId="0">
      <alignment vertical="center"/>
    </xf>
    <xf applyAlignment="true" applyBorder="false" applyFill="true" applyFont="true" applyNumberFormat="false" applyProtection="false" borderId="26" fillId="12" fontId="1" numFmtId="0" xfId="0">
      <alignment horizontal="center" vertical="center" wrapText="true"/>
    </xf>
    <xf applyAlignment="true" applyBorder="false" applyFill="true" applyFont="true" applyNumberFormat="false" applyProtection="false" borderId="26" fillId="12" fontId="1" numFmtId="0" xfId="0">
      <alignment horizontal="center" vertical="center" wrapText="true"/>
    </xf>
    <xf applyAlignment="true" applyBorder="false" applyFill="true" applyFont="true" applyNumberFormat="true" applyProtection="false" borderId="26" fillId="12" fontId="1" numFmtId="187" xfId="0">
      <alignment horizontal="center" vertical="center" wrapText="true"/>
    </xf>
    <xf applyAlignment="true" applyBorder="false" applyFill="true" applyFont="true" applyNumberFormat="false" applyProtection="false" borderId="26" fillId="12" fontId="1" numFmtId="0" xfId="0">
      <alignment horizontal="center" vertical="center"/>
    </xf>
    <xf applyAlignment="true" applyBorder="false" applyFill="false" applyFont="true" applyNumberFormat="true" applyProtection="false" borderId="27" fillId="0" fontId="2" numFmtId="188" xfId="0">
      <alignment horizontal="center" vertical="center" wrapText="true"/>
    </xf>
    <xf applyAlignment="true" applyBorder="false" applyFill="false" applyFont="true" applyNumberFormat="false" applyProtection="false" borderId="28" fillId="0" fontId="2" numFmtId="0" xfId="0">
      <alignment horizontal="center" vertical="center" wrapText="true"/>
    </xf>
    <xf applyAlignment="true" applyBorder="false" applyFill="false" applyFont="true" applyNumberFormat="false" applyProtection="false" borderId="27" fillId="0" fontId="2" numFmtId="0" xfId="0">
      <alignment horizontal="center" vertical="center" wrapText="true"/>
    </xf>
    <xf applyAlignment="true" applyBorder="false" applyFill="false" applyFont="true" applyNumberFormat="true" applyProtection="false" borderId="27" fillId="0" fontId="2" numFmtId="189" xfId="0">
      <alignment horizontal="center" vertical="center" wrapText="true"/>
    </xf>
    <xf applyAlignment="true" applyBorder="false" applyFill="false" applyFont="true" applyNumberFormat="false" applyProtection="false" borderId="27" fillId="0" fontId="2" numFmtId="0" xfId="0">
      <alignment horizontal="center" vertical="center"/>
    </xf>
    <xf applyAlignment="true" applyBorder="false" applyFill="false" applyFont="true" applyNumberFormat="false" applyProtection="false" borderId="27" fillId="0" fontId="2" numFmtId="0" xfId="0">
      <alignment horizontal="center" vertical="center"/>
    </xf>
    <xf applyAlignment="true" applyBorder="false" applyFill="false" applyFont="true" applyNumberFormat="true" applyProtection="false" borderId="27" fillId="0" fontId="2" numFmtId="189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27" fillId="13" fontId="4" numFmtId="0" xfId="0">
      <alignment horizontal="center" vertical="center" wrapText="true"/>
    </xf>
    <xf applyAlignment="true" applyBorder="false" applyFill="true" applyFont="true" applyNumberFormat="false" applyProtection="false" borderId="27" fillId="13" fontId="2" numFmtId="0" xfId="0">
      <alignment horizontal="center" vertical="center" wrapText="true"/>
    </xf>
    <xf applyAlignment="true" applyBorder="false" applyFill="true" applyFont="true" applyNumberFormat="false" applyProtection="false" borderId="27" fillId="13" fontId="5" numFmtId="0" xfId="0">
      <alignment horizontal="center" vertical="center" wrapText="true"/>
    </xf>
    <xf applyAlignment="true" applyBorder="false" applyFill="true" applyFont="true" applyNumberFormat="true" applyProtection="false" borderId="27" fillId="13" fontId="5" numFmtId="189" xfId="0">
      <alignment horizontal="center" vertical="center" wrapText="true"/>
    </xf>
    <xf applyAlignment="true" applyBorder="false" applyFill="true" applyFont="true" applyNumberFormat="false" applyProtection="false" borderId="27" fillId="13" fontId="5" numFmtId="0" xfId="0">
      <alignment horizontal="center" vertical="center"/>
    </xf>
    <xf applyAlignment="true" applyBorder="false" applyFill="true" applyFont="true" applyNumberFormat="false" applyProtection="false" borderId="27" fillId="13" fontId="6" numFmtId="0" xfId="0">
      <alignment horizontal="center" vertical="center"/>
    </xf>
    <xf applyAlignment="true" applyBorder="false" applyFill="false" applyFont="true" applyNumberFormat="true" applyProtection="false" borderId="26" fillId="0" fontId="2" numFmtId="188" xfId="0">
      <alignment horizontal="center" vertical="center" wrapText="true"/>
    </xf>
    <xf applyAlignment="true" applyBorder="false" applyFill="false" applyFont="true" applyNumberFormat="false" applyProtection="false" borderId="26" fillId="0" fontId="2" numFmtId="0" xfId="0">
      <alignment horizontal="center" vertical="center" wrapText="true"/>
    </xf>
    <xf applyAlignment="true" applyBorder="false" applyFill="false" applyFont="true" applyNumberFormat="true" applyProtection="false" borderId="26" fillId="0" fontId="2" numFmtId="189" xfId="0">
      <alignment horizontal="center" vertical="center" wrapText="true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true" applyProtection="false" borderId="26" fillId="0" fontId="2" numFmtId="189" xfId="0">
      <alignment horizontal="center" vertical="center" wrapText="true"/>
    </xf>
    <xf applyAlignment="true" applyBorder="false" applyFill="false" applyFont="true" applyNumberFormat="false" applyProtection="false" borderId="26" fillId="0" fontId="3" numFmtId="0" xfId="0">
      <alignment horizontal="center" vertical="center"/>
    </xf>
    <xf applyAlignment="true" applyBorder="false" applyFill="true" applyFont="true" applyNumberFormat="false" applyProtection="false" borderId="26" fillId="13" fontId="4" numFmtId="0" xfId="0">
      <alignment horizontal="center" vertical="center" wrapText="true"/>
    </xf>
    <xf applyAlignment="true" applyBorder="false" applyFill="true" applyFont="true" applyNumberFormat="false" applyProtection="false" borderId="26" fillId="13" fontId="2" numFmtId="0" xfId="0">
      <alignment horizontal="center" vertical="center" wrapText="true"/>
    </xf>
    <xf applyAlignment="true" applyBorder="false" applyFill="true" applyFont="true" applyNumberFormat="false" applyProtection="false" borderId="26" fillId="13" fontId="5" numFmtId="0" xfId="0">
      <alignment horizontal="center" vertical="center" wrapText="true"/>
    </xf>
    <xf applyAlignment="true" applyBorder="false" applyFill="true" applyFont="true" applyNumberFormat="true" applyProtection="false" borderId="26" fillId="13" fontId="5" numFmtId="189" xfId="0">
      <alignment horizontal="center" vertical="center" wrapText="true"/>
    </xf>
    <xf applyAlignment="true" applyBorder="false" applyFill="true" applyFont="true" applyNumberFormat="false" applyProtection="false" borderId="26" fillId="13" fontId="5" numFmtId="0" xfId="0">
      <alignment horizontal="center" vertical="center"/>
    </xf>
    <xf applyAlignment="true" applyBorder="false" applyFill="true" applyFont="true" applyNumberFormat="false" applyProtection="false" borderId="26" fillId="13" fontId="6" numFmtId="0" xfId="0">
      <alignment horizontal="center" vertical="center"/>
    </xf>
    <xf applyAlignment="true" applyBorder="false" applyFill="false" applyFont="true" applyNumberFormat="false" applyProtection="false" borderId="26" fillId="0" fontId="4" numFmtId="0" xfId="0">
      <alignment horizontal="center" vertical="center" wrapText="true"/>
    </xf>
    <xf applyAlignment="true" applyBorder="false" applyFill="false" applyFont="true" applyNumberFormat="true" applyProtection="false" borderId="26" fillId="0" fontId="2" numFmtId="188" xfId="0">
      <alignment horizontal="center" vertical="center"/>
    </xf>
    <xf applyAlignment="true" applyBorder="false" applyFill="false" applyFont="true" applyNumberFormat="true" applyProtection="false" borderId="26" fillId="0" fontId="2" numFmtId="189" xfId="0">
      <alignment horizontal="center" vertical="center"/>
    </xf>
    <xf applyAlignment="true" applyBorder="false" applyFill="false" applyFont="true" applyNumberFormat="true" applyProtection="false" borderId="26" fillId="0" fontId="2" numFmtId="189" xfId="0">
      <alignment horizontal="center" vertical="center"/>
    </xf>
    <xf applyAlignment="true" applyBorder="false" applyFill="true" applyFont="true" applyNumberFormat="false" applyProtection="false" borderId="26" fillId="13" fontId="4" numFmtId="0" xfId="0">
      <alignment horizontal="center" vertical="center"/>
    </xf>
    <xf applyAlignment="true" applyBorder="false" applyFill="true" applyFont="true" applyNumberFormat="false" applyProtection="false" borderId="26" fillId="13" fontId="2" numFmtId="0" xfId="0">
      <alignment horizontal="center" vertical="center"/>
    </xf>
    <xf applyAlignment="true" applyBorder="false" applyFill="true" applyFont="true" applyNumberFormat="true" applyProtection="false" borderId="26" fillId="13" fontId="5" numFmtId="189" xfId="0">
      <alignment horizontal="center" vertical="center"/>
    </xf>
    <xf applyAlignment="true" applyBorder="false" applyFill="false" applyFont="true" applyNumberFormat="true" applyProtection="false" borderId="29" fillId="0" fontId="2" numFmtId="188" xfId="0">
      <alignment horizontal="center" vertical="center" wrapText="true"/>
    </xf>
    <xf applyAlignment="true" applyBorder="false" applyFill="false" applyFont="true" applyNumberFormat="false" applyProtection="false" borderId="29" fillId="0" fontId="2" numFmtId="0" xfId="0">
      <alignment horizontal="center" vertical="center" wrapText="true"/>
    </xf>
    <xf applyAlignment="true" applyBorder="false" applyFill="false" applyFont="true" applyNumberFormat="false" applyProtection="false" borderId="29" fillId="0" fontId="2" numFmtId="0" xfId="0">
      <alignment horizontal="center" vertical="center" wrapText="true"/>
    </xf>
    <xf applyAlignment="true" applyBorder="false" applyFill="false" applyFont="true" applyNumberFormat="true" applyProtection="false" borderId="29" fillId="0" fontId="2" numFmtId="189" xfId="0">
      <alignment horizontal="center" vertical="center" wrapText="true"/>
    </xf>
    <xf applyAlignment="true" applyBorder="false" applyFill="false" applyFont="true" applyNumberFormat="false" applyProtection="false" borderId="29" fillId="0" fontId="2" numFmtId="0" xfId="0">
      <alignment horizontal="center" vertical="center"/>
    </xf>
    <xf applyAlignment="true" applyBorder="false" applyFill="true" applyFont="true" applyNumberFormat="false" applyProtection="false" borderId="29" fillId="13" fontId="4" numFmtId="0" xfId="0">
      <alignment horizontal="center" vertical="center" wrapText="true"/>
    </xf>
    <xf applyAlignment="true" applyBorder="false" applyFill="true" applyFont="true" applyNumberFormat="false" applyProtection="false" borderId="29" fillId="13" fontId="2" numFmtId="0" xfId="0">
      <alignment horizontal="center" vertical="center" wrapText="true"/>
    </xf>
    <xf applyAlignment="true" applyBorder="false" applyFill="true" applyFont="true" applyNumberFormat="false" applyProtection="false" borderId="29" fillId="13" fontId="5" numFmtId="0" xfId="0">
      <alignment horizontal="center" vertical="center" wrapText="true"/>
    </xf>
    <xf applyAlignment="true" applyBorder="false" applyFill="true" applyFont="true" applyNumberFormat="true" applyProtection="false" borderId="29" fillId="13" fontId="5" numFmtId="190" xfId="0">
      <alignment horizontal="center" vertical="center" wrapText="true"/>
    </xf>
    <xf applyAlignment="true" applyBorder="false" applyFill="true" applyFont="true" applyNumberFormat="true" applyProtection="false" borderId="29" fillId="13" fontId="5" numFmtId="189" xfId="0">
      <alignment horizontal="center" vertical="center" wrapText="true"/>
    </xf>
    <xf applyAlignment="true" applyBorder="false" applyFill="true" applyFont="true" applyNumberFormat="false" applyProtection="false" borderId="29" fillId="13" fontId="5" numFmtId="0" xfId="0">
      <alignment horizontal="center" vertical="center"/>
    </xf>
    <xf applyAlignment="true" applyBorder="false" applyFill="true" applyFont="true" applyNumberFormat="false" applyProtection="false" borderId="29" fillId="13" fontId="6" numFmtId="0" xfId="0">
      <alignment horizontal="center" vertical="center"/>
    </xf>
    <xf applyAlignment="true" applyBorder="false" applyFill="false" applyFont="true" applyNumberFormat="true" applyProtection="false" borderId="29" fillId="0" fontId="2" numFmtId="188" xfId="0">
      <alignment horizontal="center" vertical="center" wrapText="true"/>
    </xf>
    <xf applyAlignment="true" applyBorder="false" applyFill="false" applyFont="true" applyNumberFormat="false" applyProtection="false" borderId="29" fillId="0" fontId="2" numFmtId="0" xfId="0">
      <alignment horizontal="center" vertical="center"/>
    </xf>
    <xf applyAlignment="true" applyBorder="false" applyFill="false" applyFont="true" applyNumberFormat="true" applyProtection="false" borderId="29" fillId="0" fontId="2" numFmtId="189" xfId="0">
      <alignment horizontal="center" vertical="center" wrapText="true"/>
    </xf>
    <xf applyAlignment="true" applyBorder="false" applyFill="true" applyFont="true" applyNumberFormat="false" applyProtection="false" borderId="29" fillId="13" fontId="4" numFmtId="0" xfId="0">
      <alignment horizontal="center" vertical="center" wrapText="true"/>
    </xf>
    <xf applyAlignment="true" applyBorder="false" applyFill="false" applyFont="true" applyNumberFormat="false" applyProtection="false" borderId="29" fillId="0" fontId="4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90" xfId="0">
      <alignment vertical="center"/>
    </xf>
    <xf applyAlignment="true" applyBorder="false" applyFill="false" applyFont="true" applyNumberFormat="true" applyProtection="false" borderId="0" fillId="0" fontId="3" numFmtId="190" xfId="0">
      <alignment vertical="center"/>
    </xf>
    <xf applyAlignment="true" applyBorder="false" applyFill="false" applyFont="true" applyNumberFormat="true" applyProtection="false" borderId="0" fillId="0" fontId="3" numFmtId="190" xfId="0">
      <alignment vertical="center"/>
    </xf>
    <xf applyAlignment="true" applyBorder="false" applyFill="true" applyFont="true" applyNumberFormat="false" applyProtection="false" borderId="30" fillId="14" fontId="1" numFmtId="0" xfId="0">
      <alignment horizontal="center" vertical="center"/>
    </xf>
    <xf applyAlignment="true" applyBorder="false" applyFill="true" applyFont="true" applyNumberFormat="false" applyProtection="false" borderId="30" fillId="14" fontId="1" numFmtId="0" xfId="0">
      <alignment horizontal="center" vertical="center"/>
    </xf>
    <xf applyAlignment="true" applyBorder="false" applyFill="true" applyFont="true" applyNumberFormat="true" applyProtection="false" borderId="30" fillId="14" fontId="1" numFmtId="191" xfId="0">
      <alignment horizontal="center" vertical="center"/>
    </xf>
    <xf applyAlignment="true" applyBorder="false" applyFill="false" applyFont="true" applyNumberFormat="true" applyProtection="false" borderId="30" fillId="0" fontId="2" numFmtId="192" xfId="0">
      <alignment horizontal="center" vertical="center"/>
    </xf>
    <xf applyAlignment="true" applyBorder="false" applyFill="false" applyFont="true" applyNumberFormat="false" applyProtection="false" borderId="31" fillId="0" fontId="2" numFmtId="0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true" applyProtection="false" borderId="30" fillId="0" fontId="2" numFmtId="193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true" applyProtection="false" borderId="30" fillId="0" fontId="2" numFmtId="193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30" fillId="15" fontId="4" numFmtId="0" xfId="0">
      <alignment horizontal="center" vertical="center"/>
    </xf>
    <xf applyAlignment="true" applyBorder="false" applyFill="true" applyFont="true" applyNumberFormat="false" applyProtection="false" borderId="30" fillId="15" fontId="2" numFmtId="0" xfId="0">
      <alignment horizontal="center" vertical="center"/>
    </xf>
    <xf applyAlignment="true" applyBorder="false" applyFill="true" applyFont="true" applyNumberFormat="false" applyProtection="false" borderId="30" fillId="15" fontId="5" numFmtId="0" xfId="0">
      <alignment horizontal="center" vertical="center"/>
    </xf>
    <xf applyAlignment="true" applyBorder="false" applyFill="true" applyFont="true" applyNumberFormat="true" applyProtection="false" borderId="30" fillId="15" fontId="5" numFmtId="193" xfId="0">
      <alignment horizontal="center" vertical="center"/>
    </xf>
    <xf applyAlignment="true" applyBorder="false" applyFill="true" applyFont="true" applyNumberFormat="false" applyProtection="false" borderId="30" fillId="15" fontId="6" numFmtId="0" xfId="0">
      <alignment horizontal="center" vertical="center"/>
    </xf>
    <xf applyAlignment="true" applyBorder="false" applyFill="false" applyFont="true" applyNumberFormat="false" applyProtection="false" borderId="30" fillId="0" fontId="4" numFmtId="0" xfId="0">
      <alignment horizontal="center" vertical="center"/>
    </xf>
    <xf applyAlignment="true" applyBorder="false" applyFill="true" applyFont="true" applyNumberFormat="false" applyProtection="false" borderId="0" fillId="16" fontId="8" numFmtId="0" xfId="0">
      <alignment vertical="center"/>
    </xf>
    <xf applyAlignment="true" applyBorder="false" applyFill="false" applyFont="true" applyNumberFormat="true" applyProtection="false" borderId="0" fillId="0" fontId="3" numFmtId="193" xfId="0">
      <alignment vertical="center"/>
    </xf>
    <xf applyAlignment="true" applyBorder="false" applyFill="false" applyFont="true" applyNumberFormat="true" applyProtection="false" borderId="0" fillId="0" fontId="3" numFmtId="194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95" xfId="0">
      <alignment vertical="center"/>
    </xf>
    <xf applyAlignment="true" applyBorder="false" applyFill="true" applyFont="true" applyNumberFormat="false" applyProtection="false" borderId="32" fillId="17" fontId="1" numFmtId="0" xfId="0">
      <alignment horizontal="center" vertical="center"/>
    </xf>
    <xf applyAlignment="true" applyBorder="false" applyFill="true" applyFont="true" applyNumberFormat="true" applyProtection="false" borderId="32" fillId="17" fontId="1" numFmtId="196" xfId="0">
      <alignment horizontal="center" vertical="center"/>
    </xf>
    <xf applyAlignment="true" applyBorder="false" applyFill="false" applyFont="true" applyNumberFormat="true" applyProtection="false" borderId="32" fillId="0" fontId="2" numFmtId="197" xfId="0">
      <alignment horizontal="center" vertical="center"/>
    </xf>
    <xf applyAlignment="true" applyBorder="false" applyFill="false" applyFont="true" applyNumberFormat="false" applyProtection="false" borderId="33" fillId="0" fontId="2" numFmtId="0" xfId="0">
      <alignment horizontal="center" vertical="center"/>
    </xf>
    <xf applyAlignment="true" applyBorder="false" applyFill="false" applyFont="true" applyNumberFormat="false" applyProtection="false" borderId="32" fillId="0" fontId="2" numFmtId="0" xfId="0">
      <alignment horizontal="center" vertical="center"/>
    </xf>
    <xf applyAlignment="true" applyBorder="false" applyFill="false" applyFont="true" applyNumberFormat="true" applyProtection="false" borderId="32" fillId="0" fontId="2" numFmtId="198" xfId="0">
      <alignment horizontal="center" vertical="center"/>
    </xf>
    <xf applyAlignment="true" applyBorder="false" applyFill="false" applyFont="true" applyNumberFormat="false" applyProtection="false" borderId="32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32" fillId="0" fontId="2" numFmtId="198" xfId="0">
      <alignment horizontal="center" vertical="center"/>
    </xf>
    <xf applyAlignment="true" applyBorder="false" applyFill="true" applyFont="true" applyNumberFormat="false" applyProtection="false" borderId="32" fillId="18" fontId="4" numFmtId="0" xfId="0">
      <alignment horizontal="center" vertical="center"/>
    </xf>
    <xf applyAlignment="true" applyBorder="false" applyFill="true" applyFont="true" applyNumberFormat="false" applyProtection="false" borderId="32" fillId="18" fontId="2" numFmtId="0" xfId="0">
      <alignment horizontal="center" vertical="center"/>
    </xf>
    <xf applyAlignment="true" applyBorder="false" applyFill="true" applyFont="true" applyNumberFormat="false" applyProtection="false" borderId="32" fillId="18" fontId="5" numFmtId="0" xfId="0">
      <alignment horizontal="center" vertical="center"/>
    </xf>
    <xf applyAlignment="true" applyBorder="false" applyFill="true" applyFont="true" applyNumberFormat="true" applyProtection="false" borderId="32" fillId="18" fontId="5" numFmtId="198" xfId="0">
      <alignment horizontal="center" vertical="center"/>
    </xf>
    <xf applyAlignment="true" applyBorder="false" applyFill="true" applyFont="true" applyNumberFormat="false" applyProtection="false" borderId="32" fillId="18" fontId="6" numFmtId="0" xfId="0">
      <alignment horizontal="center" vertical="center"/>
    </xf>
    <xf applyAlignment="true" applyBorder="false" applyFill="false" applyFont="true" applyNumberFormat="false" applyProtection="false" borderId="32" fillId="0" fontId="4" numFmtId="0" xfId="0">
      <alignment horizontal="center" vertical="center"/>
    </xf>
    <xf applyAlignment="true" applyBorder="false" applyFill="false" applyFont="true" applyNumberFormat="false" applyProtection="false" borderId="32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3" numFmtId="199" xfId="0">
      <alignment vertical="center"/>
    </xf>
    <xf applyAlignment="true" applyBorder="false" applyFill="false" applyFont="true" applyNumberFormat="true" applyProtection="false" borderId="0" fillId="0" fontId="3" numFmtId="199" xfId="0">
      <alignment vertical="center"/>
    </xf>
    <xf applyAlignment="true" applyBorder="false" applyFill="false" applyFont="true" applyNumberFormat="true" applyProtection="false" borderId="0" fillId="0" fontId="3" numFmtId="198" xfId="0">
      <alignment vertical="center"/>
    </xf>
    <xf applyAlignment="true" applyBorder="false" applyFill="false" applyFont="true" applyNumberFormat="true" applyProtection="false" borderId="0" fillId="0" fontId="3" numFmtId="198" xfId="0">
      <alignment vertical="center"/>
    </xf>
    <xf applyAlignment="true" applyBorder="false" applyFill="true" applyFont="true" applyNumberFormat="false" applyProtection="false" borderId="34" fillId="19" fontId="1" numFmtId="0" xfId="0">
      <alignment horizontal="center" vertical="center"/>
    </xf>
    <xf applyAlignment="true" applyBorder="false" applyFill="true" applyFont="true" applyNumberFormat="true" applyProtection="false" borderId="34" fillId="19" fontId="1" numFmtId="200" xfId="0">
      <alignment horizontal="center" vertical="center"/>
    </xf>
    <xf applyAlignment="true" applyBorder="false" applyFill="false" applyFont="true" applyNumberFormat="true" applyProtection="false" borderId="34" fillId="0" fontId="2" numFmtId="201" xfId="0">
      <alignment horizontal="center" vertical="center"/>
    </xf>
    <xf applyAlignment="true" applyBorder="false" applyFill="false" applyFont="true" applyNumberFormat="false" applyProtection="false" borderId="35" fillId="0" fontId="2" numFmtId="0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horizontal="center" vertical="center"/>
    </xf>
    <xf applyAlignment="true" applyBorder="false" applyFill="false" applyFont="true" applyNumberFormat="true" applyProtection="false" borderId="34" fillId="0" fontId="2" numFmtId="20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34" fillId="20" fontId="4" numFmtId="0" xfId="0">
      <alignment horizontal="center" vertical="center"/>
    </xf>
    <xf applyAlignment="true" applyBorder="false" applyFill="true" applyFont="true" applyNumberFormat="false" applyProtection="false" borderId="34" fillId="20" fontId="2" numFmtId="0" xfId="0">
      <alignment horizontal="center" vertical="center"/>
    </xf>
    <xf applyAlignment="true" applyBorder="false" applyFill="true" applyFont="true" applyNumberFormat="false" applyProtection="false" borderId="34" fillId="20" fontId="5" numFmtId="0" xfId="0">
      <alignment horizontal="center" vertical="center"/>
    </xf>
    <xf applyAlignment="true" applyBorder="false" applyFill="true" applyFont="true" applyNumberFormat="true" applyProtection="false" borderId="34" fillId="20" fontId="5" numFmtId="202" xfId="0">
      <alignment horizontal="center" vertical="center"/>
    </xf>
    <xf applyAlignment="true" applyBorder="false" applyFill="true" applyFont="true" applyNumberFormat="false" applyProtection="false" borderId="34" fillId="20" fontId="6" numFmtId="0" xfId="0">
      <alignment horizontal="center" vertical="center"/>
    </xf>
    <xf applyAlignment="true" applyBorder="false" applyFill="true" applyFont="true" applyNumberFormat="false" applyProtection="false" borderId="34" fillId="21" fontId="2" numFmtId="0" xfId="0">
      <alignment horizontal="center" vertical="center"/>
    </xf>
    <xf applyAlignment="true" applyBorder="false" applyFill="true" applyFont="true" applyNumberFormat="false" applyProtection="false" borderId="34" fillId="21" fontId="2" numFmtId="0" xfId="0">
      <alignment horizontal="center" vertical="center"/>
    </xf>
    <xf applyAlignment="true" applyBorder="false" applyFill="false" applyFont="true" applyNumberFormat="true" applyProtection="false" borderId="34" fillId="0" fontId="2" numFmtId="202" xfId="0">
      <alignment horizontal="center" vertical="center"/>
    </xf>
    <xf applyAlignment="true" applyBorder="false" applyFill="false" applyFont="true" applyNumberFormat="false" applyProtection="false" borderId="36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37" fillId="22" fontId="1" numFmtId="0" xfId="0">
      <alignment horizontal="center" vertical="center"/>
    </xf>
    <xf applyAlignment="true" applyBorder="false" applyFill="true" applyFont="true" applyNumberFormat="true" applyProtection="false" borderId="37" fillId="22" fontId="1" numFmtId="203" xfId="0">
      <alignment horizontal="center" vertical="center"/>
    </xf>
    <xf applyAlignment="true" applyBorder="false" applyFill="false" applyFont="true" applyNumberFormat="true" applyProtection="false" borderId="37" fillId="0" fontId="2" numFmtId="204" xfId="0">
      <alignment horizontal="center" vertical="center"/>
    </xf>
    <xf applyAlignment="true" applyBorder="false" applyFill="false" applyFont="true" applyNumberFormat="false" applyProtection="false" borderId="38" fillId="0" fontId="2" numFmtId="0" xfId="0">
      <alignment horizontal="center" vertical="center"/>
    </xf>
    <xf applyAlignment="true" applyBorder="false" applyFill="false" applyFont="true" applyNumberFormat="false" applyProtection="false" borderId="37" fillId="0" fontId="2" numFmtId="0" xfId="0">
      <alignment horizontal="center" vertical="center"/>
    </xf>
    <xf applyAlignment="true" applyBorder="false" applyFill="false" applyFont="true" applyNumberFormat="true" applyProtection="false" borderId="37" fillId="0" fontId="2" numFmtId="205" xfId="0">
      <alignment horizontal="center" vertical="center"/>
    </xf>
    <xf applyAlignment="true" applyBorder="false" applyFill="false" applyFont="true" applyNumberFormat="false" applyProtection="false" borderId="37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37" fillId="23" fontId="4" numFmtId="0" xfId="0">
      <alignment horizontal="center" vertical="center"/>
    </xf>
    <xf applyAlignment="true" applyBorder="false" applyFill="true" applyFont="true" applyNumberFormat="false" applyProtection="false" borderId="37" fillId="23" fontId="6" numFmtId="0" xfId="0">
      <alignment horizontal="center" vertical="center"/>
    </xf>
    <xf applyAlignment="true" applyBorder="false" applyFill="true" applyFont="true" applyNumberFormat="false" applyProtection="false" borderId="37" fillId="23" fontId="5" numFmtId="0" xfId="0">
      <alignment horizontal="center" vertical="center"/>
    </xf>
    <xf applyAlignment="true" applyBorder="false" applyFill="true" applyFont="true" applyNumberFormat="true" applyProtection="false" borderId="37" fillId="23" fontId="5" numFmtId="205" xfId="0">
      <alignment horizontal="center" vertical="center"/>
    </xf>
    <xf applyAlignment="true" applyBorder="false" applyFill="false" applyFont="true" applyNumberFormat="true" applyProtection="false" borderId="37" fillId="0" fontId="2" numFmtId="204" xfId="0">
      <alignment horizontal="center" vertical="center"/>
    </xf>
    <xf applyAlignment="true" applyBorder="false" applyFill="false" applyFont="true" applyNumberFormat="false" applyProtection="false" borderId="38" fillId="0" fontId="2" numFmtId="0" xfId="0">
      <alignment horizontal="center" vertical="center"/>
    </xf>
    <xf applyAlignment="true" applyBorder="false" applyFill="true" applyFont="true" applyNumberFormat="false" applyProtection="false" borderId="37" fillId="23" fontId="4" numFmtId="0" xfId="0">
      <alignment horizontal="center" vertical="center"/>
    </xf>
    <xf applyAlignment="true" applyBorder="false" applyFill="true" applyFont="true" applyNumberFormat="false" applyProtection="false" borderId="37" fillId="23" fontId="2" numFmtId="0" xfId="0">
      <alignment horizontal="center" vertical="center"/>
    </xf>
    <xf applyAlignment="true" applyBorder="false" applyFill="false" applyFont="true" applyNumberFormat="false" applyProtection="false" borderId="37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06" xfId="0">
      <alignment vertical="center"/>
    </xf>
    <xf applyAlignment="true" applyBorder="false" applyFill="false" applyFont="true" applyNumberFormat="true" applyProtection="false" borderId="0" fillId="0" fontId="3" numFmtId="206" xfId="0">
      <alignment vertical="center"/>
    </xf>
    <xf applyAlignment="true" applyBorder="false" applyFill="true" applyFont="true" applyNumberFormat="false" applyProtection="false" borderId="39" fillId="24" fontId="1" numFmtId="0" xfId="0">
      <alignment horizontal="center" vertical="center"/>
    </xf>
    <xf applyAlignment="true" applyBorder="false" applyFill="true" applyFont="true" applyNumberFormat="true" applyProtection="false" borderId="39" fillId="24" fontId="1" numFmtId="207" xfId="0">
      <alignment horizontal="center" vertical="center"/>
    </xf>
    <xf applyAlignment="true" applyBorder="false" applyFill="false" applyFont="true" applyNumberFormat="true" applyProtection="false" borderId="39" fillId="0" fontId="2" numFmtId="208" xfId="0">
      <alignment horizontal="center" vertical="center"/>
    </xf>
    <xf applyAlignment="true" applyBorder="false" applyFill="false" applyFont="true" applyNumberFormat="false" applyProtection="false" borderId="39" fillId="0" fontId="2" numFmtId="0" xfId="0">
      <alignment horizontal="center" vertical="center"/>
    </xf>
    <xf applyAlignment="true" applyBorder="false" applyFill="false" applyFont="true" applyNumberFormat="true" applyProtection="false" borderId="39" fillId="0" fontId="2" numFmtId="209" xfId="0">
      <alignment horizontal="center" vertical="center"/>
    </xf>
    <xf applyAlignment="true" applyBorder="false" applyFill="false" applyFont="true" applyNumberFormat="false" applyProtection="false" borderId="40" fillId="0" fontId="2" numFmtId="0" xfId="0">
      <alignment horizontal="center" vertical="center"/>
    </xf>
    <xf applyAlignment="true" applyBorder="false" applyFill="false" applyFont="true" applyNumberFormat="false" applyProtection="false" borderId="39" fillId="0" fontId="2" numFmtId="0" xfId="0">
      <alignment horizontal="center" vertical="center"/>
    </xf>
    <xf applyAlignment="true" applyBorder="false" applyFill="true" applyFont="true" applyNumberFormat="false" applyProtection="false" borderId="39" fillId="25" fontId="4" numFmtId="0" xfId="0">
      <alignment horizontal="center" vertical="center"/>
    </xf>
    <xf applyAlignment="true" applyBorder="false" applyFill="true" applyFont="true" applyNumberFormat="false" applyProtection="false" borderId="39" fillId="25" fontId="6" numFmtId="0" xfId="0">
      <alignment horizontal="center" vertical="center"/>
    </xf>
    <xf applyAlignment="true" applyBorder="false" applyFill="true" applyFont="true" applyNumberFormat="false" applyProtection="false" borderId="39" fillId="25" fontId="5" numFmtId="0" xfId="0">
      <alignment horizontal="center" vertical="center"/>
    </xf>
    <xf applyAlignment="true" applyBorder="false" applyFill="true" applyFont="true" applyNumberFormat="true" applyProtection="false" borderId="39" fillId="25" fontId="5" numFmtId="209" xfId="0">
      <alignment horizontal="center" vertical="center"/>
    </xf>
    <xf applyAlignment="true" applyBorder="false" applyFill="true" applyFont="true" applyNumberFormat="false" applyProtection="false" borderId="39" fillId="25" fontId="6" numFmtId="0" xfId="0">
      <alignment horizontal="center" vertical="center"/>
    </xf>
    <xf applyAlignment="true" applyBorder="false" applyFill="false" applyFont="true" applyNumberFormat="false" applyProtection="false" borderId="41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39" fillId="25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210" xfId="0">
      <alignment vertical="center"/>
    </xf>
    <xf applyAlignment="true" applyBorder="false" applyFill="true" applyFont="true" applyNumberFormat="true" applyProtection="false" borderId="0" fillId="26" fontId="3" numFmtId="211" xfId="0">
      <alignment vertical="center"/>
    </xf>
    <xf applyAlignment="true" applyBorder="false" applyFill="true" applyFont="true" applyNumberFormat="false" applyProtection="false" borderId="0" fillId="26" fontId="3" numFmtId="0" xfId="0">
      <alignment vertical="center"/>
    </xf>
    <xf applyAlignment="true" applyBorder="false" applyFill="true" applyFont="true" applyNumberFormat="false" applyProtection="false" borderId="0" fillId="26" fontId="3" numFmtId="0" xfId="0">
      <alignment vertical="center"/>
    </xf>
    <xf applyAlignment="true" applyBorder="false" applyFill="false" applyFont="true" applyNumberFormat="true" applyProtection="false" borderId="0" fillId="0" fontId="7" numFmtId="21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42" fillId="27" fontId="1" numFmtId="0" xfId="0">
      <alignment horizontal="center" vertical="center"/>
    </xf>
    <xf applyAlignment="true" applyBorder="false" applyFill="true" applyFont="true" applyNumberFormat="true" applyProtection="false" borderId="42" fillId="27" fontId="1" numFmtId="212" xfId="0">
      <alignment horizontal="center" vertical="center"/>
    </xf>
    <xf applyAlignment="true" applyBorder="false" applyFill="false" applyFont="true" applyNumberFormat="true" applyProtection="false" borderId="42" fillId="0" fontId="2" numFmtId="213" xfId="0">
      <alignment horizontal="center" vertical="center"/>
    </xf>
    <xf applyAlignment="true" applyBorder="false" applyFill="false" applyFont="true" applyNumberFormat="false" applyProtection="false" borderId="43" fillId="0" fontId="2" numFmtId="0" xfId="0">
      <alignment horizontal="center" vertical="center"/>
    </xf>
    <xf applyAlignment="true" applyBorder="false" applyFill="false" applyFont="true" applyNumberFormat="false" applyProtection="false" borderId="42" fillId="0" fontId="2" numFmtId="0" xfId="0">
      <alignment horizontal="center" vertical="center"/>
    </xf>
    <xf applyAlignment="true" applyBorder="false" applyFill="false" applyFont="true" applyNumberFormat="false" applyProtection="false" borderId="42" fillId="0" fontId="2" numFmtId="0" xfId="0">
      <alignment horizontal="center" vertical="center"/>
    </xf>
    <xf applyAlignment="true" applyBorder="false" applyFill="false" applyFont="true" applyNumberFormat="true" applyProtection="false" borderId="42" fillId="0" fontId="2" numFmtId="214" xfId="0">
      <alignment horizontal="center" vertical="center"/>
    </xf>
    <xf applyAlignment="true" applyBorder="false" applyFill="false" applyFont="true" applyNumberFormat="false" applyProtection="false" borderId="44" fillId="0" fontId="3" numFmtId="0" xfId="0">
      <alignment horizontal="center" vertical="center"/>
    </xf>
    <xf applyAlignment="true" applyBorder="false" applyFill="false" applyFont="true" applyNumberFormat="false" applyProtection="false" borderId="45" fillId="0" fontId="2" numFmtId="0" xfId="0">
      <alignment horizontal="center" vertical="center"/>
    </xf>
    <xf applyAlignment="true" applyBorder="false" applyFill="true" applyFont="true" applyNumberFormat="true" applyProtection="false" borderId="42" fillId="28" fontId="4" numFmtId="213" xfId="0">
      <alignment horizontal="center" vertical="center"/>
    </xf>
    <xf applyAlignment="true" applyBorder="false" applyFill="true" applyFont="true" applyNumberFormat="false" applyProtection="false" borderId="46" fillId="28" fontId="6" numFmtId="0" xfId="0">
      <alignment horizontal="center" vertical="center"/>
    </xf>
    <xf applyAlignment="true" applyBorder="false" applyFill="true" applyFont="true" applyNumberFormat="false" applyProtection="false" borderId="42" fillId="28" fontId="6" numFmtId="0" xfId="0">
      <alignment horizontal="center" vertical="center"/>
    </xf>
    <xf applyAlignment="true" applyBorder="false" applyFill="true" applyFont="true" applyNumberFormat="false" applyProtection="false" borderId="42" fillId="28" fontId="5" numFmtId="0" xfId="0">
      <alignment horizontal="center" vertical="center"/>
    </xf>
    <xf applyAlignment="true" applyBorder="false" applyFill="true" applyFont="true" applyNumberFormat="true" applyProtection="false" borderId="42" fillId="28" fontId="5" numFmtId="214" xfId="0">
      <alignment horizontal="center" vertical="center"/>
    </xf>
    <xf applyAlignment="true" applyBorder="false" applyFill="true" applyFont="true" applyNumberFormat="true" applyProtection="false" borderId="42" fillId="28" fontId="4" numFmtId="213" xfId="0">
      <alignment horizontal="center" vertical="center"/>
    </xf>
    <xf applyAlignment="true" applyBorder="false" applyFill="false" applyFont="true" applyNumberFormat="true" applyProtection="false" borderId="42" fillId="0" fontId="2" numFmtId="213" xfId="0">
      <alignment horizontal="center" vertical="center"/>
    </xf>
    <xf applyAlignment="true" applyBorder="false" applyFill="false" applyFont="true" applyNumberFormat="false" applyProtection="false" borderId="47" fillId="0" fontId="2" numFmtId="0" xfId="0">
      <alignment horizontal="center" vertical="center"/>
    </xf>
    <xf applyAlignment="true" applyBorder="false" applyFill="true" applyFont="true" applyNumberFormat="false" applyProtection="false" borderId="42" fillId="28" fontId="6" numFmtId="0" xfId="0">
      <alignment horizontal="center" vertical="center"/>
    </xf>
    <xf applyAlignment="true" applyBorder="false" applyFill="true" applyFont="true" applyNumberFormat="false" applyProtection="false" borderId="42" fillId="29" fontId="2" numFmtId="0" xfId="0">
      <alignment horizontal="center" vertical="center"/>
    </xf>
    <xf applyAlignment="true" applyBorder="false" applyFill="true" applyFont="true" applyNumberFormat="false" applyProtection="false" borderId="42" fillId="28" fontId="4" numFmtId="0" xfId="0">
      <alignment horizontal="center" vertical="center"/>
    </xf>
    <xf applyAlignment="true" applyBorder="false" applyFill="false" applyFont="true" applyNumberFormat="true" applyProtection="false" borderId="48" fillId="0" fontId="9" numFmtId="21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49" fillId="30" fontId="1" numFmtId="0" xfId="0">
      <alignment horizontal="center" vertical="center"/>
    </xf>
    <xf applyAlignment="true" applyBorder="false" applyFill="true" applyFont="true" applyNumberFormat="true" applyProtection="false" borderId="49" fillId="30" fontId="1" numFmtId="215" xfId="0">
      <alignment horizontal="center" vertical="center"/>
    </xf>
    <xf applyAlignment="true" applyBorder="false" applyFill="true" applyFont="true" applyNumberFormat="true" applyProtection="false" borderId="49" fillId="30" fontId="1" numFmtId="215" xfId="0">
      <alignment horizontal="center" vertical="center"/>
    </xf>
    <xf applyAlignment="true" applyBorder="false" applyFill="false" applyFont="true" applyNumberFormat="true" applyProtection="false" borderId="49" fillId="0" fontId="2" numFmtId="216" xfId="0">
      <alignment horizontal="center" vertical="center"/>
    </xf>
    <xf applyAlignment="true" applyBorder="false" applyFill="false" applyFont="true" applyNumberFormat="false" applyProtection="false" borderId="50" fillId="0" fontId="3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true" applyProtection="false" borderId="49" fillId="0" fontId="2" numFmtId="217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false" applyProtection="false" borderId="49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49" fillId="31" fontId="4" numFmtId="216" xfId="0">
      <alignment horizontal="center" vertical="center"/>
    </xf>
    <xf applyAlignment="true" applyBorder="false" applyFill="true" applyFont="true" applyNumberFormat="false" applyProtection="false" borderId="49" fillId="31" fontId="6" numFmtId="0" xfId="0">
      <alignment horizontal="center" vertical="center"/>
    </xf>
    <xf applyAlignment="true" applyBorder="false" applyFill="true" applyFont="true" applyNumberFormat="false" applyProtection="false" borderId="49" fillId="31" fontId="5" numFmtId="0" xfId="0">
      <alignment horizontal="center" vertical="center"/>
    </xf>
    <xf applyAlignment="true" applyBorder="false" applyFill="true" applyFont="true" applyNumberFormat="true" applyProtection="false" borderId="49" fillId="31" fontId="5" numFmtId="217" xfId="0">
      <alignment horizontal="center" vertical="center"/>
    </xf>
    <xf applyAlignment="true" applyBorder="false" applyFill="false" applyFont="true" applyNumberFormat="false" applyProtection="false" borderId="51" fillId="0" fontId="2" numFmtId="0" xfId="0">
      <alignment horizontal="center" vertical="center"/>
    </xf>
    <xf applyAlignment="true" applyBorder="false" applyFill="false" applyFont="true" applyNumberFormat="true" applyProtection="false" borderId="52" fillId="0" fontId="2" numFmtId="216" xfId="0">
      <alignment horizontal="center" vertical="center"/>
    </xf>
    <xf applyAlignment="true" applyBorder="false" applyFill="false" applyFont="true" applyNumberFormat="false" applyProtection="false" borderId="53" fillId="0" fontId="3" numFmtId="0" xfId="0">
      <alignment horizontal="center" vertical="center"/>
    </xf>
    <xf applyAlignment="true" applyBorder="false" applyFill="false" applyFont="true" applyNumberFormat="false" applyProtection="false" borderId="54" fillId="0" fontId="2" numFmtId="0" xfId="0">
      <alignment horizontal="center" vertical="center"/>
    </xf>
    <xf applyAlignment="true" applyBorder="false" applyFill="true" applyFont="true" applyNumberFormat="true" applyProtection="false" borderId="49" fillId="31" fontId="4" numFmtId="216" xfId="0">
      <alignment horizontal="center" vertical="center"/>
    </xf>
    <xf applyAlignment="true" applyBorder="false" applyFill="true" applyFont="true" applyNumberFormat="false" applyProtection="false" borderId="55" fillId="31" fontId="6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51" fillId="31" fontId="6" numFmtId="0" xfId="0">
      <alignment horizontal="center" vertical="center"/>
    </xf>
    <xf applyAlignment="true" applyBorder="false" applyFill="false" applyFont="true" applyNumberFormat="false" applyProtection="false" borderId="54" fillId="0" fontId="2" numFmtId="0" xfId="0">
      <alignment horizontal="center" vertical="center"/>
    </xf>
    <xf applyAlignment="true" applyBorder="false" applyFill="false" applyFont="true" applyNumberFormat="false" applyProtection="false" borderId="53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56" fillId="32" fontId="10" numFmtId="0" xfId="0">
      <alignment horizontal="center" vertical="center"/>
    </xf>
    <xf applyAlignment="true" applyBorder="false" applyFill="true" applyFont="true" applyNumberFormat="true" applyProtection="false" borderId="56" fillId="32" fontId="10" numFmtId="218" xfId="0">
      <alignment horizontal="center" vertical="center"/>
    </xf>
    <xf applyAlignment="true" applyBorder="false" applyFill="true" applyFont="true" applyNumberFormat="true" applyProtection="false" borderId="56" fillId="32" fontId="10" numFmtId="219" xfId="0">
      <alignment horizontal="center" vertical="center"/>
    </xf>
    <xf applyAlignment="true" applyBorder="false" applyFill="true" applyFont="true" applyNumberFormat="true" applyProtection="false" borderId="56" fillId="32" fontId="10" numFmtId="220" xfId="0">
      <alignment horizontal="center" vertical="center"/>
    </xf>
    <xf applyAlignment="true" applyBorder="false" applyFill="true" applyFont="true" applyNumberFormat="false" applyProtection="false" borderId="56" fillId="33" fontId="10" numFmtId="0" xfId="0">
      <alignment horizontal="center" vertical="center"/>
    </xf>
    <xf applyAlignment="true" applyBorder="false" applyFill="true" applyFont="true" applyNumberFormat="true" applyProtection="false" borderId="56" fillId="33" fontId="10" numFmtId="218" xfId="0">
      <alignment horizontal="center" vertical="center"/>
    </xf>
    <xf applyAlignment="true" applyBorder="false" applyFill="true" applyFont="true" applyNumberFormat="true" applyProtection="false" borderId="56" fillId="33" fontId="10" numFmtId="219" xfId="0">
      <alignment horizontal="center" vertical="center"/>
    </xf>
    <xf applyAlignment="true" applyBorder="false" applyFill="true" applyFont="true" applyNumberFormat="true" applyProtection="false" borderId="56" fillId="33" fontId="10" numFmtId="221" xfId="0">
      <alignment horizontal="center" vertical="center"/>
    </xf>
    <xf applyAlignment="true" applyBorder="false" applyFill="false" applyFont="true" applyNumberFormat="false" applyProtection="false" borderId="56" fillId="0" fontId="11" numFmtId="0" xfId="0">
      <alignment horizontal="center" vertical="center" wrapText="true"/>
    </xf>
    <xf applyAlignment="true" applyBorder="false" applyFill="false" applyFont="true" applyNumberFormat="false" applyProtection="false" borderId="56" fillId="0" fontId="12" numFmtId="0" xfId="0">
      <alignment horizontal="center" vertical="center" wrapText="true"/>
    </xf>
    <xf applyAlignment="true" applyBorder="false" applyFill="false" applyFont="true" applyNumberFormat="true" applyProtection="false" borderId="57" fillId="0" fontId="10" numFmtId="222" xfId="0">
      <alignment horizontal="center" vertical="center" wrapText="true"/>
    </xf>
    <xf applyAlignment="true" applyBorder="false" applyFill="false" applyFont="true" applyNumberFormat="false" applyProtection="false" borderId="56" fillId="0" fontId="13" numFmtId="0" xfId="0">
      <alignment horizontal="center" vertical="center"/>
    </xf>
    <xf applyAlignment="true" applyBorder="false" applyFill="true" applyFont="true" applyNumberFormat="false" applyProtection="false" borderId="56" fillId="34" fontId="14" numFmtId="0" xfId="0">
      <alignment horizontal="center" vertical="center"/>
    </xf>
    <xf applyAlignment="true" applyBorder="false" applyFill="false" applyFont="true" applyNumberFormat="false" applyProtection="false" borderId="56" fillId="0" fontId="9" numFmtId="0" xfId="0">
      <alignment horizontal="center" vertical="center" wrapText="true"/>
    </xf>
    <xf applyAlignment="true" applyBorder="false" applyFill="false" applyFont="true" applyNumberFormat="false" applyProtection="false" borderId="56" fillId="0" fontId="14" numFmtId="0" xfId="0">
      <alignment horizontal="center" vertical="center"/>
    </xf>
    <xf applyAlignment="true" applyBorder="false" applyFill="false" applyFont="true" applyNumberFormat="true" applyProtection="false" borderId="56" fillId="0" fontId="14" numFmtId="218" xfId="0">
      <alignment horizontal="center" vertical="center"/>
    </xf>
    <xf applyAlignment="true" applyBorder="false" applyFill="false" applyFont="true" applyNumberFormat="true" applyProtection="false" borderId="56" fillId="0" fontId="14" numFmtId="219" xfId="0">
      <alignment horizontal="center" vertical="center"/>
    </xf>
    <xf applyAlignment="true" applyBorder="false" applyFill="false" applyFont="true" applyNumberFormat="true" applyProtection="false" borderId="56" fillId="0" fontId="14" numFmtId="220" xfId="0">
      <alignment horizontal="center" vertical="center"/>
    </xf>
    <xf applyAlignment="true" applyBorder="false" applyFill="false" applyFont="true" applyNumberFormat="true" applyProtection="false" borderId="56" fillId="0" fontId="9" numFmtId="218" xfId="0">
      <alignment horizontal="center" vertical="center"/>
    </xf>
    <xf applyAlignment="true" applyBorder="false" applyFill="false" applyFont="true" applyNumberFormat="true" applyProtection="false" borderId="56" fillId="0" fontId="9" numFmtId="219" xfId="0">
      <alignment horizontal="center" vertical="center"/>
    </xf>
    <xf applyAlignment="true" applyBorder="false" applyFill="false" applyFont="true" applyNumberFormat="true" applyProtection="false" borderId="56" fillId="0" fontId="9" numFmtId="221" xfId="0">
      <alignment horizontal="center" vertical="center"/>
    </xf>
    <xf applyAlignment="true" applyBorder="false" applyFill="true" applyFont="true" applyNumberFormat="false" applyProtection="false" borderId="56" fillId="35" fontId="14" numFmtId="0" xfId="0">
      <alignment horizontal="center" vertical="center"/>
    </xf>
    <xf applyAlignment="true" applyBorder="false" applyFill="false" applyFont="true" applyNumberFormat="false" applyProtection="false" borderId="58" fillId="0" fontId="12" numFmtId="0" xfId="0">
      <alignment horizontal="center" vertical="center" wrapText="true"/>
    </xf>
    <xf applyAlignment="true" applyBorder="false" applyFill="true" applyFont="true" applyNumberFormat="true" applyProtection="false" borderId="56" fillId="34" fontId="14" numFmtId="221" xfId="0">
      <alignment horizontal="center" vertical="center"/>
    </xf>
    <xf applyAlignment="true" applyBorder="false" applyFill="false" applyFont="true" applyNumberFormat="true" applyProtection="false" borderId="56" fillId="0" fontId="9" numFmtId="221" xfId="0">
      <alignment horizontal="center" vertical="center" wrapText="true"/>
    </xf>
    <xf applyAlignment="true" applyBorder="false" applyFill="false" applyFont="true" applyNumberFormat="true" applyProtection="false" borderId="56" fillId="0" fontId="14" numFmtId="221" xfId="0">
      <alignment horizontal="center" vertical="center"/>
    </xf>
    <xf applyAlignment="true" applyBorder="false" applyFill="false" applyFont="true" applyNumberFormat="true" applyProtection="false" borderId="56" fillId="0" fontId="14" numFmtId="223" xfId="0">
      <alignment horizontal="center" vertical="center"/>
    </xf>
    <xf applyAlignment="true" applyBorder="false" applyFill="true" applyFont="true" applyNumberFormat="true" applyProtection="false" borderId="56" fillId="35" fontId="14" numFmtId="221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horizontal="center" vertical="center"/>
    </xf>
    <xf applyAlignment="true" applyBorder="false" applyFill="false" applyFont="true" applyNumberFormat="false" applyProtection="false" borderId="0" fillId="0" fontId="16" numFmtId="0" xfId="0">
      <alignment horizontal="center" vertical="center"/>
    </xf>
    <xf applyAlignment="true" applyBorder="false" applyFill="false" applyFont="true" applyNumberFormat="true" applyProtection="false" borderId="0" fillId="0" fontId="16" numFmtId="224" xfId="0">
      <alignment vertical="center"/>
    </xf>
    <xf applyAlignment="true" applyBorder="false" applyFill="false" applyFont="true" applyNumberFormat="true" applyProtection="false" borderId="0" fillId="0" fontId="16" numFmtId="219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Relationship Id="rId8" Target="worksheets/sheet4.xml" Type="http://schemas.openxmlformats.org/officeDocument/2006/relationships/worksheet"></Relationship><Relationship Id="rId9" Target="/xl/pivotCache/pivotCacheDefinition2.xml" Type="http://schemas.openxmlformats.org/officeDocument/2006/relationships/pivotCacheDefinition"></Relationship><Relationship Id="rId10" Target="worksheets/sheet5.xml" Type="http://schemas.openxmlformats.org/officeDocument/2006/relationships/worksheet"></Relationship><Relationship Id="rId11" Target="/xl/pivotCache/pivotCacheDefinition3.xml" Type="http://schemas.openxmlformats.org/officeDocument/2006/relationships/pivotCacheDefinition"></Relationship><Relationship Id="rId12" Target="worksheets/sheet6.xml" Type="http://schemas.openxmlformats.org/officeDocument/2006/relationships/worksheet"></Relationship><Relationship Id="rId13" Target="/xl/pivotCache/pivotCacheDefinition4.xml" Type="http://schemas.openxmlformats.org/officeDocument/2006/relationships/pivotCacheDefinition"></Relationship><Relationship Id="rId14" Target="worksheets/sheet7.xml" Type="http://schemas.openxmlformats.org/officeDocument/2006/relationships/worksheet"></Relationship><Relationship Id="rId15" Target="worksheets/sheet8.xml" Type="http://schemas.openxmlformats.org/officeDocument/2006/relationships/worksheet"></Relationship><Relationship Id="rId16" Target="worksheets/sheet9.xml" Type="http://schemas.openxmlformats.org/officeDocument/2006/relationships/worksheet"></Relationship><Relationship Id="rId17" Target="/xl/pivotCache/pivotCacheDefinition5.xml" Type="http://schemas.openxmlformats.org/officeDocument/2006/relationships/pivotCacheDefinition"></Relationship><Relationship Id="rId18" Target="worksheets/sheet10.xml" Type="http://schemas.openxmlformats.org/officeDocument/2006/relationships/worksheet"></Relationship><Relationship Id="rId19" Target="/xl/pivotCache/pivotCacheDefinition6.xml" Type="http://schemas.openxmlformats.org/officeDocument/2006/relationships/pivotCacheDefinition"></Relationship><Relationship Id="rId20" Target="worksheets/sheet11.xml" Type="http://schemas.openxmlformats.org/officeDocument/2006/relationships/worksheet"></Relationship><Relationship Id="rId21" Target="/xl/pivotCache/pivotCacheDefinition7.xml" Type="http://schemas.openxmlformats.org/officeDocument/2006/relationships/pivotCacheDefinition"></Relationship><Relationship Id="rId22" Target="worksheets/sheet12.xml" Type="http://schemas.openxmlformats.org/officeDocument/2006/relationships/worksheet"></Relationship><Relationship Id="rId23" Target="/xl/pivotCache/pivotCacheDefinition8.xml" Type="http://schemas.openxmlformats.org/officeDocument/2006/relationships/pivotCacheDefinition"></Relationship><Relationship Id="rId24" Target="worksheets/sheet13.xml" Type="http://schemas.openxmlformats.org/officeDocument/2006/relationships/worksheet"></Relationship><Relationship Id="rId25" Target="/xl/pivotCache/pivotCacheDefinition9.xml" Type="http://schemas.openxmlformats.org/officeDocument/2006/relationships/pivotCacheDefinition"></Relationship><Relationship Id="rId26" Target="worksheets/sheet14.xml" Type="http://schemas.openxmlformats.org/officeDocument/2006/relationships/worksheet"></Relationship><Relationship Id="rId27" Target="/xl/pivotCache/pivotCacheDefinition10.xml" Type="http://schemas.openxmlformats.org/officeDocument/2006/relationships/pivotCacheDefinition"></Relationship><Relationship Id="rId28" Target="worksheets/sheet15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71" sheet="2026.9"/>
  </cacheSource>
  <cacheFields count="16">
    <cacheField name="日期" numFmtId="0">
      <sharedItems count="0"/>
    </cacheField>
    <cacheField name="主播" numFmtId="0">
      <sharedItems containsBlank="true" count="8">
        <s v="郝铭扬"/>
        <s v="连贝贝"/>
        <s v="刘慕涵"/>
        <s v="李莹"/>
        <m/>
        <s v="张晓薇"/>
        <s v="陈旭"/>
        <s v="栗敏纳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.75" maxValue="20" count="10">
        <n v="5"/>
        <n v="20"/>
        <n v="4"/>
        <n v="16"/>
        <n v="15"/>
        <n v="2.75"/>
        <n v="18.75"/>
        <n v="3.25"/>
        <n v="3.5"/>
        <n v="16.75"/>
      </sharedItems>
    </cacheField>
    <cacheField name="总保单数量" numFmtId="0">
      <sharedItems containsSemiMixedTypes="false" containsString="false" containsNumber="true" containsInteger="true" minValue="0" maxValue="91" count="0"/>
    </cacheField>
    <cacheField name="年化保费" numFmtId="0">
      <sharedItems containsSemiMixedTypes="false" containsString="false" containsNumber="true" minValue="0" maxValue="112011.90000000001" count="158">
        <n v="18074.4"/>
        <n v="15205.199999999997"/>
        <n v="11866.800000000003"/>
        <n v="17043.6"/>
        <n v="62190"/>
        <n v="24082.6"/>
        <n v="37475.4"/>
        <n v="24100.75"/>
        <n v="20329.800000000003"/>
        <n v="105988.55"/>
        <n v="5560.8"/>
        <n v="4563.599999999999"/>
        <n v="6477.6"/>
        <n v="6682.799999999999"/>
        <n v="23284.8"/>
        <n v="11552.2"/>
        <n v="5004"/>
        <n v="0"/>
        <n v="20834.399999999998"/>
        <n v="37390.6"/>
        <n v="18812.2"/>
        <n v="13363.2"/>
        <n v="2601.5999999999985"/>
        <n v="9423.599999999999"/>
        <n v="44200.6"/>
        <n v="12890.4"/>
        <n v="9016.8"/>
        <n v="7278"/>
        <n v="1450.97"/>
        <n v="30636.17"/>
        <n v="6360"/>
        <n v="12431"/>
        <n v="21290.4"/>
        <n v="9345.6"/>
        <n v="49427"/>
        <n v="9543.6"/>
        <n v="3674.3999999999996"/>
        <n v="4944.72"/>
        <n v="2059.2"/>
        <n v="1764"/>
        <n v="20221.920000000002"/>
        <n v="2754"/>
        <n v="5152.8"/>
        <n v="7119.6"/>
        <n v="4028.4"/>
        <n v="15026.400000000001"/>
        <n v="5472"/>
        <n v="3054"/>
        <n v="4176"/>
        <n v="2064"/>
        <n v="8742.599999999999"/>
        <n v="23508.6"/>
        <n v="9558.5"/>
        <n v="4022.3999999999996"/>
        <n v="18977.8"/>
        <n v="32558.699999999997"/>
        <n v="1692"/>
        <n v="3003.6000000000004"/>
        <n v="3098.3999999999996"/>
        <n v="7020"/>
        <n v="14814"/>
        <n v="9686.4"/>
        <n v="2035.2000000000007"/>
        <n v="2283.5999999999985"/>
        <n v="11830.800000000003"/>
        <n v="29858.4"/>
        <n v="3751.2"/>
        <n v="2977.2"/>
        <n v="5428.800000000001"/>
        <n v="9422.599999999999"/>
        <n v="3492"/>
        <n v="25071.8"/>
        <n v="21844.4"/>
        <n v="14288.199999999997"/>
        <n v="32302.500000000007"/>
        <n v="27464"/>
        <n v="16112.800000000003"/>
        <n v="112011.90000000001"/>
        <n v="23913.6"/>
        <n v="19683.6"/>
        <n v="10212"/>
        <n v="20229.199999999997"/>
        <n v="7882.600000000006"/>
        <n v="81921"/>
        <n v="6110.4"/>
        <n v="4857.6"/>
        <n v="16938.8"/>
        <n v="10883.8"/>
        <n v="38790.6"/>
        <n v="16887.6"/>
        <n v="9922.600000000002"/>
        <n v="25156.2"/>
        <n v="13433.8"/>
        <n v="14278.8"/>
        <n v="79679"/>
        <n v="6081.6"/>
        <n v="1525.2"/>
        <n v="4603.2"/>
        <n v="12210"/>
        <n v="6476.4"/>
        <n v="6456"/>
        <n v="2071.2"/>
        <n v="2426.4"/>
        <n v="17430"/>
        <n v="8981.8"/>
        <n v="12161"/>
        <n v="12373"/>
        <n v="6058.8"/>
        <n v="8107"/>
        <n v="47681.600000000006"/>
        <n v="4538.4"/>
        <n v="7119.2"/>
        <n v="6158.2"/>
        <n v="11395.2"/>
        <n v="17065"/>
        <n v="46276"/>
        <n v="6812.4"/>
        <n v="13695.4"/>
        <n v="5923.200000000001"/>
        <n v="3871.2000000000007"/>
        <n v="30302.2"/>
        <n v="6323.6"/>
        <n v="8752.8"/>
        <n v="5450.4"/>
        <n v="3977.8"/>
        <n v="9007.2"/>
        <n v="33511.8"/>
        <n v="12166.08"/>
        <n v="569"/>
        <n v="2438"/>
        <n v="6834"/>
        <n v="8154"/>
        <n v="30161.08"/>
        <n v="1542"/>
        <n v="4586.4"/>
        <n v="2467.2"/>
        <n v="10666.8"/>
        <n v="3775.2"/>
        <n v="4633.92"/>
        <n v="787.2"/>
        <n v="822.8"/>
        <n v="10019.119999999999"/>
        <n v="8433.6"/>
        <n v="2863.199999999999"/>
        <n v="2624.4"/>
        <n v="8143.8"/>
        <n v="15412.6"/>
        <n v="37477.6"/>
        <n v="7280.4"/>
        <n v="2148"/>
        <n v="2808"/>
        <n v="3823.2000000000007"/>
        <n v="9184.4"/>
        <n v="25244"/>
        <n v="4470.24"/>
        <n v="6091.200000000001"/>
        <n v="4251.199999999999"/>
        <n v="14812.64"/>
      </sharedItems>
    </cacheField>
    <cacheField name="投流消耗" numFmtId="0">
      <sharedItems containsSemiMixedTypes="false" containsString="false" containsNumber="true" minValue="1500.6399999999999" maxValue="69930.63999999998" count="170">
        <n v="10754.550000000001"/>
        <n v="18131.88"/>
        <n v="12850.28"/>
        <n v="12055.72"/>
        <n v="53792.43"/>
        <n v="16123.37"/>
        <n v="21238.569999999996"/>
        <n v="18897.44"/>
        <n v="13671.26"/>
        <n v="69930.63999999998"/>
        <n v="5808.58"/>
        <n v="4561.63"/>
        <n v="4589.7"/>
        <n v="7451.81"/>
        <n v="22411.72"/>
        <n v="8399.76"/>
        <n v="6130.150000000001"/>
        <n v="2876.97"/>
        <n v="8088.29"/>
        <n v="25495.170000000002"/>
        <n v="13026.16"/>
        <n v="10141.58"/>
        <n v="5897.660000000001"/>
        <n v="6360.98"/>
        <n v="35426.38"/>
        <n v="10959.16"/>
        <n v="11251.02"/>
        <n v="4740.46"/>
        <n v="6633.07"/>
        <n v="33583.71"/>
        <n v="8729.33"/>
        <n v="9627.28"/>
        <n v="10349.66"/>
        <n v="8949.03"/>
        <n v="37655.3"/>
        <n v="6827.4400000000005"/>
        <n v="7592.16"/>
        <n v="3125.65"/>
        <n v="3216.98"/>
        <n v="2879.97"/>
        <n v="23642.2"/>
        <n v="4825.93"/>
        <n v="2941.14"/>
        <n v="2467.13"/>
        <n v="3138.02"/>
        <n v="5028.87"/>
        <n v="18401.09"/>
        <n v="4017.5"/>
        <n v="3131.7700000000004"/>
        <n v="3722.39"/>
        <n v="2291.3500000000004"/>
        <n v="5011.3"/>
        <n v="18174.31"/>
        <n v="6497.96"/>
        <n v="4297.630000000001"/>
        <n v="9231.83"/>
        <n v="20027.42"/>
        <n v="4341.6"/>
        <n v="2129.88"/>
        <n v="2376.24"/>
        <n v="7529.8"/>
        <n v="16377.52"/>
        <n v="4937.15"/>
        <n v="4130.1900000000005"/>
        <n v="2923.55"/>
        <n v="2233.94"/>
        <n v="4511.57"/>
        <n v="18736.4"/>
        <n v="5571.429999999999"/>
        <n v="5907.19"/>
        <n v="3589.9599999999996"/>
        <n v="4974.710000000001"/>
        <n v="8118.790000000001"/>
        <n v="28162.08"/>
        <n v="6910.32"/>
        <n v="12583.19"/>
        <n v="17006.989999999998"/>
        <n v="18305.9"/>
        <n v="10782.23"/>
        <n v="65588.63"/>
        <n v="15052.47"/>
        <n v="13980.470000000001"/>
        <n v="12693.02"/>
        <n v="13759.630000000001"/>
        <n v="9254.52"/>
        <n v="64740.110000000015"/>
        <n v="5636.2"/>
        <n v="4878.6"/>
        <n v="5648.89"/>
        <n v="8616.63"/>
        <n v="9517.51"/>
        <n v="34297.83"/>
        <n v="13592.880000000001"/>
        <n v="8689.1"/>
        <n v="12272.59"/>
        <n v="9918.48"/>
        <n v="10095.9"/>
        <n v="54568.950000000004"/>
        <n v="3309.15"/>
        <n v="2593.8"/>
        <n v="2653.39"/>
        <n v="3307.04"/>
        <n v="3284.71"/>
        <n v="15148.09"/>
        <n v="3739.4199999999996"/>
        <n v="4239.29"/>
        <n v="3221.49"/>
        <n v="2532.51"/>
        <n v="4028.47"/>
        <n v="17761.18"/>
        <n v="5840.94"/>
        <n v="7669.77"/>
        <n v="4952.39"/>
        <n v="7692.42"/>
        <n v="4237.85"/>
        <n v="30393.369999999995"/>
        <n v="5385.45"/>
        <n v="6868.83"/>
        <n v="5460.89"/>
        <n v="4946.79"/>
        <n v="10179.41"/>
        <n v="32841.369999999995"/>
        <n v="12793.7"/>
        <n v="9520.12"/>
        <n v="6522.8"/>
        <n v="3436.1499999999996"/>
        <n v="2701.6099999999997"/>
        <n v="34974.38"/>
        <n v="3728.83"/>
        <n v="4334.610000000001"/>
        <n v="4892.36"/>
        <n v="5255.69"/>
        <n v="7359.04"/>
        <n v="25570.53"/>
        <n v="6689.900000000001"/>
        <n v="4936.86"/>
        <n v="3041.41"/>
        <n v="4746.55"/>
        <n v="9645.87"/>
        <n v="29060.590000000004"/>
        <n v="6012.04"/>
        <n v="4843.03"/>
        <n v="4232.47"/>
        <n v="1696.66"/>
        <n v="2433.96"/>
        <n v="19218.16"/>
        <n v="4996.39"/>
        <n v="5105.54"/>
        <n v="1757.23"/>
        <n v="2492.78"/>
        <n v="4534.41"/>
        <n v="18886.35"/>
        <n v="7505.9400000000005"/>
        <n v="2843.89"/>
        <n v="6396.57"/>
        <n v="5935.45"/>
        <n v="7352.31"/>
        <n v="30034.160000000003"/>
        <n v="6568.0599999999995"/>
        <n v="3623.25"/>
        <n v="2945.85"/>
        <n v="2718.7299999999996"/>
        <n v="6240.629999999999"/>
        <n v="22096.519999999997"/>
        <n v="3194.6200000000003"/>
        <n v="2694.85"/>
        <n v="2142.97"/>
        <n v="1500.6399999999999"/>
        <n v="3087.94"/>
        <n v="12621.02"/>
      </sharedItems>
    </cacheField>
    <cacheField name="ROI" numFmtId="0">
      <sharedItems containsSemiMixedTypes="false" containsString="false" containsNumber="true" minValue="0" maxValue="4.059068130930804" count="0"/>
    </cacheField>
    <cacheField name="单均" numFmtId="0">
      <sharedItems containsMixedTypes="true" containsNumber="true" minValue="207.28142857142856" maxValue="2467.2" count="0"/>
    </cacheField>
    <cacheField name="保单成本" numFmtId="0">
      <sharedItems containsMixedTypes="true" containsNumber="true" minValue="352.44714285714286" maxValue="4936.86" count="0"/>
    </cacheField>
    <cacheField name="T0脱退单数量" numFmtId="0">
      <sharedItems containsSemiMixedTypes="false" containsString="false" containsNumber="true" containsInteger="true" minValue="0" maxValue="23" count="0"/>
    </cacheField>
    <cacheField name="T0脱退保费" numFmtId="0">
      <sharedItems containsSemiMixedTypes="false" containsString="false" containsNumber="true" minValue="0" maxValue="25040.8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2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5" maxValue="20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85" sheet="2026.8"/>
  </cacheSource>
  <cacheFields count="16">
    <cacheField name="日期" numFmtId="0">
      <sharedItems count="0"/>
    </cacheField>
    <cacheField name="主播" numFmtId="0">
      <sharedItems containsBlank="true" count="7">
        <s v="刘慕涵"/>
        <s v="张晓薇"/>
        <s v="郝铭扬"/>
        <s v="连贝贝"/>
        <m/>
        <s v="李莹"/>
        <s v="栗敏纳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9">
        <n v="5"/>
        <n v="20"/>
        <n v="2"/>
        <n v="4"/>
        <n v="3"/>
        <n v="3.25"/>
        <n v="18.5"/>
        <n v="3.5"/>
        <n v="3.75"/>
      </sharedItems>
    </cacheField>
    <cacheField name="总保单数量" numFmtId="0">
      <sharedItems containsSemiMixedTypes="false" containsString="false" containsNumber="true" containsInteger="true" minValue="1" maxValue="108" count="0"/>
    </cacheField>
    <cacheField name="年化保费" numFmtId="0">
      <sharedItems containsSemiMixedTypes="false" containsString="false" containsNumber="true" minValue="59.400000000001455" maxValue="122920.80000000002" count="0"/>
    </cacheField>
    <cacheField name="投流消耗" numFmtId="0">
      <sharedItems containsSemiMixedTypes="false" containsString="false" containsNumber="true" minValue="3602.9999999999995" maxValue="88061.84" count="0"/>
    </cacheField>
    <cacheField name="ROI" numFmtId="0">
      <sharedItems containsSemiMixedTypes="false" containsString="false" containsNumber="true" minValue="0.01302751569223513" maxValue="2.6930416791203937" count="0"/>
    </cacheField>
    <cacheField name="单均" numFmtId="0">
      <sharedItems containsSemiMixedTypes="false" containsString="false" containsNumber="true" minValue="59.400000000001455" maxValue="2155.2" count="0"/>
    </cacheField>
    <cacheField name="保单成本" numFmtId="0">
      <sharedItems containsSemiMixedTypes="false" containsString="false" containsNumber="true" minValue="494.6495" maxValue="4559.58" count="0"/>
    </cacheField>
    <cacheField name="T0脱退单数量" numFmtId="0">
      <sharedItems containsSemiMixedTypes="false" containsString="false" containsNumber="true" containsInteger="true" minValue="0" maxValue="25" count="0"/>
    </cacheField>
    <cacheField name="T0脱退保费" numFmtId="0">
      <sharedItems containsSemiMixedTypes="false" containsString="false" containsNumber="true" minValue="0" maxValue="26672.2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9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10" maxValue="20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62" sheet="2026.7"/>
  </cacheSource>
  <cacheFields count="16">
    <cacheField name="日期" numFmtId="0">
      <sharedItems count="0"/>
    </cacheField>
    <cacheField name="主播" numFmtId="0">
      <sharedItems containsBlank="true" count="6">
        <s v="刘慕涵"/>
        <s v="栗敏纳"/>
        <s v="郝铭扬"/>
        <s v="连贝贝"/>
        <s v="张晓薇"/>
        <m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3" maxValue="20" count="9">
        <n v="4"/>
        <n v="5"/>
        <n v="3"/>
        <n v="20"/>
        <n v="19"/>
        <n v="3.5"/>
        <n v="18.5"/>
        <n v="4.5"/>
        <n v="17.5"/>
      </sharedItems>
    </cacheField>
    <cacheField name="总保单数量" numFmtId="0">
      <sharedItems containsSemiMixedTypes="false" containsString="false" containsNumber="true" containsInteger="true" minValue="3" maxValue="124" count="0"/>
    </cacheField>
    <cacheField name="年化保费" numFmtId="0">
      <sharedItems containsSemiMixedTypes="false" containsString="false" containsNumber="true" minValue="3799.199999999997" maxValue="173990" count="160">
        <n v="18699.6"/>
        <n v="42283.2"/>
        <n v="32189.6"/>
        <n v="43725.2"/>
        <n v="21410.400000000023"/>
        <n v="158308"/>
        <n v="22575"/>
        <n v="37294.799999999996"/>
        <n v="32883.59999999999"/>
        <n v="26232.000000000015"/>
        <n v="19449.59999999999"/>
        <n v="138435"/>
        <n v="26629.2"/>
        <n v="16041.6"/>
        <n v="25334.199999999997"/>
        <n v="23386.800000000003"/>
        <n v="15596.399999999994"/>
        <n v="106988.2"/>
        <n v="48402"/>
        <n v="34553.600000000006"/>
        <n v="44113.2"/>
        <n v="17996.40000000001"/>
        <n v="28924.79999999999"/>
        <n v="173990"/>
        <n v="21223.8"/>
        <n v="32052"/>
        <n v="14443.199999999993"/>
        <n v="13206"/>
        <n v="21972"/>
        <n v="102897"/>
        <n v="5602.8"/>
        <n v="5316"/>
        <n v="20771"/>
        <n v="24114.000000000004"/>
        <n v="17096.399999999994"/>
        <n v="72900.2"/>
        <n v="16658.6"/>
        <n v="11796"/>
        <n v="10760.400000000001"/>
        <n v="32289.600000000006"/>
        <n v="71504.6"/>
        <n v="17312.4"/>
        <n v="17454.799999999996"/>
        <n v="12295.200000000004"/>
        <n v="48522.79999999998"/>
        <n v="95585.19999999998"/>
        <n v="26027.000000000004"/>
        <n v="26588.399999999998"/>
        <n v="16327.200000000004"/>
        <n v="17712.000000000015"/>
        <n v="86654.60000000002"/>
        <n v="23836.8"/>
        <n v="13561.8"/>
        <n v="30226.799999999992"/>
        <n v="31488.000000000007"/>
        <n v="99113.4"/>
        <n v="23912.8"/>
        <n v="56560.8"/>
        <n v="74607.4"/>
        <n v="16011.600000000006"/>
        <n v="171092.6"/>
        <n v="29752.8"/>
        <n v="29737.2"/>
        <n v="25080"/>
        <n v="33785.03999999999"/>
        <n v="118355.04"/>
        <n v="33927"/>
        <n v="13380"/>
        <n v="22240"/>
        <n v="23685.600000000006"/>
        <n v="93232.6"/>
        <n v="33665"/>
        <n v="38843.8"/>
        <n v="14085.399999999994"/>
        <n v="15034.199999999997"/>
        <n v="101628.4"/>
        <n v="8739.6"/>
        <n v="14858.199999999999"/>
        <n v="31545.600000000002"/>
        <n v="34033.20000000001"/>
        <n v="89176.6"/>
        <n v="13862.4"/>
        <n v="4472.4"/>
        <n v="9798"/>
        <n v="7639.200000000001"/>
        <n v="35772"/>
        <n v="12171"/>
        <n v="14834.400000000001"/>
        <n v="8565.599999999999"/>
        <n v="15493.199999999997"/>
        <n v="51064.2"/>
        <n v="5473.2"/>
        <n v="6631.2"/>
        <n v="22812"/>
        <n v="16708.199999999997"/>
        <n v="51624.6"/>
        <n v="14576.4"/>
        <n v="30868.799999999996"/>
        <n v="32715.800000000003"/>
        <n v="23193"/>
        <n v="101354"/>
        <n v="21942"/>
        <n v="37962.2"/>
        <n v="21997.800000000003"/>
        <n v="10360.800000000007"/>
        <n v="92262.8"/>
        <n v="38729.28"/>
        <n v="31799.600000000006"/>
        <n v="27732"/>
        <n v="20713.199999999997"/>
        <n v="118974.08"/>
        <n v="8632.8"/>
        <n v="29782.8"/>
        <n v="19727.800000000003"/>
        <n v="45353.200000000004"/>
        <n v="103496.6"/>
        <n v="16605.4"/>
        <n v="13709.599999999999"/>
        <n v="53252.399999999994"/>
        <n v="97277"/>
        <n v="16557.72"/>
        <n v="13850.4"/>
        <n v="8222.399999999998"/>
        <n v="36744.00000000001"/>
        <n v="75374.52000000002"/>
        <n v="15182.4"/>
        <n v="23750.4"/>
        <n v="16435.199999999997"/>
        <n v="23938.600000000006"/>
        <n v="79306.6"/>
        <n v="7269.6"/>
        <n v="10162.800000000001"/>
        <n v="21461.799999999996"/>
        <n v="17713.200000000004"/>
        <n v="56607.4"/>
        <n v="27858.8"/>
        <n v="8976.000000000004"/>
        <n v="3799.199999999997"/>
        <n v="32514"/>
        <n v="73148"/>
        <n v="21595.2"/>
        <n v="11157.599999999999"/>
        <n v="42026.2"/>
        <n v="19955.880000000005"/>
        <n v="94734.88"/>
        <n v="18334.2"/>
        <n v="30761.639999999996"/>
        <n v="25539.600000000006"/>
        <n v="18895.199999999997"/>
        <n v="93530.64"/>
        <n v="8003.8"/>
        <n v="10658.400000000001"/>
        <n v="12288"/>
        <n v="22195.2"/>
        <n v="53145.4"/>
        <n v="37250.4"/>
        <n v="27681.6"/>
        <n v="17242.800000000003"/>
        <n v="32156"/>
        <n v="114330.8"/>
      </sharedItems>
    </cacheField>
    <cacheField name="投流消耗" numFmtId="0">
      <sharedItems containsSemiMixedTypes="false" containsString="false" containsNumber="true" minValue="7109.599999999999" maxValue="122336.11" count="161">
        <n v="16452.629999999997"/>
        <n v="28875.48"/>
        <n v="21175.89"/>
        <n v="28312.69"/>
        <n v="27519.42"/>
        <n v="122336.11"/>
        <n v="20477.32"/>
        <n v="22746.97"/>
        <n v="18951.370000000003"/>
        <n v="24654.770000000004"/>
        <n v="17078.74"/>
        <n v="103909.17000000001"/>
        <n v="18299.62"/>
        <n v="19213.72"/>
        <n v="19287.719999999998"/>
        <n v="17394.769999999997"/>
        <n v="14742.200000000003"/>
        <n v="88938.02999999998"/>
        <n v="24579.18"/>
        <n v="28487.120000000003"/>
        <n v="31639.76"/>
        <n v="18800.62"/>
        <n v="18482.75"/>
        <n v="121989.43"/>
        <n v="15920.529999999999"/>
        <n v="18946.82"/>
        <n v="20108.33"/>
        <n v="12739.010000000002"/>
        <n v="14321.08"/>
        <n v="82035.77"/>
        <n v="10743.900000000001"/>
        <n v="9150.210000000001"/>
        <n v="10723.32"/>
        <n v="15821.99"/>
        <n v="14616.630000000001"/>
        <n v="61056.05"/>
        <n v="14640.379999999997"/>
        <n v="13150.119999999999"/>
        <n v="9225.71"/>
        <n v="15163.579999999998"/>
        <n v="52179.78999999999"/>
        <n v="15286.410000000002"/>
        <n v="12934.529999999999"/>
        <n v="9028.1"/>
        <n v="23659.6"/>
        <n v="60908.64"/>
        <n v="22038.2"/>
        <n v="20275.21"/>
        <n v="11775.91"/>
        <n v="16683.75"/>
        <n v="70773.07"/>
        <n v="15296.590000000004"/>
        <n v="13983.59"/>
        <n v="7109.599999999999"/>
        <n v="18264.65"/>
        <n v="54654.43000000001"/>
        <n v="22322.34"/>
        <n v="21500.370000000003"/>
        <n v="40909.29"/>
        <n v="26683.57"/>
        <n v="111415.57"/>
        <n v="21714.16"/>
        <n v="20382.03"/>
        <n v="21918.350000000002"/>
        <n v="18952.399999999998"/>
        <n v="82966.94"/>
        <n v="25731.3"/>
        <n v="16745.25"/>
        <n v="15951.899999999998"/>
        <n v="18057.21"/>
        <n v="76485.66"/>
        <n v="23373.11"/>
        <n v="24002.310000000005"/>
        <n v="17824.94"/>
        <n v="20041.12"/>
        <n v="85241.48"/>
        <n v="10695"/>
        <n v="13098.24"/>
        <n v="11261.779999999999"/>
        <n v="21020.77"/>
        <n v="56075.78999999999"/>
        <n v="11819.27"/>
        <n v="8067.52"/>
        <n v="7219.530000000001"/>
        <n v="11294.53"/>
        <n v="38400.85"/>
        <n v="8263.73"/>
        <n v="16818.67"/>
        <n v="7337.110000000001"/>
        <n v="10293.449999999999"/>
        <n v="42712.96"/>
        <n v="9579.59"/>
        <n v="10390.53"/>
        <n v="13047.810000000001"/>
        <n v="12152.32"/>
        <n v="45170.25000000001"/>
        <n v="16033.789999999999"/>
        <n v="15841.289999999999"/>
        <n v="21066.2"/>
        <n v="19619.479999999996"/>
        <n v="72560.76"/>
        <n v="13482.7"/>
        <n v="19585.86"/>
        <n v="14786.369999999999"/>
        <n v="13306.79"/>
        <n v="61161.719999999994"/>
        <n v="22119.300000000003"/>
        <n v="23182.079999999998"/>
        <n v="20170.099999999995"/>
        <n v="17422.67"/>
        <n v="82894.15"/>
        <n v="17295.36"/>
        <n v="19064.53"/>
        <n v="12126.54"/>
        <n v="22725.54"/>
        <n v="71211.97"/>
        <n v="17105.23"/>
        <n v="15614.86"/>
        <n v="8487.529999999999"/>
        <n v="19102.1"/>
        <n v="60309.719999999994"/>
        <n v="18486.82"/>
        <n v="16765.940000000002"/>
        <n v="7779.71"/>
        <n v="17342.640000000003"/>
        <n v="60375.11"/>
        <n v="18115.64"/>
        <n v="10388.73"/>
        <n v="11794.68"/>
        <n v="13899.19"/>
        <n v="54198.240000000005"/>
        <n v="10337.800000000001"/>
        <n v="11678.130000000001"/>
        <n v="14691.029999999999"/>
        <n v="11165.23"/>
        <n v="47872.19"/>
        <n v="14476.97"/>
        <n v="18663.31"/>
        <n v="7126.070000000001"/>
        <n v="12156.160000000002"/>
        <n v="52422.51"/>
        <n v="16356.440000000002"/>
        <n v="13365.349999999999"/>
        <n v="17968.12"/>
        <n v="20646.359999999997"/>
        <n v="68336.27"/>
        <n v="17392.19"/>
        <n v="21113.27"/>
        <n v="14880.73"/>
        <n v="13933.66"/>
        <n v="67319.85"/>
        <n v="7513.66"/>
        <n v="10090.38"/>
        <n v="10716.810000000001"/>
        <n v="17335"/>
        <n v="45655.850000000006"/>
        <n v="18558.04"/>
        <n v="23209.35"/>
        <n v="10326.49"/>
        <n v="16432.62"/>
        <n v="68526.5"/>
      </sharedItems>
    </cacheField>
    <cacheField name="ROI" numFmtId="0">
      <sharedItems containsSemiMixedTypes="false" containsString="false" containsNumber="true" minValue="0.4809436268271814" maxValue="4.251547203780802" count="0"/>
    </cacheField>
    <cacheField name="单均" numFmtId="0">
      <sharedItems containsSemiMixedTypes="false" containsString="false" containsNumber="true" minValue="894.4799999999999" maxValue="2141.3999999999996" count="0"/>
    </cacheField>
    <cacheField name="保单成本" numFmtId="0">
      <sharedItems containsSemiMixedTypes="false" containsString="false" containsNumber="true" minValue="374.1894736842105" maxValue="2685.9750000000004" count="0"/>
    </cacheField>
    <cacheField name="T0脱退单数量" numFmtId="0">
      <sharedItems containsSemiMixedTypes="false" containsString="false" containsNumber="true" containsInteger="true" minValue="0" maxValue="40" count="0"/>
    </cacheField>
    <cacheField name="T0脱退保费" numFmtId="0">
      <sharedItems containsSemiMixedTypes="false" containsString="false" containsNumber="true" minValue="0" maxValue="49863.2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9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9" maxValue="20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55" sheet="2026.6"/>
  </cacheSource>
  <cacheFields count="16">
    <cacheField name="日期" numFmtId="0">
      <sharedItems count="0"/>
    </cacheField>
    <cacheField name="主播" numFmtId="0">
      <sharedItems containsBlank="true" count="7">
        <s v="林育菁"/>
        <s v="刘慕涵"/>
        <s v="张晓薇"/>
        <s v="连贝贝"/>
        <m/>
        <s v="栗敏纳"/>
        <s v="郝铭扬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11">
        <n v="5"/>
        <n v="20"/>
        <n v="4"/>
        <n v="16"/>
        <n v="3"/>
        <n v="18"/>
        <n v="2"/>
        <n v="4.5"/>
        <n v="19"/>
        <n v="3.5"/>
        <n v="18.5"/>
      </sharedItems>
    </cacheField>
    <cacheField name="总保单数量" numFmtId="0">
      <sharedItems containsSemiMixedTypes="false" containsString="false" containsNumber="true" containsInteger="true" minValue="3" maxValue="126" count="0"/>
    </cacheField>
    <cacheField name="年化保费" numFmtId="0">
      <sharedItems containsSemiMixedTypes="false" containsString="false" containsNumber="true" minValue="3601.2000000000035" maxValue="189336.40000000002" count="154">
        <n v="21560.4"/>
        <n v="18714"/>
        <n v="7164"/>
        <n v="29199.400000000012"/>
        <n v="76637.80000000002"/>
        <n v="8800.8"/>
        <n v="9439.8"/>
        <n v="15265.200000000004"/>
        <n v="20285.999999999993"/>
        <n v="53791.799999999996"/>
        <n v="21964.8"/>
        <n v="35714.399999999994"/>
        <n v="22030.799999999996"/>
        <n v="32107.40000000001"/>
        <n v="111817.40000000001"/>
        <n v="11029.2"/>
        <n v="18840"/>
        <n v="31665.8"/>
        <n v="19930.19999999999"/>
        <n v="81465.19999999998"/>
        <n v="19616.4"/>
        <n v="39850.799999999996"/>
        <n v="6982.800000000003"/>
        <n v="13077.600000000006"/>
        <n v="79527.6"/>
        <n v="18614.4"/>
        <n v="33036.6"/>
        <n v="11534.4"/>
        <n v="8942.6"/>
        <n v="72128"/>
        <n v="17414.4"/>
        <n v="17403.6"/>
        <n v="6703.199999999997"/>
        <n v="7948.799999999999"/>
        <n v="49470"/>
        <n v="8090.4"/>
        <n v="29896.28"/>
        <n v="14784"/>
        <n v="19347.6"/>
        <n v="72118.28"/>
        <n v="19277.8"/>
        <n v="18079.199999999997"/>
        <n v="3660"/>
        <n v="15873.599999999999"/>
        <n v="56890.6"/>
        <n v="13099.2"/>
        <n v="18914.4"/>
        <n v="7845.6"/>
        <n v="26173.19999999999"/>
        <n v="66032.4"/>
        <n v="18244.800000000003"/>
        <n v="9194.399999999998"/>
        <n v="4970.9400000000005"/>
        <n v="6840.5999999999985"/>
        <n v="39250.74"/>
        <n v="6918"/>
        <n v="11632.8"/>
        <n v="17108.719999999998"/>
        <n v="27446.399999999994"/>
        <n v="63105.91999999999"/>
        <n v="9693.600000000002"/>
        <n v="21985.000000000004"/>
        <n v="25945.199999999997"/>
        <n v="16146"/>
        <n v="73769.8"/>
        <n v="9609.599999999999"/>
        <n v="7767.600000000001"/>
        <n v="5894.399999999998"/>
        <n v="8774.400000000001"/>
        <n v="32046"/>
        <n v="5565.6"/>
        <n v="7418.400000000001"/>
        <n v="12098.400000000001"/>
        <n v="13759.199999999993"/>
        <n v="38841.59999999999"/>
        <n v="11800.8"/>
        <n v="12678"/>
        <n v="8709.600000000002"/>
        <n v="5136"/>
        <n v="38324.4"/>
        <n v="15483.599999999999"/>
        <n v="16106.4"/>
        <n v="14841.599999999997"/>
        <n v="16502.4"/>
        <n v="62934"/>
        <n v="9042"/>
        <n v="8500.8"/>
        <n v="13042.8"/>
        <n v="32751.59999999999"/>
        <n v="63337.19999999999"/>
        <n v="7147.4"/>
        <n v="8198.4"/>
        <n v="11223.600000000002"/>
        <n v="29299.19999999999"/>
        <n v="55868.59999999999"/>
        <n v="31796.399999999998"/>
        <n v="31298.399999999998"/>
        <n v="16941.6"/>
        <n v="20786.400000000023"/>
        <n v="100822.80000000002"/>
        <n v="20529.6"/>
        <n v="33319.2"/>
        <n v="23694"/>
        <n v="25948.8"/>
        <n v="103491.59999999999"/>
        <n v="29562"/>
        <n v="44262.48"/>
        <n v="26227.2"/>
        <n v="10359.6"/>
        <n v="110411.28000000001"/>
        <n v="22260"/>
        <n v="23011.2"/>
        <n v="20432.4"/>
        <n v="36426"/>
        <n v="102129.6"/>
        <n v="27717.6"/>
        <n v="36502.8"/>
        <n v="8512.400000000001"/>
        <n v="5369.280000000013"/>
        <n v="78102.08000000002"/>
        <n v="15664.800000000001"/>
        <n v="50289.59999999999"/>
        <n v="23904"/>
        <n v="31820.600000000006"/>
        <n v="121679"/>
        <n v="30051.600000000002"/>
        <n v="8570.4"/>
        <n v="4381.199999999997"/>
        <n v="9750"/>
        <n v="17899.19999999999"/>
        <n v="70652.4"/>
        <n v="19418.4"/>
        <n v="4304.4"/>
        <n v="5355.5999999999985"/>
        <n v="14077.199999999997"/>
        <n v="15135.599999999999"/>
        <n v="58291.2"/>
        <n v="13720.8"/>
        <n v="13658.4"/>
        <n v="3601.2000000000035"/>
        <n v="18075.6"/>
        <n v="56355.60000000002"/>
        <n v="105411.60000000002"/>
        <n v="47534.00000000001"/>
        <n v="49746.799999999996"/>
        <n v="57991.2"/>
        <n v="34064.40000000002"/>
        <n v="189336.40000000002"/>
        <n v="27910.8"/>
        <n v="38872.8"/>
        <n v="31661.72"/>
        <n v="45038.399999999994"/>
        <n v="33403.79999999999"/>
        <n v="176887.52"/>
      </sharedItems>
    </cacheField>
    <cacheField name="投流消耗" numFmtId="0">
      <sharedItems containsSemiMixedTypes="false" containsString="false" containsNumber="true" minValue="2528.9700000000003" maxValue="120921.26999999999" count="154">
        <n v="15075.150000000001"/>
        <n v="14549.949999999999"/>
        <n v="10008.37"/>
        <n v="19571.629999999997"/>
        <n v="59205.1"/>
        <n v="7438.17"/>
        <n v="12087.78"/>
        <n v="12916.920000000002"/>
        <n v="10854.390000000001"/>
        <n v="43297.26"/>
        <n v="16610.559999999998"/>
        <n v="24881.210000000003"/>
        <n v="14818.56"/>
        <n v="16631.86"/>
        <n v="72942.19"/>
        <n v="19030.8"/>
        <n v="18670.379999999997"/>
        <n v="16700.21"/>
        <n v="21781.440000000002"/>
        <n v="76182.82999999999"/>
        <n v="19314.980000000003"/>
        <n v="19350.420000000002"/>
        <n v="11311.61"/>
        <n v="10549.09"/>
        <n v="60526.100000000006"/>
        <n v="12682.55"/>
        <n v="12444.46"/>
        <n v="12328.6"/>
        <n v="8104.16"/>
        <n v="45559.770000000004"/>
        <n v="13788.79"/>
        <n v="16848.120000000003"/>
        <n v="10522.45"/>
        <n v="11137.73"/>
        <n v="52297.09"/>
        <n v="10846.63"/>
        <n v="18031.34"/>
        <n v="10855.52"/>
        <n v="9259.04"/>
        <n v="48992.530000000006"/>
        <n v="17880.58"/>
        <n v="11120.050000000001"/>
        <n v="8075.69"/>
        <n v="10948.71"/>
        <n v="48025.030000000006"/>
        <n v="9550.52"/>
        <n v="15898.150000000001"/>
        <n v="7319.52"/>
        <n v="7310.4"/>
        <n v="40078.590000000004"/>
        <n v="13340.869999999999"/>
        <n v="7626.420000000001"/>
        <n v="4970.9400000000005"/>
        <n v="9110.150000000001"/>
        <n v="35048.380000000005"/>
        <n v="10222.880000000001"/>
        <n v="7055.120000000001"/>
        <n v="7625.37"/>
        <n v="18445.1"/>
        <n v="43348.47"/>
        <n v="8985.57"/>
        <n v="10350.96"/>
        <n v="14647.529999999999"/>
        <n v="11396.169999999998"/>
        <n v="45380.229999999996"/>
        <n v="8797.329999999998"/>
        <n v="8122.75"/>
        <n v="9055.95"/>
        <n v="9199.17"/>
        <n v="35175.2"/>
        <n v="6850.13"/>
        <n v="6556.7300000000005"/>
        <n v="8041.540000000001"/>
        <n v="6637.339999999999"/>
        <n v="28085.74"/>
        <n v="9526.78"/>
        <n v="7588.66"/>
        <n v="5690.85"/>
        <n v="10967.88"/>
        <n v="33774.17"/>
        <n v="8747.64"/>
        <n v="9476.9"/>
        <n v="9992.78"/>
        <n v="10377.349999999999"/>
        <n v="38594.67"/>
        <n v="13351.560000000001"/>
        <n v="5879.030000000001"/>
        <n v="5716.23"/>
        <n v="14300.81"/>
        <n v="39247.630000000005"/>
        <n v="11755.98"/>
        <n v="9861.310000000001"/>
        <n v="9199.23"/>
        <n v="16873.760000000002"/>
        <n v="47690.28"/>
        <n v="28431.649999999998"/>
        <n v="20769.81"/>
        <n v="10194.350000000002"/>
        <n v="16074.1"/>
        <n v="75469.91"/>
        <n v="16256.329999999998"/>
        <n v="22247.83"/>
        <n v="19639.22"/>
        <n v="21181.38"/>
        <n v="79324.76000000001"/>
        <n v="22701.68"/>
        <n v="22401.29"/>
        <n v="17595.53"/>
        <n v="17999.87"/>
        <n v="80698.37"/>
        <n v="13829.099999999999"/>
        <n v="19371.65"/>
        <n v="16588.06"/>
        <n v="23694.710000000006"/>
        <n v="73483.52"/>
        <n v="13916"/>
        <n v="25999.980000000003"/>
        <n v="12005.949999999999"/>
        <n v="6433.65"/>
        <n v="58355.58"/>
        <n v="11690.499999999998"/>
        <n v="28594.809999999998"/>
        <n v="22331.72"/>
        <n v="23892.829999999998"/>
        <n v="86509.86"/>
        <n v="20506.54"/>
        <n v="19744.59"/>
        <n v="2528.9700000000003"/>
        <n v="8243.63"/>
        <n v="13196.06"/>
        <n v="64219.79"/>
        <n v="12243.68"/>
        <n v="8308.189999999999"/>
        <n v="5081.200000000001"/>
        <n v="8242.859999999999"/>
        <n v="14174.380000000001"/>
        <n v="48050.31"/>
        <n v="17948.64"/>
        <n v="10409.650000000001"/>
        <n v="3601.79"/>
        <n v="13139.73"/>
        <n v="28071.7"/>
        <n v="73171.51"/>
        <n v="31096.589999999997"/>
        <n v="34517.75"/>
        <n v="34667.78"/>
        <n v="20639.15"/>
        <n v="120921.26999999999"/>
        <n v="17300.13"/>
        <n v="24661.050000000003"/>
        <n v="15432.53"/>
        <n v="25627.57"/>
        <n v="25489.489999999998"/>
        <n v="108510.76999999999"/>
      </sharedItems>
    </cacheField>
    <cacheField name="ROI" numFmtId="0">
      <sharedItems containsSemiMixedTypes="false" containsString="false" containsNumber="true" minValue="0.4340632041485794" maxValue="3.580269205515429" count="0"/>
    </cacheField>
    <cacheField name="单均" numFmtId="0">
      <sharedItems containsSemiMixedTypes="false" containsString="false" containsNumber="true" minValue="768.6666666666666" maxValue="2049.6" count="0"/>
    </cacheField>
    <cacheField name="保单成本" numFmtId="0">
      <sharedItems containsSemiMixedTypes="false" containsString="false" containsNumber="true" minValue="487.35999999999996" maxValue="2769.396666666666" count="0"/>
    </cacheField>
    <cacheField name="T0脱退单数量" numFmtId="0">
      <sharedItems containsSemiMixedTypes="false" containsString="false" containsNumber="true" containsInteger="true" minValue="0" maxValue="28" count="0"/>
    </cacheField>
    <cacheField name="T0脱退保费" numFmtId="0">
      <sharedItems containsSemiMixedTypes="false" containsString="false" containsNumber="true" minValue="0" maxValue="40906.2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6" maxValue="20" count="0"/>
    </cacheField>
  </cacheFields>
</pivotCacheDefinition>
</file>

<file path=xl/pivotCache/pivotCacheDefinition5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56" sheet="2026.3"/>
  </cacheSource>
  <cacheFields count="16">
    <cacheField name="日期" numFmtId="0">
      <sharedItems count="0"/>
    </cacheField>
    <cacheField name="主播" numFmtId="0">
      <sharedItems containsBlank="true" count="9">
        <s v="王亚倩"/>
        <s v="林育菁"/>
        <s v="代艺旋"/>
        <s v="于慧"/>
        <m/>
        <s v="郝旭靓"/>
        <s v="刘慕涵"/>
        <s v="孟郁倩"/>
        <s v="张晓薇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12">
        <n v="5"/>
        <n v="20"/>
        <n v="4"/>
        <n v="18"/>
        <n v="6"/>
        <n v="19"/>
        <n v="4.5"/>
        <n v="19.5"/>
        <n v="15"/>
        <n v="2"/>
        <n v="4.75"/>
        <n v="3.75"/>
      </sharedItems>
    </cacheField>
    <cacheField name="总保单数量" numFmtId="0">
      <sharedItems containsSemiMixedTypes="false" containsString="false" containsNumber="true" containsInteger="true" minValue="4" maxValue="156" count="0"/>
    </cacheField>
    <cacheField name="年化保费" numFmtId="0">
      <sharedItems containsSemiMixedTypes="false" containsString="false" containsNumber="true" minValue="6110.399999999998" maxValue="197405.84000000003" count="155">
        <n v="36409.2"/>
        <n v="26388.8"/>
        <n v="56851.8"/>
        <n v="62102.8"/>
        <n v="181752.6"/>
        <n v="34119.6"/>
        <n v="46627.2"/>
        <n v="21822"/>
        <n v="26457.00000000001"/>
        <n v="129025.8"/>
        <n v="23308.800000000003"/>
        <n v="26846.6"/>
        <n v="12673.199999999997"/>
        <n v="26782.799999999996"/>
        <n v="89611.4"/>
        <n v="13963.200000000003"/>
        <n v="21822.48"/>
        <n v="66615.6"/>
        <n v="51757.19999999998"/>
        <n v="154158.47999999998"/>
        <n v="30559.6"/>
        <n v="38253.59999999999"/>
        <n v="25077.600000000006"/>
        <n v="34468.40000000001"/>
        <n v="128359.2"/>
        <n v="10260"/>
        <n v="36843.4"/>
        <n v="31973.799999999996"/>
        <n v="45236.000000000015"/>
        <n v="124313.20000000001"/>
        <n v="37083.799999999996"/>
        <n v="41832.799999999996"/>
        <n v="29391.600000000006"/>
        <n v="60524.20000000001"/>
        <n v="168832.40000000002"/>
        <n v="44488.6"/>
        <n v="29968.000000000004"/>
        <n v="23098.79999999999"/>
        <n v="42313"/>
        <n v="139868.4"/>
        <n v="26430.4"/>
        <n v="28102.8"/>
        <n v="41837.99999999999"/>
        <n v="43687.03999999998"/>
        <n v="140058.23999999996"/>
        <n v="16210.8"/>
        <n v="29462.399999999998"/>
        <n v="25932.000000000004"/>
        <n v="32968.8"/>
        <n v="104574"/>
        <n v="38301.6"/>
        <n v="26473.200000000004"/>
        <n v="15567.599999999991"/>
        <n v="64166.39999999998"/>
        <n v="144508.8"/>
        <n v="66634.4"/>
        <n v="58095.600000000006"/>
        <n v="18475.20000000001"/>
        <n v="45566.399999999994"/>
        <n v="188771.6"/>
        <n v="14702"/>
        <n v="32497.000000000004"/>
        <n v="12019.19999999999"/>
        <n v="39747"/>
        <n v="98965.19999999998"/>
        <n v="34453.8"/>
        <n v="15099.199999999999"/>
        <n v="33644.2"/>
        <n v="37612.5"/>
        <n v="120809.7"/>
        <n v="50387.8"/>
        <n v="27246"/>
        <n v="42633.23999999999"/>
        <n v="77138.80000000002"/>
        <n v="197405.84000000003"/>
        <n v="28048.800000000003"/>
        <n v="19668.320000000003"/>
        <n v="14010.399999999987"/>
        <n v="27549.20000000001"/>
        <n v="89276.72"/>
        <n v="27595.800000000003"/>
        <n v="47976"/>
        <n v="33376.399999999994"/>
        <n v="38525.3"/>
        <n v="147473.5"/>
        <n v="42457.2"/>
        <n v="19187.8"/>
        <n v="12150"/>
        <n v="30067.199999999997"/>
        <n v="103862.2"/>
        <n v="24634.800000000003"/>
        <n v="46528.8"/>
        <n v="14654.399999999994"/>
        <n v="37585.2"/>
        <n v="123403.2"/>
        <n v="24757.200000000004"/>
        <n v="30095.879999999994"/>
        <n v="34117.20000000001"/>
        <n v="48537.11999999998"/>
        <n v="137507.4"/>
        <n v="32090.600000000002"/>
        <n v="20124"/>
        <n v="21520.799999999996"/>
        <n v="68934.39999999998"/>
        <n v="142669.8"/>
        <n v="56759.200000000004"/>
        <n v="25130.4"/>
        <n v="8053.199999999997"/>
        <n v="30793.399999999994"/>
        <n v="120736.2"/>
        <n v="31657.1"/>
        <n v="31622.4"/>
        <n v="11832.800000000003"/>
        <n v="16712.399999999994"/>
        <n v="91824.7"/>
        <n v="22068"/>
        <n v="22655.399999999998"/>
        <n v="12982.800000000003"/>
        <n v="30775.199999999997"/>
        <n v="88481.4"/>
        <n v="38610"/>
        <n v="12357.6"/>
        <n v="21517.200000000004"/>
        <n v="36520.2"/>
        <n v="109005"/>
        <n v="22179"/>
        <n v="13229.400000000001"/>
        <n v="16107.799999999996"/>
        <n v="10675.200000000004"/>
        <n v="26783"/>
        <n v="14937.599999999999"/>
        <n v="21996"/>
        <n v="24221.800000000003"/>
        <n v="27493.200000000004"/>
        <n v="88648.6"/>
        <n v="24911.4"/>
        <n v="9894.799999999997"/>
        <n v="13593.600000000006"/>
        <n v="13992"/>
        <n v="62391.8"/>
        <n v="9378"/>
        <n v="16736.4"/>
        <n v="6110.399999999998"/>
        <n v="19586.399999999994"/>
        <n v="51811.2"/>
        <n v="10953.6"/>
        <n v="13388.199999999999"/>
        <n v="27691.2"/>
        <n v="52033"/>
        <n v="16858.6"/>
        <n v="26193.6"/>
        <n v="23330.40000000001"/>
        <n v="22903.199999999997"/>
        <n v="12519.599999999991"/>
        <n v="101805.4"/>
      </sharedItems>
    </cacheField>
    <cacheField name="投流消耗" numFmtId="0">
      <sharedItems containsSemiMixedTypes="false" containsString="false" containsNumber="true" minValue="3881.4799999999996" maxValue="112460.16" count="155">
        <n v="25417.13"/>
        <n v="12954.46"/>
        <n v="29981.07"/>
        <n v="31475.62"/>
        <n v="99828.28"/>
        <n v="21262.6"/>
        <n v="21417.51"/>
        <n v="13641.39"/>
        <n v="25591.640000000003"/>
        <n v="81913.14"/>
        <n v="17201.43"/>
        <n v="15212.64"/>
        <n v="8562"/>
        <n v="15211.18"/>
        <n v="56187.25"/>
        <n v="13707.969999999998"/>
        <n v="9814.210000000001"/>
        <n v="25375.770000000004"/>
        <n v="31129.219999999998"/>
        <n v="80027.17"/>
        <n v="17761.070000000003"/>
        <n v="24825.28"/>
        <n v="11663.210000000003"/>
        <n v="19478.289999999997"/>
        <n v="73727.85"/>
        <n v="12311.47"/>
        <n v="18472.84"/>
        <n v="16074.21"/>
        <n v="23872.980000000003"/>
        <n v="70731.5"/>
        <n v="23288.94"/>
        <n v="19528.699999999997"/>
        <n v="20862.770000000004"/>
        <n v="30037.92"/>
        <n v="93718.33"/>
        <n v="25269.390000000003"/>
        <n v="15894.769999999999"/>
        <n v="13333.720000000001"/>
        <n v="24811.640000000003"/>
        <n v="79309.52"/>
        <n v="18644.609999999997"/>
        <n v="19630.739999999998"/>
        <n v="24456.46"/>
        <n v="23040.010000000002"/>
        <n v="85771.81999999999"/>
        <n v="17764.27"/>
        <n v="17900.16"/>
        <n v="14259.58"/>
        <n v="19221.25"/>
        <n v="69145.26000000001"/>
        <n v="26399.4"/>
        <n v="17782.379999999997"/>
        <n v="12929.680000000002"/>
        <n v="23645.46"/>
        <n v="80756.92"/>
        <n v="36693.11"/>
        <n v="30368.58"/>
        <n v="16872.15"/>
        <n v="22586.05"/>
        <n v="106519.89"/>
        <n v="15328.24"/>
        <n v="18853.84"/>
        <n v="9552.46"/>
        <n v="18641.390000000003"/>
        <n v="62375.93000000001"/>
        <n v="28451.539999999997"/>
        <n v="13765.019999999999"/>
        <n v="12743.169999999998"/>
        <n v="22311.68"/>
        <n v="77271.41"/>
        <n v="27016.41"/>
        <n v="20073.66"/>
        <n v="20748.66"/>
        <n v="44621.43"/>
        <n v="112460.16"/>
        <n v="22313.14"/>
        <n v="15537.64"/>
        <n v="12065.69"/>
        <n v="22552.75"/>
        <n v="72469.22"/>
        <n v="18681.57"/>
        <n v="23624.969999999998"/>
        <n v="19984.020000000004"/>
        <n v="20433.260000000002"/>
        <n v="82723.82"/>
        <n v="25971.8"/>
        <n v="12248.259999999998"/>
        <n v="7183.87"/>
        <n v="19451.42"/>
        <n v="64855.35"/>
        <n v="16762.09"/>
        <n v="27805.699999999997"/>
        <n v="15415.239999999998"/>
        <n v="22227.859999999997"/>
        <n v="82210.88999999998"/>
        <n v="22338.789999999997"/>
        <n v="13638.619999999999"/>
        <n v="22038.91"/>
        <n v="25358.329999999998"/>
        <n v="83374.65"/>
        <n v="25141.27"/>
        <n v="13479.419999999998"/>
        <n v="12403.36"/>
        <n v="28491.490000000005"/>
        <n v="79515.54000000001"/>
        <n v="33454.36"/>
        <n v="12802.320000000002"/>
        <n v="8834.15"/>
        <n v="18784.08"/>
        <n v="73874.91"/>
        <n v="18931.22"/>
        <n v="20160.62"/>
        <n v="9619.429999999998"/>
        <n v="10227.110000000002"/>
        <n v="58938.38"/>
        <n v="15553.98"/>
        <n v="13825.43"/>
        <n v="9102.6"/>
        <n v="14485.420000000002"/>
        <n v="52967.43000000001"/>
        <n v="17451.28"/>
        <n v="14660"/>
        <n v="15240.35"/>
        <n v="21018.7"/>
        <n v="68370.33"/>
        <n v="16387.75"/>
        <n v="13020.4"/>
        <n v="9975.710000000001"/>
        <n v="9104.74"/>
        <n v="19080.45"/>
        <n v="15028.17"/>
        <n v="10465.75"/>
        <n v="10479.24"/>
        <n v="11338.21"/>
        <n v="47311.369999999995"/>
        <n v="13262.67"/>
        <n v="9014.810000000001"/>
        <n v="5628.29"/>
        <n v="7297.08"/>
        <n v="35202.850000000006"/>
        <n v="7687.66"/>
        <n v="6514.81"/>
        <n v="3881.4799999999996"/>
        <n v="11404.690000000002"/>
        <n v="29488.640000000003"/>
        <n v="10746.14"/>
        <n v="9660.179999999998"/>
        <n v="16147.47"/>
        <n v="36553.79"/>
        <n v="9654.02"/>
        <n v="21430.92"/>
        <n v="5794.34"/>
        <n v="17381.600000000002"/>
        <n v="12767.150000000001"/>
        <n v="67028.03"/>
      </sharedItems>
    </cacheField>
    <cacheField name="ROI" numFmtId="0">
      <sharedItems containsSemiMixedTypes="false" containsString="false" containsNumber="true" minValue="0.8333692077387997" maxValue="4.026411981347316" count="0"/>
    </cacheField>
    <cacheField name="单均" numFmtId="0">
      <sharedItems containsSemiMixedTypes="false" containsString="false" containsNumber="true" minValue="888.1882352941176" maxValue="2120.9454545454555" count="0"/>
    </cacheField>
    <cacheField name="保单成本" numFmtId="0">
      <sharedItems containsSemiMixedTypes="false" containsString="false" containsNumber="true" minValue="476.3290909090909" maxValue="1603.238333333333" count="0"/>
    </cacheField>
    <cacheField name="T0脱退单数量" numFmtId="0">
      <sharedItems containsSemiMixedTypes="false" containsString="false" containsNumber="true" containsInteger="true" minValue="0" maxValue="31" count="0"/>
    </cacheField>
    <cacheField name="T0脱退保费" numFmtId="0">
      <sharedItems containsSemiMixedTypes="false" containsString="false" containsNumber="true" minValue="0" maxValue="32591.8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7" maxValue="20" count="0"/>
    </cacheField>
  </cacheFields>
</pivotCacheDefinition>
</file>

<file path=xl/pivotCache/pivotCacheDefinition6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38" sheet="2026.2"/>
  </cacheSource>
  <cacheFields count="16">
    <cacheField name="日期" numFmtId="0">
      <sharedItems count="0"/>
    </cacheField>
    <cacheField name="主播" numFmtId="0">
      <sharedItems containsBlank="true" count="7">
        <s v="刘慕涵"/>
        <s v="王亚倩"/>
        <s v="林育菁"/>
        <s v="于慧"/>
        <m/>
        <s v="代艺旋"/>
        <s v="郝旭靓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2" maxValue="20" count="9">
        <n v="4"/>
        <n v="16"/>
        <n v="5"/>
        <n v="18"/>
        <n v="3"/>
        <n v="17"/>
        <n v="20"/>
        <n v="2"/>
        <n v="19"/>
      </sharedItems>
    </cacheField>
    <cacheField name="总保单数量" numFmtId="0">
      <sharedItems containsSemiMixedTypes="false" containsString="false" containsNumber="true" containsInteger="true" minValue="10" maxValue="310" count="0"/>
    </cacheField>
    <cacheField name="年化保费" numFmtId="0">
      <sharedItems containsSemiMixedTypes="false" containsString="false" containsNumber="true" minValue="9601.2" maxValue="389454.99" count="137">
        <n v="22872"/>
        <n v="35470"/>
        <n v="12470.8"/>
        <n v="70416"/>
        <n v="141228.8"/>
        <n v="28166"/>
        <n v="72702"/>
        <n v="49819.2"/>
        <n v="64176"/>
        <n v="214863.2"/>
        <n v="58550"/>
        <n v="54081.6"/>
        <n v="23208"/>
        <n v="24780"/>
        <n v="160619.6"/>
        <n v="57712.4"/>
        <n v="46136.1"/>
        <n v="30412.7"/>
        <n v="35628"/>
        <n v="169889.2"/>
        <n v="25612.8"/>
        <n v="12710"/>
        <n v="31033.8"/>
        <n v="53773.8"/>
        <n v="123130.40000000001"/>
        <n v="33914.4"/>
        <n v="44458.8"/>
        <n v="33120"/>
        <n v="43372.6"/>
        <n v="154865.80000000002"/>
        <n v="24682.8"/>
        <n v="31519.6"/>
        <n v="21518.4"/>
        <n v="40151.98"/>
        <n v="117872.78"/>
        <n v="32970.2"/>
        <n v="31747"/>
        <n v="32989.2"/>
        <n v="25540.2"/>
        <n v="123246.59999999999"/>
        <n v="44538"/>
        <n v="28120.8"/>
        <n v="40124.6"/>
        <n v="58556.4"/>
        <n v="171339.8"/>
        <n v="36192"/>
        <n v="36866.4"/>
        <n v="35127.98"/>
        <n v="38374.56"/>
        <n v="146560.94"/>
        <n v="32463.6"/>
        <n v="32354.4"/>
        <n v="66788.2"/>
        <n v="66104.04"/>
        <n v="197710.24"/>
        <n v="44567.3"/>
        <n v="83061.4"/>
        <n v="9601.2"/>
        <n v="19423.2"/>
        <n v="44642.4"/>
        <n v="201295.5"/>
        <n v="21869.6"/>
        <n v="51022.5"/>
        <n v="16413.6"/>
        <n v="49965.2"/>
        <n v="113348.8"/>
        <n v="252619.7"/>
        <n v="134926.4"/>
        <n v="50651.2"/>
        <n v="55233.8"/>
        <n v="106048.2"/>
        <n v="346859.6"/>
        <n v="134126.19"/>
        <n v="67028"/>
        <n v="48077.79999999999"/>
        <n v="140223"/>
        <n v="389454.99"/>
        <n v="56448.4"/>
        <n v="33695.27999999999"/>
        <n v="73161.60000000002"/>
        <n v="88098.79999999999"/>
        <n v="251404.08000000002"/>
        <n v="71899.2"/>
        <n v="55114.8"/>
        <n v="53077.20000000001"/>
        <n v="86912.75999999998"/>
        <n v="267003.95999999996"/>
        <n v="79851.8"/>
        <n v="81587.40000000001"/>
        <n v="74600.20000000001"/>
        <n v="89475.80000000002"/>
        <n v="325515.20000000007"/>
        <n v="102229.6"/>
        <n v="56644.79999999999"/>
        <n v="43072.80000000002"/>
        <n v="102575.5"/>
        <n v="304522.7"/>
        <n v="116321.2"/>
        <n v="26108.4"/>
        <n v="62599.4"/>
        <n v="98669.2"/>
        <n v="303698.2"/>
        <n v="75907"/>
        <n v="37035.6"/>
        <n v="52879.6"/>
        <n v="51846"/>
        <n v="217668.2"/>
        <n v="29815.2"/>
        <n v="52905.6"/>
        <n v="26017.8"/>
        <n v="28578"/>
        <n v="137316.6"/>
        <n v="58140.2"/>
        <n v="75199.24"/>
        <n v="71254.8"/>
        <n v="45875"/>
        <n v="250469.24"/>
        <n v="25699.2"/>
        <n v="66032.2"/>
        <n v="35175.6"/>
        <n v="47654.599999999984"/>
        <n v="174561.59999999998"/>
        <n v="47580.6"/>
        <n v="23722.8"/>
        <n v="70712.2"/>
        <n v="124932.92"/>
        <n v="266948.51999999996"/>
        <n v="67314"/>
        <n v="69129"/>
        <n v="15844"/>
        <n v="60881.2"/>
        <n v="213168.2"/>
        <n v="68481.2"/>
        <n v="62472"/>
        <n v="29688.76"/>
        <n v="46300.8"/>
        <n v="206942.76"/>
      </sharedItems>
    </cacheField>
    <cacheField name="投流消耗" numFmtId="0">
      <sharedItems containsSemiMixedTypes="false" containsString="false" containsNumber="true" minValue="10739.47" maxValue="212930.88999999998" count="137">
        <n v="19476.22"/>
        <n v="22393.9"/>
        <n v="13874.38"/>
        <n v="30304.07"/>
        <n v="86048.57"/>
        <n v="21576.94"/>
        <n v="28851.73"/>
        <n v="28169.92"/>
        <n v="29461.16"/>
        <n v="108059.75"/>
        <n v="41114.56999999999"/>
        <n v="31688.2"/>
        <n v="17035.68"/>
        <n v="19136.65"/>
        <n v="108975.09999999998"/>
        <n v="31004.86"/>
        <n v="23529.02"/>
        <n v="26631.95"/>
        <n v="21894.32"/>
        <n v="103060.15"/>
        <n v="19765.62"/>
        <n v="16127.13"/>
        <n v="15313.06"/>
        <n v="28769.1"/>
        <n v="79974.91"/>
        <n v="24075.48"/>
        <n v="31743.15"/>
        <n v="20725.59"/>
        <n v="23386.01"/>
        <n v="99930.23"/>
        <n v="20253.83"/>
        <n v="22532.13"/>
        <n v="17102.6"/>
        <n v="20945.31"/>
        <n v="80833.87000000001"/>
        <n v="22802.73"/>
        <n v="20945.77"/>
        <n v="16221.78"/>
        <n v="12859.49"/>
        <n v="72829.77"/>
        <n v="28523.16"/>
        <n v="18856.85"/>
        <n v="29436.28"/>
        <n v="37258.08"/>
        <n v="114074.37"/>
        <n v="22811.72"/>
        <n v="24119.74"/>
        <n v="22065.09"/>
        <n v="23079.76"/>
        <n v="92076.31"/>
        <n v="23221.99"/>
        <n v="25111.98"/>
        <n v="41330.69"/>
        <n v="46376.19"/>
        <n v="136040.85"/>
        <n v="27999.83"/>
        <n v="46577.3"/>
        <n v="12404.8"/>
        <n v="17086.23"/>
        <n v="25434.52"/>
        <n v="129502.68000000001"/>
        <n v="22984.8"/>
        <n v="25092.55"/>
        <n v="10739.47"/>
        <n v="25760.05"/>
        <n v="61520.37"/>
        <n v="146097.24"/>
        <n v="67808.33"/>
        <n v="38336.8"/>
        <n v="37038.509999999995"/>
        <n v="66755.5"/>
        <n v="209939.14"/>
        <n v="66801.90000000001"/>
        <n v="43488.46"/>
        <n v="29915.55"/>
        <n v="70505.3"/>
        <n v="210711.21000000002"/>
        <n v="47674.45999999999"/>
        <n v="31286.24"/>
        <n v="33305.67"/>
        <n v="41545.42"/>
        <n v="153811.78999999998"/>
        <n v="55965.18000000001"/>
        <n v="33115.69"/>
        <n v="39184.64"/>
        <n v="50678.76000000001"/>
        <n v="178944.27000000002"/>
        <n v="45986.079999999994"/>
        <n v="40374"/>
        <n v="64538.049999999996"/>
        <n v="62032.76"/>
        <n v="212930.88999999998"/>
        <n v="57571.75"/>
        <n v="29399.9"/>
        <n v="30406.460000000003"/>
        <n v="48815.71"/>
        <n v="166193.82"/>
        <n v="57110.32"/>
        <n v="27122.78"/>
        <n v="23086.68"/>
        <n v="52900.18"/>
        <n v="160219.96"/>
        <n v="47116.25"/>
        <n v="33499.79"/>
        <n v="35263.79"/>
        <n v="40688.47"/>
        <n v="156568.30000000002"/>
        <n v="22417.91"/>
        <n v="30878.37"/>
        <n v="28716.65"/>
        <n v="22894.99"/>
        <n v="104907.92"/>
        <n v="37475.81"/>
        <n v="49246.74"/>
        <n v="40338"/>
        <n v="36882.94"/>
        <n v="163943.49"/>
        <n v="23673.6"/>
        <n v="46983.73"/>
        <n v="25451.88"/>
        <n v="35852.94"/>
        <n v="131962.15000000002"/>
        <n v="30174.6"/>
        <n v="17545.42"/>
        <n v="36307.48"/>
        <n v="99333.95"/>
        <n v="183361.45"/>
        <n v="34208.09"/>
        <n v="27939.21"/>
        <n v="16240.83"/>
        <n v="28185.29"/>
        <n v="106573.41999999998"/>
        <n v="37491.36"/>
        <n v="41681.98"/>
        <n v="16945.61"/>
        <n v="25118.71"/>
        <n v="121237.66"/>
      </sharedItems>
    </cacheField>
    <cacheField name="ROI" numFmtId="0">
      <sharedItems containsSemiMixedTypes="false" containsString="false" containsNumber="true" minValue="0.7739907132722817" maxValue="2.7114942468990777" count="0"/>
    </cacheField>
    <cacheField name="单均" numFmtId="0">
      <sharedItems containsSemiMixedTypes="false" containsString="false" containsNumber="true" minValue="928" maxValue="1676.5714285714287" count="0"/>
    </cacheField>
    <cacheField name="保单成本" numFmtId="0">
      <sharedItems containsSemiMixedTypes="false" containsString="false" containsNumber="true" minValue="437.49734375" maxValue="4657.7300000000005" count="0"/>
    </cacheField>
    <cacheField name="T0脱退单数量" numFmtId="0">
      <sharedItems containsSemiMixedTypes="false" containsString="false" containsNumber="true" containsInteger="true" minValue="0" maxValue="58" count="0"/>
    </cacheField>
    <cacheField name="T0脱退保费" numFmtId="0">
      <sharedItems containsSemiMixedTypes="false" containsString="false" containsNumber="true" minValue="0" maxValue="65507.4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2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8" maxValue="20" count="0"/>
    </cacheField>
  </cacheFields>
</pivotCacheDefinition>
</file>

<file path=xl/pivotCache/pivotCacheDefinition7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54" sheet="2026.1"/>
  </cacheSource>
  <cacheFields count="16">
    <cacheField name="日期" numFmtId="0">
      <sharedItems count="0"/>
    </cacheField>
    <cacheField name="主播" numFmtId="0">
      <sharedItems containsBlank="true" count="6">
        <s v="王亚倩"/>
        <s v="代艺旋"/>
        <s v="林育菁"/>
        <s v="于慧"/>
        <m/>
        <s v="刘慕涵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3" maxValue="17" count="8">
        <n v="4"/>
        <n v="16"/>
        <n v="3"/>
        <n v="5"/>
        <n v="17"/>
        <n v="8"/>
        <n v="3.5"/>
        <n v="15"/>
      </sharedItems>
    </cacheField>
    <cacheField name="总保单数量" numFmtId="0">
      <sharedItems containsSemiMixedTypes="false" containsString="false" containsNumber="true" containsInteger="true" minValue="3" maxValue="132" count="0"/>
    </cacheField>
    <cacheField name="年化保费" numFmtId="0">
      <sharedItems containsSemiMixedTypes="false" containsString="false" containsNumber="true" minValue="5472" maxValue="157437.48" count="153">
        <n v="23184"/>
        <n v="36492"/>
        <n v="26857.2"/>
        <n v="54982.8"/>
        <n v="141516"/>
        <n v="55208.4"/>
        <n v="16958.4"/>
        <n v="11676"/>
        <n v="33900"/>
        <n v="117742.8"/>
        <n v="31041.6"/>
        <n v="10464"/>
        <n v="39478.15"/>
        <n v="75334.4"/>
        <n v="156318.15"/>
        <n v="19344"/>
        <n v="52182.84"/>
        <n v="36285.6"/>
        <n v="42544.8"/>
        <n v="150357.24"/>
        <n v="38544"/>
        <n v="44942"/>
        <n v="35499"/>
        <n v="28848"/>
        <n v="147833"/>
        <n v="32096.6"/>
        <n v="23427.8"/>
        <n v="18573"/>
        <n v="29020.8"/>
        <n v="103118.2"/>
        <n v="26088"/>
        <n v="19798.8"/>
        <n v="23052"/>
        <n v="28038"/>
        <n v="96976.8"/>
        <n v="29876"/>
        <n v="19483.2"/>
        <n v="32467.2"/>
        <n v="50298.72"/>
        <n v="132125.12"/>
        <n v="38034"/>
        <n v="40880.4"/>
        <n v="26917.2"/>
        <n v="29722.8"/>
        <n v="135554.4"/>
        <n v="30128.4"/>
        <n v="24516"/>
        <n v="22056.6"/>
        <n v="62270.35"/>
        <n v="138971.35"/>
        <n v="40044"/>
        <n v="34190.4"/>
        <n v="22324.8"/>
        <n v="24925.2"/>
        <n v="121484.4"/>
        <n v="38640"/>
        <n v="29976"/>
        <n v="19366.8"/>
        <n v="38004"/>
        <n v="125986.8"/>
        <n v="18060"/>
        <n v="15360"/>
        <n v="19614.6"/>
        <n v="13584"/>
        <n v="66618.6"/>
        <n v="15379"/>
        <n v="29305.2"/>
        <n v="18072"/>
        <n v="41788.4"/>
        <n v="104544.6"/>
        <n v="32281"/>
        <n v="15144"/>
        <n v="18324"/>
        <n v="21460.8"/>
        <n v="87209.8"/>
        <n v="20815.2"/>
        <n v="31681.8"/>
        <n v="19453.2"/>
        <n v="23616"/>
        <n v="95566.2"/>
        <n v="17964"/>
        <n v="21621.6"/>
        <n v="14314.8"/>
        <n v="54046.35"/>
        <n v="107946.75"/>
        <n v="34421.28"/>
        <n v="40933.8"/>
        <n v="26134.8"/>
        <n v="55947.6"/>
        <n v="157437.48"/>
        <n v="27666"/>
        <n v="30512.4"/>
        <n v="17840.4"/>
        <n v="39708"/>
        <n v="115726.8"/>
        <n v="29098"/>
        <n v="14864"/>
        <n v="19687.8"/>
        <n v="39514.8"/>
        <n v="103164.6"/>
        <n v="29809.2"/>
        <n v="20832"/>
        <n v="17347"/>
        <n v="27648"/>
        <n v="95636.2"/>
        <n v="15936"/>
        <n v="18432"/>
        <n v="13939"/>
        <n v="26882.4"/>
        <n v="75189.4"/>
        <n v="23867"/>
        <n v="15072"/>
        <n v="12468"/>
        <n v="11244"/>
        <n v="62651"/>
        <n v="12588.6"/>
        <n v="25724.4"/>
        <n v="15669"/>
        <n v="38748"/>
        <n v="92730"/>
        <n v="31224"/>
        <n v="13212"/>
        <n v="22108.8"/>
        <n v="42916.8"/>
        <n v="109461.6"/>
        <n v="17617.8"/>
        <n v="22390.799999999996"/>
        <n v="21194.4"/>
        <n v="22694.399999999994"/>
        <n v="83897.4"/>
        <n v="32692.6"/>
        <n v="13270.8"/>
        <n v="28363.8"/>
        <n v="43777.8"/>
        <n v="118105"/>
        <n v="16474.8"/>
        <n v="12528"/>
        <n v="29002.8"/>
        <n v="19596.6"/>
        <n v="12644.4"/>
        <n v="5472"/>
        <n v="40854"/>
        <n v="78567"/>
        <n v="16008"/>
        <n v="10992"/>
        <n v="13692"/>
        <n v="45598.8"/>
        <n v="86290.8"/>
        <n v="19530"/>
        <n v="23362.8"/>
        <n v="37666"/>
        <n v="43267.2"/>
        <n v="123826"/>
      </sharedItems>
    </cacheField>
    <cacheField name="投流消耗" numFmtId="0">
      <sharedItems containsSemiMixedTypes="false" containsString="false" containsNumber="true" minValue="6025.97" maxValue="114754.5" count="153">
        <n v="20442.98"/>
        <n v="19846.14"/>
        <n v="15600.72"/>
        <n v="29399.2"/>
        <n v="85289.04"/>
        <n v="37387.22"/>
        <n v="15099.53"/>
        <n v="7935.96"/>
        <n v="16590.44"/>
        <n v="77013.15"/>
        <n v="21738.140000000003"/>
        <n v="12226.48"/>
        <n v="17071.93"/>
        <n v="27382.32"/>
        <n v="78418.87"/>
        <n v="21993.51"/>
        <n v="28982.35"/>
        <n v="21023.5"/>
        <n v="25223.22"/>
        <n v="97222.58"/>
        <n v="29025.29"/>
        <n v="25464.79"/>
        <n v="22128.11"/>
        <n v="16038.68"/>
        <n v="92656.87"/>
        <n v="22053.4"/>
        <n v="14743.6"/>
        <n v="10037.85"/>
        <n v="14218.91"/>
        <n v="61053.759999999995"/>
        <n v="15803.439999999999"/>
        <n v="13318.09"/>
        <n v="13654.27"/>
        <n v="14535.8"/>
        <n v="57311.600000000006"/>
        <n v="17248.34"/>
        <n v="13021.58"/>
        <n v="16390.67"/>
        <n v="20549.13"/>
        <n v="67209.72"/>
        <n v="24098.75"/>
        <n v="22520.2"/>
        <n v="16825.82"/>
        <n v="14690.05"/>
        <n v="78134.81999999999"/>
        <n v="21826.4"/>
        <n v="14450.16"/>
        <n v="11594.97"/>
        <n v="38514.65"/>
        <n v="86386.18"/>
        <n v="23592.21"/>
        <n v="23765.15"/>
        <n v="14894.47"/>
        <n v="13781.21"/>
        <n v="76033.04000000001"/>
        <n v="61440.32"/>
        <n v="21109.97"/>
        <n v="11741.86"/>
        <n v="20462.35"/>
        <n v="114754.5"/>
        <n v="14802.419999999998"/>
        <n v="12496.17"/>
        <n v="11888.42"/>
        <n v="10810.69"/>
        <n v="49997.7"/>
        <n v="12938.55"/>
        <n v="17528.14"/>
        <n v="14922.46"/>
        <n v="32276.89"/>
        <n v="77666.04"/>
        <n v="20851.32"/>
        <n v="12778.77"/>
        <n v="9478.16"/>
        <n v="13586.43"/>
        <n v="56694.68"/>
        <n v="15335.81"/>
        <n v="19006.04"/>
        <n v="11818.47"/>
        <n v="19091.48"/>
        <n v="65251.8"/>
        <n v="15013.05"/>
        <n v="15239.21"/>
        <n v="12505.26"/>
        <n v="47866.09"/>
        <n v="90623.60999999999"/>
        <n v="19476.11"/>
        <n v="28860.93"/>
        <n v="30376.93"/>
        <n v="28791.63"/>
        <n v="107505.6"/>
        <n v="15212.560000000001"/>
        <n v="22190.75"/>
        <n v="15358.469999999998"/>
        <n v="20537.02"/>
        <n v="73298.8"/>
        <n v="14052.79"/>
        <n v="14320.02"/>
        <n v="11610.61"/>
        <n v="27056.59"/>
        <n v="67040.01"/>
        <n v="20737.04"/>
        <n v="14624.81"/>
        <n v="11111.81"/>
        <n v="17158.43"/>
        <n v="63632.09"/>
        <n v="15863.93"/>
        <n v="15500.11"/>
        <n v="14104.12"/>
        <n v="15069.92"/>
        <n v="60538.08"/>
        <n v="19097.56"/>
        <n v="10131.33"/>
        <n v="9910.45"/>
        <n v="9091.91"/>
        <n v="48231.25"/>
        <n v="12673.94"/>
        <n v="10382.38"/>
        <n v="10349.2"/>
        <n v="25706.35"/>
        <n v="59111.87"/>
        <n v="20767.78"/>
        <n v="10682.39"/>
        <n v="14310.14"/>
        <n v="21590.32"/>
        <n v="67350.63"/>
        <n v="13532.49"/>
        <n v="15554.830000000002"/>
        <n v="10218.79"/>
        <n v="17256.38"/>
        <n v="56562.490000000005"/>
        <n v="18399.79"/>
        <n v="13057.62"/>
        <n v="21529.16"/>
        <n v="28322.85"/>
        <n v="81309.42000000001"/>
        <n v="11998.32"/>
        <n v="8563.16"/>
        <n v="20561.48"/>
        <n v="14405.16"/>
        <n v="8114.66"/>
        <n v="6233.71"/>
        <n v="16444.74"/>
        <n v="45198.270000000004"/>
        <n v="16276.86"/>
        <n v="6025.97"/>
        <n v="6272.46"/>
        <n v="24102.87"/>
        <n v="52678.16"/>
        <n v="18379.62"/>
        <n v="15468.76"/>
        <n v="19634.749999999996"/>
        <n v="26525.08"/>
        <n v="80008.20999999999"/>
      </sharedItems>
    </cacheField>
    <cacheField name="ROI" numFmtId="0">
      <sharedItems containsSemiMixedTypes="false" containsString="false" containsNumber="true" minValue="0.6289029744636747" maxValue="2.751205887594623" count="0"/>
    </cacheField>
    <cacheField name="单均" numFmtId="0">
      <sharedItems containsSemiMixedTypes="false" containsString="false" containsNumber="true" minValue="834" maxValue="4237.5" count="0"/>
    </cacheField>
    <cacheField name="保单成本" numFmtId="0">
      <sharedItems containsSemiMixedTypes="false" containsString="false" containsNumber="true" minValue="441.65032258064514" maxValue="2492.4813333333336" count="0"/>
    </cacheField>
    <cacheField name="T0脱退单数量" numFmtId="0">
      <sharedItems containsSemiMixedTypes="false" containsString="false" containsNumber="true" containsInteger="true" minValue="0" maxValue="27" count="0"/>
    </cacheField>
    <cacheField name="T0脱退保费" numFmtId="0">
      <sharedItems containsSemiMixedTypes="false" containsString="false" containsNumber="true" minValue="0" maxValue="31680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1" maxValue="17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8" maxValue="16" count="0"/>
    </cacheField>
  </cacheFields>
</pivotCacheDefinition>
</file>

<file path=xl/pivotCache/pivotCacheDefinition8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51" sheet="2025.12"/>
  </cacheSource>
  <cacheFields count="16">
    <cacheField name="日期" numFmtId="0">
      <sharedItems count="0"/>
    </cacheField>
    <cacheField name="主播" numFmtId="0">
      <sharedItems containsBlank="true" count="9">
        <s v="王亚倩"/>
        <s v="林育菁"/>
        <s v="代艺旋"/>
        <s v="张垚"/>
        <m/>
        <s v="王佳鑫"/>
        <s v="刘慕涵"/>
        <s v="李阳"/>
        <s v="于慧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3" maxValue="16" count="6">
        <n v="5"/>
        <n v="4"/>
        <n v="3"/>
        <n v="16"/>
        <n v="3.5"/>
        <n v="15.5"/>
      </sharedItems>
    </cacheField>
    <cacheField name="总保单数量" numFmtId="0">
      <sharedItems containsSemiMixedTypes="false" containsString="false" containsNumber="true" containsInteger="true" minValue="5" maxValue="114" count="0"/>
    </cacheField>
    <cacheField name="年化保费" numFmtId="0">
      <sharedItems containsSemiMixedTypes="false" containsString="false" containsNumber="true" minValue="5400" maxValue="133644" count="150">
        <n v="37054.8"/>
        <n v="21218.399999999994"/>
        <n v="11828.400000000009"/>
        <n v="21141.59999999999"/>
        <n v="91243.2"/>
        <n v="50328"/>
        <n v="24958.079999999994"/>
        <n v="6792.000000000015"/>
        <n v="29044.800000000003"/>
        <n v="111122.88"/>
        <n v="32204.4"/>
        <n v="29333"/>
        <n v="11506.799999999996"/>
        <n v="5400"/>
        <n v="78444.2"/>
        <n v="29100"/>
        <n v="22992"/>
        <n v="12396"/>
        <n v="24672"/>
        <n v="89160"/>
        <n v="17719.2"/>
        <n v="42288"/>
        <n v="9900"/>
        <n v="37482"/>
        <n v="107389.2"/>
        <n v="51547.2"/>
        <n v="16356"/>
        <n v="20071.199999999997"/>
        <n v="11239.200000000012"/>
        <n v="99213.6"/>
        <n v="11152.8"/>
        <n v="14526"/>
        <n v="20784.000000000004"/>
        <n v="13552.199999999997"/>
        <n v="60015"/>
        <n v="13960.8"/>
        <n v="33156"/>
        <n v="20066.399999999994"/>
        <n v="47163.600000000006"/>
        <n v="114346.8"/>
        <n v="24074.4"/>
        <n v="15118.8"/>
        <n v="16922.4"/>
        <n v="17052"/>
        <n v="73167.6"/>
        <n v="20227.8"/>
        <n v="27371.4"/>
        <n v="27996"/>
        <n v="33355.2"/>
        <n v="108950.4"/>
        <n v="25267.2"/>
        <n v="27540"/>
        <n v="29298"/>
        <n v="31146"/>
        <n v="113251.2"/>
        <n v="40878"/>
        <n v="33849.600000000006"/>
        <n v="30144"/>
        <n v="19236"/>
        <n v="124107.6"/>
        <n v="23400"/>
        <n v="25146"/>
        <n v="16848"/>
        <n v="10716"/>
        <n v="76110"/>
        <n v="32751.6"/>
        <n v="12780"/>
        <n v="20088.000000000007"/>
        <n v="19032"/>
        <n v="84651.6"/>
        <n v="25524"/>
        <n v="40816.8"/>
        <n v="10908"/>
        <n v="6522"/>
        <n v="83770.8"/>
        <n v="29889.2"/>
        <n v="14759.999999999996"/>
        <n v="18660"/>
        <n v="36313.2"/>
        <n v="99622.4"/>
        <n v="14808"/>
        <n v="8028"/>
        <n v="19020"/>
        <n v="50613.600000000006"/>
        <n v="92469.6"/>
        <n v="35436"/>
        <n v="22161.6"/>
        <n v="17922.000000000007"/>
        <n v="27067.199999999997"/>
        <n v="102586.8"/>
        <n v="21278"/>
        <n v="28262.4"/>
        <n v="16840.799999999996"/>
        <n v="24349.800000000003"/>
        <n v="90731"/>
        <n v="35604"/>
        <n v="26244"/>
        <n v="15290.399999999994"/>
        <n v="17458.800000000003"/>
        <n v="94597.2"/>
        <n v="29185.2"/>
        <n v="31067.8"/>
        <n v="13143"/>
        <n v="6864"/>
        <n v="80260"/>
        <n v="13212"/>
        <n v="15048"/>
        <n v="16258.800000000003"/>
        <n v="15512"/>
        <n v="60030.8"/>
        <n v="37491.6"/>
        <n v="22978.8"/>
        <n v="28308"/>
        <n v="11679"/>
        <n v="100457.4"/>
        <n v="13008"/>
        <n v="37140"/>
        <n v="12660"/>
        <n v="21821"/>
        <n v="84629"/>
        <n v="53691.72"/>
        <n v="16851.2"/>
        <n v="9636"/>
        <n v="25944"/>
        <n v="106122.92"/>
        <n v="54920.4"/>
        <n v="21726.6"/>
        <n v="14460"/>
        <n v="16026"/>
        <n v="107133"/>
        <n v="25548"/>
        <n v="17358"/>
        <n v="17616"/>
        <n v="25872"/>
        <n v="86394"/>
        <n v="31471.6"/>
        <n v="39220.4"/>
        <n v="20892"/>
        <n v="42060"/>
        <n v="133644"/>
        <n v="15749.8"/>
        <n v="16834.8"/>
        <n v="17124"/>
        <n v="15960"/>
        <n v="65668.6"/>
        <n v="48626"/>
        <n v="23748"/>
        <n v="33000.36"/>
        <n v="18326.4"/>
        <n v="123700.76000000001"/>
      </sharedItems>
    </cacheField>
    <cacheField name="投流消耗" numFmtId="0">
      <sharedItems containsSemiMixedTypes="false" containsString="false" containsNumber="true" minValue="6313.99" maxValue="81273.15" count="150">
        <n v="22258.46"/>
        <n v="16408.27"/>
        <n v="11219.720000000001"/>
        <n v="13936.35"/>
        <n v="63822.799999999996"/>
        <n v="20109.7"/>
        <n v="12219.16"/>
        <n v="7338.650000000001"/>
        <n v="10599.28"/>
        <n v="50266.79"/>
        <n v="21363.19"/>
        <n v="13199.849999999999"/>
        <n v="12066.8"/>
        <n v="7697.85"/>
        <n v="54327.689999999995"/>
        <n v="14877.16"/>
        <n v="15743.119999999999"/>
        <n v="6384.5"/>
        <n v="15060.79"/>
        <n v="52065.57"/>
        <n v="13388.38"/>
        <n v="16221.439999999999"/>
        <n v="8882.82"/>
        <n v="21148.48"/>
        <n v="59641.119999999995"/>
        <n v="22744.8"/>
        <n v="8027.02"/>
        <n v="10317.66"/>
        <n v="12446.520000000002"/>
        <n v="53536"/>
        <n v="8114.26"/>
        <n v="9381.07"/>
        <n v="6313.99"/>
        <n v="7219.38"/>
        <n v="31028.7"/>
        <n v="10551.21"/>
        <n v="13792.169999999998"/>
        <n v="16014.330000000002"/>
        <n v="20553.969999999998"/>
        <n v="60911.67999999999"/>
        <n v="19127.440000000002"/>
        <n v="13224.310000000001"/>
        <n v="17675.41"/>
        <n v="9874.5"/>
        <n v="59901.66"/>
        <n v="17477.93"/>
        <n v="15980.44"/>
        <n v="20778.52"/>
        <n v="22346.600000000002"/>
        <n v="76583.49"/>
        <n v="17747.88"/>
        <n v="22846.190000000002"/>
        <n v="20111.989999999998"/>
        <n v="18160.24"/>
        <n v="78866.3"/>
        <n v="22587.719999999998"/>
        <n v="16243.66"/>
        <n v="12689.810000000001"/>
        <n v="19777.61"/>
        <n v="71298.8"/>
        <n v="18058.81"/>
        <n v="12458.960000000001"/>
        <n v="8321.84"/>
        <n v="11150.4"/>
        <n v="49990.01"/>
        <n v="25713.32"/>
        <n v="13624.45"/>
        <n v="12161.61"/>
        <n v="9832.29"/>
        <n v="61331.670000000006"/>
        <n v="21288.43"/>
        <n v="24889.16"/>
        <n v="12087.3"/>
        <n v="9276.49"/>
        <n v="67541.38"/>
        <n v="12605.660000000002"/>
        <n v="13258.93"/>
        <n v="11785.01"/>
        <n v="20406.81"/>
        <n v="58056.41"/>
        <n v="15643.37"/>
        <n v="11434.720000000001"/>
        <n v="9502.79"/>
        <n v="26791.299999999996"/>
        <n v="63372.18"/>
        <n v="23894.78"/>
        <n v="16404.989999999998"/>
        <n v="12819.310000000001"/>
        <n v="12270.78"/>
        <n v="65389.86"/>
        <n v="15178.59"/>
        <n v="15375.59"/>
        <n v="14435.85"/>
        <n v="13518.5"/>
        <n v="58508.53"/>
        <n v="27766.809999999998"/>
        <n v="17705.059999999998"/>
        <n v="15510.25"/>
        <n v="9681.09"/>
        <n v="70663.20999999999"/>
        <n v="21383.45"/>
        <n v="15337.24"/>
        <n v="8907"/>
        <n v="7799.500000000001"/>
        <n v="53427.19"/>
        <n v="16586.16"/>
        <n v="14135.560000000001"/>
        <n v="10885.309999999998"/>
        <n v="9576.26"/>
        <n v="51183.29"/>
        <n v="20369.88"/>
        <n v="20790.55"/>
        <n v="14451.41"/>
        <n v="12405.220000000001"/>
        <n v="68017.06"/>
        <n v="13796.66"/>
        <n v="22263.170000000002"/>
        <n v="9537.28"/>
        <n v="11623.47"/>
        <n v="57220.58"/>
        <n v="24285.73"/>
        <n v="16449.04"/>
        <n v="7762.150000000001"/>
        <n v="15601.45"/>
        <n v="64098.37000000001"/>
        <n v="24837.24"/>
        <n v="16648.989999999998"/>
        <n v="13654"/>
        <n v="8662.64"/>
        <n v="63802.869999999995"/>
        <n v="15151.96"/>
        <n v="18687.95"/>
        <n v="8430.17"/>
        <n v="13826.8"/>
        <n v="56096.880000000005"/>
        <n v="21989.27"/>
        <n v="23024.1"/>
        <n v="16328.41"/>
        <n v="19931.37"/>
        <n v="81273.15"/>
        <n v="17877.39"/>
        <n v="13640.95"/>
        <n v="8922.24"/>
        <n v="10299.06"/>
        <n v="50739.64"/>
        <n v="30041.550000000003"/>
        <n v="21064.11"/>
        <n v="13606.66"/>
        <n v="11342.52"/>
        <n v="76054.84000000001"/>
      </sharedItems>
    </cacheField>
    <cacheField name="ROI" numFmtId="0">
      <sharedItems containsSemiMixedTypes="false" containsString="false" containsNumber="true" minValue="0.7014945731600382" maxValue="3.2917378709817413" count="0"/>
    </cacheField>
    <cacheField name="单均" numFmtId="0">
      <sharedItems containsSemiMixedTypes="false" containsString="false" containsNumber="true" minValue="789" maxValue="1650" count="0"/>
    </cacheField>
    <cacheField name="保单成本" numFmtId="0">
      <sharedItems containsSemiMixedTypes="false" containsString="false" containsNumber="true" minValue="423.9712" maxValue="2234.767142857143" count="0"/>
    </cacheField>
    <cacheField name="T0脱退单数量" numFmtId="0">
      <sharedItems containsSemiMixedTypes="false" containsString="false" containsNumber="true" containsInteger="true" minValue="0" maxValue="32" count="0"/>
    </cacheField>
    <cacheField name="T0脱退保费" numFmtId="0">
      <sharedItems containsSemiMixedTypes="false" containsString="false" containsNumber="true" minValue="0" maxValue="30987.6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2.2" maxValue="16" count="0"/>
    </cacheField>
    <cacheField name="投手" numFmtId="0">
      <sharedItems containsBlank="true" count="0"/>
    </cacheField>
    <cacheField name="时长" numFmtId="0">
      <sharedItems containsString="false" containsBlank="true" containsNumber="true" minValue="7.5" maxValue="16" count="0"/>
    </cacheField>
  </cacheFields>
</pivotCacheDefinition>
</file>

<file path=xl/pivotCache/pivotCacheDefinition9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53" sheet="2025.11"/>
  </cacheSource>
  <cacheFields count="16">
    <cacheField name="日期" numFmtId="0">
      <sharedItems count="0"/>
    </cacheField>
    <cacheField name="主播" numFmtId="0">
      <sharedItems containsBlank="true" count="8">
        <s v="孟郁倩"/>
        <s v="林育菁"/>
        <s v="刘慕涵"/>
        <m/>
        <s v="王亚倩"/>
        <s v="张垚"/>
        <s v="段弼瑞"/>
        <s v="代艺璇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18" count="13">
        <n v="5"/>
        <n v="4"/>
        <n v="14"/>
        <n v="15"/>
        <n v="18"/>
        <n v="2"/>
        <n v="16"/>
        <n v="17"/>
        <n v="3.5"/>
        <n v="17.5"/>
        <n v="4.5"/>
        <n v="3"/>
        <n v="15.5"/>
      </sharedItems>
    </cacheField>
    <cacheField name="总保单数量" numFmtId="0">
      <sharedItems containsSemiMixedTypes="false" containsString="false" containsNumber="true" containsInteger="true" minValue="5" maxValue="243" count="0"/>
    </cacheField>
    <cacheField name="年化保费" numFmtId="0">
      <sharedItems containsSemiMixedTypes="false" containsString="false" containsNumber="true" minValue="5484" maxValue="300679" count="151">
        <n v="83085.6"/>
        <n v="73104"/>
        <n v="78040.8"/>
        <n v="234230.40000000002"/>
        <n v="93408"/>
        <n v="89624.64000000001"/>
        <n v="101682"/>
        <n v="284714.64"/>
        <n v="106472.6"/>
        <n v="62235.2"/>
        <n v="72376.8"/>
        <n v="241084.59999999998"/>
        <n v="82920"/>
        <n v="70610.79999999999"/>
        <n v="93044.36000000002"/>
        <n v="246575.16"/>
        <n v="84813"/>
        <n v="73727.2"/>
        <n v="76848"/>
        <n v="235388.2"/>
        <n v="143262.84"/>
        <n v="45303.84"/>
        <n v="33091"/>
        <n v="48693.6"/>
        <n v="270351.27999999997"/>
        <n v="83348.8"/>
        <n v="79754.1"/>
        <n v="28513.2"/>
        <n v="24938.4"/>
        <n v="216554.50000000003"/>
        <n v="36859.2"/>
        <n v="42115.2"/>
        <n v="48840"/>
        <n v="39912"/>
        <n v="167726.4"/>
        <n v="32416.8"/>
        <n v="21735.6"/>
        <n v="35251"/>
        <n v="92061.6"/>
        <n v="119214"/>
        <n v="300679"/>
        <n v="30985.2"/>
        <n v="16272"/>
        <n v="59323.2"/>
        <n v="48210"/>
        <n v="62366.4"/>
        <n v="217156.8"/>
        <n v="26042.4"/>
        <n v="31761.6"/>
        <n v="44013.6"/>
        <n v="48367.2"/>
        <n v="32986.8"/>
        <n v="183171.59999999998"/>
        <n v="28248"/>
        <n v="56454"/>
        <n v="28143.4"/>
        <n v="42836.4"/>
        <n v="155681.8"/>
        <n v="17835.6"/>
        <n v="24039.4"/>
        <n v="34028.4"/>
        <n v="35184"/>
        <n v="27636"/>
        <n v="138723.4"/>
        <n v="26280"/>
        <n v="13081.2"/>
        <n v="22680"/>
        <n v="17712"/>
        <n v="21580.6"/>
        <n v="101333.79999999999"/>
        <n v="30006"/>
        <n v="10224"/>
        <n v="22966.6"/>
        <n v="48774"/>
        <n v="111970.6"/>
        <n v="51852"/>
        <n v="19978.8"/>
        <n v="39423.6"/>
        <n v="78330"/>
        <n v="189584.4"/>
        <n v="52884"/>
        <n v="28713.6"/>
        <n v="25677.6"/>
        <n v="80427.6"/>
        <n v="187702.80000000002"/>
        <n v="38850"/>
        <n v="26256"/>
        <n v="58137.6"/>
        <n v="34594.8"/>
        <n v="51958.8"/>
        <n v="209797.2"/>
        <n v="41311.2"/>
        <n v="32234.40000000001"/>
        <n v="5484"/>
        <n v="15736"/>
        <n v="34262.4"/>
        <n v="129028"/>
        <n v="48056.4"/>
        <n v="81457.2"/>
        <n v="33907.2"/>
        <n v="34611.6"/>
        <n v="198032.4"/>
        <n v="24823.2"/>
        <n v="38040"/>
        <n v="23464.8"/>
        <n v="58239.8"/>
        <n v="144567.8"/>
        <n v="33610.8"/>
        <n v="9616.2"/>
        <n v="53469.76"/>
        <n v="58333.2"/>
        <n v="155029.96000000002"/>
        <n v="28320"/>
        <n v="23300.4"/>
        <n v="35536.8"/>
        <n v="44739.6"/>
        <n v="131896.80000000002"/>
        <n v="32484"/>
        <n v="91573.2"/>
        <n v="66469.4"/>
        <n v="49066.8"/>
        <n v="239593.39999999997"/>
        <n v="41024.4"/>
        <n v="41138.4"/>
        <n v="22887.6"/>
        <n v="91892.2"/>
        <n v="196942.59999999998"/>
        <n v="56472"/>
        <n v="58779.6"/>
        <n v="34538.4"/>
        <n v="206262"/>
        <n v="19269.6"/>
        <n v="7084.8"/>
        <n v="16332"/>
        <n v="26745.6"/>
        <n v="69432"/>
        <n v="36034.8"/>
        <n v="25327.2"/>
        <n v="16910.4"/>
        <n v="22371.6"/>
        <n v="100644"/>
        <n v="30318"/>
        <n v="25545.6"/>
        <n v="10110"/>
        <n v="13341.91"/>
        <n v="79315.51000000001"/>
        <n v="17328"/>
        <n v="14462.4"/>
        <n v="9240"/>
        <n v="23354.879999999997"/>
        <n v="64385.28"/>
      </sharedItems>
    </cacheField>
    <cacheField name="投流消耗" numFmtId="0">
      <sharedItems containsSemiMixedTypes="false" containsString="false" containsNumber="true" minValue="6144.18" maxValue="184518.95" count="152">
        <n v="51128.1"/>
        <n v="62653.6"/>
        <n v="49937.44"/>
        <n v="163719.14"/>
        <n v="72780.68999999999"/>
        <n v="49311.219999999994"/>
        <n v="48318.490000000005"/>
        <n v="170410.39999999997"/>
        <n v="70851.92"/>
        <n v="42114.79"/>
        <n v="47827.95"/>
        <n v="160794.65999999997"/>
        <n v="53607.18"/>
        <n v="55759.72"/>
        <n v="52630.700000000004"/>
        <n v="161997.6"/>
        <n v="57427.99"/>
        <n v="41264.56"/>
        <n v="42702.83"/>
        <n v="141395.38"/>
        <n v="95197.78"/>
        <n v="33889.55"/>
        <n v="22725.3"/>
        <n v="23448.33"/>
        <n v="175260.96000000002"/>
        <n v="54624.47"/>
        <n v="53665.5"/>
        <n v="23819.61"/>
        <n v="30412.73"/>
        <n v="162522.31000000003"/>
        <n v="25294.199999999997"/>
        <n v="34891.2"/>
        <n v="30255.31"/>
        <n v="19329.18"/>
        <n v="109769.88999999998"/>
        <n v="19555.09"/>
        <n v="10118.71"/>
        <n v="24180.480000000003"/>
        <n v="46185.69"/>
        <n v="84478.98000000001"/>
        <n v="184518.95"/>
        <n v="22452.31"/>
        <n v="13824.560000000001"/>
        <n v="33460.42"/>
        <n v="34824.7"/>
        <n v="33064.16"/>
        <n v="137626.15000000002"/>
        <n v="20094.629999999997"/>
        <n v="23362.539999999997"/>
        <n v="32522.37"/>
        <n v="45487.51"/>
        <n v="19078.3"/>
        <n v="140545.34999999998"/>
        <n v="17675.42"/>
        <n v="35923.03"/>
        <n v="20131.84"/>
        <n v="24864.390000000003"/>
        <n v="98594.68"/>
        <n v="13305.77"/>
        <n v="23537.410000000003"/>
        <n v="27635.38"/>
        <n v="15946.14"/>
        <n v="19268.33"/>
        <n v="99693.03000000001"/>
        <n v="20038.14"/>
        <n v="12776.51"/>
        <n v="14076.8"/>
        <n v="17156.95"/>
        <n v="12435.21"/>
        <n v="76483.60999999999"/>
        <n v="19096.52"/>
        <n v="10752.27"/>
        <n v="11597.01"/>
        <n v="24197.189999999995"/>
        <n v="65642.98999999999"/>
        <n v="35697.98"/>
        <n v="19271.9"/>
        <n v="24671.61"/>
        <n v="31624.39"/>
        <n v="111265.88"/>
        <n v="43538.61"/>
        <n v="21236.43"/>
        <n v="22168.95"/>
        <n v="43593.920000000006"/>
        <n v="130537.91"/>
        <n v="40595.89"/>
        <n v="13593.869999999999"/>
        <n v="30741.730000000003"/>
        <n v="22035.809999999998"/>
        <n v="40280.52"/>
        <n v="147247.81999999998"/>
        <n v="34022.670000000006"/>
        <n v="25772.950000000004"/>
        <n v="7192.13"/>
        <n v="12871.78"/>
        <n v="24984.6"/>
        <n v="104844.13"/>
        <n v="28426.439999999995"/>
        <n v="48689.83"/>
        <n v="23856.45"/>
        <n v="32284.64"/>
        <n v="133257.36"/>
        <n v="14459.09"/>
        <n v="34550.62"/>
        <n v="18150.67"/>
        <n v="25728.730000000003"/>
        <n v="92889.11000000002"/>
        <n v="28281.390000000003"/>
        <n v="15392.92"/>
        <n v="25357.12"/>
        <n v="28685.39"/>
        <n v="97716.82"/>
        <n v="21926.45"/>
        <n v="22311.41"/>
        <n v="17902.13"/>
        <n v="30470.35"/>
        <n v="92610.34"/>
        <n v="30024.329999999998"/>
        <n v="46813.35"/>
        <n v="35831.27"/>
        <n v="35937.15"/>
        <n v="148606.09999999998"/>
        <n v="32868.99"/>
        <n v="27245.45"/>
        <n v="17562.59"/>
        <n v="32786.62"/>
        <n v="110463.65"/>
        <n v="37952.799999999996"/>
        <n v="40076.25"/>
        <n v="35480.59"/>
        <n v="25552.37"/>
        <n v="139062.00999999998"/>
        <n v="17194.3"/>
        <n v="10533.56"/>
        <n v="13134.61"/>
        <n v="16968.48"/>
        <n v="57830.95"/>
        <n v="20968.19"/>
        <n v="17551.3"/>
        <n v="11599.54"/>
        <n v="14847.86"/>
        <n v="64966.89"/>
        <n v="17629.67"/>
        <n v="12024.84"/>
        <n v="8431.73"/>
        <n v="12535.17"/>
        <n v="50621.409999999996"/>
        <n v="10691.15"/>
        <n v="7856.07"/>
        <n v="6144.18"/>
        <n v="19587"/>
        <n v="44278.4"/>
      </sharedItems>
    </cacheField>
    <cacheField name="ROI" numFmtId="0">
      <sharedItems containsSemiMixedTypes="false" containsString="false" containsNumber="true" minValue="0.6247157784228075" maxValue="2.8027347741243225" count="0"/>
    </cacheField>
    <cacheField name="单均" numFmtId="0">
      <sharedItems containsSemiMixedTypes="false" containsString="false" containsNumber="true" minValue="708.48" maxValue="1765.5" count="0"/>
    </cacheField>
    <cacheField name="保单成本" numFmtId="0">
      <sharedItems containsSemiMixedTypes="false" containsString="false" containsNumber="true" minValue="468.3802857142858" maxValue="1689.596111111111" count="0"/>
    </cacheField>
    <cacheField name="T0脱退单数量" numFmtId="0">
      <sharedItems containsSemiMixedTypes="false" containsString="false" containsNumber="true" containsInteger="true" minValue="0" maxValue="63" count="0"/>
    </cacheField>
    <cacheField name="T0脱退保费" numFmtId="0">
      <sharedItems containsSemiMixedTypes="false" containsString="false" containsNumber="true" minValue="0" maxValue="54900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0.4" maxValue="18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8" maxValue="18" count="0"/>
    </cacheField>
  </cacheFields>
</pivotCacheDefinition>
</file>

<file path=xl/pivotCache/pivotCacheDefinition10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32" sheet="2025.10"/>
  </cacheSource>
  <cacheFields count="17">
    <cacheField name="日期" numFmtId="0">
      <sharedItems count="0"/>
    </cacheField>
    <cacheField name="主播" numFmtId="0">
      <sharedItems containsBlank="true" count="5">
        <s v="孟郁倩"/>
        <s v="林育菁"/>
        <m/>
        <s v="刘慕涵"/>
        <s v="王硕硕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4" maxValue="18" count="7">
        <n v="4"/>
        <n v="8"/>
        <n v="5"/>
        <n v="15"/>
        <n v="14"/>
        <n v="16"/>
        <n v="18"/>
      </sharedItems>
    </cacheField>
    <cacheField name="总保单数量" numFmtId="0">
      <sharedItems containsSemiMixedTypes="false" containsString="false" containsNumber="true" containsInteger="true" minValue="0" maxValue="160" count="0"/>
    </cacheField>
    <cacheField name="纯投放保单" numFmtId="0">
      <sharedItems containsSemiMixedTypes="false" containsString="false" containsNumber="true" containsInteger="true" minValue="0" maxValue="137" count="0"/>
    </cacheField>
    <cacheField name="年化保费" numFmtId="0">
      <sharedItems containsSemiMixedTypes="false" containsString="false" containsNumber="true" minValue="0" maxValue="177642.59999999998" count="30">
        <n v="0"/>
        <n v="11859.6"/>
        <n v="3538.8"/>
        <n v="18444"/>
        <n v="21982.8"/>
        <n v="7308"/>
        <n v="3612"/>
        <n v="10920"/>
        <n v="9612"/>
        <n v="11256"/>
        <n v="6544.799999999999"/>
        <n v="27412.8"/>
        <n v="11574"/>
        <n v="27000"/>
        <n v="11880"/>
        <n v="50454"/>
        <n v="10018.8"/>
        <n v="5568"/>
        <n v="5244"/>
        <n v="15984"/>
        <n v="36814.8"/>
        <n v="14316"/>
        <n v="19952.4"/>
        <n v="36481.2"/>
        <n v="55901.88"/>
        <n v="126651.48000000001"/>
        <n v="59514.1"/>
        <n v="58342.8"/>
        <n v="59785.7"/>
        <n v="177642.59999999998"/>
      </sharedItems>
    </cacheField>
    <cacheField name="投流消耗" numFmtId="0">
      <sharedItems containsSemiMixedTypes="false" containsString="false" containsNumber="true" minValue="334.74" maxValue="121277.80000000002" count="31">
        <n v="334.74"/>
        <n v="8181.410000000001"/>
        <n v="8516.150000000001"/>
        <n v="6366.459999999999"/>
        <n v="13969.529999999999"/>
        <n v="20335.989999999998"/>
        <n v="10436.79"/>
        <n v="8831.82"/>
        <n v="19268.61"/>
        <n v="8796.130000000001"/>
        <n v="5888.3"/>
        <n v="7870.33"/>
        <n v="22554.760000000002"/>
        <n v="8573.14"/>
        <n v="17645.58"/>
        <n v="7767.74"/>
        <n v="33986.46"/>
        <n v="8647.71"/>
        <n v="5801.24"/>
        <n v="4923.84"/>
        <n v="10505.02"/>
        <n v="29877.81"/>
        <n v="14777.11"/>
        <n v="16049.89"/>
        <n v="24688.98"/>
        <n v="42706.07"/>
        <n v="98222.04999999999"/>
        <n v="41250.75000000001"/>
        <n v="42870.7"/>
        <n v="37156.35"/>
        <n v="121277.80000000002"/>
      </sharedItems>
    </cacheField>
    <cacheField name="ROI" numFmtId="0">
      <sharedItems containsSemiMixedTypes="false" containsString="false" containsNumber="true" minValue="0" maxValue="1.9115873851536096" count="0"/>
    </cacheField>
    <cacheField name="单均" numFmtId="0">
      <sharedItems containsMixedTypes="true" containsNumber="true" minValue="812" maxValue="1697.142857142857" count="0"/>
    </cacheField>
    <cacheField name="保单成本" numFmtId="0">
      <sharedItems containsMixedTypes="true" containsNumber="true" minValue="654.2555555555556" maxValue="2943.94" count="0"/>
    </cacheField>
    <cacheField name="T0脱退单数量" numFmtId="0">
      <sharedItems containsSemiMixedTypes="false" containsString="false" containsNumber="true" containsInteger="true" minValue="0" maxValue="39" count="0"/>
    </cacheField>
    <cacheField name="T0脱退保费" numFmtId="0">
      <sharedItems containsSemiMixedTypes="false" containsString="false" containsNumber="true" containsInteger="true" minValue="0" maxValue="37212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2" maxValue="18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8" maxValue="18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_rels/pivotTable5.xml.rels><?xml version="1.0" encoding="UTF-8" standalone="yes"?>
<Relationships xmlns="http://schemas.openxmlformats.org/package/2006/relationships"><Relationship Id="rId1" Target="../pivotCache/pivotCacheDefinition5.xml" Type="http://schemas.openxmlformats.org/officeDocument/2006/relationships/pivotCacheDefinition"></Relationship></Relationships>
</file>

<file path=xl/pivotTables/_rels/pivotTable6.xml.rels><?xml version="1.0" encoding="UTF-8" standalone="yes"?>
<Relationships xmlns="http://schemas.openxmlformats.org/package/2006/relationships"><Relationship Id="rId1" Target="../pivotCache/pivotCacheDefinition6.xml" Type="http://schemas.openxmlformats.org/officeDocument/2006/relationships/pivotCacheDefinition"></Relationship></Relationships>
</file>

<file path=xl/pivotTables/_rels/pivotTable7.xml.rels><?xml version="1.0" encoding="UTF-8" standalone="yes"?>
<Relationships xmlns="http://schemas.openxmlformats.org/package/2006/relationships"><Relationship Id="rId1" Target="../pivotCache/pivotCacheDefinition7.xml" Type="http://schemas.openxmlformats.org/officeDocument/2006/relationships/pivotCacheDefinition"></Relationship></Relationships>
</file>

<file path=xl/pivotTables/_rels/pivotTable8.xml.rels><?xml version="1.0" encoding="UTF-8" standalone="yes"?>
<Relationships xmlns="http://schemas.openxmlformats.org/package/2006/relationships"><Relationship Id="rId1" Target="../pivotCache/pivotCacheDefinition8.xml" Type="http://schemas.openxmlformats.org/officeDocument/2006/relationships/pivotCacheDefinition"></Relationship></Relationships>
</file>

<file path=xl/pivotTables/_rels/pivotTable9.xml.rels><?xml version="1.0" encoding="UTF-8" standalone="yes"?>
<Relationships xmlns="http://schemas.openxmlformats.org/package/2006/relationships"><Relationship Id="rId1" Target="../pivotCache/pivotCacheDefinition9.xml" Type="http://schemas.openxmlformats.org/officeDocument/2006/relationships/pivotCacheDefinition"></Relationship></Relationships>
</file>

<file path=xl/pivotTables/_rels/pivotTable10.xml.rels><?xml version="1.0" encoding="UTF-8" standalone="yes"?>
<Relationships xmlns="http://schemas.openxmlformats.org/package/2006/relationships"><Relationship Id="rId1" Target="../pivotCache/pivotCacheDefinition10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C$177:$F$186" firstHeaderRow="1" firstDataRow="1" firstDataCol="1"/>
  <pivotFields count="16">
    <pivotField compact="false" outline="false" showAll="false"/>
    <pivotField axis="axisRow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dataField="true" compact="false" outline="false" showAll="false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dataField="true" compact="false" outline="false" showAll="false">
      <items count="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C$189:$D$196" firstHeaderRow="1" firstDataRow="1" firstDataCol="1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166:$F$172" firstHeaderRow="1" firstDataRow="1" firstDataCol="1"/>
  <pivotFields count="16">
    <pivotField compact="false" outline="false" showAll="false"/>
    <pivotField axis="axisRow" compact="false" outline="false" showAll="false">
      <items count="7">
        <item x="0"/>
        <item x="1"/>
        <item x="2"/>
        <item x="3"/>
        <item x="4"/>
        <item h="true" x="5"/>
        <item t="default"/>
      </items>
    </pivotField>
    <pivotField compact="false" outline="false" showAll="false"/>
    <pivotField dataField="true" compact="false" outline="false" showAll="false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1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dataField="true" compact="false" outline="false" showAll="false">
      <items count="1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D$160:$G$167" firstHeaderRow="1" firstDataRow="1" firstDataCol="1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dataField="true" compact="false" outline="false" showAll="false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dataField="true" compact="false" outline="false" showAll="false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投流消耗" fld="6" subtotal="sum"/>
    <dataField name="求和项:年化保费" fld="5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 Table5" cacheId="5" dataCaption="值" updatedVersion="3" minRefreshableVersion="3" useAutoFormatting="true" createdVersion="3" compact="false" compactData="false">
  <location ref="$E$164:$H$173" firstHeaderRow="1" firstDataRow="1" firstDataCol="1"/>
  <pivotFields count="16">
    <pivotField compact="false" outline="false" showAll="false"/>
    <pivotField axis="axisRow" compact="false" outline="false" showAll="false">
      <items count="10">
        <item x="0"/>
        <item x="1"/>
        <item x="2"/>
        <item x="3"/>
        <item h="true"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false" outline="false" showAll="false"/>
    <pivotField dataField="true" compact="false" outline="false" showAll="false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dataField="true" compact="false" outline="false" showAll="false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 Table6" cacheId="6" dataCaption="值" updatedVersion="3" minRefreshableVersion="3" useAutoFormatting="true" createdVersion="3" compact="false" compactData="false">
  <location ref="$D$144:$G$151" firstHeaderRow="1" firstDataRow="1" firstDataCol="1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dataField="true" compact="false" outline="false" showAll="false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 Table7" cacheId="7" dataCaption="值" updatedVersion="3" minRefreshableVersion="3" useAutoFormatting="true" createdVersion="3" compact="false" compactData="false">
  <location ref="$C$158:$F$164" firstHeaderRow="1" firstDataRow="1" firstDataCol="1"/>
  <pivotFields count="16">
    <pivotField compact="false" outline="false" showAll="false"/>
    <pivotField axis="axisRow" compact="false" outline="false" showAll="false">
      <items count="7">
        <item x="0"/>
        <item x="1"/>
        <item x="2"/>
        <item x="3"/>
        <item h="true" x="4"/>
        <item x="5"/>
        <item t="default"/>
      </items>
    </pivotField>
    <pivotField compact="false" outline="false" showAll="false"/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dataField="true" compact="false" outline="false" showAll="false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 Table8" cacheId="8" dataCaption="值" updatedVersion="3" minRefreshableVersion="3" useAutoFormatting="true" createdVersion="3" compact="false" compactData="false">
  <location ref="$B$161:$E$170" firstHeaderRow="1" firstDataRow="1" firstDataCol="1"/>
  <pivotFields count="16">
    <pivotField compact="false" outline="false" showAll="false"/>
    <pivotField axis="axisRow" compact="false" outline="false" showAll="false">
      <items count="10">
        <item x="0"/>
        <item x="1"/>
        <item x="2"/>
        <item x="3"/>
        <item h="true"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7">
        <item x="0"/>
        <item x="1"/>
        <item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dataField="true" compact="false" outline="false" showAll="false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 Table9" cacheId="9" dataCaption="值" updatedVersion="3" minRefreshableVersion="3" useAutoFormatting="true" createdVersion="3" compact="false" compactData="false">
  <location ref="$C$161:$F$169" firstHeaderRow="1" firstDataRow="1" firstDataCol="1"/>
  <pivotFields count="16">
    <pivotField compact="false" outline="false" showAll="false"/>
    <pivotField axis="axisRow" compact="false" outline="false" showAll="false">
      <items count="9">
        <item x="0"/>
        <item x="1"/>
        <item x="2"/>
        <item h="true" x="3"/>
        <item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false" outline="false" showAll="false"/>
    <pivotField dataField="true" compact="false" outline="false" showAll="false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dataField="true" compact="false" outline="false" showAll="false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 Table10" cacheId="10" dataCaption="值" updatedVersion="3" minRefreshableVersion="3" useAutoFormatting="true" createdVersion="3" compact="false" compactData="false">
  <location ref="$C$37:$F$42" firstHeaderRow="1" firstDataRow="1" firstDataCol="1"/>
  <pivotFields count="17">
    <pivotField compact="false" outline="false" showAll="false"/>
    <pivotField axis="axisRow" compact="false" outline="false" showAll="false">
      <items count="6">
        <item x="0"/>
        <item x="1"/>
        <item h="true" x="2"/>
        <item x="3"/>
        <item x="4"/>
        <item t="default"/>
      </items>
    </pivotField>
    <pivotField compact="false" outline="false" showAll="false"/>
    <pivotField dataField="true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true" compact="false" outline="false" showAll="false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6" subtotal="sum"/>
    <dataField name="求和项:投流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_rels/sheet9.xml.rels><?xml version="1.0" encoding="UTF-8" standalone="yes"?>
<Relationships xmlns="http://schemas.openxmlformats.org/package/2006/relationships"><Relationship Id="rId1" Target="../pivotTables/pivotTable5.xml" Type="http://schemas.openxmlformats.org/officeDocument/2006/relationships/pivotTable"></Relationship></Relationships>
</file>

<file path=xl/worksheets/_rels/sheet10.xml.rels><?xml version="1.0" encoding="UTF-8" standalone="yes"?>
<Relationships xmlns="http://schemas.openxmlformats.org/package/2006/relationships"><Relationship Id="rId1" Target="../pivotTables/pivotTable6.xml" Type="http://schemas.openxmlformats.org/officeDocument/2006/relationships/pivotTable"></Relationship></Relationships>
</file>

<file path=xl/worksheets/_rels/sheet11.xml.rels><?xml version="1.0" encoding="UTF-8" standalone="yes"?>
<Relationships xmlns="http://schemas.openxmlformats.org/package/2006/relationships"><Relationship Id="rId1" Target="../pivotTables/pivotTable7.xml" Type="http://schemas.openxmlformats.org/officeDocument/2006/relationships/pivotTable"></Relationship></Relationships>
</file>

<file path=xl/worksheets/_rels/sheet12.xml.rels><?xml version="1.0" encoding="UTF-8" standalone="yes"?>
<Relationships xmlns="http://schemas.openxmlformats.org/package/2006/relationships"><Relationship Id="rId1" Target="../pivotTables/pivotTable8.xml" Type="http://schemas.openxmlformats.org/officeDocument/2006/relationships/pivotTable"></Relationship></Relationships>
</file>

<file path=xl/worksheets/_rels/sheet13.xml.rels><?xml version="1.0" encoding="UTF-8" standalone="yes"?>
<Relationships xmlns="http://schemas.openxmlformats.org/package/2006/relationships"><Relationship Id="rId1" Target="../pivotTables/pivotTable9.xml" Type="http://schemas.openxmlformats.org/officeDocument/2006/relationships/pivotTable"></Relationship></Relationships>
</file>

<file path=xl/worksheets/_rels/sheet14.xml.rels><?xml version="1.0" encoding="UTF-8" standalone="yes"?>
<Relationships xmlns="http://schemas.openxmlformats.org/package/2006/relationships"><Relationship Id="rId1" Target="../pivotTables/pivotTable10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0" min="10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</cols>
  <sheetData>
    <row customHeight="true" ht="19.642857142857142"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2" t="s">
        <v>11</v>
      </c>
      <c r="L1" s="4" t="s">
        <v>12</v>
      </c>
      <c r="M1" s="4" t="s">
        <v>13</v>
      </c>
      <c r="N1" s="5" t="s">
        <v>14</v>
      </c>
      <c r="O1" s="5" t="s">
        <v>15</v>
      </c>
      <c r="P1" s="5" t="s">
        <v>16</v>
      </c>
    </row>
    <row r="2">
      <c r="A2" s="6" t="s">
        <v>17</v>
      </c>
      <c r="B2" s="7" t="s">
        <v>18</v>
      </c>
      <c r="C2" s="8" t="s">
        <v>19</v>
      </c>
      <c r="D2" s="8">
        <v>4</v>
      </c>
      <c r="E2" s="8">
        <v>7</v>
      </c>
      <c r="F2" s="8">
        <v>5826.360000000001</v>
      </c>
      <c r="G2" s="9">
        <v>4838.24</v>
      </c>
      <c r="H2" s="9">
        <f t="shared" ref="H2:H112" si="1">F2/G2</f>
      </c>
      <c r="I2" s="10">
        <f t="shared" ref="I2:I112" si="2">F2/E2</f>
      </c>
      <c r="J2" s="10">
        <f t="shared" ref="J2:J112" si="0">G2/E2</f>
      </c>
      <c r="K2" s="8">
        <v>1</v>
      </c>
      <c r="L2" s="11">
        <v>2467.2</v>
      </c>
      <c r="M2" s="12"/>
      <c r="N2" s="13"/>
      <c r="O2" s="14" t="s">
        <v>20</v>
      </c>
      <c r="P2" s="14">
        <v>10</v>
      </c>
    </row>
    <row r="3">
      <c r="A3" s="6" t="s">
        <v>17</v>
      </c>
      <c r="B3" s="7" t="s">
        <v>21</v>
      </c>
      <c r="C3" s="8" t="s">
        <v>22</v>
      </c>
      <c r="D3" s="8">
        <v>4</v>
      </c>
      <c r="E3" s="8">
        <v>4</v>
      </c>
      <c r="F3" s="8">
        <v>4713.4</v>
      </c>
      <c r="G3" s="15">
        <v>3455.93</v>
      </c>
      <c r="H3" s="9">
        <f t="shared" si="1"/>
      </c>
      <c r="I3" s="10">
        <f t="shared" si="2"/>
      </c>
      <c r="J3" s="10">
        <f t="shared" si="0"/>
      </c>
      <c r="K3" s="8">
        <v>1</v>
      </c>
      <c r="L3" s="11">
        <v>563.8000000000002</v>
      </c>
      <c r="M3" s="16" t="s">
        <v>23</v>
      </c>
      <c r="N3" s="13">
        <v>10</v>
      </c>
      <c r="O3" s="17"/>
      <c r="P3" s="13"/>
    </row>
    <row r="4">
      <c r="A4" s="6" t="s">
        <v>17</v>
      </c>
      <c r="B4" s="7" t="s">
        <v>24</v>
      </c>
      <c r="C4" s="8" t="s">
        <v>25</v>
      </c>
      <c r="D4" s="8">
        <v>4</v>
      </c>
      <c r="E4" s="8">
        <v>2</v>
      </c>
      <c r="F4" s="8">
        <v>4404</v>
      </c>
      <c r="G4" s="8">
        <v>4740.539999999999</v>
      </c>
      <c r="H4" s="9">
        <f t="shared" si="1"/>
      </c>
      <c r="I4" s="10">
        <f t="shared" si="2"/>
      </c>
      <c r="J4" s="10">
        <f t="shared" si="0"/>
      </c>
      <c r="K4" s="8">
        <v>2</v>
      </c>
      <c r="L4" s="11">
        <v>4404</v>
      </c>
      <c r="M4" s="16"/>
      <c r="N4" s="13"/>
      <c r="O4" s="17"/>
      <c r="P4" s="13"/>
    </row>
    <row r="5">
      <c r="A5" s="6" t="s">
        <v>17</v>
      </c>
      <c r="B5" s="7" t="s">
        <v>26</v>
      </c>
      <c r="C5" s="8" t="s">
        <v>27</v>
      </c>
      <c r="D5" s="8">
        <v>4</v>
      </c>
      <c r="E5" s="8">
        <v>3</v>
      </c>
      <c r="F5" s="8">
        <v>5623.199999999999</v>
      </c>
      <c r="G5" s="8">
        <v>2878.41</v>
      </c>
      <c r="H5" s="9">
        <f t="shared" si="1"/>
      </c>
      <c r="I5" s="10">
        <f t="shared" si="2"/>
      </c>
      <c r="J5" s="10">
        <f t="shared" si="0"/>
      </c>
      <c r="K5" s="8">
        <v>0</v>
      </c>
      <c r="L5" s="11">
        <v>0</v>
      </c>
      <c r="M5" s="16" t="s">
        <v>28</v>
      </c>
      <c r="N5" s="13">
        <v>10</v>
      </c>
      <c r="O5" s="14" t="s">
        <v>29</v>
      </c>
      <c r="P5" s="14">
        <v>10</v>
      </c>
    </row>
    <row r="6">
      <c r="A6" s="6" t="s">
        <v>17</v>
      </c>
      <c r="B6" s="7" t="s">
        <v>30</v>
      </c>
      <c r="C6" s="8" t="s">
        <v>31</v>
      </c>
      <c r="D6" s="8">
        <v>4</v>
      </c>
      <c r="E6" s="8">
        <v>8</v>
      </c>
      <c r="F6" s="8">
        <v>11816.600000000006</v>
      </c>
      <c r="G6" s="8">
        <v>7903.889999999999</v>
      </c>
      <c r="H6" s="9">
        <f t="shared" si="1"/>
      </c>
      <c r="I6" s="10">
        <f t="shared" si="2"/>
      </c>
      <c r="J6" s="10">
        <f t="shared" si="0"/>
      </c>
      <c r="K6" s="8">
        <v>2</v>
      </c>
      <c r="L6" s="11">
        <v>1786.7999999999993</v>
      </c>
      <c r="M6" s="16"/>
      <c r="N6" s="13"/>
      <c r="O6" s="17"/>
      <c r="P6" s="14"/>
    </row>
    <row r="7">
      <c r="A7" s="18" t="s">
        <v>17</v>
      </c>
      <c r="B7" s="19"/>
      <c r="C7" s="19"/>
      <c r="D7" s="20">
        <f>SUM(D2:D6)</f>
      </c>
      <c r="E7" s="20">
        <f>SUM(E2:E6)</f>
      </c>
      <c r="F7" s="20">
        <f>SUM(F2:F6)</f>
      </c>
      <c r="G7" s="20">
        <f>SUM(G2:G6)</f>
      </c>
      <c r="H7" s="21">
        <f t="shared" si="1"/>
      </c>
      <c r="I7" s="21">
        <f t="shared" si="2"/>
      </c>
      <c r="J7" s="21">
        <f t="shared" si="0"/>
      </c>
      <c r="K7" s="20">
        <f>SUM(K2:K6)</f>
      </c>
      <c r="L7" s="20">
        <f>SUM(L2:L6)</f>
      </c>
      <c r="M7" s="22"/>
      <c r="N7" s="20">
        <f>SUM(N2:N6)</f>
      </c>
      <c r="O7" s="23"/>
      <c r="P7" s="20">
        <f>SUM(P2:P6)</f>
      </c>
    </row>
    <row r="8">
      <c r="A8" s="6" t="s">
        <v>32</v>
      </c>
      <c r="B8" s="7" t="s">
        <v>21</v>
      </c>
      <c r="C8" s="8" t="s">
        <v>19</v>
      </c>
      <c r="D8" s="8">
        <v>4</v>
      </c>
      <c r="E8" s="8">
        <v>12</v>
      </c>
      <c r="F8" s="8">
        <v>12168.8</v>
      </c>
      <c r="G8" s="9">
        <v>11269.800000000001</v>
      </c>
      <c r="H8" s="9">
        <f t="shared" si="1"/>
      </c>
      <c r="I8" s="10">
        <f t="shared" si="2"/>
      </c>
      <c r="J8" s="10">
        <f t="shared" si="0"/>
      </c>
      <c r="K8" s="8">
        <v>4</v>
      </c>
      <c r="L8" s="11">
        <v>3120</v>
      </c>
      <c r="M8" s="12"/>
      <c r="N8" s="13"/>
      <c r="O8" s="14" t="s">
        <v>20</v>
      </c>
      <c r="P8" s="14">
        <v>10</v>
      </c>
    </row>
    <row r="9">
      <c r="A9" s="6" t="s">
        <v>32</v>
      </c>
      <c r="B9" s="7" t="s">
        <v>24</v>
      </c>
      <c r="C9" s="8" t="s">
        <v>22</v>
      </c>
      <c r="D9" s="8">
        <v>4</v>
      </c>
      <c r="E9" s="8">
        <v>19</v>
      </c>
      <c r="F9" s="8">
        <v>21563.8</v>
      </c>
      <c r="G9" s="15">
        <v>14214.84</v>
      </c>
      <c r="H9" s="9">
        <f t="shared" si="1"/>
      </c>
      <c r="I9" s="10">
        <f t="shared" si="2"/>
      </c>
      <c r="J9" s="10">
        <f t="shared" si="0"/>
      </c>
      <c r="K9" s="8">
        <v>6</v>
      </c>
      <c r="L9" s="11">
        <v>5488.799999999999</v>
      </c>
      <c r="M9" s="16" t="s">
        <v>23</v>
      </c>
      <c r="N9" s="13">
        <v>10</v>
      </c>
      <c r="O9" s="17"/>
      <c r="P9" s="13"/>
    </row>
    <row r="10">
      <c r="A10" s="6" t="s">
        <v>32</v>
      </c>
      <c r="B10" s="7" t="s">
        <v>26</v>
      </c>
      <c r="C10" s="8" t="s">
        <v>25</v>
      </c>
      <c r="D10" s="8">
        <v>4</v>
      </c>
      <c r="E10" s="8">
        <v>7</v>
      </c>
      <c r="F10" s="8">
        <v>10562.400000000001</v>
      </c>
      <c r="G10" s="8">
        <v>13018.05</v>
      </c>
      <c r="H10" s="9">
        <f t="shared" si="1"/>
      </c>
      <c r="I10" s="10">
        <f t="shared" si="2"/>
      </c>
      <c r="J10" s="10">
        <f t="shared" si="0"/>
      </c>
      <c r="K10" s="8">
        <v>1</v>
      </c>
      <c r="L10" s="11">
        <v>480</v>
      </c>
      <c r="M10" s="16"/>
      <c r="N10" s="13"/>
      <c r="O10" s="17"/>
      <c r="P10" s="13"/>
    </row>
    <row r="11">
      <c r="A11" s="6" t="s">
        <v>32</v>
      </c>
      <c r="B11" s="7" t="s">
        <v>30</v>
      </c>
      <c r="C11" s="8" t="s">
        <v>27</v>
      </c>
      <c r="D11" s="8">
        <v>4</v>
      </c>
      <c r="E11" s="8">
        <v>5</v>
      </c>
      <c r="F11" s="8">
        <v>6706.199999999997</v>
      </c>
      <c r="G11" s="8">
        <v>5596.01</v>
      </c>
      <c r="H11" s="9">
        <f t="shared" si="1"/>
      </c>
      <c r="I11" s="10">
        <f t="shared" si="2"/>
      </c>
      <c r="J11" s="10">
        <f t="shared" si="0"/>
      </c>
      <c r="K11" s="8">
        <v>2</v>
      </c>
      <c r="L11" s="11">
        <v>2887.2000000000007</v>
      </c>
      <c r="M11" s="16" t="s">
        <v>28</v>
      </c>
      <c r="N11" s="13">
        <v>10</v>
      </c>
      <c r="O11" s="14" t="s">
        <v>29</v>
      </c>
      <c r="P11" s="14">
        <v>10</v>
      </c>
    </row>
    <row r="12">
      <c r="A12" s="6" t="s">
        <v>32</v>
      </c>
      <c r="B12" s="7" t="s">
        <v>33</v>
      </c>
      <c r="C12" s="8" t="s">
        <v>31</v>
      </c>
      <c r="D12" s="8">
        <v>4</v>
      </c>
      <c r="E12" s="8">
        <v>5</v>
      </c>
      <c r="F12" s="8">
        <v>4909</v>
      </c>
      <c r="G12" s="8">
        <v>6165.4400000000005</v>
      </c>
      <c r="H12" s="9">
        <f t="shared" si="1"/>
      </c>
      <c r="I12" s="10">
        <f t="shared" si="2"/>
      </c>
      <c r="J12" s="10">
        <f t="shared" si="0"/>
      </c>
      <c r="K12" s="8">
        <v>1</v>
      </c>
      <c r="L12" s="11">
        <v>406.7999999999993</v>
      </c>
      <c r="M12" s="16"/>
      <c r="N12" s="13"/>
      <c r="O12" s="17"/>
      <c r="P12" s="14"/>
    </row>
    <row r="13">
      <c r="A13" s="18" t="s">
        <v>32</v>
      </c>
      <c r="B13" s="19"/>
      <c r="C13" s="19"/>
      <c r="D13" s="20">
        <f>SUM(D8:D12)</f>
      </c>
      <c r="E13" s="20">
        <f>SUM(E8:E12)</f>
      </c>
      <c r="F13" s="20">
        <f>SUM(F8:F12)</f>
      </c>
      <c r="G13" s="20">
        <f>SUM(G8:G12)</f>
      </c>
      <c r="H13" s="21">
        <f t="shared" si="1"/>
      </c>
      <c r="I13" s="21">
        <f t="shared" si="2"/>
      </c>
      <c r="J13" s="21">
        <f t="shared" si="0"/>
      </c>
      <c r="K13" s="20">
        <f>SUM(K8:K12)</f>
      </c>
      <c r="L13" s="20">
        <f>SUM(L8:L12)</f>
      </c>
      <c r="M13" s="22"/>
      <c r="N13" s="20">
        <f>SUM(N8:N12)</f>
      </c>
      <c r="O13" s="23"/>
      <c r="P13" s="20">
        <f>SUM(P8:P12)</f>
      </c>
    </row>
    <row r="14">
      <c r="A14" s="6" t="s">
        <v>34</v>
      </c>
      <c r="B14" s="7" t="s">
        <v>21</v>
      </c>
      <c r="C14" s="8" t="s">
        <v>19</v>
      </c>
      <c r="D14" s="8">
        <v>4</v>
      </c>
      <c r="E14" s="8">
        <v>7</v>
      </c>
      <c r="F14" s="8">
        <v>7054.799999999999</v>
      </c>
      <c r="G14" s="9">
        <v>5422.81</v>
      </c>
      <c r="H14" s="9">
        <f t="shared" si="1"/>
      </c>
      <c r="I14" s="10">
        <f t="shared" si="2"/>
      </c>
      <c r="J14" s="10">
        <f t="shared" si="0"/>
      </c>
      <c r="K14" s="8">
        <v>3</v>
      </c>
      <c r="L14" s="11">
        <v>2047.1999999999998</v>
      </c>
      <c r="M14" s="12"/>
      <c r="N14" s="13"/>
      <c r="O14" s="14" t="s">
        <v>20</v>
      </c>
      <c r="P14" s="14">
        <v>10</v>
      </c>
    </row>
    <row r="15">
      <c r="A15" s="6" t="s">
        <v>34</v>
      </c>
      <c r="B15" s="7" t="s">
        <v>24</v>
      </c>
      <c r="C15" s="8" t="s">
        <v>22</v>
      </c>
      <c r="D15" s="8">
        <v>4</v>
      </c>
      <c r="E15" s="8">
        <v>7</v>
      </c>
      <c r="F15" s="8">
        <v>7104</v>
      </c>
      <c r="G15" s="15">
        <v>6256.52</v>
      </c>
      <c r="H15" s="9">
        <f t="shared" si="1"/>
      </c>
      <c r="I15" s="10">
        <f t="shared" si="2"/>
      </c>
      <c r="J15" s="10">
        <f t="shared" si="0"/>
      </c>
      <c r="K15" s="8">
        <v>3</v>
      </c>
      <c r="L15" s="11">
        <v>4212</v>
      </c>
      <c r="M15" s="16" t="s">
        <v>23</v>
      </c>
      <c r="N15" s="13">
        <v>10</v>
      </c>
      <c r="O15" s="17"/>
      <c r="P15" s="13"/>
    </row>
    <row r="16">
      <c r="A16" s="6" t="s">
        <v>34</v>
      </c>
      <c r="B16" s="7" t="s">
        <v>26</v>
      </c>
      <c r="C16" s="8" t="s">
        <v>25</v>
      </c>
      <c r="D16" s="8">
        <v>4</v>
      </c>
      <c r="E16" s="8">
        <v>3</v>
      </c>
      <c r="F16" s="8">
        <v>6290.4</v>
      </c>
      <c r="G16" s="8">
        <v>8861.02</v>
      </c>
      <c r="H16" s="9">
        <f t="shared" si="1"/>
      </c>
      <c r="I16" s="10">
        <f t="shared" si="2"/>
      </c>
      <c r="J16" s="10">
        <f t="shared" si="0"/>
      </c>
      <c r="K16" s="8">
        <v>1</v>
      </c>
      <c r="L16" s="11">
        <v>1752</v>
      </c>
      <c r="M16" s="16"/>
      <c r="N16" s="13"/>
      <c r="O16" s="17"/>
      <c r="P16" s="13"/>
    </row>
    <row r="17">
      <c r="A17" s="6" t="s">
        <v>34</v>
      </c>
      <c r="B17" s="7" t="s">
        <v>30</v>
      </c>
      <c r="C17" s="8" t="s">
        <v>27</v>
      </c>
      <c r="D17" s="8">
        <v>4</v>
      </c>
      <c r="E17" s="8">
        <v>8</v>
      </c>
      <c r="F17" s="8">
        <v>12603.400000000001</v>
      </c>
      <c r="G17" s="8">
        <v>5430.62</v>
      </c>
      <c r="H17" s="9">
        <f t="shared" si="1"/>
      </c>
      <c r="I17" s="10">
        <f t="shared" si="2"/>
      </c>
      <c r="J17" s="10">
        <f t="shared" si="0"/>
      </c>
      <c r="K17" s="8">
        <v>1</v>
      </c>
      <c r="L17" s="11">
        <v>420.0000000000009</v>
      </c>
      <c r="M17" s="16" t="s">
        <v>28</v>
      </c>
      <c r="N17" s="13">
        <v>10</v>
      </c>
      <c r="O17" s="14" t="s">
        <v>29</v>
      </c>
      <c r="P17" s="14">
        <v>10</v>
      </c>
    </row>
    <row r="18">
      <c r="A18" s="6" t="s">
        <v>34</v>
      </c>
      <c r="B18" s="7" t="s">
        <v>33</v>
      </c>
      <c r="C18" s="8" t="s">
        <v>31</v>
      </c>
      <c r="D18" s="8">
        <v>4</v>
      </c>
      <c r="E18" s="8">
        <v>6</v>
      </c>
      <c r="F18" s="8">
        <v>8626.800000000003</v>
      </c>
      <c r="G18" s="8">
        <v>9028.05</v>
      </c>
      <c r="H18" s="9">
        <f t="shared" si="1"/>
      </c>
      <c r="I18" s="10">
        <f t="shared" si="2"/>
      </c>
      <c r="J18" s="10">
        <f t="shared" si="0"/>
      </c>
      <c r="K18" s="8">
        <v>1</v>
      </c>
      <c r="L18" s="11">
        <v>620.3999999999996</v>
      </c>
      <c r="M18" s="16"/>
      <c r="N18" s="13"/>
      <c r="O18" s="17"/>
      <c r="P18" s="14"/>
    </row>
    <row r="19">
      <c r="A19" s="18" t="s">
        <v>34</v>
      </c>
      <c r="B19" s="19"/>
      <c r="C19" s="19"/>
      <c r="D19" s="20">
        <f>SUM(D14:D18)</f>
      </c>
      <c r="E19" s="20">
        <f>SUM(E14:E18)</f>
      </c>
      <c r="F19" s="20">
        <f>SUM(F14:F18)</f>
      </c>
      <c r="G19" s="20">
        <f>SUM(G14:G18)</f>
      </c>
      <c r="H19" s="21">
        <f t="shared" si="1"/>
      </c>
      <c r="I19" s="21">
        <f t="shared" si="2"/>
      </c>
      <c r="J19" s="21">
        <f t="shared" si="0"/>
      </c>
      <c r="K19" s="20">
        <f>SUM(K14:K18)</f>
      </c>
      <c r="L19" s="20">
        <f>SUM(L14:L18)</f>
      </c>
      <c r="M19" s="22"/>
      <c r="N19" s="20">
        <f>SUM(N14:N18)</f>
      </c>
      <c r="O19" s="23"/>
      <c r="P19" s="20">
        <f>SUM(P14:P18)</f>
      </c>
    </row>
    <row r="20">
      <c r="A20" s="6" t="s">
        <v>35</v>
      </c>
      <c r="B20" s="7" t="s">
        <v>24</v>
      </c>
      <c r="C20" s="8" t="s">
        <v>19</v>
      </c>
      <c r="D20" s="8">
        <v>4</v>
      </c>
      <c r="E20" s="8">
        <v>6</v>
      </c>
      <c r="F20" s="8">
        <v>7162.599999999999</v>
      </c>
      <c r="G20" s="9">
        <v>5809.850000000001</v>
      </c>
      <c r="H20" s="9">
        <f t="shared" si="1"/>
      </c>
      <c r="I20" s="10">
        <f t="shared" si="2"/>
      </c>
      <c r="J20" s="10">
        <f t="shared" si="0"/>
      </c>
      <c r="K20" s="8">
        <v>3</v>
      </c>
      <c r="L20" s="11">
        <v>1628.2</v>
      </c>
      <c r="M20" s="12"/>
      <c r="N20" s="13"/>
      <c r="O20" s="14" t="s">
        <v>20</v>
      </c>
      <c r="P20" s="14">
        <v>10</v>
      </c>
    </row>
    <row r="21">
      <c r="A21" s="6" t="s">
        <v>35</v>
      </c>
      <c r="B21" s="7" t="s">
        <v>26</v>
      </c>
      <c r="C21" s="8" t="s">
        <v>22</v>
      </c>
      <c r="D21" s="8">
        <v>4</v>
      </c>
      <c r="E21" s="8">
        <v>7</v>
      </c>
      <c r="F21" s="8">
        <v>6400.4</v>
      </c>
      <c r="G21" s="15">
        <v>9297.95</v>
      </c>
      <c r="H21" s="9">
        <f t="shared" si="1"/>
      </c>
      <c r="I21" s="10">
        <f t="shared" si="2"/>
      </c>
      <c r="J21" s="10">
        <f t="shared" si="0"/>
      </c>
      <c r="K21" s="8">
        <v>2</v>
      </c>
      <c r="L21" s="11">
        <v>802.8</v>
      </c>
      <c r="M21" s="16" t="s">
        <v>23</v>
      </c>
      <c r="N21" s="13">
        <v>10</v>
      </c>
      <c r="O21" s="17"/>
      <c r="P21" s="13"/>
    </row>
    <row r="22">
      <c r="A22" s="6" t="s">
        <v>35</v>
      </c>
      <c r="B22" s="7" t="s">
        <v>30</v>
      </c>
      <c r="C22" s="8" t="s">
        <v>25</v>
      </c>
      <c r="D22" s="8">
        <v>4</v>
      </c>
      <c r="E22" s="8">
        <v>2</v>
      </c>
      <c r="F22" s="8">
        <v>2055.6</v>
      </c>
      <c r="G22" s="8">
        <v>1751.36</v>
      </c>
      <c r="H22" s="9">
        <f t="shared" si="1"/>
      </c>
      <c r="I22" s="10">
        <f t="shared" si="2"/>
      </c>
      <c r="J22" s="10">
        <f t="shared" si="0"/>
      </c>
      <c r="K22" s="8">
        <v>0</v>
      </c>
      <c r="L22" s="11">
        <v>0</v>
      </c>
      <c r="M22" s="16"/>
      <c r="N22" s="13"/>
      <c r="O22" s="17"/>
      <c r="P22" s="13"/>
    </row>
    <row r="23">
      <c r="A23" s="6" t="s">
        <v>35</v>
      </c>
      <c r="B23" s="7" t="s">
        <v>33</v>
      </c>
      <c r="C23" s="8" t="s">
        <v>27</v>
      </c>
      <c r="D23" s="8">
        <v>4</v>
      </c>
      <c r="E23" s="8">
        <v>0</v>
      </c>
      <c r="F23" s="8">
        <v>0</v>
      </c>
      <c r="G23" s="8">
        <v>1079.8</v>
      </c>
      <c r="H23" s="9">
        <f t="shared" si="1"/>
      </c>
      <c r="I23" s="10">
        <f t="shared" si="2"/>
      </c>
      <c r="J23" s="10">
        <f t="shared" si="0"/>
      </c>
      <c r="K23" s="8">
        <v>0</v>
      </c>
      <c r="L23" s="11">
        <v>0</v>
      </c>
      <c r="M23" s="16" t="s">
        <v>28</v>
      </c>
      <c r="N23" s="13">
        <v>10</v>
      </c>
      <c r="O23" s="14" t="s">
        <v>29</v>
      </c>
      <c r="P23" s="14">
        <v>10</v>
      </c>
    </row>
    <row r="24">
      <c r="A24" s="6" t="s">
        <v>35</v>
      </c>
      <c r="B24" s="7" t="s">
        <v>18</v>
      </c>
      <c r="C24" s="8" t="s">
        <v>31</v>
      </c>
      <c r="D24" s="8">
        <v>4</v>
      </c>
      <c r="E24" s="8">
        <v>3</v>
      </c>
      <c r="F24" s="8">
        <v>2591.4000000000033</v>
      </c>
      <c r="G24" s="8">
        <v>1541.02</v>
      </c>
      <c r="H24" s="9">
        <f t="shared" si="1"/>
      </c>
      <c r="I24" s="10">
        <f t="shared" si="2"/>
      </c>
      <c r="J24" s="10">
        <f t="shared" si="0"/>
      </c>
      <c r="K24" s="8">
        <v>0</v>
      </c>
      <c r="L24" s="11">
        <v>0</v>
      </c>
      <c r="M24" s="16"/>
      <c r="N24" s="13"/>
      <c r="O24" s="17"/>
      <c r="P24" s="14"/>
    </row>
    <row r="25">
      <c r="A25" s="18" t="s">
        <v>35</v>
      </c>
      <c r="B25" s="19"/>
      <c r="C25" s="19"/>
      <c r="D25" s="20">
        <f>SUM(D20:D24)</f>
      </c>
      <c r="E25" s="20">
        <f>SUM(E20:E24)</f>
      </c>
      <c r="F25" s="20">
        <f>SUM(F20:F24)</f>
      </c>
      <c r="G25" s="20">
        <f>SUM(G20:G24)</f>
      </c>
      <c r="H25" s="21">
        <f t="shared" si="1"/>
      </c>
      <c r="I25" s="21">
        <f t="shared" si="2"/>
      </c>
      <c r="J25" s="21">
        <f t="shared" si="0"/>
      </c>
      <c r="K25" s="20">
        <f>SUM(K20:K24)</f>
      </c>
      <c r="L25" s="20">
        <f>SUM(L20:L24)</f>
      </c>
      <c r="M25" s="22"/>
      <c r="N25" s="20">
        <f>SUM(N20:N24)</f>
      </c>
      <c r="O25" s="23"/>
      <c r="P25" s="20">
        <f>SUM(P20:P24)</f>
      </c>
    </row>
    <row r="26">
      <c r="A26" s="6" t="s">
        <v>36</v>
      </c>
      <c r="B26" s="7" t="s">
        <v>24</v>
      </c>
      <c r="C26" s="8" t="s">
        <v>19</v>
      </c>
      <c r="D26" s="8">
        <v>4</v>
      </c>
      <c r="E26" s="8">
        <v>9</v>
      </c>
      <c r="F26" s="8">
        <v>12170</v>
      </c>
      <c r="G26" s="9">
        <v>6252.82</v>
      </c>
      <c r="H26" s="9">
        <f t="shared" si="1"/>
      </c>
      <c r="I26" s="10">
        <f t="shared" si="2"/>
      </c>
      <c r="J26" s="10">
        <f t="shared" si="0"/>
      </c>
      <c r="K26" s="8">
        <v>1</v>
      </c>
      <c r="L26" s="11">
        <v>1567.2</v>
      </c>
      <c r="M26" s="12"/>
      <c r="N26" s="13"/>
      <c r="O26" s="14" t="s">
        <v>20</v>
      </c>
      <c r="P26" s="14">
        <v>10</v>
      </c>
    </row>
    <row r="27">
      <c r="A27" s="6" t="s">
        <v>36</v>
      </c>
      <c r="B27" s="7" t="s">
        <v>26</v>
      </c>
      <c r="C27" s="8" t="s">
        <v>22</v>
      </c>
      <c r="D27" s="8">
        <v>4</v>
      </c>
      <c r="E27" s="8">
        <v>0</v>
      </c>
      <c r="F27" s="8">
        <v>0</v>
      </c>
      <c r="G27" s="15">
        <v>3506.4500000000007</v>
      </c>
      <c r="H27" s="9">
        <f t="shared" si="1"/>
      </c>
      <c r="I27" s="10">
        <f t="shared" si="2"/>
      </c>
      <c r="J27" s="10">
        <f t="shared" si="0"/>
      </c>
      <c r="K27" s="8">
        <v>0</v>
      </c>
      <c r="L27" s="11">
        <v>0</v>
      </c>
      <c r="M27" s="16" t="s">
        <v>23</v>
      </c>
      <c r="N27" s="13">
        <v>10</v>
      </c>
      <c r="O27" s="17"/>
      <c r="P27" s="13"/>
    </row>
    <row r="28">
      <c r="A28" s="6" t="s">
        <v>36</v>
      </c>
      <c r="B28" s="7" t="s">
        <v>30</v>
      </c>
      <c r="C28" s="8" t="s">
        <v>25</v>
      </c>
      <c r="D28" s="8">
        <v>4</v>
      </c>
      <c r="E28" s="8">
        <v>2</v>
      </c>
      <c r="F28" s="8">
        <v>2287</v>
      </c>
      <c r="G28" s="8">
        <v>2426.13</v>
      </c>
      <c r="H28" s="9">
        <f t="shared" si="1"/>
      </c>
      <c r="I28" s="10">
        <f t="shared" si="2"/>
      </c>
      <c r="J28" s="10">
        <f t="shared" si="0"/>
      </c>
      <c r="K28" s="8">
        <v>0</v>
      </c>
      <c r="L28" s="11">
        <v>0</v>
      </c>
      <c r="M28" s="16"/>
      <c r="N28" s="13"/>
      <c r="O28" s="17"/>
      <c r="P28" s="13"/>
    </row>
    <row r="29">
      <c r="A29" s="6" t="s">
        <v>36</v>
      </c>
      <c r="B29" s="7" t="s">
        <v>33</v>
      </c>
      <c r="C29" s="8" t="s">
        <v>27</v>
      </c>
      <c r="D29" s="8">
        <v>4</v>
      </c>
      <c r="E29" s="8">
        <v>4</v>
      </c>
      <c r="F29" s="8">
        <v>5762</v>
      </c>
      <c r="G29" s="8">
        <v>2916.17</v>
      </c>
      <c r="H29" s="9">
        <f t="shared" si="1"/>
      </c>
      <c r="I29" s="10">
        <f t="shared" si="2"/>
      </c>
      <c r="J29" s="10">
        <f t="shared" si="0"/>
      </c>
      <c r="K29" s="8">
        <v>0</v>
      </c>
      <c r="L29" s="11">
        <v>0</v>
      </c>
      <c r="M29" s="16" t="s">
        <v>28</v>
      </c>
      <c r="N29" s="13">
        <v>10</v>
      </c>
      <c r="O29" s="14" t="s">
        <v>29</v>
      </c>
      <c r="P29" s="14">
        <v>10</v>
      </c>
    </row>
    <row r="30">
      <c r="A30" s="6" t="s">
        <v>36</v>
      </c>
      <c r="B30" s="7" t="s">
        <v>18</v>
      </c>
      <c r="C30" s="8" t="s">
        <v>31</v>
      </c>
      <c r="D30" s="8">
        <v>4</v>
      </c>
      <c r="E30" s="8">
        <v>3</v>
      </c>
      <c r="F30" s="8">
        <v>1069.2000000000007</v>
      </c>
      <c r="G30" s="8">
        <v>2218.15</v>
      </c>
      <c r="H30" s="9">
        <f t="shared" si="1"/>
      </c>
      <c r="I30" s="10">
        <f t="shared" si="2"/>
      </c>
      <c r="J30" s="10">
        <f t="shared" si="0"/>
      </c>
      <c r="K30" s="8">
        <v>0</v>
      </c>
      <c r="L30" s="11">
        <v>0</v>
      </c>
      <c r="M30" s="16"/>
      <c r="N30" s="13"/>
      <c r="O30" s="17"/>
      <c r="P30" s="14"/>
    </row>
    <row r="31">
      <c r="A31" s="18" t="s">
        <v>36</v>
      </c>
      <c r="B31" s="19"/>
      <c r="C31" s="19"/>
      <c r="D31" s="20">
        <f>SUM(D26:D30)</f>
      </c>
      <c r="E31" s="20">
        <f>SUM(E26:E30)</f>
      </c>
      <c r="F31" s="20">
        <f>SUM(F26:F30)</f>
      </c>
      <c r="G31" s="20">
        <f>SUM(G26:G30)</f>
      </c>
      <c r="H31" s="21">
        <f t="shared" si="1"/>
      </c>
      <c r="I31" s="21">
        <f t="shared" si="2"/>
      </c>
      <c r="J31" s="21">
        <f t="shared" si="0"/>
      </c>
      <c r="K31" s="20">
        <f>SUM(K26:K30)</f>
      </c>
      <c r="L31" s="20">
        <f>SUM(L26:L30)</f>
      </c>
      <c r="M31" s="22"/>
      <c r="N31" s="20">
        <f>SUM(N26:N30)</f>
      </c>
      <c r="O31" s="23"/>
      <c r="P31" s="20">
        <f>SUM(P26:P30)</f>
      </c>
    </row>
    <row r="32">
      <c r="A32" s="6" t="s">
        <v>37</v>
      </c>
      <c r="B32" s="7" t="s">
        <v>26</v>
      </c>
      <c r="C32" s="8" t="s">
        <v>19</v>
      </c>
      <c r="D32" s="8">
        <v>4</v>
      </c>
      <c r="E32" s="8">
        <v>2</v>
      </c>
      <c r="F32" s="8">
        <v>2851.2</v>
      </c>
      <c r="G32" s="9">
        <v>2813.4100000000003</v>
      </c>
      <c r="H32" s="9">
        <f t="shared" si="1"/>
      </c>
      <c r="I32" s="10">
        <f t="shared" si="2"/>
      </c>
      <c r="J32" s="10">
        <f t="shared" si="0"/>
      </c>
      <c r="K32" s="8">
        <v>0</v>
      </c>
      <c r="L32" s="11">
        <v>0</v>
      </c>
      <c r="M32" s="12"/>
      <c r="N32" s="13"/>
      <c r="O32" s="14" t="s">
        <v>20</v>
      </c>
      <c r="P32" s="14">
        <v>10</v>
      </c>
    </row>
    <row r="33">
      <c r="A33" s="6" t="s">
        <v>37</v>
      </c>
      <c r="B33" s="7" t="s">
        <v>30</v>
      </c>
      <c r="C33" s="8" t="s">
        <v>22</v>
      </c>
      <c r="D33" s="8">
        <v>4</v>
      </c>
      <c r="E33" s="8">
        <v>2</v>
      </c>
      <c r="F33" s="8">
        <v>3475.2</v>
      </c>
      <c r="G33" s="15">
        <v>3011.8900000000003</v>
      </c>
      <c r="H33" s="9">
        <f t="shared" si="1"/>
      </c>
      <c r="I33" s="10">
        <f t="shared" si="2"/>
      </c>
      <c r="J33" s="10">
        <f t="shared" si="0"/>
      </c>
      <c r="K33" s="8">
        <v>0</v>
      </c>
      <c r="L33" s="11">
        <v>0</v>
      </c>
      <c r="M33" s="16" t="s">
        <v>23</v>
      </c>
      <c r="N33" s="13">
        <v>10</v>
      </c>
      <c r="O33" s="17"/>
      <c r="P33" s="13"/>
    </row>
    <row r="34">
      <c r="A34" s="6" t="s">
        <v>37</v>
      </c>
      <c r="B34" s="7" t="s">
        <v>33</v>
      </c>
      <c r="C34" s="8" t="s">
        <v>25</v>
      </c>
      <c r="D34" s="8">
        <v>4</v>
      </c>
      <c r="E34" s="8">
        <v>4</v>
      </c>
      <c r="F34" s="8">
        <v>3321.6000000000004</v>
      </c>
      <c r="G34" s="8">
        <v>4211.96</v>
      </c>
      <c r="H34" s="9">
        <f t="shared" si="1"/>
      </c>
      <c r="I34" s="10">
        <f t="shared" si="2"/>
      </c>
      <c r="J34" s="10">
        <f t="shared" si="0"/>
      </c>
      <c r="K34" s="8">
        <v>3</v>
      </c>
      <c r="L34" s="11">
        <v>1173.6</v>
      </c>
      <c r="M34" s="16"/>
      <c r="N34" s="13"/>
      <c r="O34" s="17"/>
      <c r="P34" s="13"/>
    </row>
    <row r="35">
      <c r="A35" s="6" t="s">
        <v>37</v>
      </c>
      <c r="B35" s="7" t="s">
        <v>18</v>
      </c>
      <c r="C35" s="8" t="s">
        <v>27</v>
      </c>
      <c r="D35" s="8">
        <v>4</v>
      </c>
      <c r="E35" s="8">
        <v>1</v>
      </c>
      <c r="F35" s="8">
        <v>2071.2000000000007</v>
      </c>
      <c r="G35" s="8">
        <v>3520.62</v>
      </c>
      <c r="H35" s="9">
        <f t="shared" si="1"/>
      </c>
      <c r="I35" s="10">
        <f t="shared" si="2"/>
      </c>
      <c r="J35" s="10">
        <f t="shared" si="0"/>
      </c>
      <c r="K35" s="8">
        <v>0</v>
      </c>
      <c r="L35" s="11">
        <v>0</v>
      </c>
      <c r="M35" s="16" t="s">
        <v>28</v>
      </c>
      <c r="N35" s="13">
        <v>10</v>
      </c>
      <c r="O35" s="14" t="s">
        <v>29</v>
      </c>
      <c r="P35" s="14">
        <v>10</v>
      </c>
    </row>
    <row r="36">
      <c r="A36" s="6" t="s">
        <v>37</v>
      </c>
      <c r="B36" s="7" t="s">
        <v>21</v>
      </c>
      <c r="C36" s="8" t="s">
        <v>31</v>
      </c>
      <c r="D36" s="8">
        <v>4</v>
      </c>
      <c r="E36" s="8">
        <v>6</v>
      </c>
      <c r="F36" s="8">
        <v>9748.799999999996</v>
      </c>
      <c r="G36" s="8">
        <v>4228.3</v>
      </c>
      <c r="H36" s="9">
        <f t="shared" si="1"/>
      </c>
      <c r="I36" s="10">
        <f t="shared" si="2"/>
      </c>
      <c r="J36" s="10">
        <f t="shared" si="0"/>
      </c>
      <c r="K36" s="8">
        <v>0</v>
      </c>
      <c r="L36" s="11">
        <v>0</v>
      </c>
      <c r="M36" s="16"/>
      <c r="N36" s="13"/>
      <c r="O36" s="17"/>
      <c r="P36" s="14"/>
    </row>
    <row r="37">
      <c r="A37" s="18" t="s">
        <v>37</v>
      </c>
      <c r="B37" s="19"/>
      <c r="C37" s="19"/>
      <c r="D37" s="20">
        <f>SUM(D32:D36)</f>
      </c>
      <c r="E37" s="20">
        <f>SUM(E32:E36)</f>
      </c>
      <c r="F37" s="20">
        <f>SUM(F32:F36)</f>
      </c>
      <c r="G37" s="20">
        <f>SUM(G32:G36)</f>
      </c>
      <c r="H37" s="21">
        <f t="shared" si="1"/>
      </c>
      <c r="I37" s="21">
        <f t="shared" si="2"/>
      </c>
      <c r="J37" s="21">
        <f t="shared" si="0"/>
      </c>
      <c r="K37" s="20">
        <f>SUM(K32:K36)</f>
      </c>
      <c r="L37" s="20">
        <f>SUM(L32:L36)</f>
      </c>
      <c r="M37" s="22"/>
      <c r="N37" s="20">
        <f>SUM(N32:N36)</f>
      </c>
      <c r="O37" s="23"/>
      <c r="P37" s="20">
        <f>SUM(P32:P36)</f>
      </c>
    </row>
    <row r="38">
      <c r="A38" s="6" t="s">
        <v>38</v>
      </c>
      <c r="B38" s="7" t="s">
        <v>26</v>
      </c>
      <c r="C38" s="8" t="s">
        <v>19</v>
      </c>
      <c r="D38" s="8">
        <v>4</v>
      </c>
      <c r="E38" s="8">
        <v>1</v>
      </c>
      <c r="F38" s="8">
        <v>1471.2</v>
      </c>
      <c r="G38" s="9">
        <v>2521.64</v>
      </c>
      <c r="H38" s="9">
        <f t="shared" si="1"/>
      </c>
      <c r="I38" s="10">
        <f t="shared" si="2"/>
      </c>
      <c r="J38" s="10">
        <f t="shared" si="0"/>
      </c>
      <c r="K38" s="8">
        <v>0</v>
      </c>
      <c r="L38" s="11">
        <v>0</v>
      </c>
      <c r="M38" s="12"/>
      <c r="N38" s="13"/>
      <c r="O38" s="14" t="s">
        <v>39</v>
      </c>
      <c r="P38" s="14">
        <v>10</v>
      </c>
    </row>
    <row r="39">
      <c r="A39" s="6" t="s">
        <v>38</v>
      </c>
      <c r="B39" s="7" t="s">
        <v>30</v>
      </c>
      <c r="C39" s="8" t="s">
        <v>22</v>
      </c>
      <c r="D39" s="8">
        <v>4</v>
      </c>
      <c r="E39" s="8">
        <v>4</v>
      </c>
      <c r="F39" s="8">
        <v>6552</v>
      </c>
      <c r="G39" s="15">
        <v>5242.389999999999</v>
      </c>
      <c r="H39" s="9">
        <f t="shared" si="1"/>
      </c>
      <c r="I39" s="10">
        <f t="shared" si="2"/>
      </c>
      <c r="J39" s="10">
        <f t="shared" si="0"/>
      </c>
      <c r="K39" s="8">
        <v>0</v>
      </c>
      <c r="L39" s="11">
        <v>0</v>
      </c>
      <c r="M39" s="16" t="s">
        <v>23</v>
      </c>
      <c r="N39" s="13">
        <v>10</v>
      </c>
      <c r="O39" s="17"/>
      <c r="P39" s="13"/>
    </row>
    <row r="40">
      <c r="A40" s="6" t="s">
        <v>38</v>
      </c>
      <c r="B40" s="7" t="s">
        <v>33</v>
      </c>
      <c r="C40" s="8" t="s">
        <v>25</v>
      </c>
      <c r="D40" s="8">
        <v>4</v>
      </c>
      <c r="E40" s="8">
        <v>1</v>
      </c>
      <c r="F40" s="8">
        <v>633.5999999999995</v>
      </c>
      <c r="G40" s="8">
        <v>1917.9499999999996</v>
      </c>
      <c r="H40" s="9">
        <f t="shared" si="1"/>
      </c>
      <c r="I40" s="10">
        <f t="shared" si="2"/>
      </c>
      <c r="J40" s="10">
        <f t="shared" si="0"/>
      </c>
      <c r="K40" s="8">
        <v>0</v>
      </c>
      <c r="L40" s="11">
        <v>0</v>
      </c>
      <c r="M40" s="16"/>
      <c r="N40" s="13"/>
      <c r="O40" s="17"/>
      <c r="P40" s="13"/>
    </row>
    <row r="41">
      <c r="A41" s="6" t="s">
        <v>38</v>
      </c>
      <c r="B41" s="7" t="s">
        <v>18</v>
      </c>
      <c r="C41" s="8" t="s">
        <v>27</v>
      </c>
      <c r="D41" s="8">
        <v>4</v>
      </c>
      <c r="E41" s="8">
        <v>0</v>
      </c>
      <c r="F41" s="8">
        <v>0</v>
      </c>
      <c r="G41" s="8">
        <v>1321.75</v>
      </c>
      <c r="H41" s="9">
        <f t="shared" si="1"/>
      </c>
      <c r="I41" s="10">
        <f t="shared" si="2"/>
      </c>
      <c r="J41" s="10">
        <f t="shared" si="0"/>
      </c>
      <c r="K41" s="8">
        <v>0</v>
      </c>
      <c r="L41" s="11">
        <v>0</v>
      </c>
      <c r="M41" s="16" t="s">
        <v>28</v>
      </c>
      <c r="N41" s="13">
        <v>10</v>
      </c>
      <c r="O41" s="14" t="s">
        <v>29</v>
      </c>
      <c r="P41" s="14">
        <v>10</v>
      </c>
    </row>
    <row r="42">
      <c r="A42" s="6" t="s">
        <v>38</v>
      </c>
      <c r="B42" s="7" t="s">
        <v>21</v>
      </c>
      <c r="C42" s="8" t="s">
        <v>31</v>
      </c>
      <c r="D42" s="8">
        <v>4</v>
      </c>
      <c r="E42" s="8">
        <v>1</v>
      </c>
      <c r="F42" s="8">
        <v>1723.2000000000007</v>
      </c>
      <c r="G42" s="8">
        <v>1612.29</v>
      </c>
      <c r="H42" s="9">
        <f t="shared" si="1"/>
      </c>
      <c r="I42" s="10">
        <f t="shared" si="2"/>
      </c>
      <c r="J42" s="10">
        <f t="shared" si="0"/>
      </c>
      <c r="K42" s="8">
        <v>0</v>
      </c>
      <c r="L42" s="11">
        <v>0</v>
      </c>
      <c r="M42" s="16"/>
      <c r="N42" s="13"/>
      <c r="O42" s="17"/>
      <c r="P42" s="14"/>
    </row>
    <row r="43">
      <c r="A43" s="18" t="s">
        <v>38</v>
      </c>
      <c r="B43" s="19"/>
      <c r="C43" s="19"/>
      <c r="D43" s="20">
        <f>SUM(D38:D42)</f>
      </c>
      <c r="E43" s="20">
        <f>SUM(E38:E42)</f>
      </c>
      <c r="F43" s="20">
        <f>SUM(F38:F42)</f>
      </c>
      <c r="G43" s="20">
        <f>SUM(G38:G42)</f>
      </c>
      <c r="H43" s="21">
        <f t="shared" si="1"/>
      </c>
      <c r="I43" s="21">
        <f t="shared" si="2"/>
      </c>
      <c r="J43" s="21">
        <f t="shared" si="0"/>
      </c>
      <c r="K43" s="20">
        <f>SUM(K38:K42)</f>
      </c>
      <c r="L43" s="20">
        <f>SUM(L38:L42)</f>
      </c>
      <c r="M43" s="22"/>
      <c r="N43" s="20">
        <f>SUM(N38:N42)</f>
      </c>
      <c r="O43" s="23"/>
      <c r="P43" s="20">
        <f>SUM(P38:P42)</f>
      </c>
    </row>
    <row r="44">
      <c r="A44" s="6" t="s">
        <v>40</v>
      </c>
      <c r="B44" s="7" t="s">
        <v>30</v>
      </c>
      <c r="C44" s="8" t="s">
        <v>19</v>
      </c>
      <c r="D44" s="8">
        <v>4</v>
      </c>
      <c r="E44" s="8">
        <v>6</v>
      </c>
      <c r="F44" s="8">
        <v>6292.6</v>
      </c>
      <c r="G44" s="9">
        <v>4611.53</v>
      </c>
      <c r="H44" s="9">
        <f t="shared" si="1"/>
      </c>
      <c r="I44" s="10">
        <f t="shared" si="2"/>
      </c>
      <c r="J44" s="10">
        <f t="shared" si="0"/>
      </c>
      <c r="K44" s="8">
        <v>1</v>
      </c>
      <c r="L44" s="11">
        <v>1723.2</v>
      </c>
      <c r="M44" s="12"/>
      <c r="N44" s="13"/>
      <c r="O44" s="14" t="s">
        <v>39</v>
      </c>
      <c r="P44" s="14">
        <v>10</v>
      </c>
    </row>
    <row r="45">
      <c r="A45" s="6" t="s">
        <v>40</v>
      </c>
      <c r="B45" s="7" t="s">
        <v>33</v>
      </c>
      <c r="C45" s="8" t="s">
        <v>22</v>
      </c>
      <c r="D45" s="8">
        <v>4</v>
      </c>
      <c r="E45" s="8">
        <v>7</v>
      </c>
      <c r="F45" s="8">
        <v>9950.2</v>
      </c>
      <c r="G45" s="15">
        <v>5179.650000000001</v>
      </c>
      <c r="H45" s="9">
        <f t="shared" si="1"/>
      </c>
      <c r="I45" s="10">
        <f t="shared" si="2"/>
      </c>
      <c r="J45" s="10">
        <f t="shared" si="0"/>
      </c>
      <c r="K45" s="8">
        <v>0</v>
      </c>
      <c r="L45" s="11">
        <v>0</v>
      </c>
      <c r="M45" s="16" t="s">
        <v>23</v>
      </c>
      <c r="N45" s="13">
        <v>10</v>
      </c>
      <c r="O45" s="17"/>
      <c r="P45" s="13"/>
    </row>
    <row r="46">
      <c r="A46" s="6" t="s">
        <v>40</v>
      </c>
      <c r="B46" s="7" t="s">
        <v>18</v>
      </c>
      <c r="C46" s="8" t="s">
        <v>25</v>
      </c>
      <c r="D46" s="8">
        <v>4</v>
      </c>
      <c r="E46" s="8">
        <v>7</v>
      </c>
      <c r="F46" s="8">
        <v>7970</v>
      </c>
      <c r="G46" s="8">
        <v>6891.549999999999</v>
      </c>
      <c r="H46" s="9">
        <f t="shared" si="1"/>
      </c>
      <c r="I46" s="10">
        <f t="shared" si="2"/>
      </c>
      <c r="J46" s="10">
        <f t="shared" si="0"/>
      </c>
      <c r="K46" s="8">
        <v>3</v>
      </c>
      <c r="L46" s="11">
        <v>1685.9999999999998</v>
      </c>
      <c r="M46" s="16"/>
      <c r="N46" s="13"/>
      <c r="O46" s="17"/>
      <c r="P46" s="13"/>
    </row>
    <row r="47">
      <c r="A47" s="6" t="s">
        <v>40</v>
      </c>
      <c r="B47" s="7" t="s">
        <v>21</v>
      </c>
      <c r="C47" s="8" t="s">
        <v>27</v>
      </c>
      <c r="D47" s="8">
        <v>4</v>
      </c>
      <c r="E47" s="8">
        <v>6</v>
      </c>
      <c r="F47" s="8">
        <v>11565.600000000002</v>
      </c>
      <c r="G47" s="8">
        <v>10117.17</v>
      </c>
      <c r="H47" s="9">
        <f t="shared" si="1"/>
      </c>
      <c r="I47" s="10">
        <f t="shared" si="2"/>
      </c>
      <c r="J47" s="10">
        <f t="shared" si="0"/>
      </c>
      <c r="K47" s="8">
        <v>1</v>
      </c>
      <c r="L47" s="11">
        <v>1404</v>
      </c>
      <c r="M47" s="16" t="s">
        <v>28</v>
      </c>
      <c r="N47" s="13">
        <v>10</v>
      </c>
      <c r="O47" s="14" t="s">
        <v>29</v>
      </c>
      <c r="P47" s="14">
        <v>10</v>
      </c>
    </row>
    <row r="48">
      <c r="A48" s="6" t="s">
        <v>40</v>
      </c>
      <c r="B48" s="7" t="s">
        <v>24</v>
      </c>
      <c r="C48" s="8" t="s">
        <v>31</v>
      </c>
      <c r="D48" s="8">
        <v>4</v>
      </c>
      <c r="E48" s="8">
        <v>4</v>
      </c>
      <c r="F48" s="8">
        <v>3622.5999999999913</v>
      </c>
      <c r="G48" s="8">
        <v>5398.98</v>
      </c>
      <c r="H48" s="9">
        <f t="shared" si="1"/>
      </c>
      <c r="I48" s="10">
        <f t="shared" si="2"/>
      </c>
      <c r="J48" s="10">
        <f t="shared" si="0"/>
      </c>
      <c r="K48" s="8">
        <v>0</v>
      </c>
      <c r="L48" s="11">
        <v>0</v>
      </c>
      <c r="M48" s="16"/>
      <c r="N48" s="13"/>
      <c r="O48" s="17"/>
      <c r="P48" s="14"/>
    </row>
    <row r="49">
      <c r="A49" s="18" t="s">
        <v>40</v>
      </c>
      <c r="B49" s="19"/>
      <c r="C49" s="19"/>
      <c r="D49" s="20">
        <f>SUM(D44:D48)</f>
      </c>
      <c r="E49" s="20">
        <f>SUM(E44:E48)</f>
      </c>
      <c r="F49" s="20">
        <f>SUM(F44:F48)</f>
      </c>
      <c r="G49" s="20">
        <f>SUM(G44:G48)</f>
      </c>
      <c r="H49" s="21">
        <f t="shared" si="1"/>
      </c>
      <c r="I49" s="21">
        <f t="shared" si="2"/>
      </c>
      <c r="J49" s="21">
        <f t="shared" si="0"/>
      </c>
      <c r="K49" s="20">
        <f>SUM(K44:K48)</f>
      </c>
      <c r="L49" s="20">
        <f>SUM(L44:L48)</f>
      </c>
      <c r="M49" s="22"/>
      <c r="N49" s="20">
        <f>SUM(N44:N48)</f>
      </c>
      <c r="O49" s="23"/>
      <c r="P49" s="20">
        <f>SUM(P44:P48)</f>
      </c>
    </row>
    <row r="50">
      <c r="A50" s="6" t="s">
        <v>41</v>
      </c>
      <c r="B50" s="7" t="s">
        <v>18</v>
      </c>
      <c r="C50" s="8" t="s">
        <v>19</v>
      </c>
      <c r="D50" s="8">
        <v>4</v>
      </c>
      <c r="E50" s="8">
        <v>6</v>
      </c>
      <c r="F50" s="8">
        <v>9676.8</v>
      </c>
      <c r="G50" s="9">
        <v>5678.84</v>
      </c>
      <c r="H50" s="9">
        <f t="shared" si="1"/>
      </c>
      <c r="I50" s="10">
        <f t="shared" si="2"/>
      </c>
      <c r="J50" s="10">
        <f t="shared" si="0"/>
      </c>
      <c r="K50" s="8">
        <v>1</v>
      </c>
      <c r="L50" s="11">
        <v>2071.2</v>
      </c>
      <c r="M50" s="12"/>
      <c r="N50" s="13"/>
      <c r="O50" s="14" t="s">
        <v>39</v>
      </c>
      <c r="P50" s="14">
        <v>10</v>
      </c>
    </row>
    <row r="51">
      <c r="A51" s="6" t="s">
        <v>41</v>
      </c>
      <c r="B51" s="7" t="s">
        <v>30</v>
      </c>
      <c r="C51" s="8" t="s">
        <v>22</v>
      </c>
      <c r="D51" s="8">
        <v>4</v>
      </c>
      <c r="E51" s="8">
        <v>5</v>
      </c>
      <c r="F51" s="8">
        <v>6680.4</v>
      </c>
      <c r="G51" s="15">
        <v>8838.6</v>
      </c>
      <c r="H51" s="9">
        <f t="shared" si="1"/>
      </c>
      <c r="I51" s="10">
        <f t="shared" si="2"/>
      </c>
      <c r="J51" s="10">
        <f t="shared" si="0"/>
      </c>
      <c r="K51" s="8">
        <v>1</v>
      </c>
      <c r="L51" s="11">
        <v>2071.2</v>
      </c>
      <c r="M51" s="16" t="s">
        <v>23</v>
      </c>
      <c r="N51" s="13">
        <v>10</v>
      </c>
      <c r="O51" s="17"/>
      <c r="P51" s="13"/>
    </row>
    <row r="52">
      <c r="A52" s="6" t="s">
        <v>41</v>
      </c>
      <c r="B52" s="7" t="s">
        <v>21</v>
      </c>
      <c r="C52" s="8" t="s">
        <v>25</v>
      </c>
      <c r="D52" s="8">
        <v>4</v>
      </c>
      <c r="E52" s="8">
        <v>2</v>
      </c>
      <c r="F52" s="8">
        <v>4723.200000000003</v>
      </c>
      <c r="G52" s="8">
        <v>2582.6499999999996</v>
      </c>
      <c r="H52" s="9">
        <f t="shared" si="1"/>
      </c>
      <c r="I52" s="10">
        <f t="shared" si="2"/>
      </c>
      <c r="J52" s="10">
        <f t="shared" si="0"/>
      </c>
      <c r="K52" s="8">
        <v>2</v>
      </c>
      <c r="L52" s="11">
        <v>4723.200000000001</v>
      </c>
      <c r="M52" s="16"/>
      <c r="N52" s="13"/>
      <c r="O52" s="17"/>
      <c r="P52" s="13"/>
    </row>
    <row r="53">
      <c r="A53" s="6" t="s">
        <v>41</v>
      </c>
      <c r="B53" s="7" t="s">
        <v>24</v>
      </c>
      <c r="C53" s="8" t="s">
        <v>27</v>
      </c>
      <c r="D53" s="8">
        <v>4</v>
      </c>
      <c r="E53" s="8">
        <v>10</v>
      </c>
      <c r="F53" s="8">
        <v>15407.999999999996</v>
      </c>
      <c r="G53" s="8">
        <v>8990.91</v>
      </c>
      <c r="H53" s="9">
        <f t="shared" si="1"/>
      </c>
      <c r="I53" s="10">
        <f t="shared" si="2"/>
      </c>
      <c r="J53" s="10">
        <f t="shared" si="0"/>
      </c>
      <c r="K53" s="8">
        <v>4</v>
      </c>
      <c r="L53" s="11">
        <v>8090.4</v>
      </c>
      <c r="M53" s="16" t="s">
        <v>28</v>
      </c>
      <c r="N53" s="13">
        <v>10</v>
      </c>
      <c r="O53" s="14" t="s">
        <v>29</v>
      </c>
      <c r="P53" s="14">
        <v>10</v>
      </c>
    </row>
    <row r="54">
      <c r="A54" s="6" t="s">
        <v>41</v>
      </c>
      <c r="B54" s="7" t="s">
        <v>26</v>
      </c>
      <c r="C54" s="8" t="s">
        <v>31</v>
      </c>
      <c r="D54" s="8">
        <v>4</v>
      </c>
      <c r="E54" s="8">
        <v>3</v>
      </c>
      <c r="F54" s="8">
        <v>5318.4000000000015</v>
      </c>
      <c r="G54" s="8">
        <v>6532.09</v>
      </c>
      <c r="H54" s="9">
        <f t="shared" si="1"/>
      </c>
      <c r="I54" s="10">
        <f t="shared" si="2"/>
      </c>
      <c r="J54" s="10">
        <f t="shared" si="0"/>
      </c>
      <c r="K54" s="8">
        <v>0</v>
      </c>
      <c r="L54" s="11">
        <v>0</v>
      </c>
      <c r="M54" s="16"/>
      <c r="N54" s="13"/>
      <c r="O54" s="17"/>
      <c r="P54" s="14"/>
    </row>
    <row r="55">
      <c r="A55" s="18" t="s">
        <v>41</v>
      </c>
      <c r="B55" s="19"/>
      <c r="C55" s="19"/>
      <c r="D55" s="20">
        <f>SUM(D50:D54)</f>
      </c>
      <c r="E55" s="20">
        <f>SUM(E50:E54)</f>
      </c>
      <c r="F55" s="20">
        <f>SUM(F50:F54)</f>
      </c>
      <c r="G55" s="20">
        <f>SUM(G50:G54)</f>
      </c>
      <c r="H55" s="21">
        <f t="shared" si="1"/>
      </c>
      <c r="I55" s="21">
        <f t="shared" si="2"/>
      </c>
      <c r="J55" s="21">
        <f t="shared" si="0"/>
      </c>
      <c r="K55" s="20">
        <f>SUM(K50:K54)</f>
      </c>
      <c r="L55" s="20">
        <f>SUM(L50:L54)</f>
      </c>
      <c r="M55" s="22"/>
      <c r="N55" s="20">
        <f>SUM(N50:N54)</f>
      </c>
      <c r="O55" s="23"/>
      <c r="P55" s="20">
        <f>SUM(P50:P54)</f>
      </c>
    </row>
    <row r="56">
      <c r="A56" s="6" t="s">
        <v>42</v>
      </c>
      <c r="B56" s="7" t="s">
        <v>30</v>
      </c>
      <c r="C56" s="8" t="s">
        <v>43</v>
      </c>
      <c r="D56" s="8">
        <v>5</v>
      </c>
      <c r="E56" s="8">
        <v>2</v>
      </c>
      <c r="F56" s="8">
        <v>2786.4</v>
      </c>
      <c r="G56" s="9">
        <v>5242.34</v>
      </c>
      <c r="H56" s="9">
        <f t="shared" si="1"/>
      </c>
      <c r="I56" s="10">
        <f t="shared" si="2"/>
      </c>
      <c r="J56" s="10">
        <f t="shared" si="0"/>
      </c>
      <c r="K56" s="8">
        <v>0</v>
      </c>
      <c r="L56" s="11">
        <v>0</v>
      </c>
      <c r="M56" s="12"/>
      <c r="N56" s="13"/>
      <c r="O56" s="14" t="s">
        <v>39</v>
      </c>
      <c r="P56" s="14">
        <v>10</v>
      </c>
    </row>
    <row r="57">
      <c r="A57" s="6" t="s">
        <v>42</v>
      </c>
      <c r="B57" s="7" t="s">
        <v>21</v>
      </c>
      <c r="C57" s="8" t="s">
        <v>44</v>
      </c>
      <c r="D57" s="8">
        <v>5</v>
      </c>
      <c r="E57" s="8">
        <v>2</v>
      </c>
      <c r="F57" s="8">
        <v>2226</v>
      </c>
      <c r="G57" s="15">
        <v>1939.84</v>
      </c>
      <c r="H57" s="9">
        <f t="shared" si="1"/>
      </c>
      <c r="I57" s="10">
        <f t="shared" si="2"/>
      </c>
      <c r="J57" s="10">
        <f t="shared" si="0"/>
      </c>
      <c r="K57" s="8">
        <v>0</v>
      </c>
      <c r="L57" s="11">
        <v>0</v>
      </c>
      <c r="M57" s="16" t="s">
        <v>45</v>
      </c>
      <c r="N57" s="13">
        <v>10</v>
      </c>
      <c r="O57" s="17"/>
      <c r="P57" s="13"/>
    </row>
    <row r="58">
      <c r="A58" s="6" t="s">
        <v>42</v>
      </c>
      <c r="B58" s="7" t="s">
        <v>24</v>
      </c>
      <c r="C58" s="8" t="s">
        <v>46</v>
      </c>
      <c r="D58" s="8">
        <v>5</v>
      </c>
      <c r="E58" s="8">
        <v>16</v>
      </c>
      <c r="F58" s="8">
        <v>23870.4</v>
      </c>
      <c r="G58" s="8">
        <v>6595.98</v>
      </c>
      <c r="H58" s="9">
        <f t="shared" si="1"/>
      </c>
      <c r="I58" s="10">
        <f t="shared" si="2"/>
      </c>
      <c r="J58" s="10">
        <f t="shared" si="0"/>
      </c>
      <c r="K58" s="8">
        <v>1</v>
      </c>
      <c r="L58" s="11">
        <v>1723.2</v>
      </c>
      <c r="M58" s="16" t="s">
        <v>47</v>
      </c>
      <c r="N58" s="13">
        <v>10</v>
      </c>
      <c r="O58" s="14" t="s">
        <v>29</v>
      </c>
      <c r="P58" s="13">
        <v>10</v>
      </c>
    </row>
    <row r="59">
      <c r="A59" s="6" t="s">
        <v>42</v>
      </c>
      <c r="B59" s="7" t="s">
        <v>26</v>
      </c>
      <c r="C59" s="8" t="s">
        <v>48</v>
      </c>
      <c r="D59" s="8">
        <v>5</v>
      </c>
      <c r="E59" s="8">
        <v>8</v>
      </c>
      <c r="F59" s="8">
        <v>12186</v>
      </c>
      <c r="G59" s="8">
        <v>8259.02</v>
      </c>
      <c r="H59" s="9">
        <f t="shared" si="1"/>
      </c>
      <c r="I59" s="10">
        <f t="shared" si="2"/>
      </c>
      <c r="J59" s="10">
        <f t="shared" si="0"/>
      </c>
      <c r="K59" s="8">
        <v>0</v>
      </c>
      <c r="L59" s="11">
        <v>0</v>
      </c>
      <c r="M59" s="16"/>
      <c r="N59" s="13"/>
      <c r="O59" s="17"/>
      <c r="P59" s="14"/>
    </row>
    <row r="60">
      <c r="A60" s="18" t="s">
        <v>42</v>
      </c>
      <c r="B60" s="19"/>
      <c r="C60" s="19"/>
      <c r="D60" s="20">
        <f>SUM(D56:D59)</f>
      </c>
      <c r="E60" s="20">
        <f>SUM(E56:E59)</f>
      </c>
      <c r="F60" s="20">
        <f>SUM(F56:F59)</f>
      </c>
      <c r="G60" s="20">
        <f>SUM(G56:G59)</f>
      </c>
      <c r="H60" s="21">
        <f t="shared" si="1"/>
      </c>
      <c r="I60" s="21">
        <f t="shared" si="2"/>
      </c>
      <c r="J60" s="21">
        <f t="shared" si="0"/>
      </c>
      <c r="K60" s="20">
        <f>SUM(K56:K59)</f>
      </c>
      <c r="L60" s="20">
        <f>SUM(L56:L59)</f>
      </c>
      <c r="M60" s="22"/>
      <c r="N60" s="20">
        <f>SUM(N56:N59)</f>
      </c>
      <c r="O60" s="23"/>
      <c r="P60" s="20">
        <f>SUM(P56:P59)</f>
      </c>
    </row>
    <row r="61">
      <c r="A61" s="6" t="s">
        <v>49</v>
      </c>
      <c r="B61" s="7" t="s">
        <v>21</v>
      </c>
      <c r="C61" s="8" t="s">
        <v>19</v>
      </c>
      <c r="D61" s="8">
        <v>4</v>
      </c>
      <c r="E61" s="8">
        <v>5</v>
      </c>
      <c r="F61" s="8">
        <v>6010.6</v>
      </c>
      <c r="G61" s="9">
        <v>6432.199999999999</v>
      </c>
      <c r="H61" s="9">
        <f t="shared" si="1"/>
      </c>
      <c r="I61" s="10">
        <f t="shared" si="2"/>
      </c>
      <c r="J61" s="10">
        <f t="shared" si="0"/>
      </c>
      <c r="K61" s="8">
        <v>1</v>
      </c>
      <c r="L61" s="11">
        <v>1471.2</v>
      </c>
      <c r="M61" s="12"/>
      <c r="N61" s="13"/>
      <c r="O61" s="14" t="s">
        <v>39</v>
      </c>
      <c r="P61" s="14">
        <v>10</v>
      </c>
    </row>
    <row r="62">
      <c r="A62" s="6" t="s">
        <v>49</v>
      </c>
      <c r="B62" s="7" t="s">
        <v>24</v>
      </c>
      <c r="C62" s="8" t="s">
        <v>22</v>
      </c>
      <c r="D62" s="8">
        <v>4</v>
      </c>
      <c r="E62" s="8">
        <v>0</v>
      </c>
      <c r="F62" s="8">
        <v>0</v>
      </c>
      <c r="G62" s="15">
        <v>3132.51</v>
      </c>
      <c r="H62" s="9">
        <f t="shared" si="1"/>
      </c>
      <c r="I62" s="10">
        <f t="shared" si="2"/>
      </c>
      <c r="J62" s="10">
        <f t="shared" si="0"/>
      </c>
      <c r="K62" s="8">
        <v>0</v>
      </c>
      <c r="L62" s="11">
        <v>0</v>
      </c>
      <c r="M62" s="16" t="s">
        <v>50</v>
      </c>
      <c r="N62" s="13">
        <v>10</v>
      </c>
      <c r="O62" s="17"/>
      <c r="P62" s="13"/>
    </row>
    <row r="63">
      <c r="A63" s="6" t="s">
        <v>49</v>
      </c>
      <c r="B63" s="7" t="s">
        <v>26</v>
      </c>
      <c r="C63" s="8" t="s">
        <v>51</v>
      </c>
      <c r="D63" s="8">
        <v>2</v>
      </c>
      <c r="E63" s="8">
        <v>1</v>
      </c>
      <c r="F63" s="8">
        <v>739.2</v>
      </c>
      <c r="G63" s="8">
        <v>1084.42</v>
      </c>
      <c r="H63" s="9">
        <f t="shared" si="1"/>
      </c>
      <c r="I63" s="10">
        <f t="shared" si="2"/>
      </c>
      <c r="J63" s="10">
        <f t="shared" si="0"/>
      </c>
      <c r="K63" s="8">
        <v>0</v>
      </c>
      <c r="L63" s="11">
        <v>0</v>
      </c>
      <c r="M63" s="16"/>
      <c r="N63" s="13"/>
      <c r="O63" s="17"/>
      <c r="P63" s="13"/>
    </row>
    <row r="64">
      <c r="A64" s="6" t="s">
        <v>49</v>
      </c>
      <c r="B64" s="7" t="s">
        <v>33</v>
      </c>
      <c r="C64" s="8" t="s">
        <v>27</v>
      </c>
      <c r="D64" s="8">
        <v>4</v>
      </c>
      <c r="E64" s="8">
        <v>6</v>
      </c>
      <c r="F64" s="8">
        <v>7458</v>
      </c>
      <c r="G64" s="8">
        <v>3919.15</v>
      </c>
      <c r="H64" s="9">
        <f t="shared" si="1"/>
      </c>
      <c r="I64" s="10">
        <f t="shared" si="2"/>
      </c>
      <c r="J64" s="10">
        <f t="shared" si="0"/>
      </c>
      <c r="K64" s="8">
        <v>4</v>
      </c>
      <c r="L64" s="11">
        <v>6116.4</v>
      </c>
      <c r="M64" s="16" t="s">
        <v>47</v>
      </c>
      <c r="N64" s="13">
        <v>8</v>
      </c>
      <c r="O64" s="14" t="s">
        <v>29</v>
      </c>
      <c r="P64" s="14">
        <v>8</v>
      </c>
    </row>
    <row r="65">
      <c r="A65" s="6" t="s">
        <v>49</v>
      </c>
      <c r="B65" s="7" t="s">
        <v>30</v>
      </c>
      <c r="C65" s="8" t="s">
        <v>31</v>
      </c>
      <c r="D65" s="8">
        <v>4</v>
      </c>
      <c r="E65" s="8">
        <v>7</v>
      </c>
      <c r="F65" s="8">
        <v>9628.8</v>
      </c>
      <c r="G65" s="8">
        <v>5873.62</v>
      </c>
      <c r="H65" s="9">
        <f t="shared" si="1"/>
      </c>
      <c r="I65" s="10">
        <f t="shared" si="2"/>
      </c>
      <c r="J65" s="10">
        <f t="shared" si="0"/>
      </c>
      <c r="K65" s="8">
        <v>2</v>
      </c>
      <c r="L65" s="11">
        <v>4183.2</v>
      </c>
      <c r="M65" s="16"/>
      <c r="N65" s="13"/>
      <c r="O65" s="17"/>
      <c r="P65" s="14"/>
    </row>
    <row r="66">
      <c r="A66" s="18" t="s">
        <v>49</v>
      </c>
      <c r="B66" s="19"/>
      <c r="C66" s="19"/>
      <c r="D66" s="20">
        <f>SUM(D61:D65)</f>
      </c>
      <c r="E66" s="20">
        <f>SUM(E61:E65)</f>
      </c>
      <c r="F66" s="20">
        <f>SUM(F61:F65)</f>
      </c>
      <c r="G66" s="20">
        <f>SUM(G61:G65)</f>
      </c>
      <c r="H66" s="21">
        <f t="shared" si="1"/>
      </c>
      <c r="I66" s="21">
        <f t="shared" si="2"/>
      </c>
      <c r="J66" s="21">
        <f t="shared" si="0"/>
      </c>
      <c r="K66" s="20">
        <f>SUM(K61:K65)</f>
      </c>
      <c r="L66" s="20">
        <f>SUM(L61:L65)</f>
      </c>
      <c r="M66" s="22"/>
      <c r="N66" s="20">
        <f>SUM(N61:N65)</f>
      </c>
      <c r="O66" s="23"/>
      <c r="P66" s="20">
        <f>SUM(P61:P65)</f>
      </c>
    </row>
    <row r="67">
      <c r="A67" s="6" t="s">
        <v>52</v>
      </c>
      <c r="B67" s="7" t="s">
        <v>21</v>
      </c>
      <c r="C67" s="8" t="s">
        <v>19</v>
      </c>
      <c r="D67" s="8">
        <v>4</v>
      </c>
      <c r="E67" s="8">
        <v>2</v>
      </c>
      <c r="F67" s="8">
        <v>1170</v>
      </c>
      <c r="G67" s="9">
        <v>6194.3099999999995</v>
      </c>
      <c r="H67" s="9">
        <f t="shared" si="1"/>
      </c>
      <c r="I67" s="10">
        <f t="shared" si="2"/>
      </c>
      <c r="J67" s="10">
        <f t="shared" si="0"/>
      </c>
      <c r="K67" s="8">
        <v>0</v>
      </c>
      <c r="L67" s="11">
        <v>0</v>
      </c>
      <c r="M67" s="12"/>
      <c r="N67" s="13"/>
      <c r="O67" s="14" t="s">
        <v>39</v>
      </c>
      <c r="P67" s="14">
        <v>10</v>
      </c>
    </row>
    <row r="68">
      <c r="A68" s="6" t="s">
        <v>52</v>
      </c>
      <c r="B68" s="7" t="s">
        <v>26</v>
      </c>
      <c r="C68" s="8" t="s">
        <v>22</v>
      </c>
      <c r="D68" s="8">
        <v>4</v>
      </c>
      <c r="E68" s="8">
        <v>3</v>
      </c>
      <c r="F68" s="8">
        <v>3013.2</v>
      </c>
      <c r="G68" s="15">
        <v>4108.21</v>
      </c>
      <c r="H68" s="9">
        <f t="shared" si="1"/>
      </c>
      <c r="I68" s="10">
        <f t="shared" si="2"/>
      </c>
      <c r="J68" s="10">
        <f t="shared" si="0"/>
      </c>
      <c r="K68" s="8">
        <v>1</v>
      </c>
      <c r="L68" s="11">
        <v>1723.2</v>
      </c>
      <c r="M68" s="16" t="s">
        <v>50</v>
      </c>
      <c r="N68" s="13">
        <v>10</v>
      </c>
      <c r="O68" s="17"/>
      <c r="P68" s="13"/>
    </row>
    <row r="69">
      <c r="A69" s="6" t="s">
        <v>52</v>
      </c>
      <c r="B69" s="7" t="s">
        <v>33</v>
      </c>
      <c r="C69" s="8" t="s">
        <v>25</v>
      </c>
      <c r="D69" s="8">
        <v>4</v>
      </c>
      <c r="E69" s="8">
        <v>1</v>
      </c>
      <c r="F69" s="8">
        <v>2148</v>
      </c>
      <c r="G69" s="8">
        <v>2989.32</v>
      </c>
      <c r="H69" s="9">
        <f t="shared" si="1"/>
      </c>
      <c r="I69" s="10">
        <f t="shared" si="2"/>
      </c>
      <c r="J69" s="10">
        <f t="shared" si="0"/>
      </c>
      <c r="K69" s="8">
        <v>0</v>
      </c>
      <c r="L69" s="11">
        <v>0</v>
      </c>
      <c r="M69" s="16"/>
      <c r="N69" s="13"/>
      <c r="O69" s="17"/>
      <c r="P69" s="13"/>
    </row>
    <row r="70">
      <c r="A70" s="6" t="s">
        <v>52</v>
      </c>
      <c r="B70" s="7" t="s">
        <v>30</v>
      </c>
      <c r="C70" s="8" t="s">
        <v>27</v>
      </c>
      <c r="D70" s="8">
        <v>4</v>
      </c>
      <c r="E70" s="8">
        <v>1</v>
      </c>
      <c r="F70" s="8">
        <v>406.8</v>
      </c>
      <c r="G70" s="8">
        <v>1896.45</v>
      </c>
      <c r="H70" s="9">
        <f t="shared" si="1"/>
      </c>
      <c r="I70" s="10">
        <f t="shared" si="2"/>
      </c>
      <c r="J70" s="10">
        <f t="shared" si="0"/>
      </c>
      <c r="K70" s="8">
        <v>0</v>
      </c>
      <c r="L70" s="11">
        <v>0</v>
      </c>
      <c r="M70" s="16" t="s">
        <v>47</v>
      </c>
      <c r="N70" s="13">
        <v>10</v>
      </c>
      <c r="O70" s="14" t="s">
        <v>29</v>
      </c>
      <c r="P70" s="14">
        <v>10</v>
      </c>
    </row>
    <row r="71">
      <c r="A71" s="6" t="s">
        <v>52</v>
      </c>
      <c r="B71" s="7" t="s">
        <v>18</v>
      </c>
      <c r="C71" s="8" t="s">
        <v>31</v>
      </c>
      <c r="D71" s="8">
        <v>4</v>
      </c>
      <c r="E71" s="8">
        <v>3</v>
      </c>
      <c r="F71" s="8">
        <v>4255.2</v>
      </c>
      <c r="G71" s="8">
        <v>4211.32</v>
      </c>
      <c r="H71" s="9">
        <f t="shared" si="1"/>
      </c>
      <c r="I71" s="10">
        <f t="shared" si="2"/>
      </c>
      <c r="J71" s="10">
        <f t="shared" si="0"/>
      </c>
      <c r="K71" s="8">
        <v>0</v>
      </c>
      <c r="L71" s="11">
        <v>0</v>
      </c>
      <c r="M71" s="16"/>
      <c r="N71" s="13"/>
      <c r="O71" s="17"/>
      <c r="P71" s="14"/>
    </row>
    <row r="72">
      <c r="A72" s="18" t="s">
        <v>52</v>
      </c>
      <c r="B72" s="19"/>
      <c r="C72" s="19"/>
      <c r="D72" s="20">
        <f>SUM(D67:D71)</f>
      </c>
      <c r="E72" s="20">
        <f>SUM(E67:E71)</f>
      </c>
      <c r="F72" s="20">
        <f>SUM(F67:F71)</f>
      </c>
      <c r="G72" s="20">
        <f>SUM(G67:G71)</f>
      </c>
      <c r="H72" s="21">
        <f t="shared" si="1"/>
      </c>
      <c r="I72" s="21">
        <f t="shared" si="2"/>
      </c>
      <c r="J72" s="21">
        <f t="shared" si="0"/>
      </c>
      <c r="K72" s="20">
        <f>SUM(K67:K71)</f>
      </c>
      <c r="L72" s="20">
        <f>SUM(L67:L71)</f>
      </c>
      <c r="M72" s="22"/>
      <c r="N72" s="20">
        <f>SUM(N67:N71)</f>
      </c>
      <c r="O72" s="23"/>
      <c r="P72" s="20">
        <f>SUM(P67:P71)</f>
      </c>
    </row>
    <row r="73">
      <c r="A73" s="6" t="s">
        <v>53</v>
      </c>
      <c r="B73" s="7" t="s">
        <v>21</v>
      </c>
      <c r="C73" s="8" t="s">
        <v>19</v>
      </c>
      <c r="D73" s="8">
        <v>4</v>
      </c>
      <c r="E73" s="8">
        <v>9</v>
      </c>
      <c r="F73" s="8">
        <v>10439.8</v>
      </c>
      <c r="G73" s="9">
        <v>6850.400000000001</v>
      </c>
      <c r="H73" s="9">
        <f t="shared" si="1"/>
      </c>
      <c r="I73" s="10">
        <f t="shared" si="2"/>
      </c>
      <c r="J73" s="10">
        <f t="shared" si="0"/>
      </c>
      <c r="K73" s="8">
        <v>1</v>
      </c>
      <c r="L73" s="11">
        <v>1723.2</v>
      </c>
      <c r="M73" s="12"/>
      <c r="N73" s="13"/>
      <c r="O73" s="14" t="s">
        <v>39</v>
      </c>
      <c r="P73" s="14">
        <v>10</v>
      </c>
    </row>
    <row r="74">
      <c r="A74" s="6" t="s">
        <v>53</v>
      </c>
      <c r="B74" s="7" t="s">
        <v>33</v>
      </c>
      <c r="C74" s="8" t="s">
        <v>22</v>
      </c>
      <c r="D74" s="8">
        <v>4</v>
      </c>
      <c r="E74" s="8">
        <v>7</v>
      </c>
      <c r="F74" s="8">
        <v>6916.799999999999</v>
      </c>
      <c r="G74" s="15">
        <v>10987.9</v>
      </c>
      <c r="H74" s="9">
        <f t="shared" si="1"/>
      </c>
      <c r="I74" s="10">
        <f t="shared" si="2"/>
      </c>
      <c r="J74" s="10">
        <f t="shared" si="0"/>
      </c>
      <c r="K74" s="8">
        <v>1</v>
      </c>
      <c r="L74" s="11">
        <v>831.6</v>
      </c>
      <c r="M74" s="16" t="s">
        <v>50</v>
      </c>
      <c r="N74" s="13">
        <v>10</v>
      </c>
      <c r="O74" s="17"/>
      <c r="P74" s="13"/>
    </row>
    <row r="75">
      <c r="A75" s="6" t="s">
        <v>53</v>
      </c>
      <c r="B75" s="7" t="s">
        <v>30</v>
      </c>
      <c r="C75" s="8" t="s">
        <v>25</v>
      </c>
      <c r="D75" s="8">
        <v>4</v>
      </c>
      <c r="E75" s="8">
        <v>6</v>
      </c>
      <c r="F75" s="8">
        <v>6973.2</v>
      </c>
      <c r="G75" s="8">
        <v>4188.08</v>
      </c>
      <c r="H75" s="9">
        <f t="shared" si="1"/>
      </c>
      <c r="I75" s="10">
        <f t="shared" si="2"/>
      </c>
      <c r="J75" s="10">
        <f t="shared" si="0"/>
      </c>
      <c r="K75" s="8">
        <v>2</v>
      </c>
      <c r="L75" s="11">
        <v>1033.2</v>
      </c>
      <c r="M75" s="16"/>
      <c r="N75" s="13"/>
      <c r="O75" s="17"/>
      <c r="P75" s="13"/>
    </row>
    <row r="76">
      <c r="A76" s="6" t="s">
        <v>53</v>
      </c>
      <c r="B76" s="7" t="s">
        <v>18</v>
      </c>
      <c r="C76" s="8" t="s">
        <v>27</v>
      </c>
      <c r="D76" s="8">
        <v>4</v>
      </c>
      <c r="E76" s="8">
        <v>7</v>
      </c>
      <c r="F76" s="8">
        <v>9283.2</v>
      </c>
      <c r="G76" s="8">
        <v>8587.159999999998</v>
      </c>
      <c r="H76" s="9">
        <f t="shared" si="1"/>
      </c>
      <c r="I76" s="10">
        <f t="shared" si="2"/>
      </c>
      <c r="J76" s="10">
        <f t="shared" si="0"/>
      </c>
      <c r="K76" s="8">
        <v>1</v>
      </c>
      <c r="L76" s="11">
        <v>787.2</v>
      </c>
      <c r="M76" s="16" t="s">
        <v>47</v>
      </c>
      <c r="N76" s="13">
        <v>10</v>
      </c>
      <c r="O76" s="14" t="s">
        <v>29</v>
      </c>
      <c r="P76" s="14">
        <v>10</v>
      </c>
    </row>
    <row r="77">
      <c r="A77" s="6" t="s">
        <v>53</v>
      </c>
      <c r="B77" s="7" t="s">
        <v>24</v>
      </c>
      <c r="C77" s="8" t="s">
        <v>31</v>
      </c>
      <c r="D77" s="8">
        <v>4</v>
      </c>
      <c r="E77" s="8">
        <v>6</v>
      </c>
      <c r="F77" s="8">
        <v>5346</v>
      </c>
      <c r="G77" s="8">
        <v>8162.74</v>
      </c>
      <c r="H77" s="9">
        <f t="shared" si="1"/>
      </c>
      <c r="I77" s="10">
        <f t="shared" si="2"/>
      </c>
      <c r="J77" s="10">
        <f t="shared" si="0"/>
      </c>
      <c r="K77" s="8">
        <v>0</v>
      </c>
      <c r="L77" s="11">
        <v>0</v>
      </c>
      <c r="M77" s="16"/>
      <c r="N77" s="13"/>
      <c r="O77" s="17"/>
      <c r="P77" s="14"/>
    </row>
    <row r="78">
      <c r="A78" s="18" t="s">
        <v>53</v>
      </c>
      <c r="B78" s="19"/>
      <c r="C78" s="19"/>
      <c r="D78" s="20">
        <f>SUM(D73:D77)</f>
      </c>
      <c r="E78" s="20">
        <f>SUM(E73:E77)</f>
      </c>
      <c r="F78" s="20">
        <f>SUM(F73:F77)</f>
      </c>
      <c r="G78" s="20">
        <f>SUM(G73:G77)</f>
      </c>
      <c r="H78" s="21">
        <f t="shared" si="1"/>
      </c>
      <c r="I78" s="21">
        <f t="shared" si="2"/>
      </c>
      <c r="J78" s="21">
        <f t="shared" si="0"/>
      </c>
      <c r="K78" s="20">
        <f>SUM(K73:K77)</f>
      </c>
      <c r="L78" s="20">
        <f>SUM(L73:L77)</f>
      </c>
      <c r="M78" s="22"/>
      <c r="N78" s="20">
        <f>SUM(N73:N77)</f>
      </c>
      <c r="O78" s="23"/>
      <c r="P78" s="20">
        <f>SUM(P73:P77)</f>
      </c>
    </row>
    <row r="79">
      <c r="A79" s="6" t="s">
        <v>54</v>
      </c>
      <c r="B79" s="7" t="s">
        <v>21</v>
      </c>
      <c r="C79" s="8" t="s">
        <v>19</v>
      </c>
      <c r="D79" s="8">
        <v>4</v>
      </c>
      <c r="E79" s="8">
        <v>6</v>
      </c>
      <c r="F79" s="8">
        <v>4503.6</v>
      </c>
      <c r="G79" s="9">
        <v>7287.509999999999</v>
      </c>
      <c r="H79" s="9">
        <f t="shared" si="1"/>
      </c>
      <c r="I79" s="10">
        <f t="shared" si="2"/>
      </c>
      <c r="J79" s="10">
        <f t="shared" si="0"/>
      </c>
      <c r="K79" s="8">
        <v>0</v>
      </c>
      <c r="L79" s="11">
        <v>0</v>
      </c>
      <c r="M79" s="12"/>
      <c r="N79" s="13"/>
      <c r="O79" s="14" t="s">
        <v>39</v>
      </c>
      <c r="P79" s="14">
        <v>10</v>
      </c>
    </row>
    <row r="80">
      <c r="A80" s="6" t="s">
        <v>54</v>
      </c>
      <c r="B80" s="7" t="s">
        <v>33</v>
      </c>
      <c r="C80" s="8" t="s">
        <v>22</v>
      </c>
      <c r="D80" s="8">
        <v>4</v>
      </c>
      <c r="E80" s="8">
        <v>3</v>
      </c>
      <c r="F80" s="8">
        <v>3042</v>
      </c>
      <c r="G80" s="15">
        <v>9867.93</v>
      </c>
      <c r="H80" s="9">
        <f t="shared" si="1"/>
      </c>
      <c r="I80" s="10">
        <f t="shared" si="2"/>
      </c>
      <c r="J80" s="10">
        <f t="shared" si="0"/>
      </c>
      <c r="K80" s="8">
        <v>1</v>
      </c>
      <c r="L80" s="11">
        <v>502.8</v>
      </c>
      <c r="M80" s="16" t="s">
        <v>50</v>
      </c>
      <c r="N80" s="13">
        <v>10</v>
      </c>
      <c r="O80" s="17"/>
      <c r="P80" s="13"/>
    </row>
    <row r="81">
      <c r="A81" s="6" t="s">
        <v>54</v>
      </c>
      <c r="B81" s="7" t="s">
        <v>30</v>
      </c>
      <c r="C81" s="8" t="s">
        <v>25</v>
      </c>
      <c r="D81" s="8">
        <v>4</v>
      </c>
      <c r="E81" s="8">
        <v>6</v>
      </c>
      <c r="F81" s="8">
        <v>7870.799999999999</v>
      </c>
      <c r="G81" s="8">
        <v>4632.65</v>
      </c>
      <c r="H81" s="9">
        <f t="shared" si="1"/>
      </c>
      <c r="I81" s="10">
        <f t="shared" si="2"/>
      </c>
      <c r="J81" s="10">
        <f t="shared" si="0"/>
      </c>
      <c r="K81" s="8">
        <v>2</v>
      </c>
      <c r="L81" s="11">
        <v>4887.6</v>
      </c>
      <c r="M81" s="16"/>
      <c r="N81" s="13"/>
      <c r="O81" s="17"/>
      <c r="P81" s="13"/>
    </row>
    <row r="82">
      <c r="A82" s="6" t="s">
        <v>54</v>
      </c>
      <c r="B82" s="7" t="s">
        <v>18</v>
      </c>
      <c r="C82" s="8" t="s">
        <v>27</v>
      </c>
      <c r="D82" s="8">
        <v>4</v>
      </c>
      <c r="E82" s="8">
        <v>8</v>
      </c>
      <c r="F82" s="8">
        <v>9705.6</v>
      </c>
      <c r="G82" s="8">
        <v>8119.66</v>
      </c>
      <c r="H82" s="9">
        <f t="shared" si="1"/>
      </c>
      <c r="I82" s="10">
        <f t="shared" si="2"/>
      </c>
      <c r="J82" s="10">
        <f t="shared" si="0"/>
      </c>
      <c r="K82" s="8">
        <v>2</v>
      </c>
      <c r="L82" s="11">
        <v>3070.8000000000006</v>
      </c>
      <c r="M82" s="16" t="s">
        <v>55</v>
      </c>
      <c r="N82" s="13">
        <v>10</v>
      </c>
      <c r="O82" s="14" t="s">
        <v>29</v>
      </c>
      <c r="P82" s="14">
        <v>10</v>
      </c>
    </row>
    <row r="83">
      <c r="A83" s="6" t="s">
        <v>54</v>
      </c>
      <c r="B83" s="7" t="s">
        <v>24</v>
      </c>
      <c r="C83" s="8" t="s">
        <v>31</v>
      </c>
      <c r="D83" s="8">
        <v>4</v>
      </c>
      <c r="E83" s="8">
        <v>8</v>
      </c>
      <c r="F83" s="8">
        <v>4115.040000000001</v>
      </c>
      <c r="G83" s="8">
        <v>6191.1100000000015</v>
      </c>
      <c r="H83" s="9">
        <f t="shared" si="1"/>
      </c>
      <c r="I83" s="10">
        <f t="shared" si="2"/>
      </c>
      <c r="J83" s="10">
        <f t="shared" si="0"/>
      </c>
      <c r="K83" s="8">
        <v>0</v>
      </c>
      <c r="L83" s="11">
        <v>0</v>
      </c>
      <c r="M83" s="16"/>
      <c r="N83" s="13"/>
      <c r="O83" s="17"/>
      <c r="P83" s="14"/>
    </row>
    <row r="84">
      <c r="A84" s="18" t="s">
        <v>54</v>
      </c>
      <c r="B84" s="19"/>
      <c r="C84" s="19"/>
      <c r="D84" s="20">
        <f>SUM(D79:D83)</f>
      </c>
      <c r="E84" s="20">
        <f>SUM(E79:E83)</f>
      </c>
      <c r="F84" s="20">
        <f>SUM(F79:F83)</f>
      </c>
      <c r="G84" s="20">
        <f>SUM(G79:G83)</f>
      </c>
      <c r="H84" s="21">
        <f t="shared" si="1"/>
      </c>
      <c r="I84" s="21">
        <f t="shared" si="2"/>
      </c>
      <c r="J84" s="21">
        <f t="shared" si="0"/>
      </c>
      <c r="K84" s="20">
        <f>SUM(K79:K83)</f>
      </c>
      <c r="L84" s="20">
        <f>SUM(L79:L83)</f>
      </c>
      <c r="M84" s="22"/>
      <c r="N84" s="20">
        <f>SUM(N79:N83)</f>
      </c>
      <c r="O84" s="23"/>
      <c r="P84" s="20">
        <f>SUM(P79:P83)</f>
      </c>
    </row>
    <row r="85">
      <c r="A85" s="6" t="s">
        <v>56</v>
      </c>
      <c r="B85" s="7" t="s">
        <v>33</v>
      </c>
      <c r="C85" s="8" t="s">
        <v>19</v>
      </c>
      <c r="D85" s="8">
        <v>4</v>
      </c>
      <c r="E85" s="8">
        <v>7</v>
      </c>
      <c r="F85" s="8">
        <v>9080.4</v>
      </c>
      <c r="G85" s="24">
        <v>7427.21</v>
      </c>
      <c r="H85" s="9">
        <f t="shared" si="1"/>
      </c>
      <c r="I85" s="10">
        <f t="shared" si="2"/>
      </c>
      <c r="J85" s="10">
        <f t="shared" si="0"/>
      </c>
      <c r="K85" s="8">
        <v>3</v>
      </c>
      <c r="L85" s="11">
        <v>2167.2</v>
      </c>
      <c r="M85" s="12"/>
      <c r="N85" s="13"/>
      <c r="O85" s="14" t="s">
        <v>39</v>
      </c>
      <c r="P85" s="14">
        <v>10</v>
      </c>
    </row>
    <row r="86">
      <c r="A86" s="6" t="s">
        <v>56</v>
      </c>
      <c r="B86" s="7" t="s">
        <v>18</v>
      </c>
      <c r="C86" s="8" t="s">
        <v>22</v>
      </c>
      <c r="D86" s="8">
        <v>4</v>
      </c>
      <c r="E86" s="8">
        <v>12</v>
      </c>
      <c r="F86" s="8">
        <v>10310.4</v>
      </c>
      <c r="G86" s="15">
        <v>8652.39</v>
      </c>
      <c r="H86" s="9">
        <f t="shared" si="1"/>
      </c>
      <c r="I86" s="10">
        <f t="shared" si="2"/>
      </c>
      <c r="J86" s="10">
        <f t="shared" si="0"/>
      </c>
      <c r="K86" s="8">
        <v>3</v>
      </c>
      <c r="L86" s="11">
        <v>4934.4</v>
      </c>
      <c r="M86" s="16" t="s">
        <v>57</v>
      </c>
      <c r="N86" s="13">
        <v>10</v>
      </c>
      <c r="O86" s="17"/>
      <c r="P86" s="13"/>
    </row>
    <row r="87">
      <c r="A87" s="6" t="s">
        <v>56</v>
      </c>
      <c r="B87" s="7" t="s">
        <v>24</v>
      </c>
      <c r="C87" s="8" t="s">
        <v>25</v>
      </c>
      <c r="D87" s="8">
        <v>4</v>
      </c>
      <c r="E87" s="8">
        <v>3</v>
      </c>
      <c r="F87" s="8">
        <v>5137.200000000001</v>
      </c>
      <c r="G87" s="8">
        <v>7810.76</v>
      </c>
      <c r="H87" s="9">
        <f t="shared" si="1"/>
      </c>
      <c r="I87" s="10">
        <f t="shared" si="2"/>
      </c>
      <c r="J87" s="10">
        <f t="shared" si="0"/>
      </c>
      <c r="K87" s="8">
        <v>1</v>
      </c>
      <c r="L87" s="11">
        <v>2467.2000000000007</v>
      </c>
      <c r="M87" s="16"/>
      <c r="N87" s="13"/>
      <c r="O87" s="17"/>
      <c r="P87" s="13"/>
    </row>
    <row r="88">
      <c r="A88" s="6" t="s">
        <v>56</v>
      </c>
      <c r="B88" s="7" t="s">
        <v>26</v>
      </c>
      <c r="C88" s="8" t="s">
        <v>27</v>
      </c>
      <c r="D88" s="8">
        <v>4</v>
      </c>
      <c r="E88" s="8">
        <v>4</v>
      </c>
      <c r="F88" s="8">
        <v>7269.5999999999985</v>
      </c>
      <c r="G88" s="8">
        <v>4568.349999999999</v>
      </c>
      <c r="H88" s="9">
        <f t="shared" si="1"/>
      </c>
      <c r="I88" s="10">
        <f t="shared" si="2"/>
      </c>
      <c r="J88" s="10">
        <f t="shared" si="0"/>
      </c>
      <c r="K88" s="8">
        <v>1</v>
      </c>
      <c r="L88" s="11">
        <v>2071.2</v>
      </c>
      <c r="M88" s="16" t="s">
        <v>55</v>
      </c>
      <c r="N88" s="13">
        <v>10</v>
      </c>
      <c r="O88" s="14" t="s">
        <v>29</v>
      </c>
      <c r="P88" s="14">
        <v>10</v>
      </c>
    </row>
    <row r="89">
      <c r="A89" s="6" t="s">
        <v>56</v>
      </c>
      <c r="B89" s="7" t="s">
        <v>21</v>
      </c>
      <c r="C89" s="8" t="s">
        <v>31</v>
      </c>
      <c r="D89" s="8">
        <v>4</v>
      </c>
      <c r="E89" s="8">
        <v>6</v>
      </c>
      <c r="F89" s="8">
        <v>11565.599999999999</v>
      </c>
      <c r="G89" s="8">
        <v>5903.69</v>
      </c>
      <c r="H89" s="9">
        <f t="shared" si="1"/>
      </c>
      <c r="I89" s="10">
        <f t="shared" si="2"/>
      </c>
      <c r="J89" s="10">
        <f t="shared" si="0"/>
      </c>
      <c r="K89" s="8">
        <v>3</v>
      </c>
      <c r="L89" s="11">
        <v>5623.200000000001</v>
      </c>
      <c r="M89" s="16"/>
      <c r="N89" s="13"/>
      <c r="O89" s="17"/>
      <c r="P89" s="14"/>
    </row>
    <row r="90">
      <c r="A90" s="18" t="s">
        <v>56</v>
      </c>
      <c r="B90" s="19"/>
      <c r="C90" s="19"/>
      <c r="D90" s="20">
        <f>SUM(D85:D89)</f>
      </c>
      <c r="E90" s="20">
        <f>SUM(E85:E89)</f>
      </c>
      <c r="F90" s="20">
        <f>SUM(F85:F89)</f>
      </c>
      <c r="G90" s="20">
        <f>SUM(G85:G89)</f>
      </c>
      <c r="H90" s="21">
        <f t="shared" si="1"/>
      </c>
      <c r="I90" s="21">
        <f t="shared" si="2"/>
      </c>
      <c r="J90" s="21">
        <f t="shared" si="0"/>
      </c>
      <c r="K90" s="20">
        <f>SUM(K85:K89)</f>
      </c>
      <c r="L90" s="20">
        <f>SUM(L85:L89)</f>
      </c>
      <c r="M90" s="22"/>
      <c r="N90" s="20">
        <f>SUM(N85:N89)</f>
      </c>
      <c r="O90" s="23"/>
      <c r="P90" s="20">
        <f>SUM(P85:P89)</f>
      </c>
    </row>
    <row r="91">
      <c r="A91" s="6" t="s">
        <v>58</v>
      </c>
      <c r="B91" s="7" t="s">
        <v>33</v>
      </c>
      <c r="C91" s="8" t="s">
        <v>19</v>
      </c>
      <c r="D91" s="8">
        <v>4</v>
      </c>
      <c r="E91" s="8">
        <v>4</v>
      </c>
      <c r="F91" s="8">
        <v>7408.8</v>
      </c>
      <c r="G91" s="24">
        <v>5550.41</v>
      </c>
      <c r="H91" s="9">
        <f t="shared" si="1"/>
      </c>
      <c r="I91" s="10">
        <f t="shared" si="2"/>
      </c>
      <c r="J91" s="10">
        <f t="shared" si="0"/>
      </c>
      <c r="K91" s="8">
        <v>1</v>
      </c>
      <c r="L91" s="11">
        <v>2971.2</v>
      </c>
      <c r="M91" s="12"/>
      <c r="N91" s="13"/>
      <c r="O91" s="14" t="s">
        <v>39</v>
      </c>
      <c r="P91" s="14">
        <v>10</v>
      </c>
    </row>
    <row r="92">
      <c r="A92" s="6" t="s">
        <v>58</v>
      </c>
      <c r="B92" s="7" t="s">
        <v>18</v>
      </c>
      <c r="C92" s="8" t="s">
        <v>22</v>
      </c>
      <c r="D92" s="8">
        <v>4</v>
      </c>
      <c r="E92" s="8">
        <v>3</v>
      </c>
      <c r="F92" s="8">
        <v>4850.4</v>
      </c>
      <c r="G92" s="15">
        <v>5130.83</v>
      </c>
      <c r="H92" s="9">
        <f t="shared" si="1"/>
      </c>
      <c r="I92" s="10">
        <f t="shared" si="2"/>
      </c>
      <c r="J92" s="10">
        <f t="shared" si="0"/>
      </c>
      <c r="K92" s="8">
        <v>1</v>
      </c>
      <c r="L92" s="11">
        <v>1723.2</v>
      </c>
      <c r="M92" s="16" t="s">
        <v>57</v>
      </c>
      <c r="N92" s="13">
        <v>10</v>
      </c>
      <c r="O92" s="17"/>
      <c r="P92" s="13"/>
    </row>
    <row r="93">
      <c r="A93" s="6" t="s">
        <v>58</v>
      </c>
      <c r="B93" s="7" t="s">
        <v>24</v>
      </c>
      <c r="C93" s="8" t="s">
        <v>25</v>
      </c>
      <c r="D93" s="8">
        <v>4</v>
      </c>
      <c r="E93" s="8">
        <v>1</v>
      </c>
      <c r="F93" s="8">
        <v>384</v>
      </c>
      <c r="G93" s="8">
        <v>2687.46</v>
      </c>
      <c r="H93" s="9">
        <f t="shared" si="1"/>
      </c>
      <c r="I93" s="10">
        <f t="shared" si="2"/>
      </c>
      <c r="J93" s="10">
        <f t="shared" si="0"/>
      </c>
      <c r="K93" s="8">
        <v>0</v>
      </c>
      <c r="L93" s="11">
        <v>0</v>
      </c>
      <c r="M93" s="16"/>
      <c r="N93" s="13"/>
      <c r="O93" s="17"/>
      <c r="P93" s="13"/>
    </row>
    <row r="94">
      <c r="A94" s="6" t="s">
        <v>58</v>
      </c>
      <c r="B94" s="7" t="s">
        <v>26</v>
      </c>
      <c r="C94" s="8" t="s">
        <v>27</v>
      </c>
      <c r="D94" s="8">
        <v>4</v>
      </c>
      <c r="E94" s="8">
        <v>4</v>
      </c>
      <c r="F94" s="8">
        <v>4270.799999999999</v>
      </c>
      <c r="G94" s="8">
        <v>3150.86</v>
      </c>
      <c r="H94" s="9">
        <f t="shared" si="1"/>
      </c>
      <c r="I94" s="10">
        <f t="shared" si="2"/>
      </c>
      <c r="J94" s="10">
        <f t="shared" si="0"/>
      </c>
      <c r="K94" s="8">
        <v>0</v>
      </c>
      <c r="L94" s="11">
        <v>0</v>
      </c>
      <c r="M94" s="16" t="s">
        <v>55</v>
      </c>
      <c r="N94" s="13">
        <v>10</v>
      </c>
      <c r="O94" s="14" t="s">
        <v>29</v>
      </c>
      <c r="P94" s="14">
        <v>10</v>
      </c>
    </row>
    <row r="95">
      <c r="A95" s="6" t="s">
        <v>58</v>
      </c>
      <c r="B95" s="7" t="s">
        <v>21</v>
      </c>
      <c r="C95" s="8" t="s">
        <v>31</v>
      </c>
      <c r="D95" s="8">
        <v>4</v>
      </c>
      <c r="E95" s="8">
        <v>2</v>
      </c>
      <c r="F95" s="8">
        <v>4142.4000000000015</v>
      </c>
      <c r="G95" s="8">
        <v>3410.67</v>
      </c>
      <c r="H95" s="9">
        <f t="shared" si="1"/>
      </c>
      <c r="I95" s="10">
        <f t="shared" si="2"/>
      </c>
      <c r="J95" s="10">
        <f t="shared" si="0"/>
      </c>
      <c r="K95" s="8">
        <v>0</v>
      </c>
      <c r="L95" s="11">
        <v>0</v>
      </c>
      <c r="M95" s="16"/>
      <c r="N95" s="13"/>
      <c r="O95" s="17"/>
      <c r="P95" s="14"/>
    </row>
    <row r="96">
      <c r="A96" s="18" t="s">
        <v>58</v>
      </c>
      <c r="B96" s="19"/>
      <c r="C96" s="19"/>
      <c r="D96" s="20">
        <f>SUM(D91:D95)</f>
      </c>
      <c r="E96" s="20">
        <f>SUM(E91:E95)</f>
      </c>
      <c r="F96" s="20">
        <f>SUM(F91:F95)</f>
      </c>
      <c r="G96" s="20">
        <f>SUM(G91:G95)</f>
      </c>
      <c r="H96" s="21">
        <f t="shared" si="1"/>
      </c>
      <c r="I96" s="21">
        <f t="shared" si="2"/>
      </c>
      <c r="J96" s="21">
        <f t="shared" si="0"/>
      </c>
      <c r="K96" s="20">
        <f>SUM(K91:K95)</f>
      </c>
      <c r="L96" s="20">
        <f>SUM(L91:L95)</f>
      </c>
      <c r="M96" s="22"/>
      <c r="N96" s="20">
        <f>SUM(N91:N95)</f>
      </c>
      <c r="O96" s="23"/>
      <c r="P96" s="20">
        <f>SUM(P91:P95)</f>
      </c>
    </row>
    <row r="97">
      <c r="A97" s="6" t="s">
        <v>59</v>
      </c>
      <c r="B97" s="7" t="s">
        <v>18</v>
      </c>
      <c r="C97" s="25" t="s">
        <v>43</v>
      </c>
      <c r="D97" s="8">
        <v>5</v>
      </c>
      <c r="E97" s="8">
        <v>15</v>
      </c>
      <c r="F97" s="8">
        <v>17067.2</v>
      </c>
      <c r="G97" s="24">
        <v>13119.98</v>
      </c>
      <c r="H97" s="9">
        <f t="shared" si="1"/>
      </c>
      <c r="I97" s="10">
        <f t="shared" si="2"/>
      </c>
      <c r="J97" s="10">
        <f t="shared" si="0"/>
      </c>
      <c r="K97" s="8">
        <v>4</v>
      </c>
      <c r="L97" s="11">
        <v>5859.599999999999</v>
      </c>
      <c r="M97" s="12"/>
      <c r="N97" s="13"/>
      <c r="O97" s="14" t="s">
        <v>39</v>
      </c>
      <c r="P97" s="14">
        <v>10</v>
      </c>
    </row>
    <row r="98">
      <c r="A98" s="6" t="s">
        <v>59</v>
      </c>
      <c r="B98" s="7" t="s">
        <v>24</v>
      </c>
      <c r="C98" s="25" t="s">
        <v>44</v>
      </c>
      <c r="D98" s="8">
        <v>5</v>
      </c>
      <c r="E98" s="8">
        <v>4</v>
      </c>
      <c r="F98" s="8">
        <v>6014.399999999998</v>
      </c>
      <c r="G98" s="15">
        <v>7669.66</v>
      </c>
      <c r="H98" s="9">
        <f t="shared" si="1"/>
      </c>
      <c r="I98" s="10">
        <f t="shared" si="2"/>
      </c>
      <c r="J98" s="10">
        <f t="shared" si="0"/>
      </c>
      <c r="K98" s="8">
        <v>2</v>
      </c>
      <c r="L98" s="11">
        <v>3871.2</v>
      </c>
      <c r="M98" s="16" t="s">
        <v>60</v>
      </c>
      <c r="N98" s="13">
        <v>10</v>
      </c>
      <c r="O98" s="17"/>
      <c r="P98" s="13"/>
    </row>
    <row r="99">
      <c r="A99" s="6" t="s">
        <v>59</v>
      </c>
      <c r="B99" s="7" t="s">
        <v>26</v>
      </c>
      <c r="C99" s="25" t="s">
        <v>46</v>
      </c>
      <c r="D99" s="8">
        <v>5</v>
      </c>
      <c r="E99" s="8">
        <v>3</v>
      </c>
      <c r="F99" s="8">
        <v>4586.4000000000015</v>
      </c>
      <c r="G99" s="8">
        <v>3783.3500000000004</v>
      </c>
      <c r="H99" s="9">
        <f t="shared" si="1"/>
      </c>
      <c r="I99" s="10">
        <f t="shared" si="2"/>
      </c>
      <c r="J99" s="10">
        <f t="shared" si="0"/>
      </c>
      <c r="K99" s="8">
        <v>1</v>
      </c>
      <c r="L99" s="11">
        <v>1723.199999999999</v>
      </c>
      <c r="M99" s="16"/>
      <c r="N99" s="13"/>
      <c r="O99" s="17"/>
      <c r="P99" s="13"/>
    </row>
    <row r="100">
      <c r="A100" s="6" t="s">
        <v>59</v>
      </c>
      <c r="B100" s="7" t="s">
        <v>21</v>
      </c>
      <c r="C100" s="25" t="s">
        <v>48</v>
      </c>
      <c r="D100" s="8">
        <v>5</v>
      </c>
      <c r="E100" s="8">
        <v>5</v>
      </c>
      <c r="F100" s="8">
        <v>7392.4000000000015</v>
      </c>
      <c r="G100" s="8">
        <v>4927.360000000001</v>
      </c>
      <c r="H100" s="9">
        <f t="shared" si="1"/>
      </c>
      <c r="I100" s="10">
        <f t="shared" si="2"/>
      </c>
      <c r="J100" s="10">
        <f t="shared" si="0"/>
      </c>
      <c r="K100" s="8">
        <v>1</v>
      </c>
      <c r="L100" s="11">
        <v>694.0000000000018</v>
      </c>
      <c r="M100" s="16" t="s">
        <v>55</v>
      </c>
      <c r="N100" s="13">
        <v>10</v>
      </c>
      <c r="O100" s="14" t="s">
        <v>29</v>
      </c>
      <c r="P100" s="14">
        <v>10</v>
      </c>
    </row>
    <row r="101">
      <c r="A101" s="18" t="s">
        <v>59</v>
      </c>
      <c r="B101" s="19"/>
      <c r="C101" s="19"/>
      <c r="D101" s="20">
        <f>SUM(D97:D100)</f>
      </c>
      <c r="E101" s="20">
        <f>SUM(E97:E100)</f>
      </c>
      <c r="F101" s="20">
        <f>SUM(F97:F100)</f>
      </c>
      <c r="G101" s="20">
        <f>SUM(G97:G100)</f>
      </c>
      <c r="H101" s="21">
        <f t="shared" si="1"/>
      </c>
      <c r="I101" s="21">
        <f t="shared" si="2"/>
      </c>
      <c r="J101" s="21">
        <f t="shared" si="0"/>
      </c>
      <c r="K101" s="20">
        <f>SUM(K97:K100)</f>
      </c>
      <c r="L101" s="20">
        <f>SUM(L97:L100)</f>
      </c>
      <c r="M101" s="22"/>
      <c r="N101" s="20">
        <f>SUM(N97:N100)</f>
      </c>
      <c r="O101" s="23"/>
      <c r="P101" s="20">
        <f>SUM(P97:P100)</f>
      </c>
    </row>
    <row r="102">
      <c r="A102" s="6" t="s">
        <v>61</v>
      </c>
      <c r="B102" s="7" t="s">
        <v>18</v>
      </c>
      <c r="C102" s="25" t="s">
        <v>43</v>
      </c>
      <c r="D102" s="8">
        <v>5</v>
      </c>
      <c r="E102" s="8">
        <v>0</v>
      </c>
      <c r="F102" s="8">
        <v>0</v>
      </c>
      <c r="G102" s="24">
        <v>3540.44</v>
      </c>
      <c r="H102" s="9">
        <f t="shared" si="1"/>
      </c>
      <c r="I102" s="10">
        <f t="shared" si="2"/>
      </c>
      <c r="J102" s="10">
        <f t="shared" si="0"/>
      </c>
      <c r="K102" s="8">
        <v>0</v>
      </c>
      <c r="L102" s="11">
        <v>0</v>
      </c>
      <c r="M102" s="16" t="s">
        <v>60</v>
      </c>
      <c r="N102" s="13">
        <v>5</v>
      </c>
      <c r="O102" s="14" t="s">
        <v>39</v>
      </c>
      <c r="P102" s="14">
        <v>10</v>
      </c>
    </row>
    <row r="103">
      <c r="A103" s="6" t="s">
        <v>61</v>
      </c>
      <c r="B103" s="7" t="s">
        <v>26</v>
      </c>
      <c r="C103" s="25" t="s">
        <v>44</v>
      </c>
      <c r="D103" s="8">
        <v>5</v>
      </c>
      <c r="E103" s="8">
        <v>3</v>
      </c>
      <c r="F103" s="8">
        <v>5546.4</v>
      </c>
      <c r="G103" s="15">
        <v>3417.8299999999995</v>
      </c>
      <c r="H103" s="9">
        <f t="shared" si="1"/>
      </c>
      <c r="I103" s="10">
        <f t="shared" si="2"/>
      </c>
      <c r="J103" s="10">
        <f t="shared" si="0"/>
      </c>
      <c r="K103" s="8">
        <v>0</v>
      </c>
      <c r="L103" s="11">
        <v>0</v>
      </c>
      <c r="M103" s="16" t="s">
        <v>62</v>
      </c>
      <c r="N103" s="13">
        <v>5</v>
      </c>
      <c r="O103" s="17"/>
      <c r="P103" s="13"/>
    </row>
    <row r="104">
      <c r="A104" s="6" t="s">
        <v>61</v>
      </c>
      <c r="B104" s="7" t="s">
        <v>21</v>
      </c>
      <c r="C104" s="25" t="s">
        <v>46</v>
      </c>
      <c r="D104" s="8">
        <v>5</v>
      </c>
      <c r="E104" s="8">
        <v>3</v>
      </c>
      <c r="F104" s="8">
        <v>4586.4</v>
      </c>
      <c r="G104" s="8">
        <v>4463.719999999998</v>
      </c>
      <c r="H104" s="9">
        <f t="shared" si="1"/>
      </c>
      <c r="I104" s="10">
        <f t="shared" si="2"/>
      </c>
      <c r="J104" s="10">
        <f t="shared" si="0"/>
      </c>
      <c r="K104" s="8">
        <v>1</v>
      </c>
      <c r="L104" s="11">
        <v>715.2</v>
      </c>
      <c r="M104" s="16"/>
      <c r="N104" s="13"/>
      <c r="O104" s="17"/>
      <c r="P104" s="13"/>
    </row>
    <row r="105">
      <c r="A105" s="6" t="s">
        <v>61</v>
      </c>
      <c r="B105" s="7" t="s">
        <v>33</v>
      </c>
      <c r="C105" s="25" t="s">
        <v>48</v>
      </c>
      <c r="D105" s="8">
        <v>5</v>
      </c>
      <c r="E105" s="8">
        <v>4</v>
      </c>
      <c r="F105" s="8">
        <v>3946.8</v>
      </c>
      <c r="G105" s="8">
        <v>5727.57</v>
      </c>
      <c r="H105" s="9">
        <f t="shared" si="1"/>
      </c>
      <c r="I105" s="10">
        <f t="shared" si="2"/>
      </c>
      <c r="J105" s="10">
        <f t="shared" si="0"/>
      </c>
      <c r="K105" s="8">
        <v>0</v>
      </c>
      <c r="L105" s="11">
        <v>0</v>
      </c>
      <c r="M105" s="16" t="s">
        <v>63</v>
      </c>
      <c r="N105" s="13">
        <v>10</v>
      </c>
      <c r="O105" s="14" t="s">
        <v>29</v>
      </c>
      <c r="P105" s="14">
        <v>10</v>
      </c>
    </row>
    <row r="106">
      <c r="A106" s="18" t="s">
        <v>61</v>
      </c>
      <c r="B106" s="19"/>
      <c r="C106" s="19"/>
      <c r="D106" s="20">
        <f>SUM(D102:D105)</f>
      </c>
      <c r="E106" s="20">
        <f>SUM(E102:E105)</f>
      </c>
      <c r="F106" s="20">
        <f>SUM(F102:F105)</f>
      </c>
      <c r="G106" s="20">
        <f>SUM(G102:G105)</f>
      </c>
      <c r="H106" s="21">
        <f t="shared" si="1"/>
      </c>
      <c r="I106" s="21">
        <f t="shared" si="2"/>
      </c>
      <c r="J106" s="21">
        <f t="shared" si="0"/>
      </c>
      <c r="K106" s="20">
        <f>SUM(K102:K105)</f>
      </c>
      <c r="L106" s="20">
        <f>SUM(L102:L105)</f>
      </c>
      <c r="M106" s="22"/>
      <c r="N106" s="20">
        <f>SUM(N102:N105)</f>
      </c>
      <c r="O106" s="23"/>
      <c r="P106" s="20">
        <f>SUM(P102:P105)</f>
      </c>
    </row>
    <row r="107">
      <c r="A107" s="6" t="s">
        <v>64</v>
      </c>
      <c r="B107" s="7" t="s">
        <v>24</v>
      </c>
      <c r="C107" s="8" t="s">
        <v>19</v>
      </c>
      <c r="D107" s="8">
        <v>4</v>
      </c>
      <c r="E107" s="8">
        <v>4</v>
      </c>
      <c r="F107" s="8">
        <v>2187.6</v>
      </c>
      <c r="G107" s="9">
        <v>7108.6900000000005</v>
      </c>
      <c r="H107" s="9">
        <f t="shared" si="1"/>
      </c>
      <c r="I107" s="10">
        <f t="shared" si="2"/>
      </c>
      <c r="J107" s="10">
        <f t="shared" si="0"/>
      </c>
      <c r="K107" s="8"/>
      <c r="L107" s="11"/>
      <c r="M107" s="12"/>
      <c r="N107" s="13"/>
      <c r="O107" s="14" t="s">
        <v>20</v>
      </c>
      <c r="P107" s="14">
        <v>10</v>
      </c>
    </row>
    <row r="108">
      <c r="A108" s="6" t="s">
        <v>64</v>
      </c>
      <c r="B108" s="7" t="s">
        <v>26</v>
      </c>
      <c r="C108" s="8" t="s">
        <v>22</v>
      </c>
      <c r="D108" s="8">
        <v>4</v>
      </c>
      <c r="E108" s="26">
        <v>6</v>
      </c>
      <c r="F108" s="8">
        <v>7483.199999999999</v>
      </c>
      <c r="G108" s="15">
        <v>8290.33</v>
      </c>
      <c r="H108" s="9">
        <f t="shared" si="1"/>
      </c>
      <c r="I108" s="10">
        <f t="shared" si="2"/>
      </c>
      <c r="J108" s="10">
        <f t="shared" si="0"/>
      </c>
      <c r="K108" s="8"/>
      <c r="L108" s="11"/>
      <c r="M108" s="16" t="s">
        <v>50</v>
      </c>
      <c r="N108" s="13">
        <v>10</v>
      </c>
      <c r="O108" s="17"/>
      <c r="P108" s="13"/>
    </row>
    <row r="109">
      <c r="A109" s="6" t="s">
        <v>64</v>
      </c>
      <c r="B109" s="7" t="s">
        <v>21</v>
      </c>
      <c r="C109" s="8" t="s">
        <v>25</v>
      </c>
      <c r="D109" s="8">
        <v>4</v>
      </c>
      <c r="E109" s="8"/>
      <c r="F109" s="8"/>
      <c r="G109" s="8"/>
      <c r="H109" s="9">
        <f t="shared" si="1"/>
      </c>
      <c r="I109" s="10">
        <f t="shared" si="2"/>
      </c>
      <c r="J109" s="10">
        <f t="shared" si="0"/>
      </c>
      <c r="K109" s="8"/>
      <c r="L109" s="11"/>
      <c r="M109" s="16"/>
      <c r="N109" s="13"/>
      <c r="O109" s="17"/>
      <c r="P109" s="13"/>
    </row>
    <row r="110">
      <c r="A110" s="6" t="s">
        <v>64</v>
      </c>
      <c r="B110" s="7" t="s">
        <v>33</v>
      </c>
      <c r="C110" s="8" t="s">
        <v>27</v>
      </c>
      <c r="D110" s="8">
        <v>4</v>
      </c>
      <c r="E110" s="8"/>
      <c r="F110" s="8"/>
      <c r="G110" s="8"/>
      <c r="H110" s="9">
        <f t="shared" si="1"/>
      </c>
      <c r="I110" s="10">
        <f t="shared" si="2"/>
      </c>
      <c r="J110" s="10">
        <f t="shared" si="0"/>
      </c>
      <c r="K110" s="8"/>
      <c r="L110" s="11"/>
      <c r="M110" s="16" t="s">
        <v>47</v>
      </c>
      <c r="N110" s="13">
        <v>10</v>
      </c>
      <c r="O110" s="14" t="s">
        <v>29</v>
      </c>
      <c r="P110" s="14">
        <v>10</v>
      </c>
    </row>
    <row r="111">
      <c r="A111" s="6" t="s">
        <v>64</v>
      </c>
      <c r="B111" s="7" t="s">
        <v>18</v>
      </c>
      <c r="C111" s="8" t="s">
        <v>31</v>
      </c>
      <c r="D111" s="8">
        <v>4</v>
      </c>
      <c r="E111" s="8"/>
      <c r="F111" s="8"/>
      <c r="G111" s="8"/>
      <c r="H111" s="9">
        <f t="shared" si="1"/>
      </c>
      <c r="I111" s="10">
        <f t="shared" si="2"/>
      </c>
      <c r="J111" s="10">
        <f t="shared" si="0"/>
      </c>
      <c r="K111" s="8"/>
      <c r="L111" s="11"/>
      <c r="M111" s="16"/>
      <c r="N111" s="13"/>
      <c r="O111" s="17"/>
      <c r="P111" s="14"/>
    </row>
    <row r="112">
      <c r="A112" s="18" t="s">
        <v>64</v>
      </c>
      <c r="B112" s="19"/>
      <c r="C112" s="19"/>
      <c r="D112" s="20">
        <f>SUM(D107:D111)</f>
      </c>
      <c r="E112" s="20">
        <f>SUM(E107:E111)</f>
      </c>
      <c r="F112" s="20">
        <f>SUM(F107:F111)</f>
      </c>
      <c r="G112" s="20">
        <f>SUM(G107:G111)</f>
      </c>
      <c r="H112" s="21">
        <f t="shared" si="1"/>
      </c>
      <c r="I112" s="21">
        <f t="shared" si="2"/>
      </c>
      <c r="J112" s="21">
        <f t="shared" si="0"/>
      </c>
      <c r="K112" s="20">
        <f>SUM(K107:K111)</f>
      </c>
      <c r="L112" s="20">
        <f>SUM(L107:L111)</f>
      </c>
      <c r="M112" s="22"/>
      <c r="N112" s="20">
        <f>SUM(N107:N111)</f>
      </c>
      <c r="O112" s="23"/>
      <c r="P112" s="20">
        <f>SUM(P107:P111)</f>
      </c>
    </row>
  </sheetData>
  <autoFilter ref="A1:P112"/>
  <dataValidations count="1">
    <dataValidation allowBlank="true" errorStyle="stop" showErrorMessage="true" sqref="B2:B6 B8:B12 B14:B18 B20:B24 B26:B30 B32:B36 B38:B42 B44:B48 B50:B54 B56:B59 B61:B65 B67:B71 B73:B77 B79:B83 B85:B89 B91:B95 B97:B100 B102:B105 B107:B111" type="list">
      <formula1>"刘慕涵,张晓薇,连贝贝,郝铭扬,李莹,陈旭,栗敏纳"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3" min="13" style="0" width="11.211267605633802"/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4" min="14" style="0" width="11.211267605633802"/>
  </cols>
  <sheetData>
    <row customHeight="true" ht="20.833333333333336" r="1">
      <c r="A1" s="27" t="s">
        <v>65</v>
      </c>
      <c r="B1" s="28" t="s">
        <v>66</v>
      </c>
      <c r="C1" s="28" t="s">
        <v>67</v>
      </c>
      <c r="D1" s="28" t="s">
        <v>68</v>
      </c>
      <c r="E1" s="28" t="s">
        <v>69</v>
      </c>
      <c r="F1" s="29" t="s">
        <v>70</v>
      </c>
      <c r="G1" s="29" t="s">
        <v>71</v>
      </c>
      <c r="H1" s="29" t="s">
        <v>72</v>
      </c>
      <c r="I1" s="29" t="s">
        <v>73</v>
      </c>
      <c r="J1" s="29" t="s">
        <v>74</v>
      </c>
      <c r="K1" s="28" t="s">
        <v>75</v>
      </c>
      <c r="L1" s="30" t="s">
        <v>76</v>
      </c>
      <c r="M1" s="30" t="s">
        <v>77</v>
      </c>
      <c r="N1" s="31" t="s">
        <v>78</v>
      </c>
      <c r="O1" s="31" t="s">
        <v>79</v>
      </c>
      <c r="P1" s="31" t="s">
        <v>80</v>
      </c>
    </row>
    <row r="2">
      <c r="A2" s="32" t="s">
        <v>81</v>
      </c>
      <c r="B2" s="33" t="s">
        <v>82</v>
      </c>
      <c r="C2" s="34" t="s">
        <v>83</v>
      </c>
      <c r="D2" s="34">
        <v>5</v>
      </c>
      <c r="E2" s="34">
        <v>17</v>
      </c>
      <c r="F2" s="34">
        <v>18074.4</v>
      </c>
      <c r="G2" s="34">
        <v>10754.550000000001</v>
      </c>
      <c r="H2" s="35">
        <f t="shared" ref="H2:H171" si="4">F2/G2</f>
      </c>
      <c r="I2" s="36">
        <f t="shared" ref="I2:I171" si="1">F2/E2</f>
      </c>
      <c r="J2" s="36">
        <f t="shared" ref="J2:J171" si="5">G2/E2</f>
      </c>
      <c r="K2" s="34">
        <v>9</v>
      </c>
      <c r="L2" s="37">
        <v>10477.2</v>
      </c>
      <c r="M2" s="38"/>
      <c r="N2" s="39"/>
      <c r="O2" s="33" t="s">
        <v>84</v>
      </c>
      <c r="P2" s="33">
        <v>10</v>
      </c>
    </row>
    <row r="3">
      <c r="A3" s="32" t="s">
        <v>81</v>
      </c>
      <c r="B3" s="40" t="s">
        <v>85</v>
      </c>
      <c r="C3" s="34" t="s">
        <v>86</v>
      </c>
      <c r="D3" s="34">
        <v>5</v>
      </c>
      <c r="E3" s="34">
        <v>15</v>
      </c>
      <c r="F3" s="34">
        <v>15205.199999999997</v>
      </c>
      <c r="G3" s="41">
        <v>18131.88</v>
      </c>
      <c r="H3" s="35">
        <f t="shared" si="4"/>
      </c>
      <c r="I3" s="36">
        <f t="shared" si="1"/>
      </c>
      <c r="J3" s="36">
        <f t="shared" si="5"/>
      </c>
      <c r="K3" s="34">
        <v>4</v>
      </c>
      <c r="L3" s="37">
        <v>6825.599999999999</v>
      </c>
      <c r="M3" s="42" t="s">
        <v>87</v>
      </c>
      <c r="N3" s="39">
        <v>10</v>
      </c>
      <c r="O3" s="43"/>
      <c r="P3" s="39"/>
    </row>
    <row r="4">
      <c r="A4" s="32" t="s">
        <v>81</v>
      </c>
      <c r="B4" s="40" t="s">
        <v>88</v>
      </c>
      <c r="C4" s="34" t="s">
        <v>89</v>
      </c>
      <c r="D4" s="34">
        <v>5</v>
      </c>
      <c r="E4" s="34">
        <v>10</v>
      </c>
      <c r="F4" s="34">
        <v>11866.800000000003</v>
      </c>
      <c r="G4" s="34">
        <v>12850.28</v>
      </c>
      <c r="H4" s="35">
        <f t="shared" si="4"/>
      </c>
      <c r="I4" s="36">
        <f t="shared" si="1"/>
      </c>
      <c r="J4" s="36">
        <f t="shared" si="5"/>
      </c>
      <c r="K4" s="34">
        <v>1</v>
      </c>
      <c r="L4" s="37">
        <v>598.8</v>
      </c>
      <c r="M4" s="42"/>
      <c r="N4" s="39"/>
      <c r="O4" s="43"/>
      <c r="P4" s="39"/>
    </row>
    <row r="5">
      <c r="A5" s="32" t="s">
        <v>81</v>
      </c>
      <c r="B5" s="40" t="s">
        <v>90</v>
      </c>
      <c r="C5" s="34" t="s">
        <v>91</v>
      </c>
      <c r="D5" s="34">
        <v>5</v>
      </c>
      <c r="E5" s="34">
        <v>11</v>
      </c>
      <c r="F5" s="34">
        <v>17043.6</v>
      </c>
      <c r="G5" s="34">
        <v>12055.72</v>
      </c>
      <c r="H5" s="35">
        <f t="shared" si="4"/>
      </c>
      <c r="I5" s="36">
        <f t="shared" si="1"/>
      </c>
      <c r="J5" s="36">
        <f t="shared" si="5"/>
      </c>
      <c r="K5" s="34">
        <v>2</v>
      </c>
      <c r="L5" s="37">
        <v>2023.2</v>
      </c>
      <c r="M5" s="42" t="s">
        <v>92</v>
      </c>
      <c r="N5" s="39">
        <v>10</v>
      </c>
      <c r="O5" s="43" t="s">
        <v>93</v>
      </c>
      <c r="P5" s="33">
        <v>10</v>
      </c>
    </row>
    <row r="6">
      <c r="A6" s="44" t="s">
        <v>81</v>
      </c>
      <c r="B6" s="45"/>
      <c r="C6" s="45"/>
      <c r="D6" s="46">
        <f>SUM(D2:D5)</f>
      </c>
      <c r="E6" s="46">
        <f>SUM(E2:E5)</f>
      </c>
      <c r="F6" s="47">
        <f>SUM(F2:F5)</f>
      </c>
      <c r="G6" s="46">
        <f>SUM(G2:G5)</f>
      </c>
      <c r="H6" s="48">
        <f t="shared" si="4"/>
      </c>
      <c r="I6" s="48">
        <f t="shared" si="1"/>
      </c>
      <c r="J6" s="48">
        <f t="shared" si="5"/>
      </c>
      <c r="K6" s="46">
        <f>SUM(K2:K5)</f>
      </c>
      <c r="L6" s="49">
        <f>SUM(L2:L5)</f>
      </c>
      <c r="M6" s="50"/>
      <c r="N6" s="51">
        <f>SUM(N2:N5)</f>
      </c>
      <c r="O6" s="52"/>
      <c r="P6" s="51">
        <f>SUM(P2:P5)</f>
      </c>
    </row>
    <row r="7">
      <c r="A7" s="32" t="s">
        <v>94</v>
      </c>
      <c r="B7" s="33" t="s">
        <v>82</v>
      </c>
      <c r="C7" s="34" t="s">
        <v>83</v>
      </c>
      <c r="D7" s="34">
        <v>5</v>
      </c>
      <c r="E7" s="34">
        <v>23</v>
      </c>
      <c r="F7" s="34">
        <v>24082.6</v>
      </c>
      <c r="G7" s="34">
        <v>16123.37</v>
      </c>
      <c r="H7" s="35">
        <f t="shared" si="4"/>
      </c>
      <c r="I7" s="36">
        <f t="shared" si="1"/>
      </c>
      <c r="J7" s="36">
        <f t="shared" si="5"/>
      </c>
      <c r="K7" s="34">
        <v>5</v>
      </c>
      <c r="L7" s="37">
        <v>5865.599999999999</v>
      </c>
      <c r="M7" s="38"/>
      <c r="N7" s="39"/>
      <c r="O7" s="33" t="s">
        <v>84</v>
      </c>
      <c r="P7" s="33">
        <v>10</v>
      </c>
    </row>
    <row r="8">
      <c r="A8" s="32" t="s">
        <v>94</v>
      </c>
      <c r="B8" s="40" t="s">
        <v>85</v>
      </c>
      <c r="C8" s="34" t="s">
        <v>86</v>
      </c>
      <c r="D8" s="34">
        <v>5</v>
      </c>
      <c r="E8" s="34">
        <v>32</v>
      </c>
      <c r="F8" s="34">
        <v>37475.4</v>
      </c>
      <c r="G8" s="41">
        <v>21238.569999999996</v>
      </c>
      <c r="H8" s="35">
        <f t="shared" si="4"/>
      </c>
      <c r="I8" s="36">
        <f t="shared" si="1"/>
      </c>
      <c r="J8" s="36">
        <f t="shared" si="5"/>
      </c>
      <c r="K8" s="34">
        <v>13</v>
      </c>
      <c r="L8" s="37">
        <v>14050</v>
      </c>
      <c r="M8" s="42" t="s">
        <v>87</v>
      </c>
      <c r="N8" s="39">
        <v>10</v>
      </c>
      <c r="O8" s="43"/>
      <c r="P8" s="39"/>
    </row>
    <row r="9">
      <c r="A9" s="32" t="s">
        <v>94</v>
      </c>
      <c r="B9" s="40" t="s">
        <v>88</v>
      </c>
      <c r="C9" s="34" t="s">
        <v>89</v>
      </c>
      <c r="D9" s="34">
        <v>5</v>
      </c>
      <c r="E9" s="34">
        <v>21</v>
      </c>
      <c r="F9" s="34">
        <v>24100.75</v>
      </c>
      <c r="G9" s="34">
        <v>18897.44</v>
      </c>
      <c r="H9" s="35">
        <f t="shared" si="4"/>
      </c>
      <c r="I9" s="36">
        <f t="shared" si="1"/>
      </c>
      <c r="J9" s="36">
        <f t="shared" si="5"/>
      </c>
      <c r="K9" s="34">
        <v>1</v>
      </c>
      <c r="L9" s="37">
        <v>1663.2</v>
      </c>
      <c r="M9" s="42"/>
      <c r="N9" s="39"/>
      <c r="O9" s="43"/>
      <c r="P9" s="39"/>
    </row>
    <row r="10">
      <c r="A10" s="32" t="s">
        <v>94</v>
      </c>
      <c r="B10" s="40" t="s">
        <v>90</v>
      </c>
      <c r="C10" s="34" t="s">
        <v>91</v>
      </c>
      <c r="D10" s="34">
        <v>5</v>
      </c>
      <c r="E10" s="34">
        <v>14</v>
      </c>
      <c r="F10" s="34">
        <v>20329.800000000003</v>
      </c>
      <c r="G10" s="34">
        <v>13671.26</v>
      </c>
      <c r="H10" s="35">
        <f t="shared" si="4"/>
      </c>
      <c r="I10" s="36">
        <f t="shared" si="1"/>
      </c>
      <c r="J10" s="36">
        <f t="shared" si="5"/>
      </c>
      <c r="K10" s="34">
        <v>4</v>
      </c>
      <c r="L10" s="37">
        <v>3462</v>
      </c>
      <c r="M10" s="42" t="s">
        <v>92</v>
      </c>
      <c r="N10" s="39">
        <v>10</v>
      </c>
      <c r="O10" s="43" t="s">
        <v>93</v>
      </c>
      <c r="P10" s="33">
        <v>10</v>
      </c>
    </row>
    <row r="11">
      <c r="A11" s="44" t="s">
        <v>94</v>
      </c>
      <c r="B11" s="45"/>
      <c r="C11" s="45"/>
      <c r="D11" s="46">
        <f>SUM(D7:D10)</f>
      </c>
      <c r="E11" s="46">
        <f>SUM(E7:E10)</f>
      </c>
      <c r="F11" s="47">
        <f>SUM(F7:F10)</f>
      </c>
      <c r="G11" s="46">
        <f>SUM(G7:G10)</f>
      </c>
      <c r="H11" s="48">
        <f t="shared" si="4"/>
      </c>
      <c r="I11" s="48">
        <f t="shared" si="1"/>
      </c>
      <c r="J11" s="48">
        <f t="shared" si="5"/>
      </c>
      <c r="K11" s="46">
        <f>SUM(K7:K10)</f>
      </c>
      <c r="L11" s="49">
        <f>SUM(L7:L10)</f>
      </c>
      <c r="M11" s="50"/>
      <c r="N11" s="51">
        <f>SUM(N7:N10)</f>
      </c>
      <c r="O11" s="52"/>
      <c r="P11" s="51">
        <f>SUM(P7:P10)</f>
      </c>
    </row>
    <row r="12">
      <c r="A12" s="32" t="s">
        <v>95</v>
      </c>
      <c r="B12" s="40" t="s">
        <v>85</v>
      </c>
      <c r="C12" s="34" t="s">
        <v>83</v>
      </c>
      <c r="D12" s="34">
        <v>5</v>
      </c>
      <c r="E12" s="34">
        <v>6</v>
      </c>
      <c r="F12" s="34">
        <v>5560.8</v>
      </c>
      <c r="G12" s="34">
        <v>5808.58</v>
      </c>
      <c r="H12" s="35">
        <f t="shared" si="4"/>
      </c>
      <c r="I12" s="36">
        <f t="shared" si="1"/>
      </c>
      <c r="J12" s="36">
        <f t="shared" si="5"/>
      </c>
      <c r="K12" s="34">
        <v>1</v>
      </c>
      <c r="L12" s="37">
        <v>691.2</v>
      </c>
      <c r="M12" s="38"/>
      <c r="N12" s="39"/>
      <c r="O12" s="33" t="s">
        <v>84</v>
      </c>
      <c r="P12" s="33">
        <v>10</v>
      </c>
    </row>
    <row r="13">
      <c r="A13" s="32" t="s">
        <v>95</v>
      </c>
      <c r="B13" s="40" t="s">
        <v>88</v>
      </c>
      <c r="C13" s="34" t="s">
        <v>86</v>
      </c>
      <c r="D13" s="34">
        <v>5</v>
      </c>
      <c r="E13" s="34">
        <v>4</v>
      </c>
      <c r="F13" s="34">
        <v>4563.599999999999</v>
      </c>
      <c r="G13" s="41">
        <v>4561.63</v>
      </c>
      <c r="H13" s="35">
        <f t="shared" si="4"/>
      </c>
      <c r="I13" s="36">
        <f t="shared" si="1"/>
      </c>
      <c r="J13" s="36">
        <f t="shared" si="5"/>
      </c>
      <c r="K13" s="34">
        <v>2</v>
      </c>
      <c r="L13" s="37">
        <v>3703.2</v>
      </c>
      <c r="M13" s="42" t="s">
        <v>87</v>
      </c>
      <c r="N13" s="39">
        <v>10</v>
      </c>
      <c r="O13" s="43"/>
      <c r="P13" s="39"/>
    </row>
    <row r="14">
      <c r="A14" s="32" t="s">
        <v>95</v>
      </c>
      <c r="B14" s="40" t="s">
        <v>90</v>
      </c>
      <c r="C14" s="34" t="s">
        <v>89</v>
      </c>
      <c r="D14" s="34">
        <v>5</v>
      </c>
      <c r="E14" s="34">
        <v>4</v>
      </c>
      <c r="F14" s="34">
        <v>6477.6</v>
      </c>
      <c r="G14" s="34">
        <v>4589.7</v>
      </c>
      <c r="H14" s="35">
        <f t="shared" si="4"/>
      </c>
      <c r="I14" s="36">
        <f t="shared" si="1"/>
      </c>
      <c r="J14" s="36">
        <f t="shared" si="5"/>
      </c>
      <c r="K14" s="34">
        <v>0</v>
      </c>
      <c r="L14" s="37">
        <v>0</v>
      </c>
      <c r="M14" s="42"/>
      <c r="N14" s="39"/>
      <c r="O14" s="43"/>
      <c r="P14" s="39"/>
    </row>
    <row r="15">
      <c r="A15" s="32" t="s">
        <v>95</v>
      </c>
      <c r="B15" s="40" t="s">
        <v>96</v>
      </c>
      <c r="C15" s="34" t="s">
        <v>91</v>
      </c>
      <c r="D15" s="34">
        <v>5</v>
      </c>
      <c r="E15" s="34">
        <v>7</v>
      </c>
      <c r="F15" s="34">
        <v>6682.799999999999</v>
      </c>
      <c r="G15" s="34">
        <v>7451.81</v>
      </c>
      <c r="H15" s="35">
        <f t="shared" si="4"/>
      </c>
      <c r="I15" s="36">
        <f t="shared" si="1"/>
      </c>
      <c r="J15" s="36">
        <f t="shared" si="5"/>
      </c>
      <c r="K15" s="34">
        <v>0</v>
      </c>
      <c r="L15" s="37">
        <v>0</v>
      </c>
      <c r="M15" s="42" t="s">
        <v>92</v>
      </c>
      <c r="N15" s="39">
        <v>10</v>
      </c>
      <c r="O15" s="43" t="s">
        <v>93</v>
      </c>
      <c r="P15" s="33">
        <v>10</v>
      </c>
    </row>
    <row r="16">
      <c r="A16" s="44" t="s">
        <v>95</v>
      </c>
      <c r="B16" s="45"/>
      <c r="C16" s="45"/>
      <c r="D16" s="46">
        <f>SUM(D12:D15)</f>
      </c>
      <c r="E16" s="46">
        <f>SUM(E12:E15)</f>
      </c>
      <c r="F16" s="47">
        <f>SUM(F12:F15)</f>
      </c>
      <c r="G16" s="46">
        <f>SUM(G12:G15)</f>
      </c>
      <c r="H16" s="48">
        <f t="shared" si="4"/>
      </c>
      <c r="I16" s="48">
        <f t="shared" si="1"/>
      </c>
      <c r="J16" s="48">
        <f t="shared" si="5"/>
      </c>
      <c r="K16" s="46">
        <f>SUM(K12:K15)</f>
      </c>
      <c r="L16" s="49">
        <f>SUM(L12:L15)</f>
      </c>
      <c r="M16" s="50"/>
      <c r="N16" s="51">
        <f>SUM(N12:N15)</f>
      </c>
      <c r="O16" s="52"/>
      <c r="P16" s="51">
        <f>SUM(P12:P15)</f>
      </c>
    </row>
    <row r="17">
      <c r="A17" s="32" t="s">
        <v>97</v>
      </c>
      <c r="B17" s="40" t="s">
        <v>85</v>
      </c>
      <c r="C17" s="34" t="s">
        <v>83</v>
      </c>
      <c r="D17" s="34">
        <v>5</v>
      </c>
      <c r="E17" s="34">
        <v>10</v>
      </c>
      <c r="F17" s="34">
        <v>11552.2</v>
      </c>
      <c r="G17" s="34">
        <v>8399.76</v>
      </c>
      <c r="H17" s="35">
        <f t="shared" si="4"/>
      </c>
      <c r="I17" s="36">
        <f t="shared" si="1"/>
      </c>
      <c r="J17" s="36">
        <f t="shared" si="5"/>
      </c>
      <c r="K17" s="34">
        <v>2</v>
      </c>
      <c r="L17" s="37">
        <v>2035.2</v>
      </c>
      <c r="M17" s="38"/>
      <c r="N17" s="39"/>
      <c r="O17" s="33" t="s">
        <v>84</v>
      </c>
      <c r="P17" s="33">
        <v>10</v>
      </c>
    </row>
    <row r="18">
      <c r="A18" s="32" t="s">
        <v>97</v>
      </c>
      <c r="B18" s="40" t="s">
        <v>90</v>
      </c>
      <c r="C18" s="34" t="s">
        <v>86</v>
      </c>
      <c r="D18" s="34">
        <v>5</v>
      </c>
      <c r="E18" s="34">
        <v>3</v>
      </c>
      <c r="F18" s="34">
        <v>5004</v>
      </c>
      <c r="G18" s="41">
        <v>6130.150000000001</v>
      </c>
      <c r="H18" s="35">
        <f t="shared" si="4"/>
      </c>
      <c r="I18" s="36">
        <f t="shared" si="1"/>
      </c>
      <c r="J18" s="36">
        <f t="shared" si="5"/>
      </c>
      <c r="K18" s="34">
        <v>0</v>
      </c>
      <c r="L18" s="37">
        <v>0</v>
      </c>
      <c r="M18" s="42" t="s">
        <v>98</v>
      </c>
      <c r="N18" s="39">
        <v>10</v>
      </c>
      <c r="O18" s="43"/>
      <c r="P18" s="39"/>
    </row>
    <row r="19">
      <c r="A19" s="32" t="s">
        <v>97</v>
      </c>
      <c r="B19" s="40" t="s">
        <v>96</v>
      </c>
      <c r="C19" s="34" t="s">
        <v>89</v>
      </c>
      <c r="D19" s="34">
        <v>5</v>
      </c>
      <c r="E19" s="34">
        <v>0</v>
      </c>
      <c r="F19" s="34">
        <v>0</v>
      </c>
      <c r="G19" s="34">
        <v>2876.97</v>
      </c>
      <c r="H19" s="35">
        <f t="shared" si="4"/>
      </c>
      <c r="I19" s="36">
        <f t="shared" si="1"/>
      </c>
      <c r="J19" s="36">
        <f t="shared" si="5"/>
      </c>
      <c r="K19" s="34">
        <v>0</v>
      </c>
      <c r="L19" s="37">
        <v>0</v>
      </c>
      <c r="M19" s="42"/>
      <c r="N19" s="39"/>
      <c r="O19" s="43"/>
      <c r="P19" s="39"/>
    </row>
    <row r="20">
      <c r="A20" s="32" t="s">
        <v>97</v>
      </c>
      <c r="B20" s="40" t="s">
        <v>82</v>
      </c>
      <c r="C20" s="34" t="s">
        <v>91</v>
      </c>
      <c r="D20" s="34">
        <v>5</v>
      </c>
      <c r="E20" s="34">
        <v>15</v>
      </c>
      <c r="F20" s="34">
        <v>20834.399999999998</v>
      </c>
      <c r="G20" s="34">
        <v>8088.29</v>
      </c>
      <c r="H20" s="35">
        <f t="shared" si="4"/>
      </c>
      <c r="I20" s="36">
        <f t="shared" si="1"/>
      </c>
      <c r="J20" s="36">
        <f t="shared" si="5"/>
      </c>
      <c r="K20" s="34">
        <v>1</v>
      </c>
      <c r="L20" s="37">
        <v>372</v>
      </c>
      <c r="M20" s="42" t="s">
        <v>92</v>
      </c>
      <c r="N20" s="39">
        <v>10</v>
      </c>
      <c r="O20" s="43" t="s">
        <v>93</v>
      </c>
      <c r="P20" s="33">
        <v>10</v>
      </c>
    </row>
    <row r="21">
      <c r="A21" s="44" t="s">
        <v>97</v>
      </c>
      <c r="B21" s="45"/>
      <c r="C21" s="45"/>
      <c r="D21" s="46">
        <f>SUM(D17:D20)</f>
      </c>
      <c r="E21" s="46">
        <f>SUM(E17:E20)</f>
      </c>
      <c r="F21" s="47">
        <f>SUM(F17:F20)</f>
      </c>
      <c r="G21" s="46">
        <f>SUM(G17:G20)</f>
      </c>
      <c r="H21" s="48">
        <f t="shared" si="4"/>
      </c>
      <c r="I21" s="48">
        <f t="shared" si="1"/>
      </c>
      <c r="J21" s="48">
        <f t="shared" si="5"/>
      </c>
      <c r="K21" s="46">
        <f>SUM(K17:K20)</f>
      </c>
      <c r="L21" s="49">
        <f>SUM(L17:L20)</f>
      </c>
      <c r="M21" s="50"/>
      <c r="N21" s="51">
        <f>SUM(N17:N20)</f>
      </c>
      <c r="O21" s="52"/>
      <c r="P21" s="51">
        <f>SUM(P17:P20)</f>
      </c>
    </row>
    <row r="22">
      <c r="A22" s="32" t="s">
        <v>99</v>
      </c>
      <c r="B22" s="40" t="s">
        <v>90</v>
      </c>
      <c r="C22" s="34" t="s">
        <v>83</v>
      </c>
      <c r="D22" s="34">
        <v>5</v>
      </c>
      <c r="E22" s="34">
        <v>13</v>
      </c>
      <c r="F22" s="34">
        <v>18812.2</v>
      </c>
      <c r="G22" s="34">
        <v>13026.16</v>
      </c>
      <c r="H22" s="35">
        <f t="shared" si="4"/>
      </c>
      <c r="I22" s="36">
        <f t="shared" si="1"/>
      </c>
      <c r="J22" s="36">
        <f t="shared" si="5"/>
      </c>
      <c r="K22" s="34">
        <v>4</v>
      </c>
      <c r="L22" s="37">
        <v>5334</v>
      </c>
      <c r="M22" s="38"/>
      <c r="N22" s="39"/>
      <c r="O22" s="33" t="s">
        <v>84</v>
      </c>
      <c r="P22" s="33">
        <v>10</v>
      </c>
    </row>
    <row r="23">
      <c r="A23" s="32" t="s">
        <v>99</v>
      </c>
      <c r="B23" s="40" t="s">
        <v>96</v>
      </c>
      <c r="C23" s="34" t="s">
        <v>86</v>
      </c>
      <c r="D23" s="34">
        <v>5</v>
      </c>
      <c r="E23" s="34">
        <v>9</v>
      </c>
      <c r="F23" s="34">
        <v>13363.2</v>
      </c>
      <c r="G23" s="41">
        <v>10141.58</v>
      </c>
      <c r="H23" s="35">
        <f t="shared" si="4"/>
      </c>
      <c r="I23" s="36">
        <f t="shared" si="1"/>
      </c>
      <c r="J23" s="36">
        <f t="shared" si="5"/>
      </c>
      <c r="K23" s="34">
        <v>2</v>
      </c>
      <c r="L23" s="37">
        <v>4814.4</v>
      </c>
      <c r="M23" s="42" t="s">
        <v>87</v>
      </c>
      <c r="N23" s="39">
        <v>10</v>
      </c>
      <c r="O23" s="43"/>
      <c r="P23" s="39"/>
    </row>
    <row r="24">
      <c r="A24" s="32" t="s">
        <v>99</v>
      </c>
      <c r="B24" s="40" t="s">
        <v>82</v>
      </c>
      <c r="C24" s="34" t="s">
        <v>89</v>
      </c>
      <c r="D24" s="34">
        <v>5</v>
      </c>
      <c r="E24" s="34">
        <v>4</v>
      </c>
      <c r="F24" s="34">
        <v>2601.5999999999985</v>
      </c>
      <c r="G24" s="34">
        <v>5897.660000000001</v>
      </c>
      <c r="H24" s="35">
        <f t="shared" si="4"/>
      </c>
      <c r="I24" s="36">
        <f t="shared" si="1"/>
      </c>
      <c r="J24" s="36">
        <f t="shared" si="5"/>
      </c>
      <c r="K24" s="34">
        <v>1</v>
      </c>
      <c r="L24" s="37">
        <v>598.8</v>
      </c>
      <c r="M24" s="42"/>
      <c r="N24" s="39"/>
      <c r="O24" s="43"/>
      <c r="P24" s="39"/>
    </row>
    <row r="25">
      <c r="A25" s="32" t="s">
        <v>99</v>
      </c>
      <c r="B25" s="40" t="s">
        <v>85</v>
      </c>
      <c r="C25" s="34" t="s">
        <v>91</v>
      </c>
      <c r="D25" s="34">
        <v>5</v>
      </c>
      <c r="E25" s="34">
        <v>8</v>
      </c>
      <c r="F25" s="34">
        <v>9423.599999999999</v>
      </c>
      <c r="G25" s="34">
        <v>6360.98</v>
      </c>
      <c r="H25" s="35">
        <f t="shared" si="4"/>
      </c>
      <c r="I25" s="36">
        <f t="shared" si="1"/>
      </c>
      <c r="J25" s="36">
        <f t="shared" si="5"/>
      </c>
      <c r="K25" s="34">
        <v>1</v>
      </c>
      <c r="L25" s="37">
        <v>679.2</v>
      </c>
      <c r="M25" s="42" t="s">
        <v>92</v>
      </c>
      <c r="N25" s="39">
        <v>10</v>
      </c>
      <c r="O25" s="43" t="s">
        <v>93</v>
      </c>
      <c r="P25" s="33">
        <v>10</v>
      </c>
    </row>
    <row r="26">
      <c r="A26" s="44" t="s">
        <v>99</v>
      </c>
      <c r="B26" s="45"/>
      <c r="C26" s="45"/>
      <c r="D26" s="46">
        <f>SUM(D22:D25)</f>
      </c>
      <c r="E26" s="46">
        <f>SUM(E22:E25)</f>
      </c>
      <c r="F26" s="47">
        <f>SUM(F22:F25)</f>
      </c>
      <c r="G26" s="46">
        <f>SUM(G22:G25)</f>
      </c>
      <c r="H26" s="48">
        <f t="shared" si="4"/>
      </c>
      <c r="I26" s="48">
        <f t="shared" si="1"/>
      </c>
      <c r="J26" s="48">
        <f t="shared" si="5"/>
      </c>
      <c r="K26" s="46">
        <f>SUM(K22:K25)</f>
      </c>
      <c r="L26" s="49">
        <f>SUM(L22:L25)</f>
      </c>
      <c r="M26" s="50"/>
      <c r="N26" s="51">
        <f>SUM(N22:N25)</f>
      </c>
      <c r="O26" s="52"/>
      <c r="P26" s="51">
        <f>SUM(P22:P25)</f>
      </c>
    </row>
    <row r="27">
      <c r="A27" s="32" t="s">
        <v>100</v>
      </c>
      <c r="B27" s="40" t="s">
        <v>90</v>
      </c>
      <c r="C27" s="34" t="s">
        <v>83</v>
      </c>
      <c r="D27" s="34">
        <v>5</v>
      </c>
      <c r="E27" s="34">
        <v>11</v>
      </c>
      <c r="F27" s="34">
        <v>12890.4</v>
      </c>
      <c r="G27" s="34">
        <v>10959.16</v>
      </c>
      <c r="H27" s="35">
        <f t="shared" si="4"/>
      </c>
      <c r="I27" s="36">
        <f t="shared" si="1"/>
      </c>
      <c r="J27" s="36">
        <f t="shared" si="5"/>
      </c>
      <c r="K27" s="34">
        <v>1</v>
      </c>
      <c r="L27" s="37">
        <v>2911.2</v>
      </c>
      <c r="M27" s="38"/>
      <c r="N27" s="39"/>
      <c r="O27" s="33" t="s">
        <v>84</v>
      </c>
      <c r="P27" s="33">
        <v>10</v>
      </c>
    </row>
    <row r="28">
      <c r="A28" s="32" t="s">
        <v>100</v>
      </c>
      <c r="B28" s="40" t="s">
        <v>96</v>
      </c>
      <c r="C28" s="34" t="s">
        <v>86</v>
      </c>
      <c r="D28" s="34">
        <v>5</v>
      </c>
      <c r="E28" s="34">
        <v>7</v>
      </c>
      <c r="F28" s="34">
        <v>9016.8</v>
      </c>
      <c r="G28" s="41">
        <v>11251.02</v>
      </c>
      <c r="H28" s="35">
        <f t="shared" si="4"/>
      </c>
      <c r="I28" s="36">
        <f t="shared" si="1"/>
      </c>
      <c r="J28" s="36">
        <f t="shared" si="5"/>
      </c>
      <c r="K28" s="34">
        <v>2</v>
      </c>
      <c r="L28" s="37">
        <v>2262</v>
      </c>
      <c r="M28" s="42" t="s">
        <v>87</v>
      </c>
      <c r="N28" s="39">
        <v>10</v>
      </c>
      <c r="O28" s="43"/>
      <c r="P28" s="39"/>
    </row>
    <row r="29">
      <c r="A29" s="32" t="s">
        <v>100</v>
      </c>
      <c r="B29" s="40" t="s">
        <v>82</v>
      </c>
      <c r="C29" s="34" t="s">
        <v>89</v>
      </c>
      <c r="D29" s="34">
        <v>5</v>
      </c>
      <c r="E29" s="34">
        <v>9</v>
      </c>
      <c r="F29" s="34">
        <v>7278</v>
      </c>
      <c r="G29" s="34">
        <v>4740.46</v>
      </c>
      <c r="H29" s="35">
        <f t="shared" si="4"/>
      </c>
      <c r="I29" s="36">
        <f t="shared" si="1"/>
      </c>
      <c r="J29" s="36">
        <f t="shared" si="5"/>
      </c>
      <c r="K29" s="34">
        <v>1</v>
      </c>
      <c r="L29" s="37">
        <v>775.2</v>
      </c>
      <c r="M29" s="42"/>
      <c r="N29" s="39"/>
      <c r="O29" s="43"/>
      <c r="P29" s="39"/>
    </row>
    <row r="30">
      <c r="A30" s="32" t="s">
        <v>100</v>
      </c>
      <c r="B30" s="40" t="s">
        <v>85</v>
      </c>
      <c r="C30" s="34" t="s">
        <v>91</v>
      </c>
      <c r="D30" s="34">
        <v>5</v>
      </c>
      <c r="E30" s="34">
        <v>7</v>
      </c>
      <c r="F30" s="34">
        <v>1450.97</v>
      </c>
      <c r="G30" s="34">
        <v>6633.07</v>
      </c>
      <c r="H30" s="35">
        <f t="shared" si="4"/>
      </c>
      <c r="I30" s="36">
        <f t="shared" si="1"/>
      </c>
      <c r="J30" s="36">
        <f t="shared" si="5"/>
      </c>
      <c r="K30" s="34">
        <v>0</v>
      </c>
      <c r="L30" s="37">
        <v>0</v>
      </c>
      <c r="M30" s="42" t="s">
        <v>101</v>
      </c>
      <c r="N30" s="39">
        <v>10</v>
      </c>
      <c r="O30" s="43" t="s">
        <v>93</v>
      </c>
      <c r="P30" s="33">
        <v>10</v>
      </c>
    </row>
    <row r="31">
      <c r="A31" s="44" t="s">
        <v>100</v>
      </c>
      <c r="B31" s="45"/>
      <c r="C31" s="45"/>
      <c r="D31" s="46">
        <f>SUM(D27:D30)</f>
      </c>
      <c r="E31" s="46">
        <f>SUM(E27:E30)</f>
      </c>
      <c r="F31" s="47">
        <f>SUM(F27:F30)</f>
      </c>
      <c r="G31" s="46">
        <f>SUM(G27:G30)</f>
      </c>
      <c r="H31" s="48">
        <f t="shared" si="4"/>
      </c>
      <c r="I31" s="48">
        <f t="shared" si="1"/>
      </c>
      <c r="J31" s="48">
        <f t="shared" si="5"/>
      </c>
      <c r="K31" s="46">
        <f>SUM(K27:K30)</f>
      </c>
      <c r="L31" s="49">
        <f>SUM(L27:L30)</f>
      </c>
      <c r="M31" s="50"/>
      <c r="N31" s="51">
        <f>SUM(N27:N30)</f>
      </c>
      <c r="O31" s="52"/>
      <c r="P31" s="51">
        <f>SUM(P27:P30)</f>
      </c>
    </row>
    <row r="32">
      <c r="A32" s="32" t="s">
        <v>102</v>
      </c>
      <c r="B32" s="40" t="s">
        <v>96</v>
      </c>
      <c r="C32" s="34" t="s">
        <v>83</v>
      </c>
      <c r="D32" s="34">
        <v>5</v>
      </c>
      <c r="E32" s="34">
        <v>8</v>
      </c>
      <c r="F32" s="34">
        <v>6360</v>
      </c>
      <c r="G32" s="34">
        <v>8729.33</v>
      </c>
      <c r="H32" s="35">
        <f t="shared" si="4"/>
      </c>
      <c r="I32" s="36">
        <f t="shared" si="1"/>
      </c>
      <c r="J32" s="36">
        <f t="shared" si="5"/>
      </c>
      <c r="K32" s="34">
        <v>2</v>
      </c>
      <c r="L32" s="37">
        <v>1101.6</v>
      </c>
      <c r="M32" s="38"/>
      <c r="N32" s="39"/>
      <c r="O32" s="33" t="s">
        <v>84</v>
      </c>
      <c r="P32" s="33">
        <v>10</v>
      </c>
    </row>
    <row r="33">
      <c r="A33" s="32" t="s">
        <v>102</v>
      </c>
      <c r="B33" s="40" t="s">
        <v>82</v>
      </c>
      <c r="C33" s="34" t="s">
        <v>86</v>
      </c>
      <c r="D33" s="34">
        <v>5</v>
      </c>
      <c r="E33" s="34">
        <v>12</v>
      </c>
      <c r="F33" s="34">
        <v>12431</v>
      </c>
      <c r="G33" s="41">
        <v>9627.28</v>
      </c>
      <c r="H33" s="35">
        <f t="shared" si="4"/>
      </c>
      <c r="I33" s="36">
        <f t="shared" si="1"/>
      </c>
      <c r="J33" s="36">
        <f t="shared" si="5"/>
      </c>
      <c r="K33" s="34">
        <v>1</v>
      </c>
      <c r="L33" s="37">
        <v>382.8</v>
      </c>
      <c r="M33" s="42" t="s">
        <v>87</v>
      </c>
      <c r="N33" s="39">
        <v>10</v>
      </c>
      <c r="O33" s="43"/>
      <c r="P33" s="39"/>
    </row>
    <row r="34">
      <c r="A34" s="32" t="s">
        <v>102</v>
      </c>
      <c r="B34" s="40" t="s">
        <v>85</v>
      </c>
      <c r="C34" s="34" t="s">
        <v>89</v>
      </c>
      <c r="D34" s="34">
        <v>5</v>
      </c>
      <c r="E34" s="34">
        <v>11</v>
      </c>
      <c r="F34" s="34">
        <v>21290.4</v>
      </c>
      <c r="G34" s="34">
        <v>10349.66</v>
      </c>
      <c r="H34" s="35">
        <f t="shared" si="4"/>
      </c>
      <c r="I34" s="36">
        <f t="shared" si="1"/>
      </c>
      <c r="J34" s="36">
        <f t="shared" si="5"/>
      </c>
      <c r="K34" s="34">
        <v>1</v>
      </c>
      <c r="L34" s="37">
        <v>2011.2</v>
      </c>
      <c r="M34" s="42"/>
      <c r="N34" s="39"/>
      <c r="O34" s="43"/>
      <c r="P34" s="39"/>
    </row>
    <row r="35">
      <c r="A35" s="32" t="s">
        <v>102</v>
      </c>
      <c r="B35" s="40" t="s">
        <v>90</v>
      </c>
      <c r="C35" s="34" t="s">
        <v>91</v>
      </c>
      <c r="D35" s="34">
        <v>5</v>
      </c>
      <c r="E35" s="34">
        <v>7</v>
      </c>
      <c r="F35" s="34">
        <v>9345.6</v>
      </c>
      <c r="G35" s="34">
        <v>8949.03</v>
      </c>
      <c r="H35" s="35">
        <f t="shared" si="4"/>
      </c>
      <c r="I35" s="36">
        <f t="shared" si="1"/>
      </c>
      <c r="J35" s="36">
        <f t="shared" si="5"/>
      </c>
      <c r="K35" s="34">
        <v>0</v>
      </c>
      <c r="L35" s="37">
        <v>0</v>
      </c>
      <c r="M35" s="42" t="s">
        <v>101</v>
      </c>
      <c r="N35" s="39">
        <v>10</v>
      </c>
      <c r="O35" s="43" t="s">
        <v>93</v>
      </c>
      <c r="P35" s="33">
        <v>10</v>
      </c>
    </row>
    <row r="36">
      <c r="A36" s="44" t="s">
        <v>102</v>
      </c>
      <c r="B36" s="45"/>
      <c r="C36" s="45"/>
      <c r="D36" s="46">
        <f>SUM(D32:D35)</f>
      </c>
      <c r="E36" s="46">
        <f>SUM(E32:E35)</f>
      </c>
      <c r="F36" s="47">
        <f>SUM(F32:F35)</f>
      </c>
      <c r="G36" s="46">
        <f>SUM(G32:G35)</f>
      </c>
      <c r="H36" s="48">
        <f t="shared" si="4"/>
      </c>
      <c r="I36" s="48">
        <f t="shared" si="1"/>
      </c>
      <c r="J36" s="48">
        <f t="shared" si="5"/>
      </c>
      <c r="K36" s="46">
        <f>SUM(K32:K35)</f>
      </c>
      <c r="L36" s="49">
        <f>SUM(L32:L35)</f>
      </c>
      <c r="M36" s="50"/>
      <c r="N36" s="51">
        <f>SUM(N32:N35)</f>
      </c>
      <c r="O36" s="52"/>
      <c r="P36" s="51">
        <f>SUM(P32:P35)</f>
      </c>
    </row>
    <row r="37">
      <c r="A37" s="32" t="s">
        <v>103</v>
      </c>
      <c r="B37" s="40" t="s">
        <v>96</v>
      </c>
      <c r="C37" s="34" t="s">
        <v>104</v>
      </c>
      <c r="D37" s="34">
        <v>4</v>
      </c>
      <c r="E37" s="34">
        <v>7</v>
      </c>
      <c r="F37" s="34">
        <v>9543.6</v>
      </c>
      <c r="G37" s="35">
        <v>6827.4400000000005</v>
      </c>
      <c r="H37" s="35">
        <f t="shared" si="4"/>
      </c>
      <c r="I37" s="36">
        <f t="shared" si="1"/>
      </c>
      <c r="J37" s="36">
        <f t="shared" si="5"/>
      </c>
      <c r="K37" s="34">
        <v>4</v>
      </c>
      <c r="L37" s="37">
        <v>5036.4</v>
      </c>
      <c r="M37" s="38"/>
      <c r="N37" s="39"/>
      <c r="O37" s="33" t="s">
        <v>84</v>
      </c>
      <c r="P37" s="33">
        <v>10</v>
      </c>
    </row>
    <row r="38">
      <c r="A38" s="32" t="s">
        <v>103</v>
      </c>
      <c r="B38" s="40" t="s">
        <v>85</v>
      </c>
      <c r="C38" s="34" t="s">
        <v>105</v>
      </c>
      <c r="D38" s="34">
        <v>4</v>
      </c>
      <c r="E38" s="34">
        <v>2</v>
      </c>
      <c r="F38" s="34">
        <v>3674.3999999999996</v>
      </c>
      <c r="G38" s="41">
        <v>7592.16</v>
      </c>
      <c r="H38" s="35">
        <f t="shared" si="4"/>
      </c>
      <c r="I38" s="36">
        <f t="shared" si="1"/>
      </c>
      <c r="J38" s="36">
        <f t="shared" si="5"/>
      </c>
      <c r="K38" s="34">
        <v>0</v>
      </c>
      <c r="L38" s="37">
        <v>0</v>
      </c>
      <c r="M38" s="42" t="s">
        <v>87</v>
      </c>
      <c r="N38" s="39">
        <v>10</v>
      </c>
      <c r="O38" s="43"/>
      <c r="P38" s="39"/>
    </row>
    <row r="39">
      <c r="A39" s="32" t="s">
        <v>103</v>
      </c>
      <c r="B39" s="40" t="s">
        <v>90</v>
      </c>
      <c r="C39" s="34" t="s">
        <v>106</v>
      </c>
      <c r="D39" s="34">
        <v>4</v>
      </c>
      <c r="E39" s="34">
        <v>5</v>
      </c>
      <c r="F39" s="34">
        <v>4944.72</v>
      </c>
      <c r="G39" s="34">
        <v>3125.65</v>
      </c>
      <c r="H39" s="35">
        <f t="shared" si="4"/>
      </c>
      <c r="I39" s="36">
        <f t="shared" si="1"/>
      </c>
      <c r="J39" s="36">
        <f t="shared" si="5"/>
      </c>
      <c r="K39" s="34">
        <v>1</v>
      </c>
      <c r="L39" s="37">
        <v>1692</v>
      </c>
      <c r="M39" s="42"/>
      <c r="N39" s="39"/>
      <c r="O39" s="43"/>
      <c r="P39" s="39"/>
    </row>
    <row r="40">
      <c r="A40" s="32" t="s">
        <v>103</v>
      </c>
      <c r="B40" s="40" t="s">
        <v>107</v>
      </c>
      <c r="C40" s="34" t="s">
        <v>108</v>
      </c>
      <c r="D40" s="34">
        <v>4</v>
      </c>
      <c r="E40" s="34">
        <v>2</v>
      </c>
      <c r="F40" s="34">
        <v>2059.2</v>
      </c>
      <c r="G40" s="34">
        <v>3216.98</v>
      </c>
      <c r="H40" s="35">
        <f t="shared" si="4"/>
      </c>
      <c r="I40" s="36">
        <f t="shared" si="1"/>
      </c>
      <c r="J40" s="36">
        <f t="shared" si="5"/>
      </c>
      <c r="K40" s="34">
        <v>0</v>
      </c>
      <c r="L40" s="37">
        <v>0</v>
      </c>
      <c r="M40" s="42" t="s">
        <v>101</v>
      </c>
      <c r="N40" s="39">
        <v>10</v>
      </c>
      <c r="O40" s="43" t="s">
        <v>93</v>
      </c>
      <c r="P40" s="33">
        <v>10</v>
      </c>
    </row>
    <row customHeight="true" ht="16.071428571428573" r="41">
      <c r="A41" s="32" t="s">
        <v>103</v>
      </c>
      <c r="B41" s="40" t="s">
        <v>88</v>
      </c>
      <c r="C41" s="34" t="s">
        <v>109</v>
      </c>
      <c r="D41" s="34">
        <v>4</v>
      </c>
      <c r="E41" s="34">
        <v>2</v>
      </c>
      <c r="F41" s="34">
        <v>1764</v>
      </c>
      <c r="G41" s="34">
        <v>2879.97</v>
      </c>
      <c r="H41" s="35">
        <f t="shared" si="4"/>
      </c>
      <c r="I41" s="36">
        <f t="shared" si="1"/>
      </c>
      <c r="J41" s="36">
        <f t="shared" si="5"/>
      </c>
      <c r="K41" s="34">
        <v>0</v>
      </c>
      <c r="L41" s="37">
        <v>0</v>
      </c>
      <c r="M41" s="42"/>
      <c r="N41" s="39"/>
      <c r="O41" s="43"/>
      <c r="P41" s="33"/>
    </row>
    <row r="42">
      <c r="A42" s="44" t="s">
        <v>103</v>
      </c>
      <c r="B42" s="45"/>
      <c r="C42" s="45"/>
      <c r="D42" s="46">
        <f>SUM(D37:D40)</f>
      </c>
      <c r="E42" s="46">
        <f>SUM(E37:E40)</f>
      </c>
      <c r="F42" s="47">
        <f>SUM(F37:F40)</f>
      </c>
      <c r="G42" s="46">
        <f>SUM(G37:G41)</f>
      </c>
      <c r="H42" s="48">
        <f t="shared" si="4"/>
      </c>
      <c r="I42" s="48">
        <f t="shared" si="1"/>
      </c>
      <c r="J42" s="48">
        <f t="shared" si="5"/>
      </c>
      <c r="K42" s="46">
        <f>SUM(K37:K40)</f>
      </c>
      <c r="L42" s="49">
        <f>SUM(L37:L40)</f>
      </c>
      <c r="M42" s="50"/>
      <c r="N42" s="46">
        <f>SUM(N37:N41)</f>
      </c>
      <c r="O42" s="52"/>
      <c r="P42" s="46">
        <f>SUM(P37:P41)</f>
      </c>
    </row>
    <row r="43">
      <c r="A43" s="32" t="s">
        <v>110</v>
      </c>
      <c r="B43" s="40" t="s">
        <v>85</v>
      </c>
      <c r="C43" s="34" t="s">
        <v>104</v>
      </c>
      <c r="D43" s="34">
        <v>4</v>
      </c>
      <c r="E43" s="34">
        <v>3</v>
      </c>
      <c r="F43" s="34">
        <v>2754</v>
      </c>
      <c r="G43" s="35">
        <v>4825.93</v>
      </c>
      <c r="H43" s="35">
        <f t="shared" si="4"/>
      </c>
      <c r="I43" s="36">
        <f t="shared" si="1"/>
      </c>
      <c r="J43" s="36">
        <f t="shared" si="5"/>
      </c>
      <c r="K43" s="34">
        <v>2</v>
      </c>
      <c r="L43" s="37">
        <v>2371.2</v>
      </c>
      <c r="M43" s="38"/>
      <c r="N43" s="39"/>
      <c r="O43" s="33" t="s">
        <v>84</v>
      </c>
      <c r="P43" s="33">
        <v>10</v>
      </c>
    </row>
    <row r="44">
      <c r="A44" s="32" t="s">
        <v>110</v>
      </c>
      <c r="B44" s="40" t="s">
        <v>90</v>
      </c>
      <c r="C44" s="34" t="s">
        <v>105</v>
      </c>
      <c r="D44" s="34">
        <v>4</v>
      </c>
      <c r="E44" s="34">
        <v>0</v>
      </c>
      <c r="F44" s="34">
        <v>0</v>
      </c>
      <c r="G44" s="41">
        <v>2941.14</v>
      </c>
      <c r="H44" s="35">
        <f t="shared" si="4"/>
      </c>
      <c r="I44" s="36">
        <f t="shared" si="1"/>
      </c>
      <c r="J44" s="36">
        <f t="shared" si="5"/>
      </c>
      <c r="K44" s="34">
        <v>0</v>
      </c>
      <c r="L44" s="37">
        <v>0</v>
      </c>
      <c r="M44" s="42" t="s">
        <v>87</v>
      </c>
      <c r="N44" s="39">
        <v>10</v>
      </c>
      <c r="O44" s="43"/>
      <c r="P44" s="39"/>
    </row>
    <row r="45">
      <c r="A45" s="32" t="s">
        <v>110</v>
      </c>
      <c r="B45" s="40" t="s">
        <v>107</v>
      </c>
      <c r="C45" s="34" t="s">
        <v>106</v>
      </c>
      <c r="D45" s="34">
        <v>4</v>
      </c>
      <c r="E45" s="34">
        <v>7</v>
      </c>
      <c r="F45" s="34">
        <v>5152.8</v>
      </c>
      <c r="G45" s="34">
        <v>2467.13</v>
      </c>
      <c r="H45" s="35">
        <f t="shared" si="4"/>
      </c>
      <c r="I45" s="36">
        <f t="shared" si="1"/>
      </c>
      <c r="J45" s="36">
        <f t="shared" si="5"/>
      </c>
      <c r="K45" s="34">
        <v>2</v>
      </c>
      <c r="L45" s="37">
        <v>1430.4</v>
      </c>
      <c r="M45" s="42"/>
      <c r="N45" s="39"/>
      <c r="O45" s="43"/>
      <c r="P45" s="39"/>
    </row>
    <row r="46">
      <c r="A46" s="32" t="s">
        <v>110</v>
      </c>
      <c r="B46" s="40" t="s">
        <v>88</v>
      </c>
      <c r="C46" s="34" t="s">
        <v>108</v>
      </c>
      <c r="D46" s="34">
        <v>4</v>
      </c>
      <c r="E46" s="34">
        <v>5</v>
      </c>
      <c r="F46" s="34">
        <v>7119.6</v>
      </c>
      <c r="G46" s="34">
        <v>3138.02</v>
      </c>
      <c r="H46" s="35">
        <f t="shared" si="4"/>
      </c>
      <c r="I46" s="36">
        <f t="shared" si="1"/>
      </c>
      <c r="J46" s="36">
        <f t="shared" si="5"/>
      </c>
      <c r="K46" s="34">
        <v>1</v>
      </c>
      <c r="L46" s="37">
        <v>517.2</v>
      </c>
      <c r="M46" s="42" t="s">
        <v>101</v>
      </c>
      <c r="N46" s="39">
        <v>10</v>
      </c>
      <c r="O46" s="43" t="s">
        <v>93</v>
      </c>
      <c r="P46" s="33">
        <v>10</v>
      </c>
    </row>
    <row r="47">
      <c r="A47" s="32" t="s">
        <v>110</v>
      </c>
      <c r="B47" s="40" t="s">
        <v>96</v>
      </c>
      <c r="C47" s="34" t="s">
        <v>109</v>
      </c>
      <c r="D47" s="34">
        <v>4</v>
      </c>
      <c r="E47" s="34">
        <v>4</v>
      </c>
      <c r="F47" s="34">
        <v>4028.4</v>
      </c>
      <c r="G47" s="34">
        <v>5028.87</v>
      </c>
      <c r="H47" s="35">
        <f t="shared" si="4"/>
      </c>
      <c r="I47" s="36">
        <f t="shared" si="1"/>
      </c>
      <c r="J47" s="36">
        <f t="shared" si="5"/>
      </c>
      <c r="K47" s="34">
        <v>0</v>
      </c>
      <c r="L47" s="37">
        <v>0</v>
      </c>
      <c r="M47" s="42"/>
      <c r="N47" s="39"/>
      <c r="O47" s="43"/>
      <c r="P47" s="33"/>
    </row>
    <row r="48">
      <c r="A48" s="44" t="s">
        <v>110</v>
      </c>
      <c r="B48" s="45"/>
      <c r="C48" s="45"/>
      <c r="D48" s="46">
        <f>SUM(D43:D46)</f>
      </c>
      <c r="E48" s="46">
        <f>SUM(E43:E46)</f>
      </c>
      <c r="F48" s="47">
        <f>SUM(F43:F46)</f>
      </c>
      <c r="G48" s="46">
        <f>SUM(G43:G47)</f>
      </c>
      <c r="H48" s="48">
        <f t="shared" si="4"/>
      </c>
      <c r="I48" s="48">
        <f t="shared" si="1"/>
      </c>
      <c r="J48" s="48">
        <f t="shared" si="5"/>
      </c>
      <c r="K48" s="46">
        <f>SUM(K43:K46)</f>
      </c>
      <c r="L48" s="49">
        <f>SUM(L43:L46)</f>
      </c>
      <c r="M48" s="50"/>
      <c r="N48" s="46">
        <f>SUM(N43:N47)</f>
      </c>
      <c r="O48" s="52"/>
      <c r="P48" s="46">
        <f>SUM(P43:P47)</f>
      </c>
    </row>
    <row r="49">
      <c r="A49" s="32" t="s">
        <v>111</v>
      </c>
      <c r="B49" s="40" t="s">
        <v>90</v>
      </c>
      <c r="C49" s="34" t="s">
        <v>104</v>
      </c>
      <c r="D49" s="34">
        <v>4</v>
      </c>
      <c r="E49" s="34">
        <v>3</v>
      </c>
      <c r="F49" s="34">
        <v>5472</v>
      </c>
      <c r="G49" s="35">
        <v>4017.5</v>
      </c>
      <c r="H49" s="35">
        <f t="shared" si="4"/>
      </c>
      <c r="I49" s="36">
        <f t="shared" si="1"/>
      </c>
      <c r="J49" s="36">
        <f t="shared" si="5"/>
      </c>
      <c r="K49" s="34">
        <v>1</v>
      </c>
      <c r="L49" s="37">
        <v>1692</v>
      </c>
      <c r="M49" s="38"/>
      <c r="N49" s="39"/>
      <c r="O49" s="33" t="s">
        <v>84</v>
      </c>
      <c r="P49" s="33">
        <v>10</v>
      </c>
    </row>
    <row r="50">
      <c r="A50" s="32" t="s">
        <v>111</v>
      </c>
      <c r="B50" s="40" t="s">
        <v>107</v>
      </c>
      <c r="C50" s="34" t="s">
        <v>105</v>
      </c>
      <c r="D50" s="34">
        <v>4</v>
      </c>
      <c r="E50" s="34">
        <v>3</v>
      </c>
      <c r="F50" s="34">
        <v>3054</v>
      </c>
      <c r="G50" s="41">
        <v>3131.7700000000004</v>
      </c>
      <c r="H50" s="35">
        <f t="shared" si="4"/>
      </c>
      <c r="I50" s="36">
        <f t="shared" si="1"/>
      </c>
      <c r="J50" s="36">
        <f t="shared" si="5"/>
      </c>
      <c r="K50" s="34">
        <v>2</v>
      </c>
      <c r="L50" s="37">
        <v>966</v>
      </c>
      <c r="M50" s="42" t="s">
        <v>87</v>
      </c>
      <c r="N50" s="39">
        <v>10</v>
      </c>
      <c r="O50" s="43"/>
      <c r="P50" s="39"/>
    </row>
    <row r="51">
      <c r="A51" s="32" t="s">
        <v>111</v>
      </c>
      <c r="B51" s="40" t="s">
        <v>88</v>
      </c>
      <c r="C51" s="34" t="s">
        <v>106</v>
      </c>
      <c r="D51" s="34">
        <v>4</v>
      </c>
      <c r="E51" s="34">
        <v>3</v>
      </c>
      <c r="F51" s="34">
        <v>4176</v>
      </c>
      <c r="G51" s="34">
        <v>3722.39</v>
      </c>
      <c r="H51" s="35">
        <f t="shared" si="4"/>
      </c>
      <c r="I51" s="36">
        <f t="shared" si="1"/>
      </c>
      <c r="J51" s="36">
        <f t="shared" si="5"/>
      </c>
      <c r="K51" s="34">
        <v>1</v>
      </c>
      <c r="L51" s="37">
        <v>396</v>
      </c>
      <c r="M51" s="42"/>
      <c r="N51" s="39"/>
      <c r="O51" s="43"/>
      <c r="P51" s="39"/>
    </row>
    <row r="52">
      <c r="A52" s="32" t="s">
        <v>111</v>
      </c>
      <c r="B52" s="40" t="s">
        <v>96</v>
      </c>
      <c r="C52" s="34" t="s">
        <v>108</v>
      </c>
      <c r="D52" s="34">
        <v>4</v>
      </c>
      <c r="E52" s="34">
        <v>2</v>
      </c>
      <c r="F52" s="34">
        <v>2064</v>
      </c>
      <c r="G52" s="34">
        <v>2291.3500000000004</v>
      </c>
      <c r="H52" s="35">
        <f t="shared" si="4"/>
      </c>
      <c r="I52" s="36">
        <f t="shared" si="1"/>
      </c>
      <c r="J52" s="36">
        <f t="shared" si="5"/>
      </c>
      <c r="K52" s="34">
        <v>1</v>
      </c>
      <c r="L52" s="37">
        <v>1692</v>
      </c>
      <c r="M52" s="42" t="s">
        <v>92</v>
      </c>
      <c r="N52" s="39">
        <v>10</v>
      </c>
      <c r="O52" s="43" t="s">
        <v>93</v>
      </c>
      <c r="P52" s="33">
        <v>10</v>
      </c>
    </row>
    <row r="53">
      <c r="A53" s="32" t="s">
        <v>111</v>
      </c>
      <c r="B53" s="40" t="s">
        <v>82</v>
      </c>
      <c r="C53" s="34" t="s">
        <v>109</v>
      </c>
      <c r="D53" s="34">
        <v>4</v>
      </c>
      <c r="E53" s="34">
        <v>7</v>
      </c>
      <c r="F53" s="34">
        <v>8742.599999999999</v>
      </c>
      <c r="G53" s="34">
        <v>5011.3</v>
      </c>
      <c r="H53" s="35">
        <f t="shared" si="4"/>
      </c>
      <c r="I53" s="36">
        <f t="shared" si="1"/>
      </c>
      <c r="J53" s="36">
        <f t="shared" si="5"/>
      </c>
      <c r="K53" s="34">
        <v>3</v>
      </c>
      <c r="L53" s="37">
        <v>3126</v>
      </c>
      <c r="M53" s="42"/>
      <c r="N53" s="39"/>
      <c r="O53" s="43"/>
      <c r="P53" s="33"/>
    </row>
    <row r="54">
      <c r="A54" s="44" t="s">
        <v>111</v>
      </c>
      <c r="B54" s="45"/>
      <c r="C54" s="45"/>
      <c r="D54" s="46">
        <f>SUM(D49:D52)</f>
      </c>
      <c r="E54" s="46">
        <f>SUM(E49:E53)</f>
      </c>
      <c r="F54" s="46">
        <f>SUM(F49:F53)</f>
      </c>
      <c r="G54" s="46">
        <f>SUM(G49:G53)</f>
      </c>
      <c r="H54" s="48">
        <f t="shared" si="4"/>
      </c>
      <c r="I54" s="48">
        <f t="shared" si="1"/>
      </c>
      <c r="J54" s="48">
        <f t="shared" si="5"/>
      </c>
      <c r="K54" s="46">
        <f>SUM(K49:K53)</f>
      </c>
      <c r="L54" s="46">
        <f>SUM(L49:L53)</f>
      </c>
      <c r="M54" s="50"/>
      <c r="N54" s="46">
        <f>SUM(N49:N53)</f>
      </c>
      <c r="O54" s="52"/>
      <c r="P54" s="46">
        <f>SUM(P49:P53)</f>
      </c>
    </row>
    <row r="55">
      <c r="A55" s="32" t="s">
        <v>112</v>
      </c>
      <c r="B55" s="40" t="s">
        <v>82</v>
      </c>
      <c r="C55" s="34" t="s">
        <v>86</v>
      </c>
      <c r="D55" s="34">
        <v>5</v>
      </c>
      <c r="E55" s="34">
        <v>9</v>
      </c>
      <c r="F55" s="34">
        <v>9558.5</v>
      </c>
      <c r="G55" s="34">
        <v>6497.96</v>
      </c>
      <c r="H55" s="35">
        <f t="shared" si="4"/>
      </c>
      <c r="I55" s="36">
        <f t="shared" si="1"/>
      </c>
      <c r="J55" s="36">
        <f t="shared" si="5"/>
      </c>
      <c r="K55" s="34">
        <v>2</v>
      </c>
      <c r="L55" s="37">
        <v>2262</v>
      </c>
      <c r="M55" s="42" t="s">
        <v>113</v>
      </c>
      <c r="N55" s="39">
        <v>5</v>
      </c>
      <c r="O55" s="43" t="s">
        <v>84</v>
      </c>
      <c r="P55" s="39">
        <v>5</v>
      </c>
    </row>
    <row r="56">
      <c r="A56" s="32" t="s">
        <v>112</v>
      </c>
      <c r="B56" s="40" t="s">
        <v>88</v>
      </c>
      <c r="C56" s="34" t="s">
        <v>89</v>
      </c>
      <c r="D56" s="34">
        <v>5</v>
      </c>
      <c r="E56" s="34">
        <v>2</v>
      </c>
      <c r="F56" s="34">
        <v>4022.3999999999996</v>
      </c>
      <c r="G56" s="34">
        <v>4297.630000000001</v>
      </c>
      <c r="H56" s="35">
        <f t="shared" si="4"/>
      </c>
      <c r="I56" s="36">
        <f t="shared" si="1"/>
      </c>
      <c r="J56" s="36">
        <f t="shared" si="5"/>
      </c>
      <c r="K56" s="34">
        <v>0</v>
      </c>
      <c r="L56" s="37">
        <v>0</v>
      </c>
      <c r="M56" s="42" t="s">
        <v>114</v>
      </c>
      <c r="N56" s="39">
        <v>8</v>
      </c>
      <c r="O56" s="43"/>
      <c r="P56" s="39"/>
    </row>
    <row r="57">
      <c r="A57" s="32" t="s">
        <v>112</v>
      </c>
      <c r="B57" s="40" t="s">
        <v>96</v>
      </c>
      <c r="C57" s="34" t="s">
        <v>91</v>
      </c>
      <c r="D57" s="34">
        <v>5</v>
      </c>
      <c r="E57" s="34">
        <v>13</v>
      </c>
      <c r="F57" s="34">
        <v>18977.8</v>
      </c>
      <c r="G57" s="34">
        <v>9231.83</v>
      </c>
      <c r="H57" s="35">
        <f t="shared" si="4"/>
      </c>
      <c r="I57" s="36">
        <f t="shared" si="1"/>
      </c>
      <c r="J57" s="36">
        <f t="shared" si="5"/>
      </c>
      <c r="K57" s="34">
        <v>4</v>
      </c>
      <c r="L57" s="37">
        <v>4696.8</v>
      </c>
      <c r="M57" s="42" t="s">
        <v>115</v>
      </c>
      <c r="N57" s="39">
        <v>2</v>
      </c>
      <c r="O57" s="43" t="s">
        <v>93</v>
      </c>
      <c r="P57" s="33">
        <v>10</v>
      </c>
    </row>
    <row r="58">
      <c r="A58" s="44" t="s">
        <v>112</v>
      </c>
      <c r="B58" s="45"/>
      <c r="C58" s="45"/>
      <c r="D58" s="46">
        <f>SUM(D55:D57)</f>
      </c>
      <c r="E58" s="46">
        <f>SUM(E55:E57)</f>
      </c>
      <c r="F58" s="47">
        <f>SUM(F55:F57)</f>
      </c>
      <c r="G58" s="46">
        <f>SUM(G55:G57)</f>
      </c>
      <c r="H58" s="48">
        <f t="shared" si="4"/>
      </c>
      <c r="I58" s="48">
        <f t="shared" si="1"/>
      </c>
      <c r="J58" s="48">
        <f t="shared" si="5"/>
      </c>
      <c r="K58" s="46">
        <f>SUM(K55:K57)</f>
      </c>
      <c r="L58" s="49">
        <f>SUM(L55:L57)</f>
      </c>
      <c r="M58" s="50"/>
      <c r="N58" s="51">
        <f>SUM(N55:N57)</f>
      </c>
      <c r="O58" s="52"/>
      <c r="P58" s="51">
        <f>SUM(P55:P57)</f>
      </c>
    </row>
    <row r="59">
      <c r="A59" s="32" t="s">
        <v>116</v>
      </c>
      <c r="B59" s="40" t="s">
        <v>88</v>
      </c>
      <c r="C59" s="34" t="s">
        <v>83</v>
      </c>
      <c r="D59" s="34">
        <v>5</v>
      </c>
      <c r="E59" s="34">
        <v>1</v>
      </c>
      <c r="F59" s="34">
        <v>1692</v>
      </c>
      <c r="G59" s="34">
        <v>4341.6</v>
      </c>
      <c r="H59" s="35">
        <f t="shared" si="4"/>
      </c>
      <c r="I59" s="36">
        <f t="shared" si="1"/>
      </c>
      <c r="J59" s="36">
        <f t="shared" si="5"/>
      </c>
      <c r="K59" s="34">
        <v>0</v>
      </c>
      <c r="L59" s="37">
        <v>0</v>
      </c>
      <c r="M59" s="38"/>
      <c r="N59" s="39"/>
      <c r="O59" s="33" t="s">
        <v>84</v>
      </c>
      <c r="P59" s="33">
        <v>10</v>
      </c>
    </row>
    <row r="60">
      <c r="A60" s="32" t="s">
        <v>116</v>
      </c>
      <c r="B60" s="40" t="s">
        <v>85</v>
      </c>
      <c r="C60" s="34" t="s">
        <v>86</v>
      </c>
      <c r="D60" s="34">
        <v>5</v>
      </c>
      <c r="E60" s="34">
        <v>3</v>
      </c>
      <c r="F60" s="34">
        <v>3003.6000000000004</v>
      </c>
      <c r="G60" s="41">
        <v>2129.88</v>
      </c>
      <c r="H60" s="35">
        <f t="shared" si="4"/>
      </c>
      <c r="I60" s="36">
        <f t="shared" si="1"/>
      </c>
      <c r="J60" s="36">
        <f t="shared" si="5"/>
      </c>
      <c r="K60" s="34">
        <v>1</v>
      </c>
      <c r="L60" s="37">
        <v>691.2</v>
      </c>
      <c r="M60" s="42" t="s">
        <v>87</v>
      </c>
      <c r="N60" s="39">
        <v>10</v>
      </c>
      <c r="O60" s="43"/>
      <c r="P60" s="39"/>
    </row>
    <row r="61">
      <c r="A61" s="32" t="s">
        <v>116</v>
      </c>
      <c r="B61" s="40" t="s">
        <v>117</v>
      </c>
      <c r="C61" s="34" t="s">
        <v>89</v>
      </c>
      <c r="D61" s="34">
        <v>5</v>
      </c>
      <c r="E61" s="34">
        <v>3</v>
      </c>
      <c r="F61" s="34">
        <v>3098.3999999999996</v>
      </c>
      <c r="G61" s="34">
        <v>2376.24</v>
      </c>
      <c r="H61" s="35">
        <f t="shared" si="4"/>
      </c>
      <c r="I61" s="36">
        <f t="shared" si="1"/>
      </c>
      <c r="J61" s="36">
        <f t="shared" si="5"/>
      </c>
      <c r="K61" s="34">
        <v>1</v>
      </c>
      <c r="L61" s="37">
        <v>691.2</v>
      </c>
      <c r="M61" s="42"/>
      <c r="N61" s="39"/>
      <c r="O61" s="43"/>
      <c r="P61" s="39"/>
    </row>
    <row r="62">
      <c r="A62" s="32" t="s">
        <v>116</v>
      </c>
      <c r="B62" s="40" t="s">
        <v>90</v>
      </c>
      <c r="C62" s="34" t="s">
        <v>91</v>
      </c>
      <c r="D62" s="34">
        <v>5</v>
      </c>
      <c r="E62" s="34">
        <v>5</v>
      </c>
      <c r="F62" s="34">
        <v>7020</v>
      </c>
      <c r="G62" s="34">
        <v>7529.8</v>
      </c>
      <c r="H62" s="35">
        <f t="shared" si="4"/>
      </c>
      <c r="I62" s="36">
        <f t="shared" si="1"/>
      </c>
      <c r="J62" s="36">
        <f t="shared" si="5"/>
      </c>
      <c r="K62" s="34">
        <v>2</v>
      </c>
      <c r="L62" s="37">
        <v>2851.2</v>
      </c>
      <c r="M62" s="42" t="s">
        <v>92</v>
      </c>
      <c r="N62" s="39">
        <v>10</v>
      </c>
      <c r="O62" s="43" t="s">
        <v>93</v>
      </c>
      <c r="P62" s="33">
        <v>10</v>
      </c>
    </row>
    <row r="63">
      <c r="A63" s="44" t="s">
        <v>116</v>
      </c>
      <c r="B63" s="45"/>
      <c r="C63" s="45"/>
      <c r="D63" s="46">
        <f>SUM(D59:D62)</f>
      </c>
      <c r="E63" s="46">
        <f>SUM(E59:E62)</f>
      </c>
      <c r="F63" s="47">
        <f>SUM(F59:F62)</f>
      </c>
      <c r="G63" s="46">
        <f>SUM(G59:G62)</f>
      </c>
      <c r="H63" s="48">
        <f t="shared" si="4"/>
      </c>
      <c r="I63" s="48">
        <f t="shared" si="1"/>
      </c>
      <c r="J63" s="48">
        <f t="shared" si="5"/>
      </c>
      <c r="K63" s="46">
        <f>SUM(K59:K62)</f>
      </c>
      <c r="L63" s="49">
        <f>SUM(L59:L62)</f>
      </c>
      <c r="M63" s="50"/>
      <c r="N63" s="51">
        <f>SUM(N59:N62)</f>
      </c>
      <c r="O63" s="52"/>
      <c r="P63" s="51">
        <f>SUM(P59:P62)</f>
      </c>
    </row>
    <row r="64">
      <c r="A64" s="32" t="s">
        <v>118</v>
      </c>
      <c r="B64" s="40" t="s">
        <v>88</v>
      </c>
      <c r="C64" s="34" t="s">
        <v>104</v>
      </c>
      <c r="D64" s="34">
        <v>4</v>
      </c>
      <c r="E64" s="34">
        <v>5</v>
      </c>
      <c r="F64" s="34">
        <v>9686.4</v>
      </c>
      <c r="G64" s="35">
        <v>4937.15</v>
      </c>
      <c r="H64" s="35">
        <f t="shared" si="4"/>
      </c>
      <c r="I64" s="36">
        <f t="shared" si="1"/>
      </c>
      <c r="J64" s="36">
        <f t="shared" si="5"/>
      </c>
      <c r="K64" s="34">
        <v>2</v>
      </c>
      <c r="L64" s="37">
        <v>4099.2</v>
      </c>
      <c r="M64" s="38"/>
      <c r="N64" s="39"/>
      <c r="O64" s="33" t="s">
        <v>84</v>
      </c>
      <c r="P64" s="33">
        <v>10</v>
      </c>
    </row>
    <row r="65">
      <c r="A65" s="32" t="s">
        <v>118</v>
      </c>
      <c r="B65" s="40" t="s">
        <v>85</v>
      </c>
      <c r="C65" s="34" t="s">
        <v>105</v>
      </c>
      <c r="D65" s="34">
        <v>4</v>
      </c>
      <c r="E65" s="34">
        <v>2</v>
      </c>
      <c r="F65" s="34">
        <v>4022.3999999999996</v>
      </c>
      <c r="G65" s="41">
        <v>4130.1900000000005</v>
      </c>
      <c r="H65" s="35">
        <f t="shared" si="4"/>
      </c>
      <c r="I65" s="36">
        <f t="shared" si="1"/>
      </c>
      <c r="J65" s="36">
        <f t="shared" si="5"/>
      </c>
      <c r="K65" s="34">
        <v>0</v>
      </c>
      <c r="L65" s="37">
        <v>0</v>
      </c>
      <c r="M65" s="42" t="s">
        <v>87</v>
      </c>
      <c r="N65" s="39">
        <v>10</v>
      </c>
      <c r="O65" s="43"/>
      <c r="P65" s="39"/>
    </row>
    <row r="66">
      <c r="A66" s="32" t="s">
        <v>118</v>
      </c>
      <c r="B66" s="40" t="s">
        <v>117</v>
      </c>
      <c r="C66" s="34" t="s">
        <v>106</v>
      </c>
      <c r="D66" s="34">
        <v>4</v>
      </c>
      <c r="E66" s="34">
        <v>2</v>
      </c>
      <c r="F66" s="34">
        <v>2035.2000000000007</v>
      </c>
      <c r="G66" s="34">
        <v>2923.55</v>
      </c>
      <c r="H66" s="35">
        <f t="shared" si="4"/>
      </c>
      <c r="I66" s="36">
        <f t="shared" si="1"/>
      </c>
      <c r="J66" s="36">
        <f t="shared" si="5"/>
      </c>
      <c r="K66" s="34">
        <v>1</v>
      </c>
      <c r="L66" s="37">
        <v>691.1999999999998</v>
      </c>
      <c r="M66" s="42"/>
      <c r="N66" s="39"/>
      <c r="O66" s="43"/>
      <c r="P66" s="39"/>
    </row>
    <row r="67">
      <c r="A67" s="32" t="s">
        <v>118</v>
      </c>
      <c r="B67" s="40" t="s">
        <v>82</v>
      </c>
      <c r="C67" s="34" t="s">
        <v>108</v>
      </c>
      <c r="D67" s="34">
        <v>4</v>
      </c>
      <c r="E67" s="34">
        <v>2</v>
      </c>
      <c r="F67" s="34">
        <v>2283.5999999999985</v>
      </c>
      <c r="G67" s="34">
        <v>2233.94</v>
      </c>
      <c r="H67" s="35">
        <f t="shared" si="4"/>
      </c>
      <c r="I67" s="36">
        <f t="shared" si="1"/>
      </c>
      <c r="J67" s="36">
        <f t="shared" si="5"/>
      </c>
      <c r="K67" s="34">
        <v>0</v>
      </c>
      <c r="L67" s="37">
        <v>0</v>
      </c>
      <c r="M67" s="42" t="s">
        <v>92</v>
      </c>
      <c r="N67" s="39">
        <v>10</v>
      </c>
      <c r="O67" s="43" t="s">
        <v>93</v>
      </c>
      <c r="P67" s="33">
        <v>10</v>
      </c>
    </row>
    <row r="68">
      <c r="A68" s="32" t="s">
        <v>118</v>
      </c>
      <c r="B68" s="40" t="s">
        <v>90</v>
      </c>
      <c r="C68" s="34" t="s">
        <v>109</v>
      </c>
      <c r="D68" s="34">
        <v>4</v>
      </c>
      <c r="E68" s="34">
        <v>7</v>
      </c>
      <c r="F68" s="34">
        <v>11830.800000000003</v>
      </c>
      <c r="G68" s="34">
        <v>4511.57</v>
      </c>
      <c r="H68" s="35">
        <f t="shared" si="4"/>
      </c>
      <c r="I68" s="36">
        <f t="shared" si="1"/>
      </c>
      <c r="J68" s="36">
        <f t="shared" si="5"/>
      </c>
      <c r="K68" s="34">
        <v>2</v>
      </c>
      <c r="L68" s="37">
        <v>4070.4</v>
      </c>
      <c r="M68" s="42"/>
      <c r="N68" s="39"/>
      <c r="O68" s="43"/>
      <c r="P68" s="33"/>
    </row>
    <row r="69">
      <c r="A69" s="44" t="s">
        <v>118</v>
      </c>
      <c r="B69" s="45"/>
      <c r="C69" s="45"/>
      <c r="D69" s="46">
        <f>SUM(D64:D68)</f>
      </c>
      <c r="E69" s="46">
        <f>SUM(E64:E68)</f>
      </c>
      <c r="F69" s="46">
        <f>SUM(F64:F68)</f>
      </c>
      <c r="G69" s="46">
        <f>SUM(G64:G68)</f>
      </c>
      <c r="H69" s="48">
        <f t="shared" si="4"/>
      </c>
      <c r="I69" s="48">
        <f t="shared" si="1"/>
      </c>
      <c r="J69" s="48">
        <f t="shared" si="5"/>
      </c>
      <c r="K69" s="46">
        <f>SUM(K64:K68)</f>
      </c>
      <c r="L69" s="46">
        <f>SUM(L64:L68)</f>
      </c>
      <c r="M69" s="50"/>
      <c r="N69" s="46">
        <f>SUM(N64:N68)</f>
      </c>
      <c r="O69" s="52"/>
      <c r="P69" s="46">
        <f>SUM(P64:P68)</f>
      </c>
    </row>
    <row r="70">
      <c r="A70" s="32" t="s">
        <v>119</v>
      </c>
      <c r="B70" s="40" t="s">
        <v>117</v>
      </c>
      <c r="C70" s="34" t="s">
        <v>104</v>
      </c>
      <c r="D70" s="34">
        <v>4</v>
      </c>
      <c r="E70" s="34">
        <v>3</v>
      </c>
      <c r="F70" s="34">
        <v>3751.2</v>
      </c>
      <c r="G70" s="35">
        <v>5571.429999999999</v>
      </c>
      <c r="H70" s="35">
        <f t="shared" si="4"/>
      </c>
      <c r="I70" s="36">
        <f t="shared" si="1"/>
      </c>
      <c r="J70" s="36">
        <f t="shared" si="5"/>
      </c>
      <c r="K70" s="34">
        <v>2</v>
      </c>
      <c r="L70" s="37">
        <v>3036</v>
      </c>
      <c r="M70" s="38"/>
      <c r="N70" s="39"/>
      <c r="O70" s="33" t="s">
        <v>84</v>
      </c>
      <c r="P70" s="33">
        <v>10</v>
      </c>
    </row>
    <row r="71">
      <c r="A71" s="32" t="s">
        <v>119</v>
      </c>
      <c r="B71" s="40" t="s">
        <v>85</v>
      </c>
      <c r="C71" s="34" t="s">
        <v>105</v>
      </c>
      <c r="D71" s="34">
        <v>4</v>
      </c>
      <c r="E71" s="34">
        <v>3</v>
      </c>
      <c r="F71" s="34">
        <v>2977.2</v>
      </c>
      <c r="G71" s="41">
        <v>5907.19</v>
      </c>
      <c r="H71" s="35">
        <f t="shared" si="4"/>
      </c>
      <c r="I71" s="36">
        <f t="shared" si="1"/>
      </c>
      <c r="J71" s="36">
        <f t="shared" si="5"/>
      </c>
      <c r="K71" s="34">
        <v>2</v>
      </c>
      <c r="L71" s="37">
        <v>2262</v>
      </c>
      <c r="M71" s="42" t="s">
        <v>87</v>
      </c>
      <c r="N71" s="39">
        <v>10</v>
      </c>
      <c r="O71" s="43"/>
      <c r="P71" s="39"/>
    </row>
    <row r="72">
      <c r="A72" s="32" t="s">
        <v>119</v>
      </c>
      <c r="B72" s="40" t="s">
        <v>96</v>
      </c>
      <c r="C72" s="34" t="s">
        <v>106</v>
      </c>
      <c r="D72" s="34">
        <v>4</v>
      </c>
      <c r="E72" s="34">
        <v>4</v>
      </c>
      <c r="F72" s="34">
        <v>5428.800000000001</v>
      </c>
      <c r="G72" s="34">
        <v>3589.9599999999996</v>
      </c>
      <c r="H72" s="35">
        <f t="shared" si="4"/>
      </c>
      <c r="I72" s="36">
        <f t="shared" si="1"/>
      </c>
      <c r="J72" s="36">
        <f t="shared" si="5"/>
      </c>
      <c r="K72" s="34">
        <v>1</v>
      </c>
      <c r="L72" s="37">
        <v>1663.2</v>
      </c>
      <c r="M72" s="42"/>
      <c r="N72" s="39"/>
      <c r="O72" s="43"/>
      <c r="P72" s="39"/>
    </row>
    <row r="73">
      <c r="A73" s="32" t="s">
        <v>119</v>
      </c>
      <c r="B73" s="40" t="s">
        <v>82</v>
      </c>
      <c r="C73" s="34" t="s">
        <v>108</v>
      </c>
      <c r="D73" s="34">
        <v>4</v>
      </c>
      <c r="E73" s="34">
        <v>9</v>
      </c>
      <c r="F73" s="34">
        <v>9422.599999999999</v>
      </c>
      <c r="G73" s="34">
        <v>4974.710000000001</v>
      </c>
      <c r="H73" s="35">
        <f t="shared" si="4"/>
      </c>
      <c r="I73" s="36">
        <f t="shared" si="1"/>
      </c>
      <c r="J73" s="36">
        <f t="shared" si="5"/>
      </c>
      <c r="K73" s="34">
        <v>1</v>
      </c>
      <c r="L73" s="37">
        <v>1692</v>
      </c>
      <c r="M73" s="42" t="s">
        <v>92</v>
      </c>
      <c r="N73" s="39">
        <v>10</v>
      </c>
      <c r="O73" s="43" t="s">
        <v>93</v>
      </c>
      <c r="P73" s="33">
        <v>10</v>
      </c>
    </row>
    <row r="74">
      <c r="A74" s="32" t="s">
        <v>119</v>
      </c>
      <c r="B74" s="40" t="s">
        <v>90</v>
      </c>
      <c r="C74" s="34" t="s">
        <v>109</v>
      </c>
      <c r="D74" s="34">
        <v>4</v>
      </c>
      <c r="E74" s="34">
        <v>3</v>
      </c>
      <c r="F74" s="34">
        <v>3492</v>
      </c>
      <c r="G74" s="34">
        <v>8118.790000000001</v>
      </c>
      <c r="H74" s="35">
        <f t="shared" si="4"/>
      </c>
      <c r="I74" s="36">
        <f t="shared" si="1"/>
      </c>
      <c r="J74" s="36">
        <f t="shared" si="5"/>
      </c>
      <c r="K74" s="34">
        <v>0</v>
      </c>
      <c r="L74" s="37">
        <v>0</v>
      </c>
      <c r="M74" s="42"/>
      <c r="N74" s="39"/>
      <c r="O74" s="43"/>
      <c r="P74" s="33"/>
    </row>
    <row r="75">
      <c r="A75" s="44" t="s">
        <v>119</v>
      </c>
      <c r="B75" s="45"/>
      <c r="C75" s="45"/>
      <c r="D75" s="46">
        <f>SUM(D70:D74)</f>
      </c>
      <c r="E75" s="46">
        <f>SUM(E70:E74)</f>
      </c>
      <c r="F75" s="46">
        <f>SUM(F70:F74)</f>
      </c>
      <c r="G75" s="46">
        <f>SUM(G70:G74)</f>
      </c>
      <c r="H75" s="48">
        <f t="shared" si="4"/>
      </c>
      <c r="I75" s="48">
        <f t="shared" si="1"/>
      </c>
      <c r="J75" s="48">
        <f t="shared" si="5"/>
      </c>
      <c r="K75" s="46">
        <f>SUM(K70:K74)</f>
      </c>
      <c r="L75" s="46">
        <f>SUM(L70:L74)</f>
      </c>
      <c r="M75" s="50"/>
      <c r="N75" s="46">
        <f>SUM(N70:N74)</f>
      </c>
      <c r="O75" s="52"/>
      <c r="P75" s="46">
        <f>SUM(P70:P74)</f>
      </c>
    </row>
    <row r="76">
      <c r="A76" s="32" t="s">
        <v>120</v>
      </c>
      <c r="B76" s="40" t="s">
        <v>85</v>
      </c>
      <c r="C76" s="34" t="s">
        <v>104</v>
      </c>
      <c r="D76" s="34">
        <v>4</v>
      </c>
      <c r="E76" s="34">
        <v>16</v>
      </c>
      <c r="F76" s="34">
        <v>21844.4</v>
      </c>
      <c r="G76" s="35">
        <v>6910.32</v>
      </c>
      <c r="H76" s="35">
        <f t="shared" si="4"/>
      </c>
      <c r="I76" s="36">
        <f t="shared" si="1"/>
      </c>
      <c r="J76" s="36">
        <f t="shared" si="5"/>
      </c>
      <c r="K76" s="34">
        <v>2</v>
      </c>
      <c r="L76" s="37">
        <v>1339</v>
      </c>
      <c r="M76" s="38"/>
      <c r="N76" s="39"/>
      <c r="O76" s="33" t="s">
        <v>84</v>
      </c>
      <c r="P76" s="33">
        <v>10</v>
      </c>
    </row>
    <row r="77">
      <c r="A77" s="32" t="s">
        <v>120</v>
      </c>
      <c r="B77" s="40" t="s">
        <v>96</v>
      </c>
      <c r="C77" s="34" t="s">
        <v>105</v>
      </c>
      <c r="D77" s="34">
        <v>4</v>
      </c>
      <c r="E77" s="34">
        <v>12</v>
      </c>
      <c r="F77" s="34">
        <v>14288.199999999997</v>
      </c>
      <c r="G77" s="41">
        <v>12583.19</v>
      </c>
      <c r="H77" s="35">
        <f t="shared" si="4"/>
      </c>
      <c r="I77" s="36">
        <f t="shared" si="1"/>
      </c>
      <c r="J77" s="36">
        <f t="shared" si="5"/>
      </c>
      <c r="K77" s="34">
        <v>1</v>
      </c>
      <c r="L77" s="37">
        <v>691.2</v>
      </c>
      <c r="M77" s="42" t="s">
        <v>87</v>
      </c>
      <c r="N77" s="39">
        <v>10</v>
      </c>
      <c r="O77" s="43"/>
      <c r="P77" s="39"/>
    </row>
    <row r="78">
      <c r="A78" s="32" t="s">
        <v>120</v>
      </c>
      <c r="B78" s="40" t="s">
        <v>82</v>
      </c>
      <c r="C78" s="34" t="s">
        <v>106</v>
      </c>
      <c r="D78" s="34">
        <v>4</v>
      </c>
      <c r="E78" s="34">
        <v>23</v>
      </c>
      <c r="F78" s="34">
        <v>32302.500000000007</v>
      </c>
      <c r="G78" s="34">
        <v>17006.989999999998</v>
      </c>
      <c r="H78" s="35">
        <f t="shared" si="4"/>
      </c>
      <c r="I78" s="36">
        <f t="shared" si="1"/>
      </c>
      <c r="J78" s="36">
        <f t="shared" si="5"/>
      </c>
      <c r="K78" s="34">
        <v>4</v>
      </c>
      <c r="L78" s="37">
        <v>6873.599999999999</v>
      </c>
      <c r="M78" s="42"/>
      <c r="N78" s="39"/>
      <c r="O78" s="43"/>
      <c r="P78" s="39"/>
    </row>
    <row r="79">
      <c r="A79" s="32" t="s">
        <v>120</v>
      </c>
      <c r="B79" s="40" t="s">
        <v>90</v>
      </c>
      <c r="C79" s="34" t="s">
        <v>108</v>
      </c>
      <c r="D79" s="34">
        <v>4</v>
      </c>
      <c r="E79" s="34">
        <v>22</v>
      </c>
      <c r="F79" s="34">
        <v>27464</v>
      </c>
      <c r="G79" s="34">
        <v>18305.9</v>
      </c>
      <c r="H79" s="35">
        <f t="shared" si="4"/>
      </c>
      <c r="I79" s="36">
        <f t="shared" si="1"/>
      </c>
      <c r="J79" s="36">
        <f t="shared" si="5"/>
      </c>
      <c r="K79" s="34">
        <v>7</v>
      </c>
      <c r="L79" s="37">
        <v>7089.6</v>
      </c>
      <c r="M79" s="42" t="s">
        <v>92</v>
      </c>
      <c r="N79" s="39">
        <v>10</v>
      </c>
      <c r="O79" s="43" t="s">
        <v>93</v>
      </c>
      <c r="P79" s="33">
        <v>10</v>
      </c>
    </row>
    <row r="80">
      <c r="A80" s="32" t="s">
        <v>120</v>
      </c>
      <c r="B80" s="40" t="s">
        <v>88</v>
      </c>
      <c r="C80" s="34" t="s">
        <v>109</v>
      </c>
      <c r="D80" s="34">
        <v>4</v>
      </c>
      <c r="E80" s="34">
        <v>18</v>
      </c>
      <c r="F80" s="34">
        <v>16112.800000000003</v>
      </c>
      <c r="G80" s="34">
        <v>10782.23</v>
      </c>
      <c r="H80" s="35">
        <f t="shared" si="4"/>
      </c>
      <c r="I80" s="36">
        <f t="shared" si="1"/>
      </c>
      <c r="J80" s="36">
        <f t="shared" si="5"/>
      </c>
      <c r="K80" s="34">
        <v>1</v>
      </c>
      <c r="L80" s="37">
        <v>746.4</v>
      </c>
      <c r="M80" s="42"/>
      <c r="N80" s="39"/>
      <c r="O80" s="43"/>
      <c r="P80" s="33"/>
    </row>
    <row r="81">
      <c r="A81" s="44" t="s">
        <v>120</v>
      </c>
      <c r="B81" s="45"/>
      <c r="C81" s="45"/>
      <c r="D81" s="46">
        <f>SUM(D76:D80)</f>
      </c>
      <c r="E81" s="46">
        <f>SUM(E76:E80)</f>
      </c>
      <c r="F81" s="46">
        <f>SUM(F76:F80)</f>
      </c>
      <c r="G81" s="46">
        <f>SUM(G76:G80)</f>
      </c>
      <c r="H81" s="48">
        <f t="shared" si="4"/>
      </c>
      <c r="I81" s="48">
        <f t="shared" si="1"/>
      </c>
      <c r="J81" s="48">
        <f t="shared" si="5"/>
      </c>
      <c r="K81" s="46">
        <f>SUM(K76:K80)</f>
      </c>
      <c r="L81" s="46">
        <f>SUM(L76:L80)</f>
      </c>
      <c r="M81" s="50"/>
      <c r="N81" s="46">
        <f>SUM(N76:N80)</f>
      </c>
      <c r="O81" s="52"/>
      <c r="P81" s="46">
        <f>SUM(P76:P80)</f>
      </c>
    </row>
    <row r="82">
      <c r="A82" s="32" t="s">
        <v>121</v>
      </c>
      <c r="B82" s="40" t="s">
        <v>85</v>
      </c>
      <c r="C82" s="34" t="s">
        <v>104</v>
      </c>
      <c r="D82" s="34">
        <v>4</v>
      </c>
      <c r="E82" s="34">
        <v>17</v>
      </c>
      <c r="F82" s="34">
        <v>23913.6</v>
      </c>
      <c r="G82" s="35">
        <v>15052.47</v>
      </c>
      <c r="H82" s="35">
        <f t="shared" si="4"/>
      </c>
      <c r="I82" s="36">
        <f t="shared" si="1"/>
      </c>
      <c r="J82" s="36">
        <f t="shared" si="5"/>
      </c>
      <c r="K82" s="34">
        <v>4</v>
      </c>
      <c r="L82" s="37">
        <v>7106.4</v>
      </c>
      <c r="M82" s="38"/>
      <c r="N82" s="39"/>
      <c r="O82" s="33" t="s">
        <v>84</v>
      </c>
      <c r="P82" s="33">
        <v>10</v>
      </c>
    </row>
    <row r="83">
      <c r="A83" s="32" t="s">
        <v>121</v>
      </c>
      <c r="B83" s="40" t="s">
        <v>96</v>
      </c>
      <c r="C83" s="34" t="s">
        <v>105</v>
      </c>
      <c r="D83" s="34">
        <v>4</v>
      </c>
      <c r="E83" s="34">
        <v>18</v>
      </c>
      <c r="F83" s="34">
        <v>19683.6</v>
      </c>
      <c r="G83" s="41">
        <v>13980.470000000001</v>
      </c>
      <c r="H83" s="35">
        <f t="shared" si="4"/>
      </c>
      <c r="I83" s="36">
        <f t="shared" si="1"/>
      </c>
      <c r="J83" s="36">
        <f t="shared" si="5"/>
      </c>
      <c r="K83" s="34">
        <v>2</v>
      </c>
      <c r="L83" s="37">
        <v>2971</v>
      </c>
      <c r="M83" s="42" t="s">
        <v>87</v>
      </c>
      <c r="N83" s="39">
        <v>10</v>
      </c>
      <c r="O83" s="43"/>
      <c r="P83" s="39"/>
    </row>
    <row r="84">
      <c r="A84" s="32" t="s">
        <v>121</v>
      </c>
      <c r="B84" s="40" t="s">
        <v>82</v>
      </c>
      <c r="C84" s="34" t="s">
        <v>106</v>
      </c>
      <c r="D84" s="34">
        <v>4</v>
      </c>
      <c r="E84" s="34">
        <v>10</v>
      </c>
      <c r="F84" s="34">
        <v>10212</v>
      </c>
      <c r="G84" s="34">
        <v>12693.02</v>
      </c>
      <c r="H84" s="35">
        <f t="shared" si="4"/>
      </c>
      <c r="I84" s="36">
        <f t="shared" si="1"/>
      </c>
      <c r="J84" s="36">
        <f t="shared" si="5"/>
      </c>
      <c r="K84" s="34">
        <v>2</v>
      </c>
      <c r="L84" s="37">
        <v>816</v>
      </c>
      <c r="M84" s="42"/>
      <c r="N84" s="39"/>
      <c r="O84" s="43"/>
      <c r="P84" s="39"/>
    </row>
    <row r="85">
      <c r="A85" s="32" t="s">
        <v>121</v>
      </c>
      <c r="B85" s="40" t="s">
        <v>90</v>
      </c>
      <c r="C85" s="34" t="s">
        <v>108</v>
      </c>
      <c r="D85" s="34">
        <v>4</v>
      </c>
      <c r="E85" s="34">
        <v>17</v>
      </c>
      <c r="F85" s="34">
        <v>20229.199999999997</v>
      </c>
      <c r="G85" s="34">
        <v>13759.630000000001</v>
      </c>
      <c r="H85" s="35">
        <f t="shared" si="4"/>
      </c>
      <c r="I85" s="36">
        <f t="shared" si="1"/>
      </c>
      <c r="J85" s="36">
        <f t="shared" si="5"/>
      </c>
      <c r="K85" s="34">
        <v>5</v>
      </c>
      <c r="L85" s="37">
        <v>7286.2</v>
      </c>
      <c r="M85" s="42" t="s">
        <v>92</v>
      </c>
      <c r="N85" s="39">
        <v>10</v>
      </c>
      <c r="O85" s="43" t="s">
        <v>93</v>
      </c>
      <c r="P85" s="33">
        <v>10</v>
      </c>
    </row>
    <row r="86">
      <c r="A86" s="32" t="s">
        <v>121</v>
      </c>
      <c r="B86" s="40" t="s">
        <v>88</v>
      </c>
      <c r="C86" s="34" t="s">
        <v>109</v>
      </c>
      <c r="D86" s="34">
        <v>4</v>
      </c>
      <c r="E86" s="34">
        <v>10</v>
      </c>
      <c r="F86" s="34">
        <v>7882.600000000006</v>
      </c>
      <c r="G86" s="34">
        <v>9254.52</v>
      </c>
      <c r="H86" s="35">
        <f t="shared" si="4"/>
      </c>
      <c r="I86" s="36">
        <f t="shared" si="1"/>
      </c>
      <c r="J86" s="36">
        <f t="shared" si="5"/>
      </c>
      <c r="K86" s="34">
        <v>3</v>
      </c>
      <c r="L86" s="37">
        <v>1017.6</v>
      </c>
      <c r="M86" s="42"/>
      <c r="N86" s="39"/>
      <c r="O86" s="43"/>
      <c r="P86" s="33"/>
    </row>
    <row r="87">
      <c r="A87" s="44" t="s">
        <v>121</v>
      </c>
      <c r="B87" s="45"/>
      <c r="C87" s="45"/>
      <c r="D87" s="46">
        <f>SUM(D82:D86)</f>
      </c>
      <c r="E87" s="46">
        <f>SUM(E82:E86)</f>
      </c>
      <c r="F87" s="46">
        <f>SUM(F82:F86)</f>
      </c>
      <c r="G87" s="46">
        <f>SUM(G82:G86)</f>
      </c>
      <c r="H87" s="48">
        <f t="shared" si="4"/>
      </c>
      <c r="I87" s="48">
        <f t="shared" si="1"/>
      </c>
      <c r="J87" s="48">
        <f t="shared" si="5"/>
      </c>
      <c r="K87" s="46">
        <f>SUM(K82:K86)</f>
      </c>
      <c r="L87" s="46">
        <f>SUM(L82:L86)</f>
      </c>
      <c r="M87" s="50"/>
      <c r="N87" s="46">
        <f>SUM(N82:N86)</f>
      </c>
      <c r="O87" s="52"/>
      <c r="P87" s="46">
        <f>SUM(P82:P86)</f>
      </c>
    </row>
    <row r="88">
      <c r="A88" s="32" t="s">
        <v>122</v>
      </c>
      <c r="B88" s="40" t="s">
        <v>96</v>
      </c>
      <c r="C88" s="34" t="s">
        <v>104</v>
      </c>
      <c r="D88" s="34">
        <v>4</v>
      </c>
      <c r="E88" s="34">
        <v>3</v>
      </c>
      <c r="F88" s="34">
        <v>6110.4</v>
      </c>
      <c r="G88" s="35">
        <v>5636.2</v>
      </c>
      <c r="H88" s="35">
        <f t="shared" si="4"/>
      </c>
      <c r="I88" s="36">
        <f t="shared" si="1"/>
      </c>
      <c r="J88" s="36">
        <f t="shared" si="5"/>
      </c>
      <c r="K88" s="34">
        <v>0</v>
      </c>
      <c r="L88" s="37">
        <v>0</v>
      </c>
      <c r="M88" s="38"/>
      <c r="N88" s="39"/>
      <c r="O88" s="33" t="s">
        <v>84</v>
      </c>
      <c r="P88" s="33">
        <v>10</v>
      </c>
    </row>
    <row r="89">
      <c r="A89" s="32" t="s">
        <v>122</v>
      </c>
      <c r="B89" s="40" t="s">
        <v>82</v>
      </c>
      <c r="C89" s="34" t="s">
        <v>105</v>
      </c>
      <c r="D89" s="34">
        <v>4</v>
      </c>
      <c r="E89" s="34">
        <v>0</v>
      </c>
      <c r="F89" s="34">
        <v>0</v>
      </c>
      <c r="G89" s="41">
        <v>4878.6</v>
      </c>
      <c r="H89" s="35">
        <f t="shared" si="4"/>
      </c>
      <c r="I89" s="36">
        <f t="shared" si="1"/>
      </c>
      <c r="J89" s="36">
        <f t="shared" si="5"/>
      </c>
      <c r="K89" s="34">
        <v>0</v>
      </c>
      <c r="L89" s="37">
        <v>0</v>
      </c>
      <c r="M89" s="42" t="s">
        <v>87</v>
      </c>
      <c r="N89" s="39">
        <v>10</v>
      </c>
      <c r="O89" s="43"/>
      <c r="P89" s="39"/>
    </row>
    <row r="90">
      <c r="A90" s="32" t="s">
        <v>122</v>
      </c>
      <c r="B90" s="40" t="s">
        <v>90</v>
      </c>
      <c r="C90" s="34" t="s">
        <v>106</v>
      </c>
      <c r="D90" s="34">
        <v>4</v>
      </c>
      <c r="E90" s="34">
        <v>5</v>
      </c>
      <c r="F90" s="34">
        <v>4857.6</v>
      </c>
      <c r="G90" s="34">
        <v>5648.89</v>
      </c>
      <c r="H90" s="35">
        <f t="shared" si="4"/>
      </c>
      <c r="I90" s="36">
        <f t="shared" si="1"/>
      </c>
      <c r="J90" s="36">
        <f t="shared" si="5"/>
      </c>
      <c r="K90" s="34">
        <v>2</v>
      </c>
      <c r="L90" s="37">
        <v>1087.2</v>
      </c>
      <c r="M90" s="42"/>
      <c r="N90" s="39"/>
      <c r="O90" s="43"/>
      <c r="P90" s="39"/>
    </row>
    <row r="91">
      <c r="A91" s="32" t="s">
        <v>122</v>
      </c>
      <c r="B91" s="40" t="s">
        <v>85</v>
      </c>
      <c r="C91" s="34" t="s">
        <v>108</v>
      </c>
      <c r="D91" s="34">
        <v>4</v>
      </c>
      <c r="E91" s="34">
        <v>12</v>
      </c>
      <c r="F91" s="34">
        <v>16938.8</v>
      </c>
      <c r="G91" s="34">
        <v>8616.63</v>
      </c>
      <c r="H91" s="35">
        <f t="shared" si="4"/>
      </c>
      <c r="I91" s="36">
        <f t="shared" si="1"/>
      </c>
      <c r="J91" s="36">
        <f t="shared" si="5"/>
      </c>
      <c r="K91" s="34">
        <v>3</v>
      </c>
      <c r="L91" s="37">
        <v>3562</v>
      </c>
      <c r="M91" s="42" t="s">
        <v>123</v>
      </c>
      <c r="N91" s="39">
        <v>10</v>
      </c>
      <c r="O91" s="43" t="s">
        <v>93</v>
      </c>
      <c r="P91" s="33">
        <v>10</v>
      </c>
    </row>
    <row r="92">
      <c r="A92" s="32" t="s">
        <v>122</v>
      </c>
      <c r="B92" s="40" t="s">
        <v>117</v>
      </c>
      <c r="C92" s="34" t="s">
        <v>109</v>
      </c>
      <c r="D92" s="34">
        <v>4</v>
      </c>
      <c r="E92" s="34">
        <v>11</v>
      </c>
      <c r="F92" s="34">
        <v>10883.8</v>
      </c>
      <c r="G92" s="34">
        <v>9517.51</v>
      </c>
      <c r="H92" s="35">
        <f t="shared" si="4"/>
      </c>
      <c r="I92" s="36">
        <f t="shared" si="1"/>
      </c>
      <c r="J92" s="36">
        <f t="shared" si="5"/>
      </c>
      <c r="K92" s="34">
        <v>3</v>
      </c>
      <c r="L92" s="37">
        <v>2844</v>
      </c>
      <c r="M92" s="42"/>
      <c r="N92" s="39"/>
      <c r="O92" s="43"/>
      <c r="P92" s="33"/>
    </row>
    <row r="93">
      <c r="A93" s="44" t="s">
        <v>122</v>
      </c>
      <c r="B93" s="45"/>
      <c r="C93" s="45"/>
      <c r="D93" s="46">
        <f>SUM(D88:D92)</f>
      </c>
      <c r="E93" s="46">
        <f>SUM(E88:E92)</f>
      </c>
      <c r="F93" s="46">
        <f>SUM(F88:F92)</f>
      </c>
      <c r="G93" s="46">
        <f>SUM(G88:G92)</f>
      </c>
      <c r="H93" s="48">
        <f t="shared" si="4"/>
      </c>
      <c r="I93" s="48">
        <f t="shared" si="1"/>
      </c>
      <c r="J93" s="48">
        <f t="shared" si="5"/>
      </c>
      <c r="K93" s="46">
        <f>SUM(K88:K92)</f>
      </c>
      <c r="L93" s="46">
        <f>SUM(L88:L92)</f>
      </c>
      <c r="M93" s="50"/>
      <c r="N93" s="46">
        <f>SUM(N88:N92)</f>
      </c>
      <c r="O93" s="52"/>
      <c r="P93" s="46">
        <f>SUM(P88:P92)</f>
      </c>
    </row>
    <row r="94">
      <c r="A94" s="32" t="s">
        <v>124</v>
      </c>
      <c r="B94" s="40" t="s">
        <v>96</v>
      </c>
      <c r="C94" s="34" t="s">
        <v>104</v>
      </c>
      <c r="D94" s="34">
        <v>4</v>
      </c>
      <c r="E94" s="34">
        <v>15</v>
      </c>
      <c r="F94" s="34">
        <v>16887.6</v>
      </c>
      <c r="G94" s="35">
        <v>13592.880000000001</v>
      </c>
      <c r="H94" s="35">
        <f t="shared" si="4"/>
      </c>
      <c r="I94" s="36">
        <f t="shared" si="1"/>
      </c>
      <c r="J94" s="36">
        <f t="shared" si="5"/>
      </c>
      <c r="K94" s="34">
        <v>2</v>
      </c>
      <c r="L94" s="37">
        <v>4070.4</v>
      </c>
      <c r="M94" s="38"/>
      <c r="N94" s="39"/>
      <c r="O94" s="33" t="s">
        <v>84</v>
      </c>
      <c r="P94" s="33">
        <v>10</v>
      </c>
    </row>
    <row r="95">
      <c r="A95" s="32" t="s">
        <v>124</v>
      </c>
      <c r="B95" s="40" t="s">
        <v>82</v>
      </c>
      <c r="C95" s="34" t="s">
        <v>105</v>
      </c>
      <c r="D95" s="34">
        <v>4</v>
      </c>
      <c r="E95" s="34">
        <v>7</v>
      </c>
      <c r="F95" s="34">
        <v>9922.600000000002</v>
      </c>
      <c r="G95" s="41">
        <v>8689.1</v>
      </c>
      <c r="H95" s="35">
        <f t="shared" si="4"/>
      </c>
      <c r="I95" s="36">
        <f t="shared" si="1"/>
      </c>
      <c r="J95" s="36">
        <f t="shared" si="5"/>
      </c>
      <c r="K95" s="34">
        <v>2</v>
      </c>
      <c r="L95" s="37">
        <v>870</v>
      </c>
      <c r="M95" s="42" t="s">
        <v>87</v>
      </c>
      <c r="N95" s="39">
        <v>10</v>
      </c>
      <c r="O95" s="43"/>
      <c r="P95" s="39"/>
    </row>
    <row r="96">
      <c r="A96" s="32" t="s">
        <v>124</v>
      </c>
      <c r="B96" s="40" t="s">
        <v>88</v>
      </c>
      <c r="C96" s="34" t="s">
        <v>106</v>
      </c>
      <c r="D96" s="34">
        <v>4</v>
      </c>
      <c r="E96" s="34">
        <v>18</v>
      </c>
      <c r="F96" s="34">
        <v>25156.2</v>
      </c>
      <c r="G96" s="34">
        <v>12272.59</v>
      </c>
      <c r="H96" s="35">
        <f t="shared" si="4"/>
      </c>
      <c r="I96" s="36">
        <f t="shared" si="1"/>
      </c>
      <c r="J96" s="36">
        <f t="shared" si="5"/>
      </c>
      <c r="K96" s="34">
        <v>4</v>
      </c>
      <c r="L96" s="37">
        <v>5088</v>
      </c>
      <c r="M96" s="42"/>
      <c r="N96" s="39"/>
      <c r="O96" s="43"/>
      <c r="P96" s="39"/>
    </row>
    <row r="97">
      <c r="A97" s="32" t="s">
        <v>124</v>
      </c>
      <c r="B97" s="40" t="s">
        <v>85</v>
      </c>
      <c r="C97" s="34" t="s">
        <v>108</v>
      </c>
      <c r="D97" s="34">
        <v>4</v>
      </c>
      <c r="E97" s="34">
        <v>13</v>
      </c>
      <c r="F97" s="34">
        <v>13433.8</v>
      </c>
      <c r="G97" s="34">
        <v>9918.48</v>
      </c>
      <c r="H97" s="35">
        <f t="shared" si="4"/>
      </c>
      <c r="I97" s="36">
        <f t="shared" si="1"/>
      </c>
      <c r="J97" s="36">
        <f t="shared" si="5"/>
      </c>
      <c r="K97" s="34">
        <v>4</v>
      </c>
      <c r="L97" s="37">
        <v>3739.2</v>
      </c>
      <c r="M97" s="42" t="s">
        <v>123</v>
      </c>
      <c r="N97" s="39">
        <v>10</v>
      </c>
      <c r="O97" s="43" t="s">
        <v>93</v>
      </c>
      <c r="P97" s="33">
        <v>10</v>
      </c>
    </row>
    <row r="98">
      <c r="A98" s="32" t="s">
        <v>124</v>
      </c>
      <c r="B98" s="40" t="s">
        <v>117</v>
      </c>
      <c r="C98" s="34" t="s">
        <v>109</v>
      </c>
      <c r="D98" s="34">
        <v>4</v>
      </c>
      <c r="E98" s="34">
        <v>9</v>
      </c>
      <c r="F98" s="34">
        <v>14278.8</v>
      </c>
      <c r="G98" s="34">
        <v>10095.9</v>
      </c>
      <c r="H98" s="35">
        <f t="shared" si="4"/>
      </c>
      <c r="I98" s="36">
        <f t="shared" si="1"/>
      </c>
      <c r="J98" s="36">
        <f t="shared" si="5"/>
      </c>
      <c r="K98" s="34">
        <v>1</v>
      </c>
      <c r="L98" s="37">
        <v>427.2</v>
      </c>
      <c r="M98" s="42"/>
      <c r="N98" s="39"/>
      <c r="O98" s="43"/>
      <c r="P98" s="33"/>
    </row>
    <row r="99">
      <c r="A99" s="44" t="s">
        <v>124</v>
      </c>
      <c r="B99" s="45"/>
      <c r="C99" s="45"/>
      <c r="D99" s="46">
        <f>SUM(D94:D98)</f>
      </c>
      <c r="E99" s="46">
        <f>SUM(E94:E98)</f>
      </c>
      <c r="F99" s="46">
        <f>SUM(F94:F98)</f>
      </c>
      <c r="G99" s="46">
        <f>SUM(G94:G98)</f>
      </c>
      <c r="H99" s="48">
        <f t="shared" si="4"/>
      </c>
      <c r="I99" s="48">
        <f t="shared" si="1"/>
      </c>
      <c r="J99" s="48">
        <f t="shared" si="5"/>
      </c>
      <c r="K99" s="46">
        <f>SUM(K94:K98)</f>
      </c>
      <c r="L99" s="46">
        <f>SUM(L94:L98)</f>
      </c>
      <c r="M99" s="50"/>
      <c r="N99" s="46">
        <f>SUM(N94:N98)</f>
      </c>
      <c r="O99" s="52"/>
      <c r="P99" s="46">
        <f>SUM(P94:P98)</f>
      </c>
    </row>
    <row r="100">
      <c r="A100" s="32" t="s">
        <v>125</v>
      </c>
      <c r="B100" s="40" t="s">
        <v>82</v>
      </c>
      <c r="C100" s="34" t="s">
        <v>104</v>
      </c>
      <c r="D100" s="34">
        <v>4</v>
      </c>
      <c r="E100" s="34">
        <v>3</v>
      </c>
      <c r="F100" s="34">
        <v>6081.6</v>
      </c>
      <c r="G100" s="35">
        <v>3309.15</v>
      </c>
      <c r="H100" s="35">
        <f t="shared" si="4"/>
      </c>
      <c r="I100" s="36">
        <f t="shared" si="1"/>
      </c>
      <c r="J100" s="36">
        <f t="shared" si="5"/>
      </c>
      <c r="K100" s="34">
        <v>2</v>
      </c>
      <c r="L100" s="37">
        <v>4070.4</v>
      </c>
      <c r="M100" s="38"/>
      <c r="N100" s="39"/>
      <c r="O100" s="33" t="s">
        <v>84</v>
      </c>
      <c r="P100" s="33">
        <v>10</v>
      </c>
    </row>
    <row r="101">
      <c r="A101" s="32" t="s">
        <v>125</v>
      </c>
      <c r="B101" s="40" t="s">
        <v>88</v>
      </c>
      <c r="C101" s="34" t="s">
        <v>105</v>
      </c>
      <c r="D101" s="34">
        <v>4</v>
      </c>
      <c r="E101" s="34">
        <v>2</v>
      </c>
      <c r="F101" s="34">
        <v>1525.2</v>
      </c>
      <c r="G101" s="41">
        <v>2593.8</v>
      </c>
      <c r="H101" s="35">
        <f t="shared" si="4"/>
      </c>
      <c r="I101" s="36">
        <f t="shared" si="1"/>
      </c>
      <c r="J101" s="36">
        <f t="shared" si="5"/>
      </c>
      <c r="K101" s="34">
        <v>0</v>
      </c>
      <c r="L101" s="37">
        <v>0</v>
      </c>
      <c r="M101" s="42" t="s">
        <v>126</v>
      </c>
      <c r="N101" s="39">
        <v>10</v>
      </c>
      <c r="O101" s="43"/>
      <c r="P101" s="39"/>
    </row>
    <row r="102">
      <c r="A102" s="32" t="s">
        <v>125</v>
      </c>
      <c r="B102" s="40" t="s">
        <v>85</v>
      </c>
      <c r="C102" s="34" t="s">
        <v>106</v>
      </c>
      <c r="D102" s="34">
        <v>4</v>
      </c>
      <c r="E102" s="34">
        <v>0</v>
      </c>
      <c r="F102" s="34">
        <v>0</v>
      </c>
      <c r="G102" s="34">
        <v>2653.39</v>
      </c>
      <c r="H102" s="35">
        <f t="shared" si="4"/>
      </c>
      <c r="I102" s="36">
        <f t="shared" si="1"/>
      </c>
      <c r="J102" s="36">
        <f t="shared" si="5"/>
      </c>
      <c r="K102" s="34">
        <v>0</v>
      </c>
      <c r="L102" s="37">
        <v>0</v>
      </c>
      <c r="M102" s="42"/>
      <c r="N102" s="39"/>
      <c r="O102" s="43"/>
      <c r="P102" s="39"/>
    </row>
    <row r="103">
      <c r="A103" s="32" t="s">
        <v>125</v>
      </c>
      <c r="B103" s="40" t="s">
        <v>117</v>
      </c>
      <c r="C103" s="34" t="s">
        <v>108</v>
      </c>
      <c r="D103" s="34">
        <v>4</v>
      </c>
      <c r="E103" s="34">
        <v>2</v>
      </c>
      <c r="F103" s="34">
        <v>4603.2</v>
      </c>
      <c r="G103" s="34">
        <v>3307.04</v>
      </c>
      <c r="H103" s="35">
        <f t="shared" si="4"/>
      </c>
      <c r="I103" s="36">
        <f t="shared" si="1"/>
      </c>
      <c r="J103" s="36">
        <f t="shared" si="5"/>
      </c>
      <c r="K103" s="34">
        <v>1</v>
      </c>
      <c r="L103" s="37">
        <v>2911.2</v>
      </c>
      <c r="M103" s="42" t="s">
        <v>123</v>
      </c>
      <c r="N103" s="39">
        <v>10</v>
      </c>
      <c r="O103" s="43" t="s">
        <v>93</v>
      </c>
      <c r="P103" s="33">
        <v>10</v>
      </c>
    </row>
    <row r="104">
      <c r="A104" s="32" t="s">
        <v>125</v>
      </c>
      <c r="B104" s="40" t="s">
        <v>96</v>
      </c>
      <c r="C104" s="34" t="s">
        <v>109</v>
      </c>
      <c r="D104" s="34">
        <v>4</v>
      </c>
      <c r="E104" s="34">
        <v>0</v>
      </c>
      <c r="F104" s="34">
        <v>0</v>
      </c>
      <c r="G104" s="34">
        <v>3284.71</v>
      </c>
      <c r="H104" s="35">
        <f t="shared" si="4"/>
      </c>
      <c r="I104" s="36">
        <f t="shared" si="1"/>
      </c>
      <c r="J104" s="36">
        <f t="shared" si="5"/>
      </c>
      <c r="K104" s="34">
        <v>0</v>
      </c>
      <c r="L104" s="37">
        <v>0</v>
      </c>
      <c r="M104" s="42"/>
      <c r="N104" s="39"/>
      <c r="O104" s="43"/>
      <c r="P104" s="33"/>
    </row>
    <row r="105">
      <c r="A105" s="44" t="s">
        <v>125</v>
      </c>
      <c r="B105" s="45"/>
      <c r="C105" s="45"/>
      <c r="D105" s="46">
        <f>SUM(D100:D104)</f>
      </c>
      <c r="E105" s="46">
        <f>SUM(E100:E104)</f>
      </c>
      <c r="F105" s="46">
        <f>SUM(F100:F104)</f>
      </c>
      <c r="G105" s="46">
        <f>SUM(G100:G104)</f>
      </c>
      <c r="H105" s="48">
        <f t="shared" si="4"/>
      </c>
      <c r="I105" s="48">
        <f t="shared" si="1"/>
      </c>
      <c r="J105" s="48">
        <f t="shared" si="5"/>
      </c>
      <c r="K105" s="46">
        <f>SUM(K100:K104)</f>
      </c>
      <c r="L105" s="46">
        <f>SUM(L100:L104)</f>
      </c>
      <c r="M105" s="50"/>
      <c r="N105" s="46">
        <f>SUM(N100:N104)</f>
      </c>
      <c r="O105" s="52"/>
      <c r="P105" s="46">
        <f>SUM(P100:P104)</f>
      </c>
    </row>
    <row r="106">
      <c r="A106" s="32" t="s">
        <v>127</v>
      </c>
      <c r="B106" s="40" t="s">
        <v>82</v>
      </c>
      <c r="C106" s="34" t="s">
        <v>104</v>
      </c>
      <c r="D106" s="34">
        <v>4</v>
      </c>
      <c r="E106" s="34">
        <v>6</v>
      </c>
      <c r="F106" s="34">
        <v>6476.4</v>
      </c>
      <c r="G106" s="35">
        <v>3739.4199999999996</v>
      </c>
      <c r="H106" s="35">
        <f t="shared" si="4"/>
      </c>
      <c r="I106" s="36">
        <f t="shared" si="1"/>
      </c>
      <c r="J106" s="36">
        <f t="shared" si="5"/>
      </c>
      <c r="K106" s="34">
        <v>2</v>
      </c>
      <c r="L106" s="37">
        <v>3326.4</v>
      </c>
      <c r="M106" s="38"/>
      <c r="N106" s="39"/>
      <c r="O106" s="33" t="s">
        <v>84</v>
      </c>
      <c r="P106" s="33">
        <v>10</v>
      </c>
    </row>
    <row r="107">
      <c r="A107" s="32" t="s">
        <v>127</v>
      </c>
      <c r="B107" s="40" t="s">
        <v>88</v>
      </c>
      <c r="C107" s="34" t="s">
        <v>105</v>
      </c>
      <c r="D107" s="34">
        <v>4</v>
      </c>
      <c r="E107" s="34">
        <v>6</v>
      </c>
      <c r="F107" s="34">
        <v>6456</v>
      </c>
      <c r="G107" s="41">
        <v>4239.29</v>
      </c>
      <c r="H107" s="35">
        <f t="shared" si="4"/>
      </c>
      <c r="I107" s="36">
        <f t="shared" si="1"/>
      </c>
      <c r="J107" s="36">
        <f t="shared" si="5"/>
      </c>
      <c r="K107" s="34">
        <v>1</v>
      </c>
      <c r="L107" s="37">
        <v>763.2</v>
      </c>
      <c r="M107" s="42" t="s">
        <v>126</v>
      </c>
      <c r="N107" s="39">
        <v>10</v>
      </c>
      <c r="O107" s="43"/>
      <c r="P107" s="39"/>
    </row>
    <row r="108">
      <c r="A108" s="32" t="s">
        <v>127</v>
      </c>
      <c r="B108" s="40" t="s">
        <v>85</v>
      </c>
      <c r="C108" s="34" t="s">
        <v>106</v>
      </c>
      <c r="D108" s="34">
        <v>4</v>
      </c>
      <c r="E108" s="34">
        <v>0</v>
      </c>
      <c r="F108" s="34">
        <v>0</v>
      </c>
      <c r="G108" s="34">
        <v>3221.49</v>
      </c>
      <c r="H108" s="35">
        <f t="shared" si="4"/>
      </c>
      <c r="I108" s="36">
        <f t="shared" si="1"/>
      </c>
      <c r="J108" s="36">
        <f t="shared" si="5"/>
      </c>
      <c r="K108" s="34">
        <v>0</v>
      </c>
      <c r="L108" s="37">
        <v>0</v>
      </c>
      <c r="M108" s="42"/>
      <c r="N108" s="39"/>
      <c r="O108" s="43"/>
      <c r="P108" s="39"/>
    </row>
    <row r="109">
      <c r="A109" s="32" t="s">
        <v>127</v>
      </c>
      <c r="B109" s="40" t="s">
        <v>117</v>
      </c>
      <c r="C109" s="34" t="s">
        <v>108</v>
      </c>
      <c r="D109" s="34">
        <v>4</v>
      </c>
      <c r="E109" s="34">
        <v>1</v>
      </c>
      <c r="F109" s="34">
        <v>2071.2</v>
      </c>
      <c r="G109" s="34">
        <v>2532.51</v>
      </c>
      <c r="H109" s="35">
        <f t="shared" si="4"/>
      </c>
      <c r="I109" s="36">
        <f t="shared" si="1"/>
      </c>
      <c r="J109" s="36">
        <f t="shared" si="5"/>
      </c>
      <c r="K109" s="34">
        <v>0</v>
      </c>
      <c r="L109" s="37">
        <v>0</v>
      </c>
      <c r="M109" s="42" t="s">
        <v>123</v>
      </c>
      <c r="N109" s="39">
        <v>10</v>
      </c>
      <c r="O109" s="43" t="s">
        <v>93</v>
      </c>
      <c r="P109" s="33">
        <v>10</v>
      </c>
    </row>
    <row r="110">
      <c r="A110" s="32" t="s">
        <v>127</v>
      </c>
      <c r="B110" s="40" t="s">
        <v>96</v>
      </c>
      <c r="C110" s="34" t="s">
        <v>109</v>
      </c>
      <c r="D110" s="34">
        <v>4</v>
      </c>
      <c r="E110" s="34">
        <v>2</v>
      </c>
      <c r="F110" s="34">
        <v>2426.4</v>
      </c>
      <c r="G110" s="34">
        <v>4028.47</v>
      </c>
      <c r="H110" s="35">
        <f t="shared" si="4"/>
      </c>
      <c r="I110" s="36">
        <f t="shared" si="1"/>
      </c>
      <c r="J110" s="36">
        <f t="shared" si="5"/>
      </c>
      <c r="K110" s="34">
        <v>0</v>
      </c>
      <c r="L110" s="37">
        <v>0</v>
      </c>
      <c r="M110" s="42"/>
      <c r="N110" s="39"/>
      <c r="O110" s="43"/>
      <c r="P110" s="33"/>
    </row>
    <row r="111">
      <c r="A111" s="44" t="s">
        <v>127</v>
      </c>
      <c r="B111" s="45"/>
      <c r="C111" s="45"/>
      <c r="D111" s="46">
        <f>SUM(D106:D110)</f>
      </c>
      <c r="E111" s="46">
        <f>SUM(E106:E110)</f>
      </c>
      <c r="F111" s="46">
        <f>SUM(F106:F110)</f>
      </c>
      <c r="G111" s="46">
        <f>SUM(G106:G110)</f>
      </c>
      <c r="H111" s="48">
        <f t="shared" si="4"/>
      </c>
      <c r="I111" s="48">
        <f t="shared" si="1"/>
      </c>
      <c r="J111" s="48">
        <f t="shared" si="5"/>
      </c>
      <c r="K111" s="46">
        <f>SUM(K106:K110)</f>
      </c>
      <c r="L111" s="46">
        <f>SUM(L106:L110)</f>
      </c>
      <c r="M111" s="50"/>
      <c r="N111" s="46">
        <f>SUM(N106:N110)</f>
      </c>
      <c r="O111" s="52"/>
      <c r="P111" s="46">
        <f>SUM(P106:P110)</f>
      </c>
    </row>
    <row r="112">
      <c r="A112" s="32" t="s">
        <v>128</v>
      </c>
      <c r="B112" s="40" t="s">
        <v>88</v>
      </c>
      <c r="C112" s="34" t="s">
        <v>104</v>
      </c>
      <c r="D112" s="34">
        <v>4</v>
      </c>
      <c r="E112" s="34">
        <v>7</v>
      </c>
      <c r="F112" s="34">
        <v>8981.8</v>
      </c>
      <c r="G112" s="35">
        <v>5840.94</v>
      </c>
      <c r="H112" s="35">
        <f t="shared" si="4"/>
      </c>
      <c r="I112" s="36">
        <f t="shared" si="1"/>
      </c>
      <c r="J112" s="36">
        <f t="shared" si="5"/>
      </c>
      <c r="K112" s="34">
        <v>3</v>
      </c>
      <c r="L112" s="37">
        <v>4822.8</v>
      </c>
      <c r="M112" s="38"/>
      <c r="N112" s="39"/>
      <c r="O112" s="33" t="s">
        <v>84</v>
      </c>
      <c r="P112" s="33">
        <v>10</v>
      </c>
    </row>
    <row r="113">
      <c r="A113" s="32" t="s">
        <v>128</v>
      </c>
      <c r="B113" s="40" t="s">
        <v>85</v>
      </c>
      <c r="C113" s="34" t="s">
        <v>105</v>
      </c>
      <c r="D113" s="34">
        <v>4</v>
      </c>
      <c r="E113" s="34">
        <v>7</v>
      </c>
      <c r="F113" s="34">
        <v>12161</v>
      </c>
      <c r="G113" s="41">
        <v>7669.77</v>
      </c>
      <c r="H113" s="35">
        <f t="shared" si="4"/>
      </c>
      <c r="I113" s="36">
        <f t="shared" si="1"/>
      </c>
      <c r="J113" s="36">
        <f t="shared" si="5"/>
      </c>
      <c r="K113" s="34">
        <v>0</v>
      </c>
      <c r="L113" s="37">
        <v>0</v>
      </c>
      <c r="M113" s="42" t="s">
        <v>126</v>
      </c>
      <c r="N113" s="39">
        <v>10</v>
      </c>
      <c r="O113" s="43"/>
      <c r="P113" s="39"/>
    </row>
    <row r="114">
      <c r="A114" s="32" t="s">
        <v>128</v>
      </c>
      <c r="B114" s="40" t="s">
        <v>117</v>
      </c>
      <c r="C114" s="34" t="s">
        <v>106</v>
      </c>
      <c r="D114" s="34">
        <v>4</v>
      </c>
      <c r="E114" s="34">
        <v>11</v>
      </c>
      <c r="F114" s="34">
        <v>12373</v>
      </c>
      <c r="G114" s="34">
        <v>4952.39</v>
      </c>
      <c r="H114" s="35">
        <f t="shared" si="4"/>
      </c>
      <c r="I114" s="36">
        <f t="shared" si="1"/>
      </c>
      <c r="J114" s="36">
        <f t="shared" si="5"/>
      </c>
      <c r="K114" s="34">
        <v>0</v>
      </c>
      <c r="L114" s="37">
        <v>0</v>
      </c>
      <c r="M114" s="42"/>
      <c r="N114" s="39"/>
      <c r="O114" s="43"/>
      <c r="P114" s="39"/>
    </row>
    <row r="115">
      <c r="A115" s="32" t="s">
        <v>128</v>
      </c>
      <c r="B115" s="40" t="s">
        <v>96</v>
      </c>
      <c r="C115" s="34" t="s">
        <v>108</v>
      </c>
      <c r="D115" s="34">
        <v>4</v>
      </c>
      <c r="E115" s="34">
        <v>6</v>
      </c>
      <c r="F115" s="34">
        <v>6058.8</v>
      </c>
      <c r="G115" s="34">
        <v>7692.42</v>
      </c>
      <c r="H115" s="35">
        <f t="shared" si="4"/>
      </c>
      <c r="I115" s="36">
        <f t="shared" si="1"/>
      </c>
      <c r="J115" s="36">
        <f t="shared" si="5"/>
      </c>
      <c r="K115" s="34">
        <v>2</v>
      </c>
      <c r="L115" s="37">
        <v>1816.2</v>
      </c>
      <c r="M115" s="42" t="s">
        <v>123</v>
      </c>
      <c r="N115" s="39">
        <v>10</v>
      </c>
      <c r="O115" s="43" t="s">
        <v>93</v>
      </c>
      <c r="P115" s="33">
        <v>10</v>
      </c>
    </row>
    <row r="116">
      <c r="A116" s="32" t="s">
        <v>128</v>
      </c>
      <c r="B116" s="40" t="s">
        <v>82</v>
      </c>
      <c r="C116" s="34" t="s">
        <v>109</v>
      </c>
      <c r="D116" s="34">
        <v>4</v>
      </c>
      <c r="E116" s="34">
        <v>8</v>
      </c>
      <c r="F116" s="34">
        <v>8107</v>
      </c>
      <c r="G116" s="34">
        <v>4237.85</v>
      </c>
      <c r="H116" s="35">
        <f t="shared" si="4"/>
      </c>
      <c r="I116" s="36">
        <f t="shared" si="1"/>
      </c>
      <c r="J116" s="36">
        <f t="shared" si="5"/>
      </c>
      <c r="K116" s="34">
        <v>2</v>
      </c>
      <c r="L116" s="37">
        <v>2635</v>
      </c>
      <c r="M116" s="42"/>
      <c r="N116" s="39"/>
      <c r="O116" s="43"/>
      <c r="P116" s="33"/>
    </row>
    <row r="117">
      <c r="A117" s="44" t="s">
        <v>128</v>
      </c>
      <c r="B117" s="45"/>
      <c r="C117" s="45"/>
      <c r="D117" s="46">
        <f>SUM(D112:D116)</f>
      </c>
      <c r="E117" s="46">
        <f>SUM(E112:E116)</f>
      </c>
      <c r="F117" s="46">
        <f>SUM(F112:F116)</f>
      </c>
      <c r="G117" s="46">
        <f>SUM(G112:G116)</f>
      </c>
      <c r="H117" s="48">
        <f t="shared" si="4"/>
      </c>
      <c r="I117" s="48">
        <f t="shared" si="1"/>
      </c>
      <c r="J117" s="48">
        <f t="shared" si="5"/>
      </c>
      <c r="K117" s="46">
        <f>SUM(K112:K116)</f>
      </c>
      <c r="L117" s="46">
        <f>SUM(L112:L116)</f>
      </c>
      <c r="M117" s="50"/>
      <c r="N117" s="46">
        <f>SUM(N112:N116)</f>
      </c>
      <c r="O117" s="52"/>
      <c r="P117" s="46">
        <f>SUM(P112:P116)</f>
      </c>
    </row>
    <row r="118">
      <c r="A118" s="32" t="s">
        <v>129</v>
      </c>
      <c r="B118" s="40" t="s">
        <v>88</v>
      </c>
      <c r="C118" s="34" t="s">
        <v>104</v>
      </c>
      <c r="D118" s="34">
        <v>4</v>
      </c>
      <c r="E118" s="34">
        <v>2</v>
      </c>
      <c r="F118" s="34">
        <v>4538.4</v>
      </c>
      <c r="G118" s="35">
        <v>5385.45</v>
      </c>
      <c r="H118" s="35">
        <f t="shared" si="4"/>
      </c>
      <c r="I118" s="36">
        <f t="shared" si="1"/>
      </c>
      <c r="J118" s="36">
        <f t="shared" si="5"/>
      </c>
      <c r="K118" s="34">
        <v>0</v>
      </c>
      <c r="L118" s="37">
        <v>0</v>
      </c>
      <c r="M118" s="38"/>
      <c r="N118" s="39"/>
      <c r="O118" s="33" t="s">
        <v>84</v>
      </c>
      <c r="P118" s="33">
        <v>10</v>
      </c>
    </row>
    <row r="119">
      <c r="A119" s="32" t="s">
        <v>129</v>
      </c>
      <c r="B119" s="40" t="s">
        <v>85</v>
      </c>
      <c r="C119" s="34" t="s">
        <v>105</v>
      </c>
      <c r="D119" s="34">
        <v>4</v>
      </c>
      <c r="E119" s="34">
        <v>6</v>
      </c>
      <c r="F119" s="34">
        <v>7119.2</v>
      </c>
      <c r="G119" s="41">
        <v>6868.83</v>
      </c>
      <c r="H119" s="35">
        <f t="shared" si="4"/>
      </c>
      <c r="I119" s="36">
        <f t="shared" si="1"/>
      </c>
      <c r="J119" s="36">
        <f t="shared" si="5"/>
      </c>
      <c r="K119" s="34">
        <v>1</v>
      </c>
      <c r="L119" s="37">
        <v>1394</v>
      </c>
      <c r="M119" s="42" t="s">
        <v>126</v>
      </c>
      <c r="N119" s="39">
        <v>10</v>
      </c>
      <c r="O119" s="43"/>
      <c r="P119" s="39"/>
    </row>
    <row r="120">
      <c r="A120" s="32" t="s">
        <v>129</v>
      </c>
      <c r="B120" s="40" t="s">
        <v>117</v>
      </c>
      <c r="C120" s="34" t="s">
        <v>106</v>
      </c>
      <c r="D120" s="34">
        <v>4</v>
      </c>
      <c r="E120" s="34">
        <v>5</v>
      </c>
      <c r="F120" s="34">
        <v>6158.2</v>
      </c>
      <c r="G120" s="34">
        <v>5460.89</v>
      </c>
      <c r="H120" s="35">
        <f t="shared" si="4"/>
      </c>
      <c r="I120" s="36">
        <f t="shared" si="1"/>
      </c>
      <c r="J120" s="36">
        <f t="shared" si="5"/>
      </c>
      <c r="K120" s="34">
        <v>0</v>
      </c>
      <c r="L120" s="37">
        <v>0</v>
      </c>
      <c r="M120" s="42"/>
      <c r="N120" s="39"/>
      <c r="O120" s="43"/>
      <c r="P120" s="39"/>
    </row>
    <row r="121">
      <c r="A121" s="32" t="s">
        <v>129</v>
      </c>
      <c r="B121" s="40" t="s">
        <v>96</v>
      </c>
      <c r="C121" s="34" t="s">
        <v>108</v>
      </c>
      <c r="D121" s="34">
        <v>4</v>
      </c>
      <c r="E121" s="34">
        <v>7</v>
      </c>
      <c r="F121" s="34">
        <v>11395.2</v>
      </c>
      <c r="G121" s="34">
        <v>4946.79</v>
      </c>
      <c r="H121" s="35">
        <f t="shared" si="4"/>
      </c>
      <c r="I121" s="36">
        <f t="shared" si="1"/>
      </c>
      <c r="J121" s="36">
        <f t="shared" si="5"/>
      </c>
      <c r="K121" s="34">
        <v>1</v>
      </c>
      <c r="L121" s="37">
        <v>1723.2</v>
      </c>
      <c r="M121" s="42" t="s">
        <v>123</v>
      </c>
      <c r="N121" s="39">
        <v>10</v>
      </c>
      <c r="O121" s="43" t="s">
        <v>93</v>
      </c>
      <c r="P121" s="33">
        <v>10</v>
      </c>
    </row>
    <row r="122">
      <c r="A122" s="32" t="s">
        <v>129</v>
      </c>
      <c r="B122" s="40" t="s">
        <v>82</v>
      </c>
      <c r="C122" s="34" t="s">
        <v>109</v>
      </c>
      <c r="D122" s="34">
        <v>4</v>
      </c>
      <c r="E122" s="34">
        <v>13</v>
      </c>
      <c r="F122" s="34">
        <v>17065</v>
      </c>
      <c r="G122" s="34">
        <v>10179.41</v>
      </c>
      <c r="H122" s="35">
        <f t="shared" si="4"/>
      </c>
      <c r="I122" s="36">
        <f t="shared" si="1"/>
      </c>
      <c r="J122" s="36">
        <f t="shared" si="5"/>
      </c>
      <c r="K122" s="34">
        <v>1</v>
      </c>
      <c r="L122" s="37">
        <v>382.8</v>
      </c>
      <c r="M122" s="42"/>
      <c r="N122" s="39"/>
      <c r="O122" s="43"/>
      <c r="P122" s="33"/>
    </row>
    <row r="123">
      <c r="A123" s="44" t="s">
        <v>129</v>
      </c>
      <c r="B123" s="45"/>
      <c r="C123" s="45"/>
      <c r="D123" s="46">
        <f>SUM(D118:D122)</f>
      </c>
      <c r="E123" s="46">
        <f>SUM(E118:E122)</f>
      </c>
      <c r="F123" s="46">
        <f>SUM(F118:F122)</f>
      </c>
      <c r="G123" s="46">
        <f>SUM(G118:G122)</f>
      </c>
      <c r="H123" s="48">
        <f t="shared" si="4"/>
      </c>
      <c r="I123" s="48">
        <f t="shared" si="1"/>
      </c>
      <c r="J123" s="48">
        <f t="shared" si="5"/>
      </c>
      <c r="K123" s="46">
        <f>SUM(K118:K122)</f>
      </c>
      <c r="L123" s="46">
        <f>SUM(L118:L122)</f>
      </c>
      <c r="M123" s="50"/>
      <c r="N123" s="46">
        <f>SUM(N118:N122)</f>
      </c>
      <c r="O123" s="52"/>
      <c r="P123" s="46">
        <f>SUM(P118:P122)</f>
      </c>
    </row>
    <row r="124">
      <c r="A124" s="32" t="s">
        <v>130</v>
      </c>
      <c r="B124" s="40" t="s">
        <v>85</v>
      </c>
      <c r="C124" s="34" t="s">
        <v>104</v>
      </c>
      <c r="D124" s="34">
        <v>4</v>
      </c>
      <c r="E124" s="34">
        <v>4</v>
      </c>
      <c r="F124" s="34">
        <v>6812.4</v>
      </c>
      <c r="G124" s="35">
        <v>12793.7</v>
      </c>
      <c r="H124" s="35">
        <f t="shared" si="4"/>
      </c>
      <c r="I124" s="36">
        <f t="shared" si="1"/>
      </c>
      <c r="J124" s="36">
        <f t="shared" si="5"/>
      </c>
      <c r="K124" s="34">
        <v>2</v>
      </c>
      <c r="L124" s="37">
        <v>4142.4</v>
      </c>
      <c r="M124" s="38"/>
      <c r="N124" s="39"/>
      <c r="O124" s="33" t="s">
        <v>131</v>
      </c>
      <c r="P124" s="33">
        <v>10</v>
      </c>
    </row>
    <row r="125">
      <c r="A125" s="32" t="s">
        <v>130</v>
      </c>
      <c r="B125" s="40" t="s">
        <v>117</v>
      </c>
      <c r="C125" s="34" t="s">
        <v>105</v>
      </c>
      <c r="D125" s="34">
        <v>4</v>
      </c>
      <c r="E125" s="34">
        <v>12</v>
      </c>
      <c r="F125" s="34">
        <v>13695.4</v>
      </c>
      <c r="G125" s="41">
        <v>9520.12</v>
      </c>
      <c r="H125" s="35">
        <f t="shared" si="4"/>
      </c>
      <c r="I125" s="36">
        <f t="shared" si="1"/>
      </c>
      <c r="J125" s="36">
        <f t="shared" si="5"/>
      </c>
      <c r="K125" s="34">
        <v>3</v>
      </c>
      <c r="L125" s="37">
        <v>1500</v>
      </c>
      <c r="M125" s="42" t="s">
        <v>132</v>
      </c>
      <c r="N125" s="39">
        <v>10</v>
      </c>
      <c r="O125" s="43"/>
      <c r="P125" s="39"/>
    </row>
    <row r="126">
      <c r="A126" s="32" t="s">
        <v>130</v>
      </c>
      <c r="B126" s="40" t="s">
        <v>96</v>
      </c>
      <c r="C126" s="34" t="s">
        <v>106</v>
      </c>
      <c r="D126" s="34">
        <v>4</v>
      </c>
      <c r="E126" s="34">
        <v>6</v>
      </c>
      <c r="F126" s="34">
        <v>5923.200000000001</v>
      </c>
      <c r="G126" s="34">
        <v>6522.8</v>
      </c>
      <c r="H126" s="35">
        <f t="shared" si="4"/>
      </c>
      <c r="I126" s="36">
        <f t="shared" si="1"/>
      </c>
      <c r="J126" s="36">
        <f t="shared" si="5"/>
      </c>
      <c r="K126" s="34">
        <v>0</v>
      </c>
      <c r="L126" s="37">
        <v>0</v>
      </c>
      <c r="M126" s="42"/>
      <c r="N126" s="39"/>
      <c r="O126" s="43"/>
      <c r="P126" s="39"/>
    </row>
    <row r="127">
      <c r="A127" s="32" t="s">
        <v>130</v>
      </c>
      <c r="B127" s="40" t="s">
        <v>82</v>
      </c>
      <c r="C127" s="34" t="s">
        <v>108</v>
      </c>
      <c r="D127" s="34">
        <v>4</v>
      </c>
      <c r="E127" s="34">
        <v>2</v>
      </c>
      <c r="F127" s="34">
        <v>3871.2000000000007</v>
      </c>
      <c r="G127" s="34">
        <v>3436.1499999999996</v>
      </c>
      <c r="H127" s="35">
        <f t="shared" si="4"/>
      </c>
      <c r="I127" s="36">
        <f t="shared" si="1"/>
      </c>
      <c r="J127" s="36">
        <f t="shared" si="5"/>
      </c>
      <c r="K127" s="34">
        <v>0</v>
      </c>
      <c r="L127" s="37">
        <v>0</v>
      </c>
      <c r="M127" s="42" t="s">
        <v>123</v>
      </c>
      <c r="N127" s="39">
        <v>10</v>
      </c>
      <c r="O127" s="43" t="s">
        <v>93</v>
      </c>
      <c r="P127" s="33">
        <v>10</v>
      </c>
    </row>
    <row r="128">
      <c r="A128" s="32" t="s">
        <v>130</v>
      </c>
      <c r="B128" s="40" t="s">
        <v>90</v>
      </c>
      <c r="C128" s="34" t="s">
        <v>109</v>
      </c>
      <c r="D128" s="34">
        <v>4</v>
      </c>
      <c r="E128" s="34">
        <v>0</v>
      </c>
      <c r="F128" s="34">
        <v>0</v>
      </c>
      <c r="G128" s="34">
        <v>2701.6099999999997</v>
      </c>
      <c r="H128" s="35">
        <f t="shared" si="4"/>
      </c>
      <c r="I128" s="36">
        <f t="shared" si="1"/>
      </c>
      <c r="J128" s="36">
        <f t="shared" si="5"/>
      </c>
      <c r="K128" s="34">
        <v>0</v>
      </c>
      <c r="L128" s="37">
        <v>0</v>
      </c>
      <c r="M128" s="42"/>
      <c r="N128" s="39"/>
      <c r="O128" s="43"/>
      <c r="P128" s="33"/>
    </row>
    <row r="129">
      <c r="A129" s="44" t="s">
        <v>130</v>
      </c>
      <c r="B129" s="45"/>
      <c r="C129" s="45"/>
      <c r="D129" s="46">
        <f>SUM(D124:D128)</f>
      </c>
      <c r="E129" s="46">
        <f>SUM(E124:E128)</f>
      </c>
      <c r="F129" s="46">
        <f>SUM(F124:F128)</f>
      </c>
      <c r="G129" s="46">
        <f>SUM(G124:G128)</f>
      </c>
      <c r="H129" s="48">
        <f t="shared" si="4"/>
      </c>
      <c r="I129" s="48">
        <f t="shared" si="1"/>
      </c>
      <c r="J129" s="48">
        <f t="shared" si="5"/>
      </c>
      <c r="K129" s="46">
        <f>SUM(K124:K128)</f>
      </c>
      <c r="L129" s="46">
        <f>SUM(L124:L128)</f>
      </c>
      <c r="M129" s="50"/>
      <c r="N129" s="46">
        <f>SUM(N124:N128)</f>
      </c>
      <c r="O129" s="52"/>
      <c r="P129" s="46">
        <f>SUM(P124:P128)</f>
      </c>
    </row>
    <row r="130">
      <c r="A130" s="32" t="s">
        <v>133</v>
      </c>
      <c r="B130" s="40" t="s">
        <v>85</v>
      </c>
      <c r="C130" s="34" t="s">
        <v>104</v>
      </c>
      <c r="D130" s="34">
        <v>4</v>
      </c>
      <c r="E130" s="34">
        <v>4</v>
      </c>
      <c r="F130" s="34">
        <v>6323.6</v>
      </c>
      <c r="G130" s="35">
        <v>3728.83</v>
      </c>
      <c r="H130" s="35">
        <f t="shared" si="4"/>
      </c>
      <c r="I130" s="36">
        <f t="shared" si="1"/>
      </c>
      <c r="J130" s="36">
        <f t="shared" si="5"/>
      </c>
      <c r="K130" s="34">
        <v>3</v>
      </c>
      <c r="L130" s="37">
        <v>4600.4</v>
      </c>
      <c r="M130" s="38"/>
      <c r="N130" s="39"/>
      <c r="O130" s="33" t="s">
        <v>131</v>
      </c>
      <c r="P130" s="33">
        <v>10</v>
      </c>
    </row>
    <row r="131">
      <c r="A131" s="32" t="s">
        <v>133</v>
      </c>
      <c r="B131" s="40" t="s">
        <v>117</v>
      </c>
      <c r="C131" s="34" t="s">
        <v>105</v>
      </c>
      <c r="D131" s="34">
        <v>4</v>
      </c>
      <c r="E131" s="34">
        <v>6</v>
      </c>
      <c r="F131" s="34">
        <v>8752.8</v>
      </c>
      <c r="G131" s="41">
        <v>4334.610000000001</v>
      </c>
      <c r="H131" s="35">
        <f t="shared" si="4"/>
      </c>
      <c r="I131" s="36">
        <f t="shared" si="1"/>
      </c>
      <c r="J131" s="36">
        <f t="shared" si="5"/>
      </c>
      <c r="K131" s="34">
        <v>2</v>
      </c>
      <c r="L131" s="37">
        <v>2786.4</v>
      </c>
      <c r="M131" s="42" t="s">
        <v>87</v>
      </c>
      <c r="N131" s="39">
        <v>10</v>
      </c>
      <c r="O131" s="43"/>
      <c r="P131" s="39"/>
    </row>
    <row r="132">
      <c r="A132" s="32" t="s">
        <v>133</v>
      </c>
      <c r="B132" s="40" t="s">
        <v>96</v>
      </c>
      <c r="C132" s="34" t="s">
        <v>106</v>
      </c>
      <c r="D132" s="34">
        <v>4</v>
      </c>
      <c r="E132" s="34">
        <v>5</v>
      </c>
      <c r="F132" s="34">
        <v>5450.4</v>
      </c>
      <c r="G132" s="34">
        <v>4892.36</v>
      </c>
      <c r="H132" s="35">
        <f t="shared" si="4"/>
      </c>
      <c r="I132" s="36">
        <f t="shared" si="1"/>
      </c>
      <c r="J132" s="36">
        <f t="shared" si="5"/>
      </c>
      <c r="K132" s="34">
        <v>0</v>
      </c>
      <c r="L132" s="37">
        <v>0</v>
      </c>
      <c r="M132" s="42"/>
      <c r="N132" s="39"/>
      <c r="O132" s="43"/>
      <c r="P132" s="39"/>
    </row>
    <row r="133">
      <c r="A133" s="32" t="s">
        <v>133</v>
      </c>
      <c r="B133" s="40" t="s">
        <v>82</v>
      </c>
      <c r="C133" s="34" t="s">
        <v>108</v>
      </c>
      <c r="D133" s="34">
        <v>4</v>
      </c>
      <c r="E133" s="34">
        <v>5</v>
      </c>
      <c r="F133" s="34">
        <v>3977.8</v>
      </c>
      <c r="G133" s="34">
        <v>5255.69</v>
      </c>
      <c r="H133" s="35">
        <f t="shared" si="4"/>
      </c>
      <c r="I133" s="36">
        <f t="shared" si="1"/>
      </c>
      <c r="J133" s="36">
        <f t="shared" si="5"/>
      </c>
      <c r="K133" s="34">
        <v>1</v>
      </c>
      <c r="L133" s="37">
        <v>396</v>
      </c>
      <c r="M133" s="42" t="s">
        <v>123</v>
      </c>
      <c r="N133" s="39">
        <v>10</v>
      </c>
      <c r="O133" s="43" t="s">
        <v>93</v>
      </c>
      <c r="P133" s="33">
        <v>10</v>
      </c>
    </row>
    <row r="134">
      <c r="A134" s="32" t="s">
        <v>133</v>
      </c>
      <c r="B134" s="40" t="s">
        <v>90</v>
      </c>
      <c r="C134" s="34" t="s">
        <v>109</v>
      </c>
      <c r="D134" s="34">
        <v>4</v>
      </c>
      <c r="E134" s="34">
        <v>7</v>
      </c>
      <c r="F134" s="34">
        <v>9007.2</v>
      </c>
      <c r="G134" s="34">
        <v>7359.04</v>
      </c>
      <c r="H134" s="35">
        <f t="shared" si="4"/>
      </c>
      <c r="I134" s="36">
        <f t="shared" si="1"/>
      </c>
      <c r="J134" s="36">
        <f t="shared" si="5"/>
      </c>
      <c r="K134" s="34">
        <v>1</v>
      </c>
      <c r="L134" s="37">
        <v>420</v>
      </c>
      <c r="M134" s="42"/>
      <c r="N134" s="39"/>
      <c r="O134" s="43"/>
      <c r="P134" s="33"/>
    </row>
    <row r="135">
      <c r="A135" s="44" t="s">
        <v>133</v>
      </c>
      <c r="B135" s="45"/>
      <c r="C135" s="45"/>
      <c r="D135" s="46">
        <f>SUM(D130:D134)</f>
      </c>
      <c r="E135" s="46">
        <f>SUM(E130:E134)</f>
      </c>
      <c r="F135" s="46">
        <f>SUM(F130:F134)</f>
      </c>
      <c r="G135" s="46">
        <f>SUM(G130:G134)</f>
      </c>
      <c r="H135" s="48">
        <f t="shared" si="4"/>
      </c>
      <c r="I135" s="48">
        <f t="shared" si="1"/>
      </c>
      <c r="J135" s="48">
        <f t="shared" si="5"/>
      </c>
      <c r="K135" s="46">
        <f>SUM(K130:K134)</f>
      </c>
      <c r="L135" s="46">
        <f>SUM(L130:L134)</f>
      </c>
      <c r="M135" s="50"/>
      <c r="N135" s="46">
        <f>SUM(N130:N134)</f>
      </c>
      <c r="O135" s="52"/>
      <c r="P135" s="46">
        <f>SUM(P130:P134)</f>
      </c>
    </row>
    <row r="136">
      <c r="A136" s="32" t="s">
        <v>134</v>
      </c>
      <c r="B136" s="40" t="s">
        <v>117</v>
      </c>
      <c r="C136" s="34" t="s">
        <v>104</v>
      </c>
      <c r="D136" s="34">
        <v>4</v>
      </c>
      <c r="E136" s="34">
        <v>14</v>
      </c>
      <c r="F136" s="34">
        <v>12166.08</v>
      </c>
      <c r="G136" s="35">
        <v>6689.900000000001</v>
      </c>
      <c r="H136" s="35">
        <f t="shared" si="4"/>
      </c>
      <c r="I136" s="36">
        <f t="shared" si="1"/>
      </c>
      <c r="J136" s="36">
        <f t="shared" si="5"/>
      </c>
      <c r="K136" s="34">
        <v>6</v>
      </c>
      <c r="L136" s="37">
        <v>5412</v>
      </c>
      <c r="M136" s="38"/>
      <c r="N136" s="39"/>
      <c r="O136" s="33" t="s">
        <v>131</v>
      </c>
      <c r="P136" s="33">
        <v>10</v>
      </c>
    </row>
    <row r="137">
      <c r="A137" s="32" t="s">
        <v>134</v>
      </c>
      <c r="B137" s="40" t="s">
        <v>88</v>
      </c>
      <c r="C137" s="34" t="s">
        <v>105</v>
      </c>
      <c r="D137" s="34">
        <v>4</v>
      </c>
      <c r="E137" s="34">
        <v>1</v>
      </c>
      <c r="F137" s="34">
        <v>569</v>
      </c>
      <c r="G137" s="41">
        <v>4936.86</v>
      </c>
      <c r="H137" s="35">
        <f t="shared" si="4"/>
      </c>
      <c r="I137" s="36">
        <f t="shared" si="1"/>
      </c>
      <c r="J137" s="36">
        <f t="shared" si="5"/>
      </c>
      <c r="K137" s="34">
        <v>0</v>
      </c>
      <c r="L137" s="37">
        <v>0</v>
      </c>
      <c r="M137" s="42" t="s">
        <v>87</v>
      </c>
      <c r="N137" s="39">
        <v>10</v>
      </c>
      <c r="O137" s="43"/>
      <c r="P137" s="39"/>
    </row>
    <row r="138">
      <c r="A138" s="32" t="s">
        <v>134</v>
      </c>
      <c r="B138" s="40" t="s">
        <v>82</v>
      </c>
      <c r="C138" s="34" t="s">
        <v>106</v>
      </c>
      <c r="D138" s="34">
        <v>4</v>
      </c>
      <c r="E138" s="34">
        <v>4</v>
      </c>
      <c r="F138" s="34">
        <v>2438</v>
      </c>
      <c r="G138" s="34">
        <v>3041.41</v>
      </c>
      <c r="H138" s="35">
        <f t="shared" si="4"/>
      </c>
      <c r="I138" s="36">
        <f t="shared" si="1"/>
      </c>
      <c r="J138" s="36">
        <f t="shared" si="5"/>
      </c>
      <c r="K138" s="34">
        <v>2</v>
      </c>
      <c r="L138" s="37">
        <v>1572</v>
      </c>
      <c r="M138" s="42"/>
      <c r="N138" s="39"/>
      <c r="O138" s="43"/>
      <c r="P138" s="39"/>
    </row>
    <row r="139">
      <c r="A139" s="32" t="s">
        <v>134</v>
      </c>
      <c r="B139" s="40" t="s">
        <v>90</v>
      </c>
      <c r="C139" s="34" t="s">
        <v>108</v>
      </c>
      <c r="D139" s="34">
        <v>4</v>
      </c>
      <c r="E139" s="34">
        <v>6</v>
      </c>
      <c r="F139" s="34">
        <v>6834</v>
      </c>
      <c r="G139" s="34">
        <v>4746.55</v>
      </c>
      <c r="H139" s="35">
        <f t="shared" si="4"/>
      </c>
      <c r="I139" s="36">
        <f t="shared" si="1"/>
      </c>
      <c r="J139" s="36">
        <f t="shared" si="5"/>
      </c>
      <c r="K139" s="34">
        <v>2</v>
      </c>
      <c r="L139" s="37">
        <v>1134</v>
      </c>
      <c r="M139" s="42" t="s">
        <v>135</v>
      </c>
      <c r="N139" s="39">
        <v>10</v>
      </c>
      <c r="O139" s="43" t="s">
        <v>93</v>
      </c>
      <c r="P139" s="33">
        <v>10</v>
      </c>
    </row>
    <row r="140">
      <c r="A140" s="32" t="s">
        <v>134</v>
      </c>
      <c r="B140" s="40" t="s">
        <v>85</v>
      </c>
      <c r="C140" s="34" t="s">
        <v>109</v>
      </c>
      <c r="D140" s="34">
        <v>4</v>
      </c>
      <c r="E140" s="34">
        <v>7</v>
      </c>
      <c r="F140" s="34">
        <v>8154</v>
      </c>
      <c r="G140" s="34">
        <v>9645.87</v>
      </c>
      <c r="H140" s="35">
        <f t="shared" si="4"/>
      </c>
      <c r="I140" s="36">
        <f t="shared" si="1"/>
      </c>
      <c r="J140" s="36">
        <f t="shared" si="5"/>
      </c>
      <c r="K140" s="34">
        <v>3</v>
      </c>
      <c r="L140" s="37">
        <v>3430.8</v>
      </c>
      <c r="M140" s="42"/>
      <c r="N140" s="39"/>
      <c r="O140" s="43"/>
      <c r="P140" s="33"/>
    </row>
    <row r="141">
      <c r="A141" s="44" t="s">
        <v>134</v>
      </c>
      <c r="B141" s="45"/>
      <c r="C141" s="45"/>
      <c r="D141" s="46">
        <f>SUM(D136:D140)</f>
      </c>
      <c r="E141" s="46">
        <f>SUM(E136:E140)</f>
      </c>
      <c r="F141" s="46">
        <f>SUM(F136:F140)</f>
      </c>
      <c r="G141" s="46">
        <f>SUM(G136:G140)</f>
      </c>
      <c r="H141" s="48">
        <f t="shared" si="4"/>
      </c>
      <c r="I141" s="48">
        <f t="shared" si="1"/>
      </c>
      <c r="J141" s="48">
        <f t="shared" si="5"/>
      </c>
      <c r="K141" s="46">
        <f>SUM(K136:K140)</f>
      </c>
      <c r="L141" s="46">
        <f>SUM(L136:L140)</f>
      </c>
      <c r="M141" s="50"/>
      <c r="N141" s="46">
        <f>SUM(N136:N140)</f>
      </c>
      <c r="O141" s="52"/>
      <c r="P141" s="46">
        <f>SUM(P136:P140)</f>
      </c>
    </row>
    <row r="142">
      <c r="A142" s="32" t="s">
        <v>136</v>
      </c>
      <c r="B142" s="40" t="s">
        <v>117</v>
      </c>
      <c r="C142" s="34" t="s">
        <v>104</v>
      </c>
      <c r="D142" s="34">
        <v>4</v>
      </c>
      <c r="E142" s="34">
        <v>0</v>
      </c>
      <c r="F142" s="34">
        <v>0</v>
      </c>
      <c r="G142" s="35">
        <v>6012.04</v>
      </c>
      <c r="H142" s="35">
        <f t="shared" si="4"/>
      </c>
      <c r="I142" s="36">
        <f t="shared" si="1"/>
      </c>
      <c r="J142" s="36">
        <f t="shared" si="5"/>
      </c>
      <c r="K142" s="34">
        <v>0</v>
      </c>
      <c r="L142" s="37">
        <v>0</v>
      </c>
      <c r="M142" s="38"/>
      <c r="N142" s="39"/>
      <c r="O142" s="33" t="s">
        <v>131</v>
      </c>
      <c r="P142" s="33">
        <v>10</v>
      </c>
    </row>
    <row r="143">
      <c r="A143" s="32" t="s">
        <v>136</v>
      </c>
      <c r="B143" s="40" t="s">
        <v>88</v>
      </c>
      <c r="C143" s="34" t="s">
        <v>105</v>
      </c>
      <c r="D143" s="34">
        <v>4</v>
      </c>
      <c r="E143" s="34">
        <v>1</v>
      </c>
      <c r="F143" s="34">
        <v>1542</v>
      </c>
      <c r="G143" s="41">
        <v>4843.03</v>
      </c>
      <c r="H143" s="35">
        <f t="shared" si="4"/>
      </c>
      <c r="I143" s="36">
        <f t="shared" si="1"/>
      </c>
      <c r="J143" s="36">
        <f t="shared" si="5"/>
      </c>
      <c r="K143" s="34">
        <v>0</v>
      </c>
      <c r="L143" s="37">
        <v>0</v>
      </c>
      <c r="M143" s="42" t="s">
        <v>87</v>
      </c>
      <c r="N143" s="39">
        <v>10</v>
      </c>
      <c r="O143" s="43"/>
      <c r="P143" s="39"/>
    </row>
    <row r="144">
      <c r="A144" s="32" t="s">
        <v>136</v>
      </c>
      <c r="B144" s="40" t="s">
        <v>82</v>
      </c>
      <c r="C144" s="34" t="s">
        <v>106</v>
      </c>
      <c r="D144" s="34">
        <v>4</v>
      </c>
      <c r="E144" s="34">
        <v>3</v>
      </c>
      <c r="F144" s="34">
        <v>4586.4</v>
      </c>
      <c r="G144" s="34">
        <v>4232.47</v>
      </c>
      <c r="H144" s="35">
        <f t="shared" si="4"/>
      </c>
      <c r="I144" s="36">
        <f t="shared" si="1"/>
      </c>
      <c r="J144" s="36">
        <f t="shared" si="5"/>
      </c>
      <c r="K144" s="34">
        <v>1</v>
      </c>
      <c r="L144" s="37">
        <v>715.2</v>
      </c>
      <c r="M144" s="42"/>
      <c r="N144" s="39"/>
      <c r="O144" s="43"/>
      <c r="P144" s="39"/>
    </row>
    <row r="145">
      <c r="A145" s="32" t="s">
        <v>136</v>
      </c>
      <c r="B145" s="40" t="s">
        <v>90</v>
      </c>
      <c r="C145" s="34" t="s">
        <v>108</v>
      </c>
      <c r="D145" s="34">
        <v>4</v>
      </c>
      <c r="E145" s="34">
        <v>1</v>
      </c>
      <c r="F145" s="34">
        <v>2467.2</v>
      </c>
      <c r="G145" s="34">
        <v>1696.66</v>
      </c>
      <c r="H145" s="35">
        <f t="shared" si="4"/>
      </c>
      <c r="I145" s="36">
        <f t="shared" si="1"/>
      </c>
      <c r="J145" s="36">
        <f t="shared" si="5"/>
      </c>
      <c r="K145" s="34">
        <v>0</v>
      </c>
      <c r="L145" s="37">
        <v>0</v>
      </c>
      <c r="M145" s="42" t="s">
        <v>135</v>
      </c>
      <c r="N145" s="39">
        <v>10</v>
      </c>
      <c r="O145" s="43" t="s">
        <v>93</v>
      </c>
      <c r="P145" s="33">
        <v>10</v>
      </c>
    </row>
    <row r="146">
      <c r="A146" s="32" t="s">
        <v>136</v>
      </c>
      <c r="B146" s="40" t="s">
        <v>85</v>
      </c>
      <c r="C146" s="34" t="s">
        <v>109</v>
      </c>
      <c r="D146" s="34">
        <v>4</v>
      </c>
      <c r="E146" s="34">
        <v>1</v>
      </c>
      <c r="F146" s="34">
        <v>2071.2</v>
      </c>
      <c r="G146" s="34">
        <v>2433.96</v>
      </c>
      <c r="H146" s="35">
        <f t="shared" si="4"/>
      </c>
      <c r="I146" s="36">
        <f t="shared" si="1"/>
      </c>
      <c r="J146" s="36">
        <f t="shared" si="5"/>
      </c>
      <c r="K146" s="34">
        <v>0</v>
      </c>
      <c r="L146" s="37">
        <v>0</v>
      </c>
      <c r="M146" s="42"/>
      <c r="N146" s="39"/>
      <c r="O146" s="43"/>
      <c r="P146" s="33"/>
    </row>
    <row r="147">
      <c r="A147" s="44" t="s">
        <v>136</v>
      </c>
      <c r="B147" s="45"/>
      <c r="C147" s="45"/>
      <c r="D147" s="46">
        <f>SUM(D142:D146)</f>
      </c>
      <c r="E147" s="46">
        <f>SUM(E142:E146)</f>
      </c>
      <c r="F147" s="46">
        <f>SUM(F142:F146)</f>
      </c>
      <c r="G147" s="46">
        <f>SUM(G142:G146)</f>
      </c>
      <c r="H147" s="48">
        <f t="shared" si="4"/>
      </c>
      <c r="I147" s="48">
        <f t="shared" si="1"/>
      </c>
      <c r="J147" s="48">
        <f t="shared" si="5"/>
      </c>
      <c r="K147" s="46">
        <f>SUM(K142:K146)</f>
      </c>
      <c r="L147" s="46">
        <f>SUM(L142:L146)</f>
      </c>
      <c r="M147" s="50"/>
      <c r="N147" s="46">
        <f>SUM(N142:N146)</f>
      </c>
      <c r="O147" s="52"/>
      <c r="P147" s="46">
        <f>SUM(P142:P146)</f>
      </c>
    </row>
    <row r="148">
      <c r="A148" s="32" t="s">
        <v>137</v>
      </c>
      <c r="B148" s="40" t="s">
        <v>96</v>
      </c>
      <c r="C148" s="34" t="s">
        <v>104</v>
      </c>
      <c r="D148" s="34">
        <v>4</v>
      </c>
      <c r="E148" s="34">
        <v>3</v>
      </c>
      <c r="F148" s="34">
        <v>3775.2</v>
      </c>
      <c r="G148" s="35">
        <v>4996.39</v>
      </c>
      <c r="H148" s="35">
        <f t="shared" si="4"/>
      </c>
      <c r="I148" s="36">
        <f t="shared" si="1"/>
      </c>
      <c r="J148" s="36">
        <f t="shared" si="5"/>
      </c>
      <c r="K148" s="34">
        <v>2</v>
      </c>
      <c r="L148" s="37">
        <v>3570</v>
      </c>
      <c r="M148" s="38"/>
      <c r="N148" s="39"/>
      <c r="O148" s="33" t="s">
        <v>131</v>
      </c>
      <c r="P148" s="33">
        <v>10</v>
      </c>
    </row>
    <row r="149">
      <c r="A149" s="32" t="s">
        <v>137</v>
      </c>
      <c r="B149" s="40" t="s">
        <v>82</v>
      </c>
      <c r="C149" s="34" t="s">
        <v>105</v>
      </c>
      <c r="D149" s="34">
        <v>4</v>
      </c>
      <c r="E149" s="34">
        <v>4</v>
      </c>
      <c r="F149" s="34">
        <v>4633.92</v>
      </c>
      <c r="G149" s="41">
        <v>5105.54</v>
      </c>
      <c r="H149" s="35">
        <f t="shared" si="4"/>
      </c>
      <c r="I149" s="36">
        <f t="shared" si="1"/>
      </c>
      <c r="J149" s="36">
        <f t="shared" si="5"/>
      </c>
      <c r="K149" s="34">
        <v>3</v>
      </c>
      <c r="L149" s="37">
        <v>2562.72</v>
      </c>
      <c r="M149" s="42" t="s">
        <v>87</v>
      </c>
      <c r="N149" s="39">
        <v>10</v>
      </c>
      <c r="O149" s="43"/>
      <c r="P149" s="39"/>
    </row>
    <row r="150">
      <c r="A150" s="32" t="s">
        <v>137</v>
      </c>
      <c r="B150" s="40" t="s">
        <v>90</v>
      </c>
      <c r="C150" s="34" t="s">
        <v>106</v>
      </c>
      <c r="D150" s="34">
        <v>4</v>
      </c>
      <c r="E150" s="34">
        <v>0</v>
      </c>
      <c r="F150" s="34">
        <v>0</v>
      </c>
      <c r="G150" s="34">
        <v>1757.23</v>
      </c>
      <c r="H150" s="35">
        <f t="shared" si="4"/>
      </c>
      <c r="I150" s="36">
        <f t="shared" si="1"/>
      </c>
      <c r="J150" s="36">
        <f t="shared" si="5"/>
      </c>
      <c r="K150" s="34">
        <v>0</v>
      </c>
      <c r="L150" s="37">
        <v>0</v>
      </c>
      <c r="M150" s="42"/>
      <c r="N150" s="39"/>
      <c r="O150" s="43"/>
      <c r="P150" s="39"/>
    </row>
    <row r="151">
      <c r="A151" s="32" t="s">
        <v>137</v>
      </c>
      <c r="B151" s="40" t="s">
        <v>85</v>
      </c>
      <c r="C151" s="34" t="s">
        <v>108</v>
      </c>
      <c r="D151" s="34">
        <v>4</v>
      </c>
      <c r="E151" s="34">
        <v>1</v>
      </c>
      <c r="F151" s="34">
        <v>787.2</v>
      </c>
      <c r="G151" s="34">
        <v>2492.78</v>
      </c>
      <c r="H151" s="35">
        <f t="shared" si="4"/>
      </c>
      <c r="I151" s="36">
        <f t="shared" si="1"/>
      </c>
      <c r="J151" s="36">
        <f t="shared" si="5"/>
      </c>
      <c r="K151" s="34">
        <v>1</v>
      </c>
      <c r="L151" s="37">
        <v>787.2</v>
      </c>
      <c r="M151" s="42" t="s">
        <v>135</v>
      </c>
      <c r="N151" s="39">
        <v>10</v>
      </c>
      <c r="O151" s="43" t="s">
        <v>93</v>
      </c>
      <c r="P151" s="33">
        <v>10</v>
      </c>
    </row>
    <row r="152">
      <c r="A152" s="32" t="s">
        <v>137</v>
      </c>
      <c r="B152" s="40" t="s">
        <v>88</v>
      </c>
      <c r="C152" s="34" t="s">
        <v>109</v>
      </c>
      <c r="D152" s="34">
        <v>4</v>
      </c>
      <c r="E152" s="34">
        <v>2</v>
      </c>
      <c r="F152" s="34">
        <v>822.8</v>
      </c>
      <c r="G152" s="34">
        <v>4534.41</v>
      </c>
      <c r="H152" s="35">
        <f t="shared" si="4"/>
      </c>
      <c r="I152" s="36">
        <f t="shared" si="1"/>
      </c>
      <c r="J152" s="36">
        <f t="shared" si="5"/>
      </c>
      <c r="K152" s="34">
        <v>2</v>
      </c>
      <c r="L152" s="37">
        <v>822.8</v>
      </c>
      <c r="M152" s="42"/>
      <c r="N152" s="39"/>
      <c r="O152" s="43"/>
      <c r="P152" s="33"/>
    </row>
    <row r="153">
      <c r="A153" s="44" t="s">
        <v>137</v>
      </c>
      <c r="B153" s="45"/>
      <c r="C153" s="45"/>
      <c r="D153" s="46">
        <f>SUM(D148:D152)</f>
      </c>
      <c r="E153" s="46">
        <f>SUM(E148:E152)</f>
      </c>
      <c r="F153" s="46">
        <f>SUM(F148:F152)</f>
      </c>
      <c r="G153" s="46">
        <f>SUM(G148:G152)</f>
      </c>
      <c r="H153" s="48">
        <f t="shared" si="4"/>
      </c>
      <c r="I153" s="48">
        <f t="shared" si="1"/>
      </c>
      <c r="J153" s="48">
        <f t="shared" si="5"/>
      </c>
      <c r="K153" s="46">
        <f>SUM(K148:K152)</f>
      </c>
      <c r="L153" s="46">
        <f>SUM(L148:L152)</f>
      </c>
      <c r="M153" s="50"/>
      <c r="N153" s="46">
        <f>SUM(N148:N152)</f>
      </c>
      <c r="O153" s="52"/>
      <c r="P153" s="46">
        <f>SUM(P148:P152)</f>
      </c>
    </row>
    <row r="154">
      <c r="A154" s="32" t="s">
        <v>138</v>
      </c>
      <c r="B154" s="40" t="s">
        <v>96</v>
      </c>
      <c r="C154" s="34" t="s">
        <v>104</v>
      </c>
      <c r="D154" s="34">
        <v>4</v>
      </c>
      <c r="E154" s="34">
        <v>5</v>
      </c>
      <c r="F154" s="34">
        <v>8433.6</v>
      </c>
      <c r="G154" s="35">
        <v>7505.9400000000005</v>
      </c>
      <c r="H154" s="35">
        <f t="shared" si="4"/>
      </c>
      <c r="I154" s="36">
        <f t="shared" si="1"/>
      </c>
      <c r="J154" s="36">
        <f t="shared" si="5"/>
      </c>
      <c r="K154" s="34">
        <v>0</v>
      </c>
      <c r="L154" s="37">
        <v>0</v>
      </c>
      <c r="M154" s="38"/>
      <c r="N154" s="39"/>
      <c r="O154" s="33" t="s">
        <v>131</v>
      </c>
      <c r="P154" s="33">
        <v>10</v>
      </c>
    </row>
    <row r="155">
      <c r="A155" s="32" t="s">
        <v>138</v>
      </c>
      <c r="B155" s="40" t="s">
        <v>82</v>
      </c>
      <c r="C155" s="34" t="s">
        <v>105</v>
      </c>
      <c r="D155" s="53">
        <f>4-1.25</f>
      </c>
      <c r="E155" s="34">
        <v>2</v>
      </c>
      <c r="F155" s="34">
        <v>2863.199999999999</v>
      </c>
      <c r="G155" s="41">
        <v>2843.89</v>
      </c>
      <c r="H155" s="35">
        <f t="shared" si="4"/>
      </c>
      <c r="I155" s="36">
        <f t="shared" si="1"/>
      </c>
      <c r="J155" s="36">
        <f t="shared" si="5"/>
      </c>
      <c r="K155" s="34">
        <v>0</v>
      </c>
      <c r="L155" s="37">
        <v>0</v>
      </c>
      <c r="M155" s="42" t="s">
        <v>139</v>
      </c>
      <c r="N155" s="39">
        <v>10</v>
      </c>
      <c r="O155" s="43"/>
      <c r="P155" s="39"/>
    </row>
    <row r="156">
      <c r="A156" s="32" t="s">
        <v>138</v>
      </c>
      <c r="B156" s="40" t="s">
        <v>90</v>
      </c>
      <c r="C156" s="34" t="s">
        <v>106</v>
      </c>
      <c r="D156" s="34">
        <v>4</v>
      </c>
      <c r="E156" s="34">
        <v>4</v>
      </c>
      <c r="F156" s="34">
        <v>2624.4</v>
      </c>
      <c r="G156" s="34">
        <v>6396.57</v>
      </c>
      <c r="H156" s="35">
        <f t="shared" si="4"/>
      </c>
      <c r="I156" s="36">
        <f t="shared" si="1"/>
      </c>
      <c r="J156" s="36">
        <f t="shared" si="5"/>
      </c>
      <c r="K156" s="34">
        <v>3</v>
      </c>
      <c r="L156" s="37">
        <v>1885.2</v>
      </c>
      <c r="M156" s="42"/>
      <c r="N156" s="39"/>
      <c r="O156" s="43"/>
      <c r="P156" s="39"/>
    </row>
    <row r="157">
      <c r="A157" s="32" t="s">
        <v>138</v>
      </c>
      <c r="B157" s="40" t="s">
        <v>85</v>
      </c>
      <c r="C157" s="34" t="s">
        <v>108</v>
      </c>
      <c r="D157" s="34">
        <v>4</v>
      </c>
      <c r="E157" s="34">
        <v>9</v>
      </c>
      <c r="F157" s="34">
        <v>8143.8</v>
      </c>
      <c r="G157" s="34">
        <v>5935.45</v>
      </c>
      <c r="H157" s="35">
        <f t="shared" si="4"/>
      </c>
      <c r="I157" s="36">
        <f t="shared" si="1"/>
      </c>
      <c r="J157" s="36">
        <f t="shared" si="5"/>
      </c>
      <c r="K157" s="34">
        <v>2</v>
      </c>
      <c r="L157" s="37">
        <v>2467.2</v>
      </c>
      <c r="M157" s="42" t="s">
        <v>135</v>
      </c>
      <c r="N157" s="39">
        <v>10</v>
      </c>
      <c r="O157" s="43" t="s">
        <v>93</v>
      </c>
      <c r="P157" s="33">
        <v>10</v>
      </c>
    </row>
    <row r="158">
      <c r="A158" s="32" t="s">
        <v>138</v>
      </c>
      <c r="B158" s="40" t="s">
        <v>88</v>
      </c>
      <c r="C158" s="34" t="s">
        <v>109</v>
      </c>
      <c r="D158" s="34">
        <v>4</v>
      </c>
      <c r="E158" s="34">
        <v>16</v>
      </c>
      <c r="F158" s="34">
        <v>15412.6</v>
      </c>
      <c r="G158" s="34">
        <v>7352.31</v>
      </c>
      <c r="H158" s="35">
        <f t="shared" si="4"/>
      </c>
      <c r="I158" s="36">
        <f t="shared" si="1"/>
      </c>
      <c r="J158" s="36">
        <f t="shared" si="5"/>
      </c>
      <c r="K158" s="34">
        <v>0</v>
      </c>
      <c r="L158" s="37">
        <v>0</v>
      </c>
      <c r="M158" s="42"/>
      <c r="N158" s="39"/>
      <c r="O158" s="43"/>
      <c r="P158" s="33"/>
    </row>
    <row r="159">
      <c r="A159" s="44" t="s">
        <v>138</v>
      </c>
      <c r="B159" s="45"/>
      <c r="C159" s="45"/>
      <c r="D159" s="46">
        <f>SUM(D154:D158)</f>
      </c>
      <c r="E159" s="46">
        <f>SUM(E154:E158)</f>
      </c>
      <c r="F159" s="46">
        <f>SUM(F154:F158)</f>
      </c>
      <c r="G159" s="46">
        <f>SUM(G154:G158)</f>
      </c>
      <c r="H159" s="48">
        <f t="shared" si="4"/>
      </c>
      <c r="I159" s="48">
        <f t="shared" si="1"/>
      </c>
      <c r="J159" s="48">
        <f t="shared" si="5"/>
      </c>
      <c r="K159" s="46">
        <f>SUM(K154:K158)</f>
      </c>
      <c r="L159" s="46">
        <f>SUM(L154:L158)</f>
      </c>
      <c r="M159" s="50"/>
      <c r="N159" s="46">
        <f>SUM(N154:N158)</f>
      </c>
      <c r="O159" s="52"/>
      <c r="P159" s="46">
        <f>SUM(P154:P158)</f>
      </c>
    </row>
    <row r="160">
      <c r="A160" s="32" t="s">
        <v>140</v>
      </c>
      <c r="B160" s="40" t="s">
        <v>117</v>
      </c>
      <c r="C160" s="34" t="s">
        <v>104</v>
      </c>
      <c r="D160" s="34">
        <v>4</v>
      </c>
      <c r="E160" s="34">
        <v>4</v>
      </c>
      <c r="F160" s="34">
        <v>7280.4</v>
      </c>
      <c r="G160" s="35">
        <v>6568.0599999999995</v>
      </c>
      <c r="H160" s="35">
        <f t="shared" si="4"/>
      </c>
      <c r="I160" s="36">
        <f t="shared" si="1"/>
      </c>
      <c r="J160" s="36">
        <f t="shared" si="5"/>
      </c>
      <c r="K160" s="34">
        <v>0</v>
      </c>
      <c r="L160" s="37">
        <v>0</v>
      </c>
      <c r="M160" s="38"/>
      <c r="N160" s="39"/>
      <c r="O160" s="33" t="s">
        <v>131</v>
      </c>
      <c r="P160" s="33">
        <v>10</v>
      </c>
    </row>
    <row r="161">
      <c r="A161" s="32" t="s">
        <v>140</v>
      </c>
      <c r="B161" s="40" t="s">
        <v>90</v>
      </c>
      <c r="C161" s="34" t="s">
        <v>105</v>
      </c>
      <c r="D161" s="34">
        <v>4</v>
      </c>
      <c r="E161" s="34">
        <v>1</v>
      </c>
      <c r="F161" s="34">
        <v>2148</v>
      </c>
      <c r="G161" s="41">
        <v>3623.25</v>
      </c>
      <c r="H161" s="35">
        <f t="shared" si="4"/>
      </c>
      <c r="I161" s="36">
        <f t="shared" si="1"/>
      </c>
      <c r="J161" s="36">
        <f t="shared" si="5"/>
      </c>
      <c r="K161" s="34">
        <v>0</v>
      </c>
      <c r="L161" s="37">
        <v>0</v>
      </c>
      <c r="M161" s="42" t="s">
        <v>139</v>
      </c>
      <c r="N161" s="39">
        <v>10</v>
      </c>
      <c r="O161" s="43"/>
      <c r="P161" s="39"/>
    </row>
    <row r="162">
      <c r="A162" s="32" t="s">
        <v>140</v>
      </c>
      <c r="B162" s="40" t="s">
        <v>85</v>
      </c>
      <c r="C162" s="34" t="s">
        <v>106</v>
      </c>
      <c r="D162" s="34">
        <v>4</v>
      </c>
      <c r="E162" s="34">
        <v>2</v>
      </c>
      <c r="F162" s="34">
        <v>2808</v>
      </c>
      <c r="G162" s="34">
        <v>2945.85</v>
      </c>
      <c r="H162" s="35">
        <f t="shared" si="4"/>
      </c>
      <c r="I162" s="36">
        <f t="shared" si="1"/>
      </c>
      <c r="J162" s="36">
        <f t="shared" si="5"/>
      </c>
      <c r="K162" s="34">
        <v>0</v>
      </c>
      <c r="L162" s="37">
        <v>0</v>
      </c>
      <c r="M162" s="42"/>
      <c r="N162" s="39"/>
      <c r="O162" s="43"/>
      <c r="P162" s="39"/>
    </row>
    <row r="163">
      <c r="A163" s="32" t="s">
        <v>140</v>
      </c>
      <c r="B163" s="40" t="s">
        <v>88</v>
      </c>
      <c r="C163" s="34" t="s">
        <v>108</v>
      </c>
      <c r="D163" s="34">
        <v>4</v>
      </c>
      <c r="E163" s="34">
        <v>2</v>
      </c>
      <c r="F163" s="34">
        <v>3823.2000000000007</v>
      </c>
      <c r="G163" s="34">
        <v>2718.7299999999996</v>
      </c>
      <c r="H163" s="35">
        <f t="shared" si="4"/>
      </c>
      <c r="I163" s="36">
        <f t="shared" si="1"/>
      </c>
      <c r="J163" s="36">
        <f t="shared" si="5"/>
      </c>
      <c r="K163" s="34">
        <v>0</v>
      </c>
      <c r="L163" s="37">
        <v>0</v>
      </c>
      <c r="M163" s="42" t="s">
        <v>141</v>
      </c>
      <c r="N163" s="39">
        <v>10</v>
      </c>
      <c r="O163" s="43" t="s">
        <v>93</v>
      </c>
      <c r="P163" s="33">
        <v>10</v>
      </c>
    </row>
    <row r="164">
      <c r="A164" s="32" t="s">
        <v>140</v>
      </c>
      <c r="B164" s="40" t="s">
        <v>96</v>
      </c>
      <c r="C164" s="34" t="s">
        <v>109</v>
      </c>
      <c r="D164" s="34">
        <v>4</v>
      </c>
      <c r="E164" s="34">
        <v>5</v>
      </c>
      <c r="F164" s="34">
        <v>9184.4</v>
      </c>
      <c r="G164" s="34">
        <v>6240.629999999999</v>
      </c>
      <c r="H164" s="35">
        <f t="shared" si="4"/>
      </c>
      <c r="I164" s="36">
        <f t="shared" si="1"/>
      </c>
      <c r="J164" s="36">
        <f t="shared" si="5"/>
      </c>
      <c r="K164" s="34">
        <v>0</v>
      </c>
      <c r="L164" s="37">
        <v>0</v>
      </c>
      <c r="M164" s="42"/>
      <c r="N164" s="39"/>
      <c r="O164" s="43"/>
      <c r="P164" s="33"/>
    </row>
    <row r="165">
      <c r="A165" s="44" t="s">
        <v>140</v>
      </c>
      <c r="B165" s="45"/>
      <c r="C165" s="45"/>
      <c r="D165" s="46">
        <f>SUM(D160:D164)</f>
      </c>
      <c r="E165" s="46">
        <f>SUM(E160:E164)</f>
      </c>
      <c r="F165" s="46">
        <f>SUM(F160:F164)</f>
      </c>
      <c r="G165" s="46">
        <f>SUM(G160:G164)</f>
      </c>
      <c r="H165" s="48">
        <f t="shared" si="4"/>
      </c>
      <c r="I165" s="48">
        <f t="shared" si="1"/>
      </c>
      <c r="J165" s="48">
        <f t="shared" si="5"/>
      </c>
      <c r="K165" s="46">
        <f>SUM(K160:K164)</f>
      </c>
      <c r="L165" s="46">
        <f>SUM(L160:L164)</f>
      </c>
      <c r="M165" s="50"/>
      <c r="N165" s="46">
        <f>SUM(N160:N164)</f>
      </c>
      <c r="O165" s="52"/>
      <c r="P165" s="46">
        <f>SUM(P160:P164)</f>
      </c>
    </row>
    <row r="166">
      <c r="A166" s="32" t="s">
        <v>142</v>
      </c>
      <c r="B166" s="40" t="s">
        <v>90</v>
      </c>
      <c r="C166" s="34" t="s">
        <v>104</v>
      </c>
      <c r="D166" s="34">
        <v>4</v>
      </c>
      <c r="E166" s="34">
        <v>5</v>
      </c>
      <c r="F166" s="34">
        <v>4470.24</v>
      </c>
      <c r="G166" s="35">
        <v>3194.6200000000003</v>
      </c>
      <c r="H166" s="35">
        <f t="shared" si="4"/>
      </c>
      <c r="I166" s="36">
        <f t="shared" si="1"/>
      </c>
      <c r="J166" s="36">
        <f t="shared" si="5"/>
      </c>
      <c r="K166" s="34">
        <v>1</v>
      </c>
      <c r="L166" s="37">
        <v>2148</v>
      </c>
      <c r="M166" s="38"/>
      <c r="N166" s="39"/>
      <c r="O166" s="33" t="s">
        <v>131</v>
      </c>
      <c r="P166" s="33">
        <v>10</v>
      </c>
    </row>
    <row r="167">
      <c r="A167" s="32" t="s">
        <v>142</v>
      </c>
      <c r="B167" s="40" t="s">
        <v>85</v>
      </c>
      <c r="C167" s="34" t="s">
        <v>105</v>
      </c>
      <c r="D167" s="53">
        <f>4-1.25</f>
      </c>
      <c r="E167" s="34">
        <v>0</v>
      </c>
      <c r="F167" s="34">
        <v>0</v>
      </c>
      <c r="G167" s="41">
        <v>2694.85</v>
      </c>
      <c r="H167" s="35">
        <f t="shared" si="4"/>
      </c>
      <c r="I167" s="36">
        <f t="shared" si="1"/>
      </c>
      <c r="J167" s="36">
        <f t="shared" si="5"/>
      </c>
      <c r="K167" s="34">
        <v>0</v>
      </c>
      <c r="L167" s="37">
        <v>0</v>
      </c>
      <c r="M167" s="42" t="s">
        <v>143</v>
      </c>
      <c r="N167" s="39">
        <v>10</v>
      </c>
      <c r="O167" s="43"/>
      <c r="P167" s="39"/>
    </row>
    <row r="168">
      <c r="A168" s="32" t="s">
        <v>142</v>
      </c>
      <c r="B168" s="40" t="s">
        <v>88</v>
      </c>
      <c r="C168" s="34" t="s">
        <v>106</v>
      </c>
      <c r="D168" s="53">
        <f t="shared" ref="D168:D169" si="0">4-0.75</f>
      </c>
      <c r="E168" s="34">
        <v>0</v>
      </c>
      <c r="F168" s="34">
        <v>0</v>
      </c>
      <c r="G168" s="34">
        <v>2142.97</v>
      </c>
      <c r="H168" s="35">
        <f t="shared" si="4"/>
      </c>
      <c r="I168" s="36">
        <f t="shared" si="1"/>
      </c>
      <c r="J168" s="36">
        <f t="shared" si="5"/>
      </c>
      <c r="K168" s="34">
        <v>0</v>
      </c>
      <c r="L168" s="37">
        <v>0</v>
      </c>
      <c r="M168" s="42"/>
      <c r="N168" s="39"/>
      <c r="O168" s="43"/>
      <c r="P168" s="39"/>
    </row>
    <row r="169">
      <c r="A169" s="32" t="s">
        <v>142</v>
      </c>
      <c r="B169" s="40" t="s">
        <v>96</v>
      </c>
      <c r="C169" s="34" t="s">
        <v>108</v>
      </c>
      <c r="D169" s="53">
        <f t="shared" si="0"/>
      </c>
      <c r="E169" s="34">
        <v>4</v>
      </c>
      <c r="F169" s="34">
        <v>6091.200000000001</v>
      </c>
      <c r="G169" s="34">
        <v>1500.6399999999999</v>
      </c>
      <c r="H169" s="35">
        <f t="shared" si="4"/>
      </c>
      <c r="I169" s="36">
        <f t="shared" si="1"/>
      </c>
      <c r="J169" s="36">
        <f t="shared" si="5"/>
      </c>
      <c r="K169" s="34">
        <v>0</v>
      </c>
      <c r="L169" s="37">
        <v>0</v>
      </c>
      <c r="M169" s="42" t="s">
        <v>141</v>
      </c>
      <c r="N169" s="39">
        <v>10</v>
      </c>
      <c r="O169" s="43" t="s">
        <v>93</v>
      </c>
      <c r="P169" s="33">
        <v>10</v>
      </c>
    </row>
    <row r="170">
      <c r="A170" s="32" t="s">
        <v>142</v>
      </c>
      <c r="B170" s="40" t="s">
        <v>117</v>
      </c>
      <c r="C170" s="34" t="s">
        <v>109</v>
      </c>
      <c r="D170" s="53">
        <f>4-0.5</f>
      </c>
      <c r="E170" s="34">
        <v>3</v>
      </c>
      <c r="F170" s="34">
        <v>4251.199999999999</v>
      </c>
      <c r="G170" s="34">
        <v>3087.94</v>
      </c>
      <c r="H170" s="35">
        <f t="shared" si="4"/>
      </c>
      <c r="I170" s="36">
        <f t="shared" si="1"/>
      </c>
      <c r="J170" s="36">
        <f t="shared" si="5"/>
      </c>
      <c r="K170" s="34">
        <v>0</v>
      </c>
      <c r="L170" s="37">
        <v>0</v>
      </c>
      <c r="M170" s="42"/>
      <c r="N170" s="39"/>
      <c r="O170" s="43"/>
      <c r="P170" s="33"/>
    </row>
    <row r="171">
      <c r="A171" s="44" t="s">
        <v>142</v>
      </c>
      <c r="B171" s="45"/>
      <c r="C171" s="45"/>
      <c r="D171" s="46">
        <f>SUM(D166:D170)</f>
      </c>
      <c r="E171" s="46">
        <f>SUM(E166:E170)</f>
      </c>
      <c r="F171" s="46">
        <f>SUM(F166:F170)</f>
      </c>
      <c r="G171" s="46">
        <f>SUM(G166:G170)</f>
      </c>
      <c r="H171" s="48">
        <f t="shared" si="4"/>
      </c>
      <c r="I171" s="48">
        <f t="shared" si="1"/>
      </c>
      <c r="J171" s="48">
        <f t="shared" si="5"/>
      </c>
      <c r="K171" s="46">
        <f>SUM(K166:K170)</f>
      </c>
      <c r="L171" s="46">
        <f>SUM(L166:L170)</f>
      </c>
      <c r="M171" s="50"/>
      <c r="N171" s="46">
        <f>SUM(N166:N170)</f>
      </c>
      <c r="O171" s="52"/>
      <c r="P171" s="46">
        <f>SUM(P166:P170)</f>
      </c>
    </row>
    <row r="172"/>
    <row r="173"/>
    <row r="174"/>
    <row r="175"/>
    <row r="176"/>
    <row r="177">
      <c r="G177" s="54" t="s">
        <v>144</v>
      </c>
      <c r="H177" s="54" t="s">
        <v>145</v>
      </c>
      <c r="K177" t="s">
        <v>77</v>
      </c>
      <c r="L177" t="s">
        <v>146</v>
      </c>
    </row>
    <row r="178">
      <c r="G178" s="55">
        <f t="shared" ref="G178:G185" si="3">E178/F178</f>
      </c>
      <c r="H178" s="55">
        <f t="shared" ref="H178:H185" si="2">F178/D178</f>
      </c>
      <c r="K178" t="s">
        <v>139</v>
      </c>
      <c r="L178">
        <v>20</v>
      </c>
      <c r="M178">
        <v>2</v>
      </c>
    </row>
    <row r="179">
      <c r="G179" s="55">
        <f t="shared" si="3"/>
      </c>
      <c r="H179" s="55">
        <f t="shared" si="2"/>
      </c>
      <c r="K179" t="s">
        <v>114</v>
      </c>
      <c r="L179">
        <v>8</v>
      </c>
    </row>
    <row r="180">
      <c r="G180" s="55">
        <f t="shared" si="3"/>
      </c>
      <c r="H180" s="55">
        <f t="shared" si="2"/>
      </c>
      <c r="K180" t="s">
        <v>115</v>
      </c>
      <c r="L180">
        <v>2</v>
      </c>
      <c r="M180">
        <v>1</v>
      </c>
    </row>
    <row r="181">
      <c r="G181" s="55">
        <f t="shared" si="3"/>
      </c>
      <c r="H181" s="55">
        <f t="shared" si="2"/>
      </c>
      <c r="J181" s="56"/>
      <c r="K181" t="s">
        <v>101</v>
      </c>
      <c r="L181">
        <v>40</v>
      </c>
      <c r="M181">
        <v>4</v>
      </c>
    </row>
    <row r="182">
      <c r="G182" s="55">
        <f t="shared" si="3"/>
      </c>
      <c r="H182" s="55">
        <f t="shared" si="2"/>
      </c>
      <c r="J182" s="56"/>
      <c r="K182" t="s">
        <v>143</v>
      </c>
      <c r="L182">
        <v>10</v>
      </c>
    </row>
    <row r="183">
      <c r="G183" s="55">
        <f t="shared" si="3"/>
      </c>
      <c r="H183" s="55">
        <f t="shared" si="2"/>
      </c>
      <c r="J183" s="56"/>
      <c r="K183" t="s">
        <v>126</v>
      </c>
      <c r="L183">
        <v>40</v>
      </c>
      <c r="M183">
        <v>4</v>
      </c>
    </row>
    <row r="184">
      <c r="G184" s="55">
        <f t="shared" si="3"/>
      </c>
      <c r="H184" s="55">
        <f t="shared" si="2"/>
      </c>
      <c r="J184" s="56"/>
      <c r="K184" t="s">
        <v>113</v>
      </c>
      <c r="L184">
        <v>5</v>
      </c>
    </row>
    <row r="185">
      <c r="G185" s="55">
        <f t="shared" si="3"/>
      </c>
      <c r="H185" s="55">
        <f t="shared" si="2"/>
      </c>
      <c r="J185" s="56"/>
      <c r="K185" t="s">
        <v>141</v>
      </c>
      <c r="L185">
        <v>20</v>
      </c>
      <c r="M185">
        <v>2</v>
      </c>
    </row>
    <row r="186">
      <c r="J186" s="56"/>
      <c r="K186" t="s">
        <v>87</v>
      </c>
      <c r="L186">
        <v>200</v>
      </c>
      <c r="M186">
        <v>20</v>
      </c>
    </row>
    <row r="187">
      <c r="J187" s="56"/>
      <c r="K187" t="s">
        <v>98</v>
      </c>
      <c r="L187">
        <v>10</v>
      </c>
      <c r="M187">
        <v>1</v>
      </c>
    </row>
    <row r="188">
      <c r="K188" t="s">
        <v>135</v>
      </c>
      <c r="L188">
        <v>40</v>
      </c>
      <c r="M188">
        <v>4</v>
      </c>
    </row>
    <row r="189">
      <c r="K189" t="s">
        <v>132</v>
      </c>
      <c r="L189">
        <v>10</v>
      </c>
      <c r="M189">
        <v>1</v>
      </c>
    </row>
    <row r="190">
      <c r="K190" t="s">
        <v>123</v>
      </c>
      <c r="L190">
        <v>80</v>
      </c>
      <c r="M190">
        <v>8</v>
      </c>
    </row>
    <row r="191">
      <c r="K191" t="s">
        <v>92</v>
      </c>
      <c r="L191">
        <v>110</v>
      </c>
      <c r="M191">
        <v>11</v>
      </c>
    </row>
    <row r="192">
      <c r="K192" t="s">
        <v>147</v>
      </c>
      <c r="L192">
        <v>595</v>
      </c>
      <c r="M192">
        <f>SUM(M178:M191)</f>
      </c>
    </row>
  </sheetData>
  <autoFilter ref="A1:P171"/>
  <dataValidations count="3">
    <dataValidation allowBlank="true" errorStyle="stop" showErrorMessage="true" sqref="B2:B5 B7:B10 B12:B15 B17:B20 B22:B25 B27:B30 B32:B35 B59:B62" type="list">
      <formula1>"刘慕涵,林育菁,栗敏纳,张晓薇,连贝贝,郝铭扬,李莹"</formula1>
    </dataValidation>
    <dataValidation allowBlank="true" errorStyle="stop" showErrorMessage="true" sqref="B37:B41 B43:B47 B49:B53 B55:B57" type="list">
      <formula1>"刘慕涵,张晓薇,连贝贝,郝铭扬,李莹,陈旭"</formula1>
    </dataValidation>
    <dataValidation allowBlank="true" errorStyle="stop" showErrorMessage="true" sqref="B64:B68 B70:B74 B76:B80 B82:B86 B88:B92 B94:B98 B100:B104 B106:B110 B112:B116 B118:B122 B124:B128 B130:B134 B136:B140 B142:B146 B148:B152 B154:B158 B160:B164 B166:B170" type="list">
      <formula1>"刘慕涵,张晓薇,连贝贝,郝铭扬,李莹,陈旭,栗敏纳"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2" min="2" style="0" width="10.64788732394366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" min="1" style="0" width="10.64788732394366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2.82075264084507"/>
    <col collapsed="false" customWidth="true" hidden="false" max="16" min="16" style="0" width="11.211267605633802"/>
  </cols>
  <sheetData>
    <row customHeight="true" ht="23.80952380952381" r="1">
      <c r="A1" s="57" t="s">
        <v>148</v>
      </c>
      <c r="B1" s="58" t="s">
        <v>149</v>
      </c>
      <c r="C1" s="58" t="s">
        <v>150</v>
      </c>
      <c r="D1" s="58" t="s">
        <v>151</v>
      </c>
      <c r="E1" s="58" t="s">
        <v>152</v>
      </c>
      <c r="F1" s="59" t="s">
        <v>153</v>
      </c>
      <c r="G1" s="59" t="s">
        <v>154</v>
      </c>
      <c r="H1" s="59" t="s">
        <v>155</v>
      </c>
      <c r="I1" s="59" t="s">
        <v>156</v>
      </c>
      <c r="J1" s="59" t="s">
        <v>157</v>
      </c>
      <c r="K1" s="58" t="s">
        <v>158</v>
      </c>
      <c r="L1" s="60" t="s">
        <v>159</v>
      </c>
      <c r="M1" s="60" t="s">
        <v>160</v>
      </c>
      <c r="N1" s="61" t="s">
        <v>161</v>
      </c>
      <c r="O1" s="61" t="s">
        <v>162</v>
      </c>
      <c r="P1" s="61" t="s">
        <v>163</v>
      </c>
    </row>
    <row customHeight="true" ht="23.80952380952381" r="2">
      <c r="A2" s="62" t="s">
        <v>164</v>
      </c>
      <c r="B2" s="63" t="s">
        <v>165</v>
      </c>
      <c r="C2" s="64" t="s">
        <v>166</v>
      </c>
      <c r="D2" s="64">
        <v>5</v>
      </c>
      <c r="E2" s="64">
        <v>20</v>
      </c>
      <c r="F2" s="64">
        <v>22451.4</v>
      </c>
      <c r="G2" s="64">
        <v>16697.08</v>
      </c>
      <c r="H2" s="65">
        <f t="shared" ref="H2:H185" si="2">F2/G2</f>
      </c>
      <c r="I2" s="66">
        <f t="shared" ref="I2:I185" si="0">F2/E2</f>
      </c>
      <c r="J2" s="66">
        <f t="shared" ref="J2:J156" si="3">G2/E2</f>
      </c>
      <c r="K2" s="64">
        <v>2</v>
      </c>
      <c r="L2" s="67">
        <v>2690.4</v>
      </c>
      <c r="M2" s="68"/>
      <c r="N2" s="69"/>
      <c r="O2" s="70" t="s">
        <v>167</v>
      </c>
      <c r="P2" s="71">
        <v>10</v>
      </c>
    </row>
    <row customHeight="true" ht="23.80952380952381" r="3">
      <c r="A3" s="62" t="s">
        <v>164</v>
      </c>
      <c r="B3" s="63" t="s">
        <v>168</v>
      </c>
      <c r="C3" s="64" t="s">
        <v>169</v>
      </c>
      <c r="D3" s="64">
        <v>5</v>
      </c>
      <c r="E3" s="64">
        <v>9</v>
      </c>
      <c r="F3" s="64">
        <v>15010.199999999997</v>
      </c>
      <c r="G3" s="64">
        <v>15768.03</v>
      </c>
      <c r="H3" s="65">
        <f t="shared" si="2"/>
      </c>
      <c r="I3" s="66">
        <f t="shared" si="0"/>
      </c>
      <c r="J3" s="66">
        <f t="shared" si="3"/>
      </c>
      <c r="K3" s="64">
        <v>2</v>
      </c>
      <c r="L3" s="67">
        <v>3989.400000000001</v>
      </c>
      <c r="M3" s="72" t="s">
        <v>170</v>
      </c>
      <c r="N3" s="69">
        <v>10</v>
      </c>
      <c r="O3" s="70"/>
      <c r="P3" s="69"/>
    </row>
    <row customHeight="true" ht="23.80952380952381" r="4">
      <c r="A4" s="62" t="s">
        <v>164</v>
      </c>
      <c r="B4" s="63" t="s">
        <v>171</v>
      </c>
      <c r="C4" s="64" t="s">
        <v>172</v>
      </c>
      <c r="D4" s="64">
        <v>5</v>
      </c>
      <c r="E4" s="64">
        <v>14</v>
      </c>
      <c r="F4" s="64">
        <v>22707.6</v>
      </c>
      <c r="G4" s="64">
        <v>11138.72</v>
      </c>
      <c r="H4" s="65">
        <f t="shared" si="2"/>
      </c>
      <c r="I4" s="66">
        <f t="shared" si="0"/>
      </c>
      <c r="J4" s="66">
        <f t="shared" si="3"/>
      </c>
      <c r="K4" s="64">
        <v>2</v>
      </c>
      <c r="L4" s="67">
        <v>4070.3999999999996</v>
      </c>
      <c r="M4" s="72"/>
      <c r="N4" s="69"/>
      <c r="O4" s="70"/>
      <c r="P4" s="69"/>
    </row>
    <row customHeight="true" ht="23.80952380952381" r="5">
      <c r="A5" s="62" t="s">
        <v>164</v>
      </c>
      <c r="B5" s="71" t="s">
        <v>173</v>
      </c>
      <c r="C5" s="64" t="s">
        <v>174</v>
      </c>
      <c r="D5" s="64">
        <v>5</v>
      </c>
      <c r="E5" s="64">
        <v>28</v>
      </c>
      <c r="F5" s="64">
        <v>34528.8</v>
      </c>
      <c r="G5" s="64">
        <v>18474.370000000003</v>
      </c>
      <c r="H5" s="65">
        <f t="shared" si="2"/>
      </c>
      <c r="I5" s="66">
        <f t="shared" si="0"/>
      </c>
      <c r="J5" s="66">
        <f t="shared" si="3"/>
      </c>
      <c r="K5" s="64">
        <v>1</v>
      </c>
      <c r="L5" s="67">
        <v>208.79999999999927</v>
      </c>
      <c r="M5" s="72" t="s">
        <v>175</v>
      </c>
      <c r="N5" s="71">
        <v>10</v>
      </c>
      <c r="O5" s="71" t="s">
        <v>176</v>
      </c>
      <c r="P5" s="69">
        <v>10</v>
      </c>
    </row>
    <row customHeight="true" ht="23.80952380952381" r="6">
      <c r="A6" s="73" t="s">
        <v>164</v>
      </c>
      <c r="B6" s="74"/>
      <c r="C6" s="74"/>
      <c r="D6" s="75">
        <f>SUM(D2:D5)</f>
      </c>
      <c r="E6" s="75">
        <f>SUM(E2:E5)</f>
      </c>
      <c r="F6" s="76">
        <f>SUM(F2:F5)</f>
      </c>
      <c r="G6" s="75">
        <f>SUM(G2:G5)</f>
      </c>
      <c r="H6" s="77">
        <f t="shared" si="2"/>
      </c>
      <c r="I6" s="77">
        <f t="shared" si="0"/>
      </c>
      <c r="J6" s="77">
        <f t="shared" si="3"/>
      </c>
      <c r="K6" s="75">
        <f>SUM(K2:K5)</f>
      </c>
      <c r="L6" s="78">
        <f>SUM(L2:L5)</f>
      </c>
      <c r="M6" s="79"/>
      <c r="N6" s="80">
        <f>SUM(N2:N5)</f>
      </c>
      <c r="O6" s="81"/>
      <c r="P6" s="80">
        <f>SUM(P2:P5)</f>
      </c>
    </row>
    <row customHeight="true" ht="23.80952380952381" r="7">
      <c r="A7" s="62" t="s">
        <v>177</v>
      </c>
      <c r="B7" s="63" t="s">
        <v>171</v>
      </c>
      <c r="C7" s="64" t="s">
        <v>166</v>
      </c>
      <c r="D7" s="64">
        <v>5</v>
      </c>
      <c r="E7" s="64">
        <v>9</v>
      </c>
      <c r="F7" s="64">
        <v>11449.2</v>
      </c>
      <c r="G7" s="64">
        <v>11675.45</v>
      </c>
      <c r="H7" s="65">
        <f t="shared" si="2"/>
      </c>
      <c r="I7" s="66">
        <f t="shared" si="0"/>
      </c>
      <c r="J7" s="66">
        <f t="shared" si="3"/>
      </c>
      <c r="K7" s="64">
        <v>3</v>
      </c>
      <c r="L7" s="67">
        <v>4269.600000000001</v>
      </c>
      <c r="M7" s="68"/>
      <c r="N7" s="69"/>
      <c r="O7" s="70" t="s">
        <v>167</v>
      </c>
      <c r="P7" s="71">
        <v>10</v>
      </c>
    </row>
    <row customHeight="true" ht="23.80952380952381" r="8">
      <c r="A8" s="62" t="s">
        <v>177</v>
      </c>
      <c r="B8" s="63" t="s">
        <v>168</v>
      </c>
      <c r="C8" s="64" t="s">
        <v>169</v>
      </c>
      <c r="D8" s="64">
        <v>5</v>
      </c>
      <c r="E8" s="64">
        <v>9</v>
      </c>
      <c r="F8" s="64">
        <v>12724.8</v>
      </c>
      <c r="G8" s="64">
        <v>10776.29</v>
      </c>
      <c r="H8" s="65">
        <f t="shared" si="2"/>
      </c>
      <c r="I8" s="66">
        <f t="shared" si="0"/>
      </c>
      <c r="J8" s="66">
        <f t="shared" si="3"/>
      </c>
      <c r="K8" s="64">
        <v>3</v>
      </c>
      <c r="L8" s="67">
        <v>3751.2</v>
      </c>
      <c r="M8" s="72" t="s">
        <v>170</v>
      </c>
      <c r="N8" s="69">
        <v>10</v>
      </c>
      <c r="O8" s="70"/>
      <c r="P8" s="69"/>
    </row>
    <row customHeight="true" ht="23.80952380952381" r="9">
      <c r="A9" s="62" t="s">
        <v>177</v>
      </c>
      <c r="B9" s="63" t="s">
        <v>178</v>
      </c>
      <c r="C9" s="64" t="s">
        <v>179</v>
      </c>
      <c r="D9" s="64">
        <v>2</v>
      </c>
      <c r="E9" s="64">
        <v>6</v>
      </c>
      <c r="F9" s="64">
        <v>7454.4000000000015</v>
      </c>
      <c r="G9" s="64">
        <v>4680.09</v>
      </c>
      <c r="H9" s="65">
        <f t="shared" si="2"/>
      </c>
      <c r="I9" s="66">
        <f t="shared" si="0"/>
      </c>
      <c r="J9" s="66">
        <f t="shared" si="3"/>
      </c>
      <c r="K9" s="64">
        <v>1</v>
      </c>
      <c r="L9" s="67">
        <v>2011.2000000000007</v>
      </c>
      <c r="M9" s="72"/>
      <c r="N9" s="69"/>
      <c r="O9" s="70"/>
      <c r="P9" s="69"/>
    </row>
    <row customHeight="true" ht="23.80952380952381" r="10">
      <c r="A10" s="62" t="s">
        <v>177</v>
      </c>
      <c r="B10" s="63" t="s">
        <v>173</v>
      </c>
      <c r="C10" s="64" t="s">
        <v>180</v>
      </c>
      <c r="D10" s="64">
        <v>4</v>
      </c>
      <c r="E10" s="64">
        <v>5</v>
      </c>
      <c r="F10" s="64">
        <v>5232</v>
      </c>
      <c r="G10" s="64">
        <v>6092.549999999999</v>
      </c>
      <c r="H10" s="65">
        <f t="shared" si="2"/>
      </c>
      <c r="I10" s="66">
        <f t="shared" si="0"/>
      </c>
      <c r="J10" s="66">
        <f t="shared" si="3"/>
      </c>
      <c r="K10" s="64">
        <v>1</v>
      </c>
      <c r="L10" s="67">
        <v>1663.2</v>
      </c>
      <c r="M10" s="72"/>
      <c r="N10" s="69"/>
      <c r="O10" s="70"/>
      <c r="P10" s="69"/>
    </row>
    <row customHeight="true" ht="23.80952380952381" r="11">
      <c r="A11" s="62" t="s">
        <v>177</v>
      </c>
      <c r="B11" s="71" t="s">
        <v>181</v>
      </c>
      <c r="C11" s="64" t="s">
        <v>182</v>
      </c>
      <c r="D11" s="64">
        <v>4</v>
      </c>
      <c r="E11" s="64">
        <v>15</v>
      </c>
      <c r="F11" s="64">
        <v>17234.199999999997</v>
      </c>
      <c r="G11" s="64">
        <v>11539.4</v>
      </c>
      <c r="H11" s="65">
        <f t="shared" si="2"/>
      </c>
      <c r="I11" s="66">
        <f t="shared" si="0"/>
      </c>
      <c r="J11" s="66">
        <f t="shared" si="3"/>
      </c>
      <c r="K11" s="64">
        <v>6</v>
      </c>
      <c r="L11" s="67">
        <v>3854.399999999998</v>
      </c>
      <c r="M11" s="72" t="s">
        <v>175</v>
      </c>
      <c r="N11" s="71">
        <v>10</v>
      </c>
      <c r="O11" s="71" t="s">
        <v>176</v>
      </c>
      <c r="P11" s="69">
        <v>10</v>
      </c>
    </row>
    <row customHeight="true" ht="23.80952380952381" r="12">
      <c r="A12" s="73" t="s">
        <v>177</v>
      </c>
      <c r="B12" s="74"/>
      <c r="C12" s="74"/>
      <c r="D12" s="75">
        <f>SUM(D7:D11)</f>
      </c>
      <c r="E12" s="75">
        <f>SUM(E7:E11)</f>
      </c>
      <c r="F12" s="76">
        <f>SUM(F7:F11)</f>
      </c>
      <c r="G12" s="75">
        <f>SUM(G7:G11)</f>
      </c>
      <c r="H12" s="77">
        <f t="shared" si="2"/>
      </c>
      <c r="I12" s="77">
        <f t="shared" si="0"/>
      </c>
      <c r="J12" s="77">
        <f t="shared" si="3"/>
      </c>
      <c r="K12" s="75">
        <f>SUM(K7:K11)</f>
      </c>
      <c r="L12" s="78">
        <f>SUM(L7:L11)</f>
      </c>
      <c r="M12" s="79"/>
      <c r="N12" s="80">
        <f>SUM(N7:N11)</f>
      </c>
      <c r="O12" s="81"/>
      <c r="P12" s="80">
        <f>SUM(P7:P11)</f>
      </c>
    </row>
    <row customHeight="true" ht="23.80952380952381" r="13">
      <c r="A13" s="62" t="s">
        <v>183</v>
      </c>
      <c r="B13" s="63" t="s">
        <v>171</v>
      </c>
      <c r="C13" s="64" t="s">
        <v>166</v>
      </c>
      <c r="D13" s="64">
        <v>5</v>
      </c>
      <c r="E13" s="64">
        <v>16</v>
      </c>
      <c r="F13" s="64">
        <v>25556.4</v>
      </c>
      <c r="G13" s="64">
        <v>18135.96</v>
      </c>
      <c r="H13" s="65">
        <f t="shared" si="2"/>
      </c>
      <c r="I13" s="66">
        <f t="shared" si="0"/>
      </c>
      <c r="J13" s="66">
        <f t="shared" si="3"/>
      </c>
      <c r="K13" s="64">
        <v>3</v>
      </c>
      <c r="L13" s="67">
        <v>6081.6</v>
      </c>
      <c r="M13" s="68"/>
      <c r="N13" s="69"/>
      <c r="O13" s="70" t="s">
        <v>167</v>
      </c>
      <c r="P13" s="71">
        <v>10</v>
      </c>
    </row>
    <row customHeight="true" ht="23.80952380952381" r="14">
      <c r="A14" s="62" t="s">
        <v>183</v>
      </c>
      <c r="B14" s="63" t="s">
        <v>168</v>
      </c>
      <c r="C14" s="64" t="s">
        <v>169</v>
      </c>
      <c r="D14" s="64">
        <v>5</v>
      </c>
      <c r="E14" s="64">
        <v>22</v>
      </c>
      <c r="F14" s="64">
        <v>31033.799999999996</v>
      </c>
      <c r="G14" s="64">
        <v>20057.57</v>
      </c>
      <c r="H14" s="65">
        <f t="shared" si="2"/>
      </c>
      <c r="I14" s="66">
        <f t="shared" si="0"/>
      </c>
      <c r="J14" s="66">
        <f t="shared" si="3"/>
      </c>
      <c r="K14" s="64">
        <v>5</v>
      </c>
      <c r="L14" s="67">
        <v>9600</v>
      </c>
      <c r="M14" s="72" t="s">
        <v>170</v>
      </c>
      <c r="N14" s="69">
        <v>10</v>
      </c>
      <c r="O14" s="70"/>
      <c r="P14" s="69"/>
    </row>
    <row customHeight="true" ht="23.80952380952381" r="15">
      <c r="A15" s="62" t="s">
        <v>183</v>
      </c>
      <c r="B15" s="63" t="s">
        <v>178</v>
      </c>
      <c r="C15" s="64" t="s">
        <v>179</v>
      </c>
      <c r="D15" s="64">
        <v>2</v>
      </c>
      <c r="E15" s="64">
        <v>9</v>
      </c>
      <c r="F15" s="64">
        <v>14793.600000000006</v>
      </c>
      <c r="G15" s="64">
        <v>8702.51</v>
      </c>
      <c r="H15" s="65">
        <f t="shared" si="2"/>
      </c>
      <c r="I15" s="66">
        <f t="shared" si="0"/>
      </c>
      <c r="J15" s="66">
        <f t="shared" si="3"/>
      </c>
      <c r="K15" s="64">
        <v>0</v>
      </c>
      <c r="L15" s="67">
        <v>0</v>
      </c>
      <c r="M15" s="72"/>
      <c r="N15" s="69"/>
      <c r="O15" s="70"/>
      <c r="P15" s="69"/>
    </row>
    <row customHeight="true" ht="23.80952380952381" r="16">
      <c r="A16" s="62" t="s">
        <v>183</v>
      </c>
      <c r="B16" s="63" t="s">
        <v>181</v>
      </c>
      <c r="C16" s="64" t="s">
        <v>180</v>
      </c>
      <c r="D16" s="64">
        <v>4</v>
      </c>
      <c r="E16" s="64">
        <v>16</v>
      </c>
      <c r="F16" s="64">
        <v>16262.399999999994</v>
      </c>
      <c r="G16" s="64">
        <v>13400.73</v>
      </c>
      <c r="H16" s="65">
        <f t="shared" si="2"/>
      </c>
      <c r="I16" s="66">
        <f t="shared" si="0"/>
      </c>
      <c r="J16" s="66">
        <f t="shared" si="3"/>
      </c>
      <c r="K16" s="64">
        <v>8</v>
      </c>
      <c r="L16" s="67">
        <v>4053.6000000000004</v>
      </c>
      <c r="M16" s="72"/>
      <c r="N16" s="69"/>
      <c r="O16" s="70"/>
      <c r="P16" s="69"/>
    </row>
    <row customHeight="true" ht="23.80952380952381" r="17">
      <c r="A17" s="62" t="s">
        <v>183</v>
      </c>
      <c r="B17" s="71" t="s">
        <v>173</v>
      </c>
      <c r="C17" s="64" t="s">
        <v>182</v>
      </c>
      <c r="D17" s="64">
        <v>4</v>
      </c>
      <c r="E17" s="64">
        <v>23</v>
      </c>
      <c r="F17" s="64">
        <v>28014.40000000001</v>
      </c>
      <c r="G17" s="64">
        <v>21692.969999999998</v>
      </c>
      <c r="H17" s="65">
        <f t="shared" si="2"/>
      </c>
      <c r="I17" s="66">
        <f t="shared" si="0"/>
      </c>
      <c r="J17" s="66">
        <f t="shared" si="3"/>
      </c>
      <c r="K17" s="64">
        <v>4</v>
      </c>
      <c r="L17" s="67">
        <v>5709.599999999998</v>
      </c>
      <c r="M17" s="72" t="s">
        <v>175</v>
      </c>
      <c r="N17" s="71">
        <v>10</v>
      </c>
      <c r="O17" s="71" t="s">
        <v>176</v>
      </c>
      <c r="P17" s="69">
        <v>10</v>
      </c>
    </row>
    <row customHeight="true" ht="23.80952380952381" r="18">
      <c r="A18" s="73" t="s">
        <v>183</v>
      </c>
      <c r="B18" s="74"/>
      <c r="C18" s="74"/>
      <c r="D18" s="75">
        <f>SUM(D13:D17)</f>
      </c>
      <c r="E18" s="75">
        <f>SUM(E13:E17)</f>
      </c>
      <c r="F18" s="76">
        <f>SUM(F13:F17)</f>
      </c>
      <c r="G18" s="75">
        <f>SUM(G13:G17)</f>
      </c>
      <c r="H18" s="77">
        <f t="shared" si="2"/>
      </c>
      <c r="I18" s="77">
        <f t="shared" si="0"/>
      </c>
      <c r="J18" s="77">
        <f t="shared" si="3"/>
      </c>
      <c r="K18" s="75">
        <f>SUM(K13:K17)</f>
      </c>
      <c r="L18" s="78">
        <f>SUM(L13:L17)</f>
      </c>
      <c r="M18" s="79"/>
      <c r="N18" s="80">
        <f>SUM(N13:N17)</f>
      </c>
      <c r="O18" s="81"/>
      <c r="P18" s="80">
        <f>SUM(P13:P17)</f>
      </c>
    </row>
    <row customHeight="true" ht="23.80952380952381" r="19">
      <c r="A19" s="62" t="s">
        <v>184</v>
      </c>
      <c r="B19" s="63" t="s">
        <v>168</v>
      </c>
      <c r="C19" s="64" t="s">
        <v>185</v>
      </c>
      <c r="D19" s="64">
        <v>4</v>
      </c>
      <c r="E19" s="64">
        <v>4</v>
      </c>
      <c r="F19" s="64">
        <v>5936.4</v>
      </c>
      <c r="G19" s="64">
        <v>6309.98</v>
      </c>
      <c r="H19" s="65">
        <f t="shared" si="2"/>
      </c>
      <c r="I19" s="66">
        <f t="shared" si="0"/>
      </c>
      <c r="J19" s="66">
        <f t="shared" si="3"/>
      </c>
      <c r="K19" s="64">
        <v>2</v>
      </c>
      <c r="L19" s="67">
        <v>3210</v>
      </c>
      <c r="M19" s="68"/>
      <c r="N19" s="69"/>
      <c r="O19" s="70" t="s">
        <v>167</v>
      </c>
      <c r="P19" s="71">
        <v>10</v>
      </c>
    </row>
    <row customHeight="true" ht="23.80952380952381" r="20">
      <c r="A20" s="62" t="s">
        <v>184</v>
      </c>
      <c r="B20" s="63" t="s">
        <v>173</v>
      </c>
      <c r="C20" s="64" t="s">
        <v>186</v>
      </c>
      <c r="D20" s="64">
        <v>5</v>
      </c>
      <c r="E20" s="64">
        <v>15</v>
      </c>
      <c r="F20" s="64">
        <v>22857.6</v>
      </c>
      <c r="G20" s="64">
        <v>14496.86</v>
      </c>
      <c r="H20" s="65">
        <f t="shared" si="2"/>
      </c>
      <c r="I20" s="66">
        <f t="shared" si="0"/>
      </c>
      <c r="J20" s="66">
        <f t="shared" si="3"/>
      </c>
      <c r="K20" s="64">
        <v>3</v>
      </c>
      <c r="L20" s="67">
        <v>3063.6</v>
      </c>
      <c r="M20" s="72" t="s">
        <v>170</v>
      </c>
      <c r="N20" s="69">
        <v>10</v>
      </c>
      <c r="O20" s="70"/>
      <c r="P20" s="69"/>
    </row>
    <row customHeight="true" ht="23.80952380952381" r="21">
      <c r="A21" s="62" t="s">
        <v>184</v>
      </c>
      <c r="B21" s="63" t="s">
        <v>178</v>
      </c>
      <c r="C21" s="64" t="s">
        <v>187</v>
      </c>
      <c r="D21" s="64">
        <v>3</v>
      </c>
      <c r="E21" s="64">
        <v>23</v>
      </c>
      <c r="F21" s="64">
        <v>26313.28</v>
      </c>
      <c r="G21" s="64">
        <v>18197.21</v>
      </c>
      <c r="H21" s="65">
        <f t="shared" si="2"/>
      </c>
      <c r="I21" s="66">
        <f t="shared" si="0"/>
      </c>
      <c r="J21" s="66">
        <f t="shared" si="3"/>
      </c>
      <c r="K21" s="64">
        <v>7</v>
      </c>
      <c r="L21" s="67">
        <v>6984</v>
      </c>
      <c r="M21" s="72"/>
      <c r="N21" s="69"/>
      <c r="O21" s="70"/>
      <c r="P21" s="69"/>
    </row>
    <row customHeight="true" ht="23.80952380952381" r="22">
      <c r="A22" s="62" t="s">
        <v>184</v>
      </c>
      <c r="B22" s="63" t="s">
        <v>181</v>
      </c>
      <c r="C22" s="64" t="s">
        <v>180</v>
      </c>
      <c r="D22" s="64">
        <v>4</v>
      </c>
      <c r="E22" s="64">
        <v>16</v>
      </c>
      <c r="F22" s="64">
        <v>25015</v>
      </c>
      <c r="G22" s="64">
        <v>18759.32</v>
      </c>
      <c r="H22" s="65">
        <f t="shared" si="2"/>
      </c>
      <c r="I22" s="66">
        <f t="shared" si="0"/>
      </c>
      <c r="J22" s="66">
        <f t="shared" si="3"/>
      </c>
      <c r="K22" s="64">
        <v>4</v>
      </c>
      <c r="L22" s="67">
        <v>5091.4</v>
      </c>
      <c r="M22" s="72"/>
      <c r="N22" s="69"/>
      <c r="O22" s="70"/>
      <c r="P22" s="69"/>
    </row>
    <row customHeight="true" ht="23.80952380952381" r="23">
      <c r="A23" s="62" t="s">
        <v>184</v>
      </c>
      <c r="B23" s="71" t="s">
        <v>165</v>
      </c>
      <c r="C23" s="64" t="s">
        <v>182</v>
      </c>
      <c r="D23" s="64">
        <v>4</v>
      </c>
      <c r="E23" s="64">
        <v>14</v>
      </c>
      <c r="F23" s="64">
        <v>15829.2</v>
      </c>
      <c r="G23" s="64">
        <v>12473.670000000002</v>
      </c>
      <c r="H23" s="65">
        <f t="shared" si="2"/>
      </c>
      <c r="I23" s="66">
        <f t="shared" si="0"/>
      </c>
      <c r="J23" s="66">
        <f t="shared" si="3"/>
      </c>
      <c r="K23" s="64">
        <v>2</v>
      </c>
      <c r="L23" s="67">
        <v>889.2</v>
      </c>
      <c r="M23" s="72" t="s">
        <v>175</v>
      </c>
      <c r="N23" s="71">
        <v>10</v>
      </c>
      <c r="O23" s="71" t="s">
        <v>176</v>
      </c>
      <c r="P23" s="69">
        <v>10</v>
      </c>
    </row>
    <row customHeight="true" ht="23.80952380952381" r="24">
      <c r="A24" s="73" t="s">
        <v>184</v>
      </c>
      <c r="B24" s="74"/>
      <c r="C24" s="74"/>
      <c r="D24" s="75">
        <f>SUM(D19:D23)</f>
      </c>
      <c r="E24" s="75">
        <f>SUM(E19:E23)</f>
      </c>
      <c r="F24" s="76">
        <f>SUM(F19:F23)</f>
      </c>
      <c r="G24" s="75">
        <f>SUM(G19:G23)</f>
      </c>
      <c r="H24" s="77">
        <f t="shared" si="2"/>
      </c>
      <c r="I24" s="77">
        <f t="shared" si="0"/>
      </c>
      <c r="J24" s="77">
        <f t="shared" si="3"/>
      </c>
      <c r="K24" s="75">
        <f>SUM(K19:K23)</f>
      </c>
      <c r="L24" s="78">
        <f>SUM(L19:L23)</f>
      </c>
      <c r="M24" s="79"/>
      <c r="N24" s="80">
        <f>SUM(N19:N23)</f>
      </c>
      <c r="O24" s="81"/>
      <c r="P24" s="80">
        <f>SUM(P19:P23)</f>
      </c>
    </row>
    <row customHeight="true" ht="23.80952380952381" r="25">
      <c r="A25" s="62" t="s">
        <v>188</v>
      </c>
      <c r="B25" s="63" t="s">
        <v>168</v>
      </c>
      <c r="C25" s="64" t="s">
        <v>185</v>
      </c>
      <c r="D25" s="64">
        <v>4</v>
      </c>
      <c r="E25" s="64">
        <v>4</v>
      </c>
      <c r="F25" s="64">
        <v>3614.3999999999996</v>
      </c>
      <c r="G25" s="64">
        <v>7710.02</v>
      </c>
      <c r="H25" s="65">
        <f t="shared" si="2"/>
      </c>
      <c r="I25" s="66">
        <f t="shared" si="0"/>
      </c>
      <c r="J25" s="66">
        <f t="shared" si="3"/>
      </c>
      <c r="K25" s="64">
        <v>1</v>
      </c>
      <c r="L25" s="67">
        <v>396</v>
      </c>
      <c r="M25" s="68"/>
      <c r="N25" s="69"/>
      <c r="O25" s="70" t="s">
        <v>167</v>
      </c>
      <c r="P25" s="71">
        <v>10</v>
      </c>
    </row>
    <row customHeight="true" ht="23.80952380952381" r="26">
      <c r="A26" s="62" t="s">
        <v>188</v>
      </c>
      <c r="B26" s="63" t="s">
        <v>173</v>
      </c>
      <c r="C26" s="64" t="s">
        <v>186</v>
      </c>
      <c r="D26" s="64">
        <v>5</v>
      </c>
      <c r="E26" s="64">
        <v>13</v>
      </c>
      <c r="F26" s="64">
        <v>17743.800000000003</v>
      </c>
      <c r="G26" s="64">
        <v>14640.650000000001</v>
      </c>
      <c r="H26" s="65">
        <f t="shared" si="2"/>
      </c>
      <c r="I26" s="66">
        <f t="shared" si="0"/>
      </c>
      <c r="J26" s="66">
        <f t="shared" si="3"/>
      </c>
      <c r="K26" s="64">
        <v>3</v>
      </c>
      <c r="L26" s="67">
        <v>6139.8</v>
      </c>
      <c r="M26" s="72" t="s">
        <v>170</v>
      </c>
      <c r="N26" s="69">
        <v>10</v>
      </c>
      <c r="O26" s="70"/>
      <c r="P26" s="69"/>
    </row>
    <row customHeight="true" ht="23.80952380952381" r="27">
      <c r="A27" s="62" t="s">
        <v>188</v>
      </c>
      <c r="B27" s="63" t="s">
        <v>178</v>
      </c>
      <c r="C27" s="64" t="s">
        <v>187</v>
      </c>
      <c r="D27" s="64">
        <v>3</v>
      </c>
      <c r="E27" s="64">
        <v>5</v>
      </c>
      <c r="F27" s="64">
        <v>4109.999999999996</v>
      </c>
      <c r="G27" s="64">
        <v>7492.11</v>
      </c>
      <c r="H27" s="65">
        <f t="shared" si="2"/>
      </c>
      <c r="I27" s="66">
        <f t="shared" si="0"/>
      </c>
      <c r="J27" s="66">
        <f t="shared" si="3"/>
      </c>
      <c r="K27" s="64">
        <v>0</v>
      </c>
      <c r="L27" s="67">
        <v>0</v>
      </c>
      <c r="M27" s="72"/>
      <c r="N27" s="69"/>
      <c r="O27" s="70"/>
      <c r="P27" s="69"/>
    </row>
    <row customHeight="true" ht="23.80952380952381" r="28">
      <c r="A28" s="62" t="s">
        <v>188</v>
      </c>
      <c r="B28" s="63" t="s">
        <v>181</v>
      </c>
      <c r="C28" s="64" t="s">
        <v>180</v>
      </c>
      <c r="D28" s="64">
        <v>4</v>
      </c>
      <c r="E28" s="64">
        <v>8</v>
      </c>
      <c r="F28" s="64">
        <v>8595.6</v>
      </c>
      <c r="G28" s="64">
        <v>10151.47</v>
      </c>
      <c r="H28" s="65">
        <f t="shared" si="2"/>
      </c>
      <c r="I28" s="66">
        <f t="shared" si="0"/>
      </c>
      <c r="J28" s="66">
        <f t="shared" si="3"/>
      </c>
      <c r="K28" s="64">
        <v>2</v>
      </c>
      <c r="L28" s="67">
        <v>2019.6</v>
      </c>
      <c r="M28" s="72"/>
      <c r="N28" s="69"/>
      <c r="O28" s="70"/>
      <c r="P28" s="69"/>
    </row>
    <row customHeight="true" ht="23.80952380952381" r="29">
      <c r="A29" s="62" t="s">
        <v>188</v>
      </c>
      <c r="B29" s="71" t="s">
        <v>165</v>
      </c>
      <c r="C29" s="64" t="s">
        <v>182</v>
      </c>
      <c r="D29" s="64">
        <v>4</v>
      </c>
      <c r="E29" s="64">
        <v>13</v>
      </c>
      <c r="F29" s="64">
        <v>15510</v>
      </c>
      <c r="G29" s="64">
        <v>8951.269999999999</v>
      </c>
      <c r="H29" s="65">
        <f t="shared" si="2"/>
      </c>
      <c r="I29" s="66">
        <f t="shared" si="0"/>
      </c>
      <c r="J29" s="66">
        <f t="shared" si="3"/>
      </c>
      <c r="K29" s="64">
        <v>2</v>
      </c>
      <c r="L29" s="67">
        <v>994.8</v>
      </c>
      <c r="M29" s="72" t="s">
        <v>175</v>
      </c>
      <c r="N29" s="71">
        <v>10</v>
      </c>
      <c r="O29" s="71" t="s">
        <v>176</v>
      </c>
      <c r="P29" s="69">
        <v>10</v>
      </c>
    </row>
    <row customHeight="true" ht="23.80952380952381" r="30">
      <c r="A30" s="73" t="s">
        <v>188</v>
      </c>
      <c r="B30" s="74"/>
      <c r="C30" s="74"/>
      <c r="D30" s="75">
        <f>SUM(D25:D29)</f>
      </c>
      <c r="E30" s="75">
        <f>SUM(E25:E29)</f>
      </c>
      <c r="F30" s="76">
        <f>SUM(F25:F29)</f>
      </c>
      <c r="G30" s="75">
        <f>SUM(G25:G29)</f>
      </c>
      <c r="H30" s="77">
        <f t="shared" si="2"/>
      </c>
      <c r="I30" s="77">
        <f t="shared" si="0"/>
      </c>
      <c r="J30" s="77">
        <f t="shared" si="3"/>
      </c>
      <c r="K30" s="75">
        <f>SUM(K25:K29)</f>
      </c>
      <c r="L30" s="78">
        <f>SUM(L25:L29)</f>
      </c>
      <c r="M30" s="79"/>
      <c r="N30" s="80">
        <f>SUM(N25:N29)</f>
      </c>
      <c r="O30" s="81"/>
      <c r="P30" s="80">
        <f>SUM(P25:P29)</f>
      </c>
    </row>
    <row customHeight="true" ht="23.80952380952381" r="31">
      <c r="A31" s="62" t="s">
        <v>189</v>
      </c>
      <c r="B31" s="63" t="s">
        <v>181</v>
      </c>
      <c r="C31" s="64" t="s">
        <v>166</v>
      </c>
      <c r="D31" s="64">
        <v>5</v>
      </c>
      <c r="E31" s="64">
        <v>7</v>
      </c>
      <c r="F31" s="64">
        <v>7791.6</v>
      </c>
      <c r="G31" s="64">
        <v>12771.94</v>
      </c>
      <c r="H31" s="65">
        <f t="shared" si="2"/>
      </c>
      <c r="I31" s="66">
        <f t="shared" si="0"/>
      </c>
      <c r="J31" s="66">
        <f t="shared" si="3"/>
      </c>
      <c r="K31" s="64">
        <v>2</v>
      </c>
      <c r="L31" s="67">
        <v>1302</v>
      </c>
      <c r="M31" s="68"/>
      <c r="N31" s="69"/>
      <c r="O31" s="70" t="s">
        <v>167</v>
      </c>
      <c r="P31" s="71">
        <v>10</v>
      </c>
    </row>
    <row customHeight="true" ht="23.80952380952381" r="32">
      <c r="A32" s="62" t="s">
        <v>189</v>
      </c>
      <c r="B32" s="63" t="s">
        <v>173</v>
      </c>
      <c r="C32" s="64" t="s">
        <v>169</v>
      </c>
      <c r="D32" s="64">
        <v>5</v>
      </c>
      <c r="E32" s="64">
        <v>13</v>
      </c>
      <c r="F32" s="64">
        <v>19126.800000000003</v>
      </c>
      <c r="G32" s="64">
        <v>12067.74</v>
      </c>
      <c r="H32" s="65">
        <f t="shared" si="2"/>
      </c>
      <c r="I32" s="66">
        <f t="shared" si="0"/>
      </c>
      <c r="J32" s="66">
        <f t="shared" si="3"/>
      </c>
      <c r="K32" s="64">
        <v>3</v>
      </c>
      <c r="L32" s="67">
        <v>2774.3999999999996</v>
      </c>
      <c r="M32" s="72" t="s">
        <v>190</v>
      </c>
      <c r="N32" s="69">
        <v>10</v>
      </c>
      <c r="O32" s="70"/>
      <c r="P32" s="69"/>
    </row>
    <row customHeight="true" ht="23.80952380952381" r="33">
      <c r="A33" s="62" t="s">
        <v>189</v>
      </c>
      <c r="B33" s="63" t="s">
        <v>165</v>
      </c>
      <c r="C33" s="64" t="s">
        <v>172</v>
      </c>
      <c r="D33" s="64">
        <v>5</v>
      </c>
      <c r="E33" s="64">
        <v>15</v>
      </c>
      <c r="F33" s="64">
        <v>14766</v>
      </c>
      <c r="G33" s="64">
        <v>11942.330000000002</v>
      </c>
      <c r="H33" s="65">
        <f t="shared" si="2"/>
      </c>
      <c r="I33" s="66">
        <f t="shared" si="0"/>
      </c>
      <c r="J33" s="66">
        <f t="shared" si="3"/>
      </c>
      <c r="K33" s="64">
        <v>4</v>
      </c>
      <c r="L33" s="67">
        <v>4897.2</v>
      </c>
      <c r="M33" s="72"/>
      <c r="N33" s="69"/>
      <c r="O33" s="70"/>
      <c r="P33" s="69"/>
    </row>
    <row customHeight="true" ht="23.80952380952381" r="34">
      <c r="A34" s="62" t="s">
        <v>189</v>
      </c>
      <c r="B34" s="71" t="s">
        <v>171</v>
      </c>
      <c r="C34" s="64" t="s">
        <v>174</v>
      </c>
      <c r="D34" s="64">
        <v>5</v>
      </c>
      <c r="E34" s="64">
        <v>48</v>
      </c>
      <c r="F34" s="64">
        <v>63862.07999999998</v>
      </c>
      <c r="G34" s="64">
        <v>32449.57</v>
      </c>
      <c r="H34" s="65">
        <f t="shared" si="2"/>
      </c>
      <c r="I34" s="66">
        <f t="shared" si="0"/>
      </c>
      <c r="J34" s="66">
        <f t="shared" si="3"/>
      </c>
      <c r="K34" s="64">
        <v>8</v>
      </c>
      <c r="L34" s="67">
        <v>9450.480000000001</v>
      </c>
      <c r="M34" s="72" t="s">
        <v>191</v>
      </c>
      <c r="N34" s="71">
        <v>10</v>
      </c>
      <c r="O34" s="71" t="s">
        <v>176</v>
      </c>
      <c r="P34" s="69">
        <v>10</v>
      </c>
    </row>
    <row customHeight="true" ht="23.80952380952381" r="35">
      <c r="A35" s="73" t="s">
        <v>189</v>
      </c>
      <c r="B35" s="74"/>
      <c r="C35" s="74"/>
      <c r="D35" s="75">
        <f>SUM(D31:D34)</f>
      </c>
      <c r="E35" s="75">
        <f>SUM(E31:E34)</f>
      </c>
      <c r="F35" s="76">
        <f>SUM(F31:F34)</f>
      </c>
      <c r="G35" s="75">
        <f>SUM(G31:G34)</f>
      </c>
      <c r="H35" s="77">
        <f t="shared" si="2"/>
      </c>
      <c r="I35" s="77">
        <f t="shared" si="0"/>
      </c>
      <c r="J35" s="77">
        <f t="shared" si="3"/>
      </c>
      <c r="K35" s="75">
        <f>SUM(K31:K34)</f>
      </c>
      <c r="L35" s="78">
        <f>SUM(L31:L34)</f>
      </c>
      <c r="M35" s="79"/>
      <c r="N35" s="80">
        <f>SUM(N31:N34)</f>
      </c>
      <c r="O35" s="81"/>
      <c r="P35" s="80">
        <f>SUM(P31:P34)</f>
      </c>
    </row>
    <row customHeight="true" ht="23.80952380952381" r="36">
      <c r="A36" s="62" t="s">
        <v>192</v>
      </c>
      <c r="B36" s="63" t="s">
        <v>173</v>
      </c>
      <c r="C36" s="64" t="s">
        <v>185</v>
      </c>
      <c r="D36" s="64">
        <v>4</v>
      </c>
      <c r="E36" s="64">
        <v>20</v>
      </c>
      <c r="F36" s="64">
        <v>27363.6</v>
      </c>
      <c r="G36" s="64">
        <v>20245.03</v>
      </c>
      <c r="H36" s="65">
        <f t="shared" si="2"/>
      </c>
      <c r="I36" s="66">
        <f t="shared" si="0"/>
      </c>
      <c r="J36" s="66">
        <f t="shared" si="3"/>
      </c>
      <c r="K36" s="64">
        <v>5</v>
      </c>
      <c r="L36" s="67">
        <v>4228.8</v>
      </c>
      <c r="M36" s="68"/>
      <c r="N36" s="69"/>
      <c r="O36" s="70" t="s">
        <v>167</v>
      </c>
      <c r="P36" s="71">
        <v>10</v>
      </c>
    </row>
    <row customHeight="true" ht="23.80952380952381" r="37">
      <c r="A37" s="62" t="s">
        <v>192</v>
      </c>
      <c r="B37" s="63" t="s">
        <v>181</v>
      </c>
      <c r="C37" s="64" t="s">
        <v>186</v>
      </c>
      <c r="D37" s="64">
        <v>5</v>
      </c>
      <c r="E37" s="64">
        <v>6</v>
      </c>
      <c r="F37" s="64">
        <v>9064.8</v>
      </c>
      <c r="G37" s="64">
        <v>14268.06</v>
      </c>
      <c r="H37" s="65">
        <f t="shared" si="2"/>
      </c>
      <c r="I37" s="66">
        <f t="shared" si="0"/>
      </c>
      <c r="J37" s="66">
        <f t="shared" si="3"/>
      </c>
      <c r="K37" s="64">
        <v>0</v>
      </c>
      <c r="L37" s="67">
        <v>0</v>
      </c>
      <c r="M37" s="72" t="s">
        <v>190</v>
      </c>
      <c r="N37" s="69">
        <v>10.5</v>
      </c>
      <c r="O37" s="70"/>
      <c r="P37" s="69"/>
    </row>
    <row customHeight="true" ht="23.80952380952381" r="38">
      <c r="A38" s="62" t="s">
        <v>192</v>
      </c>
      <c r="B38" s="63" t="s">
        <v>178</v>
      </c>
      <c r="C38" s="64" t="s">
        <v>187</v>
      </c>
      <c r="D38" s="64">
        <v>3</v>
      </c>
      <c r="E38" s="64">
        <v>6</v>
      </c>
      <c r="F38" s="64">
        <v>9668.400000000007</v>
      </c>
      <c r="G38" s="64">
        <v>5756.700000000001</v>
      </c>
      <c r="H38" s="65">
        <f t="shared" si="2"/>
      </c>
      <c r="I38" s="66">
        <f t="shared" si="0"/>
      </c>
      <c r="J38" s="66">
        <f t="shared" si="3"/>
      </c>
      <c r="K38" s="64">
        <v>0</v>
      </c>
      <c r="L38" s="67">
        <v>0</v>
      </c>
      <c r="M38" s="72"/>
      <c r="N38" s="69"/>
      <c r="O38" s="70"/>
      <c r="P38" s="69"/>
    </row>
    <row customHeight="true" ht="23.80952380952381" r="39">
      <c r="A39" s="62" t="s">
        <v>192</v>
      </c>
      <c r="B39" s="63" t="s">
        <v>168</v>
      </c>
      <c r="C39" s="64" t="s">
        <v>180</v>
      </c>
      <c r="D39" s="64">
        <v>4</v>
      </c>
      <c r="E39" s="64">
        <v>5</v>
      </c>
      <c r="F39" s="64">
        <v>8534.399999999994</v>
      </c>
      <c r="G39" s="64">
        <v>7456.110000000001</v>
      </c>
      <c r="H39" s="65">
        <f t="shared" si="2"/>
      </c>
      <c r="I39" s="66">
        <f t="shared" si="0"/>
      </c>
      <c r="J39" s="66">
        <f t="shared" si="3"/>
      </c>
      <c r="K39" s="64">
        <v>0</v>
      </c>
      <c r="L39" s="67">
        <v>0</v>
      </c>
      <c r="M39" s="72" t="s">
        <v>191</v>
      </c>
      <c r="N39" s="69">
        <v>9.5</v>
      </c>
      <c r="O39" s="70"/>
      <c r="P39" s="69"/>
    </row>
    <row customHeight="true" ht="23.80952380952381" r="40">
      <c r="A40" s="62" t="s">
        <v>192</v>
      </c>
      <c r="B40" s="71" t="s">
        <v>171</v>
      </c>
      <c r="C40" s="64" t="s">
        <v>182</v>
      </c>
      <c r="D40" s="64">
        <v>4</v>
      </c>
      <c r="E40" s="64">
        <v>25</v>
      </c>
      <c r="F40" s="64">
        <v>37981.400000000016</v>
      </c>
      <c r="G40" s="64">
        <v>16762.25</v>
      </c>
      <c r="H40" s="65">
        <f t="shared" si="2"/>
      </c>
      <c r="I40" s="66">
        <f t="shared" si="0"/>
      </c>
      <c r="J40" s="66">
        <f t="shared" si="3"/>
      </c>
      <c r="K40" s="64">
        <v>3</v>
      </c>
      <c r="L40" s="67">
        <v>2976.2</v>
      </c>
      <c r="M40" s="72"/>
      <c r="N40" s="71"/>
      <c r="O40" s="71" t="s">
        <v>176</v>
      </c>
      <c r="P40" s="69">
        <v>10</v>
      </c>
    </row>
    <row customHeight="true" ht="23.80952380952381" r="41">
      <c r="A41" s="73" t="s">
        <v>192</v>
      </c>
      <c r="B41" s="74"/>
      <c r="C41" s="74"/>
      <c r="D41" s="75">
        <f>SUM(D36:D40)</f>
      </c>
      <c r="E41" s="75">
        <f>SUM(E36:E40)</f>
      </c>
      <c r="F41" s="76">
        <f>SUM(F36:F40)</f>
      </c>
      <c r="G41" s="75">
        <f>SUM(G36:G40)</f>
      </c>
      <c r="H41" s="77">
        <f t="shared" si="2"/>
      </c>
      <c r="I41" s="77">
        <f t="shared" si="0"/>
      </c>
      <c r="J41" s="77">
        <f t="shared" si="3"/>
      </c>
      <c r="K41" s="75">
        <f>SUM(K36:K40)</f>
      </c>
      <c r="L41" s="78">
        <f>SUM(L36:L40)</f>
      </c>
      <c r="M41" s="79"/>
      <c r="N41" s="80">
        <f>SUM(N36:N40)</f>
      </c>
      <c r="O41" s="81"/>
      <c r="P41" s="80">
        <f>SUM(P36:P40)</f>
      </c>
    </row>
    <row customHeight="true" ht="23.80952380952381" r="42">
      <c r="A42" s="62" t="s">
        <v>193</v>
      </c>
      <c r="B42" s="63" t="s">
        <v>165</v>
      </c>
      <c r="C42" s="64" t="s">
        <v>185</v>
      </c>
      <c r="D42" s="64">
        <v>4</v>
      </c>
      <c r="E42" s="64">
        <v>3</v>
      </c>
      <c r="F42" s="64">
        <v>3751.2</v>
      </c>
      <c r="G42" s="64">
        <v>9888.35</v>
      </c>
      <c r="H42" s="65">
        <f t="shared" si="2"/>
      </c>
      <c r="I42" s="66">
        <f t="shared" si="0"/>
      </c>
      <c r="J42" s="66">
        <f t="shared" si="3"/>
      </c>
      <c r="K42" s="64">
        <v>0</v>
      </c>
      <c r="L42" s="67">
        <v>0</v>
      </c>
      <c r="M42" s="68"/>
      <c r="N42" s="69"/>
      <c r="O42" s="70" t="s">
        <v>167</v>
      </c>
      <c r="P42" s="71">
        <v>10</v>
      </c>
    </row>
    <row customHeight="true" ht="23.80952380952381" r="43">
      <c r="A43" s="62" t="s">
        <v>193</v>
      </c>
      <c r="B43" s="63" t="s">
        <v>168</v>
      </c>
      <c r="C43" s="64" t="s">
        <v>186</v>
      </c>
      <c r="D43" s="64">
        <v>5</v>
      </c>
      <c r="E43" s="64">
        <v>14</v>
      </c>
      <c r="F43" s="64">
        <v>17778</v>
      </c>
      <c r="G43" s="64">
        <v>13421.17</v>
      </c>
      <c r="H43" s="65">
        <f t="shared" si="2"/>
      </c>
      <c r="I43" s="66">
        <f t="shared" si="0"/>
      </c>
      <c r="J43" s="66">
        <f t="shared" si="3"/>
      </c>
      <c r="K43" s="64">
        <v>6</v>
      </c>
      <c r="L43" s="67">
        <v>4426.8</v>
      </c>
      <c r="M43" s="72" t="s">
        <v>194</v>
      </c>
      <c r="N43" s="69">
        <v>10</v>
      </c>
      <c r="O43" s="70"/>
      <c r="P43" s="69"/>
    </row>
    <row customHeight="true" ht="23.80952380952381" r="44">
      <c r="A44" s="62" t="s">
        <v>193</v>
      </c>
      <c r="B44" s="63" t="s">
        <v>178</v>
      </c>
      <c r="C44" s="64" t="s">
        <v>187</v>
      </c>
      <c r="D44" s="64">
        <v>3</v>
      </c>
      <c r="E44" s="64">
        <v>16</v>
      </c>
      <c r="F44" s="64">
        <v>17271.399999999998</v>
      </c>
      <c r="G44" s="64">
        <v>8475.4</v>
      </c>
      <c r="H44" s="65">
        <f t="shared" si="2"/>
      </c>
      <c r="I44" s="66">
        <f t="shared" si="0"/>
      </c>
      <c r="J44" s="66">
        <f t="shared" si="3"/>
      </c>
      <c r="K44" s="64">
        <v>1</v>
      </c>
      <c r="L44" s="67">
        <v>1759.1999999999998</v>
      </c>
      <c r="M44" s="72"/>
      <c r="N44" s="69"/>
      <c r="O44" s="70"/>
      <c r="P44" s="69"/>
    </row>
    <row customHeight="true" ht="23.80952380952381" r="45">
      <c r="A45" s="62" t="s">
        <v>193</v>
      </c>
      <c r="B45" s="63" t="s">
        <v>171</v>
      </c>
      <c r="C45" s="64" t="s">
        <v>180</v>
      </c>
      <c r="D45" s="64">
        <v>4</v>
      </c>
      <c r="E45" s="64">
        <v>22</v>
      </c>
      <c r="F45" s="64">
        <v>26032.800000000003</v>
      </c>
      <c r="G45" s="64">
        <v>18680.53</v>
      </c>
      <c r="H45" s="65">
        <f t="shared" si="2"/>
      </c>
      <c r="I45" s="66">
        <f t="shared" si="0"/>
      </c>
      <c r="J45" s="66">
        <f t="shared" si="3"/>
      </c>
      <c r="K45" s="64">
        <v>7</v>
      </c>
      <c r="L45" s="67">
        <v>7832.4</v>
      </c>
      <c r="M45" s="72" t="s">
        <v>191</v>
      </c>
      <c r="N45" s="69">
        <v>10</v>
      </c>
      <c r="O45" s="70"/>
      <c r="P45" s="69"/>
    </row>
    <row customHeight="true" ht="23.80952380952381" r="46">
      <c r="A46" s="62" t="s">
        <v>193</v>
      </c>
      <c r="B46" s="71" t="s">
        <v>173</v>
      </c>
      <c r="C46" s="64" t="s">
        <v>182</v>
      </c>
      <c r="D46" s="64">
        <v>4</v>
      </c>
      <c r="E46" s="64">
        <v>28</v>
      </c>
      <c r="F46" s="64">
        <v>40513.01000000001</v>
      </c>
      <c r="G46" s="64">
        <v>17152.460000000003</v>
      </c>
      <c r="H46" s="65">
        <f t="shared" si="2"/>
      </c>
      <c r="I46" s="66">
        <f t="shared" si="0"/>
      </c>
      <c r="J46" s="66">
        <f t="shared" si="3"/>
      </c>
      <c r="K46" s="64">
        <v>4</v>
      </c>
      <c r="L46" s="67">
        <v>5126.4</v>
      </c>
      <c r="M46" s="72"/>
      <c r="N46" s="71"/>
      <c r="O46" s="71" t="s">
        <v>176</v>
      </c>
      <c r="P46" s="69">
        <v>10</v>
      </c>
    </row>
    <row customHeight="true" ht="23.80952380952381" r="47">
      <c r="A47" s="73" t="s">
        <v>193</v>
      </c>
      <c r="B47" s="74"/>
      <c r="C47" s="74"/>
      <c r="D47" s="75">
        <f>SUM(D42:D46)</f>
      </c>
      <c r="E47" s="75">
        <f>SUM(E42:E46)</f>
      </c>
      <c r="F47" s="76">
        <f>SUM(F42:F46)</f>
      </c>
      <c r="G47" s="75">
        <f>SUM(G42:G46)</f>
      </c>
      <c r="H47" s="77">
        <f t="shared" si="2"/>
      </c>
      <c r="I47" s="77">
        <f t="shared" si="0"/>
      </c>
      <c r="J47" s="77">
        <f t="shared" si="3"/>
      </c>
      <c r="K47" s="75">
        <f>SUM(K42:K46)</f>
      </c>
      <c r="L47" s="78">
        <f>SUM(L42:L46)</f>
      </c>
      <c r="M47" s="79"/>
      <c r="N47" s="80">
        <f>SUM(N42:N46)</f>
      </c>
      <c r="O47" s="81"/>
      <c r="P47" s="80">
        <f>SUM(P42:P46)</f>
      </c>
    </row>
    <row customHeight="true" ht="23.80952380952381" r="48">
      <c r="A48" s="62" t="s">
        <v>195</v>
      </c>
      <c r="B48" s="63" t="s">
        <v>165</v>
      </c>
      <c r="C48" s="64" t="s">
        <v>185</v>
      </c>
      <c r="D48" s="64">
        <v>4</v>
      </c>
      <c r="E48" s="64">
        <v>12</v>
      </c>
      <c r="F48" s="64">
        <v>19465.2</v>
      </c>
      <c r="G48" s="64">
        <v>13523.41</v>
      </c>
      <c r="H48" s="65">
        <f t="shared" si="2"/>
      </c>
      <c r="I48" s="66">
        <f t="shared" si="0"/>
      </c>
      <c r="J48" s="66">
        <f t="shared" si="3"/>
      </c>
      <c r="K48" s="64">
        <v>2</v>
      </c>
      <c r="L48" s="67">
        <v>4159.2</v>
      </c>
      <c r="M48" s="68"/>
      <c r="N48" s="69"/>
      <c r="O48" s="70" t="s">
        <v>167</v>
      </c>
      <c r="P48" s="71">
        <v>10</v>
      </c>
    </row>
    <row customHeight="true" ht="23.80952380952381" r="49">
      <c r="A49" s="62" t="s">
        <v>195</v>
      </c>
      <c r="B49" s="63" t="s">
        <v>168</v>
      </c>
      <c r="C49" s="64" t="s">
        <v>186</v>
      </c>
      <c r="D49" s="64">
        <v>5</v>
      </c>
      <c r="E49" s="64">
        <v>14</v>
      </c>
      <c r="F49" s="64">
        <v>23500.8</v>
      </c>
      <c r="G49" s="64">
        <v>13730.18</v>
      </c>
      <c r="H49" s="65">
        <f t="shared" si="2"/>
      </c>
      <c r="I49" s="66">
        <f t="shared" si="0"/>
      </c>
      <c r="J49" s="66">
        <f t="shared" si="3"/>
      </c>
      <c r="K49" s="64">
        <v>2</v>
      </c>
      <c r="L49" s="67">
        <v>4059.6</v>
      </c>
      <c r="M49" s="72" t="s">
        <v>194</v>
      </c>
      <c r="N49" s="69">
        <v>10</v>
      </c>
      <c r="O49" s="70"/>
      <c r="P49" s="69"/>
    </row>
    <row customHeight="true" ht="23.80952380952381" r="50">
      <c r="A50" s="62" t="s">
        <v>195</v>
      </c>
      <c r="B50" s="63" t="s">
        <v>178</v>
      </c>
      <c r="C50" s="64" t="s">
        <v>187</v>
      </c>
      <c r="D50" s="64">
        <v>3</v>
      </c>
      <c r="E50" s="64">
        <v>7</v>
      </c>
      <c r="F50" s="64">
        <v>6649.199999999997</v>
      </c>
      <c r="G50" s="64">
        <v>5995.07</v>
      </c>
      <c r="H50" s="65">
        <f t="shared" si="2"/>
      </c>
      <c r="I50" s="66">
        <f t="shared" si="0"/>
      </c>
      <c r="J50" s="66">
        <f t="shared" si="3"/>
      </c>
      <c r="K50" s="64">
        <v>0</v>
      </c>
      <c r="L50" s="67">
        <v>0</v>
      </c>
      <c r="M50" s="72"/>
      <c r="N50" s="69"/>
      <c r="O50" s="70"/>
      <c r="P50" s="69"/>
    </row>
    <row customHeight="true" ht="23.80952380952381" r="51">
      <c r="A51" s="62" t="s">
        <v>195</v>
      </c>
      <c r="B51" s="63" t="s">
        <v>171</v>
      </c>
      <c r="C51" s="64" t="s">
        <v>180</v>
      </c>
      <c r="D51" s="64">
        <v>4</v>
      </c>
      <c r="E51" s="64">
        <v>8</v>
      </c>
      <c r="F51" s="64">
        <v>13092</v>
      </c>
      <c r="G51" s="64">
        <v>10798.130000000001</v>
      </c>
      <c r="H51" s="65">
        <f t="shared" si="2"/>
      </c>
      <c r="I51" s="66">
        <f t="shared" si="0"/>
      </c>
      <c r="J51" s="66">
        <f t="shared" si="3"/>
      </c>
      <c r="K51" s="64">
        <v>3</v>
      </c>
      <c r="L51" s="67">
        <v>4555.2</v>
      </c>
      <c r="M51" s="72" t="s">
        <v>191</v>
      </c>
      <c r="N51" s="69">
        <v>10</v>
      </c>
      <c r="O51" s="70"/>
      <c r="P51" s="69"/>
    </row>
    <row customHeight="true" ht="23.80952380952381" r="52">
      <c r="A52" s="62" t="s">
        <v>195</v>
      </c>
      <c r="B52" s="71" t="s">
        <v>173</v>
      </c>
      <c r="C52" s="64" t="s">
        <v>182</v>
      </c>
      <c r="D52" s="64">
        <v>4</v>
      </c>
      <c r="E52" s="64">
        <v>24</v>
      </c>
      <c r="F52" s="64">
        <v>28535.199999999997</v>
      </c>
      <c r="G52" s="64">
        <v>14127.060000000001</v>
      </c>
      <c r="H52" s="65">
        <f t="shared" si="2"/>
      </c>
      <c r="I52" s="66">
        <f t="shared" si="0"/>
      </c>
      <c r="J52" s="66">
        <f t="shared" si="3"/>
      </c>
      <c r="K52" s="64">
        <v>2</v>
      </c>
      <c r="L52" s="67">
        <v>3602.3999999999996</v>
      </c>
      <c r="M52" s="72"/>
      <c r="N52" s="71"/>
      <c r="O52" s="71" t="s">
        <v>176</v>
      </c>
      <c r="P52" s="69">
        <v>10</v>
      </c>
    </row>
    <row customHeight="true" ht="23.80952380952381" r="53">
      <c r="A53" s="73" t="s">
        <v>195</v>
      </c>
      <c r="B53" s="74"/>
      <c r="C53" s="74"/>
      <c r="D53" s="75">
        <f>SUM(D48:D52)</f>
      </c>
      <c r="E53" s="75">
        <f>SUM(E48:E52)</f>
      </c>
      <c r="F53" s="76">
        <f>SUM(F48:F52)</f>
      </c>
      <c r="G53" s="75">
        <f>SUM(G48:G52)</f>
      </c>
      <c r="H53" s="77">
        <f t="shared" si="2"/>
      </c>
      <c r="I53" s="77">
        <f t="shared" si="0"/>
      </c>
      <c r="J53" s="77">
        <f t="shared" si="3"/>
      </c>
      <c r="K53" s="75">
        <f>SUM(K48:K52)</f>
      </c>
      <c r="L53" s="78">
        <f>SUM(L48:L52)</f>
      </c>
      <c r="M53" s="79"/>
      <c r="N53" s="80">
        <f>SUM(N48:N52)</f>
      </c>
      <c r="O53" s="81"/>
      <c r="P53" s="80">
        <f>SUM(P48:P52)</f>
      </c>
    </row>
    <row customHeight="true" ht="23.80952380952381" r="54">
      <c r="A54" s="62" t="s">
        <v>196</v>
      </c>
      <c r="B54" s="63" t="s">
        <v>181</v>
      </c>
      <c r="C54" s="64" t="s">
        <v>185</v>
      </c>
      <c r="D54" s="64">
        <v>4</v>
      </c>
      <c r="E54" s="64">
        <v>11</v>
      </c>
      <c r="F54" s="64">
        <v>19262.4</v>
      </c>
      <c r="G54" s="64">
        <v>12627.28</v>
      </c>
      <c r="H54" s="65">
        <f t="shared" si="2"/>
      </c>
      <c r="I54" s="66">
        <f t="shared" si="0"/>
      </c>
      <c r="J54" s="66">
        <f t="shared" si="3"/>
      </c>
      <c r="K54" s="64">
        <v>5</v>
      </c>
      <c r="L54" s="67">
        <v>7869.599999999999</v>
      </c>
      <c r="M54" s="68"/>
      <c r="N54" s="69"/>
      <c r="O54" s="70" t="s">
        <v>167</v>
      </c>
      <c r="P54" s="71">
        <v>10</v>
      </c>
    </row>
    <row customHeight="true" ht="23.80952380952381" r="55">
      <c r="A55" s="62" t="s">
        <v>196</v>
      </c>
      <c r="B55" s="63" t="s">
        <v>178</v>
      </c>
      <c r="C55" s="64" t="s">
        <v>197</v>
      </c>
      <c r="D55" s="64">
        <v>4</v>
      </c>
      <c r="E55" s="64">
        <v>10</v>
      </c>
      <c r="F55" s="64">
        <v>14118</v>
      </c>
      <c r="G55" s="64">
        <v>11824.38</v>
      </c>
      <c r="H55" s="65">
        <f t="shared" si="2"/>
      </c>
      <c r="I55" s="66">
        <f t="shared" si="0"/>
      </c>
      <c r="J55" s="66">
        <f t="shared" si="3"/>
      </c>
      <c r="K55" s="64">
        <v>2</v>
      </c>
      <c r="L55" s="67">
        <v>3703.2000000000007</v>
      </c>
      <c r="M55" s="72" t="s">
        <v>194</v>
      </c>
      <c r="N55" s="69">
        <v>10</v>
      </c>
      <c r="O55" s="70"/>
      <c r="P55" s="69"/>
    </row>
    <row customHeight="true" ht="23.80952380952381" r="56">
      <c r="A56" s="62" t="s">
        <v>196</v>
      </c>
      <c r="B56" s="63" t="s">
        <v>171</v>
      </c>
      <c r="C56" s="64" t="s">
        <v>198</v>
      </c>
      <c r="D56" s="64">
        <v>4</v>
      </c>
      <c r="E56" s="64">
        <v>14</v>
      </c>
      <c r="F56" s="64">
        <v>22937.199999999997</v>
      </c>
      <c r="G56" s="64">
        <v>15524.11</v>
      </c>
      <c r="H56" s="65">
        <f t="shared" si="2"/>
      </c>
      <c r="I56" s="66">
        <f t="shared" si="0"/>
      </c>
      <c r="J56" s="66">
        <f t="shared" si="3"/>
      </c>
      <c r="K56" s="64">
        <v>0</v>
      </c>
      <c r="L56" s="67">
        <v>0</v>
      </c>
      <c r="M56" s="72"/>
      <c r="N56" s="69"/>
      <c r="O56" s="70"/>
      <c r="P56" s="69"/>
    </row>
    <row customHeight="true" ht="23.80952380952381" r="57">
      <c r="A57" s="62" t="s">
        <v>196</v>
      </c>
      <c r="B57" s="63" t="s">
        <v>173</v>
      </c>
      <c r="C57" s="64" t="s">
        <v>180</v>
      </c>
      <c r="D57" s="64">
        <v>4</v>
      </c>
      <c r="E57" s="64">
        <v>10</v>
      </c>
      <c r="F57" s="64">
        <v>12666.000000000007</v>
      </c>
      <c r="G57" s="64">
        <v>13038.87</v>
      </c>
      <c r="H57" s="65">
        <f t="shared" si="2"/>
      </c>
      <c r="I57" s="66">
        <f t="shared" si="0"/>
      </c>
      <c r="J57" s="66">
        <f t="shared" si="3"/>
      </c>
      <c r="K57" s="64">
        <v>3</v>
      </c>
      <c r="L57" s="67">
        <v>5337.600000000002</v>
      </c>
      <c r="M57" s="72" t="s">
        <v>191</v>
      </c>
      <c r="N57" s="69">
        <v>10</v>
      </c>
      <c r="O57" s="70"/>
      <c r="P57" s="69"/>
    </row>
    <row customHeight="true" ht="23.80952380952381" r="58">
      <c r="A58" s="62" t="s">
        <v>196</v>
      </c>
      <c r="B58" s="71" t="s">
        <v>165</v>
      </c>
      <c r="C58" s="64" t="s">
        <v>182</v>
      </c>
      <c r="D58" s="64">
        <v>4</v>
      </c>
      <c r="E58" s="64">
        <v>11</v>
      </c>
      <c r="F58" s="64">
        <v>18088.5</v>
      </c>
      <c r="G58" s="64">
        <v>15629.93</v>
      </c>
      <c r="H58" s="65">
        <f t="shared" si="2"/>
      </c>
      <c r="I58" s="66">
        <f t="shared" si="0"/>
      </c>
      <c r="J58" s="66">
        <f t="shared" si="3"/>
      </c>
      <c r="K58" s="64">
        <v>2</v>
      </c>
      <c r="L58" s="67">
        <v>796.5</v>
      </c>
      <c r="M58" s="72"/>
      <c r="N58" s="71"/>
      <c r="O58" s="71" t="s">
        <v>176</v>
      </c>
      <c r="P58" s="69">
        <v>10</v>
      </c>
    </row>
    <row customHeight="true" ht="23.80952380952381" r="59">
      <c r="A59" s="73" t="s">
        <v>196</v>
      </c>
      <c r="B59" s="74"/>
      <c r="C59" s="74"/>
      <c r="D59" s="75">
        <f>SUM(D54:D58)</f>
      </c>
      <c r="E59" s="75">
        <f>SUM(E54:E58)</f>
      </c>
      <c r="F59" s="76">
        <f>SUM(F54:F58)</f>
      </c>
      <c r="G59" s="75">
        <f>SUM(G54:G58)</f>
      </c>
      <c r="H59" s="77">
        <f t="shared" si="2"/>
      </c>
      <c r="I59" s="77">
        <f t="shared" si="0"/>
      </c>
      <c r="J59" s="77">
        <f t="shared" si="3"/>
      </c>
      <c r="K59" s="75">
        <f>SUM(K54:K58)</f>
      </c>
      <c r="L59" s="78">
        <f>SUM(L54:L58)</f>
      </c>
      <c r="M59" s="79"/>
      <c r="N59" s="80">
        <f>SUM(N54:N58)</f>
      </c>
      <c r="O59" s="81"/>
      <c r="P59" s="80">
        <f>SUM(P54:P58)</f>
      </c>
    </row>
    <row customHeight="true" ht="23.80952380952381" r="60">
      <c r="A60" s="62" t="s">
        <v>199</v>
      </c>
      <c r="B60" s="63" t="s">
        <v>171</v>
      </c>
      <c r="C60" s="64" t="s">
        <v>185</v>
      </c>
      <c r="D60" s="64">
        <v>4</v>
      </c>
      <c r="E60" s="64">
        <v>14</v>
      </c>
      <c r="F60" s="64">
        <v>14487.6</v>
      </c>
      <c r="G60" s="64">
        <v>9756.78</v>
      </c>
      <c r="H60" s="65">
        <f t="shared" si="2"/>
      </c>
      <c r="I60" s="66">
        <f t="shared" si="0"/>
      </c>
      <c r="J60" s="66">
        <f t="shared" si="3"/>
      </c>
      <c r="K60" s="64">
        <v>5</v>
      </c>
      <c r="L60" s="67">
        <v>4203.6</v>
      </c>
      <c r="M60" s="68"/>
      <c r="N60" s="69"/>
      <c r="O60" s="70" t="s">
        <v>167</v>
      </c>
      <c r="P60" s="71">
        <v>10</v>
      </c>
    </row>
    <row customHeight="true" ht="23.80952380952381" r="61">
      <c r="A61" s="62" t="s">
        <v>199</v>
      </c>
      <c r="B61" s="63" t="s">
        <v>178</v>
      </c>
      <c r="C61" s="64" t="s">
        <v>197</v>
      </c>
      <c r="D61" s="64">
        <v>4</v>
      </c>
      <c r="E61" s="64">
        <v>15</v>
      </c>
      <c r="F61" s="64">
        <v>18423.44</v>
      </c>
      <c r="G61" s="64">
        <v>13327.33</v>
      </c>
      <c r="H61" s="65">
        <f t="shared" si="2"/>
      </c>
      <c r="I61" s="66">
        <f t="shared" si="0"/>
      </c>
      <c r="J61" s="66">
        <f t="shared" si="3"/>
      </c>
      <c r="K61" s="64">
        <v>6</v>
      </c>
      <c r="L61" s="67">
        <v>9588.8</v>
      </c>
      <c r="M61" s="72" t="s">
        <v>194</v>
      </c>
      <c r="N61" s="69">
        <v>10</v>
      </c>
      <c r="O61" s="70"/>
      <c r="P61" s="69"/>
    </row>
    <row customHeight="true" ht="23.80952380952381" r="62">
      <c r="A62" s="62" t="s">
        <v>199</v>
      </c>
      <c r="B62" s="63" t="s">
        <v>173</v>
      </c>
      <c r="C62" s="64" t="s">
        <v>198</v>
      </c>
      <c r="D62" s="64">
        <v>4</v>
      </c>
      <c r="E62" s="64">
        <v>10</v>
      </c>
      <c r="F62" s="64">
        <v>13522.799999999994</v>
      </c>
      <c r="G62" s="64">
        <v>9522.080000000002</v>
      </c>
      <c r="H62" s="65">
        <f t="shared" si="2"/>
      </c>
      <c r="I62" s="66">
        <f t="shared" si="0"/>
      </c>
      <c r="J62" s="66">
        <f t="shared" si="3"/>
      </c>
      <c r="K62" s="64">
        <v>1</v>
      </c>
      <c r="L62" s="67">
        <v>1411.2</v>
      </c>
      <c r="M62" s="72"/>
      <c r="N62" s="69"/>
      <c r="O62" s="70"/>
      <c r="P62" s="69"/>
    </row>
    <row customHeight="true" ht="23.80952380952381" r="63">
      <c r="A63" s="62" t="s">
        <v>199</v>
      </c>
      <c r="B63" s="63" t="s">
        <v>165</v>
      </c>
      <c r="C63" s="64" t="s">
        <v>180</v>
      </c>
      <c r="D63" s="64">
        <v>4</v>
      </c>
      <c r="E63" s="64">
        <v>12</v>
      </c>
      <c r="F63" s="64">
        <v>15819</v>
      </c>
      <c r="G63" s="64">
        <v>8992.2</v>
      </c>
      <c r="H63" s="65">
        <f t="shared" si="2"/>
      </c>
      <c r="I63" s="66">
        <f t="shared" si="0"/>
      </c>
      <c r="J63" s="66">
        <f t="shared" si="3"/>
      </c>
      <c r="K63" s="64">
        <v>3</v>
      </c>
      <c r="L63" s="67">
        <v>1640.3999999999996</v>
      </c>
      <c r="M63" s="72" t="s">
        <v>191</v>
      </c>
      <c r="N63" s="69">
        <v>10</v>
      </c>
      <c r="O63" s="70"/>
      <c r="P63" s="69"/>
    </row>
    <row customHeight="true" ht="23.80952380952381" r="64">
      <c r="A64" s="62" t="s">
        <v>199</v>
      </c>
      <c r="B64" s="71" t="s">
        <v>168</v>
      </c>
      <c r="C64" s="64" t="s">
        <v>182</v>
      </c>
      <c r="D64" s="64">
        <v>4</v>
      </c>
      <c r="E64" s="64">
        <v>9</v>
      </c>
      <c r="F64" s="64">
        <v>11646</v>
      </c>
      <c r="G64" s="64">
        <v>9268.119999999999</v>
      </c>
      <c r="H64" s="65">
        <f t="shared" si="2"/>
      </c>
      <c r="I64" s="66">
        <f t="shared" si="0"/>
      </c>
      <c r="J64" s="66">
        <f t="shared" si="3"/>
      </c>
      <c r="K64" s="64">
        <v>1</v>
      </c>
      <c r="L64" s="67">
        <v>621.5999999999985</v>
      </c>
      <c r="M64" s="72"/>
      <c r="N64" s="71"/>
      <c r="O64" s="71" t="s">
        <v>176</v>
      </c>
      <c r="P64" s="69">
        <v>10</v>
      </c>
    </row>
    <row customHeight="true" ht="23.80952380952381" r="65">
      <c r="A65" s="73" t="s">
        <v>199</v>
      </c>
      <c r="B65" s="74"/>
      <c r="C65" s="74"/>
      <c r="D65" s="75">
        <f>SUM(D60:D64)</f>
      </c>
      <c r="E65" s="75">
        <f>SUM(E60:E64)</f>
      </c>
      <c r="F65" s="76">
        <f>SUM(F60:F64)</f>
      </c>
      <c r="G65" s="75">
        <f>SUM(G60:G64)</f>
      </c>
      <c r="H65" s="77">
        <f t="shared" si="2"/>
      </c>
      <c r="I65" s="77">
        <f t="shared" si="0"/>
      </c>
      <c r="J65" s="77">
        <f t="shared" si="3"/>
      </c>
      <c r="K65" s="75">
        <f>SUM(K60:K64)</f>
      </c>
      <c r="L65" s="78">
        <f>SUM(L60:L64)</f>
      </c>
      <c r="M65" s="79"/>
      <c r="N65" s="80">
        <f>SUM(N60:N64)</f>
      </c>
      <c r="O65" s="81"/>
      <c r="P65" s="80">
        <f>SUM(P60:P64)</f>
      </c>
    </row>
    <row customHeight="true" ht="23.80952380952381" r="66">
      <c r="A66" s="62" t="s">
        <v>200</v>
      </c>
      <c r="B66" s="63" t="s">
        <v>171</v>
      </c>
      <c r="C66" s="64" t="s">
        <v>185</v>
      </c>
      <c r="D66" s="64">
        <v>4</v>
      </c>
      <c r="E66" s="64">
        <v>13</v>
      </c>
      <c r="F66" s="64">
        <v>21635.6</v>
      </c>
      <c r="G66" s="64">
        <v>11098.05</v>
      </c>
      <c r="H66" s="65">
        <f t="shared" si="2"/>
      </c>
      <c r="I66" s="66">
        <f t="shared" si="0"/>
      </c>
      <c r="J66" s="66">
        <f t="shared" si="3"/>
      </c>
      <c r="K66" s="64">
        <v>5</v>
      </c>
      <c r="L66" s="67">
        <v>9915.599999999999</v>
      </c>
      <c r="M66" s="68"/>
      <c r="N66" s="69"/>
      <c r="O66" s="70" t="s">
        <v>167</v>
      </c>
      <c r="P66" s="71">
        <v>10</v>
      </c>
    </row>
    <row customHeight="true" ht="23.80952380952381" r="67">
      <c r="A67" s="62" t="s">
        <v>200</v>
      </c>
      <c r="B67" s="63" t="s">
        <v>178</v>
      </c>
      <c r="C67" s="64" t="s">
        <v>186</v>
      </c>
      <c r="D67" s="64">
        <v>5</v>
      </c>
      <c r="E67" s="64">
        <v>23</v>
      </c>
      <c r="F67" s="64">
        <v>26548.8</v>
      </c>
      <c r="G67" s="64">
        <v>15668.169999999998</v>
      </c>
      <c r="H67" s="65">
        <f t="shared" si="2"/>
      </c>
      <c r="I67" s="66">
        <f t="shared" si="0"/>
      </c>
      <c r="J67" s="66">
        <f t="shared" si="3"/>
      </c>
      <c r="K67" s="64">
        <v>8</v>
      </c>
      <c r="L67" s="67">
        <v>5762.4</v>
      </c>
      <c r="M67" s="72" t="s">
        <v>194</v>
      </c>
      <c r="N67" s="69">
        <v>10</v>
      </c>
      <c r="O67" s="70"/>
      <c r="P67" s="69"/>
    </row>
    <row customHeight="true" ht="23.80952380952381" r="68">
      <c r="A68" s="62" t="s">
        <v>200</v>
      </c>
      <c r="B68" s="63" t="s">
        <v>173</v>
      </c>
      <c r="C68" s="64" t="s">
        <v>201</v>
      </c>
      <c r="D68" s="64">
        <v>4</v>
      </c>
      <c r="E68" s="64">
        <v>6</v>
      </c>
      <c r="F68" s="64">
        <v>10752.000000000007</v>
      </c>
      <c r="G68" s="64">
        <v>8503.15</v>
      </c>
      <c r="H68" s="65">
        <f t="shared" si="2"/>
      </c>
      <c r="I68" s="66">
        <f t="shared" si="0"/>
      </c>
      <c r="J68" s="66">
        <f t="shared" si="3"/>
      </c>
      <c r="K68" s="64">
        <v>1</v>
      </c>
      <c r="L68" s="67">
        <v>2011.2000000000025</v>
      </c>
      <c r="M68" s="72"/>
      <c r="N68" s="69"/>
      <c r="O68" s="70"/>
      <c r="P68" s="69"/>
    </row>
    <row customHeight="true" ht="23.80952380952381" r="69">
      <c r="A69" s="62" t="s">
        <v>200</v>
      </c>
      <c r="B69" s="63" t="s">
        <v>165</v>
      </c>
      <c r="C69" s="64" t="s">
        <v>202</v>
      </c>
      <c r="D69" s="64">
        <v>3</v>
      </c>
      <c r="E69" s="64">
        <v>1</v>
      </c>
      <c r="F69" s="64">
        <v>59.400000000001455</v>
      </c>
      <c r="G69" s="64">
        <v>4559.58</v>
      </c>
      <c r="H69" s="65">
        <f t="shared" si="2"/>
      </c>
      <c r="I69" s="66">
        <f t="shared" si="0"/>
      </c>
      <c r="J69" s="66">
        <f t="shared" si="3"/>
      </c>
      <c r="K69" s="64">
        <v>0</v>
      </c>
      <c r="L69" s="67">
        <v>0</v>
      </c>
      <c r="M69" s="72" t="s">
        <v>191</v>
      </c>
      <c r="N69" s="69">
        <v>10</v>
      </c>
      <c r="O69" s="70"/>
      <c r="P69" s="69"/>
    </row>
    <row customHeight="true" ht="23.80952380952381" r="70">
      <c r="A70" s="62" t="s">
        <v>200</v>
      </c>
      <c r="B70" s="71" t="s">
        <v>168</v>
      </c>
      <c r="C70" s="64" t="s">
        <v>182</v>
      </c>
      <c r="D70" s="64">
        <v>4</v>
      </c>
      <c r="E70" s="64">
        <v>18</v>
      </c>
      <c r="F70" s="64">
        <v>21926.600000000013</v>
      </c>
      <c r="G70" s="64">
        <v>14906.819999999998</v>
      </c>
      <c r="H70" s="65">
        <f t="shared" si="2"/>
      </c>
      <c r="I70" s="66">
        <f t="shared" si="0"/>
      </c>
      <c r="J70" s="66">
        <f t="shared" si="3"/>
      </c>
      <c r="K70" s="64">
        <v>3</v>
      </c>
      <c r="L70" s="67">
        <v>2385.599999999995</v>
      </c>
      <c r="M70" s="72"/>
      <c r="N70" s="71"/>
      <c r="O70" s="71" t="s">
        <v>176</v>
      </c>
      <c r="P70" s="69">
        <v>10</v>
      </c>
    </row>
    <row customHeight="true" ht="23.80952380952381" r="71">
      <c r="A71" s="73" t="s">
        <v>200</v>
      </c>
      <c r="B71" s="74"/>
      <c r="C71" s="74"/>
      <c r="D71" s="75">
        <f>SUM(D66:D70)</f>
      </c>
      <c r="E71" s="75">
        <f>SUM(E66:E70)</f>
      </c>
      <c r="F71" s="76">
        <f>SUM(F66:F70)</f>
      </c>
      <c r="G71" s="75">
        <f>SUM(G66:G70)</f>
      </c>
      <c r="H71" s="77">
        <f t="shared" si="2"/>
      </c>
      <c r="I71" s="77">
        <f t="shared" si="0"/>
      </c>
      <c r="J71" s="77">
        <f t="shared" si="3"/>
      </c>
      <c r="K71" s="75">
        <f>SUM(K66:K70)</f>
      </c>
      <c r="L71" s="78">
        <f>SUM(L66:L70)</f>
      </c>
      <c r="M71" s="79"/>
      <c r="N71" s="80">
        <f>SUM(N66:N70)</f>
      </c>
      <c r="O71" s="81"/>
      <c r="P71" s="80">
        <f>SUM(P66:P70)</f>
      </c>
    </row>
    <row customHeight="true" ht="23.80952380952381" r="72">
      <c r="A72" s="62" t="s">
        <v>203</v>
      </c>
      <c r="B72" s="63" t="s">
        <v>173</v>
      </c>
      <c r="C72" s="64" t="s">
        <v>185</v>
      </c>
      <c r="D72" s="64">
        <v>4</v>
      </c>
      <c r="E72" s="64">
        <v>16</v>
      </c>
      <c r="F72" s="64">
        <v>19417.2</v>
      </c>
      <c r="G72" s="64">
        <v>14854.72</v>
      </c>
      <c r="H72" s="65">
        <f t="shared" si="2"/>
      </c>
      <c r="I72" s="66">
        <f t="shared" si="0"/>
      </c>
      <c r="J72" s="66">
        <f t="shared" si="3"/>
      </c>
      <c r="K72" s="64">
        <v>5</v>
      </c>
      <c r="L72" s="67">
        <v>6129.6</v>
      </c>
      <c r="M72" s="68"/>
      <c r="N72" s="69"/>
      <c r="O72" s="70" t="s">
        <v>167</v>
      </c>
      <c r="P72" s="71">
        <v>10</v>
      </c>
    </row>
    <row customHeight="true" ht="23.80952380952381" r="73">
      <c r="A73" s="62" t="s">
        <v>203</v>
      </c>
      <c r="B73" s="63" t="s">
        <v>165</v>
      </c>
      <c r="C73" s="64" t="s">
        <v>197</v>
      </c>
      <c r="D73" s="64">
        <v>4</v>
      </c>
      <c r="E73" s="64">
        <v>13</v>
      </c>
      <c r="F73" s="64">
        <v>15751.2</v>
      </c>
      <c r="G73" s="64">
        <v>13862.17</v>
      </c>
      <c r="H73" s="65">
        <f t="shared" si="2"/>
      </c>
      <c r="I73" s="66">
        <f t="shared" si="0"/>
      </c>
      <c r="J73" s="66">
        <f t="shared" si="3"/>
      </c>
      <c r="K73" s="64">
        <v>4</v>
      </c>
      <c r="L73" s="67">
        <v>3504</v>
      </c>
      <c r="M73" s="72" t="s">
        <v>194</v>
      </c>
      <c r="N73" s="69">
        <v>10</v>
      </c>
      <c r="O73" s="70"/>
      <c r="P73" s="69"/>
    </row>
    <row customHeight="true" ht="23.80952380952381" r="74">
      <c r="A74" s="62" t="s">
        <v>203</v>
      </c>
      <c r="B74" s="63" t="s">
        <v>168</v>
      </c>
      <c r="C74" s="64" t="s">
        <v>198</v>
      </c>
      <c r="D74" s="64">
        <v>4</v>
      </c>
      <c r="E74" s="64">
        <v>11</v>
      </c>
      <c r="F74" s="64">
        <v>14170.799999999994</v>
      </c>
      <c r="G74" s="64">
        <v>13234.940000000002</v>
      </c>
      <c r="H74" s="65">
        <f t="shared" si="2"/>
      </c>
      <c r="I74" s="66">
        <f t="shared" si="0"/>
      </c>
      <c r="J74" s="66">
        <f t="shared" si="3"/>
      </c>
      <c r="K74" s="64">
        <v>4</v>
      </c>
      <c r="L74" s="67">
        <v>3631.199999999999</v>
      </c>
      <c r="M74" s="72"/>
      <c r="N74" s="69"/>
      <c r="O74" s="70"/>
      <c r="P74" s="69"/>
    </row>
    <row customHeight="true" ht="23.80952380952381" r="75">
      <c r="A75" s="62" t="s">
        <v>203</v>
      </c>
      <c r="B75" s="63" t="s">
        <v>178</v>
      </c>
      <c r="C75" s="64" t="s">
        <v>180</v>
      </c>
      <c r="D75" s="64">
        <v>4</v>
      </c>
      <c r="E75" s="64">
        <v>5</v>
      </c>
      <c r="F75" s="64">
        <v>3234</v>
      </c>
      <c r="G75" s="64">
        <v>9347.25</v>
      </c>
      <c r="H75" s="65">
        <f t="shared" si="2"/>
      </c>
      <c r="I75" s="66">
        <f t="shared" si="0"/>
      </c>
      <c r="J75" s="66">
        <f t="shared" si="3"/>
      </c>
      <c r="K75" s="64">
        <v>1</v>
      </c>
      <c r="L75" s="67">
        <v>1663.199999999999</v>
      </c>
      <c r="M75" s="72" t="s">
        <v>191</v>
      </c>
      <c r="N75" s="69">
        <v>10</v>
      </c>
      <c r="O75" s="70"/>
      <c r="P75" s="69"/>
    </row>
    <row customHeight="true" ht="23.80952380952381" r="76">
      <c r="A76" s="62" t="s">
        <v>203</v>
      </c>
      <c r="B76" s="71" t="s">
        <v>181</v>
      </c>
      <c r="C76" s="64" t="s">
        <v>182</v>
      </c>
      <c r="D76" s="64">
        <v>4</v>
      </c>
      <c r="E76" s="64">
        <v>17</v>
      </c>
      <c r="F76" s="64">
        <v>21584.52000000002</v>
      </c>
      <c r="G76" s="64">
        <v>11675.77</v>
      </c>
      <c r="H76" s="65">
        <f t="shared" si="2"/>
      </c>
      <c r="I76" s="66">
        <f t="shared" si="0"/>
      </c>
      <c r="J76" s="66">
        <f t="shared" si="3"/>
      </c>
      <c r="K76" s="64">
        <v>2</v>
      </c>
      <c r="L76" s="67">
        <v>963.600000000001</v>
      </c>
      <c r="M76" s="72"/>
      <c r="N76" s="71"/>
      <c r="O76" s="71" t="s">
        <v>176</v>
      </c>
      <c r="P76" s="69">
        <v>10</v>
      </c>
    </row>
    <row customHeight="true" ht="23.80952380952381" r="77">
      <c r="A77" s="73" t="s">
        <v>203</v>
      </c>
      <c r="B77" s="74"/>
      <c r="C77" s="74"/>
      <c r="D77" s="75">
        <f>SUM(D72:D76)</f>
      </c>
      <c r="E77" s="75">
        <f>SUM(E72:E76)</f>
      </c>
      <c r="F77" s="76">
        <f>SUM(F72:F76)</f>
      </c>
      <c r="G77" s="75">
        <f>SUM(G72:G76)</f>
      </c>
      <c r="H77" s="77">
        <f t="shared" si="2"/>
      </c>
      <c r="I77" s="77">
        <f t="shared" si="0"/>
      </c>
      <c r="J77" s="77">
        <f t="shared" si="3"/>
      </c>
      <c r="K77" s="75">
        <f>SUM(K72:K76)</f>
      </c>
      <c r="L77" s="78">
        <f>SUM(L72:L76)</f>
      </c>
      <c r="M77" s="79"/>
      <c r="N77" s="80">
        <f>SUM(N72:N76)</f>
      </c>
      <c r="O77" s="81"/>
      <c r="P77" s="80">
        <f>SUM(P72:P76)</f>
      </c>
    </row>
    <row customHeight="true" ht="23.80952380952381" r="78">
      <c r="A78" s="62" t="s">
        <v>204</v>
      </c>
      <c r="B78" s="63" t="s">
        <v>165</v>
      </c>
      <c r="C78" s="64" t="s">
        <v>185</v>
      </c>
      <c r="D78" s="64">
        <v>4</v>
      </c>
      <c r="E78" s="64">
        <v>5</v>
      </c>
      <c r="F78" s="64">
        <v>9186.6</v>
      </c>
      <c r="G78" s="64">
        <v>9262.2</v>
      </c>
      <c r="H78" s="65">
        <f t="shared" si="2"/>
      </c>
      <c r="I78" s="66">
        <f t="shared" si="0"/>
      </c>
      <c r="J78" s="66">
        <f t="shared" si="3"/>
      </c>
      <c r="K78" s="64">
        <v>1</v>
      </c>
      <c r="L78" s="67">
        <v>2730</v>
      </c>
      <c r="M78" s="68"/>
      <c r="N78" s="69"/>
      <c r="O78" s="70" t="s">
        <v>167</v>
      </c>
      <c r="P78" s="71">
        <v>10</v>
      </c>
    </row>
    <row customHeight="true" ht="23.80952380952381" r="79">
      <c r="A79" s="62" t="s">
        <v>204</v>
      </c>
      <c r="B79" s="63" t="s">
        <v>168</v>
      </c>
      <c r="C79" s="64" t="s">
        <v>197</v>
      </c>
      <c r="D79" s="64">
        <v>4</v>
      </c>
      <c r="E79" s="64">
        <v>5</v>
      </c>
      <c r="F79" s="64">
        <v>5878.8</v>
      </c>
      <c r="G79" s="64">
        <v>5233.31</v>
      </c>
      <c r="H79" s="65">
        <f t="shared" si="2"/>
      </c>
      <c r="I79" s="66">
        <f t="shared" si="0"/>
      </c>
      <c r="J79" s="66">
        <f t="shared" si="3"/>
      </c>
      <c r="K79" s="64">
        <v>1</v>
      </c>
      <c r="L79" s="67">
        <v>2011.2</v>
      </c>
      <c r="M79" s="72" t="s">
        <v>194</v>
      </c>
      <c r="N79" s="69">
        <v>10</v>
      </c>
      <c r="O79" s="70"/>
      <c r="P79" s="69"/>
    </row>
    <row customHeight="true" ht="23.80952380952381" r="80">
      <c r="A80" s="62" t="s">
        <v>204</v>
      </c>
      <c r="B80" s="63" t="s">
        <v>178</v>
      </c>
      <c r="C80" s="64" t="s">
        <v>198</v>
      </c>
      <c r="D80" s="64">
        <v>4</v>
      </c>
      <c r="E80" s="64">
        <v>13</v>
      </c>
      <c r="F80" s="64">
        <v>20546.4</v>
      </c>
      <c r="G80" s="64">
        <v>10143.18</v>
      </c>
      <c r="H80" s="65">
        <f t="shared" si="2"/>
      </c>
      <c r="I80" s="66">
        <f t="shared" si="0"/>
      </c>
      <c r="J80" s="66">
        <f t="shared" si="3"/>
      </c>
      <c r="K80" s="64">
        <v>3</v>
      </c>
      <c r="L80" s="67">
        <v>4833.599999999999</v>
      </c>
      <c r="M80" s="72"/>
      <c r="N80" s="69"/>
      <c r="O80" s="70"/>
      <c r="P80" s="69"/>
    </row>
    <row customHeight="true" ht="23.80952380952381" r="81">
      <c r="A81" s="62" t="s">
        <v>204</v>
      </c>
      <c r="B81" s="63" t="s">
        <v>181</v>
      </c>
      <c r="C81" s="64" t="s">
        <v>180</v>
      </c>
      <c r="D81" s="64">
        <v>4</v>
      </c>
      <c r="E81" s="64">
        <v>9</v>
      </c>
      <c r="F81" s="64">
        <v>13392</v>
      </c>
      <c r="G81" s="64">
        <v>11592.51</v>
      </c>
      <c r="H81" s="65">
        <f t="shared" si="2"/>
      </c>
      <c r="I81" s="66">
        <f t="shared" si="0"/>
      </c>
      <c r="J81" s="66">
        <f t="shared" si="3"/>
      </c>
      <c r="K81" s="64">
        <v>0</v>
      </c>
      <c r="L81" s="67">
        <v>0</v>
      </c>
      <c r="M81" s="72" t="s">
        <v>191</v>
      </c>
      <c r="N81" s="69">
        <v>10</v>
      </c>
      <c r="O81" s="70"/>
      <c r="P81" s="69"/>
    </row>
    <row customHeight="true" ht="23.80952380952381" r="82">
      <c r="A82" s="62" t="s">
        <v>204</v>
      </c>
      <c r="B82" s="71" t="s">
        <v>171</v>
      </c>
      <c r="C82" s="64" t="s">
        <v>182</v>
      </c>
      <c r="D82" s="64">
        <v>4</v>
      </c>
      <c r="E82" s="64">
        <v>33</v>
      </c>
      <c r="F82" s="64">
        <v>46402.31999999999</v>
      </c>
      <c r="G82" s="64">
        <v>17230.45</v>
      </c>
      <c r="H82" s="65">
        <f t="shared" si="2"/>
      </c>
      <c r="I82" s="66">
        <f t="shared" si="0"/>
      </c>
      <c r="J82" s="66">
        <f t="shared" si="3"/>
      </c>
      <c r="K82" s="64">
        <v>2</v>
      </c>
      <c r="L82" s="67">
        <v>2702.4000000000015</v>
      </c>
      <c r="M82" s="72"/>
      <c r="N82" s="71"/>
      <c r="O82" s="71" t="s">
        <v>176</v>
      </c>
      <c r="P82" s="69">
        <v>10</v>
      </c>
    </row>
    <row customHeight="true" ht="23.80952380952381" r="83">
      <c r="A83" s="73" t="s">
        <v>204</v>
      </c>
      <c r="B83" s="74"/>
      <c r="C83" s="74"/>
      <c r="D83" s="75">
        <f>SUM(D78:D82)</f>
      </c>
      <c r="E83" s="75">
        <f>SUM(E78:E82)</f>
      </c>
      <c r="F83" s="76">
        <f>SUM(F78:F82)</f>
      </c>
      <c r="G83" s="75">
        <f>SUM(G78:G82)</f>
      </c>
      <c r="H83" s="77">
        <f t="shared" si="2"/>
      </c>
      <c r="I83" s="77">
        <f t="shared" si="0"/>
      </c>
      <c r="J83" s="77">
        <f t="shared" si="3"/>
      </c>
      <c r="K83" s="75">
        <f>SUM(K78:K82)</f>
      </c>
      <c r="L83" s="78">
        <f>SUM(L78:L82)</f>
      </c>
      <c r="M83" s="79"/>
      <c r="N83" s="80">
        <f>SUM(N78:N82)</f>
      </c>
      <c r="O83" s="81"/>
      <c r="P83" s="80">
        <f>SUM(P78:P82)</f>
      </c>
    </row>
    <row customHeight="true" ht="23.80952380952381" r="84">
      <c r="A84" s="62" t="s">
        <v>205</v>
      </c>
      <c r="B84" s="63" t="s">
        <v>165</v>
      </c>
      <c r="C84" s="64" t="s">
        <v>185</v>
      </c>
      <c r="D84" s="64">
        <v>4</v>
      </c>
      <c r="E84" s="64">
        <v>13</v>
      </c>
      <c r="F84" s="64">
        <v>16948.8</v>
      </c>
      <c r="G84" s="64">
        <v>16920.56</v>
      </c>
      <c r="H84" s="65">
        <f t="shared" si="2"/>
      </c>
      <c r="I84" s="66">
        <f t="shared" si="0"/>
      </c>
      <c r="J84" s="66">
        <f t="shared" si="3"/>
      </c>
      <c r="K84" s="64">
        <v>3</v>
      </c>
      <c r="L84" s="67">
        <v>3316.8</v>
      </c>
      <c r="M84" s="68"/>
      <c r="N84" s="69"/>
      <c r="O84" s="70" t="s">
        <v>167</v>
      </c>
      <c r="P84" s="71">
        <v>10</v>
      </c>
    </row>
    <row customHeight="true" ht="23.80952380952381" r="85">
      <c r="A85" s="62" t="s">
        <v>205</v>
      </c>
      <c r="B85" s="63" t="s">
        <v>168</v>
      </c>
      <c r="C85" s="64" t="s">
        <v>197</v>
      </c>
      <c r="D85" s="64">
        <v>4</v>
      </c>
      <c r="E85" s="64">
        <v>8</v>
      </c>
      <c r="F85" s="64">
        <v>14005.2</v>
      </c>
      <c r="G85" s="64">
        <v>6206.64</v>
      </c>
      <c r="H85" s="65">
        <f t="shared" si="2"/>
      </c>
      <c r="I85" s="66">
        <f t="shared" si="0"/>
      </c>
      <c r="J85" s="66">
        <f t="shared" si="3"/>
      </c>
      <c r="K85" s="64">
        <v>0</v>
      </c>
      <c r="L85" s="67">
        <v>0</v>
      </c>
      <c r="M85" s="72" t="s">
        <v>194</v>
      </c>
      <c r="N85" s="69">
        <v>10</v>
      </c>
      <c r="O85" s="70"/>
      <c r="P85" s="69"/>
    </row>
    <row customHeight="true" ht="23.80952380952381" r="86">
      <c r="A86" s="62" t="s">
        <v>205</v>
      </c>
      <c r="B86" s="63" t="s">
        <v>178</v>
      </c>
      <c r="C86" s="64" t="s">
        <v>198</v>
      </c>
      <c r="D86" s="64">
        <v>4</v>
      </c>
      <c r="E86" s="64">
        <v>14</v>
      </c>
      <c r="F86" s="64">
        <v>19423.199999999993</v>
      </c>
      <c r="G86" s="64">
        <v>11380.050000000001</v>
      </c>
      <c r="H86" s="65">
        <f t="shared" si="2"/>
      </c>
      <c r="I86" s="66">
        <f t="shared" si="0"/>
      </c>
      <c r="J86" s="66">
        <f t="shared" si="3"/>
      </c>
      <c r="K86" s="64">
        <v>3</v>
      </c>
      <c r="L86" s="67">
        <v>3062.3999999999996</v>
      </c>
      <c r="M86" s="72"/>
      <c r="N86" s="69"/>
      <c r="O86" s="70"/>
      <c r="P86" s="69"/>
    </row>
    <row customHeight="true" ht="23.80952380952381" r="87">
      <c r="A87" s="62" t="s">
        <v>205</v>
      </c>
      <c r="B87" s="63" t="s">
        <v>181</v>
      </c>
      <c r="C87" s="64" t="s">
        <v>180</v>
      </c>
      <c r="D87" s="64">
        <v>4</v>
      </c>
      <c r="E87" s="64">
        <v>10</v>
      </c>
      <c r="F87" s="64">
        <v>11931.799999999996</v>
      </c>
      <c r="G87" s="64">
        <v>10113.79</v>
      </c>
      <c r="H87" s="65">
        <f t="shared" si="2"/>
      </c>
      <c r="I87" s="66">
        <f t="shared" si="0"/>
      </c>
      <c r="J87" s="66">
        <f t="shared" si="3"/>
      </c>
      <c r="K87" s="64">
        <v>3</v>
      </c>
      <c r="L87" s="67">
        <v>1416</v>
      </c>
      <c r="M87" s="72" t="s">
        <v>191</v>
      </c>
      <c r="N87" s="69">
        <v>10</v>
      </c>
      <c r="O87" s="70"/>
      <c r="P87" s="69"/>
    </row>
    <row customHeight="true" ht="23.80952380952381" r="88">
      <c r="A88" s="62" t="s">
        <v>205</v>
      </c>
      <c r="B88" s="71" t="s">
        <v>171</v>
      </c>
      <c r="C88" s="64" t="s">
        <v>182</v>
      </c>
      <c r="D88" s="64">
        <v>4</v>
      </c>
      <c r="E88" s="64">
        <v>19</v>
      </c>
      <c r="F88" s="64">
        <v>31971.60000000002</v>
      </c>
      <c r="G88" s="64">
        <v>13831.720000000001</v>
      </c>
      <c r="H88" s="65">
        <f t="shared" si="2"/>
      </c>
      <c r="I88" s="66">
        <f t="shared" si="0"/>
      </c>
      <c r="J88" s="66">
        <f t="shared" si="3"/>
      </c>
      <c r="K88" s="64">
        <v>3</v>
      </c>
      <c r="L88" s="67">
        <v>8782.8</v>
      </c>
      <c r="M88" s="72"/>
      <c r="N88" s="71"/>
      <c r="O88" s="71" t="s">
        <v>176</v>
      </c>
      <c r="P88" s="69">
        <v>10</v>
      </c>
    </row>
    <row customHeight="true" ht="23.80952380952381" r="89">
      <c r="A89" s="73" t="s">
        <v>205</v>
      </c>
      <c r="B89" s="74"/>
      <c r="C89" s="74"/>
      <c r="D89" s="75">
        <f>SUM(D84:D88)</f>
      </c>
      <c r="E89" s="75">
        <f>SUM(E84:E88)</f>
      </c>
      <c r="F89" s="76">
        <f>SUM(F84:F88)</f>
      </c>
      <c r="G89" s="75">
        <f>SUM(G84:G88)</f>
      </c>
      <c r="H89" s="77">
        <f t="shared" si="2"/>
      </c>
      <c r="I89" s="77">
        <f t="shared" si="0"/>
      </c>
      <c r="J89" s="77">
        <f t="shared" si="3"/>
      </c>
      <c r="K89" s="75">
        <f>SUM(K84:K88)</f>
      </c>
      <c r="L89" s="78">
        <f>SUM(L84:L88)</f>
      </c>
      <c r="M89" s="79"/>
      <c r="N89" s="80">
        <f>SUM(N84:N88)</f>
      </c>
      <c r="O89" s="81"/>
      <c r="P89" s="80">
        <f>SUM(P84:P88)</f>
      </c>
    </row>
    <row customHeight="true" ht="23.80952380952381" r="90">
      <c r="A90" s="62" t="s">
        <v>206</v>
      </c>
      <c r="B90" s="63" t="s">
        <v>168</v>
      </c>
      <c r="C90" s="64" t="s">
        <v>185</v>
      </c>
      <c r="D90" s="64">
        <v>4</v>
      </c>
      <c r="E90" s="64">
        <v>12</v>
      </c>
      <c r="F90" s="64">
        <v>14263</v>
      </c>
      <c r="G90" s="64">
        <v>13447.92</v>
      </c>
      <c r="H90" s="65">
        <f t="shared" si="2"/>
      </c>
      <c r="I90" s="66">
        <f t="shared" si="0"/>
      </c>
      <c r="J90" s="66">
        <f t="shared" si="3"/>
      </c>
      <c r="K90" s="64">
        <v>0</v>
      </c>
      <c r="L90" s="67">
        <v>0</v>
      </c>
      <c r="M90" s="68"/>
      <c r="N90" s="69"/>
      <c r="O90" s="70" t="s">
        <v>167</v>
      </c>
      <c r="P90" s="71">
        <v>10</v>
      </c>
    </row>
    <row customHeight="true" ht="23.80952380952381" r="91">
      <c r="A91" s="62" t="s">
        <v>206</v>
      </c>
      <c r="B91" s="63" t="s">
        <v>178</v>
      </c>
      <c r="C91" s="64" t="s">
        <v>197</v>
      </c>
      <c r="D91" s="64">
        <v>4</v>
      </c>
      <c r="E91" s="64">
        <v>20</v>
      </c>
      <c r="F91" s="64">
        <v>23797.2</v>
      </c>
      <c r="G91" s="64">
        <v>9892.99</v>
      </c>
      <c r="H91" s="65">
        <f t="shared" si="2"/>
      </c>
      <c r="I91" s="66">
        <f t="shared" si="0"/>
      </c>
      <c r="J91" s="66">
        <f t="shared" si="3"/>
      </c>
      <c r="K91" s="64">
        <v>9</v>
      </c>
      <c r="L91" s="67">
        <v>6886.8</v>
      </c>
      <c r="M91" s="72" t="s">
        <v>194</v>
      </c>
      <c r="N91" s="69">
        <v>11</v>
      </c>
      <c r="O91" s="70"/>
      <c r="P91" s="69"/>
    </row>
    <row customHeight="true" ht="23.80952380952381" r="92">
      <c r="A92" s="62" t="s">
        <v>206</v>
      </c>
      <c r="B92" s="63" t="s">
        <v>181</v>
      </c>
      <c r="C92" s="64" t="s">
        <v>198</v>
      </c>
      <c r="D92" s="64">
        <v>4</v>
      </c>
      <c r="E92" s="64">
        <v>12</v>
      </c>
      <c r="F92" s="64">
        <v>11920.800000000007</v>
      </c>
      <c r="G92" s="64">
        <v>12802.75</v>
      </c>
      <c r="H92" s="65">
        <f t="shared" si="2"/>
      </c>
      <c r="I92" s="66">
        <f t="shared" si="0"/>
      </c>
      <c r="J92" s="66">
        <f t="shared" si="3"/>
      </c>
      <c r="K92" s="64">
        <v>2</v>
      </c>
      <c r="L92" s="67">
        <v>2342.4000000000005</v>
      </c>
      <c r="M92" s="72"/>
      <c r="N92" s="69"/>
      <c r="O92" s="70"/>
      <c r="P92" s="69"/>
    </row>
    <row customHeight="true" ht="23.80952380952381" r="93">
      <c r="A93" s="62" t="s">
        <v>206</v>
      </c>
      <c r="B93" s="63" t="s">
        <v>171</v>
      </c>
      <c r="C93" s="64" t="s">
        <v>180</v>
      </c>
      <c r="D93" s="64">
        <v>4</v>
      </c>
      <c r="E93" s="64">
        <v>15</v>
      </c>
      <c r="F93" s="64">
        <v>17056.799999999996</v>
      </c>
      <c r="G93" s="64">
        <v>13926.19</v>
      </c>
      <c r="H93" s="65">
        <f t="shared" si="2"/>
      </c>
      <c r="I93" s="66">
        <f t="shared" si="0"/>
      </c>
      <c r="J93" s="66">
        <f t="shared" si="3"/>
      </c>
      <c r="K93" s="64">
        <v>4</v>
      </c>
      <c r="L93" s="67">
        <v>5848.799999999999</v>
      </c>
      <c r="M93" s="72" t="s">
        <v>191</v>
      </c>
      <c r="N93" s="69">
        <v>9</v>
      </c>
      <c r="O93" s="70"/>
      <c r="P93" s="69"/>
    </row>
    <row customHeight="true" ht="23.80952380952381" r="94">
      <c r="A94" s="62" t="s">
        <v>206</v>
      </c>
      <c r="B94" s="71" t="s">
        <v>173</v>
      </c>
      <c r="C94" s="64" t="s">
        <v>182</v>
      </c>
      <c r="D94" s="64">
        <v>4</v>
      </c>
      <c r="E94" s="64">
        <v>21</v>
      </c>
      <c r="F94" s="64">
        <v>20861.40000000001</v>
      </c>
      <c r="G94" s="64">
        <v>18206.55</v>
      </c>
      <c r="H94" s="65">
        <f t="shared" si="2"/>
      </c>
      <c r="I94" s="66">
        <f t="shared" si="0"/>
      </c>
      <c r="J94" s="66">
        <f t="shared" si="3"/>
      </c>
      <c r="K94" s="64">
        <v>3</v>
      </c>
      <c r="L94" s="67">
        <v>2487.5999999999967</v>
      </c>
      <c r="M94" s="72"/>
      <c r="N94" s="71"/>
      <c r="O94" s="71" t="s">
        <v>176</v>
      </c>
      <c r="P94" s="69">
        <v>10</v>
      </c>
    </row>
    <row customHeight="true" ht="23.80952380952381" r="95">
      <c r="A95" s="73" t="s">
        <v>206</v>
      </c>
      <c r="B95" s="74"/>
      <c r="C95" s="74"/>
      <c r="D95" s="75">
        <f>SUM(D90:D94)</f>
      </c>
      <c r="E95" s="75">
        <f>SUM(E90:E94)</f>
      </c>
      <c r="F95" s="76">
        <f>SUM(F90:F94)</f>
      </c>
      <c r="G95" s="75">
        <f>SUM(G90:G94)</f>
      </c>
      <c r="H95" s="77">
        <f t="shared" si="2"/>
      </c>
      <c r="I95" s="77">
        <f t="shared" si="0"/>
      </c>
      <c r="J95" s="77">
        <f t="shared" si="3"/>
      </c>
      <c r="K95" s="75">
        <f>SUM(K90:K94)</f>
      </c>
      <c r="L95" s="78">
        <f>SUM(L90:L94)</f>
      </c>
      <c r="M95" s="79"/>
      <c r="N95" s="80">
        <f>SUM(N90:N94)</f>
      </c>
      <c r="O95" s="81"/>
      <c r="P95" s="80">
        <f>SUM(P90:P94)</f>
      </c>
    </row>
    <row customHeight="true" ht="23.80952380952381" r="96">
      <c r="A96" s="62" t="s">
        <v>207</v>
      </c>
      <c r="B96" s="63" t="s">
        <v>168</v>
      </c>
      <c r="C96" s="64" t="s">
        <v>185</v>
      </c>
      <c r="D96" s="64">
        <v>4</v>
      </c>
      <c r="E96" s="64">
        <v>5</v>
      </c>
      <c r="F96" s="64">
        <v>2304</v>
      </c>
      <c r="G96" s="64">
        <v>4862.18</v>
      </c>
      <c r="H96" s="65">
        <f t="shared" si="2"/>
      </c>
      <c r="I96" s="66">
        <f t="shared" si="0"/>
      </c>
      <c r="J96" s="66">
        <f t="shared" si="3"/>
      </c>
      <c r="K96" s="64">
        <v>2</v>
      </c>
      <c r="L96" s="67">
        <v>1041.6</v>
      </c>
      <c r="M96" s="68"/>
      <c r="N96" s="69"/>
      <c r="O96" s="70" t="s">
        <v>167</v>
      </c>
      <c r="P96" s="71">
        <v>10</v>
      </c>
    </row>
    <row customHeight="true" ht="23.80952380952381" r="97">
      <c r="A97" s="62" t="s">
        <v>207</v>
      </c>
      <c r="B97" s="63" t="s">
        <v>178</v>
      </c>
      <c r="C97" s="64" t="s">
        <v>197</v>
      </c>
      <c r="D97" s="64">
        <v>4</v>
      </c>
      <c r="E97" s="64">
        <v>10</v>
      </c>
      <c r="F97" s="64">
        <v>11413.2</v>
      </c>
      <c r="G97" s="64">
        <v>10631.07</v>
      </c>
      <c r="H97" s="65">
        <f t="shared" si="2"/>
      </c>
      <c r="I97" s="66">
        <f t="shared" si="0"/>
      </c>
      <c r="J97" s="66">
        <f t="shared" si="3"/>
      </c>
      <c r="K97" s="64">
        <v>3</v>
      </c>
      <c r="L97" s="67">
        <v>4382.400000000001</v>
      </c>
      <c r="M97" s="72" t="s">
        <v>194</v>
      </c>
      <c r="N97" s="69">
        <v>10</v>
      </c>
      <c r="O97" s="70"/>
      <c r="P97" s="69"/>
    </row>
    <row customHeight="true" ht="23.80952380952381" r="98">
      <c r="A98" s="62" t="s">
        <v>207</v>
      </c>
      <c r="B98" s="63" t="s">
        <v>181</v>
      </c>
      <c r="C98" s="64" t="s">
        <v>198</v>
      </c>
      <c r="D98" s="64">
        <v>4</v>
      </c>
      <c r="E98" s="64">
        <v>4</v>
      </c>
      <c r="F98" s="64">
        <v>8440.8</v>
      </c>
      <c r="G98" s="64">
        <v>8293.76</v>
      </c>
      <c r="H98" s="65">
        <f t="shared" si="2"/>
      </c>
      <c r="I98" s="66">
        <f t="shared" si="0"/>
      </c>
      <c r="J98" s="66">
        <f t="shared" si="3"/>
      </c>
      <c r="K98" s="64">
        <v>2</v>
      </c>
      <c r="L98" s="67">
        <v>4418.400000000001</v>
      </c>
      <c r="M98" s="72"/>
      <c r="N98" s="69"/>
      <c r="O98" s="70"/>
      <c r="P98" s="69"/>
    </row>
    <row customHeight="true" ht="23.80952380952381" r="99">
      <c r="A99" s="62" t="s">
        <v>207</v>
      </c>
      <c r="B99" s="63" t="s">
        <v>171</v>
      </c>
      <c r="C99" s="64" t="s">
        <v>180</v>
      </c>
      <c r="D99" s="64">
        <v>4</v>
      </c>
      <c r="E99" s="64">
        <v>9</v>
      </c>
      <c r="F99" s="64">
        <v>11208</v>
      </c>
      <c r="G99" s="64">
        <v>8075.99</v>
      </c>
      <c r="H99" s="65">
        <f t="shared" si="2"/>
      </c>
      <c r="I99" s="66">
        <f t="shared" si="0"/>
      </c>
      <c r="J99" s="66">
        <f t="shared" si="3"/>
      </c>
      <c r="K99" s="64">
        <v>3</v>
      </c>
      <c r="L99" s="67">
        <v>3202.8000000000006</v>
      </c>
      <c r="M99" s="72" t="s">
        <v>191</v>
      </c>
      <c r="N99" s="69">
        <v>10</v>
      </c>
      <c r="O99" s="70"/>
      <c r="P99" s="69"/>
    </row>
    <row customHeight="true" ht="23.80952380952381" r="100">
      <c r="A100" s="62" t="s">
        <v>207</v>
      </c>
      <c r="B100" s="71" t="s">
        <v>173</v>
      </c>
      <c r="C100" s="64" t="s">
        <v>182</v>
      </c>
      <c r="D100" s="64">
        <v>4</v>
      </c>
      <c r="E100" s="64">
        <v>22</v>
      </c>
      <c r="F100" s="64">
        <v>31722.59999999999</v>
      </c>
      <c r="G100" s="64">
        <v>15862.699999999999</v>
      </c>
      <c r="H100" s="65">
        <f t="shared" si="2"/>
      </c>
      <c r="I100" s="66">
        <f t="shared" si="0"/>
      </c>
      <c r="J100" s="66">
        <f t="shared" si="3"/>
      </c>
      <c r="K100" s="64">
        <v>2</v>
      </c>
      <c r="L100" s="67">
        <v>3355.199999999999</v>
      </c>
      <c r="M100" s="72"/>
      <c r="N100" s="71"/>
      <c r="O100" s="71" t="s">
        <v>176</v>
      </c>
      <c r="P100" s="69">
        <v>10</v>
      </c>
    </row>
    <row customHeight="true" ht="23.80952380952381" r="101">
      <c r="A101" s="73" t="s">
        <v>207</v>
      </c>
      <c r="B101" s="74"/>
      <c r="C101" s="74"/>
      <c r="D101" s="75">
        <f>SUM(D96:D100)</f>
      </c>
      <c r="E101" s="75">
        <f>SUM(E96:E100)</f>
      </c>
      <c r="F101" s="76">
        <f>SUM(F96:F100)</f>
      </c>
      <c r="G101" s="75">
        <f>SUM(G96:G100)</f>
      </c>
      <c r="H101" s="77">
        <f t="shared" si="2"/>
      </c>
      <c r="I101" s="77">
        <f t="shared" si="0"/>
      </c>
      <c r="J101" s="77">
        <f t="shared" si="3"/>
      </c>
      <c r="K101" s="75">
        <f>SUM(K96:K100)</f>
      </c>
      <c r="L101" s="78">
        <f>SUM(L96:L100)</f>
      </c>
      <c r="M101" s="79"/>
      <c r="N101" s="80">
        <f>SUM(N96:N100)</f>
      </c>
      <c r="O101" s="81"/>
      <c r="P101" s="80">
        <f>SUM(P96:P100)</f>
      </c>
    </row>
    <row customHeight="true" ht="23.80952380952381" r="102">
      <c r="A102" s="62" t="s">
        <v>208</v>
      </c>
      <c r="B102" s="63" t="s">
        <v>178</v>
      </c>
      <c r="C102" s="64" t="s">
        <v>185</v>
      </c>
      <c r="D102" s="64">
        <v>4</v>
      </c>
      <c r="E102" s="64">
        <v>11</v>
      </c>
      <c r="F102" s="64">
        <v>11204.4</v>
      </c>
      <c r="G102" s="64">
        <v>13505.88</v>
      </c>
      <c r="H102" s="65">
        <f t="shared" si="2"/>
      </c>
      <c r="I102" s="66">
        <f t="shared" si="0"/>
      </c>
      <c r="J102" s="66">
        <f t="shared" si="3"/>
      </c>
      <c r="K102" s="64">
        <v>5</v>
      </c>
      <c r="L102" s="67">
        <v>4488</v>
      </c>
      <c r="M102" s="68"/>
      <c r="N102" s="69"/>
      <c r="O102" s="70" t="s">
        <v>167</v>
      </c>
      <c r="P102" s="71">
        <v>10</v>
      </c>
    </row>
    <row customHeight="true" ht="23.80952380952381" r="103">
      <c r="A103" s="62" t="s">
        <v>208</v>
      </c>
      <c r="B103" s="63" t="s">
        <v>181</v>
      </c>
      <c r="C103" s="64" t="s">
        <v>197</v>
      </c>
      <c r="D103" s="64">
        <v>4</v>
      </c>
      <c r="E103" s="64">
        <v>12</v>
      </c>
      <c r="F103" s="64">
        <v>13357.56</v>
      </c>
      <c r="G103" s="64">
        <v>13655.95</v>
      </c>
      <c r="H103" s="65">
        <f t="shared" si="2"/>
      </c>
      <c r="I103" s="66">
        <f t="shared" si="0"/>
      </c>
      <c r="J103" s="66">
        <f t="shared" si="3"/>
      </c>
      <c r="K103" s="64">
        <v>3</v>
      </c>
      <c r="L103" s="67">
        <v>3948.000000000001</v>
      </c>
      <c r="M103" s="72" t="s">
        <v>194</v>
      </c>
      <c r="N103" s="69">
        <v>10</v>
      </c>
      <c r="O103" s="70"/>
      <c r="P103" s="69"/>
    </row>
    <row customHeight="true" ht="23.80952380952381" r="104">
      <c r="A104" s="62" t="s">
        <v>208</v>
      </c>
      <c r="B104" s="63" t="s">
        <v>171</v>
      </c>
      <c r="C104" s="64" t="s">
        <v>198</v>
      </c>
      <c r="D104" s="64">
        <v>4</v>
      </c>
      <c r="E104" s="64">
        <v>14</v>
      </c>
      <c r="F104" s="64">
        <v>10269.120000000003</v>
      </c>
      <c r="G104" s="64">
        <v>11119.77</v>
      </c>
      <c r="H104" s="65">
        <f t="shared" si="2"/>
      </c>
      <c r="I104" s="66">
        <f t="shared" si="0"/>
      </c>
      <c r="J104" s="66">
        <f t="shared" si="3"/>
      </c>
      <c r="K104" s="64">
        <v>4</v>
      </c>
      <c r="L104" s="67">
        <v>3856.8</v>
      </c>
      <c r="M104" s="72"/>
      <c r="N104" s="69"/>
      <c r="O104" s="70"/>
      <c r="P104" s="69"/>
    </row>
    <row customHeight="true" ht="23.80952380952381" r="105">
      <c r="A105" s="62" t="s">
        <v>208</v>
      </c>
      <c r="B105" s="63" t="s">
        <v>173</v>
      </c>
      <c r="C105" s="64" t="s">
        <v>180</v>
      </c>
      <c r="D105" s="64">
        <v>4</v>
      </c>
      <c r="E105" s="64">
        <v>12</v>
      </c>
      <c r="F105" s="64">
        <v>13836</v>
      </c>
      <c r="G105" s="64">
        <v>14444.349999999999</v>
      </c>
      <c r="H105" s="65">
        <f t="shared" si="2"/>
      </c>
      <c r="I105" s="66">
        <f t="shared" si="0"/>
      </c>
      <c r="J105" s="66">
        <f t="shared" si="3"/>
      </c>
      <c r="K105" s="64">
        <v>4</v>
      </c>
      <c r="L105" s="67">
        <v>4490.4</v>
      </c>
      <c r="M105" s="72" t="s">
        <v>191</v>
      </c>
      <c r="N105" s="69">
        <v>10</v>
      </c>
      <c r="O105" s="70"/>
      <c r="P105" s="69"/>
    </row>
    <row customHeight="true" ht="23.80952380952381" r="106">
      <c r="A106" s="62" t="s">
        <v>208</v>
      </c>
      <c r="B106" s="71" t="s">
        <v>165</v>
      </c>
      <c r="C106" s="64" t="s">
        <v>182</v>
      </c>
      <c r="D106" s="64">
        <v>4</v>
      </c>
      <c r="E106" s="64">
        <v>4</v>
      </c>
      <c r="F106" s="64">
        <v>6235.199999999997</v>
      </c>
      <c r="G106" s="64">
        <v>8118.78</v>
      </c>
      <c r="H106" s="65">
        <f t="shared" si="2"/>
      </c>
      <c r="I106" s="66">
        <f t="shared" si="0"/>
      </c>
      <c r="J106" s="66">
        <f t="shared" si="3"/>
      </c>
      <c r="K106" s="64">
        <v>0</v>
      </c>
      <c r="L106" s="67">
        <v>0</v>
      </c>
      <c r="M106" s="72"/>
      <c r="N106" s="71"/>
      <c r="O106" s="71" t="s">
        <v>176</v>
      </c>
      <c r="P106" s="69">
        <v>10</v>
      </c>
    </row>
    <row customHeight="true" ht="23.80952380952381" r="107">
      <c r="A107" s="73" t="s">
        <v>208</v>
      </c>
      <c r="B107" s="74"/>
      <c r="C107" s="74"/>
      <c r="D107" s="75">
        <f>SUM(D102:D106)</f>
      </c>
      <c r="E107" s="75">
        <f>SUM(E102:E106)</f>
      </c>
      <c r="F107" s="76">
        <f>SUM(F102:F106)</f>
      </c>
      <c r="G107" s="75">
        <f>SUM(G102:G106)</f>
      </c>
      <c r="H107" s="77">
        <f t="shared" si="2"/>
      </c>
      <c r="I107" s="77">
        <f t="shared" si="0"/>
      </c>
      <c r="J107" s="77">
        <f t="shared" si="3"/>
      </c>
      <c r="K107" s="75">
        <f>SUM(K102:K106)</f>
      </c>
      <c r="L107" s="78">
        <f>SUM(L102:L106)</f>
      </c>
      <c r="M107" s="79"/>
      <c r="N107" s="80">
        <f>SUM(N102:N106)</f>
      </c>
      <c r="O107" s="81"/>
      <c r="P107" s="80">
        <f>SUM(P102:P106)</f>
      </c>
    </row>
    <row customHeight="true" ht="23.80952380952381" r="108">
      <c r="A108" s="62" t="s">
        <v>209</v>
      </c>
      <c r="B108" s="63" t="s">
        <v>178</v>
      </c>
      <c r="C108" s="64" t="s">
        <v>185</v>
      </c>
      <c r="D108" s="64">
        <v>4</v>
      </c>
      <c r="E108" s="64">
        <v>11</v>
      </c>
      <c r="F108" s="64">
        <v>17034</v>
      </c>
      <c r="G108" s="64">
        <v>10663.76</v>
      </c>
      <c r="H108" s="65">
        <f t="shared" si="2"/>
      </c>
      <c r="I108" s="66">
        <f t="shared" si="0"/>
      </c>
      <c r="J108" s="66">
        <f t="shared" si="3"/>
      </c>
      <c r="K108" s="64">
        <v>4</v>
      </c>
      <c r="L108" s="67">
        <v>5228.4</v>
      </c>
      <c r="M108" s="68"/>
      <c r="N108" s="69"/>
      <c r="O108" s="70" t="s">
        <v>167</v>
      </c>
      <c r="P108" s="71">
        <v>10</v>
      </c>
    </row>
    <row customHeight="true" ht="23.80952380952381" r="109">
      <c r="A109" s="62" t="s">
        <v>209</v>
      </c>
      <c r="B109" s="63" t="s">
        <v>181</v>
      </c>
      <c r="C109" s="64" t="s">
        <v>197</v>
      </c>
      <c r="D109" s="64">
        <v>4</v>
      </c>
      <c r="E109" s="64">
        <v>12</v>
      </c>
      <c r="F109" s="64">
        <v>15168</v>
      </c>
      <c r="G109" s="64">
        <v>10861.4</v>
      </c>
      <c r="H109" s="65">
        <f t="shared" si="2"/>
      </c>
      <c r="I109" s="66">
        <f t="shared" si="0"/>
      </c>
      <c r="J109" s="66">
        <f t="shared" si="3"/>
      </c>
      <c r="K109" s="64">
        <v>8</v>
      </c>
      <c r="L109" s="67">
        <v>9296.4</v>
      </c>
      <c r="M109" s="72" t="s">
        <v>194</v>
      </c>
      <c r="N109" s="69">
        <v>10</v>
      </c>
      <c r="O109" s="70"/>
      <c r="P109" s="69"/>
    </row>
    <row customHeight="true" ht="23.80952380952381" r="110">
      <c r="A110" s="62" t="s">
        <v>209</v>
      </c>
      <c r="B110" s="63" t="s">
        <v>171</v>
      </c>
      <c r="C110" s="64" t="s">
        <v>198</v>
      </c>
      <c r="D110" s="64">
        <v>4</v>
      </c>
      <c r="E110" s="64">
        <v>13</v>
      </c>
      <c r="F110" s="64">
        <v>15327.599999999997</v>
      </c>
      <c r="G110" s="64">
        <v>11709.73</v>
      </c>
      <c r="H110" s="65">
        <f t="shared" si="2"/>
      </c>
      <c r="I110" s="66">
        <f t="shared" si="0"/>
      </c>
      <c r="J110" s="66">
        <f t="shared" si="3"/>
      </c>
      <c r="K110" s="64">
        <v>1</v>
      </c>
      <c r="L110" s="67">
        <v>1692.0000000000018</v>
      </c>
      <c r="M110" s="72"/>
      <c r="N110" s="69"/>
      <c r="O110" s="70"/>
      <c r="P110" s="69"/>
    </row>
    <row customHeight="true" ht="23.80952380952381" r="111">
      <c r="A111" s="62" t="s">
        <v>209</v>
      </c>
      <c r="B111" s="63" t="s">
        <v>173</v>
      </c>
      <c r="C111" s="64" t="s">
        <v>180</v>
      </c>
      <c r="D111" s="64">
        <v>4</v>
      </c>
      <c r="E111" s="64">
        <v>8</v>
      </c>
      <c r="F111" s="64">
        <v>13312.800000000003</v>
      </c>
      <c r="G111" s="64">
        <v>10672.93</v>
      </c>
      <c r="H111" s="65">
        <f t="shared" si="2"/>
      </c>
      <c r="I111" s="66">
        <f t="shared" si="0"/>
      </c>
      <c r="J111" s="66">
        <f t="shared" si="3"/>
      </c>
      <c r="K111" s="64">
        <v>2</v>
      </c>
      <c r="L111" s="67">
        <v>763.2</v>
      </c>
      <c r="M111" s="72" t="s">
        <v>191</v>
      </c>
      <c r="N111" s="69">
        <v>10</v>
      </c>
      <c r="O111" s="70"/>
      <c r="P111" s="69"/>
    </row>
    <row customHeight="true" ht="23.80952380952381" r="112">
      <c r="A112" s="62" t="s">
        <v>209</v>
      </c>
      <c r="B112" s="71" t="s">
        <v>165</v>
      </c>
      <c r="C112" s="64" t="s">
        <v>182</v>
      </c>
      <c r="D112" s="64">
        <v>4</v>
      </c>
      <c r="E112" s="64">
        <v>21</v>
      </c>
      <c r="F112" s="64">
        <v>20900.4</v>
      </c>
      <c r="G112" s="64">
        <v>17249.77</v>
      </c>
      <c r="H112" s="65">
        <f t="shared" si="2"/>
      </c>
      <c r="I112" s="66">
        <f t="shared" si="0"/>
      </c>
      <c r="J112" s="66">
        <f t="shared" si="3"/>
      </c>
      <c r="K112" s="64">
        <v>2</v>
      </c>
      <c r="L112" s="67">
        <v>637.1999999999971</v>
      </c>
      <c r="M112" s="72"/>
      <c r="N112" s="71"/>
      <c r="O112" s="71" t="s">
        <v>176</v>
      </c>
      <c r="P112" s="69">
        <v>10</v>
      </c>
    </row>
    <row customHeight="true" ht="23.80952380952381" r="113">
      <c r="A113" s="73" t="s">
        <v>209</v>
      </c>
      <c r="B113" s="74"/>
      <c r="C113" s="74"/>
      <c r="D113" s="75">
        <f>SUM(D108:D112)</f>
      </c>
      <c r="E113" s="75">
        <f>SUM(E108:E112)</f>
      </c>
      <c r="F113" s="76">
        <f>SUM(F108:F112)</f>
      </c>
      <c r="G113" s="75">
        <f>SUM(G108:G112)</f>
      </c>
      <c r="H113" s="77">
        <f t="shared" si="2"/>
      </c>
      <c r="I113" s="77">
        <f t="shared" si="0"/>
      </c>
      <c r="J113" s="77">
        <f t="shared" si="3"/>
      </c>
      <c r="K113" s="75">
        <f>SUM(K108:K112)</f>
      </c>
      <c r="L113" s="78">
        <f>SUM(L108:L112)</f>
      </c>
      <c r="M113" s="79"/>
      <c r="N113" s="80">
        <f>SUM(N108:N112)</f>
      </c>
      <c r="O113" s="81"/>
      <c r="P113" s="80">
        <f>SUM(P108:P112)</f>
      </c>
    </row>
    <row customHeight="true" ht="23.80952380952381" r="114">
      <c r="A114" s="62" t="s">
        <v>210</v>
      </c>
      <c r="B114" s="63" t="s">
        <v>181</v>
      </c>
      <c r="C114" s="64" t="s">
        <v>185</v>
      </c>
      <c r="D114" s="64">
        <v>4</v>
      </c>
      <c r="E114" s="64">
        <v>4</v>
      </c>
      <c r="F114" s="64">
        <v>6620.4</v>
      </c>
      <c r="G114" s="64">
        <v>7751.369999999999</v>
      </c>
      <c r="H114" s="65">
        <f t="shared" si="2"/>
      </c>
      <c r="I114" s="66">
        <f t="shared" si="0"/>
      </c>
      <c r="J114" s="66">
        <f t="shared" si="3"/>
      </c>
      <c r="K114" s="64">
        <v>0</v>
      </c>
      <c r="L114" s="67">
        <v>0</v>
      </c>
      <c r="M114" s="68"/>
      <c r="N114" s="69"/>
      <c r="O114" s="70" t="s">
        <v>167</v>
      </c>
      <c r="P114" s="71">
        <v>10</v>
      </c>
    </row>
    <row customHeight="true" ht="23.80952380952381" r="115">
      <c r="A115" s="62" t="s">
        <v>210</v>
      </c>
      <c r="B115" s="63" t="s">
        <v>171</v>
      </c>
      <c r="C115" s="64" t="s">
        <v>197</v>
      </c>
      <c r="D115" s="64">
        <v>4</v>
      </c>
      <c r="E115" s="64">
        <v>7</v>
      </c>
      <c r="F115" s="64">
        <v>8068.800000000001</v>
      </c>
      <c r="G115" s="64">
        <v>10544.7</v>
      </c>
      <c r="H115" s="65">
        <f t="shared" si="2"/>
      </c>
      <c r="I115" s="66">
        <f t="shared" si="0"/>
      </c>
      <c r="J115" s="66">
        <f t="shared" si="3"/>
      </c>
      <c r="K115" s="64">
        <v>4</v>
      </c>
      <c r="L115" s="67">
        <v>7266</v>
      </c>
      <c r="M115" s="72" t="s">
        <v>211</v>
      </c>
      <c r="N115" s="69">
        <v>10</v>
      </c>
      <c r="O115" s="70"/>
      <c r="P115" s="69"/>
    </row>
    <row customHeight="true" ht="23.80952380952381" r="116">
      <c r="A116" s="62" t="s">
        <v>210</v>
      </c>
      <c r="B116" s="63" t="s">
        <v>173</v>
      </c>
      <c r="C116" s="64" t="s">
        <v>198</v>
      </c>
      <c r="D116" s="64">
        <v>4</v>
      </c>
      <c r="E116" s="64">
        <v>18</v>
      </c>
      <c r="F116" s="64">
        <v>21939.6</v>
      </c>
      <c r="G116" s="64">
        <v>15584.25</v>
      </c>
      <c r="H116" s="65">
        <f t="shared" si="2"/>
      </c>
      <c r="I116" s="66">
        <f t="shared" si="0"/>
      </c>
      <c r="J116" s="66">
        <f t="shared" si="3"/>
      </c>
      <c r="K116" s="64">
        <v>1</v>
      </c>
      <c r="L116" s="67">
        <v>444</v>
      </c>
      <c r="M116" s="72"/>
      <c r="N116" s="69"/>
      <c r="O116" s="70"/>
      <c r="P116" s="69"/>
    </row>
    <row customHeight="true" ht="23.80952380952381" r="117">
      <c r="A117" s="62" t="s">
        <v>210</v>
      </c>
      <c r="B117" s="71" t="s">
        <v>165</v>
      </c>
      <c r="C117" s="64" t="s">
        <v>180</v>
      </c>
      <c r="D117" s="64">
        <v>4</v>
      </c>
      <c r="E117" s="64">
        <v>19</v>
      </c>
      <c r="F117" s="64">
        <v>18832.8</v>
      </c>
      <c r="G117" s="64">
        <v>18632.89</v>
      </c>
      <c r="H117" s="65">
        <f t="shared" si="2"/>
      </c>
      <c r="I117" s="66">
        <f t="shared" si="0"/>
      </c>
      <c r="J117" s="66">
        <f t="shared" si="3"/>
      </c>
      <c r="K117" s="64">
        <v>3</v>
      </c>
      <c r="L117" s="67">
        <v>4394.4</v>
      </c>
      <c r="M117" s="72" t="s">
        <v>175</v>
      </c>
      <c r="N117" s="69">
        <v>10</v>
      </c>
      <c r="O117" s="70"/>
      <c r="P117" s="69"/>
    </row>
    <row customHeight="true" ht="23.80952380952381" r="118">
      <c r="A118" s="62" t="s">
        <v>210</v>
      </c>
      <c r="B118" s="71" t="s">
        <v>168</v>
      </c>
      <c r="C118" s="64" t="s">
        <v>182</v>
      </c>
      <c r="D118" s="64">
        <v>4</v>
      </c>
      <c r="E118" s="64">
        <v>19</v>
      </c>
      <c r="F118" s="64">
        <v>22015.2</v>
      </c>
      <c r="G118" s="64">
        <v>20470.84</v>
      </c>
      <c r="H118" s="65">
        <f t="shared" si="2"/>
      </c>
      <c r="I118" s="66">
        <f t="shared" si="0"/>
      </c>
      <c r="J118" s="66">
        <f t="shared" si="3"/>
      </c>
      <c r="K118" s="64">
        <v>3</v>
      </c>
      <c r="L118" s="67">
        <v>3849.6</v>
      </c>
      <c r="M118" s="72"/>
      <c r="N118" s="71"/>
      <c r="O118" s="71" t="s">
        <v>176</v>
      </c>
      <c r="P118" s="69">
        <v>10</v>
      </c>
    </row>
    <row customHeight="true" ht="23.80952380952381" r="119">
      <c r="A119" s="73" t="s">
        <v>210</v>
      </c>
      <c r="B119" s="74"/>
      <c r="C119" s="74"/>
      <c r="D119" s="75">
        <f>SUM(D114:D118)</f>
      </c>
      <c r="E119" s="75">
        <f>SUM(E114:E118)</f>
      </c>
      <c r="F119" s="76">
        <f>SUM(F114:F118)</f>
      </c>
      <c r="G119" s="76">
        <f>SUM(G114:G118)</f>
      </c>
      <c r="H119" s="77">
        <f t="shared" si="2"/>
      </c>
      <c r="I119" s="77">
        <f t="shared" si="0"/>
      </c>
      <c r="J119" s="77">
        <f t="shared" si="3"/>
      </c>
      <c r="K119" s="75">
        <f>SUM(K114:K118)</f>
      </c>
      <c r="L119" s="78">
        <f>SUM(L114:L118)</f>
      </c>
      <c r="M119" s="79"/>
      <c r="N119" s="80">
        <f>SUM(N114:N118)</f>
      </c>
      <c r="O119" s="81"/>
      <c r="P119" s="80">
        <f>SUM(P114:P118)</f>
      </c>
    </row>
    <row customHeight="true" ht="23.80952380952381" r="120">
      <c r="A120" s="62" t="s">
        <v>212</v>
      </c>
      <c r="B120" s="63" t="s">
        <v>181</v>
      </c>
      <c r="C120" s="64" t="s">
        <v>185</v>
      </c>
      <c r="D120" s="64">
        <v>4</v>
      </c>
      <c r="E120" s="64">
        <v>15</v>
      </c>
      <c r="F120" s="64">
        <v>19856.2</v>
      </c>
      <c r="G120" s="64">
        <v>15051.84</v>
      </c>
      <c r="H120" s="65">
        <f t="shared" si="2"/>
      </c>
      <c r="I120" s="66">
        <f t="shared" si="0"/>
      </c>
      <c r="J120" s="66">
        <f t="shared" si="3"/>
      </c>
      <c r="K120" s="64">
        <v>5</v>
      </c>
      <c r="L120" s="67">
        <v>5518.8</v>
      </c>
      <c r="M120" s="68"/>
      <c r="N120" s="69"/>
      <c r="O120" s="70" t="s">
        <v>167</v>
      </c>
      <c r="P120" s="71">
        <v>10</v>
      </c>
    </row>
    <row customHeight="true" ht="23.80952380952381" r="121">
      <c r="A121" s="62" t="s">
        <v>212</v>
      </c>
      <c r="B121" s="63" t="s">
        <v>171</v>
      </c>
      <c r="C121" s="64" t="s">
        <v>197</v>
      </c>
      <c r="D121" s="64">
        <v>4</v>
      </c>
      <c r="E121" s="64">
        <v>45</v>
      </c>
      <c r="F121" s="64">
        <v>49890.40000000001</v>
      </c>
      <c r="G121" s="64">
        <v>26065.26</v>
      </c>
      <c r="H121" s="65">
        <f t="shared" si="2"/>
      </c>
      <c r="I121" s="66">
        <f t="shared" si="0"/>
      </c>
      <c r="J121" s="66">
        <f t="shared" si="3"/>
      </c>
      <c r="K121" s="64">
        <v>11</v>
      </c>
      <c r="L121" s="67">
        <v>10277.8</v>
      </c>
      <c r="M121" s="72" t="s">
        <v>211</v>
      </c>
      <c r="N121" s="69">
        <v>10</v>
      </c>
      <c r="O121" s="70"/>
      <c r="P121" s="69"/>
    </row>
    <row customHeight="true" ht="23.80952380952381" r="122">
      <c r="A122" s="62" t="s">
        <v>212</v>
      </c>
      <c r="B122" s="63" t="s">
        <v>173</v>
      </c>
      <c r="C122" s="64" t="s">
        <v>198</v>
      </c>
      <c r="D122" s="64">
        <v>4</v>
      </c>
      <c r="E122" s="64">
        <v>15</v>
      </c>
      <c r="F122" s="64">
        <v>17874</v>
      </c>
      <c r="G122" s="64">
        <v>15851.01</v>
      </c>
      <c r="H122" s="65">
        <f t="shared" si="2"/>
      </c>
      <c r="I122" s="66">
        <f t="shared" si="0"/>
      </c>
      <c r="J122" s="66">
        <f t="shared" si="3"/>
      </c>
      <c r="K122" s="64">
        <v>3</v>
      </c>
      <c r="L122" s="67">
        <v>3144</v>
      </c>
      <c r="M122" s="72"/>
      <c r="N122" s="69"/>
      <c r="O122" s="70"/>
      <c r="P122" s="69"/>
    </row>
    <row customHeight="true" ht="23.80952380952381" r="123">
      <c r="A123" s="62" t="s">
        <v>212</v>
      </c>
      <c r="B123" s="71" t="s">
        <v>165</v>
      </c>
      <c r="C123" s="64" t="s">
        <v>180</v>
      </c>
      <c r="D123" s="64">
        <v>4</v>
      </c>
      <c r="E123" s="64">
        <v>21</v>
      </c>
      <c r="F123" s="64">
        <v>19672.6</v>
      </c>
      <c r="G123" s="64">
        <v>16302.29</v>
      </c>
      <c r="H123" s="65">
        <f t="shared" si="2"/>
      </c>
      <c r="I123" s="66">
        <f t="shared" si="0"/>
      </c>
      <c r="J123" s="66">
        <f t="shared" si="3"/>
      </c>
      <c r="K123" s="64">
        <v>6</v>
      </c>
      <c r="L123" s="67">
        <v>4134</v>
      </c>
      <c r="M123" s="72" t="s">
        <v>175</v>
      </c>
      <c r="N123" s="69">
        <v>10</v>
      </c>
      <c r="O123" s="70"/>
      <c r="P123" s="69"/>
    </row>
    <row customHeight="true" ht="23.80952380952381" r="124">
      <c r="A124" s="62" t="s">
        <v>212</v>
      </c>
      <c r="B124" s="63" t="s">
        <v>178</v>
      </c>
      <c r="C124" s="64" t="s">
        <v>182</v>
      </c>
      <c r="D124" s="64">
        <v>4</v>
      </c>
      <c r="E124" s="64">
        <v>12</v>
      </c>
      <c r="F124" s="64">
        <v>15627.6</v>
      </c>
      <c r="G124" s="64">
        <v>14791.44</v>
      </c>
      <c r="H124" s="65">
        <f t="shared" si="2"/>
      </c>
      <c r="I124" s="66">
        <f t="shared" si="0"/>
      </c>
      <c r="J124" s="66">
        <f t="shared" si="3"/>
      </c>
      <c r="K124" s="64">
        <v>0</v>
      </c>
      <c r="L124" s="67">
        <v>0</v>
      </c>
      <c r="M124" s="72"/>
      <c r="N124" s="71"/>
      <c r="O124" s="71" t="s">
        <v>176</v>
      </c>
      <c r="P124" s="69">
        <v>10</v>
      </c>
    </row>
    <row customHeight="true" ht="23.80952380952381" r="125">
      <c r="A125" s="73" t="s">
        <v>212</v>
      </c>
      <c r="B125" s="74"/>
      <c r="C125" s="74"/>
      <c r="D125" s="75">
        <f>SUM(D120:D124)</f>
      </c>
      <c r="E125" s="75">
        <f>SUM(E120:E124)</f>
      </c>
      <c r="F125" s="76">
        <f>SUM(F120:F124)</f>
      </c>
      <c r="G125" s="75">
        <f>SUM(G120:G124)</f>
      </c>
      <c r="H125" s="77">
        <f t="shared" si="2"/>
      </c>
      <c r="I125" s="77">
        <f t="shared" si="0"/>
      </c>
      <c r="J125" s="77">
        <f t="shared" si="3"/>
      </c>
      <c r="K125" s="75">
        <f>SUM(K120:K124)</f>
      </c>
      <c r="L125" s="78">
        <f>SUM(L120:L124)</f>
      </c>
      <c r="M125" s="79"/>
      <c r="N125" s="80">
        <f>SUM(N120:N124)</f>
      </c>
      <c r="O125" s="81"/>
      <c r="P125" s="80">
        <f>SUM(P120:P124)</f>
      </c>
    </row>
    <row customHeight="true" ht="23.80952380952381" r="126">
      <c r="A126" s="62" t="s">
        <v>213</v>
      </c>
      <c r="B126" s="63" t="s">
        <v>171</v>
      </c>
      <c r="C126" s="64" t="s">
        <v>185</v>
      </c>
      <c r="D126" s="64">
        <v>4</v>
      </c>
      <c r="E126" s="64">
        <v>6</v>
      </c>
      <c r="F126" s="64">
        <v>9823.2</v>
      </c>
      <c r="G126" s="64">
        <v>9257.6</v>
      </c>
      <c r="H126" s="65">
        <f t="shared" si="2"/>
      </c>
      <c r="I126" s="66">
        <f t="shared" si="0"/>
      </c>
      <c r="J126" s="66">
        <f t="shared" si="3"/>
      </c>
      <c r="K126" s="64">
        <v>1</v>
      </c>
      <c r="L126" s="67">
        <v>1080</v>
      </c>
      <c r="M126" s="68"/>
      <c r="N126" s="69"/>
      <c r="O126" s="70" t="s">
        <v>167</v>
      </c>
      <c r="P126" s="71">
        <v>10</v>
      </c>
    </row>
    <row customHeight="true" ht="23.80952380952381" r="127">
      <c r="A127" s="62" t="s">
        <v>213</v>
      </c>
      <c r="B127" s="63" t="s">
        <v>173</v>
      </c>
      <c r="C127" s="64" t="s">
        <v>197</v>
      </c>
      <c r="D127" s="64">
        <v>4</v>
      </c>
      <c r="E127" s="64">
        <v>6</v>
      </c>
      <c r="F127" s="64">
        <v>4446</v>
      </c>
      <c r="G127" s="64">
        <v>8442.71</v>
      </c>
      <c r="H127" s="65">
        <f t="shared" si="2"/>
      </c>
      <c r="I127" s="66">
        <f t="shared" si="0"/>
      </c>
      <c r="J127" s="66">
        <f t="shared" si="3"/>
      </c>
      <c r="K127" s="64">
        <v>1</v>
      </c>
      <c r="L127" s="67">
        <v>1411.2</v>
      </c>
      <c r="M127" s="72" t="s">
        <v>170</v>
      </c>
      <c r="N127" s="69">
        <v>10</v>
      </c>
      <c r="O127" s="70"/>
      <c r="P127" s="69"/>
    </row>
    <row customHeight="true" ht="23.80952380952381" r="128">
      <c r="A128" s="62" t="s">
        <v>213</v>
      </c>
      <c r="B128" s="63" t="s">
        <v>165</v>
      </c>
      <c r="C128" s="64" t="s">
        <v>198</v>
      </c>
      <c r="D128" s="64">
        <v>4</v>
      </c>
      <c r="E128" s="64">
        <v>17</v>
      </c>
      <c r="F128" s="64">
        <v>17450.56</v>
      </c>
      <c r="G128" s="64">
        <v>11437.33</v>
      </c>
      <c r="H128" s="65">
        <f t="shared" si="2"/>
      </c>
      <c r="I128" s="66">
        <f t="shared" si="0"/>
      </c>
      <c r="J128" s="66">
        <f t="shared" si="3"/>
      </c>
      <c r="K128" s="64">
        <v>5</v>
      </c>
      <c r="L128" s="67">
        <v>4892.8</v>
      </c>
      <c r="M128" s="72"/>
      <c r="N128" s="69"/>
      <c r="O128" s="70"/>
      <c r="P128" s="69"/>
    </row>
    <row customHeight="true" ht="23.80952380952381" r="129">
      <c r="A129" s="62" t="s">
        <v>213</v>
      </c>
      <c r="B129" s="71" t="s">
        <v>178</v>
      </c>
      <c r="C129" s="64" t="s">
        <v>180</v>
      </c>
      <c r="D129" s="64">
        <v>4</v>
      </c>
      <c r="E129" s="64">
        <v>2</v>
      </c>
      <c r="F129" s="64">
        <v>1488</v>
      </c>
      <c r="G129" s="64">
        <v>6996.67</v>
      </c>
      <c r="H129" s="65">
        <f t="shared" si="2"/>
      </c>
      <c r="I129" s="66">
        <f t="shared" si="0"/>
      </c>
      <c r="J129" s="66">
        <f t="shared" si="3"/>
      </c>
      <c r="K129" s="64">
        <v>0</v>
      </c>
      <c r="L129" s="67">
        <v>0</v>
      </c>
      <c r="M129" s="72" t="s">
        <v>175</v>
      </c>
      <c r="N129" s="69">
        <v>10</v>
      </c>
      <c r="O129" s="70"/>
      <c r="P129" s="69"/>
    </row>
    <row customHeight="true" ht="23.80952380952381" r="130">
      <c r="A130" s="62" t="s">
        <v>213</v>
      </c>
      <c r="B130" s="63" t="s">
        <v>181</v>
      </c>
      <c r="C130" s="64" t="s">
        <v>182</v>
      </c>
      <c r="D130" s="64">
        <v>4</v>
      </c>
      <c r="E130" s="64">
        <v>4</v>
      </c>
      <c r="F130" s="64">
        <v>5109.6</v>
      </c>
      <c r="G130" s="64">
        <v>10033.56</v>
      </c>
      <c r="H130" s="65">
        <f t="shared" si="2"/>
      </c>
      <c r="I130" s="66">
        <f t="shared" si="0"/>
      </c>
      <c r="J130" s="66">
        <f t="shared" si="3"/>
      </c>
      <c r="K130" s="64">
        <v>0</v>
      </c>
      <c r="L130" s="67">
        <v>0</v>
      </c>
      <c r="M130" s="72"/>
      <c r="N130" s="71"/>
      <c r="O130" s="71" t="s">
        <v>176</v>
      </c>
      <c r="P130" s="69">
        <v>10</v>
      </c>
    </row>
    <row customHeight="true" ht="23.80952380952381" r="131">
      <c r="A131" s="73" t="s">
        <v>213</v>
      </c>
      <c r="B131" s="74"/>
      <c r="C131" s="74"/>
      <c r="D131" s="75">
        <f>SUM(D126:D130)</f>
      </c>
      <c r="E131" s="75">
        <f>SUM(E126:E130)</f>
      </c>
      <c r="F131" s="76">
        <f>SUM(F126:F130)</f>
      </c>
      <c r="G131" s="75">
        <f>SUM(G126:G130)</f>
      </c>
      <c r="H131" s="77">
        <f t="shared" si="2"/>
      </c>
      <c r="I131" s="77">
        <f t="shared" si="0"/>
      </c>
      <c r="J131" s="77">
        <f t="shared" si="3"/>
      </c>
      <c r="K131" s="75">
        <f>SUM(K126:K130)</f>
      </c>
      <c r="L131" s="78">
        <f>SUM(L126:L130)</f>
      </c>
      <c r="M131" s="79"/>
      <c r="N131" s="80">
        <f>SUM(N126:N130)</f>
      </c>
      <c r="O131" s="81"/>
      <c r="P131" s="80">
        <f>SUM(P126:P130)</f>
      </c>
    </row>
    <row customHeight="true" ht="23.80952380952381" r="132">
      <c r="A132" s="62" t="s">
        <v>214</v>
      </c>
      <c r="B132" s="63" t="s">
        <v>171</v>
      </c>
      <c r="C132" s="64" t="s">
        <v>185</v>
      </c>
      <c r="D132" s="64">
        <v>4</v>
      </c>
      <c r="E132" s="64">
        <v>12</v>
      </c>
      <c r="F132" s="64">
        <v>12191.8</v>
      </c>
      <c r="G132" s="64">
        <v>13312.27</v>
      </c>
      <c r="H132" s="65">
        <f t="shared" si="2"/>
      </c>
      <c r="I132" s="66">
        <f t="shared" si="0"/>
      </c>
      <c r="J132" s="66">
        <f t="shared" si="3"/>
      </c>
      <c r="K132" s="64">
        <v>1</v>
      </c>
      <c r="L132" s="67">
        <v>1344</v>
      </c>
      <c r="M132" s="68"/>
      <c r="N132" s="69"/>
      <c r="O132" s="70" t="s">
        <v>167</v>
      </c>
      <c r="P132" s="71">
        <v>10</v>
      </c>
    </row>
    <row customHeight="true" ht="23.80952380952381" r="133">
      <c r="A133" s="62" t="s">
        <v>214</v>
      </c>
      <c r="B133" s="63" t="s">
        <v>173</v>
      </c>
      <c r="C133" s="64" t="s">
        <v>197</v>
      </c>
      <c r="D133" s="64">
        <v>4</v>
      </c>
      <c r="E133" s="64">
        <v>12</v>
      </c>
      <c r="F133" s="64">
        <v>12727</v>
      </c>
      <c r="G133" s="64">
        <v>12656.71</v>
      </c>
      <c r="H133" s="65">
        <f t="shared" si="2"/>
      </c>
      <c r="I133" s="66">
        <f t="shared" si="0"/>
      </c>
      <c r="J133" s="66">
        <f t="shared" si="3"/>
      </c>
      <c r="K133" s="64">
        <v>4</v>
      </c>
      <c r="L133" s="67">
        <v>5186.4</v>
      </c>
      <c r="M133" s="72" t="s">
        <v>170</v>
      </c>
      <c r="N133" s="69">
        <v>10</v>
      </c>
      <c r="O133" s="70"/>
      <c r="P133" s="69"/>
    </row>
    <row customHeight="true" ht="23.80952380952381" r="134">
      <c r="A134" s="62" t="s">
        <v>214</v>
      </c>
      <c r="B134" s="63" t="s">
        <v>165</v>
      </c>
      <c r="C134" s="64" t="s">
        <v>198</v>
      </c>
      <c r="D134" s="64">
        <v>4</v>
      </c>
      <c r="E134" s="64">
        <v>7</v>
      </c>
      <c r="F134" s="64">
        <v>9256.8</v>
      </c>
      <c r="G134" s="64">
        <v>8717.3</v>
      </c>
      <c r="H134" s="65">
        <f t="shared" si="2"/>
      </c>
      <c r="I134" s="66">
        <f t="shared" si="0"/>
      </c>
      <c r="J134" s="66">
        <f t="shared" si="3"/>
      </c>
      <c r="K134" s="64">
        <v>3</v>
      </c>
      <c r="L134" s="67">
        <v>4306.8</v>
      </c>
      <c r="M134" s="72"/>
      <c r="N134" s="69"/>
      <c r="O134" s="70"/>
      <c r="P134" s="69"/>
    </row>
    <row customHeight="true" ht="23.80952380952381" r="135">
      <c r="A135" s="62" t="s">
        <v>214</v>
      </c>
      <c r="B135" s="71" t="s">
        <v>178</v>
      </c>
      <c r="C135" s="64" t="s">
        <v>180</v>
      </c>
      <c r="D135" s="64">
        <v>4</v>
      </c>
      <c r="E135" s="64">
        <v>6</v>
      </c>
      <c r="F135" s="64">
        <v>6051.6</v>
      </c>
      <c r="G135" s="64">
        <v>5741.51</v>
      </c>
      <c r="H135" s="65">
        <f t="shared" si="2"/>
      </c>
      <c r="I135" s="66">
        <f t="shared" si="0"/>
      </c>
      <c r="J135" s="66">
        <f t="shared" si="3"/>
      </c>
      <c r="K135" s="64">
        <v>0</v>
      </c>
      <c r="L135" s="67">
        <v>0</v>
      </c>
      <c r="M135" s="72" t="s">
        <v>175</v>
      </c>
      <c r="N135" s="69">
        <v>10</v>
      </c>
      <c r="O135" s="70"/>
      <c r="P135" s="69"/>
    </row>
    <row customHeight="true" ht="23.80952380952381" r="136">
      <c r="A136" s="62" t="s">
        <v>214</v>
      </c>
      <c r="B136" s="63" t="s">
        <v>168</v>
      </c>
      <c r="C136" s="64" t="s">
        <v>182</v>
      </c>
      <c r="D136" s="64">
        <v>4</v>
      </c>
      <c r="E136" s="64">
        <v>7</v>
      </c>
      <c r="F136" s="64">
        <v>7185.4</v>
      </c>
      <c r="G136" s="64">
        <v>8698.9</v>
      </c>
      <c r="H136" s="65">
        <f t="shared" si="2"/>
      </c>
      <c r="I136" s="66">
        <f t="shared" si="0"/>
      </c>
      <c r="J136" s="66">
        <f t="shared" si="3"/>
      </c>
      <c r="K136" s="64">
        <v>0</v>
      </c>
      <c r="L136" s="67">
        <v>0</v>
      </c>
      <c r="M136" s="72"/>
      <c r="N136" s="71"/>
      <c r="O136" s="71" t="s">
        <v>176</v>
      </c>
      <c r="P136" s="69">
        <v>10</v>
      </c>
    </row>
    <row customHeight="true" ht="23.80952380952381" r="137">
      <c r="A137" s="73" t="s">
        <v>214</v>
      </c>
      <c r="B137" s="74"/>
      <c r="C137" s="74"/>
      <c r="D137" s="75">
        <f>SUM(D132:D136)</f>
      </c>
      <c r="E137" s="75">
        <f>SUM(E132:E136)</f>
      </c>
      <c r="F137" s="76">
        <f>SUM(F132:F136)</f>
      </c>
      <c r="G137" s="75">
        <f>SUM(G132:G136)</f>
      </c>
      <c r="H137" s="77">
        <f t="shared" si="2"/>
      </c>
      <c r="I137" s="77">
        <f t="shared" si="0"/>
      </c>
      <c r="J137" s="77">
        <f t="shared" si="3"/>
      </c>
      <c r="K137" s="75">
        <f>SUM(K132:K136)</f>
      </c>
      <c r="L137" s="78">
        <f>SUM(L132:L136)</f>
      </c>
      <c r="M137" s="79"/>
      <c r="N137" s="80">
        <f>SUM(N132:N136)</f>
      </c>
      <c r="O137" s="81"/>
      <c r="P137" s="80">
        <f>SUM(P132:P136)</f>
      </c>
    </row>
    <row customHeight="true" ht="23.80952380952381" r="138">
      <c r="A138" s="62" t="s">
        <v>215</v>
      </c>
      <c r="B138" s="63" t="s">
        <v>173</v>
      </c>
      <c r="C138" s="64" t="s">
        <v>185</v>
      </c>
      <c r="D138" s="64">
        <v>4</v>
      </c>
      <c r="E138" s="64">
        <v>11</v>
      </c>
      <c r="F138" s="64">
        <v>11656.8</v>
      </c>
      <c r="G138" s="64">
        <v>9809.02</v>
      </c>
      <c r="H138" s="65">
        <f t="shared" si="2"/>
      </c>
      <c r="I138" s="66">
        <f t="shared" si="0"/>
      </c>
      <c r="J138" s="66">
        <f t="shared" si="3"/>
      </c>
      <c r="K138" s="64">
        <v>3</v>
      </c>
      <c r="L138" s="67">
        <v>5133.6</v>
      </c>
      <c r="M138" s="68"/>
      <c r="N138" s="69"/>
      <c r="O138" s="70" t="s">
        <v>167</v>
      </c>
      <c r="P138" s="71">
        <v>10</v>
      </c>
    </row>
    <row customHeight="true" ht="23.80952380952381" r="139">
      <c r="A139" s="62" t="s">
        <v>215</v>
      </c>
      <c r="B139" s="63" t="s">
        <v>165</v>
      </c>
      <c r="C139" s="64" t="s">
        <v>197</v>
      </c>
      <c r="D139" s="64">
        <v>4</v>
      </c>
      <c r="E139" s="64">
        <v>12</v>
      </c>
      <c r="F139" s="64">
        <v>10796.400000000001</v>
      </c>
      <c r="G139" s="64">
        <v>12149.51</v>
      </c>
      <c r="H139" s="65">
        <f t="shared" si="2"/>
      </c>
      <c r="I139" s="66">
        <f t="shared" si="0"/>
      </c>
      <c r="J139" s="66">
        <f t="shared" si="3"/>
      </c>
      <c r="K139" s="64">
        <v>1</v>
      </c>
      <c r="L139" s="67">
        <v>0</v>
      </c>
      <c r="M139" s="72" t="s">
        <v>170</v>
      </c>
      <c r="N139" s="69">
        <v>10</v>
      </c>
      <c r="O139" s="70"/>
      <c r="P139" s="69"/>
    </row>
    <row customHeight="true" ht="23.80952380952381" r="140">
      <c r="A140" s="62" t="s">
        <v>215</v>
      </c>
      <c r="B140" s="63" t="s">
        <v>178</v>
      </c>
      <c r="C140" s="64" t="s">
        <v>198</v>
      </c>
      <c r="D140" s="64">
        <v>4</v>
      </c>
      <c r="E140" s="64">
        <v>9</v>
      </c>
      <c r="F140" s="64">
        <v>12702.6</v>
      </c>
      <c r="G140" s="64">
        <v>10169.69</v>
      </c>
      <c r="H140" s="65">
        <f t="shared" si="2"/>
      </c>
      <c r="I140" s="66">
        <f t="shared" si="0"/>
      </c>
      <c r="J140" s="66">
        <f t="shared" si="3"/>
      </c>
      <c r="K140" s="64">
        <v>4</v>
      </c>
      <c r="L140" s="67">
        <v>5884.2</v>
      </c>
      <c r="M140" s="72"/>
      <c r="N140" s="69"/>
      <c r="O140" s="70"/>
      <c r="P140" s="69"/>
    </row>
    <row customHeight="true" ht="23.80952380952381" r="141">
      <c r="A141" s="62" t="s">
        <v>215</v>
      </c>
      <c r="B141" s="71" t="s">
        <v>168</v>
      </c>
      <c r="C141" s="64" t="s">
        <v>180</v>
      </c>
      <c r="D141" s="64">
        <v>4</v>
      </c>
      <c r="E141" s="64">
        <v>19</v>
      </c>
      <c r="F141" s="64">
        <v>27104.4</v>
      </c>
      <c r="G141" s="64">
        <v>15928.8</v>
      </c>
      <c r="H141" s="65">
        <f t="shared" si="2"/>
      </c>
      <c r="I141" s="66">
        <f t="shared" si="0"/>
      </c>
      <c r="J141" s="66">
        <f t="shared" si="3"/>
      </c>
      <c r="K141" s="64">
        <v>4</v>
      </c>
      <c r="L141" s="67">
        <v>4552.8</v>
      </c>
      <c r="M141" s="72" t="s">
        <v>175</v>
      </c>
      <c r="N141" s="69">
        <v>10</v>
      </c>
      <c r="O141" s="70"/>
      <c r="P141" s="69"/>
    </row>
    <row customHeight="true" ht="23.80952380952381" r="142">
      <c r="A142" s="62" t="s">
        <v>215</v>
      </c>
      <c r="B142" s="63" t="s">
        <v>181</v>
      </c>
      <c r="C142" s="64" t="s">
        <v>182</v>
      </c>
      <c r="D142" s="64">
        <v>4</v>
      </c>
      <c r="E142" s="64">
        <v>19</v>
      </c>
      <c r="F142" s="64">
        <v>18715.2</v>
      </c>
      <c r="G142" s="64">
        <v>13270.63</v>
      </c>
      <c r="H142" s="65">
        <f t="shared" si="2"/>
      </c>
      <c r="I142" s="66">
        <f t="shared" si="0"/>
      </c>
      <c r="J142" s="66">
        <f t="shared" si="3"/>
      </c>
      <c r="K142" s="64">
        <v>1</v>
      </c>
      <c r="L142" s="67">
        <v>1692</v>
      </c>
      <c r="M142" s="72"/>
      <c r="N142" s="71"/>
      <c r="O142" s="71" t="s">
        <v>176</v>
      </c>
      <c r="P142" s="69">
        <v>10</v>
      </c>
    </row>
    <row customHeight="true" ht="23.80952380952381" r="143">
      <c r="A143" s="73" t="s">
        <v>215</v>
      </c>
      <c r="B143" s="74"/>
      <c r="C143" s="74"/>
      <c r="D143" s="75">
        <f>SUM(D138:D142)</f>
      </c>
      <c r="E143" s="75">
        <f>SUM(E138:E142)</f>
      </c>
      <c r="F143" s="76">
        <f>SUM(F138:F142)</f>
      </c>
      <c r="G143" s="75">
        <f>SUM(G138:G142)</f>
      </c>
      <c r="H143" s="77">
        <f t="shared" si="2"/>
      </c>
      <c r="I143" s="77">
        <f t="shared" si="0"/>
      </c>
      <c r="J143" s="77">
        <f t="shared" si="3"/>
      </c>
      <c r="K143" s="75">
        <f>SUM(K138:K142)</f>
      </c>
      <c r="L143" s="78">
        <f>SUM(L138:L142)</f>
      </c>
      <c r="M143" s="79"/>
      <c r="N143" s="80">
        <f>SUM(N138:N142)</f>
      </c>
      <c r="O143" s="81"/>
      <c r="P143" s="80">
        <f>SUM(P138:P142)</f>
      </c>
    </row>
    <row customHeight="true" ht="23.80952380952381" r="144">
      <c r="A144" s="62" t="s">
        <v>216</v>
      </c>
      <c r="B144" s="63" t="s">
        <v>173</v>
      </c>
      <c r="C144" s="64" t="s">
        <v>185</v>
      </c>
      <c r="D144" s="64">
        <v>4</v>
      </c>
      <c r="E144" s="64">
        <v>19</v>
      </c>
      <c r="F144" s="64">
        <v>28888.88</v>
      </c>
      <c r="G144" s="64">
        <v>13483.61</v>
      </c>
      <c r="H144" s="65">
        <f t="shared" si="2"/>
      </c>
      <c r="I144" s="66">
        <f t="shared" si="0"/>
      </c>
      <c r="J144" s="66">
        <f t="shared" si="3"/>
      </c>
      <c r="K144" s="64">
        <v>4</v>
      </c>
      <c r="L144" s="67">
        <v>2612.4</v>
      </c>
      <c r="M144" s="68"/>
      <c r="N144" s="69"/>
      <c r="O144" s="70" t="s">
        <v>167</v>
      </c>
      <c r="P144" s="71">
        <v>10</v>
      </c>
    </row>
    <row customHeight="true" ht="23.80952380952381" r="145">
      <c r="A145" s="62" t="s">
        <v>216</v>
      </c>
      <c r="B145" s="63" t="s">
        <v>165</v>
      </c>
      <c r="C145" s="64" t="s">
        <v>197</v>
      </c>
      <c r="D145" s="64">
        <v>4</v>
      </c>
      <c r="E145" s="64">
        <v>11</v>
      </c>
      <c r="F145" s="64">
        <v>8140.8</v>
      </c>
      <c r="G145" s="64">
        <v>14292.67</v>
      </c>
      <c r="H145" s="65">
        <f t="shared" si="2"/>
      </c>
      <c r="I145" s="66">
        <f t="shared" si="0"/>
      </c>
      <c r="J145" s="66">
        <f t="shared" si="3"/>
      </c>
      <c r="K145" s="64">
        <v>2</v>
      </c>
      <c r="L145" s="67">
        <v>2218.8</v>
      </c>
      <c r="M145" s="72" t="s">
        <v>170</v>
      </c>
      <c r="N145" s="69">
        <v>10</v>
      </c>
      <c r="O145" s="70"/>
      <c r="P145" s="69"/>
    </row>
    <row customHeight="true" ht="23.80952380952381" r="146">
      <c r="A146" s="62" t="s">
        <v>216</v>
      </c>
      <c r="B146" s="63" t="s">
        <v>178</v>
      </c>
      <c r="C146" s="64" t="s">
        <v>198</v>
      </c>
      <c r="D146" s="64">
        <v>4</v>
      </c>
      <c r="E146" s="64">
        <v>14</v>
      </c>
      <c r="F146" s="64">
        <v>13759.2</v>
      </c>
      <c r="G146" s="64">
        <v>15346.81</v>
      </c>
      <c r="H146" s="65">
        <f t="shared" si="2"/>
      </c>
      <c r="I146" s="66">
        <f t="shared" si="0"/>
      </c>
      <c r="J146" s="66">
        <f t="shared" si="3"/>
      </c>
      <c r="K146" s="64">
        <v>2</v>
      </c>
      <c r="L146" s="67">
        <v>3355.2</v>
      </c>
      <c r="M146" s="72"/>
      <c r="N146" s="69"/>
      <c r="O146" s="70"/>
      <c r="P146" s="69"/>
    </row>
    <row customHeight="true" ht="23.80952380952381" r="147">
      <c r="A147" s="62" t="s">
        <v>216</v>
      </c>
      <c r="B147" s="71" t="s">
        <v>168</v>
      </c>
      <c r="C147" s="64" t="s">
        <v>180</v>
      </c>
      <c r="D147" s="64">
        <v>4</v>
      </c>
      <c r="E147" s="64">
        <v>8</v>
      </c>
      <c r="F147" s="64">
        <v>9746.4</v>
      </c>
      <c r="G147" s="64">
        <v>12001</v>
      </c>
      <c r="H147" s="65">
        <f t="shared" si="2"/>
      </c>
      <c r="I147" s="66">
        <f t="shared" si="0"/>
      </c>
      <c r="J147" s="66">
        <f t="shared" si="3"/>
      </c>
      <c r="K147" s="64">
        <v>2</v>
      </c>
      <c r="L147" s="67">
        <v>2690.4</v>
      </c>
      <c r="M147" s="72" t="s">
        <v>175</v>
      </c>
      <c r="N147" s="69">
        <v>10</v>
      </c>
      <c r="O147" s="70"/>
      <c r="P147" s="69"/>
    </row>
    <row customHeight="true" ht="23.80952380952381" r="148">
      <c r="A148" s="62" t="s">
        <v>216</v>
      </c>
      <c r="B148" s="63" t="s">
        <v>181</v>
      </c>
      <c r="C148" s="64" t="s">
        <v>182</v>
      </c>
      <c r="D148" s="64">
        <v>4</v>
      </c>
      <c r="E148" s="64">
        <v>12</v>
      </c>
      <c r="F148" s="64">
        <v>15670.8</v>
      </c>
      <c r="G148" s="64">
        <v>13691.91</v>
      </c>
      <c r="H148" s="65">
        <f t="shared" si="2"/>
      </c>
      <c r="I148" s="66">
        <f t="shared" si="0"/>
      </c>
      <c r="J148" s="66">
        <f t="shared" si="3"/>
      </c>
      <c r="K148" s="64">
        <v>6</v>
      </c>
      <c r="L148" s="67">
        <v>5835.6</v>
      </c>
      <c r="M148" s="72"/>
      <c r="N148" s="71"/>
      <c r="O148" s="71" t="s">
        <v>176</v>
      </c>
      <c r="P148" s="69">
        <v>10</v>
      </c>
    </row>
    <row customHeight="true" ht="23.80952380952381" r="149">
      <c r="A149" s="73" t="s">
        <v>216</v>
      </c>
      <c r="B149" s="74"/>
      <c r="C149" s="74"/>
      <c r="D149" s="75">
        <f>SUM(D144:D148)</f>
      </c>
      <c r="E149" s="75">
        <f>SUM(E144:E148)</f>
      </c>
      <c r="F149" s="76">
        <f>SUM(F144:F148)</f>
      </c>
      <c r="G149" s="75">
        <f>SUM(G144:G148)</f>
      </c>
      <c r="H149" s="77">
        <f t="shared" si="2"/>
      </c>
      <c r="I149" s="77">
        <f t="shared" si="0"/>
      </c>
      <c r="J149" s="77">
        <f t="shared" si="3"/>
      </c>
      <c r="K149" s="75">
        <f>SUM(K144:K148)</f>
      </c>
      <c r="L149" s="78">
        <f>SUM(L144:L148)</f>
      </c>
      <c r="M149" s="79"/>
      <c r="N149" s="80">
        <f>SUM(N144:N148)</f>
      </c>
      <c r="O149" s="81"/>
      <c r="P149" s="80">
        <f>SUM(P144:P148)</f>
      </c>
    </row>
    <row customHeight="true" ht="23.80952380952381" r="150">
      <c r="A150" s="62" t="s">
        <v>217</v>
      </c>
      <c r="B150" s="63" t="s">
        <v>165</v>
      </c>
      <c r="C150" s="64" t="s">
        <v>185</v>
      </c>
      <c r="D150" s="64">
        <v>4</v>
      </c>
      <c r="E150" s="64">
        <v>8</v>
      </c>
      <c r="F150" s="64">
        <v>7653.6</v>
      </c>
      <c r="G150" s="64">
        <v>10185.34</v>
      </c>
      <c r="H150" s="65">
        <f t="shared" si="2"/>
      </c>
      <c r="I150" s="66">
        <f t="shared" si="0"/>
      </c>
      <c r="J150" s="66">
        <f t="shared" si="3"/>
      </c>
      <c r="K150" s="64">
        <v>1</v>
      </c>
      <c r="L150" s="67">
        <v>2407.2</v>
      </c>
      <c r="M150" s="68"/>
      <c r="N150" s="69"/>
      <c r="O150" s="70" t="s">
        <v>167</v>
      </c>
      <c r="P150" s="71">
        <v>10</v>
      </c>
    </row>
    <row customHeight="true" ht="23.80952380952381" r="151">
      <c r="A151" s="62" t="s">
        <v>217</v>
      </c>
      <c r="B151" s="63" t="s">
        <v>178</v>
      </c>
      <c r="C151" s="64" t="s">
        <v>197</v>
      </c>
      <c r="D151" s="64">
        <v>4</v>
      </c>
      <c r="E151" s="64">
        <v>3</v>
      </c>
      <c r="F151" s="64">
        <v>3943.199999999999</v>
      </c>
      <c r="G151" s="64">
        <v>6184.84</v>
      </c>
      <c r="H151" s="65">
        <f t="shared" si="2"/>
      </c>
      <c r="I151" s="66">
        <f t="shared" si="0"/>
      </c>
      <c r="J151" s="66">
        <f t="shared" si="3"/>
      </c>
      <c r="K151" s="64">
        <v>0</v>
      </c>
      <c r="L151" s="67">
        <v>0</v>
      </c>
      <c r="M151" s="72" t="s">
        <v>170</v>
      </c>
      <c r="N151" s="69">
        <v>10</v>
      </c>
      <c r="O151" s="70"/>
      <c r="P151" s="69"/>
    </row>
    <row customHeight="true" ht="23.80952380952381" r="152">
      <c r="A152" s="62" t="s">
        <v>217</v>
      </c>
      <c r="B152" s="63" t="s">
        <v>168</v>
      </c>
      <c r="C152" s="64" t="s">
        <v>198</v>
      </c>
      <c r="D152" s="64">
        <v>4</v>
      </c>
      <c r="E152" s="64">
        <v>2</v>
      </c>
      <c r="F152" s="64">
        <v>4310.4</v>
      </c>
      <c r="G152" s="64">
        <v>6047.34</v>
      </c>
      <c r="H152" s="65">
        <f t="shared" si="2"/>
      </c>
      <c r="I152" s="66">
        <f t="shared" si="0"/>
      </c>
      <c r="J152" s="66">
        <f t="shared" si="3"/>
      </c>
      <c r="K152" s="64">
        <v>0</v>
      </c>
      <c r="L152" s="67">
        <v>0</v>
      </c>
      <c r="M152" s="72"/>
      <c r="N152" s="69"/>
      <c r="O152" s="70"/>
      <c r="P152" s="69"/>
    </row>
    <row customHeight="true" ht="23.80952380952381" r="153">
      <c r="A153" s="62" t="s">
        <v>217</v>
      </c>
      <c r="B153" s="71" t="s">
        <v>181</v>
      </c>
      <c r="C153" s="64" t="s">
        <v>180</v>
      </c>
      <c r="D153" s="64">
        <v>4</v>
      </c>
      <c r="E153" s="64">
        <v>14</v>
      </c>
      <c r="F153" s="64">
        <v>17698.32</v>
      </c>
      <c r="G153" s="64">
        <v>8559.25</v>
      </c>
      <c r="H153" s="65">
        <f t="shared" si="2"/>
      </c>
      <c r="I153" s="66">
        <f t="shared" si="0"/>
      </c>
      <c r="J153" s="66">
        <f t="shared" si="3"/>
      </c>
      <c r="K153" s="64">
        <v>3</v>
      </c>
      <c r="L153" s="67">
        <v>3451.2</v>
      </c>
      <c r="M153" s="72" t="s">
        <v>175</v>
      </c>
      <c r="N153" s="69">
        <v>10</v>
      </c>
      <c r="O153" s="70"/>
      <c r="P153" s="69"/>
    </row>
    <row customHeight="true" ht="23.80952380952381" r="154">
      <c r="A154" s="62" t="s">
        <v>217</v>
      </c>
      <c r="B154" s="63" t="s">
        <v>171</v>
      </c>
      <c r="C154" s="64" t="s">
        <v>182</v>
      </c>
      <c r="D154" s="64">
        <v>4</v>
      </c>
      <c r="E154" s="64">
        <v>21</v>
      </c>
      <c r="F154" s="64">
        <v>32469.6</v>
      </c>
      <c r="G154" s="64">
        <v>14143.93</v>
      </c>
      <c r="H154" s="65">
        <f t="shared" si="2"/>
      </c>
      <c r="I154" s="66">
        <f t="shared" si="0"/>
      </c>
      <c r="J154" s="66">
        <f t="shared" si="3"/>
      </c>
      <c r="K154" s="64">
        <v>4</v>
      </c>
      <c r="L154" s="67">
        <v>3649.2</v>
      </c>
      <c r="M154" s="72"/>
      <c r="N154" s="71"/>
      <c r="O154" s="71" t="s">
        <v>176</v>
      </c>
      <c r="P154" s="69">
        <v>10</v>
      </c>
    </row>
    <row customHeight="true" ht="23.80952380952381" r="155">
      <c r="A155" s="73" t="s">
        <v>217</v>
      </c>
      <c r="B155" s="74"/>
      <c r="C155" s="74"/>
      <c r="D155" s="75">
        <f>SUM(D150:D154)</f>
      </c>
      <c r="E155" s="75">
        <f>SUM(E150:E154)</f>
      </c>
      <c r="F155" s="76">
        <f>SUM(F150:F154)</f>
      </c>
      <c r="G155" s="75">
        <f>SUM(G150:G154)</f>
      </c>
      <c r="H155" s="77">
        <f t="shared" si="2"/>
      </c>
      <c r="I155" s="77">
        <f t="shared" si="0"/>
      </c>
      <c r="J155" s="77">
        <f t="shared" si="3"/>
      </c>
      <c r="K155" s="75">
        <f>SUM(K150:K154)</f>
      </c>
      <c r="L155" s="78">
        <f>SUM(L150:L154)</f>
      </c>
      <c r="M155" s="79"/>
      <c r="N155" s="80">
        <f>SUM(N150:N154)</f>
      </c>
      <c r="O155" s="81"/>
      <c r="P155" s="80">
        <f>SUM(P150:P154)</f>
      </c>
    </row>
    <row customHeight="true" ht="23.80952380952381" r="156">
      <c r="A156" s="62" t="s">
        <v>218</v>
      </c>
      <c r="B156" s="63" t="s">
        <v>165</v>
      </c>
      <c r="C156" s="64" t="s">
        <v>185</v>
      </c>
      <c r="D156" s="64">
        <v>4</v>
      </c>
      <c r="E156" s="64">
        <v>11</v>
      </c>
      <c r="F156" s="64">
        <v>16138.8</v>
      </c>
      <c r="G156" s="64">
        <v>9785.34</v>
      </c>
      <c r="H156" s="65">
        <f t="shared" si="2"/>
      </c>
      <c r="I156" s="66">
        <f t="shared" si="0"/>
      </c>
      <c r="J156" s="66">
        <f t="shared" si="3"/>
      </c>
      <c r="K156" s="64">
        <v>2</v>
      </c>
      <c r="L156" s="67">
        <v>1087.2</v>
      </c>
      <c r="M156" s="68"/>
      <c r="N156" s="69"/>
      <c r="O156" s="70" t="s">
        <v>167</v>
      </c>
      <c r="P156" s="71">
        <v>10</v>
      </c>
    </row>
    <row customHeight="true" ht="23.80952380952381" r="157">
      <c r="A157" s="62" t="s">
        <v>218</v>
      </c>
      <c r="B157" s="63" t="s">
        <v>178</v>
      </c>
      <c r="C157" s="64" t="s">
        <v>197</v>
      </c>
      <c r="D157" s="64">
        <v>4</v>
      </c>
      <c r="E157" s="64">
        <v>17</v>
      </c>
      <c r="F157" s="64">
        <v>22903.2</v>
      </c>
      <c r="G157" s="82">
        <v>15943.7</v>
      </c>
      <c r="H157" s="65">
        <f t="shared" si="2"/>
      </c>
      <c r="I157" s="66">
        <f t="shared" si="0"/>
      </c>
      <c r="J157" s="66">
        <f>G156/E157</f>
      </c>
      <c r="K157" s="64">
        <v>4</v>
      </c>
      <c r="L157" s="67">
        <v>6260.4</v>
      </c>
      <c r="M157" s="72" t="s">
        <v>170</v>
      </c>
      <c r="N157" s="69">
        <v>10</v>
      </c>
      <c r="O157" s="70"/>
      <c r="P157" s="69"/>
    </row>
    <row customHeight="true" ht="23.80952380952381" r="158">
      <c r="A158" s="62" t="s">
        <v>218</v>
      </c>
      <c r="B158" s="63" t="s">
        <v>168</v>
      </c>
      <c r="C158" s="64" t="s">
        <v>198</v>
      </c>
      <c r="D158" s="64">
        <v>4</v>
      </c>
      <c r="E158" s="64">
        <v>21</v>
      </c>
      <c r="F158" s="64">
        <v>24212.4</v>
      </c>
      <c r="G158" s="64">
        <v>16910.28</v>
      </c>
      <c r="H158" s="65">
        <f t="shared" si="2"/>
      </c>
      <c r="I158" s="66">
        <f t="shared" si="0"/>
      </c>
      <c r="J158" s="66">
        <f t="shared" ref="J158:J162" si="4">G158/E158</f>
      </c>
      <c r="K158" s="64">
        <v>3</v>
      </c>
      <c r="L158" s="67">
        <v>3518.4</v>
      </c>
      <c r="M158" s="72"/>
      <c r="N158" s="69"/>
      <c r="O158" s="70"/>
      <c r="P158" s="69"/>
    </row>
    <row customHeight="true" ht="23.80952380952381" r="159">
      <c r="A159" s="62" t="s">
        <v>218</v>
      </c>
      <c r="B159" s="71" t="s">
        <v>181</v>
      </c>
      <c r="C159" s="64" t="s">
        <v>180</v>
      </c>
      <c r="D159" s="64">
        <v>4</v>
      </c>
      <c r="E159" s="64">
        <v>12</v>
      </c>
      <c r="F159" s="64">
        <v>17336.4</v>
      </c>
      <c r="G159" s="64">
        <v>11231.19</v>
      </c>
      <c r="H159" s="65">
        <f t="shared" si="2"/>
      </c>
      <c r="I159" s="66">
        <f t="shared" si="0"/>
      </c>
      <c r="J159" s="66">
        <f t="shared" si="4"/>
      </c>
      <c r="K159" s="64">
        <v>4</v>
      </c>
      <c r="L159" s="67">
        <v>4209.6</v>
      </c>
      <c r="M159" s="72" t="s">
        <v>175</v>
      </c>
      <c r="N159" s="69">
        <v>10</v>
      </c>
      <c r="O159" s="70"/>
      <c r="P159" s="69"/>
    </row>
    <row customHeight="true" ht="23.80952380952381" r="160">
      <c r="A160" s="62" t="s">
        <v>218</v>
      </c>
      <c r="B160" s="63" t="s">
        <v>171</v>
      </c>
      <c r="C160" s="64" t="s">
        <v>182</v>
      </c>
      <c r="D160" s="64">
        <v>4</v>
      </c>
      <c r="E160" s="64">
        <v>12</v>
      </c>
      <c r="F160" s="64">
        <v>14503.1</v>
      </c>
      <c r="G160" s="64">
        <v>8623.96</v>
      </c>
      <c r="H160" s="65">
        <f t="shared" si="2"/>
      </c>
      <c r="I160" s="66">
        <f t="shared" si="0"/>
      </c>
      <c r="J160" s="66">
        <f t="shared" si="4"/>
      </c>
      <c r="K160" s="64">
        <v>2</v>
      </c>
      <c r="L160" s="67">
        <v>2299.2</v>
      </c>
      <c r="M160" s="72"/>
      <c r="N160" s="71"/>
      <c r="O160" s="71" t="s">
        <v>176</v>
      </c>
      <c r="P160" s="69">
        <v>10</v>
      </c>
    </row>
    <row customHeight="true" ht="23.80952380952381" r="161">
      <c r="A161" s="73" t="s">
        <v>218</v>
      </c>
      <c r="B161" s="74"/>
      <c r="C161" s="74"/>
      <c r="D161" s="75">
        <f>SUM(D156:D160)</f>
      </c>
      <c r="E161" s="75">
        <f>SUM(E156:E160)</f>
      </c>
      <c r="F161" s="76">
        <f>SUM(F156:F160)</f>
      </c>
      <c r="G161" s="75">
        <f>SUM(G156:G160)</f>
      </c>
      <c r="H161" s="77">
        <f t="shared" si="2"/>
      </c>
      <c r="I161" s="77">
        <f t="shared" si="0"/>
      </c>
      <c r="J161" s="77">
        <f t="shared" si="4"/>
      </c>
      <c r="K161" s="75">
        <f>SUM(K156:K160)</f>
      </c>
      <c r="L161" s="78">
        <f>SUM(L156:L160)</f>
      </c>
      <c r="M161" s="79"/>
      <c r="N161" s="80">
        <f>SUM(N156:N160)</f>
      </c>
      <c r="O161" s="81"/>
      <c r="P161" s="80">
        <f>SUM(P156:P160)</f>
      </c>
    </row>
    <row customHeight="true" ht="23.80952380952381" r="162">
      <c r="A162" s="62" t="s">
        <v>219</v>
      </c>
      <c r="B162" s="63" t="s">
        <v>178</v>
      </c>
      <c r="C162" s="64" t="s">
        <v>185</v>
      </c>
      <c r="D162" s="64">
        <v>4</v>
      </c>
      <c r="E162" s="64">
        <v>12</v>
      </c>
      <c r="F162" s="64">
        <v>15630</v>
      </c>
      <c r="G162" s="64">
        <v>11447.52</v>
      </c>
      <c r="H162" s="65">
        <f t="shared" si="2"/>
      </c>
      <c r="I162" s="66">
        <f t="shared" si="0"/>
      </c>
      <c r="J162" s="66">
        <f t="shared" si="4"/>
      </c>
      <c r="K162" s="64">
        <v>3</v>
      </c>
      <c r="L162" s="67">
        <v>1366.8</v>
      </c>
      <c r="M162" s="68"/>
      <c r="N162" s="69"/>
      <c r="O162" s="70" t="s">
        <v>167</v>
      </c>
      <c r="P162" s="71">
        <v>10</v>
      </c>
    </row>
    <row customHeight="true" ht="23.80952380952381" r="163">
      <c r="A163" s="62" t="s">
        <v>219</v>
      </c>
      <c r="B163" s="63" t="s">
        <v>168</v>
      </c>
      <c r="C163" s="64" t="s">
        <v>197</v>
      </c>
      <c r="D163" s="64">
        <v>4</v>
      </c>
      <c r="E163" s="64">
        <v>9</v>
      </c>
      <c r="F163" s="64">
        <v>11618.400000000001</v>
      </c>
      <c r="G163" s="82">
        <v>12435.21</v>
      </c>
      <c r="H163" s="65">
        <f t="shared" si="2"/>
      </c>
      <c r="I163" s="66">
        <f t="shared" si="0"/>
      </c>
      <c r="J163" s="66">
        <f>G162/E163</f>
      </c>
      <c r="K163" s="64">
        <v>0</v>
      </c>
      <c r="L163" s="67">
        <v>0</v>
      </c>
      <c r="M163" s="72" t="s">
        <v>170</v>
      </c>
      <c r="N163" s="69">
        <v>10</v>
      </c>
      <c r="O163" s="70"/>
      <c r="P163" s="69"/>
    </row>
    <row customHeight="true" ht="23.80952380952381" r="164">
      <c r="A164" s="62" t="s">
        <v>219</v>
      </c>
      <c r="B164" s="71" t="s">
        <v>181</v>
      </c>
      <c r="C164" s="64" t="s">
        <v>198</v>
      </c>
      <c r="D164" s="64">
        <v>4</v>
      </c>
      <c r="E164" s="64">
        <v>7</v>
      </c>
      <c r="F164" s="64">
        <v>9463.2</v>
      </c>
      <c r="G164" s="64">
        <v>6129.28</v>
      </c>
      <c r="H164" s="65">
        <f t="shared" si="2"/>
      </c>
      <c r="I164" s="66">
        <f t="shared" si="0"/>
      </c>
      <c r="J164" s="66">
        <f t="shared" ref="J164:J168" si="5">G164/E164</f>
      </c>
      <c r="K164" s="64">
        <v>1</v>
      </c>
      <c r="L164" s="67">
        <v>2407.2</v>
      </c>
      <c r="M164" s="72"/>
      <c r="N164" s="69"/>
      <c r="O164" s="70"/>
      <c r="P164" s="69"/>
    </row>
    <row customHeight="true" ht="23.80952380952381" r="165">
      <c r="A165" s="62" t="s">
        <v>219</v>
      </c>
      <c r="B165" s="63" t="s">
        <v>171</v>
      </c>
      <c r="C165" s="64" t="s">
        <v>180</v>
      </c>
      <c r="D165" s="64">
        <v>4</v>
      </c>
      <c r="E165" s="64">
        <v>8</v>
      </c>
      <c r="F165" s="64">
        <v>9770.4</v>
      </c>
      <c r="G165" s="64">
        <v>7616.27</v>
      </c>
      <c r="H165" s="65">
        <f t="shared" si="2"/>
      </c>
      <c r="I165" s="66">
        <f t="shared" si="0"/>
      </c>
      <c r="J165" s="66">
        <f t="shared" si="5"/>
      </c>
      <c r="K165" s="64">
        <v>0</v>
      </c>
      <c r="L165" s="67">
        <v>0</v>
      </c>
      <c r="M165" s="72" t="s">
        <v>175</v>
      </c>
      <c r="N165" s="69">
        <v>10</v>
      </c>
      <c r="O165" s="70"/>
      <c r="P165" s="69"/>
    </row>
    <row customHeight="true" ht="23.80952380952381" r="166">
      <c r="A166" s="62" t="s">
        <v>219</v>
      </c>
      <c r="B166" s="63" t="s">
        <v>173</v>
      </c>
      <c r="C166" s="64" t="s">
        <v>182</v>
      </c>
      <c r="D166" s="64">
        <v>4</v>
      </c>
      <c r="E166" s="64">
        <v>22</v>
      </c>
      <c r="F166" s="64">
        <v>28069.2</v>
      </c>
      <c r="G166" s="64">
        <v>14043.55</v>
      </c>
      <c r="H166" s="65">
        <f t="shared" si="2"/>
      </c>
      <c r="I166" s="66">
        <f t="shared" si="0"/>
      </c>
      <c r="J166" s="66">
        <f t="shared" si="5"/>
      </c>
      <c r="K166" s="64">
        <v>0</v>
      </c>
      <c r="L166" s="67">
        <v>0</v>
      </c>
      <c r="M166" s="72"/>
      <c r="N166" s="71"/>
      <c r="O166" s="71" t="s">
        <v>176</v>
      </c>
      <c r="P166" s="69">
        <v>10</v>
      </c>
    </row>
    <row customHeight="true" ht="23.80952380952381" r="167">
      <c r="A167" s="73" t="s">
        <v>219</v>
      </c>
      <c r="B167" s="74"/>
      <c r="C167" s="74"/>
      <c r="D167" s="75">
        <f>SUM(D162:D166)</f>
      </c>
      <c r="E167" s="75">
        <f>SUM(E162:E166)</f>
      </c>
      <c r="F167" s="76">
        <f>SUM(F162:F166)</f>
      </c>
      <c r="G167" s="75">
        <f>SUM(G162:G166)</f>
      </c>
      <c r="H167" s="77">
        <f t="shared" si="2"/>
      </c>
      <c r="I167" s="77">
        <f t="shared" si="0"/>
      </c>
      <c r="J167" s="77">
        <f t="shared" si="5"/>
      </c>
      <c r="K167" s="75">
        <f>SUM(K162:K166)</f>
      </c>
      <c r="L167" s="78">
        <f>SUM(L162:L166)</f>
      </c>
      <c r="M167" s="79"/>
      <c r="N167" s="80">
        <f>SUM(N162:N166)</f>
      </c>
      <c r="O167" s="81"/>
      <c r="P167" s="80">
        <f>SUM(P162:P166)</f>
      </c>
    </row>
    <row customHeight="true" ht="23.80952380952381" r="168">
      <c r="A168" s="62" t="s">
        <v>220</v>
      </c>
      <c r="B168" s="63" t="s">
        <v>178</v>
      </c>
      <c r="C168" s="64" t="s">
        <v>185</v>
      </c>
      <c r="D168" s="64">
        <v>4</v>
      </c>
      <c r="E168" s="64">
        <v>18</v>
      </c>
      <c r="F168" s="64">
        <v>18051.6</v>
      </c>
      <c r="G168" s="64">
        <v>21269.32</v>
      </c>
      <c r="H168" s="65">
        <f t="shared" si="2"/>
      </c>
      <c r="I168" s="66">
        <f t="shared" si="0"/>
      </c>
      <c r="J168" s="66">
        <f t="shared" si="5"/>
      </c>
      <c r="K168" s="64">
        <v>6</v>
      </c>
      <c r="L168" s="67">
        <v>6259.2</v>
      </c>
      <c r="M168" s="68"/>
      <c r="N168" s="69"/>
      <c r="O168" s="70" t="s">
        <v>167</v>
      </c>
      <c r="P168" s="71">
        <v>10</v>
      </c>
    </row>
    <row customHeight="true" ht="23.80952380952381" r="169">
      <c r="A169" s="62" t="s">
        <v>220</v>
      </c>
      <c r="B169" s="63" t="s">
        <v>168</v>
      </c>
      <c r="C169" s="64" t="s">
        <v>197</v>
      </c>
      <c r="D169" s="64">
        <v>4</v>
      </c>
      <c r="E169" s="64">
        <v>31</v>
      </c>
      <c r="F169" s="64">
        <v>41369.8</v>
      </c>
      <c r="G169" s="82">
        <v>24382.070000000003</v>
      </c>
      <c r="H169" s="65">
        <f t="shared" si="2"/>
      </c>
      <c r="I169" s="66">
        <f t="shared" si="0"/>
      </c>
      <c r="J169" s="66">
        <f>G168/E169</f>
      </c>
      <c r="K169" s="64">
        <v>8</v>
      </c>
      <c r="L169" s="67">
        <v>10705</v>
      </c>
      <c r="M169" s="72" t="s">
        <v>170</v>
      </c>
      <c r="N169" s="69">
        <v>10</v>
      </c>
      <c r="O169" s="70"/>
      <c r="P169" s="69"/>
    </row>
    <row customHeight="true" ht="23.80952380952381" r="170">
      <c r="A170" s="62" t="s">
        <v>220</v>
      </c>
      <c r="B170" s="71" t="s">
        <v>181</v>
      </c>
      <c r="C170" s="64" t="s">
        <v>198</v>
      </c>
      <c r="D170" s="64">
        <v>4</v>
      </c>
      <c r="E170" s="64">
        <v>13</v>
      </c>
      <c r="F170" s="64">
        <v>16322.4</v>
      </c>
      <c r="G170" s="64">
        <v>14528.15</v>
      </c>
      <c r="H170" s="65">
        <f t="shared" si="2"/>
      </c>
      <c r="I170" s="66">
        <f t="shared" si="0"/>
      </c>
      <c r="J170" s="66">
        <f t="shared" ref="J170:J174" si="6">G170/E170</f>
      </c>
      <c r="K170" s="64">
        <v>2</v>
      </c>
      <c r="L170" s="67">
        <v>2455.2</v>
      </c>
      <c r="M170" s="72"/>
      <c r="N170" s="69"/>
      <c r="O170" s="70"/>
      <c r="P170" s="69"/>
    </row>
    <row customHeight="true" ht="23.80952380952381" r="171">
      <c r="A171" s="62" t="s">
        <v>220</v>
      </c>
      <c r="B171" s="63" t="s">
        <v>171</v>
      </c>
      <c r="C171" s="64" t="s">
        <v>180</v>
      </c>
      <c r="D171" s="64">
        <v>4</v>
      </c>
      <c r="E171" s="64">
        <v>8</v>
      </c>
      <c r="F171" s="64">
        <v>9662.4</v>
      </c>
      <c r="G171" s="64">
        <v>7835.78</v>
      </c>
      <c r="H171" s="65">
        <f t="shared" si="2"/>
      </c>
      <c r="I171" s="66">
        <f t="shared" si="0"/>
      </c>
      <c r="J171" s="66">
        <f t="shared" si="6"/>
      </c>
      <c r="K171" s="64">
        <v>4</v>
      </c>
      <c r="L171" s="67">
        <v>6477.6</v>
      </c>
      <c r="M171" s="72" t="s">
        <v>175</v>
      </c>
      <c r="N171" s="69">
        <v>10</v>
      </c>
      <c r="O171" s="70"/>
      <c r="P171" s="69"/>
    </row>
    <row customHeight="true" ht="23.80952380952381" r="172">
      <c r="A172" s="62" t="s">
        <v>220</v>
      </c>
      <c r="B172" s="63" t="s">
        <v>173</v>
      </c>
      <c r="C172" s="64" t="s">
        <v>182</v>
      </c>
      <c r="D172" s="64">
        <v>4</v>
      </c>
      <c r="E172" s="64">
        <v>12</v>
      </c>
      <c r="F172" s="64">
        <v>10527.2</v>
      </c>
      <c r="G172" s="64">
        <v>11182.86</v>
      </c>
      <c r="H172" s="65">
        <f t="shared" si="2"/>
      </c>
      <c r="I172" s="66">
        <f t="shared" si="0"/>
      </c>
      <c r="J172" s="66">
        <f t="shared" si="6"/>
      </c>
      <c r="K172" s="64">
        <v>1</v>
      </c>
      <c r="L172" s="67">
        <v>775.2</v>
      </c>
      <c r="M172" s="72"/>
      <c r="N172" s="71"/>
      <c r="O172" s="71" t="s">
        <v>176</v>
      </c>
      <c r="P172" s="69">
        <v>10</v>
      </c>
    </row>
    <row customHeight="true" ht="23.80952380952381" r="173">
      <c r="A173" s="73" t="s">
        <v>220</v>
      </c>
      <c r="B173" s="74"/>
      <c r="C173" s="74"/>
      <c r="D173" s="75">
        <f>SUM(D168:D172)</f>
      </c>
      <c r="E173" s="75">
        <f>SUM(E168:E172)</f>
      </c>
      <c r="F173" s="76">
        <f>SUM(F168:F172)</f>
      </c>
      <c r="G173" s="75">
        <f>SUM(G168:G172)</f>
      </c>
      <c r="H173" s="77">
        <f t="shared" si="2"/>
      </c>
      <c r="I173" s="77">
        <f t="shared" si="0"/>
      </c>
      <c r="J173" s="77">
        <f t="shared" si="6"/>
      </c>
      <c r="K173" s="75">
        <f>SUM(K168:K172)</f>
      </c>
      <c r="L173" s="78">
        <f>SUM(L168:L172)</f>
      </c>
      <c r="M173" s="79"/>
      <c r="N173" s="80">
        <f>SUM(N168:N172)</f>
      </c>
      <c r="O173" s="81"/>
      <c r="P173" s="80">
        <f>SUM(P168:P172)</f>
      </c>
    </row>
    <row customHeight="true" ht="23.80952380952381" r="174">
      <c r="A174" s="62" t="s">
        <v>221</v>
      </c>
      <c r="B174" s="63" t="s">
        <v>168</v>
      </c>
      <c r="C174" s="64" t="s">
        <v>185</v>
      </c>
      <c r="D174" s="64">
        <v>4</v>
      </c>
      <c r="E174" s="64">
        <v>18</v>
      </c>
      <c r="F174" s="64">
        <v>21798</v>
      </c>
      <c r="G174" s="64">
        <v>16432.22</v>
      </c>
      <c r="H174" s="65">
        <f t="shared" si="2"/>
      </c>
      <c r="I174" s="66">
        <f t="shared" si="0"/>
      </c>
      <c r="J174" s="66">
        <f t="shared" si="6"/>
      </c>
      <c r="K174" s="64">
        <v>1</v>
      </c>
      <c r="L174" s="67">
        <v>396</v>
      </c>
      <c r="M174" s="68"/>
      <c r="N174" s="69"/>
      <c r="O174" s="70" t="s">
        <v>167</v>
      </c>
      <c r="P174" s="71">
        <v>10</v>
      </c>
    </row>
    <row customHeight="true" ht="23.80952380952381" r="175">
      <c r="A175" s="62" t="s">
        <v>221</v>
      </c>
      <c r="B175" s="63" t="s">
        <v>181</v>
      </c>
      <c r="C175" s="64" t="s">
        <v>197</v>
      </c>
      <c r="D175" s="83">
        <f t="shared" ref="D175:D176" si="1">4-0.75</f>
      </c>
      <c r="E175" s="64">
        <v>8</v>
      </c>
      <c r="F175" s="64">
        <v>6206.4000000000015</v>
      </c>
      <c r="G175" s="82">
        <v>10115.98</v>
      </c>
      <c r="H175" s="65">
        <f t="shared" si="2"/>
      </c>
      <c r="I175" s="66">
        <f t="shared" si="0"/>
      </c>
      <c r="J175" s="66">
        <f>G174/E175</f>
      </c>
      <c r="K175" s="64">
        <v>3</v>
      </c>
      <c r="L175" s="67">
        <v>2242.8</v>
      </c>
      <c r="M175" s="72" t="s">
        <v>170</v>
      </c>
      <c r="N175" s="69">
        <v>10</v>
      </c>
      <c r="O175" s="70"/>
      <c r="P175" s="69"/>
    </row>
    <row customHeight="true" ht="23.80952380952381" r="176">
      <c r="A176" s="62" t="s">
        <v>221</v>
      </c>
      <c r="B176" s="71" t="s">
        <v>171</v>
      </c>
      <c r="C176" s="64" t="s">
        <v>198</v>
      </c>
      <c r="D176" s="83">
        <f t="shared" si="1"/>
      </c>
      <c r="E176" s="64">
        <v>3</v>
      </c>
      <c r="F176" s="64">
        <v>4878</v>
      </c>
      <c r="G176" s="64">
        <v>6374.79</v>
      </c>
      <c r="H176" s="65">
        <f t="shared" si="2"/>
      </c>
      <c r="I176" s="66">
        <f t="shared" si="0"/>
      </c>
      <c r="J176" s="66">
        <f t="shared" ref="J176:J180" si="7">G176/E176</f>
      </c>
      <c r="K176" s="64">
        <v>1</v>
      </c>
      <c r="L176" s="67">
        <v>2407.2</v>
      </c>
      <c r="M176" s="72"/>
      <c r="N176" s="69"/>
      <c r="O176" s="70"/>
      <c r="P176" s="69"/>
    </row>
    <row customHeight="true" ht="23.80952380952381" r="177">
      <c r="A177" s="62" t="s">
        <v>221</v>
      </c>
      <c r="B177" s="63" t="s">
        <v>173</v>
      </c>
      <c r="C177" s="64" t="s">
        <v>180</v>
      </c>
      <c r="D177" s="64">
        <v>4</v>
      </c>
      <c r="E177" s="64">
        <v>6</v>
      </c>
      <c r="F177" s="64">
        <v>5602.8</v>
      </c>
      <c r="G177" s="64">
        <v>6328.44</v>
      </c>
      <c r="H177" s="65">
        <f t="shared" si="2"/>
      </c>
      <c r="I177" s="66">
        <f t="shared" si="0"/>
      </c>
      <c r="J177" s="66">
        <f t="shared" si="7"/>
      </c>
      <c r="K177" s="64">
        <v>1</v>
      </c>
      <c r="L177" s="67">
        <v>546</v>
      </c>
      <c r="M177" s="72" t="s">
        <v>175</v>
      </c>
      <c r="N177" s="69">
        <v>10</v>
      </c>
      <c r="O177" s="70"/>
      <c r="P177" s="69"/>
    </row>
    <row customHeight="true" ht="23.80952380952381" r="178">
      <c r="A178" s="62" t="s">
        <v>221</v>
      </c>
      <c r="B178" s="63" t="s">
        <v>165</v>
      </c>
      <c r="C178" s="64" t="s">
        <v>182</v>
      </c>
      <c r="D178" s="64">
        <v>4</v>
      </c>
      <c r="E178" s="64">
        <v>14</v>
      </c>
      <c r="F178" s="64">
        <v>16426.8</v>
      </c>
      <c r="G178" s="64">
        <v>10465.72</v>
      </c>
      <c r="H178" s="65">
        <f t="shared" si="2"/>
      </c>
      <c r="I178" s="66">
        <f t="shared" si="0"/>
      </c>
      <c r="J178" s="66">
        <f t="shared" si="7"/>
      </c>
      <c r="K178" s="64">
        <v>0</v>
      </c>
      <c r="L178" s="67">
        <v>0</v>
      </c>
      <c r="M178" s="72"/>
      <c r="N178" s="71"/>
      <c r="O178" s="71" t="s">
        <v>176</v>
      </c>
      <c r="P178" s="69">
        <v>10</v>
      </c>
    </row>
    <row customHeight="true" ht="23.80952380952381" r="179">
      <c r="A179" s="73" t="s">
        <v>221</v>
      </c>
      <c r="B179" s="74"/>
      <c r="C179" s="74"/>
      <c r="D179" s="75">
        <f>SUM(D174:D178)</f>
      </c>
      <c r="E179" s="75">
        <f>SUM(E174:E178)</f>
      </c>
      <c r="F179" s="76">
        <f>SUM(F174:F178)</f>
      </c>
      <c r="G179" s="75">
        <f>SUM(G174:G178)</f>
      </c>
      <c r="H179" s="77">
        <f t="shared" si="2"/>
      </c>
      <c r="I179" s="77">
        <f t="shared" si="0"/>
      </c>
      <c r="J179" s="77">
        <f t="shared" si="7"/>
      </c>
      <c r="K179" s="75">
        <f>SUM(K174:K178)</f>
      </c>
      <c r="L179" s="78">
        <f>SUM(L174:L178)</f>
      </c>
      <c r="M179" s="79"/>
      <c r="N179" s="80">
        <f>SUM(N174:N178)</f>
      </c>
      <c r="O179" s="81"/>
      <c r="P179" s="80">
        <f>SUM(P174:P178)</f>
      </c>
    </row>
    <row customHeight="true" ht="23.80952380952381" r="180">
      <c r="A180" s="62" t="s">
        <v>222</v>
      </c>
      <c r="B180" s="63" t="s">
        <v>168</v>
      </c>
      <c r="C180" s="64" t="s">
        <v>185</v>
      </c>
      <c r="D180" s="83">
        <f>4-0.75</f>
      </c>
      <c r="E180" s="64">
        <v>2</v>
      </c>
      <c r="F180" s="64">
        <v>2426.4</v>
      </c>
      <c r="G180" s="64">
        <v>5508.9</v>
      </c>
      <c r="H180" s="65">
        <f t="shared" si="2"/>
      </c>
      <c r="I180" s="66">
        <f t="shared" si="0"/>
      </c>
      <c r="J180" s="66">
        <f t="shared" si="7"/>
      </c>
      <c r="K180" s="64">
        <v>0</v>
      </c>
      <c r="L180" s="67">
        <v>0</v>
      </c>
      <c r="M180" s="68"/>
      <c r="N180" s="69"/>
      <c r="O180" s="70" t="s">
        <v>167</v>
      </c>
      <c r="P180" s="71">
        <v>10</v>
      </c>
    </row>
    <row customHeight="true" ht="23.80952380952381" r="181">
      <c r="A181" s="62" t="s">
        <v>222</v>
      </c>
      <c r="B181" s="71" t="s">
        <v>171</v>
      </c>
      <c r="C181" s="64" t="s">
        <v>197</v>
      </c>
      <c r="D181" s="64">
        <v>4</v>
      </c>
      <c r="E181" s="64">
        <v>7</v>
      </c>
      <c r="F181" s="64">
        <v>8613</v>
      </c>
      <c r="G181" s="82">
        <v>7043.61</v>
      </c>
      <c r="H181" s="65">
        <f t="shared" si="2"/>
      </c>
      <c r="I181" s="66">
        <f t="shared" si="0"/>
      </c>
      <c r="J181" s="66">
        <f>G180/E181</f>
      </c>
      <c r="K181" s="64">
        <v>4</v>
      </c>
      <c r="L181" s="67">
        <v>3027.6</v>
      </c>
      <c r="M181" s="72" t="s">
        <v>170</v>
      </c>
      <c r="N181" s="69">
        <v>10</v>
      </c>
      <c r="O181" s="70"/>
      <c r="P181" s="69"/>
    </row>
    <row customHeight="true" ht="23.80952380952381" r="182">
      <c r="A182" s="62" t="s">
        <v>222</v>
      </c>
      <c r="B182" s="63" t="s">
        <v>173</v>
      </c>
      <c r="C182" s="64" t="s">
        <v>198</v>
      </c>
      <c r="D182" s="83">
        <f>4-0.5</f>
      </c>
      <c r="E182" s="64">
        <v>6</v>
      </c>
      <c r="F182" s="64">
        <v>10813.800000000001</v>
      </c>
      <c r="G182" s="64">
        <v>4301.63</v>
      </c>
      <c r="H182" s="65">
        <f t="shared" si="2"/>
      </c>
      <c r="I182" s="66">
        <f t="shared" si="0"/>
      </c>
      <c r="J182" s="66">
        <f t="shared" ref="J182:J185" si="8">G182/E182</f>
      </c>
      <c r="K182" s="64">
        <v>2</v>
      </c>
      <c r="L182" s="67">
        <v>3755.4</v>
      </c>
      <c r="M182" s="72"/>
      <c r="N182" s="69"/>
      <c r="O182" s="70"/>
      <c r="P182" s="69"/>
    </row>
    <row customHeight="true" ht="23.80952380952381" r="183">
      <c r="A183" s="62" t="s">
        <v>222</v>
      </c>
      <c r="B183" s="63" t="s">
        <v>165</v>
      </c>
      <c r="C183" s="64" t="s">
        <v>180</v>
      </c>
      <c r="D183" s="83">
        <f>4-0.25</f>
      </c>
      <c r="E183" s="64">
        <v>2</v>
      </c>
      <c r="F183" s="64">
        <v>3678</v>
      </c>
      <c r="G183" s="64">
        <v>3602.9999999999995</v>
      </c>
      <c r="H183" s="65">
        <f t="shared" si="2"/>
      </c>
      <c r="I183" s="66">
        <f t="shared" si="0"/>
      </c>
      <c r="J183" s="66">
        <f t="shared" si="8"/>
      </c>
      <c r="K183" s="64">
        <v>0</v>
      </c>
      <c r="L183" s="67">
        <v>0</v>
      </c>
      <c r="M183" s="72" t="s">
        <v>223</v>
      </c>
      <c r="N183" s="69">
        <v>10</v>
      </c>
      <c r="O183" s="70"/>
      <c r="P183" s="69"/>
    </row>
    <row customHeight="true" ht="23.80952380952381" r="184">
      <c r="A184" s="62" t="s">
        <v>222</v>
      </c>
      <c r="B184" s="63" t="s">
        <v>178</v>
      </c>
      <c r="C184" s="64" t="s">
        <v>182</v>
      </c>
      <c r="D184" s="64">
        <v>4</v>
      </c>
      <c r="E184" s="64">
        <v>9</v>
      </c>
      <c r="F184" s="64">
        <v>12020.399999999998</v>
      </c>
      <c r="G184" s="64">
        <v>5512.639999999999</v>
      </c>
      <c r="H184" s="65">
        <f t="shared" si="2"/>
      </c>
      <c r="I184" s="66">
        <f t="shared" si="0"/>
      </c>
      <c r="J184" s="66">
        <f t="shared" si="8"/>
      </c>
      <c r="K184" s="64">
        <v>0</v>
      </c>
      <c r="L184" s="67">
        <v>0</v>
      </c>
      <c r="M184" s="72"/>
      <c r="N184" s="71"/>
      <c r="O184" s="71" t="s">
        <v>176</v>
      </c>
      <c r="P184" s="69">
        <v>10</v>
      </c>
    </row>
    <row customHeight="true" ht="23.80952380952381" r="185">
      <c r="A185" s="73" t="s">
        <v>222</v>
      </c>
      <c r="B185" s="74"/>
      <c r="C185" s="74"/>
      <c r="D185" s="75">
        <f>SUM(D180:D184)</f>
      </c>
      <c r="E185" s="75">
        <f>SUM(E180:E184)</f>
      </c>
      <c r="F185" s="76">
        <f>SUM(F180:F184)</f>
      </c>
      <c r="G185" s="75">
        <f>SUM(G180:G184)</f>
      </c>
      <c r="H185" s="77">
        <f t="shared" si="2"/>
      </c>
      <c r="I185" s="77">
        <f t="shared" si="0"/>
      </c>
      <c r="J185" s="77">
        <f t="shared" si="8"/>
      </c>
      <c r="K185" s="75">
        <f>SUM(K180:K184)</f>
      </c>
      <c r="L185" s="78">
        <f>SUM(L180:L184)</f>
      </c>
      <c r="M185" s="79"/>
      <c r="N185" s="80">
        <f>SUM(N180:N184)</f>
      </c>
      <c r="O185" s="81"/>
      <c r="P185" s="80">
        <f>SUM(P180:P184)</f>
      </c>
    </row>
    <row customHeight="true" ht="23.80952380952381" r="186">
      <c r="L186" s="84"/>
      <c r="M186" s="84"/>
    </row>
    <row customHeight="true" ht="23.80952380952381" r="187">
      <c r="G187" s="85"/>
      <c r="L187" s="84"/>
      <c r="M187" s="84"/>
    </row>
    <row customHeight="true" ht="23.80952380952381" r="188">
      <c r="G188" s="85"/>
      <c r="I188" s="85"/>
      <c r="L188" s="84"/>
      <c r="M188" s="84"/>
    </row>
    <row customHeight="true" ht="23.80952380952381" r="189">
      <c r="G189" s="85"/>
      <c r="I189" s="85"/>
      <c r="L189" s="84"/>
      <c r="M189" s="84"/>
    </row>
    <row customHeight="true" ht="23.80952380952381" r="190">
      <c r="G190" s="85"/>
      <c r="I190" s="85"/>
      <c r="J190" s="85"/>
      <c r="L190" s="84"/>
      <c r="M190" s="84"/>
    </row>
    <row customHeight="true" ht="23.80952380952381" r="191">
      <c r="G191" s="85"/>
      <c r="I191" s="85"/>
      <c r="J191" s="85"/>
      <c r="L191" s="84"/>
      <c r="M191" s="84"/>
    </row>
    <row customHeight="true" ht="23.80952380952381" r="192">
      <c r="G192" s="85"/>
      <c r="I192" s="85"/>
      <c r="J192" s="85"/>
      <c r="L192" s="84"/>
      <c r="M192" s="84"/>
    </row>
    <row customHeight="true" ht="23.80952380952381" r="193">
      <c r="I193" s="85"/>
      <c r="J193" s="85"/>
    </row>
    <row customHeight="true" ht="23.80952380952381" r="194">
      <c r="J194" s="85"/>
    </row>
    <row customHeight="true" ht="23.80952380952381" r="195">
      <c r="J195" s="85"/>
    </row>
    <row customHeight="true" ht="23.80952380952381" r="196"/>
    <row customHeight="true" ht="23.80952380952381" r="197"/>
    <row customHeight="true" ht="23.80952380952381" r="198">
      <c r="H198" s="86"/>
      <c r="K198" s="85"/>
    </row>
    <row customHeight="true" ht="23.80952380952381" r="199">
      <c r="H199" s="86"/>
    </row>
    <row customHeight="true" ht="23.80952380952381" r="200"/>
    <row customHeight="true" ht="23.80952380952381" r="201"/>
    <row customHeight="true" ht="23.80952380952381" r="202"/>
    <row customHeight="true" ht="23.80952380952381" r="203"/>
    <row customHeight="true" ht="23.80952380952381" r="204"/>
    <row customHeight="true" ht="23.80952380952381" r="205"/>
    <row customHeight="true" ht="23.80952380952381" r="206"/>
    <row customHeight="true" ht="23.80952380952381" r="207"/>
    <row customHeight="true" ht="23.80952380952381" r="208"/>
    <row customHeight="true" ht="23.80952380952381" r="209"/>
    <row customHeight="true" ht="23.80952380952381" r="210"/>
    <row customHeight="true" ht="23.80952380952381" r="211"/>
    <row customHeight="true" ht="23.80952380952381" r="212"/>
  </sheetData>
  <autoFilter ref="A1:P185"/>
  <dataValidations count="2">
    <dataValidation allowBlank="true" errorStyle="stop" showErrorMessage="true" sqref="B7:B11 B13:B17 B19:B23 B25:B29 B36:B40 B42:B46 B48:B52 B54:B58 B60:B64 B66:B70 B72:B76 B78:B82 B84:B88 B90:B94 B96:B100 B102:B106 B108:B112 B114:B118 B120:B124 B126:B130 B132:B136 B138:B142 B144:B148 B150:B154 B156:B160 B162:B166 B168:B172 B174:B178 B180:B184" type="list">
      <formula1>"刘慕涵,林育菁,栗敏纳,张晓薇,连贝贝,郝铭扬,李莹"</formula1>
    </dataValidation>
    <dataValidation allowBlank="true" errorStyle="stop" showErrorMessage="true" sqref="B2:B5 B31:B34" type="list">
      <formula1>"刘慕涵,林育菁,栗敏纳,张晓薇,连贝贝,郝铭扬"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" min="1" style="0" width="11.211267605633802"/>
  </cols>
  <sheetData>
    <row r="1">
      <c r="A1" s="87" t="s">
        <v>224</v>
      </c>
      <c r="B1" s="88" t="s">
        <v>225</v>
      </c>
      <c r="C1" s="88" t="s">
        <v>226</v>
      </c>
      <c r="D1" s="88" t="s">
        <v>227</v>
      </c>
      <c r="E1" s="88" t="s">
        <v>228</v>
      </c>
      <c r="F1" s="89" t="s">
        <v>229</v>
      </c>
      <c r="G1" s="89" t="s">
        <v>230</v>
      </c>
      <c r="H1" s="89" t="s">
        <v>231</v>
      </c>
      <c r="I1" s="89" t="s">
        <v>232</v>
      </c>
      <c r="J1" s="89" t="s">
        <v>233</v>
      </c>
      <c r="K1" s="88" t="s">
        <v>234</v>
      </c>
      <c r="L1" s="90" t="s">
        <v>235</v>
      </c>
      <c r="M1" s="90" t="s">
        <v>236</v>
      </c>
      <c r="N1" s="91" t="s">
        <v>237</v>
      </c>
      <c r="O1" s="91" t="s">
        <v>238</v>
      </c>
      <c r="P1" s="91" t="s">
        <v>239</v>
      </c>
    </row>
    <row hidden="true" r="2">
      <c r="A2" s="92" t="s">
        <v>240</v>
      </c>
      <c r="B2" s="93" t="s">
        <v>241</v>
      </c>
      <c r="C2" s="94" t="s">
        <v>242</v>
      </c>
      <c r="D2" s="94">
        <v>4</v>
      </c>
      <c r="E2" s="94">
        <v>15</v>
      </c>
      <c r="F2" s="94">
        <v>18699.6</v>
      </c>
      <c r="G2" s="94">
        <v>16452.629999999997</v>
      </c>
      <c r="H2" s="95">
        <f t="shared" ref="H2:H162" si="3">F2/G2</f>
      </c>
      <c r="I2" s="96">
        <f t="shared" ref="I2:I162" si="1">F2/E2</f>
      </c>
      <c r="J2" s="96">
        <f t="shared" ref="J2:J162" si="2">G2/E2</f>
      </c>
      <c r="K2" s="94">
        <v>5</v>
      </c>
      <c r="L2" s="97">
        <v>6998.4</v>
      </c>
      <c r="M2" s="98"/>
      <c r="N2" s="99"/>
      <c r="O2" s="100" t="s">
        <v>243</v>
      </c>
      <c r="P2" s="100">
        <v>10</v>
      </c>
    </row>
    <row hidden="true" r="3">
      <c r="A3" s="92" t="s">
        <v>240</v>
      </c>
      <c r="B3" s="93" t="s">
        <v>244</v>
      </c>
      <c r="C3" s="94" t="s">
        <v>245</v>
      </c>
      <c r="D3" s="94">
        <v>5</v>
      </c>
      <c r="E3" s="94">
        <v>33</v>
      </c>
      <c r="F3" s="94">
        <v>42283.2</v>
      </c>
      <c r="G3" s="94">
        <v>28875.48</v>
      </c>
      <c r="H3" s="95">
        <f t="shared" si="3"/>
      </c>
      <c r="I3" s="96">
        <f t="shared" si="1"/>
      </c>
      <c r="J3" s="96">
        <f t="shared" si="2"/>
      </c>
      <c r="K3" s="94">
        <v>9</v>
      </c>
      <c r="L3" s="97">
        <v>7060.799999999999</v>
      </c>
      <c r="M3" s="98" t="s">
        <v>246</v>
      </c>
      <c r="N3" s="99">
        <v>10</v>
      </c>
      <c r="O3" s="101"/>
      <c r="P3" s="101"/>
    </row>
    <row hidden="true" r="4">
      <c r="A4" s="92" t="s">
        <v>240</v>
      </c>
      <c r="B4" s="93" t="s">
        <v>247</v>
      </c>
      <c r="C4" s="94" t="s">
        <v>248</v>
      </c>
      <c r="D4" s="94">
        <v>3</v>
      </c>
      <c r="E4" s="94">
        <v>20</v>
      </c>
      <c r="F4" s="94">
        <v>32189.6</v>
      </c>
      <c r="G4" s="94">
        <v>21175.89</v>
      </c>
      <c r="H4" s="95">
        <f t="shared" si="3"/>
      </c>
      <c r="I4" s="96">
        <f t="shared" si="1"/>
      </c>
      <c r="J4" s="96">
        <f t="shared" si="2"/>
      </c>
      <c r="K4" s="94">
        <v>9</v>
      </c>
      <c r="L4" s="97">
        <v>12196.4</v>
      </c>
      <c r="M4" s="102"/>
      <c r="N4" s="99"/>
      <c r="O4" s="103"/>
      <c r="P4" s="99"/>
    </row>
    <row hidden="true" r="5">
      <c r="A5" s="92" t="s">
        <v>240</v>
      </c>
      <c r="B5" s="93" t="s">
        <v>249</v>
      </c>
      <c r="C5" s="94" t="s">
        <v>250</v>
      </c>
      <c r="D5" s="94">
        <v>4</v>
      </c>
      <c r="E5" s="94">
        <v>34</v>
      </c>
      <c r="F5" s="94">
        <v>43725.2</v>
      </c>
      <c r="G5" s="94">
        <v>28312.69</v>
      </c>
      <c r="H5" s="95">
        <f t="shared" si="3"/>
      </c>
      <c r="I5" s="96">
        <f t="shared" si="1"/>
      </c>
      <c r="J5" s="96">
        <f t="shared" si="2"/>
      </c>
      <c r="K5" s="94">
        <v>6</v>
      </c>
      <c r="L5" s="97">
        <v>7413.200000000001</v>
      </c>
      <c r="M5" s="102"/>
      <c r="N5" s="99"/>
      <c r="O5" s="103"/>
      <c r="P5" s="99"/>
    </row>
    <row hidden="true" r="6">
      <c r="A6" s="92" t="s">
        <v>240</v>
      </c>
      <c r="B6" s="100" t="s">
        <v>251</v>
      </c>
      <c r="C6" s="94" t="s">
        <v>252</v>
      </c>
      <c r="D6" s="94">
        <v>4</v>
      </c>
      <c r="E6" s="94">
        <v>19</v>
      </c>
      <c r="F6" s="94">
        <v>21410.400000000023</v>
      </c>
      <c r="G6" s="94">
        <v>27519.42</v>
      </c>
      <c r="H6" s="95">
        <f t="shared" si="3"/>
      </c>
      <c r="I6" s="96">
        <f t="shared" si="1"/>
      </c>
      <c r="J6" s="96">
        <f t="shared" si="2"/>
      </c>
      <c r="K6" s="94">
        <v>3</v>
      </c>
      <c r="L6" s="97">
        <v>3093.5999999999985</v>
      </c>
      <c r="M6" s="102" t="s">
        <v>253</v>
      </c>
      <c r="N6" s="100">
        <v>10</v>
      </c>
      <c r="O6" s="103" t="s">
        <v>254</v>
      </c>
      <c r="P6" s="99">
        <v>10</v>
      </c>
    </row>
    <row r="7">
      <c r="A7" s="104" t="s">
        <v>240</v>
      </c>
      <c r="B7" s="105"/>
      <c r="C7" s="105"/>
      <c r="D7" s="106">
        <f>SUM(D2:D6)</f>
      </c>
      <c r="E7" s="106">
        <f>SUM(E2:E6)</f>
      </c>
      <c r="F7" s="107">
        <f>SUM(F2:F6)</f>
      </c>
      <c r="G7" s="106">
        <f>SUM(G2:G6)</f>
      </c>
      <c r="H7" s="108">
        <f t="shared" si="3"/>
      </c>
      <c r="I7" s="108">
        <f t="shared" si="1"/>
      </c>
      <c r="J7" s="108">
        <f t="shared" si="2"/>
      </c>
      <c r="K7" s="106">
        <f>SUM(K2:K6)</f>
      </c>
      <c r="L7" s="109">
        <f>SUM(L2:L6)</f>
      </c>
      <c r="M7" s="110"/>
      <c r="N7" s="111">
        <f>SUM(N2:N6)</f>
      </c>
      <c r="O7" s="112"/>
      <c r="P7" s="111">
        <f>SUM(P2:P6)</f>
      </c>
    </row>
    <row hidden="true" r="8">
      <c r="A8" s="92" t="s">
        <v>255</v>
      </c>
      <c r="B8" s="93" t="s">
        <v>244</v>
      </c>
      <c r="C8" s="94" t="s">
        <v>242</v>
      </c>
      <c r="D8" s="94">
        <v>4</v>
      </c>
      <c r="E8" s="94">
        <v>19</v>
      </c>
      <c r="F8" s="94">
        <v>22575</v>
      </c>
      <c r="G8" s="94">
        <v>20477.32</v>
      </c>
      <c r="H8" s="95">
        <f t="shared" si="3"/>
      </c>
      <c r="I8" s="96">
        <f t="shared" si="1"/>
      </c>
      <c r="J8" s="96">
        <f t="shared" si="2"/>
      </c>
      <c r="K8" s="94">
        <v>6</v>
      </c>
      <c r="L8" s="97">
        <v>7403.999999999999</v>
      </c>
      <c r="M8" s="98"/>
      <c r="N8" s="99"/>
      <c r="O8" s="100" t="s">
        <v>243</v>
      </c>
      <c r="P8" s="100">
        <v>10</v>
      </c>
    </row>
    <row hidden="true" r="9">
      <c r="A9" s="92" t="s">
        <v>255</v>
      </c>
      <c r="B9" s="93" t="s">
        <v>249</v>
      </c>
      <c r="C9" s="94" t="s">
        <v>245</v>
      </c>
      <c r="D9" s="94">
        <v>5</v>
      </c>
      <c r="E9" s="94">
        <v>27</v>
      </c>
      <c r="F9" s="94">
        <v>37294.799999999996</v>
      </c>
      <c r="G9" s="94">
        <v>22746.97</v>
      </c>
      <c r="H9" s="95">
        <f t="shared" si="3"/>
      </c>
      <c r="I9" s="96">
        <f t="shared" si="1"/>
      </c>
      <c r="J9" s="96">
        <f t="shared" si="2"/>
      </c>
      <c r="K9" s="94">
        <v>9</v>
      </c>
      <c r="L9" s="97">
        <v>8665.199999999997</v>
      </c>
      <c r="M9" s="98" t="s">
        <v>246</v>
      </c>
      <c r="N9" s="99">
        <v>10</v>
      </c>
      <c r="O9" s="101"/>
      <c r="P9" s="101"/>
    </row>
    <row hidden="true" r="10">
      <c r="A10" s="92" t="s">
        <v>255</v>
      </c>
      <c r="B10" s="93" t="s">
        <v>247</v>
      </c>
      <c r="C10" s="94" t="s">
        <v>248</v>
      </c>
      <c r="D10" s="94">
        <v>3</v>
      </c>
      <c r="E10" s="94">
        <v>26</v>
      </c>
      <c r="F10" s="94">
        <v>32883.59999999999</v>
      </c>
      <c r="G10" s="94">
        <v>18951.370000000003</v>
      </c>
      <c r="H10" s="95">
        <f t="shared" si="3"/>
      </c>
      <c r="I10" s="96">
        <f t="shared" si="1"/>
      </c>
      <c r="J10" s="96">
        <f t="shared" si="2"/>
      </c>
      <c r="K10" s="94">
        <v>6</v>
      </c>
      <c r="L10" s="97">
        <v>6504</v>
      </c>
      <c r="M10" s="102"/>
      <c r="N10" s="99"/>
      <c r="O10" s="103"/>
      <c r="P10" s="99"/>
    </row>
    <row hidden="true" r="11">
      <c r="A11" s="92" t="s">
        <v>255</v>
      </c>
      <c r="B11" s="93" t="s">
        <v>251</v>
      </c>
      <c r="C11" s="94" t="s">
        <v>250</v>
      </c>
      <c r="D11" s="94">
        <v>4</v>
      </c>
      <c r="E11" s="94">
        <v>28</v>
      </c>
      <c r="F11" s="94">
        <v>26232.000000000015</v>
      </c>
      <c r="G11" s="94">
        <v>24654.770000000004</v>
      </c>
      <c r="H11" s="95">
        <f t="shared" si="3"/>
      </c>
      <c r="I11" s="96">
        <f t="shared" si="1"/>
      </c>
      <c r="J11" s="96">
        <f t="shared" si="2"/>
      </c>
      <c r="K11" s="94">
        <v>2</v>
      </c>
      <c r="L11" s="97">
        <v>2690.4000000000015</v>
      </c>
      <c r="M11" s="102"/>
      <c r="N11" s="99"/>
      <c r="O11" s="103"/>
      <c r="P11" s="99"/>
    </row>
    <row hidden="true" r="12">
      <c r="A12" s="92" t="s">
        <v>255</v>
      </c>
      <c r="B12" s="100" t="s">
        <v>241</v>
      </c>
      <c r="C12" s="94" t="s">
        <v>252</v>
      </c>
      <c r="D12" s="94">
        <v>4</v>
      </c>
      <c r="E12" s="94">
        <v>13</v>
      </c>
      <c r="F12" s="94">
        <v>19449.59999999999</v>
      </c>
      <c r="G12" s="94">
        <v>17078.74</v>
      </c>
      <c r="H12" s="95">
        <f t="shared" si="3"/>
      </c>
      <c r="I12" s="96">
        <f t="shared" si="1"/>
      </c>
      <c r="J12" s="96">
        <f t="shared" si="2"/>
      </c>
      <c r="K12" s="94">
        <v>1</v>
      </c>
      <c r="L12" s="97">
        <v>326.40000000000146</v>
      </c>
      <c r="M12" s="102" t="s">
        <v>253</v>
      </c>
      <c r="N12" s="100">
        <v>10</v>
      </c>
      <c r="O12" s="103" t="s">
        <v>254</v>
      </c>
      <c r="P12" s="99">
        <v>10</v>
      </c>
    </row>
    <row r="13">
      <c r="A13" s="104" t="s">
        <v>255</v>
      </c>
      <c r="B13" s="105"/>
      <c r="C13" s="105"/>
      <c r="D13" s="106">
        <f>SUM(D8:D12)</f>
      </c>
      <c r="E13" s="106">
        <f>SUM(E8:E12)</f>
      </c>
      <c r="F13" s="107">
        <f>SUM(F8:F12)</f>
      </c>
      <c r="G13" s="106">
        <f>SUM(G8:G12)</f>
      </c>
      <c r="H13" s="108">
        <f t="shared" si="3"/>
      </c>
      <c r="I13" s="108">
        <f t="shared" si="1"/>
      </c>
      <c r="J13" s="108">
        <f t="shared" si="2"/>
      </c>
      <c r="K13" s="106">
        <f>SUM(K8:K12)</f>
      </c>
      <c r="L13" s="109">
        <f>SUM(L8:L12)</f>
      </c>
      <c r="M13" s="110"/>
      <c r="N13" s="111">
        <f>SUM(N8:N12)</f>
      </c>
      <c r="O13" s="112"/>
      <c r="P13" s="111">
        <f>SUM(P8:P12)</f>
      </c>
    </row>
    <row hidden="true" r="14">
      <c r="A14" s="92" t="s">
        <v>256</v>
      </c>
      <c r="B14" s="93" t="s">
        <v>244</v>
      </c>
      <c r="C14" s="94" t="s">
        <v>242</v>
      </c>
      <c r="D14" s="94">
        <v>4</v>
      </c>
      <c r="E14" s="94">
        <v>17</v>
      </c>
      <c r="F14" s="94">
        <v>26629.2</v>
      </c>
      <c r="G14" s="94">
        <v>18299.62</v>
      </c>
      <c r="H14" s="95">
        <f t="shared" si="3"/>
      </c>
      <c r="I14" s="96">
        <f t="shared" si="1"/>
      </c>
      <c r="J14" s="96">
        <f t="shared" si="2"/>
      </c>
      <c r="K14" s="94">
        <v>6</v>
      </c>
      <c r="L14" s="97">
        <v>7260</v>
      </c>
      <c r="M14" s="98"/>
      <c r="N14" s="99"/>
      <c r="O14" s="100" t="s">
        <v>243</v>
      </c>
      <c r="P14" s="100">
        <v>10</v>
      </c>
    </row>
    <row hidden="true" r="15">
      <c r="A15" s="92" t="s">
        <v>256</v>
      </c>
      <c r="B15" s="93" t="s">
        <v>249</v>
      </c>
      <c r="C15" s="94" t="s">
        <v>257</v>
      </c>
      <c r="D15" s="94">
        <v>4</v>
      </c>
      <c r="E15" s="94">
        <v>14</v>
      </c>
      <c r="F15" s="94">
        <v>16041.6</v>
      </c>
      <c r="G15" s="94">
        <v>19213.72</v>
      </c>
      <c r="H15" s="95">
        <f t="shared" si="3"/>
      </c>
      <c r="I15" s="96">
        <f t="shared" si="1"/>
      </c>
      <c r="J15" s="96">
        <f t="shared" si="2"/>
      </c>
      <c r="K15" s="94">
        <v>4</v>
      </c>
      <c r="L15" s="97">
        <v>4514.4</v>
      </c>
      <c r="M15" s="98" t="s">
        <v>246</v>
      </c>
      <c r="N15" s="99">
        <v>10</v>
      </c>
      <c r="O15" s="101"/>
      <c r="P15" s="101"/>
    </row>
    <row hidden="true" r="16">
      <c r="A16" s="92" t="s">
        <v>256</v>
      </c>
      <c r="B16" s="93" t="s">
        <v>247</v>
      </c>
      <c r="C16" s="94" t="s">
        <v>258</v>
      </c>
      <c r="D16" s="94">
        <v>4</v>
      </c>
      <c r="E16" s="94">
        <v>18</v>
      </c>
      <c r="F16" s="94">
        <v>25334.199999999997</v>
      </c>
      <c r="G16" s="94">
        <v>19287.719999999998</v>
      </c>
      <c r="H16" s="95">
        <f t="shared" si="3"/>
      </c>
      <c r="I16" s="96">
        <f t="shared" si="1"/>
      </c>
      <c r="J16" s="96">
        <f t="shared" si="2"/>
      </c>
      <c r="K16" s="94">
        <v>6</v>
      </c>
      <c r="L16" s="97">
        <v>6292.800000000001</v>
      </c>
      <c r="M16" s="102"/>
      <c r="N16" s="99"/>
      <c r="O16" s="103"/>
      <c r="P16" s="99"/>
    </row>
    <row hidden="true" r="17">
      <c r="A17" s="92" t="s">
        <v>256</v>
      </c>
      <c r="B17" s="93" t="s">
        <v>251</v>
      </c>
      <c r="C17" s="94" t="s">
        <v>250</v>
      </c>
      <c r="D17" s="94">
        <v>4</v>
      </c>
      <c r="E17" s="94">
        <v>16</v>
      </c>
      <c r="F17" s="94">
        <v>23386.800000000003</v>
      </c>
      <c r="G17" s="94">
        <v>17394.769999999997</v>
      </c>
      <c r="H17" s="95">
        <f t="shared" si="3"/>
      </c>
      <c r="I17" s="96">
        <f t="shared" si="1"/>
      </c>
      <c r="J17" s="96">
        <f t="shared" si="2"/>
      </c>
      <c r="K17" s="94">
        <v>3</v>
      </c>
      <c r="L17" s="97">
        <v>6506.399999999998</v>
      </c>
      <c r="M17" s="102"/>
      <c r="N17" s="99"/>
      <c r="O17" s="103"/>
      <c r="P17" s="99"/>
    </row>
    <row hidden="true" r="18">
      <c r="A18" s="92" t="s">
        <v>256</v>
      </c>
      <c r="B18" s="100" t="s">
        <v>241</v>
      </c>
      <c r="C18" s="94" t="s">
        <v>252</v>
      </c>
      <c r="D18" s="94">
        <v>4</v>
      </c>
      <c r="E18" s="94">
        <v>14</v>
      </c>
      <c r="F18" s="94">
        <v>15596.399999999994</v>
      </c>
      <c r="G18" s="94">
        <v>14742.200000000003</v>
      </c>
      <c r="H18" s="95">
        <f t="shared" si="3"/>
      </c>
      <c r="I18" s="96">
        <f t="shared" si="1"/>
      </c>
      <c r="J18" s="96">
        <f t="shared" si="2"/>
      </c>
      <c r="K18" s="94">
        <v>2</v>
      </c>
      <c r="L18" s="97">
        <v>2148</v>
      </c>
      <c r="M18" s="102" t="s">
        <v>253</v>
      </c>
      <c r="N18" s="100">
        <v>10</v>
      </c>
      <c r="O18" s="103" t="s">
        <v>254</v>
      </c>
      <c r="P18" s="99">
        <v>10</v>
      </c>
    </row>
    <row r="19">
      <c r="A19" s="104" t="s">
        <v>256</v>
      </c>
      <c r="B19" s="105"/>
      <c r="C19" s="105"/>
      <c r="D19" s="106">
        <f>SUM(D14:D18)</f>
      </c>
      <c r="E19" s="106">
        <f>SUM(E14:E18)</f>
      </c>
      <c r="F19" s="107">
        <f>SUM(F14:F18)</f>
      </c>
      <c r="G19" s="106">
        <f>SUM(G14:G18)</f>
      </c>
      <c r="H19" s="108">
        <f t="shared" si="3"/>
      </c>
      <c r="I19" s="108">
        <f t="shared" si="1"/>
      </c>
      <c r="J19" s="108">
        <f t="shared" si="2"/>
      </c>
      <c r="K19" s="106">
        <f>SUM(K14:K18)</f>
      </c>
      <c r="L19" s="109">
        <f>SUM(L14:L18)</f>
      </c>
      <c r="M19" s="110"/>
      <c r="N19" s="111">
        <f>SUM(N14:N18)</f>
      </c>
      <c r="O19" s="112"/>
      <c r="P19" s="111">
        <f>SUM(P14:P18)</f>
      </c>
    </row>
    <row hidden="true" r="20">
      <c r="A20" s="92" t="s">
        <v>259</v>
      </c>
      <c r="B20" s="93" t="s">
        <v>244</v>
      </c>
      <c r="C20" s="94" t="s">
        <v>242</v>
      </c>
      <c r="D20" s="94">
        <v>4</v>
      </c>
      <c r="E20" s="94">
        <v>29</v>
      </c>
      <c r="F20" s="94">
        <v>48402</v>
      </c>
      <c r="G20" s="94">
        <v>24579.18</v>
      </c>
      <c r="H20" s="95">
        <f t="shared" si="3"/>
      </c>
      <c r="I20" s="96">
        <f t="shared" si="1"/>
      </c>
      <c r="J20" s="96">
        <f t="shared" si="2"/>
      </c>
      <c r="K20" s="94">
        <v>9</v>
      </c>
      <c r="L20" s="97">
        <v>11797.2</v>
      </c>
      <c r="M20" s="98"/>
      <c r="N20" s="99"/>
      <c r="O20" s="100" t="s">
        <v>243</v>
      </c>
      <c r="P20" s="100">
        <v>10</v>
      </c>
    </row>
    <row hidden="true" r="21">
      <c r="A21" s="92" t="s">
        <v>259</v>
      </c>
      <c r="B21" s="93" t="s">
        <v>247</v>
      </c>
      <c r="C21" s="94" t="s">
        <v>257</v>
      </c>
      <c r="D21" s="94">
        <v>4</v>
      </c>
      <c r="E21" s="94">
        <v>32</v>
      </c>
      <c r="F21" s="94">
        <v>34553.600000000006</v>
      </c>
      <c r="G21" s="94">
        <v>28487.120000000003</v>
      </c>
      <c r="H21" s="95">
        <f t="shared" si="3"/>
      </c>
      <c r="I21" s="96">
        <f t="shared" si="1"/>
      </c>
      <c r="J21" s="96">
        <f t="shared" si="2"/>
      </c>
      <c r="K21" s="94">
        <v>13</v>
      </c>
      <c r="L21" s="97">
        <v>15034.399999999998</v>
      </c>
      <c r="M21" s="98" t="s">
        <v>246</v>
      </c>
      <c r="N21" s="99">
        <v>10</v>
      </c>
      <c r="O21" s="101"/>
      <c r="P21" s="101"/>
    </row>
    <row hidden="true" r="22">
      <c r="A22" s="92" t="s">
        <v>259</v>
      </c>
      <c r="B22" s="93" t="s">
        <v>249</v>
      </c>
      <c r="C22" s="94" t="s">
        <v>258</v>
      </c>
      <c r="D22" s="94">
        <v>4</v>
      </c>
      <c r="E22" s="94">
        <v>26</v>
      </c>
      <c r="F22" s="94">
        <v>44113.2</v>
      </c>
      <c r="G22" s="94">
        <v>31639.76</v>
      </c>
      <c r="H22" s="95">
        <f t="shared" si="3"/>
      </c>
      <c r="I22" s="96">
        <f t="shared" si="1"/>
      </c>
      <c r="J22" s="96">
        <f t="shared" si="2"/>
      </c>
      <c r="K22" s="94">
        <v>8</v>
      </c>
      <c r="L22" s="97">
        <v>10550.399999999998</v>
      </c>
      <c r="M22" s="102"/>
      <c r="N22" s="99"/>
      <c r="O22" s="103"/>
      <c r="P22" s="99"/>
    </row>
    <row hidden="true" r="23">
      <c r="A23" s="92" t="s">
        <v>259</v>
      </c>
      <c r="B23" s="93" t="s">
        <v>241</v>
      </c>
      <c r="C23" s="94" t="s">
        <v>250</v>
      </c>
      <c r="D23" s="94">
        <v>4</v>
      </c>
      <c r="E23" s="94">
        <v>15</v>
      </c>
      <c r="F23" s="94">
        <v>17996.40000000001</v>
      </c>
      <c r="G23" s="94">
        <v>18800.62</v>
      </c>
      <c r="H23" s="95">
        <f t="shared" si="3"/>
      </c>
      <c r="I23" s="96">
        <f t="shared" si="1"/>
      </c>
      <c r="J23" s="96">
        <f t="shared" si="2"/>
      </c>
      <c r="K23" s="94">
        <v>6</v>
      </c>
      <c r="L23" s="97">
        <v>6399.600000000006</v>
      </c>
      <c r="M23" s="102"/>
      <c r="N23" s="99"/>
      <c r="O23" s="103"/>
      <c r="P23" s="99"/>
    </row>
    <row hidden="true" r="24">
      <c r="A24" s="92" t="s">
        <v>259</v>
      </c>
      <c r="B24" s="100" t="s">
        <v>251</v>
      </c>
      <c r="C24" s="94" t="s">
        <v>252</v>
      </c>
      <c r="D24" s="94">
        <v>4</v>
      </c>
      <c r="E24" s="94">
        <v>19</v>
      </c>
      <c r="F24" s="94">
        <v>28924.79999999999</v>
      </c>
      <c r="G24" s="94">
        <v>18482.75</v>
      </c>
      <c r="H24" s="95">
        <f t="shared" si="3"/>
      </c>
      <c r="I24" s="96">
        <f t="shared" si="1"/>
      </c>
      <c r="J24" s="96">
        <f t="shared" si="2"/>
      </c>
      <c r="K24" s="94">
        <v>4</v>
      </c>
      <c r="L24" s="97">
        <v>6081.599999999991</v>
      </c>
      <c r="M24" s="102" t="s">
        <v>253</v>
      </c>
      <c r="N24" s="100">
        <v>10</v>
      </c>
      <c r="O24" s="103" t="s">
        <v>254</v>
      </c>
      <c r="P24" s="99">
        <v>10</v>
      </c>
    </row>
    <row r="25">
      <c r="A25" s="104" t="s">
        <v>259</v>
      </c>
      <c r="B25" s="105"/>
      <c r="C25" s="105"/>
      <c r="D25" s="106">
        <f>SUM(D20:D24)</f>
      </c>
      <c r="E25" s="106">
        <f>SUM(E20:E24)</f>
      </c>
      <c r="F25" s="107">
        <f>SUM(F20:F24)</f>
      </c>
      <c r="G25" s="106">
        <f>SUM(G20:G24)</f>
      </c>
      <c r="H25" s="108">
        <f t="shared" si="3"/>
      </c>
      <c r="I25" s="108">
        <f t="shared" si="1"/>
      </c>
      <c r="J25" s="108">
        <f t="shared" si="2"/>
      </c>
      <c r="K25" s="106">
        <f>SUM(K20:K24)</f>
      </c>
      <c r="L25" s="109">
        <f>SUM(L20:L24)</f>
      </c>
      <c r="M25" s="110"/>
      <c r="N25" s="111">
        <f>SUM(N20:N24)</f>
      </c>
      <c r="O25" s="112"/>
      <c r="P25" s="111">
        <f>SUM(P20:P24)</f>
      </c>
    </row>
    <row hidden="true" r="26">
      <c r="A26" s="92" t="s">
        <v>260</v>
      </c>
      <c r="B26" s="93" t="s">
        <v>249</v>
      </c>
      <c r="C26" s="94" t="s">
        <v>242</v>
      </c>
      <c r="D26" s="94">
        <v>4</v>
      </c>
      <c r="E26" s="94">
        <v>13</v>
      </c>
      <c r="F26" s="94">
        <v>21223.8</v>
      </c>
      <c r="G26" s="94">
        <v>15920.529999999999</v>
      </c>
      <c r="H26" s="95">
        <f t="shared" si="3"/>
      </c>
      <c r="I26" s="96">
        <f t="shared" si="1"/>
      </c>
      <c r="J26" s="96">
        <f t="shared" si="2"/>
      </c>
      <c r="K26" s="94">
        <v>4</v>
      </c>
      <c r="L26" s="97">
        <v>8693.4</v>
      </c>
      <c r="M26" s="98"/>
      <c r="N26" s="99"/>
      <c r="O26" s="100" t="s">
        <v>243</v>
      </c>
      <c r="P26" s="100">
        <v>10</v>
      </c>
    </row>
    <row hidden="true" r="27">
      <c r="A27" s="92" t="s">
        <v>260</v>
      </c>
      <c r="B27" s="93" t="s">
        <v>247</v>
      </c>
      <c r="C27" s="94" t="s">
        <v>257</v>
      </c>
      <c r="D27" s="94">
        <v>4</v>
      </c>
      <c r="E27" s="94">
        <v>25</v>
      </c>
      <c r="F27" s="94">
        <v>32052</v>
      </c>
      <c r="G27" s="94">
        <v>18946.82</v>
      </c>
      <c r="H27" s="95">
        <f t="shared" si="3"/>
      </c>
      <c r="I27" s="96">
        <f t="shared" si="1"/>
      </c>
      <c r="J27" s="96">
        <f t="shared" si="2"/>
      </c>
      <c r="K27" s="94">
        <v>5</v>
      </c>
      <c r="L27" s="97">
        <v>4168.8</v>
      </c>
      <c r="M27" s="98" t="s">
        <v>246</v>
      </c>
      <c r="N27" s="99">
        <v>10</v>
      </c>
      <c r="O27" s="101"/>
      <c r="P27" s="101"/>
    </row>
    <row hidden="true" r="28">
      <c r="A28" s="92" t="s">
        <v>260</v>
      </c>
      <c r="B28" s="93" t="s">
        <v>251</v>
      </c>
      <c r="C28" s="94" t="s">
        <v>258</v>
      </c>
      <c r="D28" s="94">
        <v>4</v>
      </c>
      <c r="E28" s="94">
        <v>11</v>
      </c>
      <c r="F28" s="94">
        <v>14443.199999999993</v>
      </c>
      <c r="G28" s="94">
        <v>20108.33</v>
      </c>
      <c r="H28" s="95">
        <f t="shared" si="3"/>
      </c>
      <c r="I28" s="96">
        <f t="shared" si="1"/>
      </c>
      <c r="J28" s="96">
        <f t="shared" si="2"/>
      </c>
      <c r="K28" s="94">
        <v>3</v>
      </c>
      <c r="L28" s="97">
        <v>4862.4000000000015</v>
      </c>
      <c r="M28" s="102"/>
      <c r="N28" s="99"/>
      <c r="O28" s="103"/>
      <c r="P28" s="99"/>
    </row>
    <row hidden="true" r="29">
      <c r="A29" s="92" t="s">
        <v>260</v>
      </c>
      <c r="B29" s="93" t="s">
        <v>241</v>
      </c>
      <c r="C29" s="94" t="s">
        <v>250</v>
      </c>
      <c r="D29" s="94">
        <v>4</v>
      </c>
      <c r="E29" s="94">
        <v>10</v>
      </c>
      <c r="F29" s="94">
        <v>13206</v>
      </c>
      <c r="G29" s="94">
        <v>12739.010000000002</v>
      </c>
      <c r="H29" s="95">
        <f t="shared" si="3"/>
      </c>
      <c r="I29" s="96">
        <f t="shared" si="1"/>
      </c>
      <c r="J29" s="96">
        <f t="shared" si="2"/>
      </c>
      <c r="K29" s="94">
        <v>3</v>
      </c>
      <c r="L29" s="97">
        <v>3465.5999999999985</v>
      </c>
      <c r="M29" s="102"/>
      <c r="N29" s="99"/>
      <c r="O29" s="103"/>
      <c r="P29" s="99"/>
    </row>
    <row hidden="true" r="30">
      <c r="A30" s="92" t="s">
        <v>260</v>
      </c>
      <c r="B30" s="100" t="s">
        <v>244</v>
      </c>
      <c r="C30" s="94" t="s">
        <v>252</v>
      </c>
      <c r="D30" s="94">
        <v>4</v>
      </c>
      <c r="E30" s="94">
        <v>12</v>
      </c>
      <c r="F30" s="94">
        <v>21972</v>
      </c>
      <c r="G30" s="94">
        <v>14321.08</v>
      </c>
      <c r="H30" s="95">
        <f t="shared" si="3"/>
      </c>
      <c r="I30" s="96">
        <f t="shared" si="1"/>
      </c>
      <c r="J30" s="96">
        <f t="shared" si="2"/>
      </c>
      <c r="K30" s="94">
        <v>0</v>
      </c>
      <c r="L30" s="97">
        <v>0</v>
      </c>
      <c r="M30" s="102" t="s">
        <v>253</v>
      </c>
      <c r="N30" s="100">
        <v>10</v>
      </c>
      <c r="O30" s="103" t="s">
        <v>254</v>
      </c>
      <c r="P30" s="99">
        <v>10</v>
      </c>
    </row>
    <row r="31">
      <c r="A31" s="104" t="s">
        <v>260</v>
      </c>
      <c r="B31" s="105"/>
      <c r="C31" s="105"/>
      <c r="D31" s="106">
        <f>SUM(D26:D30)</f>
      </c>
      <c r="E31" s="106">
        <f>SUM(E26:E30)</f>
      </c>
      <c r="F31" s="107">
        <f>SUM(F26:F30)</f>
      </c>
      <c r="G31" s="106">
        <f>SUM(G26:G30)</f>
      </c>
      <c r="H31" s="108">
        <f t="shared" si="3"/>
      </c>
      <c r="I31" s="108">
        <f t="shared" si="1"/>
      </c>
      <c r="J31" s="108">
        <f t="shared" si="2"/>
      </c>
      <c r="K31" s="106">
        <f>SUM(K26:K30)</f>
      </c>
      <c r="L31" s="109">
        <f>SUM(L26:L30)</f>
      </c>
      <c r="M31" s="110"/>
      <c r="N31" s="111">
        <f>SUM(N26:N30)</f>
      </c>
      <c r="O31" s="112"/>
      <c r="P31" s="111">
        <f>SUM(P26:P30)</f>
      </c>
    </row>
    <row hidden="true" r="32">
      <c r="A32" s="92" t="s">
        <v>261</v>
      </c>
      <c r="B32" s="93" t="s">
        <v>251</v>
      </c>
      <c r="C32" s="94" t="s">
        <v>242</v>
      </c>
      <c r="D32" s="94">
        <v>4</v>
      </c>
      <c r="E32" s="94">
        <v>4</v>
      </c>
      <c r="F32" s="94">
        <v>5602.8</v>
      </c>
      <c r="G32" s="94">
        <v>10743.900000000001</v>
      </c>
      <c r="H32" s="95">
        <f t="shared" si="3"/>
      </c>
      <c r="I32" s="96">
        <f t="shared" si="1"/>
      </c>
      <c r="J32" s="96">
        <f t="shared" si="2"/>
      </c>
      <c r="K32" s="94">
        <v>0</v>
      </c>
      <c r="L32" s="97">
        <v>0</v>
      </c>
      <c r="M32" s="98"/>
      <c r="N32" s="99"/>
      <c r="O32" s="100" t="s">
        <v>243</v>
      </c>
      <c r="P32" s="100">
        <v>10</v>
      </c>
    </row>
    <row hidden="true" r="33">
      <c r="A33" s="92" t="s">
        <v>261</v>
      </c>
      <c r="B33" s="93" t="s">
        <v>241</v>
      </c>
      <c r="C33" s="94" t="s">
        <v>257</v>
      </c>
      <c r="D33" s="94">
        <v>4</v>
      </c>
      <c r="E33" s="94">
        <v>5</v>
      </c>
      <c r="F33" s="94">
        <v>5316</v>
      </c>
      <c r="G33" s="94">
        <v>9150.210000000001</v>
      </c>
      <c r="H33" s="95">
        <f t="shared" si="3"/>
      </c>
      <c r="I33" s="96">
        <f t="shared" si="1"/>
      </c>
      <c r="J33" s="96">
        <f t="shared" si="2"/>
      </c>
      <c r="K33" s="94">
        <v>3</v>
      </c>
      <c r="L33" s="97">
        <v>2287.2</v>
      </c>
      <c r="M33" s="98" t="s">
        <v>246</v>
      </c>
      <c r="N33" s="99">
        <v>10</v>
      </c>
      <c r="O33" s="101"/>
      <c r="P33" s="101"/>
    </row>
    <row hidden="true" r="34">
      <c r="A34" s="92" t="s">
        <v>261</v>
      </c>
      <c r="B34" s="93" t="s">
        <v>244</v>
      </c>
      <c r="C34" s="94" t="s">
        <v>258</v>
      </c>
      <c r="D34" s="94">
        <v>4</v>
      </c>
      <c r="E34" s="94">
        <v>12</v>
      </c>
      <c r="F34" s="94">
        <v>20771</v>
      </c>
      <c r="G34" s="94">
        <v>10723.32</v>
      </c>
      <c r="H34" s="95">
        <f t="shared" si="3"/>
      </c>
      <c r="I34" s="96">
        <f t="shared" si="1"/>
      </c>
      <c r="J34" s="96">
        <f t="shared" si="2"/>
      </c>
      <c r="K34" s="94">
        <v>4</v>
      </c>
      <c r="L34" s="97">
        <v>6081.599999999999</v>
      </c>
      <c r="M34" s="102"/>
      <c r="N34" s="99"/>
      <c r="O34" s="103"/>
      <c r="P34" s="99"/>
    </row>
    <row hidden="true" r="35">
      <c r="A35" s="92" t="s">
        <v>261</v>
      </c>
      <c r="B35" s="93" t="s">
        <v>247</v>
      </c>
      <c r="C35" s="94" t="s">
        <v>250</v>
      </c>
      <c r="D35" s="94">
        <v>4</v>
      </c>
      <c r="E35" s="94">
        <v>22</v>
      </c>
      <c r="F35" s="94">
        <v>24114.000000000004</v>
      </c>
      <c r="G35" s="94">
        <v>15821.99</v>
      </c>
      <c r="H35" s="95">
        <f t="shared" si="3"/>
      </c>
      <c r="I35" s="96">
        <f t="shared" si="1"/>
      </c>
      <c r="J35" s="96">
        <f t="shared" si="2"/>
      </c>
      <c r="K35" s="94">
        <v>4</v>
      </c>
      <c r="L35" s="97">
        <v>5637.599999999999</v>
      </c>
      <c r="M35" s="102"/>
      <c r="N35" s="99"/>
      <c r="O35" s="103"/>
      <c r="P35" s="99"/>
    </row>
    <row hidden="true" r="36">
      <c r="A36" s="92" t="s">
        <v>261</v>
      </c>
      <c r="B36" s="100" t="s">
        <v>249</v>
      </c>
      <c r="C36" s="94" t="s">
        <v>252</v>
      </c>
      <c r="D36" s="94">
        <v>4</v>
      </c>
      <c r="E36" s="94">
        <v>12</v>
      </c>
      <c r="F36" s="94">
        <v>17096.399999999994</v>
      </c>
      <c r="G36" s="94">
        <v>14616.630000000001</v>
      </c>
      <c r="H36" s="95">
        <f t="shared" si="3"/>
      </c>
      <c r="I36" s="96">
        <f t="shared" si="1"/>
      </c>
      <c r="J36" s="96">
        <f t="shared" si="2"/>
      </c>
      <c r="K36" s="94">
        <v>3</v>
      </c>
      <c r="L36" s="97">
        <v>5404.800000000003</v>
      </c>
      <c r="M36" s="102" t="s">
        <v>253</v>
      </c>
      <c r="N36" s="100">
        <v>10</v>
      </c>
      <c r="O36" s="103" t="s">
        <v>254</v>
      </c>
      <c r="P36" s="99">
        <v>10</v>
      </c>
    </row>
    <row r="37">
      <c r="A37" s="104" t="s">
        <v>261</v>
      </c>
      <c r="B37" s="105"/>
      <c r="C37" s="105"/>
      <c r="D37" s="106">
        <f>SUM(D32:D36)</f>
      </c>
      <c r="E37" s="106">
        <f>SUM(E32:E36)</f>
      </c>
      <c r="F37" s="107">
        <f>SUM(F32:F36)</f>
      </c>
      <c r="G37" s="106">
        <f>SUM(G32:G36)</f>
      </c>
      <c r="H37" s="108">
        <f t="shared" si="3"/>
      </c>
      <c r="I37" s="108">
        <f t="shared" si="1"/>
      </c>
      <c r="J37" s="108">
        <f t="shared" si="2"/>
      </c>
      <c r="K37" s="106">
        <f>SUM(K32:K36)</f>
      </c>
      <c r="L37" s="109">
        <f>SUM(L32:L36)</f>
      </c>
      <c r="M37" s="110"/>
      <c r="N37" s="111">
        <f>SUM(N32:N36)</f>
      </c>
      <c r="O37" s="112"/>
      <c r="P37" s="111">
        <f>SUM(P32:P36)</f>
      </c>
    </row>
    <row hidden="true" r="38">
      <c r="A38" s="92" t="s">
        <v>262</v>
      </c>
      <c r="B38" s="93" t="s">
        <v>251</v>
      </c>
      <c r="C38" s="94" t="s">
        <v>263</v>
      </c>
      <c r="D38" s="94">
        <v>5</v>
      </c>
      <c r="E38" s="94">
        <v>14</v>
      </c>
      <c r="F38" s="94">
        <v>16658.6</v>
      </c>
      <c r="G38" s="94">
        <v>14640.379999999997</v>
      </c>
      <c r="H38" s="95">
        <f t="shared" si="3"/>
      </c>
      <c r="I38" s="96">
        <f t="shared" si="1"/>
      </c>
      <c r="J38" s="96">
        <f t="shared" si="2"/>
      </c>
      <c r="K38" s="94">
        <v>3</v>
      </c>
      <c r="L38" s="97">
        <v>4130.4</v>
      </c>
      <c r="M38" s="98"/>
      <c r="N38" s="99"/>
      <c r="O38" s="100" t="s">
        <v>243</v>
      </c>
      <c r="P38" s="100">
        <v>10</v>
      </c>
    </row>
    <row hidden="true" r="39">
      <c r="A39" s="92" t="s">
        <v>262</v>
      </c>
      <c r="B39" s="93" t="s">
        <v>244</v>
      </c>
      <c r="C39" s="94" t="s">
        <v>264</v>
      </c>
      <c r="D39" s="94">
        <v>5</v>
      </c>
      <c r="E39" s="94">
        <v>9</v>
      </c>
      <c r="F39" s="94">
        <v>11796</v>
      </c>
      <c r="G39" s="94">
        <v>13150.119999999999</v>
      </c>
      <c r="H39" s="95">
        <f t="shared" si="3"/>
      </c>
      <c r="I39" s="96">
        <f t="shared" si="1"/>
      </c>
      <c r="J39" s="96">
        <f t="shared" si="2"/>
      </c>
      <c r="K39" s="94">
        <v>5</v>
      </c>
      <c r="L39" s="97">
        <v>5589.6</v>
      </c>
      <c r="M39" s="102" t="s">
        <v>265</v>
      </c>
      <c r="N39" s="99">
        <v>10</v>
      </c>
      <c r="O39" s="103"/>
      <c r="P39" s="99"/>
    </row>
    <row hidden="true" r="40">
      <c r="A40" s="92" t="s">
        <v>262</v>
      </c>
      <c r="B40" s="93" t="s">
        <v>247</v>
      </c>
      <c r="C40" s="94" t="s">
        <v>266</v>
      </c>
      <c r="D40" s="94">
        <v>5</v>
      </c>
      <c r="E40" s="94">
        <v>7</v>
      </c>
      <c r="F40" s="94">
        <v>10760.400000000001</v>
      </c>
      <c r="G40" s="94">
        <v>9225.71</v>
      </c>
      <c r="H40" s="95">
        <f t="shared" si="3"/>
      </c>
      <c r="I40" s="96">
        <f t="shared" si="1"/>
      </c>
      <c r="J40" s="96">
        <f t="shared" si="2"/>
      </c>
      <c r="K40" s="94">
        <v>0</v>
      </c>
      <c r="L40" s="97">
        <v>0</v>
      </c>
      <c r="M40" s="102"/>
      <c r="N40" s="99"/>
      <c r="O40" s="103"/>
      <c r="P40" s="99"/>
    </row>
    <row hidden="true" r="41">
      <c r="A41" s="92" t="s">
        <v>262</v>
      </c>
      <c r="B41" s="100" t="s">
        <v>249</v>
      </c>
      <c r="C41" s="94" t="s">
        <v>267</v>
      </c>
      <c r="D41" s="94">
        <v>5</v>
      </c>
      <c r="E41" s="94">
        <v>24</v>
      </c>
      <c r="F41" s="94">
        <v>32289.600000000006</v>
      </c>
      <c r="G41" s="94">
        <v>15163.579999999998</v>
      </c>
      <c r="H41" s="95">
        <f t="shared" si="3"/>
      </c>
      <c r="I41" s="96">
        <f t="shared" si="1"/>
      </c>
      <c r="J41" s="96">
        <f t="shared" si="2"/>
      </c>
      <c r="K41" s="94">
        <v>4</v>
      </c>
      <c r="L41" s="97">
        <v>3194.3999999999996</v>
      </c>
      <c r="M41" s="102" t="s">
        <v>253</v>
      </c>
      <c r="N41" s="100">
        <v>10</v>
      </c>
      <c r="O41" s="103" t="s">
        <v>254</v>
      </c>
      <c r="P41" s="99">
        <v>10</v>
      </c>
    </row>
    <row r="42">
      <c r="A42" s="104" t="s">
        <v>262</v>
      </c>
      <c r="B42" s="105"/>
      <c r="C42" s="105"/>
      <c r="D42" s="106">
        <f>SUM(D38:D41)</f>
      </c>
      <c r="E42" s="106">
        <f>SUM(E38:E41)</f>
      </c>
      <c r="F42" s="107">
        <f>SUM(F38:F41)</f>
      </c>
      <c r="G42" s="106">
        <f>SUM(G38:G41)</f>
      </c>
      <c r="H42" s="108">
        <f t="shared" si="3"/>
      </c>
      <c r="I42" s="108">
        <f t="shared" si="1"/>
      </c>
      <c r="J42" s="108">
        <f t="shared" si="2"/>
      </c>
      <c r="K42" s="106">
        <f>SUM(K38:K41)</f>
      </c>
      <c r="L42" s="109">
        <f>SUM(L38:L41)</f>
      </c>
      <c r="M42" s="110"/>
      <c r="N42" s="111">
        <f>SUM(N38:N41)</f>
      </c>
      <c r="O42" s="112"/>
      <c r="P42" s="111">
        <f>SUM(P38:P41)</f>
      </c>
    </row>
    <row hidden="true" r="43">
      <c r="A43" s="92" t="s">
        <v>268</v>
      </c>
      <c r="B43" s="93" t="s">
        <v>251</v>
      </c>
      <c r="C43" s="94" t="s">
        <v>263</v>
      </c>
      <c r="D43" s="94">
        <v>5</v>
      </c>
      <c r="E43" s="94">
        <v>12</v>
      </c>
      <c r="F43" s="94">
        <v>17312.4</v>
      </c>
      <c r="G43" s="94">
        <v>15286.410000000002</v>
      </c>
      <c r="H43" s="95">
        <f t="shared" si="3"/>
      </c>
      <c r="I43" s="96">
        <f t="shared" si="1"/>
      </c>
      <c r="J43" s="96">
        <f t="shared" si="2"/>
      </c>
      <c r="K43" s="94">
        <v>3</v>
      </c>
      <c r="L43" s="97">
        <v>4766.4</v>
      </c>
      <c r="M43" s="98"/>
      <c r="N43" s="99"/>
      <c r="O43" s="100" t="s">
        <v>243</v>
      </c>
      <c r="P43" s="100">
        <v>10</v>
      </c>
    </row>
    <row hidden="true" r="44">
      <c r="A44" s="92" t="s">
        <v>268</v>
      </c>
      <c r="B44" s="93" t="s">
        <v>244</v>
      </c>
      <c r="C44" s="94" t="s">
        <v>264</v>
      </c>
      <c r="D44" s="94">
        <v>5</v>
      </c>
      <c r="E44" s="94">
        <v>12</v>
      </c>
      <c r="F44" s="94">
        <v>17454.799999999996</v>
      </c>
      <c r="G44" s="94">
        <v>12934.529999999999</v>
      </c>
      <c r="H44" s="95">
        <f t="shared" si="3"/>
      </c>
      <c r="I44" s="96">
        <f t="shared" si="1"/>
      </c>
      <c r="J44" s="96">
        <f t="shared" si="2"/>
      </c>
      <c r="K44" s="94">
        <v>1</v>
      </c>
      <c r="L44" s="97">
        <v>1692</v>
      </c>
      <c r="M44" s="102" t="s">
        <v>265</v>
      </c>
      <c r="N44" s="99">
        <v>10</v>
      </c>
      <c r="O44" s="103"/>
      <c r="P44" s="99"/>
    </row>
    <row hidden="true" r="45">
      <c r="A45" s="92" t="s">
        <v>268</v>
      </c>
      <c r="B45" s="93" t="s">
        <v>247</v>
      </c>
      <c r="C45" s="94" t="s">
        <v>266</v>
      </c>
      <c r="D45" s="94">
        <v>5</v>
      </c>
      <c r="E45" s="94">
        <v>9</v>
      </c>
      <c r="F45" s="94">
        <v>12295.200000000004</v>
      </c>
      <c r="G45" s="94">
        <v>9028.1</v>
      </c>
      <c r="H45" s="95">
        <f t="shared" si="3"/>
      </c>
      <c r="I45" s="96">
        <f t="shared" si="1"/>
      </c>
      <c r="J45" s="96">
        <f t="shared" si="2"/>
      </c>
      <c r="K45" s="94">
        <v>3</v>
      </c>
      <c r="L45" s="97">
        <v>2752.7999999999993</v>
      </c>
      <c r="M45" s="102"/>
      <c r="N45" s="99"/>
      <c r="O45" s="103"/>
      <c r="P45" s="99"/>
    </row>
    <row hidden="true" r="46">
      <c r="A46" s="92" t="s">
        <v>268</v>
      </c>
      <c r="B46" s="100" t="s">
        <v>249</v>
      </c>
      <c r="C46" s="94" t="s">
        <v>267</v>
      </c>
      <c r="D46" s="94">
        <v>5</v>
      </c>
      <c r="E46" s="94">
        <v>32</v>
      </c>
      <c r="F46" s="94">
        <v>48522.79999999998</v>
      </c>
      <c r="G46" s="94">
        <v>23659.6</v>
      </c>
      <c r="H46" s="95">
        <f t="shared" si="3"/>
      </c>
      <c r="I46" s="96">
        <f t="shared" si="1"/>
      </c>
      <c r="J46" s="96">
        <f t="shared" si="2"/>
      </c>
      <c r="K46" s="94">
        <v>5</v>
      </c>
      <c r="L46" s="97">
        <v>8068.800000000001</v>
      </c>
      <c r="M46" s="102" t="s">
        <v>253</v>
      </c>
      <c r="N46" s="100">
        <v>10</v>
      </c>
      <c r="O46" s="103" t="s">
        <v>254</v>
      </c>
      <c r="P46" s="99">
        <v>10</v>
      </c>
    </row>
    <row r="47">
      <c r="A47" s="104" t="s">
        <v>268</v>
      </c>
      <c r="B47" s="105"/>
      <c r="C47" s="105"/>
      <c r="D47" s="106">
        <f>SUM(D43:D46)</f>
      </c>
      <c r="E47" s="106">
        <f>SUM(E43:E46)</f>
      </c>
      <c r="F47" s="107">
        <f>SUM(F43:F46)</f>
      </c>
      <c r="G47" s="106">
        <f>SUM(G43:G46)</f>
      </c>
      <c r="H47" s="108">
        <f t="shared" si="3"/>
      </c>
      <c r="I47" s="108">
        <f t="shared" si="1"/>
      </c>
      <c r="J47" s="108">
        <f t="shared" si="2"/>
      </c>
      <c r="K47" s="106">
        <f>SUM(K43:K46)</f>
      </c>
      <c r="L47" s="109">
        <f>SUM(L43:L46)</f>
      </c>
      <c r="M47" s="110"/>
      <c r="N47" s="111">
        <f>SUM(N43:N46)</f>
      </c>
      <c r="O47" s="112"/>
      <c r="P47" s="111">
        <f>SUM(P43:P46)</f>
      </c>
    </row>
    <row hidden="true" r="48">
      <c r="A48" s="92" t="s">
        <v>269</v>
      </c>
      <c r="B48" s="93" t="s">
        <v>241</v>
      </c>
      <c r="C48" s="94" t="s">
        <v>263</v>
      </c>
      <c r="D48" s="94">
        <v>5</v>
      </c>
      <c r="E48" s="94">
        <v>20</v>
      </c>
      <c r="F48" s="94">
        <v>26027.000000000004</v>
      </c>
      <c r="G48" s="94">
        <v>22038.2</v>
      </c>
      <c r="H48" s="95">
        <f t="shared" si="3"/>
      </c>
      <c r="I48" s="96">
        <f t="shared" si="1"/>
      </c>
      <c r="J48" s="96">
        <f t="shared" si="2"/>
      </c>
      <c r="K48" s="94">
        <v>4</v>
      </c>
      <c r="L48" s="97">
        <v>6236.4</v>
      </c>
      <c r="M48" s="98"/>
      <c r="N48" s="99"/>
      <c r="O48" s="100" t="s">
        <v>243</v>
      </c>
      <c r="P48" s="100">
        <v>10</v>
      </c>
    </row>
    <row hidden="true" r="49">
      <c r="A49" s="92" t="s">
        <v>269</v>
      </c>
      <c r="B49" s="93" t="s">
        <v>244</v>
      </c>
      <c r="C49" s="94" t="s">
        <v>264</v>
      </c>
      <c r="D49" s="94">
        <v>5</v>
      </c>
      <c r="E49" s="94">
        <v>19</v>
      </c>
      <c r="F49" s="94">
        <v>26588.399999999998</v>
      </c>
      <c r="G49" s="94">
        <v>20275.21</v>
      </c>
      <c r="H49" s="95">
        <f t="shared" si="3"/>
      </c>
      <c r="I49" s="96">
        <f t="shared" si="1"/>
      </c>
      <c r="J49" s="96">
        <f t="shared" si="2"/>
      </c>
      <c r="K49" s="94">
        <v>5</v>
      </c>
      <c r="L49" s="97">
        <v>7000.800000000001</v>
      </c>
      <c r="M49" s="102" t="s">
        <v>246</v>
      </c>
      <c r="N49" s="99">
        <v>10</v>
      </c>
      <c r="O49" s="103"/>
      <c r="P49" s="99"/>
    </row>
    <row hidden="true" r="50">
      <c r="A50" s="92" t="s">
        <v>269</v>
      </c>
      <c r="B50" s="93" t="s">
        <v>249</v>
      </c>
      <c r="C50" s="94" t="s">
        <v>266</v>
      </c>
      <c r="D50" s="94">
        <v>5</v>
      </c>
      <c r="E50" s="94">
        <v>11</v>
      </c>
      <c r="F50" s="94">
        <v>16327.200000000004</v>
      </c>
      <c r="G50" s="94">
        <v>11775.91</v>
      </c>
      <c r="H50" s="95">
        <f t="shared" si="3"/>
      </c>
      <c r="I50" s="96">
        <f t="shared" si="1"/>
      </c>
      <c r="J50" s="96">
        <f t="shared" si="2"/>
      </c>
      <c r="K50" s="94">
        <v>3</v>
      </c>
      <c r="L50" s="97">
        <v>4407.5999999999985</v>
      </c>
      <c r="M50" s="102"/>
      <c r="N50" s="99"/>
      <c r="O50" s="103"/>
      <c r="P50" s="99"/>
    </row>
    <row hidden="true" r="51">
      <c r="A51" s="92" t="s">
        <v>269</v>
      </c>
      <c r="B51" s="100" t="s">
        <v>247</v>
      </c>
      <c r="C51" s="94" t="s">
        <v>267</v>
      </c>
      <c r="D51" s="94">
        <v>5</v>
      </c>
      <c r="E51" s="94">
        <v>14</v>
      </c>
      <c r="F51" s="94">
        <v>17712.000000000015</v>
      </c>
      <c r="G51" s="94">
        <v>16683.75</v>
      </c>
      <c r="H51" s="95">
        <f t="shared" si="3"/>
      </c>
      <c r="I51" s="96">
        <f t="shared" si="1"/>
      </c>
      <c r="J51" s="96">
        <f t="shared" si="2"/>
      </c>
      <c r="K51" s="94">
        <v>3</v>
      </c>
      <c r="L51" s="97">
        <v>2102.4000000000015</v>
      </c>
      <c r="M51" s="102" t="s">
        <v>253</v>
      </c>
      <c r="N51" s="100">
        <v>10</v>
      </c>
      <c r="O51" s="103" t="s">
        <v>254</v>
      </c>
      <c r="P51" s="99">
        <v>10</v>
      </c>
    </row>
    <row r="52">
      <c r="A52" s="104" t="s">
        <v>269</v>
      </c>
      <c r="B52" s="105"/>
      <c r="C52" s="105"/>
      <c r="D52" s="106">
        <f>SUM(D48:D51)</f>
      </c>
      <c r="E52" s="106">
        <f>SUM(E48:E51)</f>
      </c>
      <c r="F52" s="107">
        <f>SUM(F48:F51)</f>
      </c>
      <c r="G52" s="106">
        <f>SUM(G48:G51)</f>
      </c>
      <c r="H52" s="108">
        <f t="shared" si="3"/>
      </c>
      <c r="I52" s="108">
        <f t="shared" si="1"/>
      </c>
      <c r="J52" s="108">
        <f t="shared" si="2"/>
      </c>
      <c r="K52" s="106">
        <f>SUM(K48:K51)</f>
      </c>
      <c r="L52" s="109">
        <f>SUM(L48:L51)</f>
      </c>
      <c r="M52" s="110"/>
      <c r="N52" s="111">
        <f>SUM(N48:N51)</f>
      </c>
      <c r="O52" s="112"/>
      <c r="P52" s="111">
        <f>SUM(P48:P51)</f>
      </c>
    </row>
    <row hidden="true" r="53">
      <c r="A53" s="92" t="s">
        <v>270</v>
      </c>
      <c r="B53" s="93" t="s">
        <v>241</v>
      </c>
      <c r="C53" s="94" t="s">
        <v>263</v>
      </c>
      <c r="D53" s="94">
        <v>5</v>
      </c>
      <c r="E53" s="94">
        <v>19</v>
      </c>
      <c r="F53" s="94">
        <v>23836.8</v>
      </c>
      <c r="G53" s="94">
        <v>15296.590000000004</v>
      </c>
      <c r="H53" s="95">
        <f t="shared" si="3"/>
      </c>
      <c r="I53" s="96">
        <f t="shared" si="1"/>
      </c>
      <c r="J53" s="96">
        <f t="shared" si="2"/>
      </c>
      <c r="K53" s="94">
        <v>4</v>
      </c>
      <c r="L53" s="97">
        <v>3752.4</v>
      </c>
      <c r="M53" s="98"/>
      <c r="N53" s="99"/>
      <c r="O53" s="100" t="s">
        <v>243</v>
      </c>
      <c r="P53" s="100">
        <v>10</v>
      </c>
    </row>
    <row hidden="true" r="54">
      <c r="A54" s="92" t="s">
        <v>270</v>
      </c>
      <c r="B54" s="93" t="s">
        <v>244</v>
      </c>
      <c r="C54" s="94" t="s">
        <v>264</v>
      </c>
      <c r="D54" s="94">
        <v>5</v>
      </c>
      <c r="E54" s="94">
        <v>14</v>
      </c>
      <c r="F54" s="94">
        <v>13561.8</v>
      </c>
      <c r="G54" s="94">
        <v>13983.59</v>
      </c>
      <c r="H54" s="95">
        <f t="shared" si="3"/>
      </c>
      <c r="I54" s="96">
        <f t="shared" si="1"/>
      </c>
      <c r="J54" s="96">
        <f t="shared" si="2"/>
      </c>
      <c r="K54" s="94">
        <v>2</v>
      </c>
      <c r="L54" s="97">
        <v>1406.4</v>
      </c>
      <c r="M54" s="102" t="s">
        <v>271</v>
      </c>
      <c r="N54" s="99">
        <v>10</v>
      </c>
      <c r="O54" s="103"/>
      <c r="P54" s="99"/>
    </row>
    <row hidden="true" r="55">
      <c r="A55" s="92" t="s">
        <v>270</v>
      </c>
      <c r="B55" s="93" t="s">
        <v>249</v>
      </c>
      <c r="C55" s="94" t="s">
        <v>266</v>
      </c>
      <c r="D55" s="94">
        <v>5</v>
      </c>
      <c r="E55" s="94">
        <v>19</v>
      </c>
      <c r="F55" s="94">
        <v>30226.799999999992</v>
      </c>
      <c r="G55" s="94">
        <v>7109.599999999999</v>
      </c>
      <c r="H55" s="95">
        <f t="shared" si="3"/>
      </c>
      <c r="I55" s="96">
        <f t="shared" si="1"/>
      </c>
      <c r="J55" s="96">
        <f t="shared" si="2"/>
      </c>
      <c r="K55" s="94">
        <v>2</v>
      </c>
      <c r="L55" s="97">
        <v>2059.2</v>
      </c>
      <c r="M55" s="102"/>
      <c r="N55" s="99"/>
      <c r="O55" s="103"/>
      <c r="P55" s="99"/>
    </row>
    <row hidden="true" r="56">
      <c r="A56" s="92" t="s">
        <v>270</v>
      </c>
      <c r="B56" s="100" t="s">
        <v>247</v>
      </c>
      <c r="C56" s="94" t="s">
        <v>267</v>
      </c>
      <c r="D56" s="94">
        <v>5</v>
      </c>
      <c r="E56" s="94">
        <v>21</v>
      </c>
      <c r="F56" s="94">
        <v>31488.000000000007</v>
      </c>
      <c r="G56" s="94">
        <v>18264.65</v>
      </c>
      <c r="H56" s="95">
        <f t="shared" si="3"/>
      </c>
      <c r="I56" s="96">
        <f t="shared" si="1"/>
      </c>
      <c r="J56" s="96">
        <f t="shared" si="2"/>
      </c>
      <c r="K56" s="94">
        <v>3</v>
      </c>
      <c r="L56" s="97">
        <v>2822.3999999999987</v>
      </c>
      <c r="M56" s="102" t="s">
        <v>272</v>
      </c>
      <c r="N56" s="100">
        <v>10</v>
      </c>
      <c r="O56" s="103" t="s">
        <v>254</v>
      </c>
      <c r="P56" s="99">
        <v>10</v>
      </c>
    </row>
    <row r="57">
      <c r="A57" s="104" t="s">
        <v>270</v>
      </c>
      <c r="B57" s="105"/>
      <c r="C57" s="105"/>
      <c r="D57" s="106">
        <f>SUM(D53:D56)</f>
      </c>
      <c r="E57" s="106">
        <f>SUM(E53:E56)</f>
      </c>
      <c r="F57" s="107">
        <f>SUM(F53:F56)</f>
      </c>
      <c r="G57" s="106">
        <f>SUM(G53:G56)</f>
      </c>
      <c r="H57" s="108">
        <f t="shared" si="3"/>
      </c>
      <c r="I57" s="108">
        <f t="shared" si="1"/>
      </c>
      <c r="J57" s="108">
        <f t="shared" si="2"/>
      </c>
      <c r="K57" s="106">
        <f>SUM(K53:K56)</f>
      </c>
      <c r="L57" s="109">
        <f>SUM(L53:L56)</f>
      </c>
      <c r="M57" s="110"/>
      <c r="N57" s="111">
        <f>SUM(N53:N56)</f>
      </c>
      <c r="O57" s="112"/>
      <c r="P57" s="111">
        <f>SUM(P53:P56)</f>
      </c>
    </row>
    <row hidden="true" r="58">
      <c r="A58" s="92" t="s">
        <v>273</v>
      </c>
      <c r="B58" s="93" t="s">
        <v>244</v>
      </c>
      <c r="C58" s="94" t="s">
        <v>263</v>
      </c>
      <c r="D58" s="94">
        <v>5</v>
      </c>
      <c r="E58" s="94">
        <v>19</v>
      </c>
      <c r="F58" s="94">
        <v>23912.8</v>
      </c>
      <c r="G58" s="94">
        <v>22322.34</v>
      </c>
      <c r="H58" s="95">
        <f t="shared" si="3"/>
      </c>
      <c r="I58" s="96">
        <f t="shared" si="1"/>
      </c>
      <c r="J58" s="96">
        <f t="shared" si="2"/>
      </c>
      <c r="K58" s="94">
        <v>8</v>
      </c>
      <c r="L58" s="97">
        <v>8684.8</v>
      </c>
      <c r="M58" s="98"/>
      <c r="N58" s="99"/>
      <c r="O58" s="100" t="s">
        <v>243</v>
      </c>
      <c r="P58" s="100">
        <v>10</v>
      </c>
    </row>
    <row hidden="true" r="59">
      <c r="A59" s="92" t="s">
        <v>273</v>
      </c>
      <c r="B59" s="93" t="s">
        <v>249</v>
      </c>
      <c r="C59" s="94" t="s">
        <v>264</v>
      </c>
      <c r="D59" s="94">
        <v>5</v>
      </c>
      <c r="E59" s="94">
        <v>38</v>
      </c>
      <c r="F59" s="94">
        <v>56560.8</v>
      </c>
      <c r="G59" s="94">
        <v>21500.370000000003</v>
      </c>
      <c r="H59" s="95">
        <f t="shared" si="3"/>
      </c>
      <c r="I59" s="96">
        <f t="shared" si="1"/>
      </c>
      <c r="J59" s="96">
        <f t="shared" si="2"/>
      </c>
      <c r="K59" s="94">
        <v>14</v>
      </c>
      <c r="L59" s="97">
        <v>18512.4</v>
      </c>
      <c r="M59" s="102" t="s">
        <v>274</v>
      </c>
      <c r="N59" s="99">
        <v>10</v>
      </c>
      <c r="O59" s="103"/>
      <c r="P59" s="99"/>
    </row>
    <row hidden="true" r="60">
      <c r="A60" s="92" t="s">
        <v>273</v>
      </c>
      <c r="B60" s="93" t="s">
        <v>247</v>
      </c>
      <c r="C60" s="94" t="s">
        <v>266</v>
      </c>
      <c r="D60" s="94">
        <v>5</v>
      </c>
      <c r="E60" s="94">
        <v>56</v>
      </c>
      <c r="F60" s="94">
        <v>74607.4</v>
      </c>
      <c r="G60" s="94">
        <v>40909.29</v>
      </c>
      <c r="H60" s="95">
        <f t="shared" si="3"/>
      </c>
      <c r="I60" s="96">
        <f t="shared" si="1"/>
      </c>
      <c r="J60" s="96">
        <f t="shared" si="2"/>
      </c>
      <c r="K60" s="94">
        <v>15</v>
      </c>
      <c r="L60" s="97">
        <v>15491.999999999993</v>
      </c>
      <c r="M60" s="102"/>
      <c r="N60" s="99"/>
      <c r="O60" s="103"/>
      <c r="P60" s="99"/>
    </row>
    <row hidden="true" r="61">
      <c r="A61" s="92" t="s">
        <v>273</v>
      </c>
      <c r="B61" s="100" t="s">
        <v>251</v>
      </c>
      <c r="C61" s="94" t="s">
        <v>267</v>
      </c>
      <c r="D61" s="94">
        <v>5</v>
      </c>
      <c r="E61" s="94">
        <v>11</v>
      </c>
      <c r="F61" s="94">
        <v>16011.600000000006</v>
      </c>
      <c r="G61" s="94">
        <v>26683.57</v>
      </c>
      <c r="H61" s="95">
        <f t="shared" si="3"/>
      </c>
      <c r="I61" s="96">
        <f t="shared" si="1"/>
      </c>
      <c r="J61" s="96">
        <f t="shared" si="2"/>
      </c>
      <c r="K61" s="94">
        <v>3</v>
      </c>
      <c r="L61" s="97">
        <v>3291.600000000006</v>
      </c>
      <c r="M61" s="102" t="s">
        <v>272</v>
      </c>
      <c r="N61" s="100">
        <v>10</v>
      </c>
      <c r="O61" s="103" t="s">
        <v>254</v>
      </c>
      <c r="P61" s="99">
        <v>10</v>
      </c>
    </row>
    <row r="62">
      <c r="A62" s="104" t="s">
        <v>273</v>
      </c>
      <c r="B62" s="105"/>
      <c r="C62" s="105"/>
      <c r="D62" s="106">
        <f>SUM(D58:D61)</f>
      </c>
      <c r="E62" s="106">
        <f>SUM(E58:E61)</f>
      </c>
      <c r="F62" s="107">
        <f>SUM(F58:F61)</f>
      </c>
      <c r="G62" s="106">
        <f>SUM(G58:G61)</f>
      </c>
      <c r="H62" s="108">
        <f t="shared" si="3"/>
      </c>
      <c r="I62" s="108">
        <f t="shared" si="1"/>
      </c>
      <c r="J62" s="108">
        <f t="shared" si="2"/>
      </c>
      <c r="K62" s="106">
        <f>SUM(K58:K61)</f>
      </c>
      <c r="L62" s="109">
        <f>SUM(L58:L61)</f>
      </c>
      <c r="M62" s="110"/>
      <c r="N62" s="111">
        <f>SUM(N58:N61)</f>
      </c>
      <c r="O62" s="112"/>
      <c r="P62" s="111">
        <f>SUM(P58:P61)</f>
      </c>
    </row>
    <row hidden="true" r="63">
      <c r="A63" s="92" t="s">
        <v>275</v>
      </c>
      <c r="B63" s="93" t="s">
        <v>241</v>
      </c>
      <c r="C63" s="94" t="s">
        <v>263</v>
      </c>
      <c r="D63" s="94">
        <v>5</v>
      </c>
      <c r="E63" s="94">
        <v>22</v>
      </c>
      <c r="F63" s="94">
        <v>29752.8</v>
      </c>
      <c r="G63" s="94">
        <v>21714.16</v>
      </c>
      <c r="H63" s="95">
        <f t="shared" si="3"/>
      </c>
      <c r="I63" s="96">
        <f t="shared" si="1"/>
      </c>
      <c r="J63" s="96">
        <f t="shared" si="2"/>
      </c>
      <c r="K63" s="94">
        <v>4</v>
      </c>
      <c r="L63" s="97">
        <v>6309.6</v>
      </c>
      <c r="M63" s="98"/>
      <c r="N63" s="99"/>
      <c r="O63" s="100" t="s">
        <v>243</v>
      </c>
      <c r="P63" s="100">
        <v>10</v>
      </c>
    </row>
    <row hidden="true" r="64">
      <c r="A64" s="92" t="s">
        <v>275</v>
      </c>
      <c r="B64" s="93" t="s">
        <v>249</v>
      </c>
      <c r="C64" s="94" t="s">
        <v>264</v>
      </c>
      <c r="D64" s="94">
        <v>5</v>
      </c>
      <c r="E64" s="94">
        <v>26</v>
      </c>
      <c r="F64" s="94">
        <v>29737.2</v>
      </c>
      <c r="G64" s="94">
        <v>20382.03</v>
      </c>
      <c r="H64" s="95">
        <f t="shared" si="3"/>
      </c>
      <c r="I64" s="96">
        <f t="shared" si="1"/>
      </c>
      <c r="J64" s="96">
        <f t="shared" si="2"/>
      </c>
      <c r="K64" s="94">
        <v>7</v>
      </c>
      <c r="L64" s="97">
        <v>6760.799999999999</v>
      </c>
      <c r="M64" s="102" t="s">
        <v>274</v>
      </c>
      <c r="N64" s="99">
        <v>10</v>
      </c>
      <c r="O64" s="103"/>
      <c r="P64" s="99"/>
    </row>
    <row hidden="true" r="65">
      <c r="A65" s="92" t="s">
        <v>275</v>
      </c>
      <c r="B65" s="93" t="s">
        <v>247</v>
      </c>
      <c r="C65" s="94" t="s">
        <v>266</v>
      </c>
      <c r="D65" s="94">
        <v>5</v>
      </c>
      <c r="E65" s="94">
        <v>18</v>
      </c>
      <c r="F65" s="94">
        <v>25080</v>
      </c>
      <c r="G65" s="94">
        <v>21918.350000000002</v>
      </c>
      <c r="H65" s="95">
        <f t="shared" si="3"/>
      </c>
      <c r="I65" s="96">
        <f t="shared" si="1"/>
      </c>
      <c r="J65" s="96">
        <f t="shared" si="2"/>
      </c>
      <c r="K65" s="94">
        <v>7</v>
      </c>
      <c r="L65" s="97">
        <v>7814.4</v>
      </c>
      <c r="M65" s="102"/>
      <c r="N65" s="99"/>
      <c r="O65" s="103"/>
      <c r="P65" s="99"/>
    </row>
    <row hidden="true" r="66">
      <c r="A66" s="92" t="s">
        <v>275</v>
      </c>
      <c r="B66" s="100" t="s">
        <v>251</v>
      </c>
      <c r="C66" s="94" t="s">
        <v>267</v>
      </c>
      <c r="D66" s="94">
        <v>5</v>
      </c>
      <c r="E66" s="94">
        <v>28</v>
      </c>
      <c r="F66" s="94">
        <v>33785.03999999999</v>
      </c>
      <c r="G66" s="94">
        <v>18952.399999999998</v>
      </c>
      <c r="H66" s="95">
        <f t="shared" si="3"/>
      </c>
      <c r="I66" s="96">
        <f t="shared" si="1"/>
      </c>
      <c r="J66" s="96">
        <f t="shared" si="2"/>
      </c>
      <c r="K66" s="94">
        <v>2</v>
      </c>
      <c r="L66" s="97">
        <v>2426.4000000000015</v>
      </c>
      <c r="M66" s="102" t="s">
        <v>272</v>
      </c>
      <c r="N66" s="100">
        <v>10</v>
      </c>
      <c r="O66" s="103" t="s">
        <v>254</v>
      </c>
      <c r="P66" s="99">
        <v>10</v>
      </c>
    </row>
    <row r="67">
      <c r="A67" s="104" t="s">
        <v>275</v>
      </c>
      <c r="B67" s="105"/>
      <c r="C67" s="105"/>
      <c r="D67" s="106">
        <f>SUM(D63:D66)</f>
      </c>
      <c r="E67" s="106">
        <f>SUM(E63:E66)</f>
      </c>
      <c r="F67" s="107">
        <f>SUM(F63:F66)</f>
      </c>
      <c r="G67" s="106">
        <f>SUM(G63:G66)</f>
      </c>
      <c r="H67" s="108">
        <f t="shared" si="3"/>
      </c>
      <c r="I67" s="108">
        <f t="shared" si="1"/>
      </c>
      <c r="J67" s="108">
        <f t="shared" si="2"/>
      </c>
      <c r="K67" s="106">
        <f>SUM(K63:K66)</f>
      </c>
      <c r="L67" s="109">
        <f>SUM(L63:L66)</f>
      </c>
      <c r="M67" s="110"/>
      <c r="N67" s="111">
        <f>SUM(N63:N66)</f>
      </c>
      <c r="O67" s="112"/>
      <c r="P67" s="111">
        <f>SUM(P63:P66)</f>
      </c>
    </row>
    <row hidden="true" r="68">
      <c r="A68" s="92" t="s">
        <v>276</v>
      </c>
      <c r="B68" s="93" t="s">
        <v>249</v>
      </c>
      <c r="C68" s="94" t="s">
        <v>263</v>
      </c>
      <c r="D68" s="94">
        <v>5</v>
      </c>
      <c r="E68" s="94">
        <v>30</v>
      </c>
      <c r="F68" s="94">
        <v>33927</v>
      </c>
      <c r="G68" s="94">
        <v>25731.3</v>
      </c>
      <c r="H68" s="95">
        <f t="shared" si="3"/>
      </c>
      <c r="I68" s="96">
        <f t="shared" si="1"/>
      </c>
      <c r="J68" s="96">
        <f t="shared" si="2"/>
      </c>
      <c r="K68" s="94">
        <v>10</v>
      </c>
      <c r="L68" s="97">
        <v>8155.200000000001</v>
      </c>
      <c r="M68" s="98"/>
      <c r="N68" s="99"/>
      <c r="O68" s="100" t="s">
        <v>243</v>
      </c>
      <c r="P68" s="100">
        <v>10</v>
      </c>
    </row>
    <row hidden="true" r="69">
      <c r="A69" s="92" t="s">
        <v>276</v>
      </c>
      <c r="B69" s="93" t="s">
        <v>247</v>
      </c>
      <c r="C69" s="94" t="s">
        <v>264</v>
      </c>
      <c r="D69" s="94">
        <v>5</v>
      </c>
      <c r="E69" s="94">
        <v>12</v>
      </c>
      <c r="F69" s="94">
        <v>13380</v>
      </c>
      <c r="G69" s="94">
        <v>16745.25</v>
      </c>
      <c r="H69" s="95">
        <f t="shared" si="3"/>
      </c>
      <c r="I69" s="96">
        <f t="shared" si="1"/>
      </c>
      <c r="J69" s="96">
        <f t="shared" si="2"/>
      </c>
      <c r="K69" s="94">
        <v>5</v>
      </c>
      <c r="L69" s="97">
        <v>3914.399999999998</v>
      </c>
      <c r="M69" s="102" t="s">
        <v>274</v>
      </c>
      <c r="N69" s="99">
        <v>10</v>
      </c>
      <c r="O69" s="103"/>
      <c r="P69" s="99"/>
    </row>
    <row hidden="true" r="70">
      <c r="A70" s="92" t="s">
        <v>276</v>
      </c>
      <c r="B70" s="93" t="s">
        <v>251</v>
      </c>
      <c r="C70" s="94" t="s">
        <v>266</v>
      </c>
      <c r="D70" s="94">
        <v>5</v>
      </c>
      <c r="E70" s="94">
        <v>15</v>
      </c>
      <c r="F70" s="94">
        <v>22240</v>
      </c>
      <c r="G70" s="94">
        <v>15951.899999999998</v>
      </c>
      <c r="H70" s="95">
        <f t="shared" si="3"/>
      </c>
      <c r="I70" s="96">
        <f t="shared" si="1"/>
      </c>
      <c r="J70" s="96">
        <f t="shared" si="2"/>
      </c>
      <c r="K70" s="94">
        <v>3</v>
      </c>
      <c r="L70" s="97">
        <v>4114.800000000001</v>
      </c>
      <c r="M70" s="102"/>
      <c r="N70" s="99"/>
      <c r="O70" s="103"/>
      <c r="P70" s="99"/>
    </row>
    <row hidden="true" r="71">
      <c r="A71" s="92" t="s">
        <v>276</v>
      </c>
      <c r="B71" s="100" t="s">
        <v>241</v>
      </c>
      <c r="C71" s="94" t="s">
        <v>267</v>
      </c>
      <c r="D71" s="94">
        <v>5</v>
      </c>
      <c r="E71" s="94">
        <v>19</v>
      </c>
      <c r="F71" s="94">
        <v>23685.600000000006</v>
      </c>
      <c r="G71" s="94">
        <v>18057.21</v>
      </c>
      <c r="H71" s="95">
        <f t="shared" si="3"/>
      </c>
      <c r="I71" s="96">
        <f t="shared" si="1"/>
      </c>
      <c r="J71" s="96">
        <f t="shared" si="2"/>
      </c>
      <c r="K71" s="94">
        <v>2</v>
      </c>
      <c r="L71" s="97">
        <v>3074.3999999999996</v>
      </c>
      <c r="M71" s="102" t="s">
        <v>272</v>
      </c>
      <c r="N71" s="100">
        <v>10</v>
      </c>
      <c r="O71" s="103" t="s">
        <v>254</v>
      </c>
      <c r="P71" s="99">
        <v>10</v>
      </c>
    </row>
    <row r="72">
      <c r="A72" s="104" t="s">
        <v>276</v>
      </c>
      <c r="B72" s="105"/>
      <c r="C72" s="105"/>
      <c r="D72" s="106">
        <f>SUM(D68:D71)</f>
      </c>
      <c r="E72" s="106">
        <f>SUM(E68:E71)</f>
      </c>
      <c r="F72" s="107">
        <f>SUM(F68:F71)</f>
      </c>
      <c r="G72" s="106">
        <f>SUM(G68:G71)</f>
      </c>
      <c r="H72" s="108">
        <f t="shared" si="3"/>
      </c>
      <c r="I72" s="108">
        <f t="shared" si="1"/>
      </c>
      <c r="J72" s="108">
        <f t="shared" si="2"/>
      </c>
      <c r="K72" s="106">
        <f>SUM(K68:K71)</f>
      </c>
      <c r="L72" s="109">
        <f>SUM(L68:L71)</f>
      </c>
      <c r="M72" s="110"/>
      <c r="N72" s="111">
        <f>SUM(N68:N71)</f>
      </c>
      <c r="O72" s="112"/>
      <c r="P72" s="111">
        <f>SUM(P68:P71)</f>
      </c>
    </row>
    <row hidden="true" r="73">
      <c r="A73" s="92" t="s">
        <v>277</v>
      </c>
      <c r="B73" s="93" t="s">
        <v>249</v>
      </c>
      <c r="C73" s="94" t="s">
        <v>263</v>
      </c>
      <c r="D73" s="94">
        <v>5</v>
      </c>
      <c r="E73" s="94">
        <v>24</v>
      </c>
      <c r="F73" s="94">
        <v>33665</v>
      </c>
      <c r="G73" s="94">
        <v>23373.11</v>
      </c>
      <c r="H73" s="95">
        <f t="shared" si="3"/>
      </c>
      <c r="I73" s="96">
        <f t="shared" si="1"/>
      </c>
      <c r="J73" s="96">
        <f t="shared" si="2"/>
      </c>
      <c r="K73" s="94">
        <v>6</v>
      </c>
      <c r="L73" s="97">
        <v>4816.799999999997</v>
      </c>
      <c r="M73" s="98"/>
      <c r="N73" s="99"/>
      <c r="O73" s="100" t="s">
        <v>243</v>
      </c>
      <c r="P73" s="100">
        <v>10</v>
      </c>
    </row>
    <row hidden="true" r="74">
      <c r="A74" s="92" t="s">
        <v>277</v>
      </c>
      <c r="B74" s="93" t="s">
        <v>247</v>
      </c>
      <c r="C74" s="94" t="s">
        <v>264</v>
      </c>
      <c r="D74" s="94">
        <v>5</v>
      </c>
      <c r="E74" s="94">
        <v>22</v>
      </c>
      <c r="F74" s="94">
        <v>38843.8</v>
      </c>
      <c r="G74" s="94">
        <v>24002.310000000005</v>
      </c>
      <c r="H74" s="95">
        <f t="shared" si="3"/>
      </c>
      <c r="I74" s="96">
        <f t="shared" si="1"/>
      </c>
      <c r="J74" s="96">
        <f t="shared" si="2"/>
      </c>
      <c r="K74" s="94">
        <v>6</v>
      </c>
      <c r="L74" s="97">
        <v>7305.600000000001</v>
      </c>
      <c r="M74" s="102" t="s">
        <v>274</v>
      </c>
      <c r="N74" s="99">
        <v>10</v>
      </c>
      <c r="O74" s="103"/>
      <c r="P74" s="99"/>
    </row>
    <row hidden="true" r="75">
      <c r="A75" s="92" t="s">
        <v>277</v>
      </c>
      <c r="B75" s="93" t="s">
        <v>251</v>
      </c>
      <c r="C75" s="94" t="s">
        <v>266</v>
      </c>
      <c r="D75" s="94">
        <v>5</v>
      </c>
      <c r="E75" s="94">
        <v>12</v>
      </c>
      <c r="F75" s="94">
        <v>14085.399999999994</v>
      </c>
      <c r="G75" s="94">
        <v>17824.94</v>
      </c>
      <c r="H75" s="95">
        <f t="shared" si="3"/>
      </c>
      <c r="I75" s="96">
        <f t="shared" si="1"/>
      </c>
      <c r="J75" s="96">
        <f t="shared" si="2"/>
      </c>
      <c r="K75" s="94">
        <v>4</v>
      </c>
      <c r="L75" s="97">
        <v>3026.3999999999996</v>
      </c>
      <c r="M75" s="102"/>
      <c r="N75" s="99"/>
      <c r="O75" s="103"/>
      <c r="P75" s="99"/>
    </row>
    <row hidden="true" r="76">
      <c r="A76" s="92" t="s">
        <v>277</v>
      </c>
      <c r="B76" s="100" t="s">
        <v>241</v>
      </c>
      <c r="C76" s="94" t="s">
        <v>267</v>
      </c>
      <c r="D76" s="94">
        <v>5</v>
      </c>
      <c r="E76" s="94">
        <v>16</v>
      </c>
      <c r="F76" s="94">
        <v>15034.199999999997</v>
      </c>
      <c r="G76" s="94">
        <v>20041.12</v>
      </c>
      <c r="H76" s="95">
        <f t="shared" si="3"/>
      </c>
      <c r="I76" s="96">
        <f t="shared" si="1"/>
      </c>
      <c r="J76" s="96">
        <f t="shared" si="2"/>
      </c>
      <c r="K76" s="94">
        <v>2</v>
      </c>
      <c r="L76" s="97">
        <v>1314</v>
      </c>
      <c r="M76" s="102" t="s">
        <v>272</v>
      </c>
      <c r="N76" s="100">
        <v>10</v>
      </c>
      <c r="O76" s="103" t="s">
        <v>254</v>
      </c>
      <c r="P76" s="99">
        <v>10</v>
      </c>
    </row>
    <row r="77">
      <c r="A77" s="104" t="s">
        <v>277</v>
      </c>
      <c r="B77" s="105"/>
      <c r="C77" s="105"/>
      <c r="D77" s="106">
        <f>SUM(D73:D76)</f>
      </c>
      <c r="E77" s="106">
        <f>SUM(E73:E76)</f>
      </c>
      <c r="F77" s="107">
        <f>SUM(F73:F76)</f>
      </c>
      <c r="G77" s="106">
        <f>SUM(G73:G76)</f>
      </c>
      <c r="H77" s="108">
        <f t="shared" si="3"/>
      </c>
      <c r="I77" s="108">
        <f t="shared" si="1"/>
      </c>
      <c r="J77" s="108">
        <f t="shared" si="2"/>
      </c>
      <c r="K77" s="106">
        <f>SUM(K73:K76)</f>
      </c>
      <c r="L77" s="109">
        <f>SUM(L73:L76)</f>
      </c>
      <c r="M77" s="110"/>
      <c r="N77" s="111">
        <f>SUM(N73:N76)</f>
      </c>
      <c r="O77" s="112"/>
      <c r="P77" s="111">
        <f>SUM(P73:P76)</f>
      </c>
    </row>
    <row hidden="true" r="78">
      <c r="A78" s="92" t="s">
        <v>278</v>
      </c>
      <c r="B78" s="93" t="s">
        <v>251</v>
      </c>
      <c r="C78" s="94" t="s">
        <v>263</v>
      </c>
      <c r="D78" s="94">
        <v>5</v>
      </c>
      <c r="E78" s="94">
        <v>7</v>
      </c>
      <c r="F78" s="94">
        <v>8739.6</v>
      </c>
      <c r="G78" s="94">
        <v>10695</v>
      </c>
      <c r="H78" s="95">
        <f t="shared" si="3"/>
      </c>
      <c r="I78" s="96">
        <f t="shared" si="1"/>
      </c>
      <c r="J78" s="96">
        <f t="shared" si="2"/>
      </c>
      <c r="K78" s="94">
        <v>3</v>
      </c>
      <c r="L78" s="97">
        <v>3069.6</v>
      </c>
      <c r="M78" s="98"/>
      <c r="N78" s="99"/>
      <c r="O78" s="100" t="s">
        <v>243</v>
      </c>
      <c r="P78" s="100">
        <v>10</v>
      </c>
    </row>
    <row hidden="true" r="79">
      <c r="A79" s="92" t="s">
        <v>278</v>
      </c>
      <c r="B79" s="93" t="s">
        <v>244</v>
      </c>
      <c r="C79" s="94" t="s">
        <v>264</v>
      </c>
      <c r="D79" s="94">
        <v>5</v>
      </c>
      <c r="E79" s="94">
        <v>16</v>
      </c>
      <c r="F79" s="94">
        <v>14858.199999999999</v>
      </c>
      <c r="G79" s="94">
        <v>13098.24</v>
      </c>
      <c r="H79" s="95">
        <f t="shared" si="3"/>
      </c>
      <c r="I79" s="96">
        <f t="shared" si="1"/>
      </c>
      <c r="J79" s="96">
        <f t="shared" si="2"/>
      </c>
      <c r="K79" s="94">
        <v>2</v>
      </c>
      <c r="L79" s="97">
        <v>2688.0000000000005</v>
      </c>
      <c r="M79" s="102" t="s">
        <v>274</v>
      </c>
      <c r="N79" s="99">
        <v>10</v>
      </c>
      <c r="O79" s="103"/>
      <c r="P79" s="99"/>
    </row>
    <row hidden="true" r="80">
      <c r="A80" s="92" t="s">
        <v>278</v>
      </c>
      <c r="B80" s="93" t="s">
        <v>241</v>
      </c>
      <c r="C80" s="94" t="s">
        <v>266</v>
      </c>
      <c r="D80" s="94">
        <v>5</v>
      </c>
      <c r="E80" s="94">
        <v>18</v>
      </c>
      <c r="F80" s="94">
        <v>31545.600000000002</v>
      </c>
      <c r="G80" s="94">
        <v>11261.779999999999</v>
      </c>
      <c r="H80" s="95">
        <f t="shared" si="3"/>
      </c>
      <c r="I80" s="96">
        <f t="shared" si="1"/>
      </c>
      <c r="J80" s="96">
        <f t="shared" si="2"/>
      </c>
      <c r="K80" s="94">
        <v>3</v>
      </c>
      <c r="L80" s="97">
        <v>5337.6</v>
      </c>
      <c r="M80" s="102"/>
      <c r="N80" s="99"/>
      <c r="O80" s="103"/>
      <c r="P80" s="99"/>
    </row>
    <row hidden="true" r="81">
      <c r="A81" s="92" t="s">
        <v>278</v>
      </c>
      <c r="B81" s="100" t="s">
        <v>247</v>
      </c>
      <c r="C81" s="94" t="s">
        <v>267</v>
      </c>
      <c r="D81" s="94">
        <v>5</v>
      </c>
      <c r="E81" s="94">
        <v>27</v>
      </c>
      <c r="F81" s="94">
        <v>34033.20000000001</v>
      </c>
      <c r="G81" s="94">
        <v>21020.77</v>
      </c>
      <c r="H81" s="95">
        <f t="shared" si="3"/>
      </c>
      <c r="I81" s="96">
        <f t="shared" si="1"/>
      </c>
      <c r="J81" s="96">
        <f t="shared" si="2"/>
      </c>
      <c r="K81" s="94">
        <v>8</v>
      </c>
      <c r="L81" s="97">
        <v>6038.399999999998</v>
      </c>
      <c r="M81" s="102" t="s">
        <v>272</v>
      </c>
      <c r="N81" s="100">
        <v>10</v>
      </c>
      <c r="O81" s="103" t="s">
        <v>254</v>
      </c>
      <c r="P81" s="99">
        <v>10</v>
      </c>
    </row>
    <row r="82">
      <c r="A82" s="104" t="s">
        <v>278</v>
      </c>
      <c r="B82" s="105"/>
      <c r="C82" s="105"/>
      <c r="D82" s="106">
        <f>SUM(D78:D81)</f>
      </c>
      <c r="E82" s="106">
        <f>SUM(E78:E81)</f>
      </c>
      <c r="F82" s="107">
        <f>SUM(F78:F81)</f>
      </c>
      <c r="G82" s="106">
        <f>SUM(G78:G81)</f>
      </c>
      <c r="H82" s="108">
        <f t="shared" si="3"/>
      </c>
      <c r="I82" s="108">
        <f t="shared" si="1"/>
      </c>
      <c r="J82" s="108">
        <f t="shared" si="2"/>
      </c>
      <c r="K82" s="106">
        <f>SUM(K78:K81)</f>
      </c>
      <c r="L82" s="109">
        <f>SUM(L78:L81)</f>
      </c>
      <c r="M82" s="110"/>
      <c r="N82" s="111">
        <f>SUM(N78:N81)</f>
      </c>
      <c r="O82" s="112"/>
      <c r="P82" s="111">
        <f>SUM(P78:P81)</f>
      </c>
    </row>
    <row hidden="true" r="83">
      <c r="A83" s="92" t="s">
        <v>279</v>
      </c>
      <c r="B83" s="93" t="s">
        <v>244</v>
      </c>
      <c r="C83" s="94" t="s">
        <v>263</v>
      </c>
      <c r="D83" s="94">
        <v>5</v>
      </c>
      <c r="E83" s="94">
        <v>11</v>
      </c>
      <c r="F83" s="94">
        <v>13862.4</v>
      </c>
      <c r="G83" s="94">
        <v>11819.27</v>
      </c>
      <c r="H83" s="95">
        <f t="shared" si="3"/>
      </c>
      <c r="I83" s="96">
        <f t="shared" si="1"/>
      </c>
      <c r="J83" s="96">
        <f t="shared" si="2"/>
      </c>
      <c r="K83" s="94">
        <v>0</v>
      </c>
      <c r="L83" s="97">
        <v>0</v>
      </c>
      <c r="M83" s="98"/>
      <c r="N83" s="99"/>
      <c r="O83" s="100" t="s">
        <v>243</v>
      </c>
      <c r="P83" s="100">
        <v>10</v>
      </c>
    </row>
    <row hidden="true" r="84">
      <c r="A84" s="92" t="s">
        <v>279</v>
      </c>
      <c r="B84" s="93" t="s">
        <v>251</v>
      </c>
      <c r="C84" s="94" t="s">
        <v>264</v>
      </c>
      <c r="D84" s="94">
        <v>5</v>
      </c>
      <c r="E84" s="94">
        <v>5</v>
      </c>
      <c r="F84" s="94">
        <v>4472.4</v>
      </c>
      <c r="G84" s="94">
        <v>8067.52</v>
      </c>
      <c r="H84" s="95">
        <f t="shared" si="3"/>
      </c>
      <c r="I84" s="96">
        <f t="shared" si="1"/>
      </c>
      <c r="J84" s="96">
        <f t="shared" si="2"/>
      </c>
      <c r="K84" s="94">
        <v>2</v>
      </c>
      <c r="L84" s="97">
        <v>2587.2</v>
      </c>
      <c r="M84" s="102" t="s">
        <v>274</v>
      </c>
      <c r="N84" s="99">
        <v>10</v>
      </c>
      <c r="O84" s="103"/>
      <c r="P84" s="99"/>
    </row>
    <row hidden="true" r="85">
      <c r="A85" s="92" t="s">
        <v>279</v>
      </c>
      <c r="B85" s="93" t="s">
        <v>241</v>
      </c>
      <c r="C85" s="94" t="s">
        <v>266</v>
      </c>
      <c r="D85" s="94">
        <v>5</v>
      </c>
      <c r="E85" s="94">
        <v>8</v>
      </c>
      <c r="F85" s="94">
        <v>9798</v>
      </c>
      <c r="G85" s="94">
        <v>7219.530000000001</v>
      </c>
      <c r="H85" s="95">
        <f t="shared" si="3"/>
      </c>
      <c r="I85" s="96">
        <f t="shared" si="1"/>
      </c>
      <c r="J85" s="96">
        <f t="shared" si="2"/>
      </c>
      <c r="K85" s="94">
        <v>1</v>
      </c>
      <c r="L85" s="97">
        <v>1663.1999999999998</v>
      </c>
      <c r="M85" s="102"/>
      <c r="N85" s="99"/>
      <c r="O85" s="103"/>
      <c r="P85" s="99"/>
    </row>
    <row hidden="true" r="86">
      <c r="A86" s="92" t="s">
        <v>279</v>
      </c>
      <c r="B86" s="100" t="s">
        <v>247</v>
      </c>
      <c r="C86" s="94" t="s">
        <v>267</v>
      </c>
      <c r="D86" s="94">
        <v>5</v>
      </c>
      <c r="E86" s="94">
        <v>7</v>
      </c>
      <c r="F86" s="94">
        <v>7639.200000000001</v>
      </c>
      <c r="G86" s="94">
        <v>11294.53</v>
      </c>
      <c r="H86" s="95">
        <f t="shared" si="3"/>
      </c>
      <c r="I86" s="96">
        <f t="shared" si="1"/>
      </c>
      <c r="J86" s="96">
        <f t="shared" si="2"/>
      </c>
      <c r="K86" s="94">
        <v>2</v>
      </c>
      <c r="L86" s="97">
        <v>2337.6</v>
      </c>
      <c r="M86" s="102" t="s">
        <v>272</v>
      </c>
      <c r="N86" s="100">
        <v>10</v>
      </c>
      <c r="O86" s="103" t="s">
        <v>254</v>
      </c>
      <c r="P86" s="99">
        <v>10</v>
      </c>
    </row>
    <row r="87">
      <c r="A87" s="104" t="s">
        <v>279</v>
      </c>
      <c r="B87" s="105"/>
      <c r="C87" s="105"/>
      <c r="D87" s="106">
        <f>SUM(D83:D86)</f>
      </c>
      <c r="E87" s="106">
        <f>SUM(E83:E86)</f>
      </c>
      <c r="F87" s="107">
        <f>SUM(F83:F86)</f>
      </c>
      <c r="G87" s="106">
        <f>SUM(G83:G86)</f>
      </c>
      <c r="H87" s="108">
        <f t="shared" si="3"/>
      </c>
      <c r="I87" s="108">
        <f t="shared" si="1"/>
      </c>
      <c r="J87" s="108">
        <f t="shared" si="2"/>
      </c>
      <c r="K87" s="106">
        <f>SUM(K83:K86)</f>
      </c>
      <c r="L87" s="109">
        <f>SUM(L83:L86)</f>
      </c>
      <c r="M87" s="110"/>
      <c r="N87" s="111">
        <f>SUM(N83:N86)</f>
      </c>
      <c r="O87" s="112"/>
      <c r="P87" s="111">
        <f>SUM(P83:P86)</f>
      </c>
    </row>
    <row hidden="true" r="88">
      <c r="A88" s="92" t="s">
        <v>280</v>
      </c>
      <c r="B88" s="93" t="s">
        <v>241</v>
      </c>
      <c r="C88" s="94" t="s">
        <v>263</v>
      </c>
      <c r="D88" s="94">
        <v>5</v>
      </c>
      <c r="E88" s="94">
        <v>8</v>
      </c>
      <c r="F88" s="94">
        <v>12171</v>
      </c>
      <c r="G88" s="94">
        <v>8263.73</v>
      </c>
      <c r="H88" s="95">
        <f t="shared" si="3"/>
      </c>
      <c r="I88" s="96">
        <f t="shared" si="1"/>
      </c>
      <c r="J88" s="96">
        <f t="shared" si="2"/>
      </c>
      <c r="K88" s="94">
        <v>2</v>
      </c>
      <c r="L88" s="97">
        <v>3086.4</v>
      </c>
      <c r="M88" s="98"/>
      <c r="N88" s="99"/>
      <c r="O88" s="100" t="s">
        <v>243</v>
      </c>
      <c r="P88" s="100">
        <v>10</v>
      </c>
    </row>
    <row hidden="true" r="89">
      <c r="A89" s="92" t="s">
        <v>280</v>
      </c>
      <c r="B89" s="93" t="s">
        <v>247</v>
      </c>
      <c r="C89" s="94" t="s">
        <v>264</v>
      </c>
      <c r="D89" s="94">
        <v>5</v>
      </c>
      <c r="E89" s="94">
        <v>15</v>
      </c>
      <c r="F89" s="94">
        <v>14834.400000000001</v>
      </c>
      <c r="G89" s="94">
        <v>16818.67</v>
      </c>
      <c r="H89" s="95">
        <f t="shared" si="3"/>
      </c>
      <c r="I89" s="96">
        <f t="shared" si="1"/>
      </c>
      <c r="J89" s="96">
        <f t="shared" si="2"/>
      </c>
      <c r="K89" s="94">
        <v>4</v>
      </c>
      <c r="L89" s="97">
        <v>3088.7999999999997</v>
      </c>
      <c r="M89" s="102" t="s">
        <v>274</v>
      </c>
      <c r="N89" s="99">
        <v>10</v>
      </c>
      <c r="O89" s="103"/>
      <c r="P89" s="99"/>
    </row>
    <row hidden="true" r="90">
      <c r="A90" s="92" t="s">
        <v>280</v>
      </c>
      <c r="B90" s="93" t="s">
        <v>244</v>
      </c>
      <c r="C90" s="94" t="s">
        <v>266</v>
      </c>
      <c r="D90" s="94">
        <v>5</v>
      </c>
      <c r="E90" s="94">
        <v>4</v>
      </c>
      <c r="F90" s="94">
        <v>8565.599999999999</v>
      </c>
      <c r="G90" s="94">
        <v>7337.110000000001</v>
      </c>
      <c r="H90" s="95">
        <f t="shared" si="3"/>
      </c>
      <c r="I90" s="96">
        <f t="shared" si="1"/>
      </c>
      <c r="J90" s="96">
        <f t="shared" si="2"/>
      </c>
      <c r="K90" s="94">
        <v>1</v>
      </c>
      <c r="L90" s="97">
        <v>1344</v>
      </c>
      <c r="M90" s="102"/>
      <c r="N90" s="99"/>
      <c r="O90" s="103"/>
      <c r="P90" s="99"/>
    </row>
    <row hidden="true" r="91">
      <c r="A91" s="92" t="s">
        <v>280</v>
      </c>
      <c r="B91" s="100" t="s">
        <v>249</v>
      </c>
      <c r="C91" s="94" t="s">
        <v>267</v>
      </c>
      <c r="D91" s="94">
        <v>5</v>
      </c>
      <c r="E91" s="94">
        <v>12</v>
      </c>
      <c r="F91" s="94">
        <v>15493.199999999997</v>
      </c>
      <c r="G91" s="94">
        <v>10293.449999999999</v>
      </c>
      <c r="H91" s="95">
        <f t="shared" si="3"/>
      </c>
      <c r="I91" s="96">
        <f t="shared" si="1"/>
      </c>
      <c r="J91" s="96">
        <f t="shared" si="2"/>
      </c>
      <c r="K91" s="94">
        <v>3</v>
      </c>
      <c r="L91" s="97">
        <v>3727.2</v>
      </c>
      <c r="M91" s="102" t="s">
        <v>272</v>
      </c>
      <c r="N91" s="100">
        <v>10</v>
      </c>
      <c r="O91" s="103" t="s">
        <v>254</v>
      </c>
      <c r="P91" s="99">
        <v>10</v>
      </c>
    </row>
    <row r="92">
      <c r="A92" s="104" t="s">
        <v>280</v>
      </c>
      <c r="B92" s="105"/>
      <c r="C92" s="105"/>
      <c r="D92" s="106">
        <f>SUM(D88:D91)</f>
      </c>
      <c r="E92" s="106">
        <f>SUM(E88:E91)</f>
      </c>
      <c r="F92" s="107">
        <f>SUM(F88:F91)</f>
      </c>
      <c r="G92" s="106">
        <f>SUM(G88:G91)</f>
      </c>
      <c r="H92" s="108">
        <f t="shared" si="3"/>
      </c>
      <c r="I92" s="108">
        <f t="shared" si="1"/>
      </c>
      <c r="J92" s="108">
        <f t="shared" si="2"/>
      </c>
      <c r="K92" s="106">
        <f>SUM(K88:K91)</f>
      </c>
      <c r="L92" s="109">
        <f>SUM(L88:L91)</f>
      </c>
      <c r="M92" s="110"/>
      <c r="N92" s="111">
        <f>SUM(N88:N91)</f>
      </c>
      <c r="O92" s="112"/>
      <c r="P92" s="111">
        <f>SUM(P88:P91)</f>
      </c>
    </row>
    <row hidden="true" r="93">
      <c r="A93" s="92" t="s">
        <v>281</v>
      </c>
      <c r="B93" s="93" t="s">
        <v>241</v>
      </c>
      <c r="C93" s="94" t="s">
        <v>263</v>
      </c>
      <c r="D93" s="94">
        <v>5</v>
      </c>
      <c r="E93" s="94">
        <v>5</v>
      </c>
      <c r="F93" s="94">
        <v>5473.2</v>
      </c>
      <c r="G93" s="94">
        <v>9579.59</v>
      </c>
      <c r="H93" s="95">
        <f t="shared" si="3"/>
      </c>
      <c r="I93" s="96">
        <f t="shared" si="1"/>
      </c>
      <c r="J93" s="96">
        <f t="shared" si="2"/>
      </c>
      <c r="K93" s="94">
        <v>2</v>
      </c>
      <c r="L93" s="97">
        <v>2455.2</v>
      </c>
      <c r="M93" s="98"/>
      <c r="N93" s="99"/>
      <c r="O93" s="100" t="s">
        <v>243</v>
      </c>
      <c r="P93" s="100">
        <v>10</v>
      </c>
    </row>
    <row hidden="true" r="94">
      <c r="A94" s="92" t="s">
        <v>281</v>
      </c>
      <c r="B94" s="93" t="s">
        <v>244</v>
      </c>
      <c r="C94" s="94" t="s">
        <v>264</v>
      </c>
      <c r="D94" s="94">
        <v>5</v>
      </c>
      <c r="E94" s="94">
        <v>7</v>
      </c>
      <c r="F94" s="94">
        <v>6631.2</v>
      </c>
      <c r="G94" s="94">
        <v>10390.53</v>
      </c>
      <c r="H94" s="95">
        <f t="shared" si="3"/>
      </c>
      <c r="I94" s="96">
        <f t="shared" si="1"/>
      </c>
      <c r="J94" s="96">
        <f t="shared" si="2"/>
      </c>
      <c r="K94" s="94">
        <v>0</v>
      </c>
      <c r="L94" s="97">
        <v>0</v>
      </c>
      <c r="M94" s="102" t="s">
        <v>274</v>
      </c>
      <c r="N94" s="99">
        <v>10</v>
      </c>
      <c r="O94" s="103"/>
      <c r="P94" s="99"/>
    </row>
    <row hidden="true" r="95">
      <c r="A95" s="92" t="s">
        <v>281</v>
      </c>
      <c r="B95" s="93" t="s">
        <v>249</v>
      </c>
      <c r="C95" s="94" t="s">
        <v>266</v>
      </c>
      <c r="D95" s="94">
        <v>5</v>
      </c>
      <c r="E95" s="94">
        <v>16</v>
      </c>
      <c r="F95" s="94">
        <v>22812</v>
      </c>
      <c r="G95" s="94">
        <v>13047.810000000001</v>
      </c>
      <c r="H95" s="95">
        <f t="shared" si="3"/>
      </c>
      <c r="I95" s="96">
        <f t="shared" si="1"/>
      </c>
      <c r="J95" s="96">
        <f t="shared" si="2"/>
      </c>
      <c r="K95" s="94">
        <v>3</v>
      </c>
      <c r="L95" s="97">
        <v>5366.4</v>
      </c>
      <c r="M95" s="102"/>
      <c r="N95" s="99"/>
      <c r="O95" s="103"/>
      <c r="P95" s="99"/>
    </row>
    <row hidden="true" r="96">
      <c r="A96" s="92" t="s">
        <v>281</v>
      </c>
      <c r="B96" s="100" t="s">
        <v>251</v>
      </c>
      <c r="C96" s="94" t="s">
        <v>267</v>
      </c>
      <c r="D96" s="94">
        <v>5</v>
      </c>
      <c r="E96" s="94">
        <v>14</v>
      </c>
      <c r="F96" s="94">
        <v>16708.199999999997</v>
      </c>
      <c r="G96" s="94">
        <v>12152.32</v>
      </c>
      <c r="H96" s="95">
        <f t="shared" si="3"/>
      </c>
      <c r="I96" s="96">
        <f t="shared" si="1"/>
      </c>
      <c r="J96" s="96">
        <f t="shared" si="2"/>
      </c>
      <c r="K96" s="94">
        <v>2</v>
      </c>
      <c r="L96" s="97">
        <v>1908.6000000000004</v>
      </c>
      <c r="M96" s="102" t="s">
        <v>272</v>
      </c>
      <c r="N96" s="100">
        <v>10</v>
      </c>
      <c r="O96" s="103" t="s">
        <v>254</v>
      </c>
      <c r="P96" s="99">
        <v>10</v>
      </c>
    </row>
    <row r="97">
      <c r="A97" s="104" t="s">
        <v>281</v>
      </c>
      <c r="B97" s="105"/>
      <c r="C97" s="105"/>
      <c r="D97" s="106">
        <f>SUM(D93:D96)</f>
      </c>
      <c r="E97" s="106">
        <f>SUM(E93:E96)</f>
      </c>
      <c r="F97" s="107">
        <f>SUM(F93:F96)</f>
      </c>
      <c r="G97" s="106">
        <f>SUM(G93:G96)</f>
      </c>
      <c r="H97" s="108">
        <f t="shared" si="3"/>
      </c>
      <c r="I97" s="108">
        <f t="shared" si="1"/>
      </c>
      <c r="J97" s="108">
        <f t="shared" si="2"/>
      </c>
      <c r="K97" s="106">
        <f>SUM(K93:K96)</f>
      </c>
      <c r="L97" s="109">
        <f>SUM(L93:L96)</f>
      </c>
      <c r="M97" s="110"/>
      <c r="N97" s="111">
        <f>SUM(N93:N96)</f>
      </c>
      <c r="O97" s="112"/>
      <c r="P97" s="111">
        <f>SUM(P93:P96)</f>
      </c>
    </row>
    <row hidden="true" r="98">
      <c r="A98" s="92" t="s">
        <v>282</v>
      </c>
      <c r="B98" s="93" t="s">
        <v>241</v>
      </c>
      <c r="C98" s="94" t="s">
        <v>263</v>
      </c>
      <c r="D98" s="94">
        <v>5</v>
      </c>
      <c r="E98" s="94">
        <v>14</v>
      </c>
      <c r="F98" s="94">
        <v>14576.4</v>
      </c>
      <c r="G98" s="94">
        <v>16033.789999999999</v>
      </c>
      <c r="H98" s="95">
        <f t="shared" si="3"/>
      </c>
      <c r="I98" s="96">
        <f t="shared" si="1"/>
      </c>
      <c r="J98" s="96">
        <f t="shared" si="2"/>
      </c>
      <c r="K98" s="94">
        <v>4</v>
      </c>
      <c r="L98" s="97">
        <v>5889.5999999999985</v>
      </c>
      <c r="M98" s="98"/>
      <c r="N98" s="99"/>
      <c r="O98" s="100" t="s">
        <v>243</v>
      </c>
      <c r="P98" s="100">
        <v>10</v>
      </c>
    </row>
    <row hidden="true" r="99">
      <c r="A99" s="92" t="s">
        <v>282</v>
      </c>
      <c r="B99" s="93" t="s">
        <v>244</v>
      </c>
      <c r="C99" s="94" t="s">
        <v>264</v>
      </c>
      <c r="D99" s="94">
        <v>5</v>
      </c>
      <c r="E99" s="94">
        <v>19</v>
      </c>
      <c r="F99" s="94">
        <v>30868.799999999996</v>
      </c>
      <c r="G99" s="94">
        <v>15841.289999999999</v>
      </c>
      <c r="H99" s="95">
        <f t="shared" si="3"/>
      </c>
      <c r="I99" s="96">
        <f t="shared" si="1"/>
      </c>
      <c r="J99" s="96">
        <f t="shared" si="2"/>
      </c>
      <c r="K99" s="94">
        <v>4</v>
      </c>
      <c r="L99" s="97">
        <v>6343.200000000001</v>
      </c>
      <c r="M99" s="102" t="s">
        <v>274</v>
      </c>
      <c r="N99" s="99">
        <v>10</v>
      </c>
      <c r="O99" s="103"/>
      <c r="P99" s="99"/>
    </row>
    <row hidden="true" r="100">
      <c r="A100" s="92" t="s">
        <v>282</v>
      </c>
      <c r="B100" s="93" t="s">
        <v>249</v>
      </c>
      <c r="C100" s="94" t="s">
        <v>266</v>
      </c>
      <c r="D100" s="94">
        <v>5</v>
      </c>
      <c r="E100" s="94">
        <v>26</v>
      </c>
      <c r="F100" s="94">
        <v>32715.800000000003</v>
      </c>
      <c r="G100" s="94">
        <v>21066.2</v>
      </c>
      <c r="H100" s="95">
        <f t="shared" si="3"/>
      </c>
      <c r="I100" s="96">
        <f t="shared" si="1"/>
      </c>
      <c r="J100" s="96">
        <f t="shared" si="2"/>
      </c>
      <c r="K100" s="94">
        <v>6</v>
      </c>
      <c r="L100" s="97">
        <v>9432</v>
      </c>
      <c r="M100" s="102"/>
      <c r="N100" s="99"/>
      <c r="O100" s="103"/>
      <c r="P100" s="99"/>
    </row>
    <row hidden="true" r="101">
      <c r="A101" s="92" t="s">
        <v>282</v>
      </c>
      <c r="B101" s="100" t="s">
        <v>251</v>
      </c>
      <c r="C101" s="94" t="s">
        <v>267</v>
      </c>
      <c r="D101" s="94">
        <v>5</v>
      </c>
      <c r="E101" s="94">
        <v>18</v>
      </c>
      <c r="F101" s="94">
        <v>23193</v>
      </c>
      <c r="G101" s="94">
        <v>19619.479999999996</v>
      </c>
      <c r="H101" s="95">
        <f t="shared" si="3"/>
      </c>
      <c r="I101" s="96">
        <f t="shared" si="1"/>
      </c>
      <c r="J101" s="96">
        <f t="shared" si="2"/>
      </c>
      <c r="K101" s="94">
        <v>1</v>
      </c>
      <c r="L101" s="97">
        <v>285.6000000000022</v>
      </c>
      <c r="M101" s="102" t="s">
        <v>272</v>
      </c>
      <c r="N101" s="100">
        <v>10</v>
      </c>
      <c r="O101" s="103" t="s">
        <v>254</v>
      </c>
      <c r="P101" s="99">
        <v>10</v>
      </c>
    </row>
    <row r="102">
      <c r="A102" s="104" t="s">
        <v>282</v>
      </c>
      <c r="B102" s="105"/>
      <c r="C102" s="105"/>
      <c r="D102" s="106">
        <f>SUM(D98:D101)</f>
      </c>
      <c r="E102" s="106">
        <f>SUM(E98:E101)</f>
      </c>
      <c r="F102" s="107">
        <f>SUM(F98:F101)</f>
      </c>
      <c r="G102" s="106">
        <f>SUM(G98:G101)</f>
      </c>
      <c r="H102" s="108">
        <f t="shared" si="3"/>
      </c>
      <c r="I102" s="108">
        <f t="shared" si="1"/>
      </c>
      <c r="J102" s="108">
        <f t="shared" si="2"/>
      </c>
      <c r="K102" s="106">
        <f>SUM(K98:K101)</f>
      </c>
      <c r="L102" s="109">
        <f>SUM(L98:L101)</f>
      </c>
      <c r="M102" s="110"/>
      <c r="N102" s="111">
        <f>SUM(N98:N101)</f>
      </c>
      <c r="O102" s="112"/>
      <c r="P102" s="111">
        <f>SUM(P98:P101)</f>
      </c>
    </row>
    <row hidden="true" r="103">
      <c r="A103" s="92" t="s">
        <v>283</v>
      </c>
      <c r="B103" s="93" t="s">
        <v>247</v>
      </c>
      <c r="C103" s="94" t="s">
        <v>263</v>
      </c>
      <c r="D103" s="94">
        <v>5</v>
      </c>
      <c r="E103" s="94">
        <v>17</v>
      </c>
      <c r="F103" s="94">
        <v>21942</v>
      </c>
      <c r="G103" s="94">
        <v>13482.7</v>
      </c>
      <c r="H103" s="95">
        <f t="shared" si="3"/>
      </c>
      <c r="I103" s="96">
        <f t="shared" si="1"/>
      </c>
      <c r="J103" s="96">
        <f t="shared" si="2"/>
      </c>
      <c r="K103" s="94">
        <v>7</v>
      </c>
      <c r="L103" s="97">
        <v>10315.199999999999</v>
      </c>
      <c r="M103" s="98"/>
      <c r="N103" s="99"/>
      <c r="O103" s="100" t="s">
        <v>243</v>
      </c>
      <c r="P103" s="100">
        <v>10</v>
      </c>
    </row>
    <row hidden="true" r="104">
      <c r="A104" s="92" t="s">
        <v>283</v>
      </c>
      <c r="B104" s="93" t="s">
        <v>249</v>
      </c>
      <c r="C104" s="94" t="s">
        <v>264</v>
      </c>
      <c r="D104" s="94">
        <v>5</v>
      </c>
      <c r="E104" s="94">
        <v>25</v>
      </c>
      <c r="F104" s="94">
        <v>37962.2</v>
      </c>
      <c r="G104" s="94">
        <v>19585.86</v>
      </c>
      <c r="H104" s="95">
        <f t="shared" si="3"/>
      </c>
      <c r="I104" s="96">
        <f t="shared" si="1"/>
      </c>
      <c r="J104" s="96">
        <f t="shared" si="2"/>
      </c>
      <c r="K104" s="94">
        <v>7</v>
      </c>
      <c r="L104" s="97">
        <v>14770.8</v>
      </c>
      <c r="M104" s="102" t="s">
        <v>274</v>
      </c>
      <c r="N104" s="99">
        <v>10</v>
      </c>
      <c r="O104" s="103"/>
      <c r="P104" s="99"/>
    </row>
    <row hidden="true" r="105">
      <c r="A105" s="92" t="s">
        <v>283</v>
      </c>
      <c r="B105" s="93" t="s">
        <v>251</v>
      </c>
      <c r="C105" s="94" t="s">
        <v>266</v>
      </c>
      <c r="D105" s="94">
        <v>5</v>
      </c>
      <c r="E105" s="94">
        <v>16</v>
      </c>
      <c r="F105" s="94">
        <v>21997.800000000003</v>
      </c>
      <c r="G105" s="94">
        <v>14786.369999999999</v>
      </c>
      <c r="H105" s="95">
        <f t="shared" si="3"/>
      </c>
      <c r="I105" s="96">
        <f t="shared" si="1"/>
      </c>
      <c r="J105" s="96">
        <f t="shared" si="2"/>
      </c>
      <c r="K105" s="94">
        <v>3</v>
      </c>
      <c r="L105" s="97">
        <v>5510.400000000001</v>
      </c>
      <c r="M105" s="102"/>
      <c r="N105" s="99"/>
      <c r="O105" s="103"/>
      <c r="P105" s="99"/>
    </row>
    <row hidden="true" r="106">
      <c r="A106" s="92" t="s">
        <v>283</v>
      </c>
      <c r="B106" s="100" t="s">
        <v>241</v>
      </c>
      <c r="C106" s="94" t="s">
        <v>267</v>
      </c>
      <c r="D106" s="94">
        <v>5</v>
      </c>
      <c r="E106" s="94">
        <v>11</v>
      </c>
      <c r="F106" s="94">
        <v>10360.800000000007</v>
      </c>
      <c r="G106" s="94">
        <v>13306.79</v>
      </c>
      <c r="H106" s="95">
        <f t="shared" si="3"/>
      </c>
      <c r="I106" s="96">
        <f t="shared" si="1"/>
      </c>
      <c r="J106" s="96">
        <f t="shared" si="2"/>
      </c>
      <c r="K106" s="94">
        <v>1</v>
      </c>
      <c r="L106" s="97">
        <v>264</v>
      </c>
      <c r="M106" s="102" t="s">
        <v>272</v>
      </c>
      <c r="N106" s="100">
        <v>10</v>
      </c>
      <c r="O106" s="103" t="s">
        <v>254</v>
      </c>
      <c r="P106" s="99">
        <v>10</v>
      </c>
    </row>
    <row r="107">
      <c r="A107" s="104" t="s">
        <v>283</v>
      </c>
      <c r="B107" s="105"/>
      <c r="C107" s="105"/>
      <c r="D107" s="106">
        <f>SUM(D103:D106)</f>
      </c>
      <c r="E107" s="106">
        <f>SUM(E103:E106)</f>
      </c>
      <c r="F107" s="107">
        <f>SUM(F103:F106)</f>
      </c>
      <c r="G107" s="106">
        <f>SUM(G103:G106)</f>
      </c>
      <c r="H107" s="108">
        <f t="shared" si="3"/>
      </c>
      <c r="I107" s="108">
        <f t="shared" si="1"/>
      </c>
      <c r="J107" s="108">
        <f t="shared" si="2"/>
      </c>
      <c r="K107" s="106">
        <f>SUM(K103:K106)</f>
      </c>
      <c r="L107" s="109">
        <f>SUM(L103:L106)</f>
      </c>
      <c r="M107" s="110"/>
      <c r="N107" s="111">
        <f>SUM(N103:N106)</f>
      </c>
      <c r="O107" s="112"/>
      <c r="P107" s="111">
        <f>SUM(P103:P106)</f>
      </c>
    </row>
    <row hidden="true" r="108">
      <c r="A108" s="92" t="s">
        <v>284</v>
      </c>
      <c r="B108" s="93" t="s">
        <v>247</v>
      </c>
      <c r="C108" s="94" t="s">
        <v>263</v>
      </c>
      <c r="D108" s="94">
        <v>5</v>
      </c>
      <c r="E108" s="94">
        <v>27</v>
      </c>
      <c r="F108" s="94">
        <v>38729.28</v>
      </c>
      <c r="G108" s="94">
        <v>22119.300000000003</v>
      </c>
      <c r="H108" s="95">
        <f t="shared" si="3"/>
      </c>
      <c r="I108" s="96">
        <f t="shared" si="1"/>
      </c>
      <c r="J108" s="96">
        <f t="shared" si="2"/>
      </c>
      <c r="K108" s="94">
        <v>7</v>
      </c>
      <c r="L108" s="97">
        <v>7259.999999999999</v>
      </c>
      <c r="M108" s="98"/>
      <c r="N108" s="99"/>
      <c r="O108" s="100" t="s">
        <v>243</v>
      </c>
      <c r="P108" s="100">
        <v>10</v>
      </c>
    </row>
    <row hidden="true" r="109">
      <c r="A109" s="92" t="s">
        <v>284</v>
      </c>
      <c r="B109" s="93" t="s">
        <v>249</v>
      </c>
      <c r="C109" s="94" t="s">
        <v>264</v>
      </c>
      <c r="D109" s="94">
        <v>5</v>
      </c>
      <c r="E109" s="94">
        <v>24</v>
      </c>
      <c r="F109" s="94">
        <v>31799.600000000006</v>
      </c>
      <c r="G109" s="94">
        <v>23182.079999999998</v>
      </c>
      <c r="H109" s="95">
        <f t="shared" si="3"/>
      </c>
      <c r="I109" s="96">
        <f t="shared" si="1"/>
      </c>
      <c r="J109" s="96">
        <f t="shared" si="2"/>
      </c>
      <c r="K109" s="94">
        <v>1</v>
      </c>
      <c r="L109" s="97">
        <v>775.2000000000007</v>
      </c>
      <c r="M109" s="102" t="s">
        <v>274</v>
      </c>
      <c r="N109" s="99">
        <v>10</v>
      </c>
      <c r="O109" s="103"/>
      <c r="P109" s="99"/>
    </row>
    <row hidden="true" r="110">
      <c r="A110" s="92" t="s">
        <v>284</v>
      </c>
      <c r="B110" s="93" t="s">
        <v>251</v>
      </c>
      <c r="C110" s="94" t="s">
        <v>266</v>
      </c>
      <c r="D110" s="94">
        <v>5</v>
      </c>
      <c r="E110" s="94">
        <v>25</v>
      </c>
      <c r="F110" s="94">
        <v>27732</v>
      </c>
      <c r="G110" s="94">
        <v>20170.099999999995</v>
      </c>
      <c r="H110" s="95">
        <f t="shared" si="3"/>
      </c>
      <c r="I110" s="96">
        <f t="shared" si="1"/>
      </c>
      <c r="J110" s="96">
        <f t="shared" si="2"/>
      </c>
      <c r="K110" s="94">
        <v>5</v>
      </c>
      <c r="L110" s="97">
        <v>7173.599999999999</v>
      </c>
      <c r="M110" s="102"/>
      <c r="N110" s="99"/>
      <c r="O110" s="103"/>
      <c r="P110" s="99"/>
    </row>
    <row hidden="true" r="111">
      <c r="A111" s="92" t="s">
        <v>284</v>
      </c>
      <c r="B111" s="100" t="s">
        <v>241</v>
      </c>
      <c r="C111" s="94" t="s">
        <v>267</v>
      </c>
      <c r="D111" s="94">
        <v>5</v>
      </c>
      <c r="E111" s="94">
        <v>17</v>
      </c>
      <c r="F111" s="94">
        <v>20713.199999999997</v>
      </c>
      <c r="G111" s="94">
        <v>17422.67</v>
      </c>
      <c r="H111" s="95">
        <f t="shared" si="3"/>
      </c>
      <c r="I111" s="96">
        <f t="shared" si="1"/>
      </c>
      <c r="J111" s="96">
        <f t="shared" si="2"/>
      </c>
      <c r="K111" s="94">
        <v>0</v>
      </c>
      <c r="L111" s="97">
        <v>0</v>
      </c>
      <c r="M111" s="102" t="s">
        <v>272</v>
      </c>
      <c r="N111" s="100">
        <v>10</v>
      </c>
      <c r="O111" s="103" t="s">
        <v>254</v>
      </c>
      <c r="P111" s="99">
        <v>10</v>
      </c>
    </row>
    <row r="112">
      <c r="A112" s="104" t="s">
        <v>284</v>
      </c>
      <c r="B112" s="105"/>
      <c r="C112" s="105"/>
      <c r="D112" s="106">
        <f>SUM(D108:D111)</f>
      </c>
      <c r="E112" s="106">
        <f>SUM(E108:E111)</f>
      </c>
      <c r="F112" s="107">
        <f>SUM(F108:F111)</f>
      </c>
      <c r="G112" s="106">
        <f>SUM(G108:G111)</f>
      </c>
      <c r="H112" s="108">
        <f t="shared" si="3"/>
      </c>
      <c r="I112" s="108">
        <f t="shared" si="1"/>
      </c>
      <c r="J112" s="108">
        <f t="shared" si="2"/>
      </c>
      <c r="K112" s="106">
        <f>SUM(K108:K111)</f>
      </c>
      <c r="L112" s="109">
        <f>SUM(L108:L111)</f>
      </c>
      <c r="M112" s="110"/>
      <c r="N112" s="111">
        <f>SUM(N108:N111)</f>
      </c>
      <c r="O112" s="112"/>
      <c r="P112" s="111">
        <f>SUM(P108:P111)</f>
      </c>
    </row>
    <row hidden="true" r="113">
      <c r="A113" s="92" t="s">
        <v>285</v>
      </c>
      <c r="B113" s="93" t="s">
        <v>249</v>
      </c>
      <c r="C113" s="94" t="s">
        <v>263</v>
      </c>
      <c r="D113" s="94">
        <v>5</v>
      </c>
      <c r="E113" s="94">
        <v>9</v>
      </c>
      <c r="F113" s="94">
        <v>8632.8</v>
      </c>
      <c r="G113" s="94">
        <v>17295.36</v>
      </c>
      <c r="H113" s="95">
        <f t="shared" si="3"/>
      </c>
      <c r="I113" s="96">
        <f t="shared" si="1"/>
      </c>
      <c r="J113" s="96">
        <f t="shared" si="2"/>
      </c>
      <c r="K113" s="94">
        <v>3</v>
      </c>
      <c r="L113" s="97">
        <v>3266.4</v>
      </c>
      <c r="M113" s="98"/>
      <c r="N113" s="99"/>
      <c r="O113" s="100" t="s">
        <v>243</v>
      </c>
      <c r="P113" s="100">
        <v>10</v>
      </c>
    </row>
    <row hidden="true" r="114">
      <c r="A114" s="92" t="s">
        <v>285</v>
      </c>
      <c r="B114" s="93" t="s">
        <v>251</v>
      </c>
      <c r="C114" s="94" t="s">
        <v>264</v>
      </c>
      <c r="D114" s="94">
        <v>5</v>
      </c>
      <c r="E114" s="94">
        <v>20</v>
      </c>
      <c r="F114" s="94">
        <v>29782.8</v>
      </c>
      <c r="G114" s="94">
        <v>19064.53</v>
      </c>
      <c r="H114" s="95">
        <f t="shared" si="3"/>
      </c>
      <c r="I114" s="96">
        <f t="shared" si="1"/>
      </c>
      <c r="J114" s="96">
        <f t="shared" si="2"/>
      </c>
      <c r="K114" s="94">
        <v>4</v>
      </c>
      <c r="L114" s="97">
        <v>6694.800000000001</v>
      </c>
      <c r="M114" s="102" t="s">
        <v>274</v>
      </c>
      <c r="N114" s="99">
        <v>10</v>
      </c>
      <c r="O114" s="103"/>
      <c r="P114" s="99"/>
    </row>
    <row hidden="true" r="115">
      <c r="A115" s="92" t="s">
        <v>285</v>
      </c>
      <c r="B115" s="93" t="s">
        <v>244</v>
      </c>
      <c r="C115" s="94" t="s">
        <v>266</v>
      </c>
      <c r="D115" s="94">
        <v>5</v>
      </c>
      <c r="E115" s="94">
        <v>15</v>
      </c>
      <c r="F115" s="94">
        <v>19727.800000000003</v>
      </c>
      <c r="G115" s="94">
        <v>12126.54</v>
      </c>
      <c r="H115" s="95">
        <f t="shared" si="3"/>
      </c>
      <c r="I115" s="96">
        <f t="shared" si="1"/>
      </c>
      <c r="J115" s="96">
        <f t="shared" si="2"/>
      </c>
      <c r="K115" s="94">
        <v>3</v>
      </c>
      <c r="L115" s="97">
        <v>4021.2000000000007</v>
      </c>
      <c r="M115" s="102"/>
      <c r="N115" s="99"/>
      <c r="O115" s="103"/>
      <c r="P115" s="99"/>
    </row>
    <row hidden="true" r="116">
      <c r="A116" s="92" t="s">
        <v>285</v>
      </c>
      <c r="B116" s="100" t="s">
        <v>247</v>
      </c>
      <c r="C116" s="94" t="s">
        <v>267</v>
      </c>
      <c r="D116" s="94">
        <v>5</v>
      </c>
      <c r="E116" s="94">
        <v>31</v>
      </c>
      <c r="F116" s="94">
        <v>45353.200000000004</v>
      </c>
      <c r="G116" s="94">
        <v>22725.54</v>
      </c>
      <c r="H116" s="95">
        <f t="shared" si="3"/>
      </c>
      <c r="I116" s="96">
        <f t="shared" si="1"/>
      </c>
      <c r="J116" s="96">
        <f t="shared" si="2"/>
      </c>
      <c r="K116" s="94">
        <v>6</v>
      </c>
      <c r="L116" s="97">
        <v>7190.399999999998</v>
      </c>
      <c r="M116" s="102" t="s">
        <v>272</v>
      </c>
      <c r="N116" s="100">
        <v>10</v>
      </c>
      <c r="O116" s="103" t="s">
        <v>254</v>
      </c>
      <c r="P116" s="99">
        <v>10</v>
      </c>
    </row>
    <row r="117">
      <c r="A117" s="104" t="s">
        <v>285</v>
      </c>
      <c r="B117" s="105"/>
      <c r="C117" s="105"/>
      <c r="D117" s="106">
        <f>SUM(D113:D116)</f>
      </c>
      <c r="E117" s="106">
        <f>SUM(E113:E116)</f>
      </c>
      <c r="F117" s="107">
        <f>SUM(F113:F116)</f>
      </c>
      <c r="G117" s="106">
        <f>SUM(G113:G116)</f>
      </c>
      <c r="H117" s="108">
        <f t="shared" si="3"/>
      </c>
      <c r="I117" s="108">
        <f t="shared" si="1"/>
      </c>
      <c r="J117" s="108">
        <f t="shared" si="2"/>
      </c>
      <c r="K117" s="106">
        <f>SUM(K113:K116)</f>
      </c>
      <c r="L117" s="109">
        <f>SUM(L113:L116)</f>
      </c>
      <c r="M117" s="110"/>
      <c r="N117" s="111">
        <f>SUM(N113:N116)</f>
      </c>
      <c r="O117" s="112"/>
      <c r="P117" s="111">
        <f>SUM(P113:P116)</f>
      </c>
    </row>
    <row hidden="true" r="118">
      <c r="A118" s="92" t="s">
        <v>286</v>
      </c>
      <c r="B118" s="93" t="s">
        <v>249</v>
      </c>
      <c r="C118" s="94" t="s">
        <v>263</v>
      </c>
      <c r="D118" s="94">
        <v>5</v>
      </c>
      <c r="E118" s="94">
        <v>16</v>
      </c>
      <c r="F118" s="94">
        <v>16605.4</v>
      </c>
      <c r="G118" s="94">
        <v>17105.23</v>
      </c>
      <c r="H118" s="95">
        <f t="shared" si="3"/>
      </c>
      <c r="I118" s="96">
        <f t="shared" si="1"/>
      </c>
      <c r="J118" s="96">
        <f t="shared" si="2"/>
      </c>
      <c r="K118" s="94">
        <v>3</v>
      </c>
      <c r="L118" s="97">
        <v>2085.3999999999996</v>
      </c>
      <c r="M118" s="98"/>
      <c r="N118" s="99"/>
      <c r="O118" s="100" t="s">
        <v>243</v>
      </c>
      <c r="P118" s="100">
        <v>10</v>
      </c>
    </row>
    <row hidden="true" r="119">
      <c r="A119" s="92" t="s">
        <v>286</v>
      </c>
      <c r="B119" s="93" t="s">
        <v>241</v>
      </c>
      <c r="C119" s="94" t="s">
        <v>264</v>
      </c>
      <c r="D119" s="94">
        <v>5</v>
      </c>
      <c r="E119" s="94">
        <v>11</v>
      </c>
      <c r="F119" s="94">
        <v>13709.599999999999</v>
      </c>
      <c r="G119" s="94">
        <v>15614.86</v>
      </c>
      <c r="H119" s="95">
        <f t="shared" si="3"/>
      </c>
      <c r="I119" s="96">
        <f t="shared" si="1"/>
      </c>
      <c r="J119" s="96">
        <f t="shared" si="2"/>
      </c>
      <c r="K119" s="94">
        <v>4</v>
      </c>
      <c r="L119" s="97">
        <v>5705.400000000001</v>
      </c>
      <c r="M119" s="102" t="s">
        <v>274</v>
      </c>
      <c r="N119" s="99">
        <v>10</v>
      </c>
      <c r="O119" s="103"/>
      <c r="P119" s="99"/>
    </row>
    <row hidden="true" r="120">
      <c r="A120" s="92" t="s">
        <v>286</v>
      </c>
      <c r="B120" s="93" t="s">
        <v>244</v>
      </c>
      <c r="C120" s="94" t="s">
        <v>266</v>
      </c>
      <c r="D120" s="94">
        <v>5</v>
      </c>
      <c r="E120" s="94">
        <v>12</v>
      </c>
      <c r="F120" s="94">
        <v>13709.599999999999</v>
      </c>
      <c r="G120" s="94">
        <v>8487.529999999999</v>
      </c>
      <c r="H120" s="95">
        <f t="shared" si="3"/>
      </c>
      <c r="I120" s="96">
        <f t="shared" si="1"/>
      </c>
      <c r="J120" s="96">
        <f t="shared" si="2"/>
      </c>
      <c r="K120" s="94">
        <v>4</v>
      </c>
      <c r="L120" s="97">
        <v>2510.4000000000015</v>
      </c>
      <c r="M120" s="102"/>
      <c r="N120" s="99"/>
      <c r="O120" s="103"/>
      <c r="P120" s="99"/>
    </row>
    <row hidden="true" r="121">
      <c r="A121" s="92" t="s">
        <v>286</v>
      </c>
      <c r="B121" s="100" t="s">
        <v>247</v>
      </c>
      <c r="C121" s="94" t="s">
        <v>267</v>
      </c>
      <c r="D121" s="94">
        <v>5</v>
      </c>
      <c r="E121" s="94">
        <v>36</v>
      </c>
      <c r="F121" s="94">
        <v>53252.399999999994</v>
      </c>
      <c r="G121" s="94">
        <v>19102.1</v>
      </c>
      <c r="H121" s="95">
        <f t="shared" si="3"/>
      </c>
      <c r="I121" s="96">
        <f t="shared" si="1"/>
      </c>
      <c r="J121" s="96">
        <f t="shared" si="2"/>
      </c>
      <c r="K121" s="94">
        <v>8</v>
      </c>
      <c r="L121" s="97">
        <v>15036.2</v>
      </c>
      <c r="M121" s="102" t="s">
        <v>272</v>
      </c>
      <c r="N121" s="100">
        <v>10</v>
      </c>
      <c r="O121" s="103" t="s">
        <v>254</v>
      </c>
      <c r="P121" s="99">
        <v>10</v>
      </c>
    </row>
    <row r="122">
      <c r="A122" s="104" t="s">
        <v>286</v>
      </c>
      <c r="B122" s="105"/>
      <c r="C122" s="105"/>
      <c r="D122" s="106">
        <f>SUM(D118:D121)</f>
      </c>
      <c r="E122" s="106">
        <f>SUM(E118:E121)</f>
      </c>
      <c r="F122" s="107">
        <f>SUM(F118:F121)</f>
      </c>
      <c r="G122" s="106">
        <f>SUM(G118:G121)</f>
      </c>
      <c r="H122" s="108">
        <f t="shared" si="3"/>
      </c>
      <c r="I122" s="108">
        <f t="shared" si="1"/>
      </c>
      <c r="J122" s="108">
        <f t="shared" si="2"/>
      </c>
      <c r="K122" s="106">
        <f>SUM(K118:K121)</f>
      </c>
      <c r="L122" s="109">
        <f>SUM(L118:L121)</f>
      </c>
      <c r="M122" s="110"/>
      <c r="N122" s="111">
        <f>SUM(N118:N121)</f>
      </c>
      <c r="O122" s="112"/>
      <c r="P122" s="111">
        <f>SUM(P118:P121)</f>
      </c>
    </row>
    <row hidden="true" r="123">
      <c r="A123" s="92" t="s">
        <v>287</v>
      </c>
      <c r="B123" s="93" t="s">
        <v>244</v>
      </c>
      <c r="C123" s="94" t="s">
        <v>263</v>
      </c>
      <c r="D123" s="94">
        <v>5</v>
      </c>
      <c r="E123" s="94">
        <v>13</v>
      </c>
      <c r="F123" s="94">
        <v>16557.72</v>
      </c>
      <c r="G123" s="94">
        <v>18486.82</v>
      </c>
      <c r="H123" s="95">
        <f t="shared" si="3"/>
      </c>
      <c r="I123" s="96">
        <f t="shared" si="1"/>
      </c>
      <c r="J123" s="96">
        <f t="shared" si="2"/>
      </c>
      <c r="K123" s="94">
        <v>8</v>
      </c>
      <c r="L123" s="97">
        <v>8464.92</v>
      </c>
      <c r="M123" s="98"/>
      <c r="N123" s="99"/>
      <c r="O123" s="100" t="s">
        <v>243</v>
      </c>
      <c r="P123" s="100">
        <v>10</v>
      </c>
    </row>
    <row hidden="true" r="124">
      <c r="A124" s="92" t="s">
        <v>287</v>
      </c>
      <c r="B124" s="93" t="s">
        <v>241</v>
      </c>
      <c r="C124" s="94" t="s">
        <v>264</v>
      </c>
      <c r="D124" s="94">
        <v>5</v>
      </c>
      <c r="E124" s="94">
        <v>14</v>
      </c>
      <c r="F124" s="94">
        <v>13850.4</v>
      </c>
      <c r="G124" s="94">
        <v>16765.940000000002</v>
      </c>
      <c r="H124" s="95">
        <f t="shared" si="3"/>
      </c>
      <c r="I124" s="96">
        <f t="shared" si="1"/>
      </c>
      <c r="J124" s="96">
        <f t="shared" si="2"/>
      </c>
      <c r="K124" s="94">
        <v>2</v>
      </c>
      <c r="L124" s="97">
        <v>4418.4</v>
      </c>
      <c r="M124" s="102" t="s">
        <v>274</v>
      </c>
      <c r="N124" s="99">
        <v>10</v>
      </c>
      <c r="O124" s="103"/>
      <c r="P124" s="99"/>
    </row>
    <row hidden="true" r="125">
      <c r="A125" s="92" t="s">
        <v>287</v>
      </c>
      <c r="B125" s="93" t="s">
        <v>247</v>
      </c>
      <c r="C125" s="94" t="s">
        <v>266</v>
      </c>
      <c r="D125" s="94">
        <v>5</v>
      </c>
      <c r="E125" s="94">
        <v>9</v>
      </c>
      <c r="F125" s="94">
        <v>8222.399999999998</v>
      </c>
      <c r="G125" s="94">
        <v>7779.71</v>
      </c>
      <c r="H125" s="95">
        <f t="shared" si="3"/>
      </c>
      <c r="I125" s="96">
        <f t="shared" si="1"/>
      </c>
      <c r="J125" s="96">
        <f t="shared" si="2"/>
      </c>
      <c r="K125" s="94">
        <v>3</v>
      </c>
      <c r="L125" s="97">
        <v>3213.5999999999976</v>
      </c>
      <c r="M125" s="102"/>
      <c r="N125" s="99"/>
      <c r="O125" s="103"/>
      <c r="P125" s="99"/>
    </row>
    <row hidden="true" r="126">
      <c r="A126" s="92" t="s">
        <v>287</v>
      </c>
      <c r="B126" s="100" t="s">
        <v>249</v>
      </c>
      <c r="C126" s="94" t="s">
        <v>267</v>
      </c>
      <c r="D126" s="94">
        <v>5</v>
      </c>
      <c r="E126" s="94">
        <v>28</v>
      </c>
      <c r="F126" s="94">
        <v>36744.00000000001</v>
      </c>
      <c r="G126" s="94">
        <v>17342.640000000003</v>
      </c>
      <c r="H126" s="95">
        <f t="shared" si="3"/>
      </c>
      <c r="I126" s="96">
        <f t="shared" si="1"/>
      </c>
      <c r="J126" s="96">
        <f t="shared" si="2"/>
      </c>
      <c r="K126" s="94">
        <v>3</v>
      </c>
      <c r="L126" s="97">
        <v>2179.2000000000007</v>
      </c>
      <c r="M126" s="102" t="s">
        <v>272</v>
      </c>
      <c r="N126" s="100">
        <v>10</v>
      </c>
      <c r="O126" s="103" t="s">
        <v>254</v>
      </c>
      <c r="P126" s="99">
        <v>10</v>
      </c>
    </row>
    <row r="127">
      <c r="A127" s="104" t="s">
        <v>287</v>
      </c>
      <c r="B127" s="105"/>
      <c r="C127" s="105"/>
      <c r="D127" s="106">
        <f>SUM(D123:D126)</f>
      </c>
      <c r="E127" s="106">
        <f>SUM(E123:E126)</f>
      </c>
      <c r="F127" s="107">
        <f>SUM(F123:F126)</f>
      </c>
      <c r="G127" s="106">
        <f>SUM(G123:G126)</f>
      </c>
      <c r="H127" s="108">
        <f t="shared" si="3"/>
      </c>
      <c r="I127" s="108">
        <f t="shared" si="1"/>
      </c>
      <c r="J127" s="108">
        <f t="shared" si="2"/>
      </c>
      <c r="K127" s="106">
        <f>SUM(K123:K126)</f>
      </c>
      <c r="L127" s="109">
        <f>SUM(L123:L126)</f>
      </c>
      <c r="M127" s="110"/>
      <c r="N127" s="111">
        <f>SUM(N123:N126)</f>
      </c>
      <c r="O127" s="112"/>
      <c r="P127" s="111">
        <f>SUM(P123:P126)</f>
      </c>
    </row>
    <row hidden="true" r="128">
      <c r="A128" s="92" t="s">
        <v>288</v>
      </c>
      <c r="B128" s="93" t="s">
        <v>244</v>
      </c>
      <c r="C128" s="94" t="s">
        <v>263</v>
      </c>
      <c r="D128" s="94">
        <v>5</v>
      </c>
      <c r="E128" s="94">
        <v>10</v>
      </c>
      <c r="F128" s="94">
        <v>15182.4</v>
      </c>
      <c r="G128" s="94">
        <v>18115.64</v>
      </c>
      <c r="H128" s="95">
        <f t="shared" si="3"/>
      </c>
      <c r="I128" s="96">
        <f t="shared" si="1"/>
      </c>
      <c r="J128" s="96">
        <f t="shared" si="2"/>
      </c>
      <c r="K128" s="94">
        <v>2</v>
      </c>
      <c r="L128" s="97">
        <v>2071.2</v>
      </c>
      <c r="M128" s="98"/>
      <c r="N128" s="99"/>
      <c r="O128" s="100" t="s">
        <v>243</v>
      </c>
      <c r="P128" s="100">
        <v>10</v>
      </c>
    </row>
    <row hidden="true" r="129">
      <c r="A129" s="92" t="s">
        <v>288</v>
      </c>
      <c r="B129" s="93" t="s">
        <v>241</v>
      </c>
      <c r="C129" s="94" t="s">
        <v>264</v>
      </c>
      <c r="D129" s="94">
        <v>5</v>
      </c>
      <c r="E129" s="94">
        <v>15</v>
      </c>
      <c r="F129" s="94">
        <v>23750.4</v>
      </c>
      <c r="G129" s="94">
        <v>10388.73</v>
      </c>
      <c r="H129" s="95">
        <f t="shared" si="3"/>
      </c>
      <c r="I129" s="96">
        <f t="shared" si="1"/>
      </c>
      <c r="J129" s="96">
        <f t="shared" si="2"/>
      </c>
      <c r="K129" s="94">
        <v>4</v>
      </c>
      <c r="L129" s="97">
        <v>7266.000000000001</v>
      </c>
      <c r="M129" s="102" t="s">
        <v>274</v>
      </c>
      <c r="N129" s="99">
        <v>10</v>
      </c>
      <c r="O129" s="103"/>
      <c r="P129" s="99"/>
    </row>
    <row hidden="true" r="130">
      <c r="A130" s="92" t="s">
        <v>288</v>
      </c>
      <c r="B130" s="93" t="s">
        <v>247</v>
      </c>
      <c r="C130" s="94" t="s">
        <v>266</v>
      </c>
      <c r="D130" s="94">
        <v>5</v>
      </c>
      <c r="E130" s="94">
        <v>9</v>
      </c>
      <c r="F130" s="94">
        <v>16435.199999999997</v>
      </c>
      <c r="G130" s="94">
        <v>11794.68</v>
      </c>
      <c r="H130" s="95">
        <f t="shared" si="3"/>
      </c>
      <c r="I130" s="96">
        <f t="shared" si="1"/>
      </c>
      <c r="J130" s="96">
        <f t="shared" si="2"/>
      </c>
      <c r="K130" s="94">
        <v>5</v>
      </c>
      <c r="L130" s="97">
        <v>7869.5999999999985</v>
      </c>
      <c r="M130" s="102"/>
      <c r="N130" s="99"/>
      <c r="O130" s="103"/>
      <c r="P130" s="99"/>
    </row>
    <row hidden="true" r="131">
      <c r="A131" s="92" t="s">
        <v>288</v>
      </c>
      <c r="B131" s="100" t="s">
        <v>249</v>
      </c>
      <c r="C131" s="94" t="s">
        <v>267</v>
      </c>
      <c r="D131" s="94">
        <v>5</v>
      </c>
      <c r="E131" s="94">
        <v>16</v>
      </c>
      <c r="F131" s="94">
        <v>23938.600000000006</v>
      </c>
      <c r="G131" s="94">
        <v>13899.19</v>
      </c>
      <c r="H131" s="95">
        <f t="shared" si="3"/>
      </c>
      <c r="I131" s="96">
        <f t="shared" si="1"/>
      </c>
      <c r="J131" s="96">
        <f t="shared" si="2"/>
      </c>
      <c r="K131" s="94">
        <v>1</v>
      </c>
      <c r="L131" s="97">
        <v>1344</v>
      </c>
      <c r="M131" s="102" t="s">
        <v>272</v>
      </c>
      <c r="N131" s="100">
        <v>10</v>
      </c>
      <c r="O131" s="103" t="s">
        <v>254</v>
      </c>
      <c r="P131" s="99">
        <v>10</v>
      </c>
    </row>
    <row r="132">
      <c r="A132" s="104" t="s">
        <v>288</v>
      </c>
      <c r="B132" s="105"/>
      <c r="C132" s="105"/>
      <c r="D132" s="106">
        <f>SUM(D128:D131)</f>
      </c>
      <c r="E132" s="106">
        <f>SUM(E128:E131)</f>
      </c>
      <c r="F132" s="107">
        <f>SUM(F128:F131)</f>
      </c>
      <c r="G132" s="106">
        <f>SUM(G128:G131)</f>
      </c>
      <c r="H132" s="108">
        <f t="shared" si="3"/>
      </c>
      <c r="I132" s="108">
        <f t="shared" si="1"/>
      </c>
      <c r="J132" s="108">
        <f t="shared" si="2"/>
      </c>
      <c r="K132" s="106">
        <f>SUM(K128:K131)</f>
      </c>
      <c r="L132" s="109">
        <f>SUM(L128:L131)</f>
      </c>
      <c r="M132" s="110"/>
      <c r="N132" s="111">
        <f>SUM(N128:N131)</f>
      </c>
      <c r="O132" s="112"/>
      <c r="P132" s="111">
        <f>SUM(P128:P131)</f>
      </c>
    </row>
    <row hidden="true" r="133">
      <c r="A133" s="92" t="s">
        <v>289</v>
      </c>
      <c r="B133" s="93" t="s">
        <v>247</v>
      </c>
      <c r="C133" s="94" t="s">
        <v>263</v>
      </c>
      <c r="D133" s="94">
        <v>5</v>
      </c>
      <c r="E133" s="94">
        <v>4</v>
      </c>
      <c r="F133" s="94">
        <v>7269.6</v>
      </c>
      <c r="G133" s="94">
        <v>10337.800000000001</v>
      </c>
      <c r="H133" s="95">
        <f t="shared" si="3"/>
      </c>
      <c r="I133" s="96">
        <f t="shared" si="1"/>
      </c>
      <c r="J133" s="96">
        <f t="shared" si="2"/>
      </c>
      <c r="K133" s="94">
        <v>2</v>
      </c>
      <c r="L133" s="97">
        <v>3170.4</v>
      </c>
      <c r="M133" s="98"/>
      <c r="N133" s="99"/>
      <c r="O133" s="100" t="s">
        <v>243</v>
      </c>
      <c r="P133" s="100">
        <v>10</v>
      </c>
    </row>
    <row hidden="true" r="134">
      <c r="A134" s="92" t="s">
        <v>289</v>
      </c>
      <c r="B134" s="93" t="s">
        <v>251</v>
      </c>
      <c r="C134" s="94" t="s">
        <v>264</v>
      </c>
      <c r="D134" s="94">
        <v>5</v>
      </c>
      <c r="E134" s="94">
        <v>8</v>
      </c>
      <c r="F134" s="94">
        <v>10162.800000000001</v>
      </c>
      <c r="G134" s="94">
        <v>11678.130000000001</v>
      </c>
      <c r="H134" s="95">
        <f t="shared" si="3"/>
      </c>
      <c r="I134" s="96">
        <f t="shared" si="1"/>
      </c>
      <c r="J134" s="96">
        <f t="shared" si="2"/>
      </c>
      <c r="K134" s="94">
        <v>2</v>
      </c>
      <c r="L134" s="97">
        <v>2438.4</v>
      </c>
      <c r="M134" s="102" t="s">
        <v>274</v>
      </c>
      <c r="N134" s="99">
        <v>10</v>
      </c>
      <c r="O134" s="103"/>
      <c r="P134" s="99"/>
    </row>
    <row hidden="true" r="135">
      <c r="A135" s="92" t="s">
        <v>289</v>
      </c>
      <c r="B135" s="93" t="s">
        <v>249</v>
      </c>
      <c r="C135" s="94" t="s">
        <v>266</v>
      </c>
      <c r="D135" s="94">
        <v>5</v>
      </c>
      <c r="E135" s="94">
        <v>20</v>
      </c>
      <c r="F135" s="94">
        <v>21461.799999999996</v>
      </c>
      <c r="G135" s="94">
        <v>14691.029999999999</v>
      </c>
      <c r="H135" s="95">
        <f t="shared" si="3"/>
      </c>
      <c r="I135" s="96">
        <f t="shared" si="1"/>
      </c>
      <c r="J135" s="96">
        <f t="shared" si="2"/>
      </c>
      <c r="K135" s="94">
        <v>4</v>
      </c>
      <c r="L135" s="97">
        <v>5078.400000000001</v>
      </c>
      <c r="M135" s="102"/>
      <c r="N135" s="99"/>
      <c r="O135" s="103"/>
      <c r="P135" s="99"/>
    </row>
    <row hidden="true" r="136">
      <c r="A136" s="92" t="s">
        <v>289</v>
      </c>
      <c r="B136" s="100" t="s">
        <v>244</v>
      </c>
      <c r="C136" s="94" t="s">
        <v>267</v>
      </c>
      <c r="D136" s="94">
        <v>5</v>
      </c>
      <c r="E136" s="94">
        <v>12</v>
      </c>
      <c r="F136" s="94">
        <v>17713.200000000004</v>
      </c>
      <c r="G136" s="94">
        <v>11165.23</v>
      </c>
      <c r="H136" s="95">
        <f t="shared" si="3"/>
      </c>
      <c r="I136" s="96">
        <f t="shared" si="1"/>
      </c>
      <c r="J136" s="96">
        <f t="shared" si="2"/>
      </c>
      <c r="K136" s="94">
        <v>2</v>
      </c>
      <c r="L136" s="97">
        <v>2114.4000000000015</v>
      </c>
      <c r="M136" s="102" t="s">
        <v>272</v>
      </c>
      <c r="N136" s="100">
        <v>10</v>
      </c>
      <c r="O136" s="103" t="s">
        <v>254</v>
      </c>
      <c r="P136" s="99">
        <v>10</v>
      </c>
    </row>
    <row r="137">
      <c r="A137" s="104" t="s">
        <v>289</v>
      </c>
      <c r="B137" s="105"/>
      <c r="C137" s="105"/>
      <c r="D137" s="106">
        <f>SUM(D133:D136)</f>
      </c>
      <c r="E137" s="106">
        <f>SUM(E133:E136)</f>
      </c>
      <c r="F137" s="107">
        <f>SUM(F133:F136)</f>
      </c>
      <c r="G137" s="106">
        <f>SUM(G133:G136)</f>
      </c>
      <c r="H137" s="108">
        <f t="shared" si="3"/>
      </c>
      <c r="I137" s="108">
        <f t="shared" si="1"/>
      </c>
      <c r="J137" s="108">
        <f t="shared" si="2"/>
      </c>
      <c r="K137" s="106">
        <f>SUM(K133:K136)</f>
      </c>
      <c r="L137" s="109">
        <f>SUM(L133:L136)</f>
      </c>
      <c r="M137" s="110"/>
      <c r="N137" s="111">
        <f>SUM(N133:N136)</f>
      </c>
      <c r="O137" s="112"/>
      <c r="P137" s="111">
        <f>SUM(P133:P136)</f>
      </c>
    </row>
    <row hidden="true" r="138">
      <c r="A138" s="92" t="s">
        <v>290</v>
      </c>
      <c r="B138" s="93" t="s">
        <v>247</v>
      </c>
      <c r="C138" s="94" t="s">
        <v>263</v>
      </c>
      <c r="D138" s="94">
        <v>5</v>
      </c>
      <c r="E138" s="94">
        <v>17</v>
      </c>
      <c r="F138" s="94">
        <v>27858.8</v>
      </c>
      <c r="G138" s="94">
        <v>14476.97</v>
      </c>
      <c r="H138" s="95">
        <f t="shared" si="3"/>
      </c>
      <c r="I138" s="96">
        <f t="shared" si="1"/>
      </c>
      <c r="J138" s="96">
        <f t="shared" si="2"/>
      </c>
      <c r="K138" s="94">
        <v>3</v>
      </c>
      <c r="L138" s="97">
        <v>4418.4</v>
      </c>
      <c r="M138" s="98"/>
      <c r="N138" s="99"/>
      <c r="O138" s="100" t="s">
        <v>243</v>
      </c>
      <c r="P138" s="100">
        <v>10</v>
      </c>
    </row>
    <row hidden="true" r="139">
      <c r="A139" s="92" t="s">
        <v>290</v>
      </c>
      <c r="B139" s="93" t="s">
        <v>249</v>
      </c>
      <c r="C139" s="94" t="s">
        <v>264</v>
      </c>
      <c r="D139" s="94">
        <v>5</v>
      </c>
      <c r="E139" s="94">
        <v>8</v>
      </c>
      <c r="F139" s="94">
        <v>8976.000000000004</v>
      </c>
      <c r="G139" s="94">
        <v>18663.31</v>
      </c>
      <c r="H139" s="95">
        <f t="shared" si="3"/>
      </c>
      <c r="I139" s="96">
        <f t="shared" si="1"/>
      </c>
      <c r="J139" s="96">
        <f t="shared" si="2"/>
      </c>
      <c r="K139" s="94">
        <v>2</v>
      </c>
      <c r="L139" s="97">
        <v>1960.8</v>
      </c>
      <c r="M139" s="102" t="s">
        <v>274</v>
      </c>
      <c r="N139" s="99">
        <v>10</v>
      </c>
      <c r="O139" s="103"/>
      <c r="P139" s="99"/>
    </row>
    <row hidden="true" r="140">
      <c r="A140" s="92" t="s">
        <v>290</v>
      </c>
      <c r="B140" s="93" t="s">
        <v>251</v>
      </c>
      <c r="C140" s="94" t="s">
        <v>266</v>
      </c>
      <c r="D140" s="94">
        <v>5</v>
      </c>
      <c r="E140" s="94">
        <v>3</v>
      </c>
      <c r="F140" s="94">
        <v>3799.199999999997</v>
      </c>
      <c r="G140" s="94">
        <v>7126.070000000001</v>
      </c>
      <c r="H140" s="95">
        <f t="shared" si="3"/>
      </c>
      <c r="I140" s="96">
        <f t="shared" si="1"/>
      </c>
      <c r="J140" s="96">
        <f t="shared" si="2"/>
      </c>
      <c r="K140" s="94">
        <v>0</v>
      </c>
      <c r="L140" s="97">
        <v>0</v>
      </c>
      <c r="M140" s="102"/>
      <c r="N140" s="99"/>
      <c r="O140" s="103"/>
      <c r="P140" s="99"/>
    </row>
    <row hidden="true" r="141">
      <c r="A141" s="92" t="s">
        <v>290</v>
      </c>
      <c r="B141" s="100" t="s">
        <v>244</v>
      </c>
      <c r="C141" s="94" t="s">
        <v>267</v>
      </c>
      <c r="D141" s="94">
        <v>5</v>
      </c>
      <c r="E141" s="94">
        <v>16</v>
      </c>
      <c r="F141" s="94">
        <v>32514</v>
      </c>
      <c r="G141" s="94">
        <v>12156.160000000002</v>
      </c>
      <c r="H141" s="95">
        <f t="shared" si="3"/>
      </c>
      <c r="I141" s="96">
        <f t="shared" si="1"/>
      </c>
      <c r="J141" s="96">
        <f t="shared" si="2"/>
      </c>
      <c r="K141" s="94">
        <v>1</v>
      </c>
      <c r="L141" s="97">
        <v>1344</v>
      </c>
      <c r="M141" s="102" t="s">
        <v>272</v>
      </c>
      <c r="N141" s="100">
        <v>10</v>
      </c>
      <c r="O141" s="103" t="s">
        <v>254</v>
      </c>
      <c r="P141" s="99">
        <v>10</v>
      </c>
    </row>
    <row r="142">
      <c r="A142" s="104" t="s">
        <v>290</v>
      </c>
      <c r="B142" s="105"/>
      <c r="C142" s="105"/>
      <c r="D142" s="106">
        <f>SUM(D138:D141)</f>
      </c>
      <c r="E142" s="106">
        <f>SUM(E138:E141)</f>
      </c>
      <c r="F142" s="107">
        <f>SUM(F138:F141)</f>
      </c>
      <c r="G142" s="106">
        <f>SUM(G138:G141)</f>
      </c>
      <c r="H142" s="108">
        <f t="shared" si="3"/>
      </c>
      <c r="I142" s="108">
        <f t="shared" si="1"/>
      </c>
      <c r="J142" s="108">
        <f t="shared" si="2"/>
      </c>
      <c r="K142" s="106">
        <f>SUM(K138:K141)</f>
      </c>
      <c r="L142" s="109">
        <f>SUM(L138:L141)</f>
      </c>
      <c r="M142" s="110"/>
      <c r="N142" s="111">
        <f>SUM(N138:N141)</f>
      </c>
      <c r="O142" s="112"/>
      <c r="P142" s="111">
        <f>SUM(P138:P141)</f>
      </c>
    </row>
    <row hidden="true" r="143">
      <c r="A143" s="92" t="s">
        <v>291</v>
      </c>
      <c r="B143" s="93" t="s">
        <v>249</v>
      </c>
      <c r="C143" s="94" t="s">
        <v>263</v>
      </c>
      <c r="D143" s="94">
        <v>5</v>
      </c>
      <c r="E143" s="94">
        <v>18</v>
      </c>
      <c r="F143" s="94">
        <v>21595.2</v>
      </c>
      <c r="G143" s="94">
        <v>16356.440000000002</v>
      </c>
      <c r="H143" s="95">
        <f t="shared" si="3"/>
      </c>
      <c r="I143" s="96">
        <f t="shared" si="1"/>
      </c>
      <c r="J143" s="96">
        <f t="shared" si="2"/>
      </c>
      <c r="K143" s="94">
        <v>3</v>
      </c>
      <c r="L143" s="97">
        <v>3818.3999999999987</v>
      </c>
      <c r="M143" s="98"/>
      <c r="N143" s="99"/>
      <c r="O143" s="100" t="s">
        <v>243</v>
      </c>
      <c r="P143" s="100">
        <v>10</v>
      </c>
    </row>
    <row hidden="true" r="144">
      <c r="A144" s="92" t="s">
        <v>291</v>
      </c>
      <c r="B144" s="93" t="s">
        <v>251</v>
      </c>
      <c r="C144" s="94" t="s">
        <v>264</v>
      </c>
      <c r="D144" s="94">
        <v>5</v>
      </c>
      <c r="E144" s="94">
        <v>9</v>
      </c>
      <c r="F144" s="94">
        <v>11157.599999999999</v>
      </c>
      <c r="G144" s="94">
        <v>13365.349999999999</v>
      </c>
      <c r="H144" s="95">
        <f t="shared" si="3"/>
      </c>
      <c r="I144" s="96">
        <f t="shared" si="1"/>
      </c>
      <c r="J144" s="96">
        <f t="shared" si="2"/>
      </c>
      <c r="K144" s="94">
        <v>3</v>
      </c>
      <c r="L144" s="97">
        <v>3554.4000000000005</v>
      </c>
      <c r="M144" s="102" t="s">
        <v>274</v>
      </c>
      <c r="N144" s="99">
        <v>10</v>
      </c>
      <c r="O144" s="103"/>
      <c r="P144" s="99"/>
    </row>
    <row hidden="true" r="145">
      <c r="A145" s="92" t="s">
        <v>291</v>
      </c>
      <c r="B145" s="93" t="s">
        <v>244</v>
      </c>
      <c r="C145" s="94" t="s">
        <v>266</v>
      </c>
      <c r="D145" s="94">
        <v>5</v>
      </c>
      <c r="E145" s="94">
        <v>34</v>
      </c>
      <c r="F145" s="94">
        <v>42026.2</v>
      </c>
      <c r="G145" s="94">
        <v>17968.12</v>
      </c>
      <c r="H145" s="95">
        <f t="shared" si="3"/>
      </c>
      <c r="I145" s="96">
        <f t="shared" si="1"/>
      </c>
      <c r="J145" s="96">
        <f t="shared" si="2"/>
      </c>
      <c r="K145" s="94">
        <v>8</v>
      </c>
      <c r="L145" s="97">
        <v>8008.799999999999</v>
      </c>
      <c r="M145" s="102"/>
      <c r="N145" s="99"/>
      <c r="O145" s="103"/>
      <c r="P145" s="99"/>
    </row>
    <row hidden="true" r="146">
      <c r="A146" s="92" t="s">
        <v>291</v>
      </c>
      <c r="B146" s="100" t="s">
        <v>241</v>
      </c>
      <c r="C146" s="94" t="s">
        <v>267</v>
      </c>
      <c r="D146" s="94">
        <v>5</v>
      </c>
      <c r="E146" s="94">
        <v>18</v>
      </c>
      <c r="F146" s="94">
        <v>19955.880000000005</v>
      </c>
      <c r="G146" s="94">
        <v>20646.359999999997</v>
      </c>
      <c r="H146" s="95">
        <f t="shared" si="3"/>
      </c>
      <c r="I146" s="96">
        <f t="shared" si="1"/>
      </c>
      <c r="J146" s="96">
        <f t="shared" si="2"/>
      </c>
      <c r="K146" s="94">
        <v>2</v>
      </c>
      <c r="L146" s="97">
        <v>1857.6000000000022</v>
      </c>
      <c r="M146" s="102" t="s">
        <v>272</v>
      </c>
      <c r="N146" s="100">
        <v>10</v>
      </c>
      <c r="O146" s="103" t="s">
        <v>254</v>
      </c>
      <c r="P146" s="99">
        <v>10</v>
      </c>
    </row>
    <row r="147">
      <c r="A147" s="104" t="s">
        <v>291</v>
      </c>
      <c r="B147" s="105"/>
      <c r="C147" s="105"/>
      <c r="D147" s="106">
        <f>SUM(D143:D146)</f>
      </c>
      <c r="E147" s="106">
        <f>SUM(E143:E146)</f>
      </c>
      <c r="F147" s="107">
        <f>SUM(F143:F146)</f>
      </c>
      <c r="G147" s="106">
        <f>SUM(G143:G146)</f>
      </c>
      <c r="H147" s="108">
        <f t="shared" si="3"/>
      </c>
      <c r="I147" s="108">
        <f t="shared" si="1"/>
      </c>
      <c r="J147" s="108">
        <f t="shared" si="2"/>
      </c>
      <c r="K147" s="106">
        <f>SUM(K143:K146)</f>
      </c>
      <c r="L147" s="109">
        <f>SUM(L143:L146)</f>
      </c>
      <c r="M147" s="110"/>
      <c r="N147" s="111">
        <f>SUM(N143:N146)</f>
      </c>
      <c r="O147" s="112"/>
      <c r="P147" s="111">
        <f>SUM(P143:P146)</f>
      </c>
    </row>
    <row hidden="true" r="148">
      <c r="A148" s="92" t="s">
        <v>292</v>
      </c>
      <c r="B148" s="93" t="s">
        <v>249</v>
      </c>
      <c r="C148" s="94" t="s">
        <v>263</v>
      </c>
      <c r="D148" s="94">
        <v>5</v>
      </c>
      <c r="E148" s="94">
        <v>14</v>
      </c>
      <c r="F148" s="94">
        <v>18334.2</v>
      </c>
      <c r="G148" s="94">
        <v>17392.19</v>
      </c>
      <c r="H148" s="95">
        <f t="shared" si="3"/>
      </c>
      <c r="I148" s="96">
        <f t="shared" si="1"/>
      </c>
      <c r="J148" s="96">
        <f t="shared" si="2"/>
      </c>
      <c r="K148" s="94">
        <v>1</v>
      </c>
      <c r="L148" s="97">
        <v>1584</v>
      </c>
      <c r="M148" s="98"/>
      <c r="N148" s="99"/>
      <c r="O148" s="100" t="s">
        <v>243</v>
      </c>
      <c r="P148" s="100">
        <v>10</v>
      </c>
    </row>
    <row hidden="true" r="149">
      <c r="A149" s="92" t="s">
        <v>292</v>
      </c>
      <c r="B149" s="93" t="s">
        <v>251</v>
      </c>
      <c r="C149" s="94" t="s">
        <v>264</v>
      </c>
      <c r="D149" s="94">
        <v>5</v>
      </c>
      <c r="E149" s="94">
        <v>21</v>
      </c>
      <c r="F149" s="94">
        <v>30761.639999999996</v>
      </c>
      <c r="G149" s="94">
        <v>21113.27</v>
      </c>
      <c r="H149" s="95">
        <f t="shared" si="3"/>
      </c>
      <c r="I149" s="96">
        <f t="shared" si="1"/>
      </c>
      <c r="J149" s="96">
        <f t="shared" si="2"/>
      </c>
      <c r="K149" s="94">
        <v>7</v>
      </c>
      <c r="L149" s="97">
        <v>15018.599999999997</v>
      </c>
      <c r="M149" s="102" t="s">
        <v>293</v>
      </c>
      <c r="N149" s="99">
        <v>10</v>
      </c>
      <c r="O149" s="103"/>
      <c r="P149" s="99"/>
    </row>
    <row customHeight="true" hidden="true" ht="16.071428571428573" r="150">
      <c r="A150" s="92" t="s">
        <v>292</v>
      </c>
      <c r="B150" s="93" t="s">
        <v>244</v>
      </c>
      <c r="C150" s="94" t="s">
        <v>266</v>
      </c>
      <c r="D150" s="94">
        <v>5</v>
      </c>
      <c r="E150" s="94">
        <v>18</v>
      </c>
      <c r="F150" s="94">
        <v>25539.600000000006</v>
      </c>
      <c r="G150" s="94">
        <v>14880.73</v>
      </c>
      <c r="H150" s="95">
        <f t="shared" si="3"/>
      </c>
      <c r="I150" s="96">
        <f t="shared" si="1"/>
      </c>
      <c r="J150" s="96">
        <f t="shared" si="2"/>
      </c>
      <c r="K150" s="94">
        <v>2</v>
      </c>
      <c r="L150" s="97">
        <v>1682.3999999999996</v>
      </c>
      <c r="M150" s="102"/>
      <c r="N150" s="99"/>
      <c r="O150" s="103"/>
      <c r="P150" s="99"/>
    </row>
    <row customHeight="true" hidden="true" ht="16.071428571428573" r="151">
      <c r="A151" s="92" t="s">
        <v>292</v>
      </c>
      <c r="B151" s="100" t="s">
        <v>241</v>
      </c>
      <c r="C151" s="94" t="s">
        <v>294</v>
      </c>
      <c r="D151" s="94">
        <v>4</v>
      </c>
      <c r="E151" s="94">
        <v>16</v>
      </c>
      <c r="F151" s="94">
        <v>18895.199999999997</v>
      </c>
      <c r="G151" s="94">
        <v>13933.66</v>
      </c>
      <c r="H151" s="95">
        <f t="shared" si="3"/>
      </c>
      <c r="I151" s="96">
        <f t="shared" si="1"/>
      </c>
      <c r="J151" s="96">
        <f t="shared" si="2"/>
      </c>
      <c r="K151" s="94">
        <v>4</v>
      </c>
      <c r="L151" s="97">
        <v>3357.5999999999985</v>
      </c>
      <c r="M151" s="102" t="s">
        <v>295</v>
      </c>
      <c r="N151" s="100">
        <v>9</v>
      </c>
      <c r="O151" s="103" t="s">
        <v>254</v>
      </c>
      <c r="P151" s="99">
        <v>9</v>
      </c>
    </row>
    <row customHeight="true" ht="16.071428571428573" r="152">
      <c r="A152" s="104" t="s">
        <v>292</v>
      </c>
      <c r="B152" s="105"/>
      <c r="C152" s="105"/>
      <c r="D152" s="106">
        <f>SUM(D148:D151)</f>
      </c>
      <c r="E152" s="106">
        <f>SUM(E148:E151)</f>
      </c>
      <c r="F152" s="107">
        <f>SUM(F148:F151)</f>
      </c>
      <c r="G152" s="106">
        <f>SUM(G148:G151)</f>
      </c>
      <c r="H152" s="108">
        <f t="shared" si="3"/>
      </c>
      <c r="I152" s="108">
        <f t="shared" si="1"/>
      </c>
      <c r="J152" s="108">
        <f t="shared" si="2"/>
      </c>
      <c r="K152" s="106">
        <f>SUM(K148:K151)</f>
      </c>
      <c r="L152" s="109">
        <f>SUM(L148:L151)</f>
      </c>
      <c r="M152" s="110"/>
      <c r="N152" s="111">
        <f>SUM(N148:N151)</f>
      </c>
      <c r="O152" s="112"/>
      <c r="P152" s="111">
        <f>SUM(P148:P151)</f>
      </c>
    </row>
    <row customHeight="true" hidden="true" ht="16.071428571428573" r="153">
      <c r="A153" s="92" t="s">
        <v>296</v>
      </c>
      <c r="B153" s="93" t="s">
        <v>251</v>
      </c>
      <c r="C153" s="94" t="s">
        <v>263</v>
      </c>
      <c r="D153" s="113">
        <f>5-1.5</f>
      </c>
      <c r="E153" s="94">
        <v>6</v>
      </c>
      <c r="F153" s="94">
        <v>8003.8</v>
      </c>
      <c r="G153" s="94">
        <v>7513.66</v>
      </c>
      <c r="H153" s="95">
        <f t="shared" si="3"/>
      </c>
      <c r="I153" s="96">
        <f t="shared" si="1"/>
      </c>
      <c r="J153" s="96">
        <f t="shared" si="2"/>
      </c>
      <c r="K153" s="94">
        <v>1</v>
      </c>
      <c r="L153" s="97">
        <v>2407.2</v>
      </c>
      <c r="M153" s="98"/>
      <c r="N153" s="99"/>
      <c r="O153" s="100" t="s">
        <v>243</v>
      </c>
      <c r="P153" s="100">
        <v>10</v>
      </c>
    </row>
    <row customHeight="true" hidden="true" ht="16.071428571428573" r="154">
      <c r="A154" s="92" t="s">
        <v>296</v>
      </c>
      <c r="B154" s="93" t="s">
        <v>244</v>
      </c>
      <c r="C154" s="94" t="s">
        <v>264</v>
      </c>
      <c r="D154" s="94">
        <v>5</v>
      </c>
      <c r="E154" s="94">
        <v>7</v>
      </c>
      <c r="F154" s="94">
        <v>10658.400000000001</v>
      </c>
      <c r="G154" s="94">
        <v>10090.38</v>
      </c>
      <c r="H154" s="95">
        <f t="shared" si="3"/>
      </c>
      <c r="I154" s="96">
        <f t="shared" si="1"/>
      </c>
      <c r="J154" s="96">
        <f t="shared" si="2"/>
      </c>
      <c r="K154" s="94">
        <v>1</v>
      </c>
      <c r="L154" s="97">
        <v>1663.2</v>
      </c>
      <c r="M154" s="102" t="s">
        <v>297</v>
      </c>
      <c r="N154" s="99">
        <v>10</v>
      </c>
      <c r="O154" s="103"/>
      <c r="P154" s="99"/>
    </row>
    <row customHeight="true" hidden="true" ht="16.071428571428573" r="155">
      <c r="A155" s="92" t="s">
        <v>296</v>
      </c>
      <c r="B155" s="93" t="s">
        <v>241</v>
      </c>
      <c r="C155" s="94" t="s">
        <v>266</v>
      </c>
      <c r="D155" s="94">
        <v>5</v>
      </c>
      <c r="E155" s="94">
        <v>9</v>
      </c>
      <c r="F155" s="94">
        <v>12288</v>
      </c>
      <c r="G155" s="94">
        <v>10716.810000000001</v>
      </c>
      <c r="H155" s="95">
        <f t="shared" si="3"/>
      </c>
      <c r="I155" s="96">
        <f t="shared" si="1"/>
      </c>
      <c r="J155" s="96">
        <f t="shared" si="2"/>
      </c>
      <c r="K155" s="94">
        <v>2</v>
      </c>
      <c r="L155" s="97">
        <v>2779.2000000000007</v>
      </c>
      <c r="M155" s="102"/>
      <c r="N155" s="99"/>
      <c r="O155" s="103"/>
      <c r="P155" s="99"/>
    </row>
    <row customHeight="true" hidden="true" ht="16.071428571428573" r="156">
      <c r="A156" s="92" t="s">
        <v>296</v>
      </c>
      <c r="B156" s="100" t="s">
        <v>247</v>
      </c>
      <c r="C156" s="94" t="s">
        <v>267</v>
      </c>
      <c r="D156" s="94">
        <v>5</v>
      </c>
      <c r="E156" s="94">
        <v>23</v>
      </c>
      <c r="F156" s="94">
        <v>22195.2</v>
      </c>
      <c r="G156" s="94">
        <v>17335</v>
      </c>
      <c r="H156" s="95">
        <f t="shared" si="3"/>
      </c>
      <c r="I156" s="96">
        <f t="shared" si="1"/>
      </c>
      <c r="J156" s="96">
        <f t="shared" si="2"/>
      </c>
      <c r="K156" s="94">
        <v>6</v>
      </c>
      <c r="L156" s="97">
        <v>4626</v>
      </c>
      <c r="M156" s="102" t="s">
        <v>272</v>
      </c>
      <c r="N156" s="100">
        <v>10</v>
      </c>
      <c r="O156" s="103" t="s">
        <v>254</v>
      </c>
      <c r="P156" s="99">
        <v>10</v>
      </c>
    </row>
    <row customHeight="true" ht="16.071428571428573" r="157">
      <c r="A157" s="104" t="s">
        <v>296</v>
      </c>
      <c r="B157" s="105"/>
      <c r="C157" s="105"/>
      <c r="D157" s="106">
        <f>SUM(D153:D156)</f>
      </c>
      <c r="E157" s="106">
        <f>SUM(E153:E156)</f>
      </c>
      <c r="F157" s="107">
        <f>SUM(F153:F156)</f>
      </c>
      <c r="G157" s="106">
        <f>SUM(G153:G156)</f>
      </c>
      <c r="H157" s="108">
        <f t="shared" si="3"/>
      </c>
      <c r="I157" s="108">
        <f t="shared" si="1"/>
      </c>
      <c r="J157" s="108">
        <f t="shared" si="2"/>
      </c>
      <c r="K157" s="106">
        <f>SUM(K153:K156)</f>
      </c>
      <c r="L157" s="109">
        <f>SUM(L153:L156)</f>
      </c>
      <c r="M157" s="110"/>
      <c r="N157" s="111">
        <f>SUM(N153:N156)</f>
      </c>
      <c r="O157" s="112"/>
      <c r="P157" s="111">
        <f>SUM(P153:P156)</f>
      </c>
    </row>
    <row customHeight="true" hidden="true" ht="16.071428571428573" r="158">
      <c r="A158" s="92" t="s">
        <v>298</v>
      </c>
      <c r="B158" s="93" t="s">
        <v>249</v>
      </c>
      <c r="C158" s="94" t="s">
        <v>263</v>
      </c>
      <c r="D158" s="113">
        <f>5-0.5</f>
      </c>
      <c r="E158" s="94">
        <v>28</v>
      </c>
      <c r="F158" s="94">
        <v>37250.4</v>
      </c>
      <c r="G158" s="94">
        <v>18558.04</v>
      </c>
      <c r="H158" s="95">
        <f t="shared" si="3"/>
      </c>
      <c r="I158" s="96">
        <f t="shared" si="1"/>
      </c>
      <c r="J158" s="96">
        <f t="shared" si="2"/>
      </c>
      <c r="K158" s="94">
        <v>9</v>
      </c>
      <c r="L158" s="97">
        <v>12132</v>
      </c>
      <c r="M158" s="98"/>
      <c r="N158" s="99"/>
      <c r="O158" s="100" t="s">
        <v>243</v>
      </c>
      <c r="P158" s="100">
        <v>10</v>
      </c>
    </row>
    <row customHeight="true" hidden="true" ht="16.071428571428573" r="159">
      <c r="A159" s="92" t="s">
        <v>298</v>
      </c>
      <c r="B159" s="93" t="s">
        <v>241</v>
      </c>
      <c r="C159" s="94" t="s">
        <v>264</v>
      </c>
      <c r="D159" s="94">
        <v>5</v>
      </c>
      <c r="E159" s="94">
        <v>17</v>
      </c>
      <c r="F159" s="94">
        <v>27681.6</v>
      </c>
      <c r="G159" s="94">
        <v>23209.35</v>
      </c>
      <c r="H159" s="95">
        <f t="shared" si="3"/>
      </c>
      <c r="I159" s="96">
        <f t="shared" si="1"/>
      </c>
      <c r="J159" s="96">
        <f t="shared" si="2"/>
      </c>
      <c r="K159" s="94">
        <v>5</v>
      </c>
      <c r="L159" s="97">
        <v>10069.2</v>
      </c>
      <c r="M159" s="102" t="s">
        <v>274</v>
      </c>
      <c r="N159" s="99">
        <v>10</v>
      </c>
      <c r="O159" s="103"/>
      <c r="P159" s="99"/>
    </row>
    <row customHeight="true" hidden="true" ht="16.071428571428573" r="160">
      <c r="A160" s="92" t="s">
        <v>298</v>
      </c>
      <c r="B160" s="93" t="s">
        <v>244</v>
      </c>
      <c r="C160" s="94" t="s">
        <v>266</v>
      </c>
      <c r="D160" s="113">
        <f t="shared" ref="D160:D161" si="0">5-1</f>
      </c>
      <c r="E160" s="94">
        <v>13</v>
      </c>
      <c r="F160" s="94">
        <v>17242.800000000003</v>
      </c>
      <c r="G160" s="94">
        <v>10326.49</v>
      </c>
      <c r="H160" s="95">
        <f t="shared" si="3"/>
      </c>
      <c r="I160" s="96">
        <f t="shared" si="1"/>
      </c>
      <c r="J160" s="96">
        <f t="shared" si="2"/>
      </c>
      <c r="K160" s="94">
        <v>2</v>
      </c>
      <c r="L160" s="97">
        <v>4922.399999999998</v>
      </c>
      <c r="M160" s="102"/>
      <c r="N160" s="99"/>
      <c r="O160" s="103"/>
      <c r="P160" s="99"/>
    </row>
    <row customHeight="true" hidden="true" ht="16.071428571428573" r="161">
      <c r="A161" s="92" t="s">
        <v>298</v>
      </c>
      <c r="B161" s="100" t="s">
        <v>247</v>
      </c>
      <c r="C161" s="94" t="s">
        <v>267</v>
      </c>
      <c r="D161" s="113">
        <f t="shared" si="0"/>
      </c>
      <c r="E161" s="94">
        <v>26</v>
      </c>
      <c r="F161" s="94">
        <v>32156</v>
      </c>
      <c r="G161" s="94">
        <v>16432.62</v>
      </c>
      <c r="H161" s="95">
        <f t="shared" si="3"/>
      </c>
      <c r="I161" s="96">
        <f t="shared" si="1"/>
      </c>
      <c r="J161" s="96">
        <f t="shared" si="2"/>
      </c>
      <c r="K161" s="94">
        <v>4</v>
      </c>
      <c r="L161" s="97">
        <v>6691.200000000004</v>
      </c>
      <c r="M161" s="102" t="s">
        <v>272</v>
      </c>
      <c r="N161" s="100">
        <v>10</v>
      </c>
      <c r="O161" s="103" t="s">
        <v>254</v>
      </c>
      <c r="P161" s="99">
        <v>10</v>
      </c>
    </row>
    <row customHeight="true" ht="16.071428571428573" r="162">
      <c r="A162" s="104" t="s">
        <v>298</v>
      </c>
      <c r="B162" s="105"/>
      <c r="C162" s="105"/>
      <c r="D162" s="106">
        <f>SUM(D158:D161)</f>
      </c>
      <c r="E162" s="106">
        <f>SUM(E158:E161)</f>
      </c>
      <c r="F162" s="107">
        <f>SUM(F158:F161)</f>
      </c>
      <c r="G162" s="106">
        <f>SUM(G158:G161)</f>
      </c>
      <c r="H162" s="108">
        <f t="shared" si="3"/>
      </c>
      <c r="I162" s="108">
        <f t="shared" si="1"/>
      </c>
      <c r="J162" s="108">
        <f t="shared" si="2"/>
      </c>
      <c r="K162" s="106">
        <f>SUM(K158:K161)</f>
      </c>
      <c r="L162" s="109">
        <f>SUM(L158:L161)</f>
      </c>
      <c r="M162" s="110"/>
      <c r="N162" s="111">
        <f>SUM(N158:N161)</f>
      </c>
      <c r="O162" s="112"/>
      <c r="P162" s="111">
        <f>SUM(P158:P161)</f>
      </c>
    </row>
    <row customHeight="true" ht="16.071428571428573" r="163">
      <c r="G163" s="114"/>
      <c r="H163" s="114"/>
      <c r="I163" s="114"/>
      <c r="J163" s="115"/>
      <c r="K163" s="116"/>
    </row>
    <row customHeight="true" ht="16.071428571428573" r="164">
      <c r="G164" s="114"/>
      <c r="H164" s="114"/>
      <c r="I164" s="114"/>
      <c r="J164" s="115"/>
      <c r="K164" s="116"/>
    </row>
    <row customHeight="true" ht="16.071428571428573" r="165">
      <c r="G165" s="114"/>
      <c r="H165" s="114"/>
      <c r="I165" s="114"/>
      <c r="J165" s="115"/>
      <c r="K165" s="116"/>
    </row>
    <row customHeight="true" ht="16.071428571428573" r="166">
      <c r="G166" s="114"/>
      <c r="H166" s="114"/>
      <c r="I166" s="114"/>
      <c r="J166" s="115"/>
      <c r="K166" s="116"/>
    </row>
    <row customHeight="true" ht="16.071428571428573" r="167">
      <c r="I167" s="117"/>
      <c r="J167" s="117"/>
    </row>
    <row customHeight="true" ht="16.071428571428573" r="168">
      <c r="I168" s="114"/>
      <c r="J168" s="114"/>
    </row>
    <row customHeight="true" ht="16.071428571428573" r="169">
      <c r="I169" s="114"/>
      <c r="J169" s="114"/>
    </row>
    <row customHeight="true" ht="16.071428571428573" r="170">
      <c r="I170" s="114"/>
      <c r="J170" s="114"/>
    </row>
    <row customHeight="true" ht="16.071428571428573" r="171">
      <c r="I171" s="114"/>
      <c r="J171" s="114"/>
    </row>
    <row customHeight="true" ht="16.071428571428573" r="172">
      <c r="I172" s="114"/>
      <c r="J172" s="114"/>
    </row>
    <row customHeight="true" ht="16.071428571428573" r="173"/>
    <row customHeight="true" ht="16.071428571428573" r="174"/>
    <row customHeight="true" ht="16.071428571428573" r="175"/>
    <row customHeight="true" ht="16.071428571428573" r="176"/>
    <row customHeight="true" ht="16.071428571428573" r="177"/>
    <row customHeight="true" ht="16.071428571428573" r="178">
      <c r="G178" s="114"/>
      <c r="H178" s="114"/>
      <c r="I178" s="114"/>
      <c r="J178" s="118"/>
    </row>
    <row customHeight="true" ht="16.071428571428573" r="179">
      <c r="G179" s="114"/>
      <c r="H179" s="114"/>
      <c r="I179" s="114"/>
      <c r="J179" s="118"/>
    </row>
    <row customHeight="true" ht="16.071428571428573" r="180">
      <c r="G180" s="114"/>
      <c r="H180" s="114"/>
      <c r="I180" s="114"/>
      <c r="J180" s="118"/>
    </row>
    <row customHeight="true" ht="16.071428571428573" r="181">
      <c r="G181" s="114"/>
      <c r="H181" s="114"/>
      <c r="I181" s="114"/>
      <c r="J181" s="118"/>
    </row>
    <row customHeight="true" ht="16.071428571428573" r="182">
      <c r="G182" s="114"/>
      <c r="H182" s="114"/>
      <c r="I182" s="114"/>
      <c r="J182" s="118"/>
    </row>
    <row customHeight="true" ht="16.071428571428573" r="183">
      <c r="G183" s="114"/>
      <c r="H183" s="114"/>
      <c r="I183" s="114"/>
      <c r="J183" s="118"/>
    </row>
    <row customHeight="true" ht="16.071428571428573" r="184">
      <c r="G184" s="114"/>
      <c r="H184" s="114"/>
      <c r="I184" s="114"/>
      <c r="J184" s="118"/>
    </row>
    <row customHeight="true" ht="16.071428571428573" r="185">
      <c r="G185" s="114"/>
      <c r="H185" s="114"/>
      <c r="I185" s="114"/>
      <c r="J185" s="118"/>
    </row>
    <row customHeight="true" ht="16.071428571428573" r="186">
      <c r="G186" s="114"/>
      <c r="H186" s="114"/>
      <c r="I186" s="114"/>
      <c r="J186" s="118"/>
    </row>
    <row customHeight="true" ht="16.071428571428573" r="187">
      <c r="G187" s="114"/>
      <c r="H187" s="114"/>
      <c r="I187" s="114"/>
      <c r="J187" s="118"/>
    </row>
    <row customHeight="true" ht="16.071428571428573" r="188">
      <c r="G188" s="114"/>
      <c r="H188" s="114"/>
      <c r="I188" s="114"/>
      <c r="J188" s="118"/>
    </row>
    <row customHeight="true" ht="16.071428571428573" r="189">
      <c r="G189" s="114"/>
      <c r="H189" s="114"/>
      <c r="I189" s="114"/>
      <c r="J189" s="118"/>
    </row>
    <row customHeight="true" ht="16.071428571428573" r="190">
      <c r="G190" s="114"/>
      <c r="H190" s="114"/>
      <c r="I190" s="114"/>
      <c r="J190" s="118"/>
    </row>
    <row customHeight="true" ht="16.071428571428573" r="191">
      <c r="G191" s="114"/>
      <c r="H191" s="114"/>
      <c r="I191" s="114"/>
      <c r="J191" s="118"/>
    </row>
    <row customHeight="true" ht="16.071428571428573" r="192">
      <c r="G192" s="114"/>
      <c r="H192" s="114"/>
      <c r="I192" s="114"/>
      <c r="J192" s="118"/>
    </row>
    <row customHeight="true" ht="16.071428571428573" r="193">
      <c r="G193" s="114"/>
      <c r="H193" s="114"/>
      <c r="I193" s="114"/>
      <c r="J193" s="118"/>
    </row>
    <row customHeight="true" ht="16.071428571428573" r="194">
      <c r="G194" s="114"/>
      <c r="H194" s="114"/>
      <c r="I194" s="114"/>
      <c r="J194" s="118"/>
    </row>
    <row customHeight="true" ht="16.071428571428573" r="195">
      <c r="G195" s="114"/>
      <c r="H195" s="114"/>
      <c r="I195" s="114"/>
      <c r="J195" s="118"/>
    </row>
    <row customHeight="true" ht="16.071428571428573" r="196">
      <c r="G196" s="114"/>
      <c r="H196" s="114"/>
      <c r="I196" s="114"/>
      <c r="J196" s="118"/>
    </row>
    <row customHeight="true" ht="16.071428571428573" r="197">
      <c r="G197" s="114"/>
      <c r="H197" s="114"/>
      <c r="I197" s="114"/>
      <c r="J197" s="118"/>
    </row>
    <row customHeight="true" ht="16.071428571428573" r="198">
      <c r="G198" s="114"/>
      <c r="H198" s="114"/>
      <c r="I198" s="114"/>
      <c r="J198" s="118"/>
    </row>
    <row customHeight="true" ht="16.071428571428573" r="199">
      <c r="G199" s="114"/>
      <c r="H199" s="114"/>
      <c r="I199" s="114"/>
      <c r="J199" s="118"/>
    </row>
    <row customHeight="true" ht="16.071428571428573" r="200">
      <c r="G200" s="114"/>
      <c r="H200" s="114"/>
      <c r="I200" s="114"/>
      <c r="J200" s="118"/>
    </row>
    <row customHeight="true" ht="16.071428571428573" r="201">
      <c r="G201" s="114"/>
      <c r="H201" s="114"/>
      <c r="I201" s="114"/>
      <c r="J201" s="118"/>
    </row>
    <row customHeight="true" ht="16.071428571428573" r="202">
      <c r="G202" s="114"/>
      <c r="H202" s="114"/>
      <c r="I202" s="114"/>
      <c r="J202" s="118"/>
    </row>
    <row customHeight="true" ht="16.071428571428573" r="203">
      <c r="G203" s="114"/>
      <c r="H203" s="114"/>
      <c r="I203" s="114"/>
      <c r="J203" s="118"/>
    </row>
    <row customHeight="true" ht="16.071428571428573" r="204">
      <c r="G204" s="114"/>
      <c r="H204" s="114"/>
      <c r="I204" s="114"/>
      <c r="J204" s="118"/>
    </row>
    <row customHeight="true" ht="16.071428571428573" r="205">
      <c r="G205" s="114"/>
      <c r="H205" s="114"/>
      <c r="I205" s="114"/>
      <c r="J205" s="118"/>
    </row>
    <row customHeight="true" ht="16.071428571428573" r="206">
      <c r="G206" s="114"/>
      <c r="H206" s="114"/>
      <c r="I206" s="114"/>
      <c r="J206" s="118"/>
    </row>
    <row customHeight="true" ht="16.071428571428573" r="207">
      <c r="G207" s="114"/>
      <c r="H207" s="114"/>
      <c r="I207" s="114"/>
      <c r="J207" s="118"/>
    </row>
    <row customHeight="true" ht="16.071428571428573" r="208">
      <c r="G208" s="114"/>
      <c r="H208" s="114"/>
      <c r="I208" s="114"/>
      <c r="J208" s="118"/>
    </row>
    <row customHeight="true" ht="16.071428571428573" r="209">
      <c r="G209" s="114"/>
      <c r="H209" s="114"/>
      <c r="I209" s="114"/>
      <c r="J209" s="118"/>
    </row>
    <row customHeight="true" ht="16.071428571428573" r="210">
      <c r="G210" s="114"/>
      <c r="H210" s="114"/>
      <c r="I210" s="114"/>
      <c r="J210" s="118"/>
    </row>
    <row r="211">
      <c r="G211" s="114"/>
      <c r="H211" s="114"/>
      <c r="J211" s="118"/>
    </row>
    <row r="212">
      <c r="G212" s="114"/>
      <c r="H212" s="114"/>
      <c r="J212" s="118"/>
    </row>
    <row r="213">
      <c r="J213" s="118"/>
    </row>
    <row r="214">
      <c r="J214" s="118"/>
    </row>
    <row r="215">
      <c r="J215" s="118"/>
    </row>
  </sheetData>
  <autoFilter ref="A1:P162">
    <filterColumn colId="1">
      <filters blank="true"/>
    </filterColumn>
  </autoFilter>
  <dataValidations count="2">
    <dataValidation allowBlank="true" errorStyle="stop" showErrorMessage="true" sqref="B83:B83 B88:B91 B93:B96 B98:B101 B103:B106 B108:B111 B113:B116 B118:B121 B123:B126 B128:B131 B133:B136 B138:B141 B143:B146 B148:B151 B153:B156 B158:B161" type="list">
      <formula1>"刘慕涵,林育菁,栗敏纳,张晓薇,连贝贝,郝铭扬"</formula1>
    </dataValidation>
    <dataValidation allowBlank="true" errorStyle="stop" showErrorMessage="true" sqref="B2:B6 B8:B12 B14:B18 B20:B24 B26:B30 B32:B36 B38:B41 B43:B46 B48:B51 B53:B56 B58:B61 B63:B66 B68:B71 B73:B76 B78:B81 B84:B86" type="list">
      <formula1>"刘慕涵,林育菁,郝旭靓,栗敏纳,张晓薇,杜思利,连贝贝,陈梓栩,郝铭扬"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5" min="5" style="0" width="11.211267605633802"/>
    <col collapsed="false" customWidth="true" hidden="false" max="10" min="10" style="0" width="11.211267605633802"/>
    <col collapsed="false" customWidth="true" hidden="false" max="13" min="13" style="0" width="12.64480633802817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2" min="12" style="0" width="12.64480633802817"/>
    <col collapsed="false" customWidth="true" hidden="false" max="16" min="16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2.64480633802817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4" min="14" style="0" width="11.211267605633802"/>
  </cols>
  <sheetData>
    <row r="1">
      <c r="A1" s="119" t="s">
        <v>299</v>
      </c>
      <c r="B1" s="120" t="s">
        <v>300</v>
      </c>
      <c r="C1" s="120" t="s">
        <v>301</v>
      </c>
      <c r="D1" s="120" t="s">
        <v>302</v>
      </c>
      <c r="E1" s="120" t="s">
        <v>303</v>
      </c>
      <c r="F1" s="121" t="s">
        <v>304</v>
      </c>
      <c r="G1" s="121" t="s">
        <v>305</v>
      </c>
      <c r="H1" s="121" t="s">
        <v>306</v>
      </c>
      <c r="I1" s="121" t="s">
        <v>307</v>
      </c>
      <c r="J1" s="121" t="s">
        <v>308</v>
      </c>
      <c r="K1" s="120" t="s">
        <v>309</v>
      </c>
      <c r="L1" s="122" t="s">
        <v>310</v>
      </c>
      <c r="M1" s="122" t="s">
        <v>311</v>
      </c>
      <c r="N1" s="122" t="s">
        <v>312</v>
      </c>
      <c r="O1" s="122" t="s">
        <v>313</v>
      </c>
      <c r="P1" s="122" t="s">
        <v>314</v>
      </c>
    </row>
    <row hidden="true" r="2">
      <c r="A2" s="123" t="s">
        <v>315</v>
      </c>
      <c r="B2" s="124" t="s">
        <v>316</v>
      </c>
      <c r="C2" s="125" t="s">
        <v>317</v>
      </c>
      <c r="D2" s="125">
        <v>5</v>
      </c>
      <c r="E2" s="125">
        <v>13</v>
      </c>
      <c r="F2" s="125">
        <v>21560.4</v>
      </c>
      <c r="G2" s="125">
        <v>15075.150000000001</v>
      </c>
      <c r="H2" s="126">
        <f t="shared" ref="H2:H155" si="0">F2/G2</f>
      </c>
      <c r="I2" s="127">
        <f t="shared" ref="I2:I155" si="3">F2/E2</f>
      </c>
      <c r="J2" s="127">
        <f t="shared" ref="J2:J145" si="1">G2/E2</f>
      </c>
      <c r="K2" s="125">
        <v>4</v>
      </c>
      <c r="L2" s="128">
        <v>6558</v>
      </c>
      <c r="M2" s="128" t="s">
        <v>318</v>
      </c>
      <c r="N2" s="129">
        <v>10</v>
      </c>
      <c r="O2" s="129" t="s">
        <v>319</v>
      </c>
      <c r="P2" s="128">
        <v>10</v>
      </c>
    </row>
    <row hidden="true" r="3">
      <c r="A3" s="123" t="s">
        <v>315</v>
      </c>
      <c r="B3" s="124" t="s">
        <v>320</v>
      </c>
      <c r="C3" s="125" t="s">
        <v>321</v>
      </c>
      <c r="D3" s="125">
        <v>5</v>
      </c>
      <c r="E3" s="125">
        <v>12</v>
      </c>
      <c r="F3" s="125">
        <v>18714</v>
      </c>
      <c r="G3" s="125">
        <v>14549.949999999999</v>
      </c>
      <c r="H3" s="126">
        <f t="shared" si="0"/>
      </c>
      <c r="I3" s="127">
        <f t="shared" si="3"/>
      </c>
      <c r="J3" s="127">
        <f t="shared" si="1"/>
      </c>
      <c r="K3" s="125">
        <v>1</v>
      </c>
      <c r="L3" s="128">
        <v>1663.199999999999</v>
      </c>
      <c r="M3" s="129"/>
      <c r="N3" s="129"/>
      <c r="O3" s="129"/>
      <c r="P3" s="129"/>
    </row>
    <row hidden="true" r="4">
      <c r="A4" s="123" t="s">
        <v>315</v>
      </c>
      <c r="B4" s="124" t="s">
        <v>322</v>
      </c>
      <c r="C4" s="125" t="s">
        <v>323</v>
      </c>
      <c r="D4" s="125">
        <v>5</v>
      </c>
      <c r="E4" s="125">
        <v>6</v>
      </c>
      <c r="F4" s="125">
        <v>7164</v>
      </c>
      <c r="G4" s="125">
        <v>10008.37</v>
      </c>
      <c r="H4" s="126">
        <f t="shared" si="0"/>
      </c>
      <c r="I4" s="127">
        <f t="shared" si="3"/>
      </c>
      <c r="J4" s="127">
        <f t="shared" si="1"/>
      </c>
      <c r="K4" s="125">
        <v>2</v>
      </c>
      <c r="L4" s="128">
        <v>2517.6000000000004</v>
      </c>
      <c r="M4" s="129"/>
      <c r="N4" s="129"/>
      <c r="O4" s="129"/>
      <c r="P4" s="129"/>
    </row>
    <row hidden="true" r="5">
      <c r="A5" s="123" t="s">
        <v>315</v>
      </c>
      <c r="B5" s="130" t="s">
        <v>324</v>
      </c>
      <c r="C5" s="125" t="s">
        <v>325</v>
      </c>
      <c r="D5" s="125">
        <v>5</v>
      </c>
      <c r="E5" s="125">
        <v>21</v>
      </c>
      <c r="F5" s="125">
        <v>29199.400000000012</v>
      </c>
      <c r="G5" s="125">
        <v>19571.629999999997</v>
      </c>
      <c r="H5" s="126">
        <f t="shared" si="0"/>
      </c>
      <c r="I5" s="127">
        <f t="shared" si="3"/>
      </c>
      <c r="J5" s="127">
        <f t="shared" si="1"/>
      </c>
      <c r="K5" s="125">
        <v>3</v>
      </c>
      <c r="L5" s="128">
        <v>4527.6</v>
      </c>
      <c r="M5" s="128" t="s">
        <v>326</v>
      </c>
      <c r="N5" s="129">
        <v>10</v>
      </c>
      <c r="O5" s="128" t="s">
        <v>327</v>
      </c>
      <c r="P5" s="128">
        <v>10</v>
      </c>
    </row>
    <row r="6">
      <c r="A6" s="131" t="s">
        <v>315</v>
      </c>
      <c r="B6" s="132"/>
      <c r="C6" s="132"/>
      <c r="D6" s="133">
        <f>SUM(D2:D5)</f>
      </c>
      <c r="E6" s="133">
        <f>SUM(E2:E5)</f>
      </c>
      <c r="F6" s="134">
        <f>SUM(F2:F5)</f>
      </c>
      <c r="G6" s="133">
        <f>SUM(G2:G5)</f>
      </c>
      <c r="H6" s="135">
        <f t="shared" si="0"/>
      </c>
      <c r="I6" s="135">
        <f t="shared" si="3"/>
      </c>
      <c r="J6" s="135">
        <f t="shared" si="1"/>
      </c>
      <c r="K6" s="133">
        <f>SUM(K2:K5)</f>
      </c>
      <c r="L6" s="136">
        <f>SUM(L2:L5)</f>
      </c>
      <c r="M6" s="137"/>
      <c r="N6" s="136">
        <f>SUM(N2:N5)</f>
      </c>
      <c r="O6" s="137"/>
      <c r="P6" s="136">
        <f>SUM(P2:P5)</f>
      </c>
    </row>
    <row hidden="true" r="7">
      <c r="A7" s="123" t="s">
        <v>328</v>
      </c>
      <c r="B7" s="124" t="s">
        <v>316</v>
      </c>
      <c r="C7" s="125" t="s">
        <v>329</v>
      </c>
      <c r="D7" s="125">
        <v>4</v>
      </c>
      <c r="E7" s="125">
        <v>6</v>
      </c>
      <c r="F7" s="125">
        <v>8800.8</v>
      </c>
      <c r="G7" s="125">
        <v>7438.17</v>
      </c>
      <c r="H7" s="126">
        <f t="shared" si="0"/>
      </c>
      <c r="I7" s="127">
        <f t="shared" si="3"/>
      </c>
      <c r="J7" s="127">
        <f t="shared" si="1"/>
      </c>
      <c r="K7" s="125">
        <v>2</v>
      </c>
      <c r="L7" s="128">
        <v>2407.2</v>
      </c>
      <c r="M7" s="128" t="s">
        <v>330</v>
      </c>
      <c r="N7" s="129">
        <v>10</v>
      </c>
      <c r="O7" s="129" t="s">
        <v>319</v>
      </c>
      <c r="P7" s="128">
        <v>10</v>
      </c>
    </row>
    <row hidden="true" r="8">
      <c r="A8" s="123" t="s">
        <v>328</v>
      </c>
      <c r="B8" s="124" t="s">
        <v>320</v>
      </c>
      <c r="C8" s="125" t="s">
        <v>331</v>
      </c>
      <c r="D8" s="125">
        <v>4</v>
      </c>
      <c r="E8" s="125">
        <v>7</v>
      </c>
      <c r="F8" s="125">
        <v>9439.8</v>
      </c>
      <c r="G8" s="125">
        <v>12087.78</v>
      </c>
      <c r="H8" s="126">
        <f t="shared" si="0"/>
      </c>
      <c r="I8" s="127">
        <f t="shared" si="3"/>
      </c>
      <c r="J8" s="127">
        <f t="shared" si="1"/>
      </c>
      <c r="K8" s="125">
        <v>2</v>
      </c>
      <c r="L8" s="128">
        <v>2403.6000000000004</v>
      </c>
      <c r="M8" s="129"/>
      <c r="N8" s="129"/>
      <c r="O8" s="129"/>
      <c r="P8" s="129"/>
    </row>
    <row hidden="true" r="9">
      <c r="A9" s="123" t="s">
        <v>328</v>
      </c>
      <c r="B9" s="124" t="s">
        <v>322</v>
      </c>
      <c r="C9" s="125" t="s">
        <v>332</v>
      </c>
      <c r="D9" s="125">
        <v>4</v>
      </c>
      <c r="E9" s="125">
        <v>13</v>
      </c>
      <c r="F9" s="125">
        <v>15265.200000000004</v>
      </c>
      <c r="G9" s="125">
        <v>12916.920000000002</v>
      </c>
      <c r="H9" s="126">
        <f t="shared" si="0"/>
      </c>
      <c r="I9" s="127">
        <f t="shared" si="3"/>
      </c>
      <c r="J9" s="127">
        <f t="shared" si="1"/>
      </c>
      <c r="K9" s="125">
        <v>1</v>
      </c>
      <c r="L9" s="128">
        <v>1344</v>
      </c>
      <c r="M9" s="129"/>
      <c r="N9" s="129"/>
      <c r="O9" s="129"/>
      <c r="P9" s="129"/>
    </row>
    <row hidden="true" r="10">
      <c r="A10" s="123" t="s">
        <v>328</v>
      </c>
      <c r="B10" s="130" t="s">
        <v>324</v>
      </c>
      <c r="C10" s="125" t="s">
        <v>333</v>
      </c>
      <c r="D10" s="125">
        <v>4</v>
      </c>
      <c r="E10" s="125">
        <v>13</v>
      </c>
      <c r="F10" s="125">
        <v>20285.999999999993</v>
      </c>
      <c r="G10" s="125">
        <v>10854.390000000001</v>
      </c>
      <c r="H10" s="126">
        <f t="shared" si="0"/>
      </c>
      <c r="I10" s="127">
        <f t="shared" si="3"/>
      </c>
      <c r="J10" s="127">
        <f t="shared" si="1"/>
      </c>
      <c r="K10" s="125">
        <v>2</v>
      </c>
      <c r="L10" s="128">
        <v>3326.4000000000005</v>
      </c>
      <c r="M10" s="128" t="s">
        <v>334</v>
      </c>
      <c r="N10" s="128">
        <v>6</v>
      </c>
      <c r="O10" s="128" t="s">
        <v>327</v>
      </c>
      <c r="P10" s="128">
        <v>6</v>
      </c>
    </row>
    <row r="11">
      <c r="A11" s="131" t="s">
        <v>328</v>
      </c>
      <c r="B11" s="132"/>
      <c r="C11" s="132"/>
      <c r="D11" s="133">
        <f>SUM(D7:D10)</f>
      </c>
      <c r="E11" s="133">
        <f>SUM(E7:E10)</f>
      </c>
      <c r="F11" s="134">
        <f>SUM(F7:F10)</f>
      </c>
      <c r="G11" s="133">
        <f>SUM(G7:G10)</f>
      </c>
      <c r="H11" s="135">
        <f t="shared" si="0"/>
      </c>
      <c r="I11" s="135">
        <f t="shared" si="3"/>
      </c>
      <c r="J11" s="135">
        <f t="shared" si="1"/>
      </c>
      <c r="K11" s="133">
        <f>SUM(K7:K10)</f>
      </c>
      <c r="L11" s="136">
        <f>SUM(L7:L10)</f>
      </c>
      <c r="M11" s="137"/>
      <c r="N11" s="136">
        <f>SUM(N7:N10)</f>
      </c>
      <c r="O11" s="137"/>
      <c r="P11" s="136">
        <f>SUM(P7:P10)</f>
      </c>
    </row>
    <row hidden="true" r="12">
      <c r="A12" s="123" t="s">
        <v>335</v>
      </c>
      <c r="B12" s="124" t="s">
        <v>320</v>
      </c>
      <c r="C12" s="125" t="s">
        <v>317</v>
      </c>
      <c r="D12" s="125">
        <v>5</v>
      </c>
      <c r="E12" s="125">
        <v>15</v>
      </c>
      <c r="F12" s="125">
        <v>21964.8</v>
      </c>
      <c r="G12" s="125">
        <v>16610.559999999998</v>
      </c>
      <c r="H12" s="126">
        <f t="shared" si="0"/>
      </c>
      <c r="I12" s="127">
        <f t="shared" si="3"/>
      </c>
      <c r="J12" s="127">
        <f t="shared" si="1"/>
      </c>
      <c r="K12" s="125">
        <v>6</v>
      </c>
      <c r="L12" s="128">
        <v>8699.999999999998</v>
      </c>
      <c r="M12" s="128" t="s">
        <v>330</v>
      </c>
      <c r="N12" s="129">
        <v>10</v>
      </c>
      <c r="O12" s="129" t="s">
        <v>319</v>
      </c>
      <c r="P12" s="128">
        <v>10</v>
      </c>
    </row>
    <row hidden="true" r="13">
      <c r="A13" s="123" t="s">
        <v>335</v>
      </c>
      <c r="B13" s="124" t="s">
        <v>322</v>
      </c>
      <c r="C13" s="125" t="s">
        <v>321</v>
      </c>
      <c r="D13" s="125">
        <v>5</v>
      </c>
      <c r="E13" s="125">
        <v>24</v>
      </c>
      <c r="F13" s="125">
        <v>35714.399999999994</v>
      </c>
      <c r="G13" s="125">
        <v>24881.210000000003</v>
      </c>
      <c r="H13" s="126">
        <f t="shared" si="0"/>
      </c>
      <c r="I13" s="127">
        <f t="shared" si="3"/>
      </c>
      <c r="J13" s="127">
        <f t="shared" si="1"/>
      </c>
      <c r="K13" s="125">
        <v>2</v>
      </c>
      <c r="L13" s="128">
        <v>4070.3999999999996</v>
      </c>
      <c r="M13" s="129"/>
      <c r="N13" s="129"/>
      <c r="O13" s="129"/>
      <c r="P13" s="129"/>
    </row>
    <row hidden="true" r="14">
      <c r="A14" s="123" t="s">
        <v>335</v>
      </c>
      <c r="B14" s="124" t="s">
        <v>324</v>
      </c>
      <c r="C14" s="125" t="s">
        <v>323</v>
      </c>
      <c r="D14" s="125">
        <v>5</v>
      </c>
      <c r="E14" s="125">
        <v>15</v>
      </c>
      <c r="F14" s="125">
        <v>22030.799999999996</v>
      </c>
      <c r="G14" s="125">
        <v>14818.56</v>
      </c>
      <c r="H14" s="126">
        <f t="shared" si="0"/>
      </c>
      <c r="I14" s="127">
        <f t="shared" si="3"/>
      </c>
      <c r="J14" s="127">
        <f t="shared" si="1"/>
      </c>
      <c r="K14" s="125">
        <v>4</v>
      </c>
      <c r="L14" s="128">
        <v>8296.800000000003</v>
      </c>
      <c r="M14" s="129"/>
      <c r="N14" s="129"/>
      <c r="O14" s="129"/>
      <c r="P14" s="129"/>
    </row>
    <row hidden="true" r="15">
      <c r="A15" s="123" t="s">
        <v>335</v>
      </c>
      <c r="B15" s="130" t="s">
        <v>336</v>
      </c>
      <c r="C15" s="125" t="s">
        <v>325</v>
      </c>
      <c r="D15" s="125">
        <v>5</v>
      </c>
      <c r="E15" s="125">
        <v>21</v>
      </c>
      <c r="F15" s="125">
        <v>32107.40000000001</v>
      </c>
      <c r="G15" s="125">
        <v>16631.86</v>
      </c>
      <c r="H15" s="126">
        <f t="shared" si="0"/>
      </c>
      <c r="I15" s="127">
        <f t="shared" si="3"/>
      </c>
      <c r="J15" s="127">
        <f t="shared" si="1"/>
      </c>
      <c r="K15" s="125">
        <v>2</v>
      </c>
      <c r="L15" s="128">
        <v>2694.2000000000007</v>
      </c>
      <c r="M15" s="128" t="s">
        <v>326</v>
      </c>
      <c r="N15" s="128">
        <v>10</v>
      </c>
      <c r="O15" s="128" t="s">
        <v>327</v>
      </c>
      <c r="P15" s="128">
        <v>10</v>
      </c>
    </row>
    <row r="16">
      <c r="A16" s="131" t="s">
        <v>335</v>
      </c>
      <c r="B16" s="132"/>
      <c r="C16" s="132"/>
      <c r="D16" s="133">
        <f>SUM(D12:D15)</f>
      </c>
      <c r="E16" s="133">
        <f>SUM(E12:E15)</f>
      </c>
      <c r="F16" s="134">
        <f>SUM(F12:F15)</f>
      </c>
      <c r="G16" s="133">
        <f>SUM(G12:G15)</f>
      </c>
      <c r="H16" s="135">
        <f t="shared" si="0"/>
      </c>
      <c r="I16" s="135">
        <f t="shared" si="3"/>
      </c>
      <c r="J16" s="135">
        <f t="shared" si="1"/>
      </c>
      <c r="K16" s="133">
        <f>SUM(K12:K15)</f>
      </c>
      <c r="L16" s="136">
        <f>SUM(L12:L15)</f>
      </c>
      <c r="M16" s="137"/>
      <c r="N16" s="136">
        <f>SUM(N12:N15)</f>
      </c>
      <c r="O16" s="137"/>
      <c r="P16" s="136">
        <f>SUM(P12:P15)</f>
      </c>
    </row>
    <row hidden="true" r="17">
      <c r="A17" s="123" t="s">
        <v>337</v>
      </c>
      <c r="B17" s="124" t="s">
        <v>320</v>
      </c>
      <c r="C17" s="125" t="s">
        <v>317</v>
      </c>
      <c r="D17" s="125">
        <v>5</v>
      </c>
      <c r="E17" s="125">
        <v>7</v>
      </c>
      <c r="F17" s="125">
        <v>11029.2</v>
      </c>
      <c r="G17" s="125">
        <v>19030.8</v>
      </c>
      <c r="H17" s="126">
        <f t="shared" si="0"/>
      </c>
      <c r="I17" s="127">
        <f t="shared" si="3"/>
      </c>
      <c r="J17" s="127">
        <f t="shared" si="1"/>
      </c>
      <c r="K17" s="125">
        <v>0</v>
      </c>
      <c r="L17" s="128">
        <v>0</v>
      </c>
      <c r="M17" s="128" t="s">
        <v>330</v>
      </c>
      <c r="N17" s="129">
        <v>10</v>
      </c>
      <c r="O17" s="129" t="s">
        <v>319</v>
      </c>
      <c r="P17" s="128">
        <v>10</v>
      </c>
    </row>
    <row hidden="true" r="18">
      <c r="A18" s="123" t="s">
        <v>337</v>
      </c>
      <c r="B18" s="124" t="s">
        <v>322</v>
      </c>
      <c r="C18" s="125" t="s">
        <v>321</v>
      </c>
      <c r="D18" s="125">
        <v>5</v>
      </c>
      <c r="E18" s="125">
        <v>16</v>
      </c>
      <c r="F18" s="125">
        <v>18840</v>
      </c>
      <c r="G18" s="125">
        <v>18670.379999999997</v>
      </c>
      <c r="H18" s="126">
        <f t="shared" si="0"/>
      </c>
      <c r="I18" s="127">
        <f t="shared" si="3"/>
      </c>
      <c r="J18" s="127">
        <f t="shared" si="1"/>
      </c>
      <c r="K18" s="125">
        <v>4</v>
      </c>
      <c r="L18" s="128">
        <v>6448.8</v>
      </c>
      <c r="M18" s="129"/>
      <c r="N18" s="129"/>
      <c r="O18" s="129"/>
      <c r="P18" s="129"/>
    </row>
    <row hidden="true" r="19">
      <c r="A19" s="123" t="s">
        <v>337</v>
      </c>
      <c r="B19" s="124" t="s">
        <v>324</v>
      </c>
      <c r="C19" s="125" t="s">
        <v>323</v>
      </c>
      <c r="D19" s="125">
        <v>5</v>
      </c>
      <c r="E19" s="125">
        <v>21</v>
      </c>
      <c r="F19" s="125">
        <v>31665.8</v>
      </c>
      <c r="G19" s="125">
        <v>16700.21</v>
      </c>
      <c r="H19" s="126">
        <f t="shared" si="0"/>
      </c>
      <c r="I19" s="127">
        <f t="shared" si="3"/>
      </c>
      <c r="J19" s="127">
        <f t="shared" si="1"/>
      </c>
      <c r="K19" s="125">
        <v>4</v>
      </c>
      <c r="L19" s="128">
        <v>7061.999999999999</v>
      </c>
      <c r="M19" s="129"/>
      <c r="N19" s="129"/>
      <c r="O19" s="129"/>
      <c r="P19" s="129"/>
    </row>
    <row hidden="true" r="20">
      <c r="A20" s="123" t="s">
        <v>337</v>
      </c>
      <c r="B20" s="130" t="s">
        <v>316</v>
      </c>
      <c r="C20" s="125" t="s">
        <v>325</v>
      </c>
      <c r="D20" s="125">
        <v>5</v>
      </c>
      <c r="E20" s="125">
        <v>20</v>
      </c>
      <c r="F20" s="125">
        <v>19930.19999999999</v>
      </c>
      <c r="G20" s="125">
        <v>21781.440000000002</v>
      </c>
      <c r="H20" s="126">
        <f t="shared" si="0"/>
      </c>
      <c r="I20" s="127">
        <f t="shared" si="3"/>
      </c>
      <c r="J20" s="127">
        <f t="shared" si="1"/>
      </c>
      <c r="K20" s="125">
        <v>2</v>
      </c>
      <c r="L20" s="128">
        <v>2383.2000000000007</v>
      </c>
      <c r="M20" s="128" t="s">
        <v>326</v>
      </c>
      <c r="N20" s="128">
        <v>10</v>
      </c>
      <c r="O20" s="128" t="s">
        <v>327</v>
      </c>
      <c r="P20" s="128">
        <v>10</v>
      </c>
    </row>
    <row r="21">
      <c r="A21" s="131" t="s">
        <v>337</v>
      </c>
      <c r="B21" s="132"/>
      <c r="C21" s="132"/>
      <c r="D21" s="133">
        <f>SUM(D17:D20)</f>
      </c>
      <c r="E21" s="133">
        <f>SUM(E17:E20)</f>
      </c>
      <c r="F21" s="134">
        <f>SUM(F17:F20)</f>
      </c>
      <c r="G21" s="133">
        <f>SUM(G17:G20)</f>
      </c>
      <c r="H21" s="135">
        <f t="shared" si="0"/>
      </c>
      <c r="I21" s="135">
        <f t="shared" si="3"/>
      </c>
      <c r="J21" s="135">
        <f t="shared" si="1"/>
      </c>
      <c r="K21" s="133">
        <f>SUM(K17:K20)</f>
      </c>
      <c r="L21" s="136">
        <f>SUM(L17:L20)</f>
      </c>
      <c r="M21" s="137"/>
      <c r="N21" s="136">
        <f>SUM(N17:N20)</f>
      </c>
      <c r="O21" s="137"/>
      <c r="P21" s="136">
        <f>SUM(P17:P20)</f>
      </c>
    </row>
    <row hidden="true" r="22">
      <c r="A22" s="123" t="s">
        <v>338</v>
      </c>
      <c r="B22" s="124" t="s">
        <v>322</v>
      </c>
      <c r="C22" s="125" t="s">
        <v>317</v>
      </c>
      <c r="D22" s="125">
        <v>5</v>
      </c>
      <c r="E22" s="125">
        <v>14</v>
      </c>
      <c r="F22" s="125">
        <v>19616.4</v>
      </c>
      <c r="G22" s="125">
        <v>19314.980000000003</v>
      </c>
      <c r="H22" s="126">
        <f t="shared" si="0"/>
      </c>
      <c r="I22" s="127">
        <f t="shared" si="3"/>
      </c>
      <c r="J22" s="127">
        <f t="shared" si="1"/>
      </c>
      <c r="K22" s="125">
        <v>5</v>
      </c>
      <c r="L22" s="128">
        <v>6217.200000000001</v>
      </c>
      <c r="M22" s="128" t="s">
        <v>330</v>
      </c>
      <c r="N22" s="129">
        <v>10</v>
      </c>
      <c r="O22" s="129" t="s">
        <v>319</v>
      </c>
      <c r="P22" s="128">
        <v>10</v>
      </c>
    </row>
    <row hidden="true" r="23">
      <c r="A23" s="123" t="s">
        <v>338</v>
      </c>
      <c r="B23" s="124" t="s">
        <v>324</v>
      </c>
      <c r="C23" s="125" t="s">
        <v>321</v>
      </c>
      <c r="D23" s="125">
        <v>5</v>
      </c>
      <c r="E23" s="125">
        <v>29</v>
      </c>
      <c r="F23" s="125">
        <v>39850.799999999996</v>
      </c>
      <c r="G23" s="125">
        <v>19350.420000000002</v>
      </c>
      <c r="H23" s="126">
        <f t="shared" si="0"/>
      </c>
      <c r="I23" s="127">
        <f t="shared" si="3"/>
      </c>
      <c r="J23" s="127">
        <f t="shared" si="1"/>
      </c>
      <c r="K23" s="125">
        <v>9</v>
      </c>
      <c r="L23" s="128">
        <v>11670</v>
      </c>
      <c r="M23" s="129"/>
      <c r="N23" s="129"/>
      <c r="O23" s="129"/>
      <c r="P23" s="129"/>
    </row>
    <row hidden="true" r="24">
      <c r="A24" s="123" t="s">
        <v>338</v>
      </c>
      <c r="B24" s="124" t="s">
        <v>336</v>
      </c>
      <c r="C24" s="125" t="s">
        <v>323</v>
      </c>
      <c r="D24" s="125">
        <v>5</v>
      </c>
      <c r="E24" s="125">
        <v>9</v>
      </c>
      <c r="F24" s="125">
        <v>6982.800000000003</v>
      </c>
      <c r="G24" s="125">
        <v>11311.61</v>
      </c>
      <c r="H24" s="126">
        <f t="shared" si="0"/>
      </c>
      <c r="I24" s="127">
        <f t="shared" si="3"/>
      </c>
      <c r="J24" s="127">
        <f t="shared" si="1"/>
      </c>
      <c r="K24" s="125">
        <v>5</v>
      </c>
      <c r="L24" s="128">
        <v>4372.799999999999</v>
      </c>
      <c r="M24" s="129"/>
      <c r="N24" s="129"/>
      <c r="O24" s="129"/>
      <c r="P24" s="129"/>
    </row>
    <row hidden="true" r="25">
      <c r="A25" s="123" t="s">
        <v>338</v>
      </c>
      <c r="B25" s="130" t="s">
        <v>316</v>
      </c>
      <c r="C25" s="125" t="s">
        <v>325</v>
      </c>
      <c r="D25" s="125">
        <v>5</v>
      </c>
      <c r="E25" s="125">
        <v>11</v>
      </c>
      <c r="F25" s="125">
        <v>13077.600000000006</v>
      </c>
      <c r="G25" s="125">
        <v>10549.09</v>
      </c>
      <c r="H25" s="126">
        <f t="shared" si="0"/>
      </c>
      <c r="I25" s="127">
        <f t="shared" si="3"/>
      </c>
      <c r="J25" s="127">
        <f t="shared" si="1"/>
      </c>
      <c r="K25" s="125">
        <v>0</v>
      </c>
      <c r="L25" s="128">
        <v>0</v>
      </c>
      <c r="M25" s="128" t="s">
        <v>326</v>
      </c>
      <c r="N25" s="128">
        <v>10</v>
      </c>
      <c r="O25" s="128" t="s">
        <v>327</v>
      </c>
      <c r="P25" s="128">
        <v>10</v>
      </c>
    </row>
    <row r="26">
      <c r="A26" s="131" t="s">
        <v>338</v>
      </c>
      <c r="B26" s="132"/>
      <c r="C26" s="132"/>
      <c r="D26" s="133">
        <f>SUM(D22:D25)</f>
      </c>
      <c r="E26" s="133">
        <f>SUM(E22:E25)</f>
      </c>
      <c r="F26" s="134">
        <f>SUM(F22:F25)</f>
      </c>
      <c r="G26" s="133">
        <f>SUM(G22:G25)</f>
      </c>
      <c r="H26" s="135">
        <f t="shared" si="0"/>
      </c>
      <c r="I26" s="135">
        <f t="shared" si="3"/>
      </c>
      <c r="J26" s="135">
        <f t="shared" si="1"/>
      </c>
      <c r="K26" s="133">
        <f>SUM(K22:K25)</f>
      </c>
      <c r="L26" s="136">
        <f>SUM(L22:L25)</f>
      </c>
      <c r="M26" s="137"/>
      <c r="N26" s="136">
        <f>SUM(N22:N25)</f>
      </c>
      <c r="O26" s="137"/>
      <c r="P26" s="136">
        <f>SUM(P22:P25)</f>
      </c>
    </row>
    <row hidden="true" r="27">
      <c r="A27" s="123" t="s">
        <v>339</v>
      </c>
      <c r="B27" s="124" t="s">
        <v>324</v>
      </c>
      <c r="C27" s="125" t="s">
        <v>317</v>
      </c>
      <c r="D27" s="125">
        <v>5</v>
      </c>
      <c r="E27" s="125">
        <v>11</v>
      </c>
      <c r="F27" s="125">
        <v>18614.4</v>
      </c>
      <c r="G27" s="125">
        <v>12682.55</v>
      </c>
      <c r="H27" s="126">
        <f t="shared" si="0"/>
      </c>
      <c r="I27" s="127">
        <f t="shared" si="3"/>
      </c>
      <c r="J27" s="127">
        <f t="shared" si="1"/>
      </c>
      <c r="K27" s="125">
        <v>3</v>
      </c>
      <c r="L27" s="128">
        <v>6825.5999999999985</v>
      </c>
      <c r="M27" s="128" t="s">
        <v>330</v>
      </c>
      <c r="N27" s="129">
        <v>10</v>
      </c>
      <c r="O27" s="129" t="s">
        <v>319</v>
      </c>
      <c r="P27" s="128">
        <v>10</v>
      </c>
    </row>
    <row hidden="true" r="28">
      <c r="A28" s="123" t="s">
        <v>339</v>
      </c>
      <c r="B28" s="124" t="s">
        <v>336</v>
      </c>
      <c r="C28" s="125" t="s">
        <v>321</v>
      </c>
      <c r="D28" s="125">
        <v>5</v>
      </c>
      <c r="E28" s="125">
        <v>20</v>
      </c>
      <c r="F28" s="125">
        <v>33036.6</v>
      </c>
      <c r="G28" s="125">
        <v>12444.46</v>
      </c>
      <c r="H28" s="126">
        <f t="shared" si="0"/>
      </c>
      <c r="I28" s="127">
        <f t="shared" si="3"/>
      </c>
      <c r="J28" s="127">
        <f t="shared" si="1"/>
      </c>
      <c r="K28" s="125">
        <v>4</v>
      </c>
      <c r="L28" s="128">
        <v>7051.200000000001</v>
      </c>
      <c r="M28" s="128" t="s">
        <v>334</v>
      </c>
      <c r="N28" s="128">
        <v>4</v>
      </c>
      <c r="O28" s="129"/>
      <c r="P28" s="129"/>
    </row>
    <row hidden="true" r="29">
      <c r="A29" s="123" t="s">
        <v>339</v>
      </c>
      <c r="B29" s="124" t="s">
        <v>316</v>
      </c>
      <c r="C29" s="125" t="s">
        <v>323</v>
      </c>
      <c r="D29" s="125">
        <v>5</v>
      </c>
      <c r="E29" s="125">
        <v>7</v>
      </c>
      <c r="F29" s="125">
        <v>11534.4</v>
      </c>
      <c r="G29" s="125">
        <v>12328.6</v>
      </c>
      <c r="H29" s="126">
        <f t="shared" si="0"/>
      </c>
      <c r="I29" s="127">
        <f t="shared" si="3"/>
      </c>
      <c r="J29" s="127">
        <f t="shared" si="1"/>
      </c>
      <c r="K29" s="125">
        <v>3</v>
      </c>
      <c r="L29" s="128">
        <v>3093.6000000000013</v>
      </c>
      <c r="M29" s="128" t="s">
        <v>340</v>
      </c>
      <c r="N29" s="128">
        <v>2</v>
      </c>
      <c r="O29" s="129"/>
      <c r="P29" s="129"/>
    </row>
    <row hidden="true" r="30">
      <c r="A30" s="123" t="s">
        <v>339</v>
      </c>
      <c r="B30" s="130" t="s">
        <v>320</v>
      </c>
      <c r="C30" s="125" t="s">
        <v>325</v>
      </c>
      <c r="D30" s="125">
        <v>5</v>
      </c>
      <c r="E30" s="125">
        <v>8</v>
      </c>
      <c r="F30" s="125">
        <v>8942.6</v>
      </c>
      <c r="G30" s="125">
        <v>8104.16</v>
      </c>
      <c r="H30" s="126">
        <f t="shared" si="0"/>
      </c>
      <c r="I30" s="127">
        <f t="shared" si="3"/>
      </c>
      <c r="J30" s="127">
        <f t="shared" si="1"/>
      </c>
      <c r="K30" s="125">
        <v>1</v>
      </c>
      <c r="L30" s="128">
        <v>360</v>
      </c>
      <c r="M30" s="128" t="s">
        <v>341</v>
      </c>
      <c r="N30" s="128">
        <v>4</v>
      </c>
      <c r="O30" s="128" t="s">
        <v>327</v>
      </c>
      <c r="P30" s="128">
        <v>10</v>
      </c>
    </row>
    <row r="31">
      <c r="A31" s="131" t="s">
        <v>339</v>
      </c>
      <c r="B31" s="132"/>
      <c r="C31" s="132"/>
      <c r="D31" s="133">
        <f>SUM(D27:D30)</f>
      </c>
      <c r="E31" s="133">
        <f>SUM(E27:E30)</f>
      </c>
      <c r="F31" s="134">
        <f>SUM(F27:F30)</f>
      </c>
      <c r="G31" s="133">
        <f>SUM(G27:G30)</f>
      </c>
      <c r="H31" s="135">
        <f t="shared" si="0"/>
      </c>
      <c r="I31" s="135">
        <f t="shared" si="3"/>
      </c>
      <c r="J31" s="135">
        <f t="shared" si="1"/>
      </c>
      <c r="K31" s="133">
        <f>SUM(K27:K30)</f>
      </c>
      <c r="L31" s="136">
        <f>SUM(L27:L30)</f>
      </c>
      <c r="M31" s="138"/>
      <c r="N31" s="139">
        <f>SUM(N27:N30)</f>
      </c>
      <c r="O31" s="137"/>
      <c r="P31" s="136">
        <f>SUM(P27:P30)</f>
      </c>
    </row>
    <row hidden="true" r="32">
      <c r="A32" s="123" t="s">
        <v>342</v>
      </c>
      <c r="B32" s="124" t="s">
        <v>324</v>
      </c>
      <c r="C32" s="125" t="s">
        <v>317</v>
      </c>
      <c r="D32" s="125">
        <v>5</v>
      </c>
      <c r="E32" s="125">
        <v>13</v>
      </c>
      <c r="F32" s="125">
        <v>17414.4</v>
      </c>
      <c r="G32" s="125">
        <v>13788.79</v>
      </c>
      <c r="H32" s="126">
        <f t="shared" si="0"/>
      </c>
      <c r="I32" s="127">
        <f t="shared" si="3"/>
      </c>
      <c r="J32" s="127">
        <f t="shared" si="1"/>
      </c>
      <c r="K32" s="125">
        <v>2</v>
      </c>
      <c r="L32" s="140">
        <v>1008</v>
      </c>
      <c r="M32" s="141" t="s">
        <v>343</v>
      </c>
      <c r="N32" s="141">
        <v>1</v>
      </c>
      <c r="O32" s="142" t="s">
        <v>319</v>
      </c>
      <c r="P32" s="128">
        <v>10</v>
      </c>
    </row>
    <row hidden="true" r="33">
      <c r="A33" s="123" t="s">
        <v>342</v>
      </c>
      <c r="B33" s="124" t="s">
        <v>336</v>
      </c>
      <c r="C33" s="125" t="s">
        <v>321</v>
      </c>
      <c r="D33" s="125">
        <v>5</v>
      </c>
      <c r="E33" s="125">
        <v>16</v>
      </c>
      <c r="F33" s="125">
        <v>17403.6</v>
      </c>
      <c r="G33" s="125">
        <v>16848.120000000003</v>
      </c>
      <c r="H33" s="126">
        <f t="shared" si="0"/>
      </c>
      <c r="I33" s="127">
        <f t="shared" si="3"/>
      </c>
      <c r="J33" s="127">
        <f t="shared" si="1"/>
      </c>
      <c r="K33" s="125">
        <v>5</v>
      </c>
      <c r="L33" s="140">
        <v>6657.6</v>
      </c>
      <c r="M33" s="141" t="s">
        <v>344</v>
      </c>
      <c r="N33" s="141">
        <v>1</v>
      </c>
      <c r="O33" s="142"/>
      <c r="P33" s="129"/>
    </row>
    <row hidden="true" r="34">
      <c r="A34" s="123" t="s">
        <v>342</v>
      </c>
      <c r="B34" s="124" t="s">
        <v>322</v>
      </c>
      <c r="C34" s="125" t="s">
        <v>323</v>
      </c>
      <c r="D34" s="125">
        <v>5</v>
      </c>
      <c r="E34" s="125">
        <v>5</v>
      </c>
      <c r="F34" s="125">
        <v>6703.199999999997</v>
      </c>
      <c r="G34" s="125">
        <v>10522.45</v>
      </c>
      <c r="H34" s="126">
        <f t="shared" si="0"/>
      </c>
      <c r="I34" s="127">
        <f t="shared" si="3"/>
      </c>
      <c r="J34" s="127">
        <f t="shared" si="1"/>
      </c>
      <c r="K34" s="125">
        <v>3</v>
      </c>
      <c r="L34" s="140">
        <v>4324.799999999999</v>
      </c>
      <c r="M34" s="130" t="s">
        <v>345</v>
      </c>
      <c r="N34" s="141">
        <v>8</v>
      </c>
      <c r="O34" s="142"/>
      <c r="P34" s="129"/>
    </row>
    <row hidden="true" r="35">
      <c r="A35" s="123" t="s">
        <v>342</v>
      </c>
      <c r="B35" s="130" t="s">
        <v>320</v>
      </c>
      <c r="C35" s="125" t="s">
        <v>325</v>
      </c>
      <c r="D35" s="125">
        <v>5</v>
      </c>
      <c r="E35" s="125">
        <v>6</v>
      </c>
      <c r="F35" s="125">
        <v>7948.799999999999</v>
      </c>
      <c r="G35" s="125">
        <v>11137.73</v>
      </c>
      <c r="H35" s="126">
        <f t="shared" si="0"/>
      </c>
      <c r="I35" s="127">
        <f t="shared" si="3"/>
      </c>
      <c r="J35" s="127">
        <f t="shared" si="1"/>
      </c>
      <c r="K35" s="125">
        <v>1</v>
      </c>
      <c r="L35" s="140">
        <v>715.2000000000007</v>
      </c>
      <c r="M35" s="130" t="s">
        <v>326</v>
      </c>
      <c r="N35" s="130">
        <v>10</v>
      </c>
      <c r="O35" s="143" t="s">
        <v>327</v>
      </c>
      <c r="P35" s="128">
        <v>10</v>
      </c>
    </row>
    <row r="36">
      <c r="A36" s="131" t="s">
        <v>342</v>
      </c>
      <c r="B36" s="132"/>
      <c r="C36" s="132"/>
      <c r="D36" s="133">
        <f>SUM(D32:D35)</f>
      </c>
      <c r="E36" s="133">
        <f>SUM(E32:E35)</f>
      </c>
      <c r="F36" s="134">
        <f>SUM(F32:F35)</f>
      </c>
      <c r="G36" s="133">
        <f>SUM(G32:G35)</f>
      </c>
      <c r="H36" s="135">
        <f t="shared" si="0"/>
      </c>
      <c r="I36" s="135">
        <f t="shared" si="3"/>
      </c>
      <c r="J36" s="135">
        <f t="shared" si="1"/>
      </c>
      <c r="K36" s="133">
        <f>SUM(K32:K35)</f>
      </c>
      <c r="L36" s="144">
        <f>SUM(L32:L35)</f>
      </c>
      <c r="M36" s="145"/>
      <c r="N36" s="146">
        <f>SUM(N32:N35)</f>
      </c>
      <c r="O36" s="147"/>
      <c r="P36" s="136">
        <f>SUM(P32:P35)</f>
      </c>
    </row>
    <row hidden="true" r="37">
      <c r="A37" s="123" t="s">
        <v>346</v>
      </c>
      <c r="B37" s="124" t="s">
        <v>336</v>
      </c>
      <c r="C37" s="125" t="s">
        <v>317</v>
      </c>
      <c r="D37" s="125">
        <v>5</v>
      </c>
      <c r="E37" s="125">
        <v>9</v>
      </c>
      <c r="F37" s="125">
        <v>8090.4</v>
      </c>
      <c r="G37" s="125">
        <v>10846.63</v>
      </c>
      <c r="H37" s="126">
        <f t="shared" si="0"/>
      </c>
      <c r="I37" s="127">
        <f t="shared" si="3"/>
      </c>
      <c r="J37" s="127">
        <f t="shared" si="1"/>
      </c>
      <c r="K37" s="125">
        <v>1</v>
      </c>
      <c r="L37" s="140">
        <v>691.2</v>
      </c>
      <c r="M37" s="141"/>
      <c r="N37" s="141"/>
      <c r="O37" s="142" t="s">
        <v>319</v>
      </c>
      <c r="P37" s="128">
        <v>10</v>
      </c>
    </row>
    <row hidden="true" r="38">
      <c r="A38" s="123" t="s">
        <v>346</v>
      </c>
      <c r="B38" s="124" t="s">
        <v>322</v>
      </c>
      <c r="C38" s="125" t="s">
        <v>321</v>
      </c>
      <c r="D38" s="125">
        <v>5</v>
      </c>
      <c r="E38" s="125">
        <v>20</v>
      </c>
      <c r="F38" s="125">
        <v>29896.28</v>
      </c>
      <c r="G38" s="125">
        <v>18031.34</v>
      </c>
      <c r="H38" s="126">
        <f t="shared" si="0"/>
      </c>
      <c r="I38" s="127">
        <f t="shared" si="3"/>
      </c>
      <c r="J38" s="127">
        <f t="shared" si="1"/>
      </c>
      <c r="K38" s="125">
        <v>6</v>
      </c>
      <c r="L38" s="140">
        <v>11429.599999999999</v>
      </c>
      <c r="M38" s="141" t="s">
        <v>347</v>
      </c>
      <c r="N38" s="141">
        <v>10</v>
      </c>
      <c r="O38" s="142"/>
      <c r="P38" s="129"/>
    </row>
    <row hidden="true" r="39">
      <c r="A39" s="123" t="s">
        <v>346</v>
      </c>
      <c r="B39" s="124" t="s">
        <v>320</v>
      </c>
      <c r="C39" s="125" t="s">
        <v>323</v>
      </c>
      <c r="D39" s="125">
        <v>5</v>
      </c>
      <c r="E39" s="125">
        <v>13</v>
      </c>
      <c r="F39" s="125">
        <v>14784</v>
      </c>
      <c r="G39" s="125">
        <v>10855.52</v>
      </c>
      <c r="H39" s="126">
        <f t="shared" si="0"/>
      </c>
      <c r="I39" s="127">
        <f t="shared" si="3"/>
      </c>
      <c r="J39" s="127">
        <f t="shared" si="1"/>
      </c>
      <c r="K39" s="125">
        <v>2</v>
      </c>
      <c r="L39" s="140">
        <v>2467.2000000000007</v>
      </c>
      <c r="M39" s="130"/>
      <c r="N39" s="141"/>
      <c r="O39" s="142"/>
      <c r="P39" s="129"/>
    </row>
    <row hidden="true" r="40">
      <c r="A40" s="123" t="s">
        <v>346</v>
      </c>
      <c r="B40" s="130" t="s">
        <v>324</v>
      </c>
      <c r="C40" s="125" t="s">
        <v>325</v>
      </c>
      <c r="D40" s="125">
        <v>5</v>
      </c>
      <c r="E40" s="125">
        <v>14</v>
      </c>
      <c r="F40" s="125">
        <v>19347.6</v>
      </c>
      <c r="G40" s="125">
        <v>9259.04</v>
      </c>
      <c r="H40" s="126">
        <f t="shared" si="0"/>
      </c>
      <c r="I40" s="127">
        <f t="shared" si="3"/>
      </c>
      <c r="J40" s="127">
        <f t="shared" si="1"/>
      </c>
      <c r="K40" s="125">
        <v>0</v>
      </c>
      <c r="L40" s="140">
        <v>0</v>
      </c>
      <c r="M40" s="130" t="s">
        <v>326</v>
      </c>
      <c r="N40" s="130">
        <v>10</v>
      </c>
      <c r="O40" s="143" t="s">
        <v>327</v>
      </c>
      <c r="P40" s="128">
        <v>10</v>
      </c>
    </row>
    <row r="41">
      <c r="A41" s="131" t="s">
        <v>346</v>
      </c>
      <c r="B41" s="132"/>
      <c r="C41" s="132"/>
      <c r="D41" s="133">
        <f>SUM(D37:D40)</f>
      </c>
      <c r="E41" s="133">
        <f>SUM(E37:E40)</f>
      </c>
      <c r="F41" s="134">
        <f>SUM(F37:F40)</f>
      </c>
      <c r="G41" s="133">
        <f>SUM(G37:G40)</f>
      </c>
      <c r="H41" s="135">
        <f t="shared" si="0"/>
      </c>
      <c r="I41" s="135">
        <f t="shared" si="3"/>
      </c>
      <c r="J41" s="135">
        <f t="shared" si="1"/>
      </c>
      <c r="K41" s="133">
        <f>SUM(K37:K40)</f>
      </c>
      <c r="L41" s="144">
        <f>SUM(L37:L40)</f>
      </c>
      <c r="M41" s="145"/>
      <c r="N41" s="146">
        <f>SUM(N37:N40)</f>
      </c>
      <c r="O41" s="147"/>
      <c r="P41" s="136">
        <f>SUM(P37:P40)</f>
      </c>
    </row>
    <row hidden="true" r="42">
      <c r="A42" s="123" t="s">
        <v>348</v>
      </c>
      <c r="B42" s="124" t="s">
        <v>336</v>
      </c>
      <c r="C42" s="125" t="s">
        <v>317</v>
      </c>
      <c r="D42" s="125">
        <v>5</v>
      </c>
      <c r="E42" s="125">
        <v>16</v>
      </c>
      <c r="F42" s="125">
        <v>19277.8</v>
      </c>
      <c r="G42" s="125">
        <v>17880.58</v>
      </c>
      <c r="H42" s="126">
        <f t="shared" si="0"/>
      </c>
      <c r="I42" s="127">
        <f t="shared" si="3"/>
      </c>
      <c r="J42" s="127">
        <f t="shared" si="1"/>
      </c>
      <c r="K42" s="125">
        <v>4</v>
      </c>
      <c r="L42" s="140">
        <v>2672.2</v>
      </c>
      <c r="M42" s="141"/>
      <c r="N42" s="141"/>
      <c r="O42" s="142" t="s">
        <v>319</v>
      </c>
      <c r="P42" s="128">
        <v>10</v>
      </c>
    </row>
    <row hidden="true" r="43">
      <c r="A43" s="123" t="s">
        <v>348</v>
      </c>
      <c r="B43" s="124" t="s">
        <v>322</v>
      </c>
      <c r="C43" s="125" t="s">
        <v>321</v>
      </c>
      <c r="D43" s="125">
        <v>5</v>
      </c>
      <c r="E43" s="125">
        <v>14</v>
      </c>
      <c r="F43" s="125">
        <v>18079.199999999997</v>
      </c>
      <c r="G43" s="125">
        <v>11120.050000000001</v>
      </c>
      <c r="H43" s="126">
        <f t="shared" si="0"/>
      </c>
      <c r="I43" s="127">
        <f t="shared" si="3"/>
      </c>
      <c r="J43" s="127">
        <f t="shared" si="1"/>
      </c>
      <c r="K43" s="125">
        <v>3</v>
      </c>
      <c r="L43" s="140">
        <v>3081.6000000000004</v>
      </c>
      <c r="M43" s="141" t="s">
        <v>343</v>
      </c>
      <c r="N43" s="141">
        <v>10</v>
      </c>
      <c r="O43" s="142"/>
      <c r="P43" s="129"/>
    </row>
    <row hidden="true" r="44">
      <c r="A44" s="123" t="s">
        <v>348</v>
      </c>
      <c r="B44" s="124" t="s">
        <v>320</v>
      </c>
      <c r="C44" s="125" t="s">
        <v>323</v>
      </c>
      <c r="D44" s="125">
        <v>5</v>
      </c>
      <c r="E44" s="125">
        <v>3</v>
      </c>
      <c r="F44" s="125">
        <v>3660</v>
      </c>
      <c r="G44" s="125">
        <v>8075.69</v>
      </c>
      <c r="H44" s="126">
        <f t="shared" si="0"/>
      </c>
      <c r="I44" s="127">
        <f t="shared" si="3"/>
      </c>
      <c r="J44" s="127">
        <f t="shared" si="1"/>
      </c>
      <c r="K44" s="125">
        <v>0</v>
      </c>
      <c r="L44" s="140">
        <v>0</v>
      </c>
      <c r="M44" s="130"/>
      <c r="N44" s="141"/>
      <c r="O44" s="142"/>
      <c r="P44" s="129"/>
    </row>
    <row hidden="true" r="45">
      <c r="A45" s="123" t="s">
        <v>348</v>
      </c>
      <c r="B45" s="130" t="s">
        <v>316</v>
      </c>
      <c r="C45" s="125" t="s">
        <v>325</v>
      </c>
      <c r="D45" s="125">
        <v>5</v>
      </c>
      <c r="E45" s="125">
        <v>16</v>
      </c>
      <c r="F45" s="125">
        <v>15873.599999999999</v>
      </c>
      <c r="G45" s="125">
        <v>10948.71</v>
      </c>
      <c r="H45" s="126">
        <f t="shared" si="0"/>
      </c>
      <c r="I45" s="127">
        <f t="shared" si="3"/>
      </c>
      <c r="J45" s="127">
        <f t="shared" si="1"/>
      </c>
      <c r="K45" s="125">
        <v>5</v>
      </c>
      <c r="L45" s="140">
        <v>4883.999999999999</v>
      </c>
      <c r="M45" s="130" t="s">
        <v>326</v>
      </c>
      <c r="N45" s="130">
        <v>10</v>
      </c>
      <c r="O45" s="143" t="s">
        <v>327</v>
      </c>
      <c r="P45" s="128">
        <v>10</v>
      </c>
    </row>
    <row r="46">
      <c r="A46" s="131" t="s">
        <v>348</v>
      </c>
      <c r="B46" s="132"/>
      <c r="C46" s="132"/>
      <c r="D46" s="133">
        <f>SUM(D42:D45)</f>
      </c>
      <c r="E46" s="133">
        <f>SUM(E42:E45)</f>
      </c>
      <c r="F46" s="134">
        <f>SUM(F42:F45)</f>
      </c>
      <c r="G46" s="133">
        <f>SUM(G42:G45)</f>
      </c>
      <c r="H46" s="135">
        <f t="shared" si="0"/>
      </c>
      <c r="I46" s="135">
        <f t="shared" si="3"/>
      </c>
      <c r="J46" s="135">
        <f t="shared" si="1"/>
      </c>
      <c r="K46" s="133">
        <f>SUM(K42:K45)</f>
      </c>
      <c r="L46" s="144">
        <f>SUM(L42:L45)</f>
      </c>
      <c r="M46" s="145"/>
      <c r="N46" s="146">
        <f>SUM(N42:N45)</f>
      </c>
      <c r="O46" s="147"/>
      <c r="P46" s="136">
        <f>SUM(P42:P45)</f>
      </c>
    </row>
    <row hidden="true" r="47">
      <c r="A47" s="123" t="s">
        <v>349</v>
      </c>
      <c r="B47" s="124" t="s">
        <v>322</v>
      </c>
      <c r="C47" s="125" t="s">
        <v>317</v>
      </c>
      <c r="D47" s="125">
        <v>5</v>
      </c>
      <c r="E47" s="125">
        <v>10</v>
      </c>
      <c r="F47" s="125">
        <v>13099.2</v>
      </c>
      <c r="G47" s="125">
        <v>9550.52</v>
      </c>
      <c r="H47" s="126">
        <f t="shared" si="0"/>
      </c>
      <c r="I47" s="127">
        <f t="shared" si="3"/>
      </c>
      <c r="J47" s="127">
        <f t="shared" si="1"/>
      </c>
      <c r="K47" s="125">
        <v>4</v>
      </c>
      <c r="L47" s="140">
        <v>5539.2</v>
      </c>
      <c r="M47" s="141"/>
      <c r="N47" s="141"/>
      <c r="O47" s="142" t="s">
        <v>319</v>
      </c>
      <c r="P47" s="128">
        <v>10</v>
      </c>
    </row>
    <row hidden="true" r="48">
      <c r="A48" s="123" t="s">
        <v>349</v>
      </c>
      <c r="B48" s="124" t="s">
        <v>320</v>
      </c>
      <c r="C48" s="125" t="s">
        <v>321</v>
      </c>
      <c r="D48" s="125">
        <v>5</v>
      </c>
      <c r="E48" s="125">
        <v>16</v>
      </c>
      <c r="F48" s="125">
        <v>18914.4</v>
      </c>
      <c r="G48" s="125">
        <v>15898.150000000001</v>
      </c>
      <c r="H48" s="126">
        <f t="shared" si="0"/>
      </c>
      <c r="I48" s="127">
        <f t="shared" si="3"/>
      </c>
      <c r="J48" s="127">
        <f t="shared" si="1"/>
      </c>
      <c r="K48" s="125">
        <v>5</v>
      </c>
      <c r="L48" s="140">
        <v>7183.2</v>
      </c>
      <c r="M48" s="141" t="s">
        <v>343</v>
      </c>
      <c r="N48" s="141">
        <v>10</v>
      </c>
      <c r="O48" s="142"/>
      <c r="P48" s="129"/>
    </row>
    <row hidden="true" r="49">
      <c r="A49" s="123" t="s">
        <v>349</v>
      </c>
      <c r="B49" s="124" t="s">
        <v>316</v>
      </c>
      <c r="C49" s="125" t="s">
        <v>323</v>
      </c>
      <c r="D49" s="125">
        <v>5</v>
      </c>
      <c r="E49" s="125">
        <v>6</v>
      </c>
      <c r="F49" s="125">
        <v>7845.6</v>
      </c>
      <c r="G49" s="125">
        <v>7319.52</v>
      </c>
      <c r="H49" s="126">
        <f t="shared" si="0"/>
      </c>
      <c r="I49" s="127">
        <f t="shared" si="3"/>
      </c>
      <c r="J49" s="127">
        <f t="shared" si="1"/>
      </c>
      <c r="K49" s="125">
        <v>3</v>
      </c>
      <c r="L49" s="140">
        <v>2750.3999999999996</v>
      </c>
      <c r="M49" s="130"/>
      <c r="N49" s="141"/>
      <c r="O49" s="142"/>
      <c r="P49" s="129"/>
    </row>
    <row hidden="true" r="50">
      <c r="A50" s="123" t="s">
        <v>349</v>
      </c>
      <c r="B50" s="130" t="s">
        <v>336</v>
      </c>
      <c r="C50" s="125" t="s">
        <v>325</v>
      </c>
      <c r="D50" s="125">
        <v>5</v>
      </c>
      <c r="E50" s="125">
        <v>15</v>
      </c>
      <c r="F50" s="125">
        <v>26173.19999999999</v>
      </c>
      <c r="G50" s="125">
        <v>7310.4</v>
      </c>
      <c r="H50" s="126">
        <f t="shared" si="0"/>
      </c>
      <c r="I50" s="127">
        <f t="shared" si="3"/>
      </c>
      <c r="J50" s="127">
        <f t="shared" si="1"/>
      </c>
      <c r="K50" s="125">
        <v>3</v>
      </c>
      <c r="L50" s="140">
        <v>5047.200000000001</v>
      </c>
      <c r="M50" s="130" t="s">
        <v>326</v>
      </c>
      <c r="N50" s="130">
        <v>10</v>
      </c>
      <c r="O50" s="143" t="s">
        <v>327</v>
      </c>
      <c r="P50" s="128">
        <v>10</v>
      </c>
    </row>
    <row r="51">
      <c r="A51" s="131" t="s">
        <v>349</v>
      </c>
      <c r="B51" s="132"/>
      <c r="C51" s="132"/>
      <c r="D51" s="133">
        <f>SUM(D47:D50)</f>
      </c>
      <c r="E51" s="133">
        <f>SUM(E47:E50)</f>
      </c>
      <c r="F51" s="134">
        <f>SUM(F47:F50)</f>
      </c>
      <c r="G51" s="133">
        <f>SUM(G47:G50)</f>
      </c>
      <c r="H51" s="135">
        <f t="shared" si="0"/>
      </c>
      <c r="I51" s="135">
        <f t="shared" si="3"/>
      </c>
      <c r="J51" s="135">
        <f t="shared" si="1"/>
      </c>
      <c r="K51" s="133">
        <f>SUM(K47:K50)</f>
      </c>
      <c r="L51" s="144">
        <f>SUM(L47:L50)</f>
      </c>
      <c r="M51" s="145"/>
      <c r="N51" s="146">
        <f>SUM(N47:N50)</f>
      </c>
      <c r="O51" s="147"/>
      <c r="P51" s="136">
        <f>SUM(P47:P50)</f>
      </c>
    </row>
    <row hidden="true" r="52">
      <c r="A52" s="123" t="s">
        <v>350</v>
      </c>
      <c r="B52" s="124" t="s">
        <v>322</v>
      </c>
      <c r="C52" s="125" t="s">
        <v>317</v>
      </c>
      <c r="D52" s="125">
        <v>5</v>
      </c>
      <c r="E52" s="125">
        <v>13</v>
      </c>
      <c r="F52" s="125">
        <v>18244.800000000003</v>
      </c>
      <c r="G52" s="125">
        <v>13340.869999999999</v>
      </c>
      <c r="H52" s="126">
        <f t="shared" si="0"/>
      </c>
      <c r="I52" s="127">
        <f t="shared" si="3"/>
      </c>
      <c r="J52" s="127">
        <f t="shared" si="1"/>
      </c>
      <c r="K52" s="125">
        <v>3</v>
      </c>
      <c r="L52" s="140">
        <v>4382.4</v>
      </c>
      <c r="M52" s="141"/>
      <c r="N52" s="141"/>
      <c r="O52" s="142" t="s">
        <v>319</v>
      </c>
      <c r="P52" s="128">
        <v>10</v>
      </c>
    </row>
    <row hidden="true" r="53">
      <c r="A53" s="123" t="s">
        <v>350</v>
      </c>
      <c r="B53" s="124" t="s">
        <v>316</v>
      </c>
      <c r="C53" s="125" t="s">
        <v>321</v>
      </c>
      <c r="D53" s="125">
        <v>5</v>
      </c>
      <c r="E53" s="125">
        <v>5</v>
      </c>
      <c r="F53" s="125">
        <v>9194.399999999998</v>
      </c>
      <c r="G53" s="125">
        <v>7626.420000000001</v>
      </c>
      <c r="H53" s="126">
        <f t="shared" si="0"/>
      </c>
      <c r="I53" s="127">
        <f t="shared" si="3"/>
      </c>
      <c r="J53" s="127">
        <f t="shared" si="1"/>
      </c>
      <c r="K53" s="125">
        <v>0</v>
      </c>
      <c r="L53" s="140">
        <v>0</v>
      </c>
      <c r="M53" s="141" t="s">
        <v>343</v>
      </c>
      <c r="N53" s="141">
        <v>10</v>
      </c>
      <c r="O53" s="142"/>
      <c r="P53" s="129"/>
    </row>
    <row hidden="true" r="54">
      <c r="A54" s="123" t="s">
        <v>350</v>
      </c>
      <c r="B54" s="124" t="s">
        <v>324</v>
      </c>
      <c r="C54" s="125" t="s">
        <v>323</v>
      </c>
      <c r="D54" s="125">
        <v>5</v>
      </c>
      <c r="E54" s="125">
        <v>6</v>
      </c>
      <c r="F54" s="125">
        <v>4970.9400000000005</v>
      </c>
      <c r="G54" s="125">
        <v>4970.9400000000005</v>
      </c>
      <c r="H54" s="126">
        <f t="shared" si="0"/>
      </c>
      <c r="I54" s="127">
        <f t="shared" si="3"/>
      </c>
      <c r="J54" s="127">
        <f t="shared" si="1"/>
      </c>
      <c r="K54" s="125">
        <v>2</v>
      </c>
      <c r="L54" s="140">
        <v>2119.2000000000007</v>
      </c>
      <c r="M54" s="130"/>
      <c r="N54" s="141"/>
      <c r="O54" s="142"/>
      <c r="P54" s="129"/>
    </row>
    <row hidden="true" r="55">
      <c r="A55" s="123" t="s">
        <v>350</v>
      </c>
      <c r="B55" s="130" t="s">
        <v>336</v>
      </c>
      <c r="C55" s="125" t="s">
        <v>325</v>
      </c>
      <c r="D55" s="125">
        <v>5</v>
      </c>
      <c r="E55" s="125">
        <v>5</v>
      </c>
      <c r="F55" s="125">
        <v>6840.5999999999985</v>
      </c>
      <c r="G55" s="125">
        <v>9110.150000000001</v>
      </c>
      <c r="H55" s="126">
        <f t="shared" si="0"/>
      </c>
      <c r="I55" s="127">
        <f t="shared" si="3"/>
      </c>
      <c r="J55" s="127">
        <f t="shared" si="1"/>
      </c>
      <c r="K55" s="125">
        <v>0</v>
      </c>
      <c r="L55" s="140">
        <v>0</v>
      </c>
      <c r="M55" s="130" t="s">
        <v>326</v>
      </c>
      <c r="N55" s="130">
        <v>10</v>
      </c>
      <c r="O55" s="143" t="s">
        <v>327</v>
      </c>
      <c r="P55" s="128">
        <v>10</v>
      </c>
    </row>
    <row r="56">
      <c r="A56" s="131" t="s">
        <v>350</v>
      </c>
      <c r="B56" s="132"/>
      <c r="C56" s="132"/>
      <c r="D56" s="133">
        <f>SUM(D52:D55)</f>
      </c>
      <c r="E56" s="133">
        <f>SUM(E52:E55)</f>
      </c>
      <c r="F56" s="134">
        <f>SUM(F52:F55)</f>
      </c>
      <c r="G56" s="133">
        <f>SUM(G52:G55)</f>
      </c>
      <c r="H56" s="135">
        <f t="shared" si="0"/>
      </c>
      <c r="I56" s="135">
        <f t="shared" si="3"/>
      </c>
      <c r="J56" s="135">
        <f t="shared" si="1"/>
      </c>
      <c r="K56" s="133">
        <f>SUM(K52:K55)</f>
      </c>
      <c r="L56" s="144">
        <f>SUM(L52:L55)</f>
      </c>
      <c r="M56" s="145"/>
      <c r="N56" s="146">
        <f>SUM(N52:N55)</f>
      </c>
      <c r="O56" s="147"/>
      <c r="P56" s="136">
        <f>SUM(P52:P55)</f>
      </c>
    </row>
    <row hidden="true" r="57">
      <c r="A57" s="123" t="s">
        <v>351</v>
      </c>
      <c r="B57" s="124" t="s">
        <v>316</v>
      </c>
      <c r="C57" s="125" t="s">
        <v>317</v>
      </c>
      <c r="D57" s="125">
        <v>5</v>
      </c>
      <c r="E57" s="125">
        <v>9</v>
      </c>
      <c r="F57" s="125">
        <v>6918</v>
      </c>
      <c r="G57" s="125">
        <v>10222.880000000001</v>
      </c>
      <c r="H57" s="126">
        <f t="shared" si="0"/>
      </c>
      <c r="I57" s="127">
        <f t="shared" si="3"/>
      </c>
      <c r="J57" s="127">
        <f t="shared" si="1"/>
      </c>
      <c r="K57" s="125">
        <v>2</v>
      </c>
      <c r="L57" s="140">
        <v>2284.8</v>
      </c>
      <c r="M57" s="141"/>
      <c r="N57" s="141"/>
      <c r="O57" s="142" t="s">
        <v>319</v>
      </c>
      <c r="P57" s="128">
        <v>10</v>
      </c>
    </row>
    <row hidden="true" r="58">
      <c r="A58" s="123" t="s">
        <v>351</v>
      </c>
      <c r="B58" s="124" t="s">
        <v>324</v>
      </c>
      <c r="C58" s="125" t="s">
        <v>321</v>
      </c>
      <c r="D58" s="125">
        <v>5</v>
      </c>
      <c r="E58" s="125">
        <v>7</v>
      </c>
      <c r="F58" s="125">
        <v>11632.8</v>
      </c>
      <c r="G58" s="125">
        <v>7055.120000000001</v>
      </c>
      <c r="H58" s="126">
        <f t="shared" si="0"/>
      </c>
      <c r="I58" s="127">
        <f t="shared" si="3"/>
      </c>
      <c r="J58" s="127">
        <f t="shared" si="1"/>
      </c>
      <c r="K58" s="125">
        <v>0</v>
      </c>
      <c r="L58" s="140">
        <v>0</v>
      </c>
      <c r="M58" s="141" t="s">
        <v>343</v>
      </c>
      <c r="N58" s="141">
        <v>10</v>
      </c>
      <c r="O58" s="142"/>
      <c r="P58" s="129"/>
    </row>
    <row hidden="true" r="59">
      <c r="A59" s="123" t="s">
        <v>351</v>
      </c>
      <c r="B59" s="124" t="s">
        <v>336</v>
      </c>
      <c r="C59" s="125" t="s">
        <v>323</v>
      </c>
      <c r="D59" s="125">
        <v>5</v>
      </c>
      <c r="E59" s="125">
        <v>13</v>
      </c>
      <c r="F59" s="125">
        <v>17108.719999999998</v>
      </c>
      <c r="G59" s="125">
        <v>7625.37</v>
      </c>
      <c r="H59" s="126">
        <f t="shared" si="0"/>
      </c>
      <c r="I59" s="127">
        <f t="shared" si="3"/>
      </c>
      <c r="J59" s="127">
        <f t="shared" si="1"/>
      </c>
      <c r="K59" s="125">
        <v>2</v>
      </c>
      <c r="L59" s="140">
        <v>2371.3599999999997</v>
      </c>
      <c r="M59" s="130"/>
      <c r="N59" s="141"/>
      <c r="O59" s="142"/>
      <c r="P59" s="129"/>
    </row>
    <row hidden="true" r="60">
      <c r="A60" s="123" t="s">
        <v>351</v>
      </c>
      <c r="B60" s="130" t="s">
        <v>322</v>
      </c>
      <c r="C60" s="125" t="s">
        <v>325</v>
      </c>
      <c r="D60" s="125">
        <v>5</v>
      </c>
      <c r="E60" s="125">
        <v>18</v>
      </c>
      <c r="F60" s="125">
        <v>27446.399999999994</v>
      </c>
      <c r="G60" s="125">
        <v>18445.1</v>
      </c>
      <c r="H60" s="126">
        <f t="shared" si="0"/>
      </c>
      <c r="I60" s="127">
        <f t="shared" si="3"/>
      </c>
      <c r="J60" s="127">
        <f t="shared" si="1"/>
      </c>
      <c r="K60" s="125">
        <v>2</v>
      </c>
      <c r="L60" s="140">
        <v>1466.4000000000005</v>
      </c>
      <c r="M60" s="130" t="s">
        <v>326</v>
      </c>
      <c r="N60" s="130">
        <v>10</v>
      </c>
      <c r="O60" s="143" t="s">
        <v>327</v>
      </c>
      <c r="P60" s="128">
        <v>10</v>
      </c>
    </row>
    <row r="61">
      <c r="A61" s="131" t="s">
        <v>351</v>
      </c>
      <c r="B61" s="132"/>
      <c r="C61" s="132"/>
      <c r="D61" s="133">
        <f>SUM(D57:D60)</f>
      </c>
      <c r="E61" s="133">
        <f>SUM(E57:E60)</f>
      </c>
      <c r="F61" s="134">
        <f>SUM(F57:F60)</f>
      </c>
      <c r="G61" s="133">
        <f>SUM(G57:G60)</f>
      </c>
      <c r="H61" s="135">
        <f t="shared" si="0"/>
      </c>
      <c r="I61" s="135">
        <f t="shared" si="3"/>
      </c>
      <c r="J61" s="135">
        <f t="shared" si="1"/>
      </c>
      <c r="K61" s="133">
        <f>SUM(K57:K60)</f>
      </c>
      <c r="L61" s="144">
        <f>SUM(L57:L60)</f>
      </c>
      <c r="M61" s="145"/>
      <c r="N61" s="146">
        <f>SUM(N57:N60)</f>
      </c>
      <c r="O61" s="147"/>
      <c r="P61" s="136">
        <f>SUM(P57:P60)</f>
      </c>
    </row>
    <row hidden="true" r="62">
      <c r="A62" s="123" t="s">
        <v>352</v>
      </c>
      <c r="B62" s="124" t="s">
        <v>316</v>
      </c>
      <c r="C62" s="125" t="s">
        <v>317</v>
      </c>
      <c r="D62" s="125">
        <v>5</v>
      </c>
      <c r="E62" s="125">
        <v>11</v>
      </c>
      <c r="F62" s="125">
        <v>9693.600000000002</v>
      </c>
      <c r="G62" s="125">
        <v>8985.57</v>
      </c>
      <c r="H62" s="126">
        <f t="shared" si="0"/>
      </c>
      <c r="I62" s="127">
        <f t="shared" si="3"/>
      </c>
      <c r="J62" s="127">
        <f t="shared" si="1"/>
      </c>
      <c r="K62" s="125">
        <v>2</v>
      </c>
      <c r="L62" s="140">
        <v>2426.4</v>
      </c>
      <c r="M62" s="141"/>
      <c r="N62" s="141"/>
      <c r="O62" s="142" t="s">
        <v>319</v>
      </c>
      <c r="P62" s="128">
        <v>10</v>
      </c>
    </row>
    <row hidden="true" r="63">
      <c r="A63" s="123" t="s">
        <v>352</v>
      </c>
      <c r="B63" s="124" t="s">
        <v>324</v>
      </c>
      <c r="C63" s="125" t="s">
        <v>321</v>
      </c>
      <c r="D63" s="125">
        <v>5</v>
      </c>
      <c r="E63" s="125">
        <v>16</v>
      </c>
      <c r="F63" s="125">
        <v>21985.000000000004</v>
      </c>
      <c r="G63" s="125">
        <v>10350.96</v>
      </c>
      <c r="H63" s="126">
        <f t="shared" si="0"/>
      </c>
      <c r="I63" s="127">
        <f t="shared" si="3"/>
      </c>
      <c r="J63" s="127">
        <f t="shared" si="1"/>
      </c>
      <c r="K63" s="125">
        <v>7</v>
      </c>
      <c r="L63" s="140">
        <v>9907</v>
      </c>
      <c r="M63" s="141" t="s">
        <v>343</v>
      </c>
      <c r="N63" s="141">
        <v>11</v>
      </c>
      <c r="O63" s="142"/>
      <c r="P63" s="129"/>
    </row>
    <row hidden="true" r="64">
      <c r="A64" s="123" t="s">
        <v>352</v>
      </c>
      <c r="B64" s="124" t="s">
        <v>322</v>
      </c>
      <c r="C64" s="125" t="s">
        <v>323</v>
      </c>
      <c r="D64" s="125">
        <v>5</v>
      </c>
      <c r="E64" s="125">
        <v>21</v>
      </c>
      <c r="F64" s="125">
        <v>25945.199999999997</v>
      </c>
      <c r="G64" s="125">
        <v>14647.529999999999</v>
      </c>
      <c r="H64" s="126">
        <f t="shared" si="0"/>
      </c>
      <c r="I64" s="127">
        <f t="shared" si="3"/>
      </c>
      <c r="J64" s="127">
        <f t="shared" si="1"/>
      </c>
      <c r="K64" s="125">
        <v>6</v>
      </c>
      <c r="L64" s="140">
        <v>7544.399999999998</v>
      </c>
      <c r="M64" s="130"/>
      <c r="N64" s="141"/>
      <c r="O64" s="142"/>
      <c r="P64" s="129"/>
    </row>
    <row hidden="true" r="65">
      <c r="A65" s="123" t="s">
        <v>352</v>
      </c>
      <c r="B65" s="130" t="s">
        <v>320</v>
      </c>
      <c r="C65" s="125" t="s">
        <v>325</v>
      </c>
      <c r="D65" s="125">
        <v>5</v>
      </c>
      <c r="E65" s="125">
        <v>14</v>
      </c>
      <c r="F65" s="125">
        <v>16146</v>
      </c>
      <c r="G65" s="125">
        <v>11396.169999999998</v>
      </c>
      <c r="H65" s="126">
        <f t="shared" si="0"/>
      </c>
      <c r="I65" s="127">
        <f t="shared" si="3"/>
      </c>
      <c r="J65" s="127">
        <f t="shared" si="1"/>
      </c>
      <c r="K65" s="125">
        <v>2</v>
      </c>
      <c r="L65" s="140">
        <v>1987.2000000000044</v>
      </c>
      <c r="M65" s="130" t="s">
        <v>326</v>
      </c>
      <c r="N65" s="130">
        <v>9</v>
      </c>
      <c r="O65" s="143" t="s">
        <v>327</v>
      </c>
      <c r="P65" s="128">
        <v>10</v>
      </c>
    </row>
    <row r="66">
      <c r="A66" s="131" t="s">
        <v>352</v>
      </c>
      <c r="B66" s="132"/>
      <c r="C66" s="132"/>
      <c r="D66" s="133">
        <f>SUM(D62:D65)</f>
      </c>
      <c r="E66" s="133">
        <f>SUM(E62:E65)</f>
      </c>
      <c r="F66" s="134">
        <f>SUM(F62:F65)</f>
      </c>
      <c r="G66" s="133">
        <f>SUM(G62:G65)</f>
      </c>
      <c r="H66" s="135">
        <f t="shared" si="0"/>
      </c>
      <c r="I66" s="135">
        <f t="shared" si="3"/>
      </c>
      <c r="J66" s="135">
        <f t="shared" si="1"/>
      </c>
      <c r="K66" s="133">
        <f>SUM(K62:K65)</f>
      </c>
      <c r="L66" s="144">
        <f>SUM(L62:L65)</f>
      </c>
      <c r="M66" s="145"/>
      <c r="N66" s="146">
        <f>SUM(N62:N65)</f>
      </c>
      <c r="O66" s="147"/>
      <c r="P66" s="136">
        <f>SUM(P62:P65)</f>
      </c>
    </row>
    <row hidden="true" r="67">
      <c r="A67" s="123" t="s">
        <v>353</v>
      </c>
      <c r="B67" s="124" t="s">
        <v>324</v>
      </c>
      <c r="C67" s="125" t="s">
        <v>317</v>
      </c>
      <c r="D67" s="125">
        <v>5</v>
      </c>
      <c r="E67" s="125">
        <v>6</v>
      </c>
      <c r="F67" s="125">
        <v>9609.599999999999</v>
      </c>
      <c r="G67" s="125">
        <v>8797.329999999998</v>
      </c>
      <c r="H67" s="126">
        <f t="shared" si="0"/>
      </c>
      <c r="I67" s="127">
        <f t="shared" si="3"/>
      </c>
      <c r="J67" s="127">
        <f t="shared" si="1"/>
      </c>
      <c r="K67" s="125">
        <v>2</v>
      </c>
      <c r="L67" s="140">
        <v>3751.2</v>
      </c>
      <c r="M67" s="141"/>
      <c r="N67" s="141"/>
      <c r="O67" s="142" t="s">
        <v>319</v>
      </c>
      <c r="P67" s="128">
        <v>10</v>
      </c>
    </row>
    <row hidden="true" r="68">
      <c r="A68" s="123" t="s">
        <v>353</v>
      </c>
      <c r="B68" s="124" t="s">
        <v>336</v>
      </c>
      <c r="C68" s="125" t="s">
        <v>321</v>
      </c>
      <c r="D68" s="125">
        <v>5</v>
      </c>
      <c r="E68" s="125">
        <v>7</v>
      </c>
      <c r="F68" s="125">
        <v>7767.600000000001</v>
      </c>
      <c r="G68" s="125">
        <v>8122.75</v>
      </c>
      <c r="H68" s="126">
        <f t="shared" si="0"/>
      </c>
      <c r="I68" s="127">
        <f t="shared" si="3"/>
      </c>
      <c r="J68" s="127">
        <f t="shared" si="1"/>
      </c>
      <c r="K68" s="125">
        <v>1</v>
      </c>
      <c r="L68" s="140">
        <v>775.2</v>
      </c>
      <c r="M68" s="141" t="s">
        <v>343</v>
      </c>
      <c r="N68" s="141">
        <v>10</v>
      </c>
      <c r="O68" s="142"/>
      <c r="P68" s="129"/>
    </row>
    <row hidden="true" r="69">
      <c r="A69" s="123" t="s">
        <v>353</v>
      </c>
      <c r="B69" s="124" t="s">
        <v>320</v>
      </c>
      <c r="C69" s="125" t="s">
        <v>323</v>
      </c>
      <c r="D69" s="125">
        <v>5</v>
      </c>
      <c r="E69" s="125">
        <v>6</v>
      </c>
      <c r="F69" s="125">
        <v>5894.399999999998</v>
      </c>
      <c r="G69" s="125">
        <v>9055.95</v>
      </c>
      <c r="H69" s="126">
        <f t="shared" si="0"/>
      </c>
      <c r="I69" s="127">
        <f t="shared" si="3"/>
      </c>
      <c r="J69" s="127">
        <f t="shared" si="1"/>
      </c>
      <c r="K69" s="125">
        <v>2</v>
      </c>
      <c r="L69" s="140">
        <v>3326.4000000000005</v>
      </c>
      <c r="M69" s="130"/>
      <c r="N69" s="141"/>
      <c r="O69" s="142"/>
      <c r="P69" s="129"/>
    </row>
    <row hidden="true" r="70">
      <c r="A70" s="123" t="s">
        <v>353</v>
      </c>
      <c r="B70" s="130" t="s">
        <v>316</v>
      </c>
      <c r="C70" s="125" t="s">
        <v>325</v>
      </c>
      <c r="D70" s="125">
        <v>5</v>
      </c>
      <c r="E70" s="125">
        <v>7</v>
      </c>
      <c r="F70" s="125">
        <v>8774.400000000001</v>
      </c>
      <c r="G70" s="125">
        <v>9199.17</v>
      </c>
      <c r="H70" s="126">
        <f t="shared" si="0"/>
      </c>
      <c r="I70" s="127">
        <f t="shared" si="3"/>
      </c>
      <c r="J70" s="127">
        <f t="shared" si="1"/>
      </c>
      <c r="K70" s="125">
        <v>0</v>
      </c>
      <c r="L70" s="140">
        <v>0</v>
      </c>
      <c r="M70" s="130" t="s">
        <v>326</v>
      </c>
      <c r="N70" s="130">
        <v>10</v>
      </c>
      <c r="O70" s="143" t="s">
        <v>327</v>
      </c>
      <c r="P70" s="128">
        <v>10</v>
      </c>
    </row>
    <row r="71">
      <c r="A71" s="131" t="s">
        <v>353</v>
      </c>
      <c r="B71" s="132"/>
      <c r="C71" s="132"/>
      <c r="D71" s="133">
        <f>SUM(D67:D70)</f>
      </c>
      <c r="E71" s="133">
        <f>SUM(E67:E70)</f>
      </c>
      <c r="F71" s="134">
        <f>SUM(F67:F70)</f>
      </c>
      <c r="G71" s="133">
        <f>SUM(G67:G70)</f>
      </c>
      <c r="H71" s="135">
        <f t="shared" si="0"/>
      </c>
      <c r="I71" s="135">
        <f t="shared" si="3"/>
      </c>
      <c r="J71" s="135">
        <f t="shared" si="1"/>
      </c>
      <c r="K71" s="133">
        <f>SUM(K67:K70)</f>
      </c>
      <c r="L71" s="144">
        <f>SUM(L67:L70)</f>
      </c>
      <c r="M71" s="145"/>
      <c r="N71" s="146">
        <f>SUM(N67:N70)</f>
      </c>
      <c r="O71" s="147"/>
      <c r="P71" s="136">
        <f>SUM(P67:P70)</f>
      </c>
    </row>
    <row hidden="true" r="72">
      <c r="A72" s="123" t="s">
        <v>354</v>
      </c>
      <c r="B72" s="124" t="s">
        <v>336</v>
      </c>
      <c r="C72" s="125" t="s">
        <v>317</v>
      </c>
      <c r="D72" s="125">
        <v>5</v>
      </c>
      <c r="E72" s="125">
        <v>4</v>
      </c>
      <c r="F72" s="125">
        <v>5565.6</v>
      </c>
      <c r="G72" s="125">
        <v>6850.13</v>
      </c>
      <c r="H72" s="126">
        <f t="shared" si="0"/>
      </c>
      <c r="I72" s="127">
        <f t="shared" si="3"/>
      </c>
      <c r="J72" s="127">
        <f t="shared" si="1"/>
      </c>
      <c r="K72" s="125">
        <v>1</v>
      </c>
      <c r="L72" s="140">
        <v>691.2</v>
      </c>
      <c r="M72" s="141"/>
      <c r="N72" s="141"/>
      <c r="O72" s="142" t="s">
        <v>319</v>
      </c>
      <c r="P72" s="128">
        <v>10</v>
      </c>
    </row>
    <row hidden="true" r="73">
      <c r="A73" s="123" t="s">
        <v>354</v>
      </c>
      <c r="B73" s="124" t="s">
        <v>322</v>
      </c>
      <c r="C73" s="125" t="s">
        <v>321</v>
      </c>
      <c r="D73" s="125">
        <v>5</v>
      </c>
      <c r="E73" s="125">
        <v>7</v>
      </c>
      <c r="F73" s="125">
        <v>7418.400000000001</v>
      </c>
      <c r="G73" s="125">
        <v>6556.7300000000005</v>
      </c>
      <c r="H73" s="126">
        <f t="shared" si="0"/>
      </c>
      <c r="I73" s="127">
        <f t="shared" si="3"/>
      </c>
      <c r="J73" s="127">
        <f t="shared" si="1"/>
      </c>
      <c r="K73" s="125">
        <v>1</v>
      </c>
      <c r="L73" s="140">
        <v>1344</v>
      </c>
      <c r="M73" s="141" t="s">
        <v>343</v>
      </c>
      <c r="N73" s="141">
        <v>10</v>
      </c>
      <c r="O73" s="142"/>
      <c r="P73" s="129"/>
    </row>
    <row hidden="true" r="74">
      <c r="A74" s="123" t="s">
        <v>354</v>
      </c>
      <c r="B74" s="124" t="s">
        <v>320</v>
      </c>
      <c r="C74" s="125" t="s">
        <v>323</v>
      </c>
      <c r="D74" s="125">
        <v>5</v>
      </c>
      <c r="E74" s="125">
        <v>8</v>
      </c>
      <c r="F74" s="125">
        <v>12098.400000000001</v>
      </c>
      <c r="G74" s="125">
        <v>8041.540000000001</v>
      </c>
      <c r="H74" s="126">
        <f t="shared" si="0"/>
      </c>
      <c r="I74" s="127">
        <f t="shared" si="3"/>
      </c>
      <c r="J74" s="127">
        <f t="shared" si="1"/>
      </c>
      <c r="K74" s="125">
        <v>3</v>
      </c>
      <c r="L74" s="140">
        <v>3799.2</v>
      </c>
      <c r="M74" s="130"/>
      <c r="N74" s="141"/>
      <c r="O74" s="142"/>
      <c r="P74" s="129"/>
    </row>
    <row hidden="true" r="75">
      <c r="A75" s="123" t="s">
        <v>354</v>
      </c>
      <c r="B75" s="130" t="s">
        <v>324</v>
      </c>
      <c r="C75" s="125" t="s">
        <v>325</v>
      </c>
      <c r="D75" s="125">
        <v>5</v>
      </c>
      <c r="E75" s="125">
        <v>9</v>
      </c>
      <c r="F75" s="125">
        <v>13759.199999999993</v>
      </c>
      <c r="G75" s="125">
        <v>6637.339999999999</v>
      </c>
      <c r="H75" s="126">
        <f t="shared" si="0"/>
      </c>
      <c r="I75" s="127">
        <f t="shared" si="3"/>
      </c>
      <c r="J75" s="127">
        <f t="shared" si="1"/>
      </c>
      <c r="K75" s="125">
        <v>1</v>
      </c>
      <c r="L75" s="140">
        <v>1411.2000000000007</v>
      </c>
      <c r="M75" s="130" t="s">
        <v>326</v>
      </c>
      <c r="N75" s="130">
        <v>10</v>
      </c>
      <c r="O75" s="143" t="s">
        <v>327</v>
      </c>
      <c r="P75" s="128">
        <v>10</v>
      </c>
    </row>
    <row r="76">
      <c r="A76" s="131" t="s">
        <v>354</v>
      </c>
      <c r="B76" s="132"/>
      <c r="C76" s="132"/>
      <c r="D76" s="133">
        <f>SUM(D72:D75)</f>
      </c>
      <c r="E76" s="133">
        <f>SUM(E72:E75)</f>
      </c>
      <c r="F76" s="134">
        <f>SUM(F72:F75)</f>
      </c>
      <c r="G76" s="133">
        <f>SUM(G72:G75)</f>
      </c>
      <c r="H76" s="135">
        <f t="shared" si="0"/>
      </c>
      <c r="I76" s="135">
        <f t="shared" si="3"/>
      </c>
      <c r="J76" s="135">
        <f t="shared" si="1"/>
      </c>
      <c r="K76" s="133">
        <f>SUM(K72:K75)</f>
      </c>
      <c r="L76" s="144">
        <f>SUM(L72:L75)</f>
      </c>
      <c r="M76" s="145"/>
      <c r="N76" s="146">
        <f>SUM(N72:N75)</f>
      </c>
      <c r="O76" s="147"/>
      <c r="P76" s="136">
        <f>SUM(P72:P75)</f>
      </c>
    </row>
    <row hidden="true" r="77">
      <c r="A77" s="123" t="s">
        <v>355</v>
      </c>
      <c r="B77" s="124" t="s">
        <v>336</v>
      </c>
      <c r="C77" s="125" t="s">
        <v>317</v>
      </c>
      <c r="D77" s="125">
        <v>5</v>
      </c>
      <c r="E77" s="125">
        <v>8</v>
      </c>
      <c r="F77" s="125">
        <v>11800.8</v>
      </c>
      <c r="G77" s="125">
        <v>9526.78</v>
      </c>
      <c r="H77" s="126">
        <f t="shared" si="0"/>
      </c>
      <c r="I77" s="127">
        <f t="shared" si="3"/>
      </c>
      <c r="J77" s="127">
        <f t="shared" si="1"/>
      </c>
      <c r="K77" s="125">
        <v>2</v>
      </c>
      <c r="L77" s="140">
        <v>4070.4</v>
      </c>
      <c r="M77" s="141"/>
      <c r="N77" s="141"/>
      <c r="O77" s="142" t="s">
        <v>319</v>
      </c>
      <c r="P77" s="128">
        <v>10</v>
      </c>
    </row>
    <row hidden="true" r="78">
      <c r="A78" s="123" t="s">
        <v>355</v>
      </c>
      <c r="B78" s="124" t="s">
        <v>322</v>
      </c>
      <c r="C78" s="125" t="s">
        <v>321</v>
      </c>
      <c r="D78" s="125">
        <v>5</v>
      </c>
      <c r="E78" s="125">
        <v>9</v>
      </c>
      <c r="F78" s="125">
        <v>12678</v>
      </c>
      <c r="G78" s="125">
        <v>7588.66</v>
      </c>
      <c r="H78" s="126">
        <f t="shared" si="0"/>
      </c>
      <c r="I78" s="127">
        <f t="shared" si="3"/>
      </c>
      <c r="J78" s="127">
        <f t="shared" si="1"/>
      </c>
      <c r="K78" s="125">
        <v>2</v>
      </c>
      <c r="L78" s="140">
        <v>2702.4</v>
      </c>
      <c r="M78" s="141" t="s">
        <v>356</v>
      </c>
      <c r="N78" s="141">
        <v>10</v>
      </c>
      <c r="O78" s="142"/>
      <c r="P78" s="129"/>
    </row>
    <row hidden="true" r="79">
      <c r="A79" s="123" t="s">
        <v>355</v>
      </c>
      <c r="B79" s="124" t="s">
        <v>320</v>
      </c>
      <c r="C79" s="125" t="s">
        <v>323</v>
      </c>
      <c r="D79" s="125">
        <v>5</v>
      </c>
      <c r="E79" s="125">
        <v>7</v>
      </c>
      <c r="F79" s="125">
        <v>8709.600000000002</v>
      </c>
      <c r="G79" s="125">
        <v>5690.85</v>
      </c>
      <c r="H79" s="126">
        <f t="shared" si="0"/>
      </c>
      <c r="I79" s="127">
        <f t="shared" si="3"/>
      </c>
      <c r="J79" s="127">
        <f t="shared" si="1"/>
      </c>
      <c r="K79" s="125">
        <v>0</v>
      </c>
      <c r="L79" s="140">
        <v>0</v>
      </c>
      <c r="M79" s="130"/>
      <c r="N79" s="141"/>
      <c r="O79" s="142"/>
      <c r="P79" s="129"/>
    </row>
    <row hidden="true" r="80">
      <c r="A80" s="123" t="s">
        <v>355</v>
      </c>
      <c r="B80" s="130" t="s">
        <v>316</v>
      </c>
      <c r="C80" s="125" t="s">
        <v>325</v>
      </c>
      <c r="D80" s="125">
        <v>5</v>
      </c>
      <c r="E80" s="125">
        <v>4</v>
      </c>
      <c r="F80" s="125">
        <v>5136</v>
      </c>
      <c r="G80" s="125">
        <v>10967.88</v>
      </c>
      <c r="H80" s="126">
        <f t="shared" si="0"/>
      </c>
      <c r="I80" s="127">
        <f t="shared" si="3"/>
      </c>
      <c r="J80" s="127">
        <f t="shared" si="1"/>
      </c>
      <c r="K80" s="125">
        <v>2</v>
      </c>
      <c r="L80" s="140">
        <v>2284.8</v>
      </c>
      <c r="M80" s="130" t="s">
        <v>326</v>
      </c>
      <c r="N80" s="130">
        <v>10</v>
      </c>
      <c r="O80" s="143" t="s">
        <v>327</v>
      </c>
      <c r="P80" s="128">
        <v>10</v>
      </c>
    </row>
    <row r="81">
      <c r="A81" s="131" t="s">
        <v>355</v>
      </c>
      <c r="B81" s="132"/>
      <c r="C81" s="132"/>
      <c r="D81" s="133">
        <f>SUM(D77:D80)</f>
      </c>
      <c r="E81" s="133">
        <f>SUM(E77:E80)</f>
      </c>
      <c r="F81" s="134">
        <f>SUM(F77:F80)</f>
      </c>
      <c r="G81" s="133">
        <f>SUM(G77:G80)</f>
      </c>
      <c r="H81" s="135">
        <f t="shared" si="0"/>
      </c>
      <c r="I81" s="135">
        <f t="shared" si="3"/>
      </c>
      <c r="J81" s="135">
        <f t="shared" si="1"/>
      </c>
      <c r="K81" s="133">
        <f>SUM(K77:K80)</f>
      </c>
      <c r="L81" s="144">
        <f>SUM(L77:L80)</f>
      </c>
      <c r="M81" s="145"/>
      <c r="N81" s="146">
        <f>SUM(N77:N80)</f>
      </c>
      <c r="O81" s="147"/>
      <c r="P81" s="136">
        <f>SUM(P77:P80)</f>
      </c>
    </row>
    <row hidden="true" r="82">
      <c r="A82" s="123" t="s">
        <v>357</v>
      </c>
      <c r="B82" s="124" t="s">
        <v>336</v>
      </c>
      <c r="C82" s="125" t="s">
        <v>317</v>
      </c>
      <c r="D82" s="125">
        <v>5</v>
      </c>
      <c r="E82" s="125">
        <v>12</v>
      </c>
      <c r="F82" s="125">
        <v>15483.599999999999</v>
      </c>
      <c r="G82" s="125">
        <v>8747.64</v>
      </c>
      <c r="H82" s="126">
        <f t="shared" si="0"/>
      </c>
      <c r="I82" s="127">
        <f t="shared" si="3"/>
      </c>
      <c r="J82" s="127">
        <f t="shared" si="1"/>
      </c>
      <c r="K82" s="125">
        <v>3</v>
      </c>
      <c r="L82" s="140">
        <v>5018.4</v>
      </c>
      <c r="M82" s="141"/>
      <c r="N82" s="141"/>
      <c r="O82" s="142" t="s">
        <v>319</v>
      </c>
      <c r="P82" s="128">
        <v>10</v>
      </c>
    </row>
    <row hidden="true" r="83">
      <c r="A83" s="123" t="s">
        <v>357</v>
      </c>
      <c r="B83" s="124" t="s">
        <v>322</v>
      </c>
      <c r="C83" s="125" t="s">
        <v>321</v>
      </c>
      <c r="D83" s="125">
        <v>5</v>
      </c>
      <c r="E83" s="125">
        <v>10</v>
      </c>
      <c r="F83" s="125">
        <v>16106.4</v>
      </c>
      <c r="G83" s="125">
        <v>9476.9</v>
      </c>
      <c r="H83" s="126">
        <f t="shared" si="0"/>
      </c>
      <c r="I83" s="127">
        <f t="shared" si="3"/>
      </c>
      <c r="J83" s="127">
        <f t="shared" si="1"/>
      </c>
      <c r="K83" s="125">
        <v>0</v>
      </c>
      <c r="L83" s="140">
        <v>0</v>
      </c>
      <c r="M83" s="141" t="s">
        <v>356</v>
      </c>
      <c r="N83" s="141">
        <v>10</v>
      </c>
      <c r="O83" s="142"/>
      <c r="P83" s="129"/>
    </row>
    <row hidden="true" r="84">
      <c r="A84" s="123" t="s">
        <v>357</v>
      </c>
      <c r="B84" s="124" t="s">
        <v>320</v>
      </c>
      <c r="C84" s="125" t="s">
        <v>323</v>
      </c>
      <c r="D84" s="125">
        <v>5</v>
      </c>
      <c r="E84" s="125">
        <v>10</v>
      </c>
      <c r="F84" s="125">
        <v>14841.599999999997</v>
      </c>
      <c r="G84" s="125">
        <v>9992.78</v>
      </c>
      <c r="H84" s="126">
        <f t="shared" si="0"/>
      </c>
      <c r="I84" s="127">
        <f t="shared" si="3"/>
      </c>
      <c r="J84" s="127">
        <f t="shared" si="1"/>
      </c>
      <c r="K84" s="125">
        <v>1</v>
      </c>
      <c r="L84" s="140">
        <v>1411.2</v>
      </c>
      <c r="M84" s="130"/>
      <c r="N84" s="141"/>
      <c r="O84" s="142"/>
      <c r="P84" s="129"/>
    </row>
    <row hidden="true" r="85">
      <c r="A85" s="123" t="s">
        <v>357</v>
      </c>
      <c r="B85" s="130" t="s">
        <v>316</v>
      </c>
      <c r="C85" s="125" t="s">
        <v>325</v>
      </c>
      <c r="D85" s="125">
        <v>5</v>
      </c>
      <c r="E85" s="125">
        <v>13</v>
      </c>
      <c r="F85" s="125">
        <v>16502.4</v>
      </c>
      <c r="G85" s="125">
        <v>10377.349999999999</v>
      </c>
      <c r="H85" s="126">
        <f t="shared" si="0"/>
      </c>
      <c r="I85" s="127">
        <f t="shared" si="3"/>
      </c>
      <c r="J85" s="127">
        <f t="shared" si="1"/>
      </c>
      <c r="K85" s="125">
        <v>3</v>
      </c>
      <c r="L85" s="140">
        <v>1711.2</v>
      </c>
      <c r="M85" s="130" t="s">
        <v>358</v>
      </c>
      <c r="N85" s="130">
        <v>10</v>
      </c>
      <c r="O85" s="143" t="s">
        <v>327</v>
      </c>
      <c r="P85" s="128">
        <v>10</v>
      </c>
    </row>
    <row r="86">
      <c r="A86" s="131" t="s">
        <v>357</v>
      </c>
      <c r="B86" s="132"/>
      <c r="C86" s="132"/>
      <c r="D86" s="133">
        <f>SUM(D82:D85)</f>
      </c>
      <c r="E86" s="133">
        <f>SUM(E82:E85)</f>
      </c>
      <c r="F86" s="134">
        <f>SUM(F82:F85)</f>
      </c>
      <c r="G86" s="133">
        <f>SUM(G82:G85)</f>
      </c>
      <c r="H86" s="135">
        <f t="shared" si="0"/>
      </c>
      <c r="I86" s="135">
        <f t="shared" si="3"/>
      </c>
      <c r="J86" s="135">
        <f t="shared" si="1"/>
      </c>
      <c r="K86" s="133">
        <f>SUM(K82:K85)</f>
      </c>
      <c r="L86" s="144">
        <f>SUM(L82:L85)</f>
      </c>
      <c r="M86" s="145"/>
      <c r="N86" s="146">
        <f>SUM(N82:N85)</f>
      </c>
      <c r="O86" s="147"/>
      <c r="P86" s="136">
        <f>SUM(P82:P85)</f>
      </c>
    </row>
    <row hidden="true" r="87">
      <c r="A87" s="123" t="s">
        <v>359</v>
      </c>
      <c r="B87" s="124" t="s">
        <v>322</v>
      </c>
      <c r="C87" s="125" t="s">
        <v>317</v>
      </c>
      <c r="D87" s="125">
        <v>5</v>
      </c>
      <c r="E87" s="125">
        <v>10</v>
      </c>
      <c r="F87" s="125">
        <v>9042</v>
      </c>
      <c r="G87" s="125">
        <v>13351.560000000001</v>
      </c>
      <c r="H87" s="126">
        <f t="shared" si="0"/>
      </c>
      <c r="I87" s="127">
        <f t="shared" si="3"/>
      </c>
      <c r="J87" s="127">
        <f t="shared" si="1"/>
      </c>
      <c r="K87" s="125">
        <v>3</v>
      </c>
      <c r="L87" s="140">
        <v>2870.3999999999996</v>
      </c>
      <c r="M87" s="141"/>
      <c r="N87" s="141"/>
      <c r="O87" s="142" t="s">
        <v>319</v>
      </c>
      <c r="P87" s="128">
        <v>10</v>
      </c>
    </row>
    <row hidden="true" r="88">
      <c r="A88" s="123" t="s">
        <v>359</v>
      </c>
      <c r="B88" s="124" t="s">
        <v>324</v>
      </c>
      <c r="C88" s="125" t="s">
        <v>321</v>
      </c>
      <c r="D88" s="125">
        <v>5</v>
      </c>
      <c r="E88" s="125">
        <v>6</v>
      </c>
      <c r="F88" s="125">
        <v>8500.8</v>
      </c>
      <c r="G88" s="125">
        <v>5879.030000000001</v>
      </c>
      <c r="H88" s="126">
        <f t="shared" si="0"/>
      </c>
      <c r="I88" s="127">
        <f t="shared" si="3"/>
      </c>
      <c r="J88" s="127">
        <f t="shared" si="1"/>
      </c>
      <c r="K88" s="125">
        <v>2</v>
      </c>
      <c r="L88" s="140">
        <v>3326.4</v>
      </c>
      <c r="M88" s="141" t="s">
        <v>343</v>
      </c>
      <c r="N88" s="141">
        <v>10</v>
      </c>
      <c r="O88" s="142"/>
      <c r="P88" s="129"/>
    </row>
    <row hidden="true" r="89">
      <c r="A89" s="123" t="s">
        <v>359</v>
      </c>
      <c r="B89" s="124" t="s">
        <v>316</v>
      </c>
      <c r="C89" s="125" t="s">
        <v>323</v>
      </c>
      <c r="D89" s="125">
        <v>5</v>
      </c>
      <c r="E89" s="125">
        <v>10</v>
      </c>
      <c r="F89" s="125">
        <v>13042.8</v>
      </c>
      <c r="G89" s="125">
        <v>5716.23</v>
      </c>
      <c r="H89" s="126">
        <f t="shared" si="0"/>
      </c>
      <c r="I89" s="127">
        <f t="shared" si="3"/>
      </c>
      <c r="J89" s="127">
        <f t="shared" si="1"/>
      </c>
      <c r="K89" s="125">
        <v>2</v>
      </c>
      <c r="L89" s="140">
        <v>1017.6000000000004</v>
      </c>
      <c r="M89" s="130"/>
      <c r="N89" s="141"/>
      <c r="O89" s="142"/>
      <c r="P89" s="129"/>
    </row>
    <row hidden="true" r="90">
      <c r="A90" s="123" t="s">
        <v>359</v>
      </c>
      <c r="B90" s="130" t="s">
        <v>336</v>
      </c>
      <c r="C90" s="125" t="s">
        <v>325</v>
      </c>
      <c r="D90" s="125">
        <v>5</v>
      </c>
      <c r="E90" s="125">
        <v>24</v>
      </c>
      <c r="F90" s="125">
        <v>32751.59999999999</v>
      </c>
      <c r="G90" s="125">
        <v>14300.81</v>
      </c>
      <c r="H90" s="126">
        <f t="shared" si="0"/>
      </c>
      <c r="I90" s="127">
        <f t="shared" si="3"/>
      </c>
      <c r="J90" s="127">
        <f t="shared" si="1"/>
      </c>
      <c r="K90" s="125">
        <v>2</v>
      </c>
      <c r="L90" s="140">
        <v>2324.3999999999996</v>
      </c>
      <c r="M90" s="130" t="s">
        <v>326</v>
      </c>
      <c r="N90" s="130">
        <v>10</v>
      </c>
      <c r="O90" s="143" t="s">
        <v>327</v>
      </c>
      <c r="P90" s="128">
        <v>10</v>
      </c>
    </row>
    <row r="91">
      <c r="A91" s="131" t="s">
        <v>359</v>
      </c>
      <c r="B91" s="132"/>
      <c r="C91" s="132"/>
      <c r="D91" s="133">
        <f>SUM(D87:D90)</f>
      </c>
      <c r="E91" s="133">
        <f>SUM(E87:E90)</f>
      </c>
      <c r="F91" s="134">
        <f>SUM(F87:F90)</f>
      </c>
      <c r="G91" s="133">
        <f>SUM(G87:G90)</f>
      </c>
      <c r="H91" s="135">
        <f t="shared" si="0"/>
      </c>
      <c r="I91" s="135">
        <f t="shared" si="3"/>
      </c>
      <c r="J91" s="135">
        <f t="shared" si="1"/>
      </c>
      <c r="K91" s="133">
        <f>SUM(K87:K90)</f>
      </c>
      <c r="L91" s="144">
        <f>SUM(L87:L90)</f>
      </c>
      <c r="M91" s="145"/>
      <c r="N91" s="146">
        <f>SUM(N87:N90)</f>
      </c>
      <c r="O91" s="147"/>
      <c r="P91" s="136">
        <f>SUM(P87:P90)</f>
      </c>
    </row>
    <row hidden="true" r="92">
      <c r="A92" s="123" t="s">
        <v>360</v>
      </c>
      <c r="B92" s="124" t="s">
        <v>322</v>
      </c>
      <c r="C92" s="125" t="s">
        <v>317</v>
      </c>
      <c r="D92" s="125">
        <v>5</v>
      </c>
      <c r="E92" s="125">
        <v>8</v>
      </c>
      <c r="F92" s="125">
        <v>7147.4</v>
      </c>
      <c r="G92" s="125">
        <v>11755.98</v>
      </c>
      <c r="H92" s="126">
        <f t="shared" si="0"/>
      </c>
      <c r="I92" s="127">
        <f t="shared" si="3"/>
      </c>
      <c r="J92" s="127">
        <f t="shared" si="1"/>
      </c>
      <c r="K92" s="125">
        <v>3</v>
      </c>
      <c r="L92" s="140">
        <v>3381.6</v>
      </c>
      <c r="M92" s="141"/>
      <c r="N92" s="141"/>
      <c r="O92" s="142" t="s">
        <v>319</v>
      </c>
      <c r="P92" s="128">
        <v>10</v>
      </c>
    </row>
    <row hidden="true" r="93">
      <c r="A93" s="123" t="s">
        <v>360</v>
      </c>
      <c r="B93" s="124" t="s">
        <v>320</v>
      </c>
      <c r="C93" s="125" t="s">
        <v>321</v>
      </c>
      <c r="D93" s="125">
        <v>5</v>
      </c>
      <c r="E93" s="125">
        <v>4</v>
      </c>
      <c r="F93" s="125">
        <v>8198.4</v>
      </c>
      <c r="G93" s="125">
        <v>9861.310000000001</v>
      </c>
      <c r="H93" s="126">
        <f t="shared" si="0"/>
      </c>
      <c r="I93" s="127">
        <f t="shared" si="3"/>
      </c>
      <c r="J93" s="127">
        <f t="shared" si="1"/>
      </c>
      <c r="K93" s="125">
        <v>0</v>
      </c>
      <c r="L93" s="140">
        <v>0</v>
      </c>
      <c r="M93" s="141" t="s">
        <v>343</v>
      </c>
      <c r="N93" s="141">
        <v>10</v>
      </c>
      <c r="O93" s="142"/>
      <c r="P93" s="129"/>
    </row>
    <row hidden="true" r="94">
      <c r="A94" s="123" t="s">
        <v>360</v>
      </c>
      <c r="B94" s="124" t="s">
        <v>316</v>
      </c>
      <c r="C94" s="125" t="s">
        <v>323</v>
      </c>
      <c r="D94" s="125">
        <v>5</v>
      </c>
      <c r="E94" s="125">
        <v>9</v>
      </c>
      <c r="F94" s="125">
        <v>11223.600000000002</v>
      </c>
      <c r="G94" s="125">
        <v>9199.23</v>
      </c>
      <c r="H94" s="126">
        <f t="shared" si="0"/>
      </c>
      <c r="I94" s="127">
        <f t="shared" si="3"/>
      </c>
      <c r="J94" s="127">
        <f t="shared" si="1"/>
      </c>
      <c r="K94" s="125">
        <v>2</v>
      </c>
      <c r="L94" s="140">
        <v>1788</v>
      </c>
      <c r="M94" s="130"/>
      <c r="N94" s="141"/>
      <c r="O94" s="142"/>
      <c r="P94" s="129"/>
    </row>
    <row hidden="true" r="95">
      <c r="A95" s="123" t="s">
        <v>360</v>
      </c>
      <c r="B95" s="130" t="s">
        <v>336</v>
      </c>
      <c r="C95" s="125" t="s">
        <v>325</v>
      </c>
      <c r="D95" s="125">
        <v>5</v>
      </c>
      <c r="E95" s="125">
        <v>23</v>
      </c>
      <c r="F95" s="125">
        <v>29299.19999999999</v>
      </c>
      <c r="G95" s="125">
        <v>16873.760000000002</v>
      </c>
      <c r="H95" s="126">
        <f t="shared" si="0"/>
      </c>
      <c r="I95" s="127">
        <f t="shared" si="3"/>
      </c>
      <c r="J95" s="127">
        <f t="shared" si="1"/>
      </c>
      <c r="K95" s="125">
        <v>1</v>
      </c>
      <c r="L95" s="140">
        <v>444</v>
      </c>
      <c r="M95" s="130" t="s">
        <v>326</v>
      </c>
      <c r="N95" s="130">
        <v>10</v>
      </c>
      <c r="O95" s="143" t="s">
        <v>327</v>
      </c>
      <c r="P95" s="128">
        <v>10</v>
      </c>
    </row>
    <row r="96">
      <c r="A96" s="131" t="s">
        <v>360</v>
      </c>
      <c r="B96" s="132"/>
      <c r="C96" s="132"/>
      <c r="D96" s="133">
        <f>SUM(D92:D95)</f>
      </c>
      <c r="E96" s="133">
        <f>SUM(E92:E95)</f>
      </c>
      <c r="F96" s="134">
        <f>SUM(F92:F95)</f>
      </c>
      <c r="G96" s="133">
        <f>SUM(G92:G95)</f>
      </c>
      <c r="H96" s="135">
        <f t="shared" si="0"/>
      </c>
      <c r="I96" s="135">
        <f t="shared" si="3"/>
      </c>
      <c r="J96" s="135">
        <f t="shared" si="1"/>
      </c>
      <c r="K96" s="133">
        <f>SUM(K92:K95)</f>
      </c>
      <c r="L96" s="144">
        <f>SUM(L92:L95)</f>
      </c>
      <c r="M96" s="145"/>
      <c r="N96" s="146">
        <f>SUM(N92:N95)</f>
      </c>
      <c r="O96" s="147"/>
      <c r="P96" s="136">
        <f>SUM(P92:P95)</f>
      </c>
    </row>
    <row hidden="true" r="97">
      <c r="A97" s="123" t="s">
        <v>361</v>
      </c>
      <c r="B97" s="124" t="s">
        <v>322</v>
      </c>
      <c r="C97" s="125" t="s">
        <v>317</v>
      </c>
      <c r="D97" s="125">
        <v>5</v>
      </c>
      <c r="E97" s="125">
        <v>26</v>
      </c>
      <c r="F97" s="125">
        <v>31796.399999999998</v>
      </c>
      <c r="G97" s="125">
        <v>28431.649999999998</v>
      </c>
      <c r="H97" s="126">
        <f t="shared" si="0"/>
      </c>
      <c r="I97" s="127">
        <f t="shared" si="3"/>
      </c>
      <c r="J97" s="127">
        <f t="shared" si="1"/>
      </c>
      <c r="K97" s="125">
        <v>7</v>
      </c>
      <c r="L97" s="140">
        <v>11474.400000000001</v>
      </c>
      <c r="M97" s="141"/>
      <c r="N97" s="141"/>
      <c r="O97" s="142" t="s">
        <v>319</v>
      </c>
      <c r="P97" s="128">
        <v>10</v>
      </c>
    </row>
    <row hidden="true" r="98">
      <c r="A98" s="123" t="s">
        <v>361</v>
      </c>
      <c r="B98" s="124" t="s">
        <v>320</v>
      </c>
      <c r="C98" s="125" t="s">
        <v>321</v>
      </c>
      <c r="D98" s="125">
        <v>5</v>
      </c>
      <c r="E98" s="125">
        <v>18</v>
      </c>
      <c r="F98" s="125">
        <v>31298.399999999998</v>
      </c>
      <c r="G98" s="125">
        <v>20769.81</v>
      </c>
      <c r="H98" s="126">
        <f t="shared" si="0"/>
      </c>
      <c r="I98" s="127">
        <f t="shared" si="3"/>
      </c>
      <c r="J98" s="127">
        <f t="shared" si="1"/>
      </c>
      <c r="K98" s="125">
        <v>1</v>
      </c>
      <c r="L98" s="140">
        <v>2011.199999999999</v>
      </c>
      <c r="M98" s="141" t="s">
        <v>343</v>
      </c>
      <c r="N98" s="141">
        <v>10</v>
      </c>
      <c r="O98" s="142"/>
      <c r="P98" s="129"/>
    </row>
    <row hidden="true" r="99">
      <c r="A99" s="123" t="s">
        <v>361</v>
      </c>
      <c r="B99" s="124" t="s">
        <v>324</v>
      </c>
      <c r="C99" s="125" t="s">
        <v>323</v>
      </c>
      <c r="D99" s="125">
        <v>5</v>
      </c>
      <c r="E99" s="125">
        <v>10</v>
      </c>
      <c r="F99" s="125">
        <v>16941.6</v>
      </c>
      <c r="G99" s="125">
        <v>10194.350000000002</v>
      </c>
      <c r="H99" s="126">
        <f t="shared" si="0"/>
      </c>
      <c r="I99" s="127">
        <f t="shared" si="3"/>
      </c>
      <c r="J99" s="127">
        <f t="shared" si="1"/>
      </c>
      <c r="K99" s="125">
        <v>1</v>
      </c>
      <c r="L99" s="140">
        <v>1663.199999999999</v>
      </c>
      <c r="M99" s="130"/>
      <c r="N99" s="141"/>
      <c r="O99" s="142"/>
      <c r="P99" s="129"/>
    </row>
    <row hidden="true" r="100">
      <c r="A100" s="123" t="s">
        <v>361</v>
      </c>
      <c r="B100" s="130" t="s">
        <v>336</v>
      </c>
      <c r="C100" s="125" t="s">
        <v>325</v>
      </c>
      <c r="D100" s="125">
        <v>5</v>
      </c>
      <c r="E100" s="125">
        <v>16</v>
      </c>
      <c r="F100" s="125">
        <v>20786.400000000023</v>
      </c>
      <c r="G100" s="125">
        <v>16074.1</v>
      </c>
      <c r="H100" s="126">
        <f t="shared" si="0"/>
      </c>
      <c r="I100" s="127">
        <f t="shared" si="3"/>
      </c>
      <c r="J100" s="127">
        <f t="shared" si="1"/>
      </c>
      <c r="K100" s="125">
        <v>3</v>
      </c>
      <c r="L100" s="140">
        <v>2680.7999999999993</v>
      </c>
      <c r="M100" s="130" t="s">
        <v>326</v>
      </c>
      <c r="N100" s="130">
        <v>10</v>
      </c>
      <c r="O100" s="143" t="s">
        <v>327</v>
      </c>
      <c r="P100" s="128">
        <v>10</v>
      </c>
    </row>
    <row r="101">
      <c r="A101" s="131" t="s">
        <v>361</v>
      </c>
      <c r="B101" s="132"/>
      <c r="C101" s="132"/>
      <c r="D101" s="133">
        <f>SUM(D97:D100)</f>
      </c>
      <c r="E101" s="133">
        <f>SUM(E97:E100)</f>
      </c>
      <c r="F101" s="134">
        <f>SUM(F97:F100)</f>
      </c>
      <c r="G101" s="133">
        <f>SUM(G97:G100)</f>
      </c>
      <c r="H101" s="135">
        <f t="shared" si="0"/>
      </c>
      <c r="I101" s="135">
        <f t="shared" si="3"/>
      </c>
      <c r="J101" s="135">
        <f t="shared" si="1"/>
      </c>
      <c r="K101" s="133">
        <f>SUM(K97:K100)</f>
      </c>
      <c r="L101" s="144">
        <f>SUM(L97:L100)</f>
      </c>
      <c r="M101" s="145"/>
      <c r="N101" s="146">
        <f>SUM(N97:N100)</f>
      </c>
      <c r="O101" s="147"/>
      <c r="P101" s="136">
        <f>SUM(P97:P100)</f>
      </c>
    </row>
    <row hidden="true" r="102">
      <c r="A102" s="123" t="s">
        <v>362</v>
      </c>
      <c r="B102" s="124" t="s">
        <v>320</v>
      </c>
      <c r="C102" s="125" t="s">
        <v>317</v>
      </c>
      <c r="D102" s="125">
        <v>5</v>
      </c>
      <c r="E102" s="125">
        <v>13</v>
      </c>
      <c r="F102" s="125">
        <v>20529.6</v>
      </c>
      <c r="G102" s="125">
        <v>16256.329999999998</v>
      </c>
      <c r="H102" s="126">
        <f t="shared" si="0"/>
      </c>
      <c r="I102" s="127">
        <f t="shared" si="3"/>
      </c>
      <c r="J102" s="127">
        <f t="shared" si="1"/>
      </c>
      <c r="K102" s="125">
        <v>2</v>
      </c>
      <c r="L102" s="140">
        <v>2284.8</v>
      </c>
      <c r="M102" s="141"/>
      <c r="N102" s="141"/>
      <c r="O102" s="142" t="s">
        <v>319</v>
      </c>
      <c r="P102" s="128">
        <v>10</v>
      </c>
    </row>
    <row hidden="true" r="103">
      <c r="A103" s="123" t="s">
        <v>362</v>
      </c>
      <c r="B103" s="124" t="s">
        <v>324</v>
      </c>
      <c r="C103" s="125" t="s">
        <v>321</v>
      </c>
      <c r="D103" s="125">
        <v>5</v>
      </c>
      <c r="E103" s="125">
        <v>20</v>
      </c>
      <c r="F103" s="125">
        <v>33319.2</v>
      </c>
      <c r="G103" s="125">
        <v>22247.83</v>
      </c>
      <c r="H103" s="126">
        <f t="shared" si="0"/>
      </c>
      <c r="I103" s="127">
        <f t="shared" si="3"/>
      </c>
      <c r="J103" s="127">
        <f t="shared" si="1"/>
      </c>
      <c r="K103" s="125">
        <v>4</v>
      </c>
      <c r="L103" s="140">
        <v>8344.8</v>
      </c>
      <c r="M103" s="141" t="s">
        <v>343</v>
      </c>
      <c r="N103" s="141">
        <v>10</v>
      </c>
      <c r="O103" s="142"/>
      <c r="P103" s="129"/>
    </row>
    <row hidden="true" r="104">
      <c r="A104" s="123" t="s">
        <v>362</v>
      </c>
      <c r="B104" s="124" t="s">
        <v>336</v>
      </c>
      <c r="C104" s="125" t="s">
        <v>323</v>
      </c>
      <c r="D104" s="125">
        <v>5</v>
      </c>
      <c r="E104" s="125">
        <v>17</v>
      </c>
      <c r="F104" s="125">
        <v>23694</v>
      </c>
      <c r="G104" s="125">
        <v>19639.22</v>
      </c>
      <c r="H104" s="126">
        <f t="shared" si="0"/>
      </c>
      <c r="I104" s="127">
        <f t="shared" si="3"/>
      </c>
      <c r="J104" s="127">
        <f t="shared" si="1"/>
      </c>
      <c r="K104" s="125">
        <v>6</v>
      </c>
      <c r="L104" s="140">
        <v>6868.8</v>
      </c>
      <c r="M104" s="130"/>
      <c r="N104" s="141"/>
      <c r="O104" s="142"/>
      <c r="P104" s="129"/>
    </row>
    <row hidden="true" r="105">
      <c r="A105" s="123" t="s">
        <v>362</v>
      </c>
      <c r="B105" s="130" t="s">
        <v>316</v>
      </c>
      <c r="C105" s="125" t="s">
        <v>325</v>
      </c>
      <c r="D105" s="125">
        <v>5</v>
      </c>
      <c r="E105" s="125">
        <v>25</v>
      </c>
      <c r="F105" s="125">
        <v>25948.8</v>
      </c>
      <c r="G105" s="125">
        <v>21181.38</v>
      </c>
      <c r="H105" s="126">
        <f t="shared" si="0"/>
      </c>
      <c r="I105" s="127">
        <f t="shared" si="3"/>
      </c>
      <c r="J105" s="127">
        <f t="shared" si="1"/>
      </c>
      <c r="K105" s="125">
        <v>2</v>
      </c>
      <c r="L105" s="140">
        <v>1370.4</v>
      </c>
      <c r="M105" s="130" t="s">
        <v>363</v>
      </c>
      <c r="N105" s="130">
        <v>10</v>
      </c>
      <c r="O105" s="143" t="s">
        <v>327</v>
      </c>
      <c r="P105" s="128">
        <v>10</v>
      </c>
    </row>
    <row r="106">
      <c r="A106" s="131" t="s">
        <v>362</v>
      </c>
      <c r="B106" s="132"/>
      <c r="C106" s="132"/>
      <c r="D106" s="133">
        <f>SUM(D102:D105)</f>
      </c>
      <c r="E106" s="133">
        <f>SUM(E102:E105)</f>
      </c>
      <c r="F106" s="134">
        <f>SUM(F102:F105)</f>
      </c>
      <c r="G106" s="133">
        <f>SUM(G102:G105)</f>
      </c>
      <c r="H106" s="135">
        <f t="shared" si="0"/>
      </c>
      <c r="I106" s="135">
        <f t="shared" si="3"/>
      </c>
      <c r="J106" s="135">
        <f t="shared" si="1"/>
      </c>
      <c r="K106" s="133">
        <f>SUM(K102:K105)</f>
      </c>
      <c r="L106" s="144">
        <f>SUM(L102:L105)</f>
      </c>
      <c r="M106" s="145"/>
      <c r="N106" s="146">
        <f>SUM(N102:N105)</f>
      </c>
      <c r="O106" s="147"/>
      <c r="P106" s="136">
        <f>SUM(P102:P105)</f>
      </c>
    </row>
    <row hidden="true" r="107">
      <c r="A107" s="123" t="s">
        <v>364</v>
      </c>
      <c r="B107" s="124" t="s">
        <v>320</v>
      </c>
      <c r="C107" s="125" t="s">
        <v>317</v>
      </c>
      <c r="D107" s="125">
        <v>5</v>
      </c>
      <c r="E107" s="125">
        <v>23</v>
      </c>
      <c r="F107" s="125">
        <v>29562</v>
      </c>
      <c r="G107" s="125">
        <v>22701.68</v>
      </c>
      <c r="H107" s="126">
        <f t="shared" si="0"/>
      </c>
      <c r="I107" s="127">
        <f t="shared" si="3"/>
      </c>
      <c r="J107" s="127">
        <f t="shared" si="1"/>
      </c>
      <c r="K107" s="125">
        <v>3</v>
      </c>
      <c r="L107" s="140">
        <v>2421.6</v>
      </c>
      <c r="M107" s="141"/>
      <c r="N107" s="141"/>
      <c r="O107" s="142" t="s">
        <v>319</v>
      </c>
      <c r="P107" s="128">
        <v>10</v>
      </c>
    </row>
    <row hidden="true" r="108">
      <c r="A108" s="123" t="s">
        <v>364</v>
      </c>
      <c r="B108" s="124" t="s">
        <v>324</v>
      </c>
      <c r="C108" s="125" t="s">
        <v>321</v>
      </c>
      <c r="D108" s="125">
        <v>5</v>
      </c>
      <c r="E108" s="125">
        <v>35</v>
      </c>
      <c r="F108" s="125">
        <v>44262.48</v>
      </c>
      <c r="G108" s="125">
        <v>22401.29</v>
      </c>
      <c r="H108" s="126">
        <f t="shared" si="0"/>
      </c>
      <c r="I108" s="127">
        <f t="shared" si="3"/>
      </c>
      <c r="J108" s="127">
        <f t="shared" si="1"/>
      </c>
      <c r="K108" s="125">
        <v>9</v>
      </c>
      <c r="L108" s="140">
        <v>8460</v>
      </c>
      <c r="M108" s="141" t="s">
        <v>343</v>
      </c>
      <c r="N108" s="141">
        <v>10</v>
      </c>
      <c r="O108" s="142"/>
      <c r="P108" s="129"/>
    </row>
    <row hidden="true" r="109">
      <c r="A109" s="123" t="s">
        <v>364</v>
      </c>
      <c r="B109" s="124" t="s">
        <v>336</v>
      </c>
      <c r="C109" s="125" t="s">
        <v>323</v>
      </c>
      <c r="D109" s="125">
        <v>5</v>
      </c>
      <c r="E109" s="125">
        <v>18</v>
      </c>
      <c r="F109" s="125">
        <v>26227.2</v>
      </c>
      <c r="G109" s="125">
        <v>17595.53</v>
      </c>
      <c r="H109" s="126">
        <f t="shared" si="0"/>
      </c>
      <c r="I109" s="127">
        <f t="shared" si="3"/>
      </c>
      <c r="J109" s="127">
        <f t="shared" si="1"/>
      </c>
      <c r="K109" s="125">
        <v>6</v>
      </c>
      <c r="L109" s="140">
        <v>4550.4</v>
      </c>
      <c r="M109" s="130"/>
      <c r="N109" s="141"/>
      <c r="O109" s="142"/>
      <c r="P109" s="129"/>
    </row>
    <row hidden="true" r="110">
      <c r="A110" s="123" t="s">
        <v>364</v>
      </c>
      <c r="B110" s="130" t="s">
        <v>316</v>
      </c>
      <c r="C110" s="125" t="s">
        <v>325</v>
      </c>
      <c r="D110" s="125">
        <v>5</v>
      </c>
      <c r="E110" s="125">
        <v>11</v>
      </c>
      <c r="F110" s="125">
        <v>10359.6</v>
      </c>
      <c r="G110" s="125">
        <v>17999.87</v>
      </c>
      <c r="H110" s="126">
        <f t="shared" si="0"/>
      </c>
      <c r="I110" s="127">
        <f t="shared" si="3"/>
      </c>
      <c r="J110" s="127">
        <f t="shared" si="1"/>
      </c>
      <c r="K110" s="125">
        <v>1</v>
      </c>
      <c r="L110" s="140">
        <v>1692</v>
      </c>
      <c r="M110" s="130" t="s">
        <v>363</v>
      </c>
      <c r="N110" s="130">
        <v>10</v>
      </c>
      <c r="O110" s="143" t="s">
        <v>327</v>
      </c>
      <c r="P110" s="128">
        <v>10</v>
      </c>
    </row>
    <row r="111">
      <c r="A111" s="131" t="s">
        <v>364</v>
      </c>
      <c r="B111" s="132"/>
      <c r="C111" s="132"/>
      <c r="D111" s="133">
        <f>SUM(D107:D110)</f>
      </c>
      <c r="E111" s="133">
        <f>SUM(E107:E110)</f>
      </c>
      <c r="F111" s="134">
        <f>SUM(F107:F110)</f>
      </c>
      <c r="G111" s="133">
        <f>SUM(G107:G110)</f>
      </c>
      <c r="H111" s="135">
        <f t="shared" si="0"/>
      </c>
      <c r="I111" s="135">
        <f t="shared" si="3"/>
      </c>
      <c r="J111" s="135">
        <f t="shared" si="1"/>
      </c>
      <c r="K111" s="133">
        <f>SUM(K107:K110)</f>
      </c>
      <c r="L111" s="144">
        <f>SUM(L107:L110)</f>
      </c>
      <c r="M111" s="145"/>
      <c r="N111" s="146">
        <f>SUM(N107:N110)</f>
      </c>
      <c r="O111" s="147"/>
      <c r="P111" s="136">
        <f>SUM(P107:P110)</f>
      </c>
    </row>
    <row hidden="true" r="112">
      <c r="A112" s="123" t="s">
        <v>365</v>
      </c>
      <c r="B112" s="124" t="s">
        <v>324</v>
      </c>
      <c r="C112" s="125" t="s">
        <v>317</v>
      </c>
      <c r="D112" s="125">
        <v>5</v>
      </c>
      <c r="E112" s="125">
        <v>13</v>
      </c>
      <c r="F112" s="125">
        <v>22260</v>
      </c>
      <c r="G112" s="125">
        <v>13829.099999999999</v>
      </c>
      <c r="H112" s="126">
        <f t="shared" si="0"/>
      </c>
      <c r="I112" s="127">
        <f t="shared" si="3"/>
      </c>
      <c r="J112" s="127">
        <f t="shared" si="1"/>
      </c>
      <c r="K112" s="125">
        <v>7</v>
      </c>
      <c r="L112" s="140">
        <v>10488</v>
      </c>
      <c r="M112" s="141"/>
      <c r="N112" s="141"/>
      <c r="O112" s="142" t="s">
        <v>319</v>
      </c>
      <c r="P112" s="128">
        <v>10</v>
      </c>
    </row>
    <row hidden="true" r="113">
      <c r="A113" s="123" t="s">
        <v>365</v>
      </c>
      <c r="B113" s="124" t="s">
        <v>336</v>
      </c>
      <c r="C113" s="125" t="s">
        <v>321</v>
      </c>
      <c r="D113" s="125">
        <v>5</v>
      </c>
      <c r="E113" s="125">
        <v>20</v>
      </c>
      <c r="F113" s="125">
        <v>23011.2</v>
      </c>
      <c r="G113" s="125">
        <v>19371.65</v>
      </c>
      <c r="H113" s="126">
        <f t="shared" si="0"/>
      </c>
      <c r="I113" s="127">
        <f t="shared" si="3"/>
      </c>
      <c r="J113" s="127">
        <f t="shared" si="1"/>
      </c>
      <c r="K113" s="125">
        <v>4</v>
      </c>
      <c r="L113" s="140">
        <v>3501.6</v>
      </c>
      <c r="M113" s="141" t="s">
        <v>343</v>
      </c>
      <c r="N113" s="141">
        <v>10</v>
      </c>
      <c r="O113" s="142"/>
      <c r="P113" s="129"/>
    </row>
    <row hidden="true" r="114">
      <c r="A114" s="123" t="s">
        <v>365</v>
      </c>
      <c r="B114" s="124" t="s">
        <v>316</v>
      </c>
      <c r="C114" s="125" t="s">
        <v>323</v>
      </c>
      <c r="D114" s="125">
        <v>5</v>
      </c>
      <c r="E114" s="125">
        <v>16</v>
      </c>
      <c r="F114" s="125">
        <v>20432.4</v>
      </c>
      <c r="G114" s="125">
        <v>16588.06</v>
      </c>
      <c r="H114" s="126">
        <f t="shared" si="0"/>
      </c>
      <c r="I114" s="127">
        <f t="shared" si="3"/>
      </c>
      <c r="J114" s="127">
        <f t="shared" si="1"/>
      </c>
      <c r="K114" s="125">
        <v>2</v>
      </c>
      <c r="L114" s="140">
        <v>2702.4</v>
      </c>
      <c r="M114" s="130"/>
      <c r="N114" s="141"/>
      <c r="O114" s="142"/>
      <c r="P114" s="129"/>
    </row>
    <row hidden="true" r="115">
      <c r="A115" s="123" t="s">
        <v>365</v>
      </c>
      <c r="B115" s="130" t="s">
        <v>322</v>
      </c>
      <c r="C115" s="125" t="s">
        <v>325</v>
      </c>
      <c r="D115" s="125">
        <v>5</v>
      </c>
      <c r="E115" s="125">
        <v>21</v>
      </c>
      <c r="F115" s="125">
        <v>36426</v>
      </c>
      <c r="G115" s="125">
        <v>23694.710000000006</v>
      </c>
      <c r="H115" s="126">
        <f t="shared" si="0"/>
      </c>
      <c r="I115" s="127">
        <f t="shared" si="3"/>
      </c>
      <c r="J115" s="127">
        <f t="shared" si="1"/>
      </c>
      <c r="K115" s="125">
        <v>2</v>
      </c>
      <c r="L115" s="140">
        <v>3602.4</v>
      </c>
      <c r="M115" s="130" t="s">
        <v>363</v>
      </c>
      <c r="N115" s="130">
        <v>10</v>
      </c>
      <c r="O115" s="143" t="s">
        <v>327</v>
      </c>
      <c r="P115" s="128">
        <v>10</v>
      </c>
    </row>
    <row r="116">
      <c r="A116" s="131" t="s">
        <v>365</v>
      </c>
      <c r="B116" s="132"/>
      <c r="C116" s="132"/>
      <c r="D116" s="133">
        <f>SUM(D112:D115)</f>
      </c>
      <c r="E116" s="133">
        <f>SUM(E112:E115)</f>
      </c>
      <c r="F116" s="134">
        <f>SUM(F112:F115)</f>
      </c>
      <c r="G116" s="133">
        <f>SUM(G112:G115)</f>
      </c>
      <c r="H116" s="135">
        <f t="shared" si="0"/>
      </c>
      <c r="I116" s="135">
        <f t="shared" si="3"/>
      </c>
      <c r="J116" s="135">
        <f t="shared" si="1"/>
      </c>
      <c r="K116" s="133">
        <f>SUM(K112:K115)</f>
      </c>
      <c r="L116" s="144">
        <f>SUM(L112:L115)</f>
      </c>
      <c r="M116" s="145"/>
      <c r="N116" s="146">
        <f>SUM(N112:N115)</f>
      </c>
      <c r="O116" s="147"/>
      <c r="P116" s="136">
        <f>SUM(P112:P115)</f>
      </c>
    </row>
    <row hidden="true" r="117">
      <c r="A117" s="123" t="s">
        <v>366</v>
      </c>
      <c r="B117" s="124" t="s">
        <v>324</v>
      </c>
      <c r="C117" s="125" t="s">
        <v>317</v>
      </c>
      <c r="D117" s="125">
        <v>5</v>
      </c>
      <c r="E117" s="125">
        <v>18</v>
      </c>
      <c r="F117" s="125">
        <v>27717.6</v>
      </c>
      <c r="G117" s="125">
        <v>13916</v>
      </c>
      <c r="H117" s="126">
        <f t="shared" si="0"/>
      </c>
      <c r="I117" s="127">
        <f t="shared" si="3"/>
      </c>
      <c r="J117" s="127">
        <f t="shared" si="1"/>
      </c>
      <c r="K117" s="125">
        <v>0</v>
      </c>
      <c r="L117" s="140">
        <v>0</v>
      </c>
      <c r="M117" s="141"/>
      <c r="N117" s="141"/>
      <c r="O117" s="142" t="s">
        <v>319</v>
      </c>
      <c r="P117" s="128">
        <v>10</v>
      </c>
    </row>
    <row hidden="true" r="118">
      <c r="A118" s="123" t="s">
        <v>366</v>
      </c>
      <c r="B118" s="124" t="s">
        <v>336</v>
      </c>
      <c r="C118" s="125" t="s">
        <v>321</v>
      </c>
      <c r="D118" s="125">
        <v>5</v>
      </c>
      <c r="E118" s="125">
        <v>27</v>
      </c>
      <c r="F118" s="125">
        <v>36502.8</v>
      </c>
      <c r="G118" s="125">
        <v>25999.980000000003</v>
      </c>
      <c r="H118" s="126">
        <f t="shared" si="0"/>
      </c>
      <c r="I118" s="127">
        <f t="shared" si="3"/>
      </c>
      <c r="J118" s="127">
        <f t="shared" si="1"/>
      </c>
      <c r="K118" s="125">
        <v>3</v>
      </c>
      <c r="L118" s="140">
        <v>6506.4</v>
      </c>
      <c r="M118" s="141" t="s">
        <v>343</v>
      </c>
      <c r="N118" s="141">
        <v>10</v>
      </c>
      <c r="O118" s="142"/>
      <c r="P118" s="129"/>
    </row>
    <row hidden="true" r="119">
      <c r="A119" s="123" t="s">
        <v>366</v>
      </c>
      <c r="B119" s="124" t="s">
        <v>316</v>
      </c>
      <c r="C119" s="125" t="s">
        <v>323</v>
      </c>
      <c r="D119" s="125">
        <v>5</v>
      </c>
      <c r="E119" s="125">
        <v>6</v>
      </c>
      <c r="F119" s="125">
        <v>8512.400000000001</v>
      </c>
      <c r="G119" s="125">
        <v>12005.949999999999</v>
      </c>
      <c r="H119" s="126">
        <f t="shared" si="0"/>
      </c>
      <c r="I119" s="127">
        <f t="shared" si="3"/>
      </c>
      <c r="J119" s="127">
        <f t="shared" si="1"/>
      </c>
      <c r="K119" s="125">
        <v>4</v>
      </c>
      <c r="L119" s="140">
        <v>5853.6</v>
      </c>
      <c r="M119" s="130"/>
      <c r="N119" s="141"/>
      <c r="O119" s="142"/>
      <c r="P119" s="129"/>
    </row>
    <row hidden="true" r="120">
      <c r="A120" s="123" t="s">
        <v>366</v>
      </c>
      <c r="B120" s="130" t="s">
        <v>320</v>
      </c>
      <c r="C120" s="125" t="s">
        <v>367</v>
      </c>
      <c r="D120" s="125">
        <v>3</v>
      </c>
      <c r="E120" s="125">
        <v>5</v>
      </c>
      <c r="F120" s="125">
        <v>5369.280000000013</v>
      </c>
      <c r="G120" s="125">
        <v>6433.65</v>
      </c>
      <c r="H120" s="126">
        <f t="shared" si="0"/>
      </c>
      <c r="I120" s="127">
        <f t="shared" si="3"/>
      </c>
      <c r="J120" s="127">
        <f t="shared" si="1"/>
      </c>
      <c r="K120" s="125">
        <v>0</v>
      </c>
      <c r="L120" s="140">
        <v>0</v>
      </c>
      <c r="M120" s="130" t="s">
        <v>368</v>
      </c>
      <c r="N120" s="130">
        <v>8</v>
      </c>
      <c r="O120" s="143" t="s">
        <v>327</v>
      </c>
      <c r="P120" s="128">
        <v>10</v>
      </c>
    </row>
    <row r="121">
      <c r="A121" s="131" t="s">
        <v>366</v>
      </c>
      <c r="B121" s="132"/>
      <c r="C121" s="132"/>
      <c r="D121" s="133">
        <f>SUM(D117:D120)</f>
      </c>
      <c r="E121" s="133">
        <f>SUM(E117:E120)</f>
      </c>
      <c r="F121" s="134">
        <f>SUM(F117:F120)</f>
      </c>
      <c r="G121" s="133">
        <f>SUM(G117:G120)</f>
      </c>
      <c r="H121" s="135">
        <f t="shared" si="0"/>
      </c>
      <c r="I121" s="135">
        <f t="shared" si="3"/>
      </c>
      <c r="J121" s="135">
        <f t="shared" si="1"/>
      </c>
      <c r="K121" s="133">
        <f>SUM(K117:K120)</f>
      </c>
      <c r="L121" s="144">
        <f>SUM(L117:L120)</f>
      </c>
      <c r="M121" s="145"/>
      <c r="N121" s="146">
        <f>SUM(N117:N120)</f>
      </c>
      <c r="O121" s="147"/>
      <c r="P121" s="136">
        <f>SUM(P117:P120)</f>
      </c>
    </row>
    <row hidden="true" r="122">
      <c r="A122" s="123" t="s">
        <v>369</v>
      </c>
      <c r="B122" s="124" t="s">
        <v>324</v>
      </c>
      <c r="C122" s="125" t="s">
        <v>317</v>
      </c>
      <c r="D122" s="125">
        <v>5</v>
      </c>
      <c r="E122" s="125">
        <v>10</v>
      </c>
      <c r="F122" s="125">
        <v>15664.800000000001</v>
      </c>
      <c r="G122" s="125">
        <v>11690.499999999998</v>
      </c>
      <c r="H122" s="126">
        <f t="shared" si="0"/>
      </c>
      <c r="I122" s="127">
        <f t="shared" si="3"/>
      </c>
      <c r="J122" s="127">
        <f t="shared" si="1"/>
      </c>
      <c r="K122" s="125">
        <v>2</v>
      </c>
      <c r="L122" s="140">
        <v>2407.2</v>
      </c>
      <c r="M122" s="141"/>
      <c r="N122" s="141"/>
      <c r="O122" s="142" t="s">
        <v>319</v>
      </c>
      <c r="P122" s="128">
        <v>10</v>
      </c>
    </row>
    <row hidden="true" r="123">
      <c r="A123" s="123" t="s">
        <v>369</v>
      </c>
      <c r="B123" s="124" t="s">
        <v>336</v>
      </c>
      <c r="C123" s="125" t="s">
        <v>321</v>
      </c>
      <c r="D123" s="125">
        <v>5</v>
      </c>
      <c r="E123" s="125">
        <v>33</v>
      </c>
      <c r="F123" s="125">
        <v>50289.59999999999</v>
      </c>
      <c r="G123" s="125">
        <v>28594.809999999998</v>
      </c>
      <c r="H123" s="126">
        <f t="shared" si="0"/>
      </c>
      <c r="I123" s="127">
        <f t="shared" si="3"/>
      </c>
      <c r="J123" s="127">
        <f t="shared" si="1"/>
      </c>
      <c r="K123" s="125">
        <v>5</v>
      </c>
      <c r="L123" s="140">
        <v>7144.8</v>
      </c>
      <c r="M123" s="141" t="s">
        <v>343</v>
      </c>
      <c r="N123" s="141">
        <v>10</v>
      </c>
      <c r="O123" s="142"/>
      <c r="P123" s="129"/>
    </row>
    <row hidden="true" r="124">
      <c r="A124" s="123" t="s">
        <v>369</v>
      </c>
      <c r="B124" s="124" t="s">
        <v>320</v>
      </c>
      <c r="C124" s="125" t="s">
        <v>323</v>
      </c>
      <c r="D124" s="125">
        <v>5</v>
      </c>
      <c r="E124" s="125">
        <v>19</v>
      </c>
      <c r="F124" s="125">
        <v>23904</v>
      </c>
      <c r="G124" s="125">
        <v>22331.72</v>
      </c>
      <c r="H124" s="126">
        <f t="shared" si="0"/>
      </c>
      <c r="I124" s="127">
        <f t="shared" si="3"/>
      </c>
      <c r="J124" s="127">
        <f t="shared" si="1"/>
      </c>
      <c r="K124" s="125">
        <v>5</v>
      </c>
      <c r="L124" s="140">
        <v>5673.6</v>
      </c>
      <c r="M124" s="130"/>
      <c r="N124" s="141"/>
      <c r="O124" s="142"/>
      <c r="P124" s="129"/>
    </row>
    <row hidden="true" r="125">
      <c r="A125" s="123" t="s">
        <v>369</v>
      </c>
      <c r="B125" s="130" t="s">
        <v>322</v>
      </c>
      <c r="C125" s="125" t="s">
        <v>325</v>
      </c>
      <c r="D125" s="125">
        <v>5</v>
      </c>
      <c r="E125" s="125">
        <v>25</v>
      </c>
      <c r="F125" s="125">
        <v>31820.600000000006</v>
      </c>
      <c r="G125" s="125">
        <v>23892.829999999998</v>
      </c>
      <c r="H125" s="126">
        <f t="shared" si="0"/>
      </c>
      <c r="I125" s="127">
        <f t="shared" si="3"/>
      </c>
      <c r="J125" s="127">
        <f t="shared" si="1"/>
      </c>
      <c r="K125" s="125">
        <v>6</v>
      </c>
      <c r="L125" s="140">
        <v>7053.6</v>
      </c>
      <c r="M125" s="130" t="s">
        <v>326</v>
      </c>
      <c r="N125" s="130">
        <v>10</v>
      </c>
      <c r="O125" s="143" t="s">
        <v>327</v>
      </c>
      <c r="P125" s="128">
        <v>10</v>
      </c>
    </row>
    <row r="126">
      <c r="A126" s="131" t="s">
        <v>369</v>
      </c>
      <c r="B126" s="132"/>
      <c r="C126" s="132"/>
      <c r="D126" s="133">
        <f>SUM(D122:D125)</f>
      </c>
      <c r="E126" s="133">
        <f>SUM(E122:E125)</f>
      </c>
      <c r="F126" s="134">
        <f>SUM(F122:F125)</f>
      </c>
      <c r="G126" s="133">
        <f>SUM(G122:G125)</f>
      </c>
      <c r="H126" s="135">
        <f t="shared" si="0"/>
      </c>
      <c r="I126" s="135">
        <f t="shared" si="3"/>
      </c>
      <c r="J126" s="135">
        <f t="shared" si="1"/>
      </c>
      <c r="K126" s="133">
        <f>SUM(K122:K125)</f>
      </c>
      <c r="L126" s="144">
        <f>SUM(L122:L125)</f>
      </c>
      <c r="M126" s="145"/>
      <c r="N126" s="146">
        <f>SUM(N122:N125)</f>
      </c>
      <c r="O126" s="147"/>
      <c r="P126" s="136">
        <f>SUM(P122:P125)</f>
      </c>
    </row>
    <row hidden="true" r="127">
      <c r="A127" s="123" t="s">
        <v>370</v>
      </c>
      <c r="B127" s="124" t="s">
        <v>336</v>
      </c>
      <c r="C127" s="125" t="s">
        <v>317</v>
      </c>
      <c r="D127" s="125">
        <v>5</v>
      </c>
      <c r="E127" s="125">
        <v>22</v>
      </c>
      <c r="F127" s="125">
        <v>30051.600000000002</v>
      </c>
      <c r="G127" s="125">
        <v>20506.54</v>
      </c>
      <c r="H127" s="126">
        <f t="shared" si="0"/>
      </c>
      <c r="I127" s="127">
        <f t="shared" si="3"/>
      </c>
      <c r="J127" s="127">
        <f t="shared" si="1"/>
      </c>
      <c r="K127" s="125">
        <v>6</v>
      </c>
      <c r="L127" s="140">
        <v>8830.799999999997</v>
      </c>
      <c r="M127" s="141"/>
      <c r="N127" s="141"/>
      <c r="O127" s="142" t="s">
        <v>319</v>
      </c>
      <c r="P127" s="141">
        <v>10</v>
      </c>
    </row>
    <row hidden="true" r="128">
      <c r="A128" s="123" t="s">
        <v>370</v>
      </c>
      <c r="B128" s="124" t="s">
        <v>316</v>
      </c>
      <c r="C128" s="125" t="s">
        <v>371</v>
      </c>
      <c r="D128" s="125">
        <v>4</v>
      </c>
      <c r="E128" s="125">
        <v>11</v>
      </c>
      <c r="F128" s="125">
        <v>8570.4</v>
      </c>
      <c r="G128" s="125">
        <v>19744.59</v>
      </c>
      <c r="H128" s="126">
        <f t="shared" si="0"/>
      </c>
      <c r="I128" s="127">
        <f t="shared" si="3"/>
      </c>
      <c r="J128" s="127">
        <f t="shared" si="1"/>
      </c>
      <c r="K128" s="125">
        <v>5</v>
      </c>
      <c r="L128" s="140">
        <v>2311.2</v>
      </c>
      <c r="M128" s="141" t="s">
        <v>343</v>
      </c>
      <c r="N128" s="141">
        <v>10</v>
      </c>
      <c r="O128" s="142"/>
      <c r="P128" s="141"/>
    </row>
    <row customHeight="true" hidden="true" ht="16.071428571428573" r="129">
      <c r="A129" s="123" t="s">
        <v>370</v>
      </c>
      <c r="B129" s="124" t="s">
        <v>372</v>
      </c>
      <c r="C129" s="125" t="s">
        <v>373</v>
      </c>
      <c r="D129" s="125">
        <v>2</v>
      </c>
      <c r="E129" s="125">
        <v>3</v>
      </c>
      <c r="F129" s="125">
        <v>4381.199999999997</v>
      </c>
      <c r="G129" s="125">
        <v>2528.9700000000003</v>
      </c>
      <c r="H129" s="126">
        <f t="shared" si="0"/>
      </c>
      <c r="I129" s="127">
        <f t="shared" si="3"/>
      </c>
      <c r="J129" s="127">
        <f t="shared" si="1"/>
      </c>
      <c r="K129" s="125">
        <v>1</v>
      </c>
      <c r="L129" s="140">
        <v>358.8000000000011</v>
      </c>
      <c r="M129" s="130"/>
      <c r="N129" s="141"/>
      <c r="O129" s="142"/>
      <c r="P129" s="141"/>
    </row>
    <row hidden="true" r="130">
      <c r="A130" s="123" t="s">
        <v>370</v>
      </c>
      <c r="B130" s="124" t="s">
        <v>320</v>
      </c>
      <c r="C130" s="125" t="s">
        <v>374</v>
      </c>
      <c r="D130" s="125">
        <v>4</v>
      </c>
      <c r="E130" s="125">
        <v>7</v>
      </c>
      <c r="F130" s="125">
        <v>9750</v>
      </c>
      <c r="G130" s="125">
        <v>8243.63</v>
      </c>
      <c r="H130" s="126">
        <f t="shared" si="0"/>
      </c>
      <c r="I130" s="127">
        <f t="shared" si="3"/>
      </c>
      <c r="J130" s="127">
        <f t="shared" si="1"/>
      </c>
      <c r="K130" s="125">
        <v>3</v>
      </c>
      <c r="L130" s="140">
        <v>4797.6</v>
      </c>
      <c r="M130" s="130"/>
      <c r="N130" s="141"/>
      <c r="O130" s="142"/>
      <c r="P130" s="141"/>
    </row>
    <row hidden="true" r="131">
      <c r="A131" s="123" t="s">
        <v>370</v>
      </c>
      <c r="B131" s="130" t="s">
        <v>322</v>
      </c>
      <c r="C131" s="125" t="s">
        <v>325</v>
      </c>
      <c r="D131" s="125">
        <v>5</v>
      </c>
      <c r="E131" s="125">
        <v>15</v>
      </c>
      <c r="F131" s="125">
        <v>17899.19999999999</v>
      </c>
      <c r="G131" s="125">
        <v>13196.06</v>
      </c>
      <c r="H131" s="126">
        <f t="shared" si="0"/>
      </c>
      <c r="I131" s="127">
        <f t="shared" si="3"/>
      </c>
      <c r="J131" s="127">
        <f t="shared" si="1"/>
      </c>
      <c r="K131" s="125">
        <v>1</v>
      </c>
      <c r="L131" s="140">
        <v>1092.0000000000036</v>
      </c>
      <c r="M131" s="130" t="s">
        <v>326</v>
      </c>
      <c r="N131" s="130">
        <v>10</v>
      </c>
      <c r="O131" s="143" t="s">
        <v>327</v>
      </c>
      <c r="P131" s="130">
        <v>10</v>
      </c>
    </row>
    <row r="132">
      <c r="A132" s="131" t="s">
        <v>370</v>
      </c>
      <c r="B132" s="132"/>
      <c r="C132" s="132"/>
      <c r="D132" s="133">
        <f>SUM(D127:D131)</f>
      </c>
      <c r="E132" s="133">
        <f>SUM(E127:E131)</f>
      </c>
      <c r="F132" s="134">
        <f>SUM(F127:F131)</f>
      </c>
      <c r="G132" s="133">
        <f>SUM(G127:G131)</f>
      </c>
      <c r="H132" s="135">
        <f t="shared" si="0"/>
      </c>
      <c r="I132" s="135">
        <f t="shared" si="3"/>
      </c>
      <c r="J132" s="135">
        <f t="shared" si="1"/>
      </c>
      <c r="K132" s="133">
        <f>SUM(K127:K131)</f>
      </c>
      <c r="L132" s="144">
        <f>SUM(L127:L131)</f>
      </c>
      <c r="M132" s="145"/>
      <c r="N132" s="146">
        <f>SUM(N127:N131)</f>
      </c>
      <c r="O132" s="147"/>
      <c r="P132" s="146">
        <f>SUM(P127:P131)</f>
      </c>
    </row>
    <row hidden="true" r="133">
      <c r="A133" s="123" t="s">
        <v>375</v>
      </c>
      <c r="B133" s="124" t="s">
        <v>336</v>
      </c>
      <c r="C133" s="125" t="s">
        <v>317</v>
      </c>
      <c r="D133" s="125">
        <v>5</v>
      </c>
      <c r="E133" s="125">
        <v>14</v>
      </c>
      <c r="F133" s="125">
        <v>19418.4</v>
      </c>
      <c r="G133" s="125">
        <v>12243.68</v>
      </c>
      <c r="H133" s="126">
        <f t="shared" si="0"/>
      </c>
      <c r="I133" s="127">
        <f t="shared" si="3"/>
      </c>
      <c r="J133" s="127">
        <f t="shared" si="1"/>
      </c>
      <c r="K133" s="125">
        <v>1</v>
      </c>
      <c r="L133" s="140">
        <v>715.2</v>
      </c>
      <c r="M133" s="141"/>
      <c r="N133" s="141"/>
      <c r="O133" s="142" t="s">
        <v>319</v>
      </c>
      <c r="P133" s="141">
        <v>10</v>
      </c>
    </row>
    <row hidden="true" r="134">
      <c r="A134" s="123" t="s">
        <v>375</v>
      </c>
      <c r="B134" s="124" t="s">
        <v>320</v>
      </c>
      <c r="C134" s="125" t="s">
        <v>371</v>
      </c>
      <c r="D134" s="125">
        <v>4</v>
      </c>
      <c r="E134" s="125">
        <v>3</v>
      </c>
      <c r="F134" s="125">
        <v>4304.4</v>
      </c>
      <c r="G134" s="125">
        <v>8308.189999999999</v>
      </c>
      <c r="H134" s="126">
        <f t="shared" si="0"/>
      </c>
      <c r="I134" s="127">
        <f t="shared" si="3"/>
      </c>
      <c r="J134" s="127">
        <f t="shared" si="1"/>
      </c>
      <c r="K134" s="125">
        <v>0</v>
      </c>
      <c r="L134" s="140">
        <v>0</v>
      </c>
      <c r="M134" s="141" t="s">
        <v>343</v>
      </c>
      <c r="N134" s="141">
        <v>10</v>
      </c>
      <c r="O134" s="142"/>
      <c r="P134" s="141"/>
    </row>
    <row hidden="true" r="135">
      <c r="A135" s="123" t="s">
        <v>375</v>
      </c>
      <c r="B135" s="124" t="s">
        <v>372</v>
      </c>
      <c r="C135" s="125" t="s">
        <v>373</v>
      </c>
      <c r="D135" s="125">
        <v>2</v>
      </c>
      <c r="E135" s="125">
        <v>5</v>
      </c>
      <c r="F135" s="125">
        <v>5355.5999999999985</v>
      </c>
      <c r="G135" s="125">
        <v>5081.200000000001</v>
      </c>
      <c r="H135" s="126">
        <f t="shared" si="0"/>
      </c>
      <c r="I135" s="127">
        <f t="shared" si="3"/>
      </c>
      <c r="J135" s="127">
        <f t="shared" si="1"/>
      </c>
      <c r="K135" s="125">
        <v>2</v>
      </c>
      <c r="L135" s="140">
        <v>2354.4000000000005</v>
      </c>
      <c r="M135" s="130"/>
      <c r="N135" s="141"/>
      <c r="O135" s="142"/>
      <c r="P135" s="141"/>
    </row>
    <row hidden="true" r="136">
      <c r="A136" s="123" t="s">
        <v>375</v>
      </c>
      <c r="B136" s="124" t="s">
        <v>324</v>
      </c>
      <c r="C136" s="125" t="s">
        <v>374</v>
      </c>
      <c r="D136" s="125">
        <v>4</v>
      </c>
      <c r="E136" s="125">
        <v>9</v>
      </c>
      <c r="F136" s="125">
        <v>14077.199999999997</v>
      </c>
      <c r="G136" s="125">
        <v>8242.859999999999</v>
      </c>
      <c r="H136" s="126">
        <f t="shared" si="0"/>
      </c>
      <c r="I136" s="127">
        <f t="shared" si="3"/>
      </c>
      <c r="J136" s="127">
        <f t="shared" si="1"/>
      </c>
      <c r="K136" s="125">
        <v>4</v>
      </c>
      <c r="L136" s="140">
        <v>6777.6</v>
      </c>
      <c r="M136" s="130"/>
      <c r="N136" s="141"/>
      <c r="O136" s="142"/>
      <c r="P136" s="141"/>
    </row>
    <row hidden="true" r="137">
      <c r="A137" s="123" t="s">
        <v>375</v>
      </c>
      <c r="B137" s="130" t="s">
        <v>322</v>
      </c>
      <c r="C137" s="125" t="s">
        <v>325</v>
      </c>
      <c r="D137" s="125">
        <v>5</v>
      </c>
      <c r="E137" s="125">
        <v>13</v>
      </c>
      <c r="F137" s="125">
        <v>15135.599999999999</v>
      </c>
      <c r="G137" s="125">
        <v>14174.380000000001</v>
      </c>
      <c r="H137" s="126">
        <f t="shared" si="0"/>
      </c>
      <c r="I137" s="127">
        <f t="shared" si="3"/>
      </c>
      <c r="J137" s="127">
        <f t="shared" si="1"/>
      </c>
      <c r="K137" s="125">
        <v>0</v>
      </c>
      <c r="L137" s="140">
        <v>0</v>
      </c>
      <c r="M137" s="130" t="s">
        <v>326</v>
      </c>
      <c r="N137" s="130">
        <v>10</v>
      </c>
      <c r="O137" s="143" t="s">
        <v>327</v>
      </c>
      <c r="P137" s="130">
        <v>10</v>
      </c>
    </row>
    <row r="138">
      <c r="A138" s="131" t="s">
        <v>375</v>
      </c>
      <c r="B138" s="132"/>
      <c r="C138" s="132"/>
      <c r="D138" s="133">
        <f>SUM(D133:D137)</f>
      </c>
      <c r="E138" s="133">
        <f>SUM(E133:E137)</f>
      </c>
      <c r="F138" s="134">
        <f>SUM(F133:F137)</f>
      </c>
      <c r="G138" s="133">
        <f>SUM(G133:G137)</f>
      </c>
      <c r="H138" s="135">
        <f t="shared" si="0"/>
      </c>
      <c r="I138" s="135">
        <f t="shared" si="3"/>
      </c>
      <c r="J138" s="135">
        <f t="shared" si="1"/>
      </c>
      <c r="K138" s="133">
        <f>SUM(K133:K137)</f>
      </c>
      <c r="L138" s="144">
        <f>SUM(L133:L137)</f>
      </c>
      <c r="M138" s="145"/>
      <c r="N138" s="146">
        <f>SUM(N133:N137)</f>
      </c>
      <c r="O138" s="147"/>
      <c r="P138" s="146">
        <f>SUM(P133:P137)</f>
      </c>
    </row>
    <row hidden="true" r="139">
      <c r="A139" s="123" t="s">
        <v>376</v>
      </c>
      <c r="B139" s="124" t="s">
        <v>316</v>
      </c>
      <c r="C139" s="125" t="s">
        <v>317</v>
      </c>
      <c r="D139" s="125">
        <v>5</v>
      </c>
      <c r="E139" s="125">
        <v>9</v>
      </c>
      <c r="F139" s="125">
        <v>13720.8</v>
      </c>
      <c r="G139" s="125">
        <v>17948.64</v>
      </c>
      <c r="H139" s="126">
        <f t="shared" si="0"/>
      </c>
      <c r="I139" s="127">
        <f t="shared" si="3"/>
      </c>
      <c r="J139" s="127">
        <f t="shared" si="1"/>
      </c>
      <c r="K139" s="125">
        <v>3</v>
      </c>
      <c r="L139" s="140">
        <v>6046.8</v>
      </c>
      <c r="M139" s="141"/>
      <c r="N139" s="141"/>
      <c r="O139" s="142" t="s">
        <v>319</v>
      </c>
      <c r="P139" s="141">
        <v>10</v>
      </c>
    </row>
    <row hidden="true" r="140">
      <c r="A140" s="123" t="s">
        <v>376</v>
      </c>
      <c r="B140" s="124" t="s">
        <v>320</v>
      </c>
      <c r="C140" s="125" t="s">
        <v>371</v>
      </c>
      <c r="D140" s="125">
        <v>4</v>
      </c>
      <c r="E140" s="125">
        <v>9</v>
      </c>
      <c r="F140" s="125">
        <v>13658.4</v>
      </c>
      <c r="G140" s="125">
        <v>10409.650000000001</v>
      </c>
      <c r="H140" s="126">
        <f t="shared" si="0"/>
      </c>
      <c r="I140" s="127">
        <f t="shared" si="3"/>
      </c>
      <c r="J140" s="127">
        <f t="shared" si="1"/>
      </c>
      <c r="K140" s="125">
        <v>3</v>
      </c>
      <c r="L140" s="140">
        <v>5366.4</v>
      </c>
      <c r="M140" s="141" t="s">
        <v>343</v>
      </c>
      <c r="N140" s="141">
        <v>10</v>
      </c>
      <c r="O140" s="142"/>
      <c r="P140" s="141"/>
    </row>
    <row hidden="true" r="141">
      <c r="A141" s="123" t="s">
        <v>376</v>
      </c>
      <c r="B141" s="124" t="s">
        <v>372</v>
      </c>
      <c r="C141" s="125" t="s">
        <v>373</v>
      </c>
      <c r="D141" s="125">
        <v>2</v>
      </c>
      <c r="E141" s="125">
        <v>3</v>
      </c>
      <c r="F141" s="125">
        <v>3601.2000000000035</v>
      </c>
      <c r="G141" s="125">
        <v>3601.79</v>
      </c>
      <c r="H141" s="126">
        <f t="shared" si="0"/>
      </c>
      <c r="I141" s="127">
        <f t="shared" si="3"/>
      </c>
      <c r="J141" s="127">
        <f t="shared" si="1"/>
      </c>
      <c r="K141" s="125">
        <v>1</v>
      </c>
      <c r="L141" s="140">
        <v>363.59999999999854</v>
      </c>
      <c r="M141" s="130"/>
      <c r="N141" s="141"/>
      <c r="O141" s="142"/>
      <c r="P141" s="141"/>
    </row>
    <row hidden="true" r="142">
      <c r="A142" s="123" t="s">
        <v>376</v>
      </c>
      <c r="B142" s="124" t="s">
        <v>324</v>
      </c>
      <c r="C142" s="125" t="s">
        <v>374</v>
      </c>
      <c r="D142" s="125">
        <v>4</v>
      </c>
      <c r="E142" s="125">
        <v>17</v>
      </c>
      <c r="F142" s="125">
        <v>18075.6</v>
      </c>
      <c r="G142" s="125">
        <v>13139.73</v>
      </c>
      <c r="H142" s="126">
        <f t="shared" si="0"/>
      </c>
      <c r="I142" s="127">
        <f t="shared" si="3"/>
      </c>
      <c r="J142" s="127">
        <f t="shared" si="1"/>
      </c>
      <c r="K142" s="125">
        <v>2</v>
      </c>
      <c r="L142" s="140">
        <v>2134.7999999999993</v>
      </c>
      <c r="M142" s="130"/>
      <c r="N142" s="141"/>
      <c r="O142" s="142"/>
      <c r="P142" s="141"/>
    </row>
    <row hidden="true" r="143">
      <c r="A143" s="123" t="s">
        <v>376</v>
      </c>
      <c r="B143" s="130" t="s">
        <v>336</v>
      </c>
      <c r="C143" s="125" t="s">
        <v>325</v>
      </c>
      <c r="D143" s="125">
        <v>5</v>
      </c>
      <c r="E143" s="125">
        <v>32</v>
      </c>
      <c r="F143" s="125">
        <v>56355.60000000002</v>
      </c>
      <c r="G143" s="125">
        <v>28071.7</v>
      </c>
      <c r="H143" s="126">
        <f t="shared" si="0"/>
      </c>
      <c r="I143" s="127">
        <f t="shared" si="3"/>
      </c>
      <c r="J143" s="127">
        <f t="shared" si="1"/>
      </c>
      <c r="K143" s="125">
        <v>5</v>
      </c>
      <c r="L143" s="140">
        <v>7232.4000000000015</v>
      </c>
      <c r="M143" s="130" t="s">
        <v>326</v>
      </c>
      <c r="N143" s="130">
        <v>10</v>
      </c>
      <c r="O143" s="143" t="s">
        <v>327</v>
      </c>
      <c r="P143" s="130">
        <v>10</v>
      </c>
    </row>
    <row r="144">
      <c r="A144" s="131" t="s">
        <v>376</v>
      </c>
      <c r="B144" s="132"/>
      <c r="C144" s="132"/>
      <c r="D144" s="133">
        <f>SUM(D139:D143)</f>
      </c>
      <c r="E144" s="133">
        <f>SUM(E139:E143)</f>
      </c>
      <c r="F144" s="134">
        <f>SUM(F139:F143)</f>
      </c>
      <c r="G144" s="133">
        <f>SUM(G139:G143)</f>
      </c>
      <c r="H144" s="135">
        <f t="shared" si="0"/>
      </c>
      <c r="I144" s="135">
        <f t="shared" si="3"/>
      </c>
      <c r="J144" s="135">
        <f t="shared" si="1"/>
      </c>
      <c r="K144" s="133">
        <f>SUM(K139:K143)</f>
      </c>
      <c r="L144" s="144">
        <f>SUM(L139:L143)</f>
      </c>
      <c r="M144" s="145"/>
      <c r="N144" s="146">
        <f>SUM(N139:N143)</f>
      </c>
      <c r="O144" s="147"/>
      <c r="P144" s="146">
        <f>SUM(P139:P143)</f>
      </c>
    </row>
    <row hidden="true" r="145">
      <c r="A145" s="123" t="s">
        <v>377</v>
      </c>
      <c r="B145" s="124" t="s">
        <v>316</v>
      </c>
      <c r="C145" s="125" t="s">
        <v>317</v>
      </c>
      <c r="D145" s="148">
        <f>5-0.5</f>
      </c>
      <c r="E145" s="125">
        <v>32</v>
      </c>
      <c r="F145" s="125">
        <v>47534.00000000001</v>
      </c>
      <c r="G145" s="125">
        <v>31096.589999999997</v>
      </c>
      <c r="H145" s="126">
        <f t="shared" si="0"/>
      </c>
      <c r="I145" s="127">
        <f t="shared" si="3"/>
      </c>
      <c r="J145" s="127">
        <f t="shared" si="1"/>
      </c>
      <c r="K145" s="125">
        <v>2</v>
      </c>
      <c r="L145" s="140">
        <v>4070.4000000000005</v>
      </c>
      <c r="M145" s="141"/>
      <c r="N145" s="141"/>
      <c r="O145" s="142" t="s">
        <v>319</v>
      </c>
      <c r="P145" s="128">
        <v>10</v>
      </c>
    </row>
    <row hidden="true" r="146">
      <c r="A146" s="123" t="s">
        <v>377</v>
      </c>
      <c r="B146" s="124" t="s">
        <v>320</v>
      </c>
      <c r="C146" s="125" t="s">
        <v>321</v>
      </c>
      <c r="D146" s="125">
        <v>5</v>
      </c>
      <c r="E146" s="125">
        <v>37</v>
      </c>
      <c r="F146" s="125">
        <v>49746.799999999996</v>
      </c>
      <c r="G146" s="125">
        <v>34517.75</v>
      </c>
      <c r="H146" s="126">
        <f t="shared" si="0"/>
      </c>
      <c r="I146" s="127">
        <f t="shared" si="3"/>
      </c>
      <c r="J146" s="127">
        <f>F146/E146</f>
      </c>
      <c r="K146" s="125">
        <v>6</v>
      </c>
      <c r="L146" s="140">
        <v>6580.799999999999</v>
      </c>
      <c r="M146" s="141" t="s">
        <v>343</v>
      </c>
      <c r="N146" s="141">
        <v>10</v>
      </c>
      <c r="O146" s="142"/>
      <c r="P146" s="129"/>
    </row>
    <row hidden="true" r="147">
      <c r="A147" s="123" t="s">
        <v>377</v>
      </c>
      <c r="B147" s="124" t="s">
        <v>324</v>
      </c>
      <c r="C147" s="125" t="s">
        <v>323</v>
      </c>
      <c r="D147" s="125">
        <v>5</v>
      </c>
      <c r="E147" s="125">
        <v>34</v>
      </c>
      <c r="F147" s="125">
        <v>57991.2</v>
      </c>
      <c r="G147" s="125">
        <v>34667.78</v>
      </c>
      <c r="H147" s="126">
        <f t="shared" si="0"/>
      </c>
      <c r="I147" s="127">
        <f t="shared" si="3"/>
      </c>
      <c r="J147" s="127">
        <f t="shared" ref="J147:J155" si="2">G147/E147</f>
      </c>
      <c r="K147" s="125">
        <v>7</v>
      </c>
      <c r="L147" s="140">
        <v>11515.2</v>
      </c>
      <c r="M147" s="130"/>
      <c r="N147" s="141"/>
      <c r="O147" s="142"/>
      <c r="P147" s="129"/>
    </row>
    <row hidden="true" r="148">
      <c r="A148" s="123" t="s">
        <v>377</v>
      </c>
      <c r="B148" s="130" t="s">
        <v>336</v>
      </c>
      <c r="C148" s="125" t="s">
        <v>325</v>
      </c>
      <c r="D148" s="148">
        <f>5-0.5</f>
      </c>
      <c r="E148" s="125">
        <v>21</v>
      </c>
      <c r="F148" s="125">
        <v>34064.40000000002</v>
      </c>
      <c r="G148" s="125">
        <v>20639.15</v>
      </c>
      <c r="H148" s="126">
        <f t="shared" si="0"/>
      </c>
      <c r="I148" s="127">
        <f t="shared" si="3"/>
      </c>
      <c r="J148" s="127">
        <f t="shared" si="2"/>
      </c>
      <c r="K148" s="125">
        <v>3</v>
      </c>
      <c r="L148" s="140">
        <v>5100</v>
      </c>
      <c r="M148" s="130" t="s">
        <v>326</v>
      </c>
      <c r="N148" s="130">
        <v>10</v>
      </c>
      <c r="O148" s="143" t="s">
        <v>327</v>
      </c>
      <c r="P148" s="128">
        <v>10</v>
      </c>
    </row>
    <row r="149">
      <c r="A149" s="131" t="s">
        <v>377</v>
      </c>
      <c r="B149" s="132"/>
      <c r="C149" s="132"/>
      <c r="D149" s="133">
        <f>SUM(D145:D148)</f>
      </c>
      <c r="E149" s="133">
        <f>SUM(E145:E148)</f>
      </c>
      <c r="F149" s="134">
        <f>SUM(F145:F148)</f>
      </c>
      <c r="G149" s="133">
        <f>SUM(G145:G148)</f>
      </c>
      <c r="H149" s="135">
        <f t="shared" si="0"/>
      </c>
      <c r="I149" s="135">
        <f t="shared" si="3"/>
      </c>
      <c r="J149" s="135">
        <f t="shared" si="2"/>
      </c>
      <c r="K149" s="133">
        <f>SUM(K145:K148)</f>
      </c>
      <c r="L149" s="144">
        <f>SUM(L145:L148)</f>
      </c>
      <c r="M149" s="145"/>
      <c r="N149" s="146">
        <f>SUM(N145:N148)</f>
      </c>
      <c r="O149" s="147"/>
      <c r="P149" s="136">
        <f>SUM(P145:P148)</f>
      </c>
    </row>
    <row hidden="true" r="150">
      <c r="A150" s="123" t="s">
        <v>378</v>
      </c>
      <c r="B150" s="124" t="s">
        <v>320</v>
      </c>
      <c r="C150" s="125" t="s">
        <v>329</v>
      </c>
      <c r="D150" s="148">
        <f>4-1</f>
      </c>
      <c r="E150" s="125">
        <v>21</v>
      </c>
      <c r="F150" s="125">
        <v>27910.8</v>
      </c>
      <c r="G150" s="125">
        <v>17300.13</v>
      </c>
      <c r="H150" s="126">
        <f t="shared" si="0"/>
      </c>
      <c r="I150" s="127">
        <f t="shared" si="3"/>
      </c>
      <c r="J150" s="127">
        <f t="shared" si="2"/>
      </c>
      <c r="K150" s="125">
        <v>4</v>
      </c>
      <c r="L150" s="140">
        <v>4590</v>
      </c>
      <c r="M150" s="141"/>
      <c r="N150" s="141"/>
      <c r="O150" s="142" t="s">
        <v>319</v>
      </c>
      <c r="P150" s="141">
        <v>10</v>
      </c>
    </row>
    <row hidden="true" r="151">
      <c r="A151" s="123" t="s">
        <v>378</v>
      </c>
      <c r="B151" s="124" t="s">
        <v>336</v>
      </c>
      <c r="C151" s="125" t="s">
        <v>379</v>
      </c>
      <c r="D151" s="125">
        <v>5</v>
      </c>
      <c r="E151" s="125">
        <v>25</v>
      </c>
      <c r="F151" s="125">
        <v>38872.8</v>
      </c>
      <c r="G151" s="125">
        <v>24661.050000000003</v>
      </c>
      <c r="H151" s="126">
        <f t="shared" si="0"/>
      </c>
      <c r="I151" s="127">
        <f t="shared" si="3"/>
      </c>
      <c r="J151" s="127">
        <f t="shared" si="2"/>
      </c>
      <c r="K151" s="125">
        <v>9</v>
      </c>
      <c r="L151" s="140">
        <v>14704.8</v>
      </c>
      <c r="M151" s="141" t="s">
        <v>343</v>
      </c>
      <c r="N151" s="141">
        <v>10</v>
      </c>
      <c r="O151" s="142"/>
      <c r="P151" s="141"/>
    </row>
    <row hidden="true" r="152">
      <c r="A152" s="123" t="s">
        <v>378</v>
      </c>
      <c r="B152" s="124" t="s">
        <v>372</v>
      </c>
      <c r="C152" s="125" t="s">
        <v>380</v>
      </c>
      <c r="D152" s="125">
        <v>3</v>
      </c>
      <c r="E152" s="125">
        <v>22</v>
      </c>
      <c r="F152" s="125">
        <v>31661.72</v>
      </c>
      <c r="G152" s="125">
        <v>15432.53</v>
      </c>
      <c r="H152" s="126">
        <f t="shared" si="0"/>
      </c>
      <c r="I152" s="127">
        <f t="shared" si="3"/>
      </c>
      <c r="J152" s="127">
        <f t="shared" si="2"/>
      </c>
      <c r="K152" s="125">
        <v>3</v>
      </c>
      <c r="L152" s="140">
        <v>6738</v>
      </c>
      <c r="M152" s="130"/>
      <c r="N152" s="141"/>
      <c r="O152" s="142"/>
      <c r="P152" s="141"/>
    </row>
    <row hidden="true" r="153">
      <c r="A153" s="123" t="s">
        <v>378</v>
      </c>
      <c r="B153" s="124" t="s">
        <v>324</v>
      </c>
      <c r="C153" s="125" t="s">
        <v>333</v>
      </c>
      <c r="D153" s="125">
        <v>4</v>
      </c>
      <c r="E153" s="125">
        <v>33</v>
      </c>
      <c r="F153" s="125">
        <v>45038.399999999994</v>
      </c>
      <c r="G153" s="125">
        <v>25627.57</v>
      </c>
      <c r="H153" s="126">
        <f t="shared" si="0"/>
      </c>
      <c r="I153" s="127">
        <f t="shared" si="3"/>
      </c>
      <c r="J153" s="127">
        <f t="shared" si="2"/>
      </c>
      <c r="K153" s="125">
        <v>10</v>
      </c>
      <c r="L153" s="140">
        <v>13959.799999999996</v>
      </c>
      <c r="M153" s="130"/>
      <c r="N153" s="141"/>
      <c r="O153" s="142"/>
      <c r="P153" s="141"/>
    </row>
    <row hidden="true" r="154">
      <c r="A154" s="123" t="s">
        <v>378</v>
      </c>
      <c r="B154" s="130" t="s">
        <v>322</v>
      </c>
      <c r="C154" s="125" t="s">
        <v>325</v>
      </c>
      <c r="D154" s="148">
        <f>4-0.5</f>
      </c>
      <c r="E154" s="125">
        <v>25</v>
      </c>
      <c r="F154" s="125">
        <v>33403.79999999999</v>
      </c>
      <c r="G154" s="125">
        <v>25489.489999999998</v>
      </c>
      <c r="H154" s="126">
        <f t="shared" si="0"/>
      </c>
      <c r="I154" s="127">
        <f t="shared" si="3"/>
      </c>
      <c r="J154" s="127">
        <f t="shared" si="2"/>
      </c>
      <c r="K154" s="125">
        <v>2</v>
      </c>
      <c r="L154" s="140">
        <v>913.6000000000058</v>
      </c>
      <c r="M154" s="130" t="s">
        <v>326</v>
      </c>
      <c r="N154" s="130">
        <v>10</v>
      </c>
      <c r="O154" s="143" t="s">
        <v>327</v>
      </c>
      <c r="P154" s="130">
        <v>10</v>
      </c>
    </row>
    <row r="155">
      <c r="A155" s="131" t="s">
        <v>378</v>
      </c>
      <c r="B155" s="132"/>
      <c r="C155" s="132"/>
      <c r="D155" s="133">
        <f>SUM(D150:D154)</f>
      </c>
      <c r="E155" s="133">
        <f>SUM(E150:E154)</f>
      </c>
      <c r="F155" s="134">
        <f>SUM(F150:F154)</f>
      </c>
      <c r="G155" s="133">
        <f>SUM(G150:G154)</f>
      </c>
      <c r="H155" s="135">
        <f t="shared" si="0"/>
      </c>
      <c r="I155" s="135">
        <f t="shared" si="3"/>
      </c>
      <c r="J155" s="135">
        <f t="shared" si="2"/>
      </c>
      <c r="K155" s="133">
        <f>SUM(K150:K154)</f>
      </c>
      <c r="L155" s="144">
        <f>SUM(L150:L154)</f>
      </c>
      <c r="M155" s="145"/>
      <c r="N155" s="146">
        <f>SUM(N150:N154)</f>
      </c>
      <c r="O155" s="147"/>
      <c r="P155" s="146">
        <f>SUM(P150:P154)</f>
      </c>
    </row>
    <row r="156">
      <c r="C156" s="149"/>
      <c r="J156" s="150"/>
      <c r="K156" s="150"/>
    </row>
    <row r="157">
      <c r="C157" s="149"/>
      <c r="J157" s="150"/>
      <c r="K157" s="150"/>
    </row>
    <row r="158">
      <c r="C158" s="149"/>
      <c r="J158" s="150"/>
      <c r="K158" s="150"/>
    </row>
    <row r="159">
      <c r="J159" s="150"/>
      <c r="K159" s="150"/>
    </row>
    <row r="160">
      <c r="J160" s="150"/>
      <c r="K160" s="150"/>
    </row>
    <row r="161">
      <c r="J161" s="150"/>
      <c r="K161" s="150"/>
      <c r="L161" s="151"/>
    </row>
    <row r="162">
      <c r="J162" s="150"/>
      <c r="K162" s="150"/>
      <c r="L162" s="151"/>
    </row>
    <row r="163">
      <c r="J163" s="151"/>
      <c r="K163" s="150"/>
      <c r="L163" s="151"/>
    </row>
    <row r="164">
      <c r="J164" s="151"/>
      <c r="K164" s="150"/>
      <c r="L164" s="151"/>
    </row>
    <row r="165">
      <c r="J165" s="151"/>
      <c r="K165" s="150"/>
      <c r="L165" s="151"/>
    </row>
    <row r="166">
      <c r="I166" s="149"/>
      <c r="J166" s="151"/>
      <c r="K166" s="150"/>
      <c r="L166" s="151"/>
    </row>
    <row r="167">
      <c r="J167" s="151"/>
      <c r="K167" s="150"/>
    </row>
    <row r="168">
      <c r="J168" s="151"/>
      <c r="K168" s="150"/>
    </row>
    <row r="169">
      <c r="K169" s="150"/>
    </row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>
      <c r="G222" s="150"/>
      <c r="H222" s="152"/>
    </row>
    <row r="223">
      <c r="G223" s="150"/>
      <c r="H223" s="152"/>
    </row>
    <row r="224">
      <c r="G224" s="150"/>
      <c r="H224" s="152"/>
    </row>
    <row r="225">
      <c r="G225" s="150"/>
      <c r="H225" s="152"/>
    </row>
    <row r="226">
      <c r="G226" s="150"/>
      <c r="H226" s="152"/>
    </row>
    <row r="227">
      <c r="G227" s="150"/>
      <c r="H227" s="152"/>
    </row>
    <row r="228">
      <c r="G228" s="150"/>
      <c r="H228" s="152"/>
    </row>
    <row r="229">
      <c r="G229" s="150"/>
      <c r="H229" s="152"/>
    </row>
    <row r="230">
      <c r="G230" s="150"/>
      <c r="H230" s="152"/>
    </row>
  </sheetData>
  <autoFilter ref="A1:P155">
    <filterColumn colId="1">
      <filters blank="true"/>
    </filterColumn>
  </autoFilter>
  <dataValidations count="2">
    <dataValidation allowBlank="true" errorStyle="stop" showErrorMessage="true" sqref="B2:B5 B7:B10 B12:B15 B17:B20 B22:B25 B27:B30 B32:B35 B37:B40 B42:B45 B47:B50 B52:B55 B57:B60 B62:B65 B67:B70 B72:B75 B77:B80 B82:B85 B87:B90 B92:B95 B97:B100 B102:B105 B107:B110 B112:B115 B117:B120 B122:B125 B145:B148" type="list">
      <formula1>"刘慕涵,林育菁,郝旭靓,栗敏纳,张晓薇,杜思利,连贝贝,陈梓栩"</formula1>
    </dataValidation>
    <dataValidation allowBlank="true" errorStyle="stop" showErrorMessage="true" sqref="B127:B131 B133:B137 B139:B143 B150:B154" type="list">
      <formula1>"刘慕涵,林育菁,郝旭靓,栗敏纳,张晓薇,杜思利,连贝贝,陈梓栩,郝铭扬"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</cols>
  <sheetData>
    <row customHeight="true" ht="18.452380952380953" r="1">
      <c r="A1" s="153" t="s">
        <v>381</v>
      </c>
      <c r="B1" s="154" t="s">
        <v>382</v>
      </c>
      <c r="C1" s="154" t="s">
        <v>383</v>
      </c>
      <c r="D1" s="154" t="s">
        <v>384</v>
      </c>
      <c r="E1" s="154" t="s">
        <v>385</v>
      </c>
      <c r="F1" s="155" t="s">
        <v>386</v>
      </c>
      <c r="G1" s="155" t="s">
        <v>387</v>
      </c>
      <c r="H1" s="155" t="s">
        <v>388</v>
      </c>
      <c r="I1" s="155" t="s">
        <v>389</v>
      </c>
      <c r="J1" s="155" t="s">
        <v>390</v>
      </c>
      <c r="K1" s="154" t="s">
        <v>391</v>
      </c>
      <c r="L1" s="156" t="s">
        <v>392</v>
      </c>
      <c r="M1" s="156" t="s">
        <v>393</v>
      </c>
      <c r="N1" s="156" t="s">
        <v>394</v>
      </c>
      <c r="O1" s="156" t="s">
        <v>395</v>
      </c>
      <c r="P1" s="156" t="s">
        <v>396</v>
      </c>
    </row>
    <row hidden="true" r="2">
      <c r="A2" s="157" t="s">
        <v>397</v>
      </c>
      <c r="B2" s="158" t="s">
        <v>398</v>
      </c>
      <c r="C2" s="159" t="s">
        <v>399</v>
      </c>
      <c r="D2" s="159">
        <v>5</v>
      </c>
      <c r="E2" s="159">
        <v>17</v>
      </c>
      <c r="F2" s="159">
        <v>25213.2</v>
      </c>
      <c r="G2" s="159">
        <v>13257.570000000002</v>
      </c>
      <c r="H2" s="160">
        <f t="shared" ref="H2:H179" si="0">F2/G2</f>
      </c>
      <c r="I2" s="160">
        <f t="shared" ref="I2:I179" si="1">F2/E2</f>
      </c>
      <c r="J2" s="160">
        <f t="shared" ref="J2:J179" si="2">G2/E2</f>
      </c>
      <c r="K2" s="159">
        <v>2</v>
      </c>
      <c r="L2" s="161">
        <v>3499.2</v>
      </c>
      <c r="M2" s="161" t="s">
        <v>400</v>
      </c>
      <c r="N2" s="161">
        <v>11</v>
      </c>
      <c r="O2" s="162" t="s">
        <v>401</v>
      </c>
      <c r="P2" s="161">
        <v>11</v>
      </c>
    </row>
    <row hidden="true" r="3">
      <c r="A3" s="157" t="s">
        <v>397</v>
      </c>
      <c r="B3" s="158" t="s">
        <v>402</v>
      </c>
      <c r="C3" s="159" t="s">
        <v>403</v>
      </c>
      <c r="D3" s="159">
        <v>4</v>
      </c>
      <c r="E3" s="159">
        <v>6</v>
      </c>
      <c r="F3" s="159">
        <v>6747.5999999999985</v>
      </c>
      <c r="G3" s="159">
        <v>9912.21</v>
      </c>
      <c r="H3" s="160">
        <f t="shared" si="0"/>
      </c>
      <c r="I3" s="160">
        <f t="shared" si="1"/>
      </c>
      <c r="J3" s="160">
        <f t="shared" si="2"/>
      </c>
      <c r="K3" s="159">
        <v>2</v>
      </c>
      <c r="L3" s="161">
        <v>2187.6000000000004</v>
      </c>
      <c r="M3" s="161"/>
      <c r="N3" s="161"/>
      <c r="O3" s="162"/>
      <c r="P3" s="162"/>
    </row>
    <row hidden="true" r="4">
      <c r="A4" s="157" t="s">
        <v>397</v>
      </c>
      <c r="B4" s="158" t="s">
        <v>404</v>
      </c>
      <c r="C4" s="159" t="s">
        <v>405</v>
      </c>
      <c r="D4" s="159">
        <v>4</v>
      </c>
      <c r="E4" s="159">
        <v>5</v>
      </c>
      <c r="F4" s="159">
        <v>6513.600000000002</v>
      </c>
      <c r="G4" s="159">
        <v>4012.0299999999997</v>
      </c>
      <c r="H4" s="160">
        <f t="shared" si="0"/>
      </c>
      <c r="I4" s="160">
        <f t="shared" si="1"/>
      </c>
      <c r="J4" s="160">
        <f t="shared" si="2"/>
      </c>
      <c r="K4" s="159">
        <v>2</v>
      </c>
      <c r="L4" s="161">
        <v>1147.1999999999998</v>
      </c>
      <c r="M4" s="161"/>
      <c r="N4" s="161"/>
      <c r="O4" s="162"/>
      <c r="P4" s="162"/>
    </row>
    <row hidden="true" r="5">
      <c r="A5" s="157" t="s">
        <v>397</v>
      </c>
      <c r="B5" s="158" t="s">
        <v>406</v>
      </c>
      <c r="C5" s="159" t="s">
        <v>407</v>
      </c>
      <c r="D5" s="159">
        <v>4</v>
      </c>
      <c r="E5" s="159">
        <v>3</v>
      </c>
      <c r="F5" s="159">
        <v>3170.4000000000015</v>
      </c>
      <c r="G5" s="159">
        <v>6385.17</v>
      </c>
      <c r="H5" s="160">
        <f t="shared" si="0"/>
      </c>
      <c r="I5" s="160">
        <f t="shared" si="1"/>
      </c>
      <c r="J5" s="160">
        <f t="shared" si="2"/>
      </c>
      <c r="K5" s="159">
        <v>1</v>
      </c>
      <c r="L5" s="161">
        <v>763.1999999999998</v>
      </c>
      <c r="M5" s="161"/>
      <c r="N5" s="161"/>
      <c r="O5" s="162"/>
      <c r="P5" s="162"/>
    </row>
    <row hidden="true" r="6">
      <c r="A6" s="157" t="s">
        <v>397</v>
      </c>
      <c r="B6" s="158" t="s">
        <v>408</v>
      </c>
      <c r="C6" s="159" t="s">
        <v>409</v>
      </c>
      <c r="D6" s="159">
        <v>5</v>
      </c>
      <c r="E6" s="159">
        <v>19</v>
      </c>
      <c r="F6" s="163">
        <v>30440.399999999987</v>
      </c>
      <c r="G6" s="159">
        <v>12769.480000000001</v>
      </c>
      <c r="H6" s="160">
        <f t="shared" si="0"/>
      </c>
      <c r="I6" s="160">
        <f t="shared" si="1"/>
      </c>
      <c r="J6" s="160">
        <f t="shared" si="2"/>
      </c>
      <c r="K6" s="159">
        <v>1</v>
      </c>
      <c r="L6" s="161">
        <v>2011.1999999999998</v>
      </c>
      <c r="M6" s="161" t="s">
        <v>410</v>
      </c>
      <c r="N6" s="164">
        <v>11</v>
      </c>
      <c r="O6" s="161" t="s">
        <v>411</v>
      </c>
      <c r="P6" s="161">
        <v>11</v>
      </c>
    </row>
    <row r="7">
      <c r="A7" s="165" t="s">
        <v>397</v>
      </c>
      <c r="B7" s="166"/>
      <c r="C7" s="166"/>
      <c r="D7" s="167">
        <f>SUM(D2:D6)</f>
      </c>
      <c r="E7" s="167">
        <f>SUM(E2:E6)</f>
      </c>
      <c r="F7" s="167">
        <f>SUM(F2:F6)</f>
      </c>
      <c r="G7" s="167">
        <f>SUM(G2:G6)</f>
      </c>
      <c r="H7" s="168">
        <f t="shared" si="0"/>
      </c>
      <c r="I7" s="168">
        <f t="shared" si="1"/>
      </c>
      <c r="J7" s="168">
        <f t="shared" si="2"/>
      </c>
      <c r="K7" s="167">
        <f>SUM(K2:K6)</f>
      </c>
      <c r="L7" s="169">
        <f>SUM(L2:L6)</f>
      </c>
      <c r="M7" s="170"/>
      <c r="N7" s="169">
        <f>SUM(N2:N6)</f>
      </c>
      <c r="O7" s="170"/>
      <c r="P7" s="169">
        <f>SUM(P2:P6)</f>
      </c>
    </row>
    <row hidden="true" r="8">
      <c r="A8" s="157" t="s">
        <v>412</v>
      </c>
      <c r="B8" s="158" t="s">
        <v>398</v>
      </c>
      <c r="C8" s="159" t="s">
        <v>399</v>
      </c>
      <c r="D8" s="159">
        <v>5</v>
      </c>
      <c r="E8" s="159">
        <v>15</v>
      </c>
      <c r="F8" s="159">
        <v>18047.4</v>
      </c>
      <c r="G8" s="159">
        <v>9047.51</v>
      </c>
      <c r="H8" s="160">
        <f t="shared" si="0"/>
      </c>
      <c r="I8" s="160">
        <f t="shared" si="1"/>
      </c>
      <c r="J8" s="160">
        <f t="shared" si="2"/>
      </c>
      <c r="K8" s="159">
        <v>4</v>
      </c>
      <c r="L8" s="161">
        <v>5451.6</v>
      </c>
      <c r="M8" s="161" t="s">
        <v>400</v>
      </c>
      <c r="N8" s="161">
        <v>11</v>
      </c>
      <c r="O8" s="162" t="s">
        <v>401</v>
      </c>
      <c r="P8" s="161">
        <v>11</v>
      </c>
    </row>
    <row hidden="true" r="9">
      <c r="A9" s="157" t="s">
        <v>412</v>
      </c>
      <c r="B9" s="158" t="s">
        <v>402</v>
      </c>
      <c r="C9" s="159" t="s">
        <v>403</v>
      </c>
      <c r="D9" s="159">
        <v>4</v>
      </c>
      <c r="E9" s="159">
        <v>14</v>
      </c>
      <c r="F9" s="159">
        <v>24375</v>
      </c>
      <c r="G9" s="159">
        <v>17540.8</v>
      </c>
      <c r="H9" s="160">
        <f t="shared" si="0"/>
      </c>
      <c r="I9" s="160">
        <f t="shared" si="1"/>
      </c>
      <c r="J9" s="160">
        <f t="shared" si="2"/>
      </c>
      <c r="K9" s="159">
        <v>1</v>
      </c>
      <c r="L9" s="161">
        <v>1903.2</v>
      </c>
      <c r="M9" s="161"/>
      <c r="N9" s="161"/>
      <c r="O9" s="162"/>
      <c r="P9" s="162"/>
    </row>
    <row hidden="true" r="10">
      <c r="A10" s="157" t="s">
        <v>412</v>
      </c>
      <c r="B10" s="158" t="s">
        <v>413</v>
      </c>
      <c r="C10" s="159" t="s">
        <v>405</v>
      </c>
      <c r="D10" s="159">
        <v>4</v>
      </c>
      <c r="E10" s="159">
        <v>26</v>
      </c>
      <c r="F10" s="159">
        <v>34264.4</v>
      </c>
      <c r="G10" s="159">
        <v>17803.95</v>
      </c>
      <c r="H10" s="160">
        <f t="shared" si="0"/>
      </c>
      <c r="I10" s="160">
        <f t="shared" si="1"/>
      </c>
      <c r="J10" s="160">
        <f t="shared" si="2"/>
      </c>
      <c r="K10" s="159">
        <v>3</v>
      </c>
      <c r="L10" s="161">
        <v>4442.4</v>
      </c>
      <c r="M10" s="161"/>
      <c r="N10" s="161"/>
      <c r="O10" s="162"/>
      <c r="P10" s="162"/>
    </row>
    <row hidden="true" r="11">
      <c r="A11" s="157" t="s">
        <v>412</v>
      </c>
      <c r="B11" s="158" t="s">
        <v>406</v>
      </c>
      <c r="C11" s="159" t="s">
        <v>407</v>
      </c>
      <c r="D11" s="159">
        <v>4</v>
      </c>
      <c r="E11" s="159">
        <v>9</v>
      </c>
      <c r="F11" s="159">
        <v>15243.8</v>
      </c>
      <c r="G11" s="159">
        <v>12656.63</v>
      </c>
      <c r="H11" s="160">
        <f t="shared" si="0"/>
      </c>
      <c r="I11" s="160">
        <f t="shared" si="1"/>
      </c>
      <c r="J11" s="160">
        <f t="shared" si="2"/>
      </c>
      <c r="K11" s="159">
        <v>2</v>
      </c>
      <c r="L11" s="161">
        <v>2028.2</v>
      </c>
      <c r="M11" s="161"/>
      <c r="N11" s="161"/>
      <c r="O11" s="162"/>
      <c r="P11" s="162"/>
    </row>
    <row hidden="true" r="12">
      <c r="A12" s="157" t="s">
        <v>412</v>
      </c>
      <c r="B12" s="158" t="s">
        <v>408</v>
      </c>
      <c r="C12" s="159" t="s">
        <v>409</v>
      </c>
      <c r="D12" s="159">
        <v>5</v>
      </c>
      <c r="E12" s="159">
        <v>14</v>
      </c>
      <c r="F12" s="163">
        <v>17796.6</v>
      </c>
      <c r="G12" s="159">
        <v>20190.98</v>
      </c>
      <c r="H12" s="160">
        <f t="shared" si="0"/>
      </c>
      <c r="I12" s="160">
        <f t="shared" si="1"/>
      </c>
      <c r="J12" s="160">
        <f t="shared" si="2"/>
      </c>
      <c r="K12" s="159">
        <v>1</v>
      </c>
      <c r="L12" s="161">
        <v>489.6</v>
      </c>
      <c r="M12" s="161" t="s">
        <v>410</v>
      </c>
      <c r="N12" s="164">
        <v>11</v>
      </c>
      <c r="O12" s="161" t="s">
        <v>411</v>
      </c>
      <c r="P12" s="161">
        <v>11</v>
      </c>
    </row>
    <row r="13">
      <c r="A13" s="165" t="s">
        <v>412</v>
      </c>
      <c r="B13" s="166"/>
      <c r="C13" s="166"/>
      <c r="D13" s="167">
        <f>SUM(D8:D12)</f>
      </c>
      <c r="E13" s="167">
        <f>SUM(E8:E12)</f>
      </c>
      <c r="F13" s="167">
        <f>SUM(F8:F12)</f>
      </c>
      <c r="G13" s="167">
        <f>SUM(G8:G12)</f>
      </c>
      <c r="H13" s="168">
        <f t="shared" si="0"/>
      </c>
      <c r="I13" s="168">
        <f t="shared" si="1"/>
      </c>
      <c r="J13" s="168">
        <f t="shared" si="2"/>
      </c>
      <c r="K13" s="167">
        <f>SUM(K8:K12)</f>
      </c>
      <c r="L13" s="169">
        <f>SUM(L8:L12)</f>
      </c>
      <c r="M13" s="170"/>
      <c r="N13" s="169">
        <f>SUM(N8:N12)</f>
      </c>
      <c r="O13" s="170"/>
      <c r="P13" s="169">
        <f>SUM(P8:P12)</f>
      </c>
    </row>
    <row hidden="true" r="14">
      <c r="A14" s="157" t="s">
        <v>414</v>
      </c>
      <c r="B14" s="158" t="s">
        <v>402</v>
      </c>
      <c r="C14" s="159" t="s">
        <v>399</v>
      </c>
      <c r="D14" s="159">
        <v>5</v>
      </c>
      <c r="E14" s="159">
        <v>10</v>
      </c>
      <c r="F14" s="159">
        <v>12574.8</v>
      </c>
      <c r="G14" s="159">
        <v>9071.05</v>
      </c>
      <c r="H14" s="160">
        <f t="shared" si="0"/>
      </c>
      <c r="I14" s="160">
        <f t="shared" si="1"/>
      </c>
      <c r="J14" s="160">
        <f t="shared" si="2"/>
      </c>
      <c r="K14" s="159">
        <v>0</v>
      </c>
      <c r="L14" s="161">
        <v>0</v>
      </c>
      <c r="M14" s="161" t="s">
        <v>400</v>
      </c>
      <c r="N14" s="161">
        <v>11</v>
      </c>
      <c r="O14" s="162" t="s">
        <v>401</v>
      </c>
      <c r="P14" s="161">
        <v>11</v>
      </c>
    </row>
    <row hidden="true" r="15">
      <c r="A15" s="157" t="s">
        <v>414</v>
      </c>
      <c r="B15" s="158" t="s">
        <v>413</v>
      </c>
      <c r="C15" s="159" t="s">
        <v>403</v>
      </c>
      <c r="D15" s="159">
        <v>4</v>
      </c>
      <c r="E15" s="159">
        <v>12</v>
      </c>
      <c r="F15" s="159">
        <v>14647.2</v>
      </c>
      <c r="G15" s="159">
        <v>12237.51</v>
      </c>
      <c r="H15" s="160">
        <f t="shared" si="0"/>
      </c>
      <c r="I15" s="160">
        <f t="shared" si="1"/>
      </c>
      <c r="J15" s="160">
        <f t="shared" si="2"/>
      </c>
      <c r="K15" s="159">
        <v>2</v>
      </c>
      <c r="L15" s="161">
        <v>2702.4</v>
      </c>
      <c r="M15" s="161"/>
      <c r="N15" s="161"/>
      <c r="O15" s="162"/>
      <c r="P15" s="162"/>
    </row>
    <row hidden="true" r="16">
      <c r="A16" s="157" t="s">
        <v>414</v>
      </c>
      <c r="B16" s="158" t="s">
        <v>406</v>
      </c>
      <c r="C16" s="159" t="s">
        <v>405</v>
      </c>
      <c r="D16" s="159">
        <v>4</v>
      </c>
      <c r="E16" s="159">
        <v>8</v>
      </c>
      <c r="F16" s="159">
        <v>9662.400000000001</v>
      </c>
      <c r="G16" s="159">
        <v>6623.4</v>
      </c>
      <c r="H16" s="160">
        <f t="shared" si="0"/>
      </c>
      <c r="I16" s="160">
        <f t="shared" si="1"/>
      </c>
      <c r="J16" s="160">
        <f t="shared" si="2"/>
      </c>
      <c r="K16" s="159">
        <v>0</v>
      </c>
      <c r="L16" s="161">
        <v>0</v>
      </c>
      <c r="M16" s="161"/>
      <c r="N16" s="161"/>
      <c r="O16" s="162"/>
      <c r="P16" s="162"/>
    </row>
    <row hidden="true" r="17">
      <c r="A17" s="157" t="s">
        <v>414</v>
      </c>
      <c r="B17" s="158" t="s">
        <v>408</v>
      </c>
      <c r="C17" s="159" t="s">
        <v>407</v>
      </c>
      <c r="D17" s="159">
        <v>4</v>
      </c>
      <c r="E17" s="159">
        <v>14</v>
      </c>
      <c r="F17" s="159">
        <v>18592.799999999996</v>
      </c>
      <c r="G17" s="159">
        <v>13938.55</v>
      </c>
      <c r="H17" s="160">
        <f t="shared" si="0"/>
      </c>
      <c r="I17" s="160">
        <f t="shared" si="1"/>
      </c>
      <c r="J17" s="160">
        <f t="shared" si="2"/>
      </c>
      <c r="K17" s="159">
        <v>2</v>
      </c>
      <c r="L17" s="161">
        <v>3355.2000000000003</v>
      </c>
      <c r="M17" s="161"/>
      <c r="N17" s="161"/>
      <c r="O17" s="162"/>
      <c r="P17" s="162"/>
    </row>
    <row hidden="true" r="18">
      <c r="A18" s="157" t="s">
        <v>414</v>
      </c>
      <c r="B18" s="158" t="s">
        <v>398</v>
      </c>
      <c r="C18" s="159" t="s">
        <v>409</v>
      </c>
      <c r="D18" s="159">
        <v>5</v>
      </c>
      <c r="E18" s="159">
        <v>16</v>
      </c>
      <c r="F18" s="163">
        <v>22573.199999999983</v>
      </c>
      <c r="G18" s="159">
        <v>13263.52</v>
      </c>
      <c r="H18" s="160">
        <f t="shared" si="0"/>
      </c>
      <c r="I18" s="160">
        <f t="shared" si="1"/>
      </c>
      <c r="J18" s="160">
        <f t="shared" si="2"/>
      </c>
      <c r="K18" s="159">
        <v>1</v>
      </c>
      <c r="L18" s="161">
        <v>372</v>
      </c>
      <c r="M18" s="161" t="s">
        <v>410</v>
      </c>
      <c r="N18" s="164">
        <v>11</v>
      </c>
      <c r="O18" s="161" t="s">
        <v>411</v>
      </c>
      <c r="P18" s="161">
        <v>11</v>
      </c>
    </row>
    <row r="19">
      <c r="A19" s="165" t="s">
        <v>414</v>
      </c>
      <c r="B19" s="166"/>
      <c r="C19" s="166"/>
      <c r="D19" s="167">
        <f>SUM(D14:D18)</f>
      </c>
      <c r="E19" s="167">
        <f>SUM(E14:E18)</f>
      </c>
      <c r="F19" s="167">
        <f>SUM(F14:F18)</f>
      </c>
      <c r="G19" s="167">
        <f>SUM(G14:G18)</f>
      </c>
      <c r="H19" s="168">
        <f t="shared" si="0"/>
      </c>
      <c r="I19" s="168">
        <f t="shared" si="1"/>
      </c>
      <c r="J19" s="168">
        <f t="shared" si="2"/>
      </c>
      <c r="K19" s="167">
        <f>SUM(K14:K18)</f>
      </c>
      <c r="L19" s="169">
        <f>SUM(L14:L18)</f>
      </c>
      <c r="M19" s="170"/>
      <c r="N19" s="169">
        <f>SUM(N14:N18)</f>
      </c>
      <c r="O19" s="170"/>
      <c r="P19" s="169">
        <f>SUM(P14:P18)</f>
      </c>
    </row>
    <row hidden="true" r="20">
      <c r="A20" s="157" t="s">
        <v>415</v>
      </c>
      <c r="B20" s="158" t="s">
        <v>402</v>
      </c>
      <c r="C20" s="159" t="s">
        <v>416</v>
      </c>
      <c r="D20" s="159">
        <v>4</v>
      </c>
      <c r="E20" s="159">
        <v>5</v>
      </c>
      <c r="F20" s="159">
        <v>9817.2</v>
      </c>
      <c r="G20" s="159">
        <v>8013.32</v>
      </c>
      <c r="H20" s="160">
        <f t="shared" si="0"/>
      </c>
      <c r="I20" s="160">
        <f t="shared" si="1"/>
      </c>
      <c r="J20" s="160">
        <f t="shared" si="2"/>
      </c>
      <c r="K20" s="159">
        <v>0</v>
      </c>
      <c r="L20" s="161">
        <v>0</v>
      </c>
      <c r="M20" s="161" t="s">
        <v>417</v>
      </c>
      <c r="N20" s="161">
        <v>3</v>
      </c>
      <c r="O20" s="162" t="s">
        <v>401</v>
      </c>
      <c r="P20" s="161">
        <v>11</v>
      </c>
    </row>
    <row hidden="true" r="21">
      <c r="A21" s="157" t="s">
        <v>415</v>
      </c>
      <c r="B21" s="158" t="s">
        <v>413</v>
      </c>
      <c r="C21" s="159" t="s">
        <v>418</v>
      </c>
      <c r="D21" s="159">
        <v>4</v>
      </c>
      <c r="E21" s="159">
        <v>13</v>
      </c>
      <c r="F21" s="159">
        <v>19264.8</v>
      </c>
      <c r="G21" s="159">
        <v>12254.64</v>
      </c>
      <c r="H21" s="160">
        <f t="shared" si="0"/>
      </c>
      <c r="I21" s="160">
        <f t="shared" si="1"/>
      </c>
      <c r="J21" s="160">
        <f t="shared" si="2"/>
      </c>
      <c r="K21" s="159">
        <v>2</v>
      </c>
      <c r="L21" s="161">
        <v>3674.4000000000005</v>
      </c>
      <c r="M21" s="161"/>
      <c r="N21" s="161"/>
      <c r="O21" s="162"/>
      <c r="P21" s="162"/>
    </row>
    <row hidden="true" r="22">
      <c r="A22" s="157" t="s">
        <v>415</v>
      </c>
      <c r="B22" s="158" t="s">
        <v>404</v>
      </c>
      <c r="C22" s="159" t="s">
        <v>419</v>
      </c>
      <c r="D22" s="159">
        <v>4</v>
      </c>
      <c r="E22" s="159">
        <v>8</v>
      </c>
      <c r="F22" s="159">
        <v>13271.999999999995</v>
      </c>
      <c r="G22" s="159">
        <v>9763.55</v>
      </c>
      <c r="H22" s="160">
        <f t="shared" si="0"/>
      </c>
      <c r="I22" s="160">
        <f t="shared" si="1"/>
      </c>
      <c r="J22" s="160">
        <f t="shared" si="2"/>
      </c>
      <c r="K22" s="159">
        <v>2</v>
      </c>
      <c r="L22" s="161">
        <v>3674.4</v>
      </c>
      <c r="M22" s="161" t="s">
        <v>420</v>
      </c>
      <c r="N22" s="161">
        <v>8</v>
      </c>
      <c r="O22" s="162"/>
      <c r="P22" s="162"/>
    </row>
    <row hidden="true" r="23">
      <c r="A23" s="157" t="s">
        <v>415</v>
      </c>
      <c r="B23" s="158" t="s">
        <v>408</v>
      </c>
      <c r="C23" s="159" t="s">
        <v>421</v>
      </c>
      <c r="D23" s="159">
        <v>5</v>
      </c>
      <c r="E23" s="159">
        <v>10</v>
      </c>
      <c r="F23" s="159">
        <v>11097.200000000004</v>
      </c>
      <c r="G23" s="159">
        <v>8446.32</v>
      </c>
      <c r="H23" s="160">
        <f t="shared" si="0"/>
      </c>
      <c r="I23" s="160">
        <f t="shared" si="1"/>
      </c>
      <c r="J23" s="160">
        <f t="shared" si="2"/>
      </c>
      <c r="K23" s="159">
        <v>4</v>
      </c>
      <c r="L23" s="161">
        <v>2980.7999999999997</v>
      </c>
      <c r="M23" s="161"/>
      <c r="N23" s="161"/>
      <c r="O23" s="162"/>
      <c r="P23" s="162"/>
    </row>
    <row hidden="true" r="24">
      <c r="A24" s="157" t="s">
        <v>415</v>
      </c>
      <c r="B24" s="158" t="s">
        <v>398</v>
      </c>
      <c r="C24" s="159" t="s">
        <v>409</v>
      </c>
      <c r="D24" s="159">
        <v>5</v>
      </c>
      <c r="E24" s="159">
        <v>9</v>
      </c>
      <c r="F24" s="163">
        <v>11299.399999999994</v>
      </c>
      <c r="G24" s="159">
        <v>17488.22</v>
      </c>
      <c r="H24" s="160">
        <f t="shared" si="0"/>
      </c>
      <c r="I24" s="160">
        <f t="shared" si="1"/>
      </c>
      <c r="J24" s="160">
        <f t="shared" si="2"/>
      </c>
      <c r="K24" s="159">
        <v>0</v>
      </c>
      <c r="L24" s="161">
        <v>0</v>
      </c>
      <c r="M24" s="161" t="s">
        <v>410</v>
      </c>
      <c r="N24" s="164">
        <v>11</v>
      </c>
      <c r="O24" s="161" t="s">
        <v>411</v>
      </c>
      <c r="P24" s="161">
        <v>11</v>
      </c>
    </row>
    <row r="25">
      <c r="A25" s="165" t="s">
        <v>415</v>
      </c>
      <c r="B25" s="166"/>
      <c r="C25" s="166"/>
      <c r="D25" s="167">
        <f>SUM(D20:D24)</f>
      </c>
      <c r="E25" s="167">
        <f>SUM(E20:E24)</f>
      </c>
      <c r="F25" s="167">
        <f>SUM(F20:F24)</f>
      </c>
      <c r="G25" s="167">
        <f>SUM(G20:G24)</f>
      </c>
      <c r="H25" s="168">
        <f t="shared" si="0"/>
      </c>
      <c r="I25" s="168">
        <f t="shared" si="1"/>
      </c>
      <c r="J25" s="168">
        <f t="shared" si="2"/>
      </c>
      <c r="K25" s="167">
        <f>SUM(K20:K24)</f>
      </c>
      <c r="L25" s="169">
        <f>SUM(L20:L24)</f>
      </c>
      <c r="M25" s="170"/>
      <c r="N25" s="169">
        <f>SUM(N20:N24)</f>
      </c>
      <c r="O25" s="170"/>
      <c r="P25" s="169">
        <f>SUM(P20:P24)</f>
      </c>
    </row>
    <row hidden="true" r="26">
      <c r="A26" s="157" t="s">
        <v>422</v>
      </c>
      <c r="B26" s="158" t="s">
        <v>404</v>
      </c>
      <c r="C26" s="159" t="s">
        <v>416</v>
      </c>
      <c r="D26" s="159">
        <v>4</v>
      </c>
      <c r="E26" s="159">
        <v>8</v>
      </c>
      <c r="F26" s="159">
        <v>6131.4</v>
      </c>
      <c r="G26" s="159">
        <v>5070.11</v>
      </c>
      <c r="H26" s="160">
        <f t="shared" si="0"/>
      </c>
      <c r="I26" s="160">
        <f t="shared" si="1"/>
      </c>
      <c r="J26" s="160">
        <f t="shared" si="2"/>
      </c>
      <c r="K26" s="159">
        <v>2</v>
      </c>
      <c r="L26" s="161">
        <v>2146.8</v>
      </c>
      <c r="M26" s="161" t="s">
        <v>417</v>
      </c>
      <c r="N26" s="161">
        <v>3</v>
      </c>
      <c r="O26" s="162" t="s">
        <v>401</v>
      </c>
      <c r="P26" s="161">
        <v>11</v>
      </c>
    </row>
    <row hidden="true" r="27">
      <c r="A27" s="157" t="s">
        <v>422</v>
      </c>
      <c r="B27" s="158" t="s">
        <v>408</v>
      </c>
      <c r="C27" s="159" t="s">
        <v>418</v>
      </c>
      <c r="D27" s="159">
        <v>4</v>
      </c>
      <c r="E27" s="159">
        <v>16</v>
      </c>
      <c r="F27" s="159">
        <v>17410.8</v>
      </c>
      <c r="G27" s="159">
        <v>11932.04</v>
      </c>
      <c r="H27" s="160">
        <f t="shared" si="0"/>
      </c>
      <c r="I27" s="160">
        <f t="shared" si="1"/>
      </c>
      <c r="J27" s="160">
        <f t="shared" si="2"/>
      </c>
      <c r="K27" s="159">
        <v>3</v>
      </c>
      <c r="L27" s="161">
        <v>2281.2</v>
      </c>
      <c r="M27" s="161"/>
      <c r="N27" s="161"/>
      <c r="O27" s="162"/>
      <c r="P27" s="162"/>
    </row>
    <row hidden="true" r="28">
      <c r="A28" s="157" t="s">
        <v>422</v>
      </c>
      <c r="B28" s="158" t="s">
        <v>406</v>
      </c>
      <c r="C28" s="159" t="s">
        <v>419</v>
      </c>
      <c r="D28" s="159">
        <v>4</v>
      </c>
      <c r="E28" s="159">
        <v>2</v>
      </c>
      <c r="F28" s="159">
        <v>1998</v>
      </c>
      <c r="G28" s="159">
        <v>10924.240000000002</v>
      </c>
      <c r="H28" s="160">
        <f t="shared" si="0"/>
      </c>
      <c r="I28" s="160">
        <f t="shared" si="1"/>
      </c>
      <c r="J28" s="160">
        <f t="shared" si="2"/>
      </c>
      <c r="K28" s="159">
        <v>0</v>
      </c>
      <c r="L28" s="161">
        <v>0</v>
      </c>
      <c r="M28" s="161" t="s">
        <v>420</v>
      </c>
      <c r="N28" s="161">
        <v>8</v>
      </c>
      <c r="O28" s="162"/>
      <c r="P28" s="162"/>
    </row>
    <row hidden="true" r="29">
      <c r="A29" s="157" t="s">
        <v>422</v>
      </c>
      <c r="B29" s="158" t="s">
        <v>398</v>
      </c>
      <c r="C29" s="159" t="s">
        <v>421</v>
      </c>
      <c r="D29" s="159">
        <v>5</v>
      </c>
      <c r="E29" s="159">
        <v>5</v>
      </c>
      <c r="F29" s="159">
        <v>8961.600000000006</v>
      </c>
      <c r="G29" s="159">
        <v>7725.18</v>
      </c>
      <c r="H29" s="160">
        <f t="shared" si="0"/>
      </c>
      <c r="I29" s="160">
        <f t="shared" si="1"/>
      </c>
      <c r="J29" s="160">
        <f t="shared" si="2"/>
      </c>
      <c r="K29" s="159">
        <v>1</v>
      </c>
      <c r="L29" s="161">
        <v>763.1999999999998</v>
      </c>
      <c r="M29" s="161"/>
      <c r="N29" s="161"/>
      <c r="O29" s="162"/>
      <c r="P29" s="162"/>
    </row>
    <row hidden="true" r="30">
      <c r="A30" s="157" t="s">
        <v>422</v>
      </c>
      <c r="B30" s="158" t="s">
        <v>402</v>
      </c>
      <c r="C30" s="159" t="s">
        <v>409</v>
      </c>
      <c r="D30" s="159">
        <v>5</v>
      </c>
      <c r="E30" s="159">
        <v>16</v>
      </c>
      <c r="F30" s="163">
        <v>22304.999999999993</v>
      </c>
      <c r="G30" s="159">
        <v>12895.87</v>
      </c>
      <c r="H30" s="160">
        <f t="shared" si="0"/>
      </c>
      <c r="I30" s="160">
        <f t="shared" si="1"/>
      </c>
      <c r="J30" s="160">
        <f t="shared" si="2"/>
      </c>
      <c r="K30" s="159">
        <v>3</v>
      </c>
      <c r="L30" s="161">
        <v>1435.1999999999998</v>
      </c>
      <c r="M30" s="161" t="s">
        <v>410</v>
      </c>
      <c r="N30" s="164">
        <v>11</v>
      </c>
      <c r="O30" s="161" t="s">
        <v>411</v>
      </c>
      <c r="P30" s="161">
        <v>11</v>
      </c>
    </row>
    <row r="31">
      <c r="A31" s="165" t="s">
        <v>422</v>
      </c>
      <c r="B31" s="166"/>
      <c r="C31" s="166"/>
      <c r="D31" s="167">
        <f>SUM(D26:D30)</f>
      </c>
      <c r="E31" s="167">
        <f>SUM(E26:E30)</f>
      </c>
      <c r="F31" s="167">
        <f>SUM(F26:F30)</f>
      </c>
      <c r="G31" s="167">
        <f>SUM(G26:G30)</f>
      </c>
      <c r="H31" s="168">
        <f t="shared" si="0"/>
      </c>
      <c r="I31" s="168">
        <f t="shared" si="1"/>
      </c>
      <c r="J31" s="168">
        <f t="shared" si="2"/>
      </c>
      <c r="K31" s="167">
        <f>SUM(K26:K30)</f>
      </c>
      <c r="L31" s="169">
        <f>SUM(L26:L30)</f>
      </c>
      <c r="M31" s="170"/>
      <c r="N31" s="169">
        <f>SUM(N26:N30)</f>
      </c>
      <c r="O31" s="170"/>
      <c r="P31" s="169">
        <f>SUM(P26:P30)</f>
      </c>
    </row>
    <row hidden="true" r="32">
      <c r="A32" s="157" t="s">
        <v>423</v>
      </c>
      <c r="B32" s="158" t="s">
        <v>404</v>
      </c>
      <c r="C32" s="159" t="s">
        <v>416</v>
      </c>
      <c r="D32" s="159">
        <v>4</v>
      </c>
      <c r="E32" s="159">
        <v>9</v>
      </c>
      <c r="F32" s="159">
        <v>13719.6</v>
      </c>
      <c r="G32" s="159">
        <v>8978.04</v>
      </c>
      <c r="H32" s="160">
        <f t="shared" si="0"/>
      </c>
      <c r="I32" s="160">
        <f t="shared" si="1"/>
      </c>
      <c r="J32" s="160">
        <f t="shared" si="2"/>
      </c>
      <c r="K32" s="159">
        <v>2</v>
      </c>
      <c r="L32" s="161">
        <v>3103.2</v>
      </c>
      <c r="M32" s="161" t="s">
        <v>417</v>
      </c>
      <c r="N32" s="161">
        <v>3</v>
      </c>
      <c r="O32" s="162" t="s">
        <v>401</v>
      </c>
      <c r="P32" s="161">
        <v>11</v>
      </c>
    </row>
    <row hidden="true" r="33">
      <c r="A33" s="157" t="s">
        <v>423</v>
      </c>
      <c r="B33" s="158" t="s">
        <v>408</v>
      </c>
      <c r="C33" s="159" t="s">
        <v>418</v>
      </c>
      <c r="D33" s="159">
        <v>4</v>
      </c>
      <c r="E33" s="159">
        <v>12</v>
      </c>
      <c r="F33" s="159">
        <v>14725.4</v>
      </c>
      <c r="G33" s="159">
        <v>10783.029999999999</v>
      </c>
      <c r="H33" s="160">
        <f t="shared" si="0"/>
      </c>
      <c r="I33" s="160">
        <f t="shared" si="1"/>
      </c>
      <c r="J33" s="160">
        <f t="shared" si="2"/>
      </c>
      <c r="K33" s="159">
        <v>3</v>
      </c>
      <c r="L33" s="161">
        <v>4435.2</v>
      </c>
      <c r="M33" s="161"/>
      <c r="N33" s="161"/>
      <c r="O33" s="162"/>
      <c r="P33" s="162"/>
    </row>
    <row hidden="true" r="34">
      <c r="A34" s="157" t="s">
        <v>423</v>
      </c>
      <c r="B34" s="158" t="s">
        <v>406</v>
      </c>
      <c r="C34" s="159" t="s">
        <v>419</v>
      </c>
      <c r="D34" s="159">
        <v>4</v>
      </c>
      <c r="E34" s="159">
        <v>17</v>
      </c>
      <c r="F34" s="159">
        <v>16070.400000000001</v>
      </c>
      <c r="G34" s="159">
        <v>13027.87</v>
      </c>
      <c r="H34" s="160">
        <f t="shared" si="0"/>
      </c>
      <c r="I34" s="160">
        <f t="shared" si="1"/>
      </c>
      <c r="J34" s="160">
        <f t="shared" si="2"/>
      </c>
      <c r="K34" s="159">
        <v>6</v>
      </c>
      <c r="L34" s="161">
        <v>5714.399999999999</v>
      </c>
      <c r="M34" s="161" t="s">
        <v>424</v>
      </c>
      <c r="N34" s="161">
        <v>9</v>
      </c>
      <c r="O34" s="162"/>
      <c r="P34" s="162"/>
    </row>
    <row hidden="true" r="35">
      <c r="A35" s="157" t="s">
        <v>423</v>
      </c>
      <c r="B35" s="158" t="s">
        <v>398</v>
      </c>
      <c r="C35" s="159" t="s">
        <v>421</v>
      </c>
      <c r="D35" s="159">
        <v>5</v>
      </c>
      <c r="E35" s="159">
        <v>26</v>
      </c>
      <c r="F35" s="159">
        <v>30081.200000000004</v>
      </c>
      <c r="G35" s="159">
        <v>15660.41</v>
      </c>
      <c r="H35" s="160">
        <f t="shared" si="0"/>
      </c>
      <c r="I35" s="160">
        <f t="shared" si="1"/>
      </c>
      <c r="J35" s="160">
        <f t="shared" si="2"/>
      </c>
      <c r="K35" s="159">
        <v>2</v>
      </c>
      <c r="L35" s="161">
        <v>2767.2000000000007</v>
      </c>
      <c r="M35" s="161"/>
      <c r="N35" s="161"/>
      <c r="O35" s="162"/>
      <c r="P35" s="162"/>
    </row>
    <row hidden="true" r="36">
      <c r="A36" s="157" t="s">
        <v>423</v>
      </c>
      <c r="B36" s="158" t="s">
        <v>402</v>
      </c>
      <c r="C36" s="159" t="s">
        <v>409</v>
      </c>
      <c r="D36" s="159">
        <v>5</v>
      </c>
      <c r="E36" s="159">
        <v>26</v>
      </c>
      <c r="F36" s="163">
        <v>35331.83999999998</v>
      </c>
      <c r="G36" s="159">
        <v>25417.16</v>
      </c>
      <c r="H36" s="160">
        <f t="shared" si="0"/>
      </c>
      <c r="I36" s="160">
        <f t="shared" si="1"/>
      </c>
      <c r="J36" s="160">
        <f t="shared" si="2"/>
      </c>
      <c r="K36" s="159">
        <v>5</v>
      </c>
      <c r="L36" s="161">
        <v>4490.400000000004</v>
      </c>
      <c r="M36" s="161" t="s">
        <v>410</v>
      </c>
      <c r="N36" s="164">
        <v>10</v>
      </c>
      <c r="O36" s="161" t="s">
        <v>411</v>
      </c>
      <c r="P36" s="161">
        <v>11</v>
      </c>
    </row>
    <row r="37">
      <c r="A37" s="165" t="s">
        <v>423</v>
      </c>
      <c r="B37" s="166"/>
      <c r="C37" s="166"/>
      <c r="D37" s="167">
        <f>SUM(D32:D36)</f>
      </c>
      <c r="E37" s="167">
        <f>SUM(E32:E36)</f>
      </c>
      <c r="F37" s="167">
        <f>SUM(F32:F36)</f>
      </c>
      <c r="G37" s="167">
        <f>SUM(G32:G36)</f>
      </c>
      <c r="H37" s="168">
        <f t="shared" si="0"/>
      </c>
      <c r="I37" s="168">
        <f t="shared" si="1"/>
      </c>
      <c r="J37" s="168">
        <f t="shared" si="2"/>
      </c>
      <c r="K37" s="167">
        <f>SUM(K32:K36)</f>
      </c>
      <c r="L37" s="169">
        <f>SUM(L32:L36)</f>
      </c>
      <c r="M37" s="170"/>
      <c r="N37" s="169">
        <f>SUM(N32:N36)</f>
      </c>
      <c r="O37" s="170"/>
      <c r="P37" s="169">
        <f>SUM(P32:P36)</f>
      </c>
    </row>
    <row hidden="true" r="38">
      <c r="A38" s="157" t="s">
        <v>425</v>
      </c>
      <c r="B38" s="158" t="s">
        <v>413</v>
      </c>
      <c r="C38" s="159" t="s">
        <v>416</v>
      </c>
      <c r="D38" s="159">
        <v>4</v>
      </c>
      <c r="E38" s="159">
        <v>5</v>
      </c>
      <c r="F38" s="159">
        <v>6662.4</v>
      </c>
      <c r="G38" s="159">
        <v>7527.96</v>
      </c>
      <c r="H38" s="160">
        <f t="shared" si="0"/>
      </c>
      <c r="I38" s="160">
        <f t="shared" si="1"/>
      </c>
      <c r="J38" s="160">
        <f t="shared" si="2"/>
      </c>
      <c r="K38" s="159">
        <v>0</v>
      </c>
      <c r="L38" s="161">
        <v>0</v>
      </c>
      <c r="M38" s="161" t="s">
        <v>400</v>
      </c>
      <c r="N38" s="161">
        <v>12</v>
      </c>
      <c r="O38" s="162" t="s">
        <v>401</v>
      </c>
      <c r="P38" s="161">
        <v>11</v>
      </c>
    </row>
    <row hidden="true" r="39">
      <c r="A39" s="157" t="s">
        <v>425</v>
      </c>
      <c r="B39" s="158" t="s">
        <v>408</v>
      </c>
      <c r="C39" s="159" t="s">
        <v>418</v>
      </c>
      <c r="D39" s="159">
        <v>4</v>
      </c>
      <c r="E39" s="159">
        <v>11</v>
      </c>
      <c r="F39" s="159">
        <v>12569.6</v>
      </c>
      <c r="G39" s="159">
        <v>7478.700000000001</v>
      </c>
      <c r="H39" s="160">
        <f t="shared" si="0"/>
      </c>
      <c r="I39" s="160">
        <f t="shared" si="1"/>
      </c>
      <c r="J39" s="160">
        <f t="shared" si="2"/>
      </c>
      <c r="K39" s="159">
        <v>3</v>
      </c>
      <c r="L39" s="161">
        <v>1737.6</v>
      </c>
      <c r="M39" s="161"/>
      <c r="N39" s="161"/>
      <c r="O39" s="162"/>
      <c r="P39" s="162"/>
    </row>
    <row hidden="true" r="40">
      <c r="A40" s="157" t="s">
        <v>425</v>
      </c>
      <c r="B40" s="158" t="s">
        <v>398</v>
      </c>
      <c r="C40" s="159" t="s">
        <v>419</v>
      </c>
      <c r="D40" s="159">
        <v>4</v>
      </c>
      <c r="E40" s="159">
        <v>13</v>
      </c>
      <c r="F40" s="159">
        <v>14913.599999999999</v>
      </c>
      <c r="G40" s="159">
        <v>8882.93</v>
      </c>
      <c r="H40" s="160">
        <f t="shared" si="0"/>
      </c>
      <c r="I40" s="160">
        <f t="shared" si="1"/>
      </c>
      <c r="J40" s="160">
        <f t="shared" si="2"/>
      </c>
      <c r="K40" s="159">
        <v>4</v>
      </c>
      <c r="L40" s="161">
        <v>5194.8</v>
      </c>
      <c r="M40" s="161"/>
      <c r="N40" s="161"/>
      <c r="O40" s="162"/>
      <c r="P40" s="162"/>
    </row>
    <row hidden="true" r="41">
      <c r="A41" s="157" t="s">
        <v>425</v>
      </c>
      <c r="B41" s="158" t="s">
        <v>402</v>
      </c>
      <c r="C41" s="159" t="s">
        <v>421</v>
      </c>
      <c r="D41" s="159">
        <v>5</v>
      </c>
      <c r="E41" s="159">
        <v>10</v>
      </c>
      <c r="F41" s="159">
        <v>13279.200000000004</v>
      </c>
      <c r="G41" s="159">
        <v>12655.69</v>
      </c>
      <c r="H41" s="160">
        <f t="shared" si="0"/>
      </c>
      <c r="I41" s="160">
        <f t="shared" si="1"/>
      </c>
      <c r="J41" s="160">
        <f t="shared" si="2"/>
      </c>
      <c r="K41" s="159">
        <v>4</v>
      </c>
      <c r="L41" s="161">
        <v>2431.2</v>
      </c>
      <c r="M41" s="161"/>
      <c r="N41" s="161"/>
      <c r="O41" s="162"/>
      <c r="P41" s="162"/>
    </row>
    <row hidden="true" r="42">
      <c r="A42" s="157" t="s">
        <v>425</v>
      </c>
      <c r="B42" s="158" t="s">
        <v>404</v>
      </c>
      <c r="C42" s="159" t="s">
        <v>409</v>
      </c>
      <c r="D42" s="159">
        <v>5</v>
      </c>
      <c r="E42" s="159">
        <v>22</v>
      </c>
      <c r="F42" s="163">
        <v>36871.20000000001</v>
      </c>
      <c r="G42" s="159">
        <v>19532.04</v>
      </c>
      <c r="H42" s="160">
        <f t="shared" si="0"/>
      </c>
      <c r="I42" s="160">
        <f t="shared" si="1"/>
      </c>
      <c r="J42" s="160">
        <f t="shared" si="2"/>
      </c>
      <c r="K42" s="159">
        <v>4</v>
      </c>
      <c r="L42" s="161">
        <v>4862.400000000001</v>
      </c>
      <c r="M42" s="161" t="s">
        <v>410</v>
      </c>
      <c r="N42" s="164">
        <v>10</v>
      </c>
      <c r="O42" s="161" t="s">
        <v>411</v>
      </c>
      <c r="P42" s="161">
        <v>11</v>
      </c>
    </row>
    <row r="43">
      <c r="A43" s="165" t="s">
        <v>425</v>
      </c>
      <c r="B43" s="166"/>
      <c r="C43" s="166"/>
      <c r="D43" s="167">
        <f>SUM(D38:D42)</f>
      </c>
      <c r="E43" s="167">
        <f>SUM(E38:E42)</f>
      </c>
      <c r="F43" s="167">
        <f>SUM(F38:F42)</f>
      </c>
      <c r="G43" s="167">
        <f>SUM(G38:G42)</f>
      </c>
      <c r="H43" s="168">
        <f t="shared" si="0"/>
      </c>
      <c r="I43" s="168">
        <f t="shared" si="1"/>
      </c>
      <c r="J43" s="168">
        <f t="shared" si="2"/>
      </c>
      <c r="K43" s="167">
        <f>SUM(K38:K42)</f>
      </c>
      <c r="L43" s="169">
        <f>SUM(L38:L42)</f>
      </c>
      <c r="M43" s="170"/>
      <c r="N43" s="169">
        <f>SUM(N38:N42)</f>
      </c>
      <c r="O43" s="170"/>
      <c r="P43" s="169">
        <f>SUM(P38:P42)</f>
      </c>
    </row>
    <row hidden="true" r="44">
      <c r="A44" s="157" t="s">
        <v>426</v>
      </c>
      <c r="B44" s="158" t="s">
        <v>413</v>
      </c>
      <c r="C44" s="159" t="s">
        <v>416</v>
      </c>
      <c r="D44" s="159">
        <v>4</v>
      </c>
      <c r="E44" s="159">
        <v>8</v>
      </c>
      <c r="F44" s="159">
        <v>9303.6</v>
      </c>
      <c r="G44" s="159">
        <v>5242.76</v>
      </c>
      <c r="H44" s="160">
        <f t="shared" si="0"/>
      </c>
      <c r="I44" s="160">
        <f t="shared" si="1"/>
      </c>
      <c r="J44" s="160">
        <f t="shared" si="2"/>
      </c>
      <c r="K44" s="159">
        <v>0</v>
      </c>
      <c r="L44" s="161">
        <v>0</v>
      </c>
      <c r="M44" s="161" t="s">
        <v>400</v>
      </c>
      <c r="N44" s="161">
        <v>12</v>
      </c>
      <c r="O44" s="162" t="s">
        <v>401</v>
      </c>
      <c r="P44" s="161">
        <v>11</v>
      </c>
    </row>
    <row hidden="true" r="45">
      <c r="A45" s="157" t="s">
        <v>426</v>
      </c>
      <c r="B45" s="158" t="s">
        <v>408</v>
      </c>
      <c r="C45" s="159" t="s">
        <v>427</v>
      </c>
      <c r="D45" s="159">
        <v>5</v>
      </c>
      <c r="E45" s="159">
        <v>23</v>
      </c>
      <c r="F45" s="159">
        <v>28005.6</v>
      </c>
      <c r="G45" s="159">
        <v>21121.85</v>
      </c>
      <c r="H45" s="160">
        <f t="shared" si="0"/>
      </c>
      <c r="I45" s="160">
        <f t="shared" si="1"/>
      </c>
      <c r="J45" s="160">
        <f t="shared" si="2"/>
      </c>
      <c r="K45" s="159">
        <v>4</v>
      </c>
      <c r="L45" s="161">
        <v>5040</v>
      </c>
      <c r="M45" s="161"/>
      <c r="N45" s="161"/>
      <c r="O45" s="162"/>
      <c r="P45" s="162"/>
    </row>
    <row hidden="true" r="46">
      <c r="A46" s="157" t="s">
        <v>426</v>
      </c>
      <c r="B46" s="158" t="s">
        <v>428</v>
      </c>
      <c r="C46" s="159" t="s">
        <v>429</v>
      </c>
      <c r="D46" s="159">
        <v>3</v>
      </c>
      <c r="E46" s="159">
        <v>10</v>
      </c>
      <c r="F46" s="159">
        <v>15585.600000000006</v>
      </c>
      <c r="G46" s="159">
        <v>7407.2</v>
      </c>
      <c r="H46" s="160">
        <f t="shared" si="0"/>
      </c>
      <c r="I46" s="160">
        <f t="shared" si="1"/>
      </c>
      <c r="J46" s="160">
        <f t="shared" si="2"/>
      </c>
      <c r="K46" s="159">
        <v>0</v>
      </c>
      <c r="L46" s="161">
        <v>0</v>
      </c>
      <c r="M46" s="161"/>
      <c r="N46" s="161"/>
      <c r="O46" s="162"/>
      <c r="P46" s="162"/>
    </row>
    <row hidden="true" r="47">
      <c r="A47" s="157" t="s">
        <v>426</v>
      </c>
      <c r="B47" s="158" t="s">
        <v>402</v>
      </c>
      <c r="C47" s="159" t="s">
        <v>421</v>
      </c>
      <c r="D47" s="159">
        <v>5</v>
      </c>
      <c r="E47" s="159">
        <v>34</v>
      </c>
      <c r="F47" s="159">
        <v>52292</v>
      </c>
      <c r="G47" s="159">
        <v>26269.699999999997</v>
      </c>
      <c r="H47" s="160">
        <f t="shared" si="0"/>
      </c>
      <c r="I47" s="160">
        <f t="shared" si="1"/>
      </c>
      <c r="J47" s="160">
        <f t="shared" si="2"/>
      </c>
      <c r="K47" s="159">
        <v>5</v>
      </c>
      <c r="L47" s="161">
        <v>7950.8</v>
      </c>
      <c r="M47" s="161"/>
      <c r="N47" s="161"/>
      <c r="O47" s="162"/>
      <c r="P47" s="162"/>
    </row>
    <row hidden="true" r="48">
      <c r="A48" s="157" t="s">
        <v>426</v>
      </c>
      <c r="B48" s="158" t="s">
        <v>404</v>
      </c>
      <c r="C48" s="159" t="s">
        <v>409</v>
      </c>
      <c r="D48" s="159">
        <v>5</v>
      </c>
      <c r="E48" s="159">
        <v>16</v>
      </c>
      <c r="F48" s="163">
        <v>21348.599999999995</v>
      </c>
      <c r="G48" s="159">
        <v>24459.920000000002</v>
      </c>
      <c r="H48" s="160">
        <f t="shared" si="0"/>
      </c>
      <c r="I48" s="160">
        <f t="shared" si="1"/>
      </c>
      <c r="J48" s="160">
        <f t="shared" si="2"/>
      </c>
      <c r="K48" s="159">
        <v>3</v>
      </c>
      <c r="L48" s="161">
        <v>2581.800000000001</v>
      </c>
      <c r="M48" s="161" t="s">
        <v>410</v>
      </c>
      <c r="N48" s="164">
        <v>10</v>
      </c>
      <c r="O48" s="161" t="s">
        <v>411</v>
      </c>
      <c r="P48" s="161">
        <v>11</v>
      </c>
    </row>
    <row r="49">
      <c r="A49" s="165" t="s">
        <v>426</v>
      </c>
      <c r="B49" s="166"/>
      <c r="C49" s="166"/>
      <c r="D49" s="167">
        <f>SUM(D44:D48)</f>
      </c>
      <c r="E49" s="167">
        <f>SUM(E44:E48)</f>
      </c>
      <c r="F49" s="167">
        <f>SUM(F44:F48)</f>
      </c>
      <c r="G49" s="167">
        <f>SUM(G44:G48)</f>
      </c>
      <c r="H49" s="168">
        <f t="shared" si="0"/>
      </c>
      <c r="I49" s="168">
        <f t="shared" si="1"/>
      </c>
      <c r="J49" s="168">
        <f t="shared" si="2"/>
      </c>
      <c r="K49" s="167">
        <f>SUM(K44:K48)</f>
      </c>
      <c r="L49" s="169">
        <f>SUM(L44:L48)</f>
      </c>
      <c r="M49" s="170"/>
      <c r="N49" s="169">
        <f>SUM(N44:N48)</f>
      </c>
      <c r="O49" s="170"/>
      <c r="P49" s="169">
        <f>SUM(P44:P48)</f>
      </c>
    </row>
    <row hidden="true" r="50">
      <c r="A50" s="157" t="s">
        <v>430</v>
      </c>
      <c r="B50" s="158" t="s">
        <v>408</v>
      </c>
      <c r="C50" s="159" t="s">
        <v>431</v>
      </c>
      <c r="D50" s="159">
        <v>5</v>
      </c>
      <c r="E50" s="159">
        <v>18</v>
      </c>
      <c r="F50" s="159">
        <v>24861.6</v>
      </c>
      <c r="G50" s="159">
        <v>15479.779999999999</v>
      </c>
      <c r="H50" s="160">
        <f t="shared" si="0"/>
      </c>
      <c r="I50" s="160">
        <f t="shared" si="1"/>
      </c>
      <c r="J50" s="160">
        <f t="shared" si="2"/>
      </c>
      <c r="K50" s="159">
        <v>3</v>
      </c>
      <c r="L50" s="161">
        <v>4833.6</v>
      </c>
      <c r="M50" s="161" t="s">
        <v>400</v>
      </c>
      <c r="N50" s="161">
        <v>10</v>
      </c>
      <c r="O50" s="162" t="s">
        <v>401</v>
      </c>
      <c r="P50" s="161">
        <v>11</v>
      </c>
    </row>
    <row hidden="true" r="51">
      <c r="A51" s="157" t="s">
        <v>430</v>
      </c>
      <c r="B51" s="158" t="s">
        <v>402</v>
      </c>
      <c r="C51" s="159" t="s">
        <v>432</v>
      </c>
      <c r="D51" s="159">
        <v>4</v>
      </c>
      <c r="E51" s="159">
        <v>29</v>
      </c>
      <c r="F51" s="159">
        <v>28187.4</v>
      </c>
      <c r="G51" s="159">
        <v>17513.379999999997</v>
      </c>
      <c r="H51" s="160">
        <f t="shared" si="0"/>
      </c>
      <c r="I51" s="160">
        <f t="shared" si="1"/>
      </c>
      <c r="J51" s="160">
        <f t="shared" si="2"/>
      </c>
      <c r="K51" s="159">
        <v>8</v>
      </c>
      <c r="L51" s="161">
        <v>10033.199999999997</v>
      </c>
      <c r="M51" s="161"/>
      <c r="N51" s="161"/>
      <c r="O51" s="162"/>
      <c r="P51" s="162"/>
    </row>
    <row hidden="true" r="52">
      <c r="A52" s="157" t="s">
        <v>430</v>
      </c>
      <c r="B52" s="158" t="s">
        <v>428</v>
      </c>
      <c r="C52" s="159" t="s">
        <v>433</v>
      </c>
      <c r="D52" s="159">
        <v>2</v>
      </c>
      <c r="E52" s="159">
        <v>17</v>
      </c>
      <c r="F52" s="159">
        <v>22514.399999999994</v>
      </c>
      <c r="G52" s="159">
        <v>12708.18</v>
      </c>
      <c r="H52" s="160">
        <f t="shared" si="0"/>
      </c>
      <c r="I52" s="160">
        <f t="shared" si="1"/>
      </c>
      <c r="J52" s="160">
        <f t="shared" si="2"/>
      </c>
      <c r="K52" s="159">
        <v>4</v>
      </c>
      <c r="L52" s="161">
        <v>4737.6</v>
      </c>
      <c r="M52" s="161"/>
      <c r="N52" s="161"/>
      <c r="O52" s="162"/>
      <c r="P52" s="162"/>
    </row>
    <row hidden="true" r="53">
      <c r="A53" s="157" t="s">
        <v>430</v>
      </c>
      <c r="B53" s="158" t="s">
        <v>404</v>
      </c>
      <c r="C53" s="159" t="s">
        <v>407</v>
      </c>
      <c r="D53" s="159">
        <v>4</v>
      </c>
      <c r="E53" s="159">
        <v>23</v>
      </c>
      <c r="F53" s="159">
        <v>27431.800000000003</v>
      </c>
      <c r="G53" s="159">
        <v>16620.24</v>
      </c>
      <c r="H53" s="160">
        <f t="shared" si="0"/>
      </c>
      <c r="I53" s="160">
        <f t="shared" si="1"/>
      </c>
      <c r="J53" s="160">
        <f t="shared" si="2"/>
      </c>
      <c r="K53" s="159">
        <v>5</v>
      </c>
      <c r="L53" s="161">
        <v>5383.2</v>
      </c>
      <c r="M53" s="161"/>
      <c r="N53" s="161"/>
      <c r="O53" s="162"/>
      <c r="P53" s="162"/>
    </row>
    <row hidden="true" r="54">
      <c r="A54" s="157" t="s">
        <v>430</v>
      </c>
      <c r="B54" s="158" t="s">
        <v>413</v>
      </c>
      <c r="C54" s="159" t="s">
        <v>409</v>
      </c>
      <c r="D54" s="159">
        <v>5</v>
      </c>
      <c r="E54" s="159">
        <v>26</v>
      </c>
      <c r="F54" s="163">
        <v>36026.2</v>
      </c>
      <c r="G54" s="159">
        <v>27357.019999999997</v>
      </c>
      <c r="H54" s="160">
        <f t="shared" si="0"/>
      </c>
      <c r="I54" s="160">
        <f t="shared" si="1"/>
      </c>
      <c r="J54" s="160">
        <f t="shared" si="2"/>
      </c>
      <c r="K54" s="159">
        <v>2</v>
      </c>
      <c r="L54" s="161">
        <v>3326.400000000005</v>
      </c>
      <c r="M54" s="161" t="s">
        <v>410</v>
      </c>
      <c r="N54" s="164">
        <v>10</v>
      </c>
      <c r="O54" s="161" t="s">
        <v>411</v>
      </c>
      <c r="P54" s="161">
        <v>11</v>
      </c>
    </row>
    <row r="55">
      <c r="A55" s="165" t="s">
        <v>430</v>
      </c>
      <c r="B55" s="166"/>
      <c r="C55" s="166"/>
      <c r="D55" s="167">
        <f>SUM(D50:D54)</f>
      </c>
      <c r="E55" s="167">
        <f>SUM(E50:E54)</f>
      </c>
      <c r="F55" s="167">
        <f>SUM(F50:F54)</f>
      </c>
      <c r="G55" s="167">
        <f>SUM(G50:G54)</f>
      </c>
      <c r="H55" s="168">
        <f t="shared" si="0"/>
      </c>
      <c r="I55" s="168">
        <f t="shared" si="1"/>
      </c>
      <c r="J55" s="168">
        <f t="shared" si="2"/>
      </c>
      <c r="K55" s="167">
        <f>SUM(K50:K54)</f>
      </c>
      <c r="L55" s="169">
        <f>SUM(L50:L54)</f>
      </c>
      <c r="M55" s="170"/>
      <c r="N55" s="169">
        <f>SUM(N50:N54)</f>
      </c>
      <c r="O55" s="170"/>
      <c r="P55" s="169">
        <f>SUM(P50:P54)</f>
      </c>
    </row>
    <row hidden="true" r="56">
      <c r="A56" s="157" t="s">
        <v>434</v>
      </c>
      <c r="B56" s="158" t="s">
        <v>408</v>
      </c>
      <c r="C56" s="159" t="s">
        <v>431</v>
      </c>
      <c r="D56" s="159">
        <v>5</v>
      </c>
      <c r="E56" s="159">
        <v>18</v>
      </c>
      <c r="F56" s="159">
        <v>29016</v>
      </c>
      <c r="G56" s="159">
        <v>16715.58</v>
      </c>
      <c r="H56" s="160">
        <f t="shared" si="0"/>
      </c>
      <c r="I56" s="160">
        <f t="shared" si="1"/>
      </c>
      <c r="J56" s="160">
        <f t="shared" si="2"/>
      </c>
      <c r="K56" s="159">
        <v>2</v>
      </c>
      <c r="L56" s="161">
        <v>2371.2</v>
      </c>
      <c r="M56" s="161" t="s">
        <v>400</v>
      </c>
      <c r="N56" s="161">
        <v>10</v>
      </c>
      <c r="O56" s="162" t="s">
        <v>401</v>
      </c>
      <c r="P56" s="161">
        <v>11</v>
      </c>
    </row>
    <row hidden="true" r="57">
      <c r="A57" s="157" t="s">
        <v>434</v>
      </c>
      <c r="B57" s="158" t="s">
        <v>398</v>
      </c>
      <c r="C57" s="159" t="s">
        <v>432</v>
      </c>
      <c r="D57" s="159">
        <v>4</v>
      </c>
      <c r="E57" s="159">
        <v>22</v>
      </c>
      <c r="F57" s="159">
        <v>25189</v>
      </c>
      <c r="G57" s="159">
        <v>17919.530000000002</v>
      </c>
      <c r="H57" s="160">
        <f t="shared" si="0"/>
      </c>
      <c r="I57" s="160">
        <f t="shared" si="1"/>
      </c>
      <c r="J57" s="160">
        <f t="shared" si="2"/>
      </c>
      <c r="K57" s="159">
        <v>12</v>
      </c>
      <c r="L57" s="161">
        <v>13211.8</v>
      </c>
      <c r="M57" s="161"/>
      <c r="N57" s="161"/>
      <c r="O57" s="162"/>
      <c r="P57" s="162"/>
    </row>
    <row hidden="true" r="58">
      <c r="A58" s="157" t="s">
        <v>434</v>
      </c>
      <c r="B58" s="158" t="s">
        <v>428</v>
      </c>
      <c r="C58" s="159" t="s">
        <v>433</v>
      </c>
      <c r="D58" s="159">
        <v>2</v>
      </c>
      <c r="E58" s="159">
        <v>6</v>
      </c>
      <c r="F58" s="159">
        <v>9187.199999999997</v>
      </c>
      <c r="G58" s="159">
        <v>5472.24</v>
      </c>
      <c r="H58" s="160">
        <f t="shared" si="0"/>
      </c>
      <c r="I58" s="160">
        <f t="shared" si="1"/>
      </c>
      <c r="J58" s="160">
        <f t="shared" si="2"/>
      </c>
      <c r="K58" s="159">
        <v>1</v>
      </c>
      <c r="L58" s="161">
        <v>326.39999999999964</v>
      </c>
      <c r="M58" s="161"/>
      <c r="N58" s="161"/>
      <c r="O58" s="162"/>
      <c r="P58" s="162"/>
    </row>
    <row hidden="true" r="59">
      <c r="A59" s="157" t="s">
        <v>434</v>
      </c>
      <c r="B59" s="158" t="s">
        <v>404</v>
      </c>
      <c r="C59" s="159" t="s">
        <v>407</v>
      </c>
      <c r="D59" s="159">
        <v>4</v>
      </c>
      <c r="E59" s="159">
        <v>18</v>
      </c>
      <c r="F59" s="159">
        <v>24609.600000000006</v>
      </c>
      <c r="G59" s="159">
        <v>13894.75</v>
      </c>
      <c r="H59" s="160">
        <f t="shared" si="0"/>
      </c>
      <c r="I59" s="160">
        <f t="shared" si="1"/>
      </c>
      <c r="J59" s="160">
        <f t="shared" si="2"/>
      </c>
      <c r="K59" s="159">
        <v>6</v>
      </c>
      <c r="L59" s="161">
        <v>8006.4</v>
      </c>
      <c r="M59" s="161"/>
      <c r="N59" s="161"/>
      <c r="O59" s="162"/>
      <c r="P59" s="162"/>
    </row>
    <row hidden="true" r="60">
      <c r="A60" s="157" t="s">
        <v>434</v>
      </c>
      <c r="B60" s="158" t="s">
        <v>413</v>
      </c>
      <c r="C60" s="159" t="s">
        <v>409</v>
      </c>
      <c r="D60" s="159">
        <v>5</v>
      </c>
      <c r="E60" s="159">
        <v>51</v>
      </c>
      <c r="F60" s="163">
        <v>69240.13999999997</v>
      </c>
      <c r="G60" s="159">
        <v>37014.25</v>
      </c>
      <c r="H60" s="160">
        <f t="shared" si="0"/>
      </c>
      <c r="I60" s="160">
        <f t="shared" si="1"/>
      </c>
      <c r="J60" s="160">
        <f t="shared" si="2"/>
      </c>
      <c r="K60" s="159">
        <v>9</v>
      </c>
      <c r="L60" s="161">
        <v>8542.18</v>
      </c>
      <c r="M60" s="161" t="s">
        <v>410</v>
      </c>
      <c r="N60" s="164">
        <v>10</v>
      </c>
      <c r="O60" s="161" t="s">
        <v>411</v>
      </c>
      <c r="P60" s="161">
        <v>11</v>
      </c>
    </row>
    <row r="61">
      <c r="A61" s="165" t="s">
        <v>434</v>
      </c>
      <c r="B61" s="166"/>
      <c r="C61" s="166"/>
      <c r="D61" s="167">
        <f>SUM(D56:D60)</f>
      </c>
      <c r="E61" s="167">
        <f>SUM(E56:E60)</f>
      </c>
      <c r="F61" s="167">
        <f>SUM(F56:F60)</f>
      </c>
      <c r="G61" s="167">
        <f>SUM(G56:G60)</f>
      </c>
      <c r="H61" s="168">
        <f t="shared" si="0"/>
      </c>
      <c r="I61" s="168">
        <f t="shared" si="1"/>
      </c>
      <c r="J61" s="168">
        <f t="shared" si="2"/>
      </c>
      <c r="K61" s="167">
        <f>SUM(K56:K60)</f>
      </c>
      <c r="L61" s="169">
        <f>SUM(L56:L60)</f>
      </c>
      <c r="M61" s="170"/>
      <c r="N61" s="169">
        <f>SUM(N56:N60)</f>
      </c>
      <c r="O61" s="170"/>
      <c r="P61" s="169">
        <f>SUM(P56:P60)</f>
      </c>
    </row>
    <row hidden="true" r="62">
      <c r="A62" s="171" t="s">
        <v>435</v>
      </c>
      <c r="B62" s="172" t="s">
        <v>398</v>
      </c>
      <c r="C62" s="172" t="s">
        <v>431</v>
      </c>
      <c r="D62" s="172">
        <v>5</v>
      </c>
      <c r="E62" s="172">
        <v>20</v>
      </c>
      <c r="F62" s="172">
        <v>20745.6</v>
      </c>
      <c r="G62" s="172">
        <v>17269.38</v>
      </c>
      <c r="H62" s="173">
        <f t="shared" si="0"/>
      </c>
      <c r="I62" s="173">
        <f t="shared" si="1"/>
      </c>
      <c r="J62" s="173">
        <f t="shared" si="2"/>
      </c>
      <c r="K62" s="172">
        <v>1</v>
      </c>
      <c r="L62" s="174">
        <v>1344</v>
      </c>
      <c r="M62" s="174" t="s">
        <v>400</v>
      </c>
      <c r="N62" s="174">
        <v>10</v>
      </c>
      <c r="O62" s="175" t="s">
        <v>401</v>
      </c>
      <c r="P62" s="174">
        <v>11</v>
      </c>
    </row>
    <row hidden="true" r="63">
      <c r="A63" s="171" t="s">
        <v>435</v>
      </c>
      <c r="B63" s="172" t="s">
        <v>404</v>
      </c>
      <c r="C63" s="172" t="s">
        <v>436</v>
      </c>
      <c r="D63" s="172">
        <v>5</v>
      </c>
      <c r="E63" s="172">
        <v>20</v>
      </c>
      <c r="F63" s="172">
        <v>24772.800000000003</v>
      </c>
      <c r="G63" s="172">
        <v>15764.55</v>
      </c>
      <c r="H63" s="173">
        <f t="shared" si="0"/>
      </c>
      <c r="I63" s="173">
        <f t="shared" si="1"/>
      </c>
      <c r="J63" s="173">
        <f t="shared" si="2"/>
      </c>
      <c r="K63" s="172">
        <v>7</v>
      </c>
      <c r="L63" s="174">
        <v>4732.8</v>
      </c>
      <c r="M63" s="174"/>
      <c r="N63" s="174"/>
      <c r="O63" s="175"/>
      <c r="P63" s="175"/>
    </row>
    <row hidden="true" r="64">
      <c r="A64" s="171" t="s">
        <v>435</v>
      </c>
      <c r="B64" s="172" t="s">
        <v>413</v>
      </c>
      <c r="C64" s="172" t="s">
        <v>421</v>
      </c>
      <c r="D64" s="172">
        <v>5</v>
      </c>
      <c r="E64" s="172">
        <v>14</v>
      </c>
      <c r="F64" s="172">
        <v>17530.799999999996</v>
      </c>
      <c r="G64" s="172">
        <v>15546.13</v>
      </c>
      <c r="H64" s="173">
        <f t="shared" si="0"/>
      </c>
      <c r="I64" s="173">
        <f t="shared" si="1"/>
      </c>
      <c r="J64" s="173">
        <f t="shared" si="2"/>
      </c>
      <c r="K64" s="172">
        <v>4</v>
      </c>
      <c r="L64" s="174">
        <v>3496.7999999999997</v>
      </c>
      <c r="M64" s="174"/>
      <c r="N64" s="174"/>
      <c r="O64" s="175"/>
      <c r="P64" s="175"/>
    </row>
    <row hidden="true" r="65">
      <c r="A65" s="171" t="s">
        <v>435</v>
      </c>
      <c r="B65" s="172" t="s">
        <v>408</v>
      </c>
      <c r="C65" s="172" t="s">
        <v>409</v>
      </c>
      <c r="D65" s="172">
        <v>5</v>
      </c>
      <c r="E65" s="172">
        <v>21</v>
      </c>
      <c r="F65" s="176">
        <v>23833.199999999997</v>
      </c>
      <c r="G65" s="172">
        <v>16554.190000000002</v>
      </c>
      <c r="H65" s="173">
        <f t="shared" si="0"/>
      </c>
      <c r="I65" s="173">
        <f t="shared" si="1"/>
      </c>
      <c r="J65" s="173">
        <f t="shared" si="2"/>
      </c>
      <c r="K65" s="172">
        <v>2</v>
      </c>
      <c r="L65" s="174">
        <v>1291.2</v>
      </c>
      <c r="M65" s="174" t="s">
        <v>410</v>
      </c>
      <c r="N65" s="177">
        <v>10</v>
      </c>
      <c r="O65" s="174" t="s">
        <v>411</v>
      </c>
      <c r="P65" s="174">
        <v>11</v>
      </c>
    </row>
    <row r="66">
      <c r="A66" s="178" t="s">
        <v>435</v>
      </c>
      <c r="B66" s="179"/>
      <c r="C66" s="179"/>
      <c r="D66" s="180">
        <f>SUM(D62:D65)</f>
      </c>
      <c r="E66" s="180">
        <f>SUM(E62:E65)</f>
      </c>
      <c r="F66" s="180">
        <f>SUM(F62:F65)</f>
      </c>
      <c r="G66" s="180">
        <f>SUM(G62:G65)</f>
      </c>
      <c r="H66" s="181">
        <f t="shared" si="0"/>
      </c>
      <c r="I66" s="181">
        <f t="shared" si="1"/>
      </c>
      <c r="J66" s="181">
        <f t="shared" si="2"/>
      </c>
      <c r="K66" s="180">
        <f>SUM(K62:K65)</f>
      </c>
      <c r="L66" s="182">
        <f>SUM(L62:L65)</f>
      </c>
      <c r="M66" s="183"/>
      <c r="N66" s="182">
        <f>SUM(N62:N65)</f>
      </c>
      <c r="O66" s="183"/>
      <c r="P66" s="182">
        <f>SUM(P62:P65)</f>
      </c>
    </row>
    <row hidden="true" r="67">
      <c r="A67" s="171" t="s">
        <v>437</v>
      </c>
      <c r="B67" s="172" t="s">
        <v>398</v>
      </c>
      <c r="C67" s="172" t="s">
        <v>431</v>
      </c>
      <c r="D67" s="172">
        <v>5</v>
      </c>
      <c r="E67" s="172">
        <v>6</v>
      </c>
      <c r="F67" s="172">
        <v>6639</v>
      </c>
      <c r="G67" s="172">
        <v>7034.610000000001</v>
      </c>
      <c r="H67" s="173">
        <f t="shared" si="0"/>
      </c>
      <c r="I67" s="173">
        <f t="shared" si="1"/>
      </c>
      <c r="J67" s="173">
        <f t="shared" si="2"/>
      </c>
      <c r="K67" s="172">
        <v>3</v>
      </c>
      <c r="L67" s="174">
        <v>2157.6</v>
      </c>
      <c r="M67" s="174" t="s">
        <v>400</v>
      </c>
      <c r="N67" s="174">
        <v>10</v>
      </c>
      <c r="O67" s="175" t="s">
        <v>401</v>
      </c>
      <c r="P67" s="174">
        <v>11</v>
      </c>
    </row>
    <row hidden="true" r="68">
      <c r="A68" s="171" t="s">
        <v>437</v>
      </c>
      <c r="B68" s="172" t="s">
        <v>413</v>
      </c>
      <c r="C68" s="172" t="s">
        <v>432</v>
      </c>
      <c r="D68" s="172">
        <v>4</v>
      </c>
      <c r="E68" s="172">
        <v>2</v>
      </c>
      <c r="F68" s="172">
        <v>2023.2000000000007</v>
      </c>
      <c r="G68" s="172">
        <v>5317.8099999999995</v>
      </c>
      <c r="H68" s="173">
        <f t="shared" si="0"/>
      </c>
      <c r="I68" s="173">
        <f t="shared" si="1"/>
      </c>
      <c r="J68" s="173">
        <f t="shared" si="2"/>
      </c>
      <c r="K68" s="172">
        <v>0</v>
      </c>
      <c r="L68" s="174">
        <v>0</v>
      </c>
      <c r="M68" s="174"/>
      <c r="N68" s="174"/>
      <c r="O68" s="175"/>
      <c r="P68" s="175"/>
    </row>
    <row hidden="true" r="69">
      <c r="A69" s="171" t="s">
        <v>437</v>
      </c>
      <c r="B69" s="172" t="s">
        <v>402</v>
      </c>
      <c r="C69" s="172" t="s">
        <v>438</v>
      </c>
      <c r="D69" s="172">
        <v>4</v>
      </c>
      <c r="E69" s="172">
        <v>1</v>
      </c>
      <c r="F69" s="172">
        <v>691.1999999999989</v>
      </c>
      <c r="G69" s="172">
        <v>4325.4</v>
      </c>
      <c r="H69" s="173">
        <f t="shared" si="0"/>
      </c>
      <c r="I69" s="173">
        <f t="shared" si="1"/>
      </c>
      <c r="J69" s="173">
        <f t="shared" si="2"/>
      </c>
      <c r="K69" s="172">
        <v>0</v>
      </c>
      <c r="L69" s="174">
        <v>0</v>
      </c>
      <c r="M69" s="174"/>
      <c r="N69" s="174"/>
      <c r="O69" s="175"/>
      <c r="P69" s="175"/>
    </row>
    <row customHeight="true" hidden="true" ht="16.071428571428573" r="70">
      <c r="A70" s="171" t="s">
        <v>437</v>
      </c>
      <c r="B70" s="172" t="s">
        <v>439</v>
      </c>
      <c r="C70" s="172" t="s">
        <v>440</v>
      </c>
      <c r="D70" s="172">
        <v>2</v>
      </c>
      <c r="E70" s="172">
        <v>8</v>
      </c>
      <c r="F70" s="172">
        <v>14047.199999999999</v>
      </c>
      <c r="G70" s="172">
        <v>3906.4300000000003</v>
      </c>
      <c r="H70" s="173">
        <f t="shared" si="0"/>
      </c>
      <c r="I70" s="173">
        <f t="shared" si="1"/>
      </c>
      <c r="J70" s="173">
        <f t="shared" si="2"/>
      </c>
      <c r="K70" s="172">
        <v>0</v>
      </c>
      <c r="L70" s="174">
        <v>0</v>
      </c>
      <c r="M70" s="174"/>
      <c r="N70" s="174"/>
      <c r="O70" s="175"/>
      <c r="P70" s="175"/>
    </row>
    <row hidden="true" r="71">
      <c r="A71" s="171" t="s">
        <v>437</v>
      </c>
      <c r="B71" s="172" t="s">
        <v>408</v>
      </c>
      <c r="C71" s="172" t="s">
        <v>409</v>
      </c>
      <c r="D71" s="172">
        <v>5</v>
      </c>
      <c r="E71" s="172">
        <v>23</v>
      </c>
      <c r="F71" s="176">
        <v>32110.800000000003</v>
      </c>
      <c r="G71" s="172">
        <v>15922.630000000001</v>
      </c>
      <c r="H71" s="173">
        <f t="shared" si="0"/>
      </c>
      <c r="I71" s="173">
        <f t="shared" si="1"/>
      </c>
      <c r="J71" s="173">
        <f t="shared" si="2"/>
      </c>
      <c r="K71" s="172">
        <v>2</v>
      </c>
      <c r="L71" s="174">
        <v>1406.4</v>
      </c>
      <c r="M71" s="174" t="s">
        <v>410</v>
      </c>
      <c r="N71" s="177">
        <v>10</v>
      </c>
      <c r="O71" s="174" t="s">
        <v>411</v>
      </c>
      <c r="P71" s="174">
        <v>11</v>
      </c>
    </row>
    <row r="72">
      <c r="A72" s="178" t="s">
        <v>437</v>
      </c>
      <c r="B72" s="179"/>
      <c r="C72" s="179"/>
      <c r="D72" s="180">
        <f>SUM(D67:D71)</f>
      </c>
      <c r="E72" s="180">
        <f>SUM(E67:E71)</f>
      </c>
      <c r="F72" s="180">
        <f>SUM(F67:F71)</f>
      </c>
      <c r="G72" s="180">
        <f>SUM(G67:G71)</f>
      </c>
      <c r="H72" s="181">
        <f t="shared" si="0"/>
      </c>
      <c r="I72" s="181">
        <f t="shared" si="1"/>
      </c>
      <c r="J72" s="181">
        <f t="shared" si="2"/>
      </c>
      <c r="K72" s="180">
        <f>SUM(K67:K71)</f>
      </c>
      <c r="L72" s="182">
        <f>SUM(L67:L71)</f>
      </c>
      <c r="M72" s="183"/>
      <c r="N72" s="182">
        <f>SUM(N67:N71)</f>
      </c>
      <c r="O72" s="183"/>
      <c r="P72" s="182">
        <f>SUM(P67:P71)</f>
      </c>
    </row>
    <row hidden="true" r="73">
      <c r="A73" s="171" t="s">
        <v>441</v>
      </c>
      <c r="B73" s="172" t="s">
        <v>404</v>
      </c>
      <c r="C73" s="172" t="s">
        <v>431</v>
      </c>
      <c r="D73" s="172">
        <v>5</v>
      </c>
      <c r="E73" s="172">
        <v>12</v>
      </c>
      <c r="F73" s="172">
        <v>15997.8</v>
      </c>
      <c r="G73" s="172">
        <v>12459.470000000001</v>
      </c>
      <c r="H73" s="173">
        <f t="shared" si="0"/>
      </c>
      <c r="I73" s="173">
        <f t="shared" si="1"/>
      </c>
      <c r="J73" s="173">
        <f t="shared" si="2"/>
      </c>
      <c r="K73" s="172">
        <v>2</v>
      </c>
      <c r="L73" s="174">
        <v>2383.2</v>
      </c>
      <c r="M73" s="174" t="s">
        <v>400</v>
      </c>
      <c r="N73" s="174">
        <v>10</v>
      </c>
      <c r="O73" s="175" t="s">
        <v>401</v>
      </c>
      <c r="P73" s="174">
        <v>11</v>
      </c>
    </row>
    <row hidden="true" r="74">
      <c r="A74" s="171" t="s">
        <v>441</v>
      </c>
      <c r="B74" s="172" t="s">
        <v>413</v>
      </c>
      <c r="C74" s="172" t="s">
        <v>432</v>
      </c>
      <c r="D74" s="172">
        <v>4</v>
      </c>
      <c r="E74" s="172">
        <v>2</v>
      </c>
      <c r="F74" s="172">
        <v>4603.200000000001</v>
      </c>
      <c r="G74" s="172">
        <v>6117.799999999999</v>
      </c>
      <c r="H74" s="173">
        <f t="shared" si="0"/>
      </c>
      <c r="I74" s="173">
        <f t="shared" si="1"/>
      </c>
      <c r="J74" s="173">
        <f t="shared" si="2"/>
      </c>
      <c r="K74" s="172">
        <v>1</v>
      </c>
      <c r="L74" s="174">
        <v>1692</v>
      </c>
      <c r="M74" s="174"/>
      <c r="N74" s="174"/>
      <c r="O74" s="175"/>
      <c r="P74" s="175"/>
    </row>
    <row hidden="true" r="75">
      <c r="A75" s="171" t="s">
        <v>441</v>
      </c>
      <c r="B75" s="172" t="s">
        <v>402</v>
      </c>
      <c r="C75" s="172" t="s">
        <v>438</v>
      </c>
      <c r="D75" s="172">
        <v>4</v>
      </c>
      <c r="E75" s="172">
        <v>6</v>
      </c>
      <c r="F75" s="172">
        <v>7466.4000000000015</v>
      </c>
      <c r="G75" s="172">
        <v>7156.35</v>
      </c>
      <c r="H75" s="173">
        <f t="shared" si="0"/>
      </c>
      <c r="I75" s="173">
        <f t="shared" si="1"/>
      </c>
      <c r="J75" s="173">
        <f t="shared" si="2"/>
      </c>
      <c r="K75" s="172">
        <v>2</v>
      </c>
      <c r="L75" s="174">
        <v>4495.2</v>
      </c>
      <c r="M75" s="174"/>
      <c r="N75" s="174"/>
      <c r="O75" s="175"/>
      <c r="P75" s="175"/>
    </row>
    <row hidden="true" r="76">
      <c r="A76" s="171" t="s">
        <v>441</v>
      </c>
      <c r="B76" s="172" t="s">
        <v>439</v>
      </c>
      <c r="C76" s="172" t="s">
        <v>440</v>
      </c>
      <c r="D76" s="172">
        <v>2</v>
      </c>
      <c r="E76" s="172">
        <v>7</v>
      </c>
      <c r="F76" s="172">
        <v>12736.799999999996</v>
      </c>
      <c r="G76" s="172">
        <v>4121.52</v>
      </c>
      <c r="H76" s="173">
        <f t="shared" si="0"/>
      </c>
      <c r="I76" s="173">
        <f t="shared" si="1"/>
      </c>
      <c r="J76" s="173">
        <f t="shared" si="2"/>
      </c>
      <c r="K76" s="172">
        <v>3</v>
      </c>
      <c r="L76" s="174">
        <v>4644</v>
      </c>
      <c r="M76" s="174"/>
      <c r="N76" s="174"/>
      <c r="O76" s="175"/>
      <c r="P76" s="175"/>
    </row>
    <row hidden="true" r="77">
      <c r="A77" s="171" t="s">
        <v>441</v>
      </c>
      <c r="B77" s="172" t="s">
        <v>398</v>
      </c>
      <c r="C77" s="172" t="s">
        <v>409</v>
      </c>
      <c r="D77" s="172">
        <v>5</v>
      </c>
      <c r="E77" s="172">
        <v>16</v>
      </c>
      <c r="F77" s="176">
        <v>17482.800000000003</v>
      </c>
      <c r="G77" s="172">
        <v>13087.54</v>
      </c>
      <c r="H77" s="173">
        <f t="shared" si="0"/>
      </c>
      <c r="I77" s="173">
        <f t="shared" si="1"/>
      </c>
      <c r="J77" s="173">
        <f t="shared" si="2"/>
      </c>
      <c r="K77" s="172">
        <v>1</v>
      </c>
      <c r="L77" s="174">
        <v>715.2000000000007</v>
      </c>
      <c r="M77" s="174" t="s">
        <v>442</v>
      </c>
      <c r="N77" s="177">
        <v>10</v>
      </c>
      <c r="O77" s="174" t="s">
        <v>411</v>
      </c>
      <c r="P77" s="174">
        <v>11</v>
      </c>
    </row>
    <row r="78">
      <c r="A78" s="178" t="s">
        <v>441</v>
      </c>
      <c r="B78" s="179"/>
      <c r="C78" s="179"/>
      <c r="D78" s="180">
        <f>SUM(D73:D77)</f>
      </c>
      <c r="E78" s="180">
        <f>SUM(E73:E77)</f>
      </c>
      <c r="F78" s="180">
        <f>SUM(F73:F77)</f>
      </c>
      <c r="G78" s="180">
        <f>SUM(G73:G77)</f>
      </c>
      <c r="H78" s="181">
        <f t="shared" si="0"/>
      </c>
      <c r="I78" s="181">
        <f t="shared" si="1"/>
      </c>
      <c r="J78" s="181">
        <f t="shared" si="2"/>
      </c>
      <c r="K78" s="180">
        <f>SUM(K73:K77)</f>
      </c>
      <c r="L78" s="182">
        <f>SUM(L73:L77)</f>
      </c>
      <c r="M78" s="183"/>
      <c r="N78" s="182">
        <f>SUM(N73:N77)</f>
      </c>
      <c r="O78" s="183"/>
      <c r="P78" s="182">
        <f>SUM(P73:P77)</f>
      </c>
    </row>
    <row hidden="true" r="79">
      <c r="A79" s="171" t="s">
        <v>443</v>
      </c>
      <c r="B79" s="172" t="s">
        <v>404</v>
      </c>
      <c r="C79" s="172" t="s">
        <v>444</v>
      </c>
      <c r="D79" s="172">
        <v>5</v>
      </c>
      <c r="E79" s="172">
        <v>26</v>
      </c>
      <c r="F79" s="172">
        <v>29873.4</v>
      </c>
      <c r="G79" s="172">
        <v>28450.41</v>
      </c>
      <c r="H79" s="173">
        <f t="shared" si="0"/>
      </c>
      <c r="I79" s="173">
        <f t="shared" si="1"/>
      </c>
      <c r="J79" s="173">
        <f t="shared" si="2"/>
      </c>
      <c r="K79" s="172">
        <v>8</v>
      </c>
      <c r="L79" s="174">
        <v>9808.8</v>
      </c>
      <c r="M79" s="174" t="s">
        <v>400</v>
      </c>
      <c r="N79" s="174">
        <v>10</v>
      </c>
      <c r="O79" s="175" t="s">
        <v>401</v>
      </c>
      <c r="P79" s="174">
        <v>11</v>
      </c>
    </row>
    <row hidden="true" r="80">
      <c r="A80" s="171" t="s">
        <v>443</v>
      </c>
      <c r="B80" s="172" t="s">
        <v>402</v>
      </c>
      <c r="C80" s="172" t="s">
        <v>445</v>
      </c>
      <c r="D80" s="184">
        <v>2.5</v>
      </c>
      <c r="E80" s="172">
        <v>19</v>
      </c>
      <c r="F80" s="172">
        <v>20593.199999999997</v>
      </c>
      <c r="G80" s="172">
        <v>11622.59</v>
      </c>
      <c r="H80" s="173">
        <f t="shared" si="0"/>
      </c>
      <c r="I80" s="173">
        <f t="shared" si="1"/>
      </c>
      <c r="J80" s="173">
        <f t="shared" si="2"/>
      </c>
      <c r="K80" s="172">
        <v>3</v>
      </c>
      <c r="L80" s="174">
        <v>3417.6000000000004</v>
      </c>
      <c r="M80" s="174"/>
      <c r="N80" s="174"/>
      <c r="O80" s="175"/>
      <c r="P80" s="175"/>
    </row>
    <row hidden="true" r="81">
      <c r="A81" s="171" t="s">
        <v>443</v>
      </c>
      <c r="B81" s="172" t="s">
        <v>413</v>
      </c>
      <c r="C81" s="172" t="s">
        <v>446</v>
      </c>
      <c r="D81" s="172">
        <v>4</v>
      </c>
      <c r="E81" s="172">
        <v>19</v>
      </c>
      <c r="F81" s="172">
        <v>19809.6</v>
      </c>
      <c r="G81" s="172">
        <v>12707.789999999999</v>
      </c>
      <c r="H81" s="173">
        <f t="shared" si="0"/>
      </c>
      <c r="I81" s="173">
        <f t="shared" si="1"/>
      </c>
      <c r="J81" s="173">
        <f t="shared" si="2"/>
      </c>
      <c r="K81" s="172">
        <v>3</v>
      </c>
      <c r="L81" s="174">
        <v>2170.8</v>
      </c>
      <c r="M81" s="174"/>
      <c r="N81" s="174"/>
      <c r="O81" s="175"/>
      <c r="P81" s="175"/>
    </row>
    <row hidden="true" r="82">
      <c r="A82" s="171" t="s">
        <v>443</v>
      </c>
      <c r="B82" s="172" t="s">
        <v>428</v>
      </c>
      <c r="C82" s="172" t="s">
        <v>447</v>
      </c>
      <c r="D82" s="172">
        <v>4</v>
      </c>
      <c r="E82" s="172">
        <v>23</v>
      </c>
      <c r="F82" s="172">
        <v>29882.40000000001</v>
      </c>
      <c r="G82" s="172">
        <v>19284.120000000003</v>
      </c>
      <c r="H82" s="173">
        <f t="shared" si="0"/>
      </c>
      <c r="I82" s="173">
        <f t="shared" si="1"/>
      </c>
      <c r="J82" s="173">
        <f t="shared" si="2"/>
      </c>
      <c r="K82" s="172">
        <v>5</v>
      </c>
      <c r="L82" s="174">
        <v>8172</v>
      </c>
      <c r="M82" s="174"/>
      <c r="N82" s="174"/>
      <c r="O82" s="175"/>
      <c r="P82" s="175"/>
    </row>
    <row hidden="true" r="83">
      <c r="A83" s="171" t="s">
        <v>443</v>
      </c>
      <c r="B83" s="172" t="s">
        <v>398</v>
      </c>
      <c r="C83" s="172" t="s">
        <v>448</v>
      </c>
      <c r="D83" s="172">
        <v>4</v>
      </c>
      <c r="E83" s="172">
        <v>16</v>
      </c>
      <c r="F83" s="176">
        <v>19906.79999999999</v>
      </c>
      <c r="G83" s="172">
        <v>16976.86</v>
      </c>
      <c r="H83" s="173">
        <f t="shared" si="0"/>
      </c>
      <c r="I83" s="173">
        <f t="shared" si="1"/>
      </c>
      <c r="J83" s="173">
        <f t="shared" si="2"/>
      </c>
      <c r="K83" s="172">
        <v>1</v>
      </c>
      <c r="L83" s="174">
        <v>300</v>
      </c>
      <c r="M83" s="174" t="s">
        <v>442</v>
      </c>
      <c r="N83" s="177">
        <v>10</v>
      </c>
      <c r="O83" s="174" t="s">
        <v>411</v>
      </c>
      <c r="P83" s="174">
        <v>11</v>
      </c>
    </row>
    <row r="84">
      <c r="A84" s="178" t="s">
        <v>443</v>
      </c>
      <c r="B84" s="179"/>
      <c r="C84" s="179"/>
      <c r="D84" s="180">
        <f>SUM(D79:D83)</f>
      </c>
      <c r="E84" s="180">
        <f>SUM(E79:E83)</f>
      </c>
      <c r="F84" s="180">
        <f>SUM(F79:F83)</f>
      </c>
      <c r="G84" s="180">
        <f>SUM(G79:G83)</f>
      </c>
      <c r="H84" s="181">
        <f t="shared" si="0"/>
      </c>
      <c r="I84" s="181">
        <f t="shared" si="1"/>
      </c>
      <c r="J84" s="181">
        <f t="shared" si="2"/>
      </c>
      <c r="K84" s="180">
        <f>SUM(K79:K83)</f>
      </c>
      <c r="L84" s="182">
        <f>SUM(L79:L83)</f>
      </c>
      <c r="M84" s="183"/>
      <c r="N84" s="182">
        <f>SUM(N79:N83)</f>
      </c>
      <c r="O84" s="183"/>
      <c r="P84" s="182">
        <f>SUM(P79:P83)</f>
      </c>
    </row>
    <row hidden="true" r="85">
      <c r="A85" s="171" t="s">
        <v>449</v>
      </c>
      <c r="B85" s="172" t="s">
        <v>413</v>
      </c>
      <c r="C85" s="172" t="s">
        <v>444</v>
      </c>
      <c r="D85" s="172">
        <v>5</v>
      </c>
      <c r="E85" s="172">
        <v>15</v>
      </c>
      <c r="F85" s="172">
        <v>21408</v>
      </c>
      <c r="G85" s="172">
        <v>13744.380000000001</v>
      </c>
      <c r="H85" s="173">
        <f t="shared" si="0"/>
      </c>
      <c r="I85" s="173">
        <f t="shared" si="1"/>
      </c>
      <c r="J85" s="173">
        <f t="shared" si="2"/>
      </c>
      <c r="K85" s="172">
        <v>4</v>
      </c>
      <c r="L85" s="174">
        <v>7096.8</v>
      </c>
      <c r="M85" s="174" t="s">
        <v>400</v>
      </c>
      <c r="N85" s="174">
        <v>10</v>
      </c>
      <c r="O85" s="175" t="s">
        <v>401</v>
      </c>
      <c r="P85" s="174">
        <v>11</v>
      </c>
    </row>
    <row hidden="true" r="86">
      <c r="A86" s="171" t="s">
        <v>449</v>
      </c>
      <c r="B86" s="172" t="s">
        <v>428</v>
      </c>
      <c r="C86" s="172" t="s">
        <v>445</v>
      </c>
      <c r="D86" s="172">
        <v>3</v>
      </c>
      <c r="E86" s="172">
        <v>7</v>
      </c>
      <c r="F86" s="172">
        <v>10497.599999999999</v>
      </c>
      <c r="G86" s="172">
        <v>6288.66</v>
      </c>
      <c r="H86" s="173">
        <f t="shared" si="0"/>
      </c>
      <c r="I86" s="173">
        <f t="shared" si="1"/>
      </c>
      <c r="J86" s="173">
        <f t="shared" si="2"/>
      </c>
      <c r="K86" s="172">
        <v>0</v>
      </c>
      <c r="L86" s="174">
        <v>0</v>
      </c>
      <c r="M86" s="174"/>
      <c r="N86" s="174"/>
      <c r="O86" s="175"/>
      <c r="P86" s="175"/>
    </row>
    <row hidden="true" r="87">
      <c r="A87" s="171" t="s">
        <v>449</v>
      </c>
      <c r="B87" s="172" t="s">
        <v>398</v>
      </c>
      <c r="C87" s="172" t="s">
        <v>446</v>
      </c>
      <c r="D87" s="172">
        <v>4</v>
      </c>
      <c r="E87" s="172">
        <v>16</v>
      </c>
      <c r="F87" s="172">
        <v>24716.4</v>
      </c>
      <c r="G87" s="172">
        <v>8716.38</v>
      </c>
      <c r="H87" s="173">
        <f t="shared" si="0"/>
      </c>
      <c r="I87" s="173">
        <f t="shared" si="1"/>
      </c>
      <c r="J87" s="173">
        <f t="shared" si="2"/>
      </c>
      <c r="K87" s="172">
        <v>3</v>
      </c>
      <c r="L87" s="174">
        <v>4862.4</v>
      </c>
      <c r="M87" s="174"/>
      <c r="N87" s="174"/>
      <c r="O87" s="175"/>
      <c r="P87" s="175"/>
    </row>
    <row hidden="true" r="88">
      <c r="A88" s="171" t="s">
        <v>449</v>
      </c>
      <c r="B88" s="172" t="s">
        <v>439</v>
      </c>
      <c r="C88" s="172" t="s">
        <v>450</v>
      </c>
      <c r="D88" s="172">
        <v>3</v>
      </c>
      <c r="E88" s="172">
        <v>2</v>
      </c>
      <c r="F88" s="172">
        <v>1219.199999999997</v>
      </c>
      <c r="G88" s="172">
        <v>8506.75</v>
      </c>
      <c r="H88" s="173">
        <f t="shared" si="0"/>
      </c>
      <c r="I88" s="173">
        <f t="shared" si="1"/>
      </c>
      <c r="J88" s="173">
        <f t="shared" si="2"/>
      </c>
      <c r="K88" s="172">
        <v>1</v>
      </c>
      <c r="L88" s="174">
        <v>444</v>
      </c>
      <c r="M88" s="174"/>
      <c r="N88" s="174"/>
      <c r="O88" s="175"/>
      <c r="P88" s="175"/>
    </row>
    <row hidden="true" r="89">
      <c r="A89" s="171" t="s">
        <v>449</v>
      </c>
      <c r="B89" s="172" t="s">
        <v>408</v>
      </c>
      <c r="C89" s="172" t="s">
        <v>409</v>
      </c>
      <c r="D89" s="172">
        <v>5</v>
      </c>
      <c r="E89" s="172">
        <v>16</v>
      </c>
      <c r="F89" s="176">
        <v>26270.40000000001</v>
      </c>
      <c r="G89" s="172">
        <v>13117.380000000001</v>
      </c>
      <c r="H89" s="173">
        <f t="shared" si="0"/>
      </c>
      <c r="I89" s="173">
        <f t="shared" si="1"/>
      </c>
      <c r="J89" s="173">
        <f t="shared" si="2"/>
      </c>
      <c r="K89" s="172">
        <v>0</v>
      </c>
      <c r="L89" s="174">
        <v>0</v>
      </c>
      <c r="M89" s="174" t="s">
        <v>442</v>
      </c>
      <c r="N89" s="177">
        <v>10</v>
      </c>
      <c r="O89" s="174" t="s">
        <v>411</v>
      </c>
      <c r="P89" s="174">
        <v>11</v>
      </c>
    </row>
    <row r="90">
      <c r="A90" s="178" t="s">
        <v>449</v>
      </c>
      <c r="B90" s="179"/>
      <c r="C90" s="179"/>
      <c r="D90" s="180">
        <f>SUM(D85:D89)</f>
      </c>
      <c r="E90" s="180">
        <f>SUM(E85:E89)</f>
      </c>
      <c r="F90" s="180">
        <f>SUM(F85:F89)</f>
      </c>
      <c r="G90" s="180">
        <f>SUM(G85:G89)</f>
      </c>
      <c r="H90" s="181">
        <f t="shared" si="0"/>
      </c>
      <c r="I90" s="181">
        <f t="shared" si="1"/>
      </c>
      <c r="J90" s="181">
        <f t="shared" si="2"/>
      </c>
      <c r="K90" s="180">
        <f>SUM(K85:K89)</f>
      </c>
      <c r="L90" s="182">
        <f>SUM(L85:L89)</f>
      </c>
      <c r="M90" s="183"/>
      <c r="N90" s="182">
        <f>SUM(N85:N89)</f>
      </c>
      <c r="O90" s="183"/>
      <c r="P90" s="182">
        <f>SUM(P85:P89)</f>
      </c>
    </row>
    <row hidden="true" r="91">
      <c r="A91" s="185" t="s">
        <v>451</v>
      </c>
      <c r="B91" s="174" t="s">
        <v>413</v>
      </c>
      <c r="C91" s="174" t="s">
        <v>444</v>
      </c>
      <c r="D91" s="174">
        <v>5</v>
      </c>
      <c r="E91" s="174">
        <v>14</v>
      </c>
      <c r="F91" s="174">
        <v>24234</v>
      </c>
      <c r="G91" s="174">
        <v>19366.01</v>
      </c>
      <c r="H91" s="186">
        <f t="shared" si="0"/>
      </c>
      <c r="I91" s="186">
        <f t="shared" si="1"/>
      </c>
      <c r="J91" s="186">
        <f t="shared" si="2"/>
      </c>
      <c r="K91" s="174">
        <v>2</v>
      </c>
      <c r="L91" s="174">
        <v>4418.4</v>
      </c>
      <c r="M91" s="174" t="s">
        <v>400</v>
      </c>
      <c r="N91" s="174">
        <v>10</v>
      </c>
      <c r="O91" s="175" t="s">
        <v>401</v>
      </c>
      <c r="P91" s="174">
        <v>11</v>
      </c>
    </row>
    <row hidden="true" r="92">
      <c r="A92" s="185" t="s">
        <v>451</v>
      </c>
      <c r="B92" s="174" t="s">
        <v>428</v>
      </c>
      <c r="C92" s="174" t="s">
        <v>445</v>
      </c>
      <c r="D92" s="174">
        <v>3</v>
      </c>
      <c r="E92" s="174">
        <v>21</v>
      </c>
      <c r="F92" s="174">
        <v>25452</v>
      </c>
      <c r="G92" s="174">
        <v>10921.9</v>
      </c>
      <c r="H92" s="186">
        <f t="shared" si="0"/>
      </c>
      <c r="I92" s="186">
        <f t="shared" si="1"/>
      </c>
      <c r="J92" s="186">
        <f t="shared" si="2"/>
      </c>
      <c r="K92" s="174">
        <v>3</v>
      </c>
      <c r="L92" s="174">
        <v>5637.6</v>
      </c>
      <c r="M92" s="174"/>
      <c r="N92" s="174"/>
      <c r="O92" s="175"/>
      <c r="P92" s="175"/>
    </row>
    <row hidden="true" r="93">
      <c r="A93" s="185" t="s">
        <v>451</v>
      </c>
      <c r="B93" s="174" t="s">
        <v>398</v>
      </c>
      <c r="C93" s="174" t="s">
        <v>446</v>
      </c>
      <c r="D93" s="174">
        <v>4</v>
      </c>
      <c r="E93" s="174">
        <v>12</v>
      </c>
      <c r="F93" s="174">
        <v>18352.800000000003</v>
      </c>
      <c r="G93" s="174">
        <v>13995.29</v>
      </c>
      <c r="H93" s="186">
        <f t="shared" si="0"/>
      </c>
      <c r="I93" s="186">
        <f t="shared" si="1"/>
      </c>
      <c r="J93" s="186">
        <f t="shared" si="2"/>
      </c>
      <c r="K93" s="174">
        <v>0</v>
      </c>
      <c r="L93" s="174">
        <v>0</v>
      </c>
      <c r="M93" s="174"/>
      <c r="N93" s="174"/>
      <c r="O93" s="175"/>
      <c r="P93" s="175"/>
    </row>
    <row hidden="true" r="94">
      <c r="A94" s="185" t="s">
        <v>451</v>
      </c>
      <c r="B94" s="174" t="s">
        <v>439</v>
      </c>
      <c r="C94" s="174" t="s">
        <v>450</v>
      </c>
      <c r="D94" s="174">
        <v>3</v>
      </c>
      <c r="E94" s="174">
        <v>6</v>
      </c>
      <c r="F94" s="174">
        <v>7164</v>
      </c>
      <c r="G94" s="174">
        <v>7453.67</v>
      </c>
      <c r="H94" s="186">
        <f t="shared" si="0"/>
      </c>
      <c r="I94" s="186">
        <f t="shared" si="1"/>
      </c>
      <c r="J94" s="186">
        <f t="shared" si="2"/>
      </c>
      <c r="K94" s="174">
        <v>1</v>
      </c>
      <c r="L94" s="174">
        <v>2011.2</v>
      </c>
      <c r="M94" s="174"/>
      <c r="N94" s="174"/>
      <c r="O94" s="175"/>
      <c r="P94" s="175"/>
    </row>
    <row hidden="true" r="95">
      <c r="A95" s="185" t="s">
        <v>451</v>
      </c>
      <c r="B95" s="174" t="s">
        <v>408</v>
      </c>
      <c r="C95" s="174" t="s">
        <v>409</v>
      </c>
      <c r="D95" s="174">
        <v>5</v>
      </c>
      <c r="E95" s="174">
        <v>28</v>
      </c>
      <c r="F95" s="187">
        <v>35583.59999999999</v>
      </c>
      <c r="G95" s="174">
        <v>27017.199999999997</v>
      </c>
      <c r="H95" s="186">
        <f t="shared" si="0"/>
      </c>
      <c r="I95" s="186">
        <f t="shared" si="1"/>
      </c>
      <c r="J95" s="186">
        <f t="shared" si="2"/>
      </c>
      <c r="K95" s="174">
        <v>5</v>
      </c>
      <c r="L95" s="174">
        <v>2512.8</v>
      </c>
      <c r="M95" s="174" t="s">
        <v>442</v>
      </c>
      <c r="N95" s="177">
        <v>10</v>
      </c>
      <c r="O95" s="174" t="s">
        <v>411</v>
      </c>
      <c r="P95" s="174">
        <v>11</v>
      </c>
    </row>
    <row r="96">
      <c r="A96" s="188" t="s">
        <v>451</v>
      </c>
      <c r="B96" s="189"/>
      <c r="C96" s="189"/>
      <c r="D96" s="182">
        <f>SUM(D91:D95)</f>
      </c>
      <c r="E96" s="182">
        <f>SUM(E91:E95)</f>
      </c>
      <c r="F96" s="182">
        <f>SUM(F91:F95)</f>
      </c>
      <c r="G96" s="182">
        <f>SUM(G91:G95)</f>
      </c>
      <c r="H96" s="190">
        <f t="shared" si="0"/>
      </c>
      <c r="I96" s="190">
        <f t="shared" si="1"/>
      </c>
      <c r="J96" s="190">
        <f t="shared" si="2"/>
      </c>
      <c r="K96" s="182">
        <f>SUM(K91:K95)</f>
      </c>
      <c r="L96" s="182">
        <f>SUM(L91:L95)</f>
      </c>
      <c r="M96" s="183"/>
      <c r="N96" s="182">
        <f>SUM(N91:N95)</f>
      </c>
      <c r="O96" s="183"/>
      <c r="P96" s="182">
        <f>SUM(P91:P95)</f>
      </c>
    </row>
    <row hidden="true" r="97">
      <c r="A97" s="185" t="s">
        <v>452</v>
      </c>
      <c r="B97" s="174" t="s">
        <v>398</v>
      </c>
      <c r="C97" s="174" t="s">
        <v>453</v>
      </c>
      <c r="D97" s="174">
        <v>4</v>
      </c>
      <c r="E97" s="174">
        <v>9</v>
      </c>
      <c r="F97" s="174">
        <v>9904.8</v>
      </c>
      <c r="G97" s="174">
        <v>10956.89</v>
      </c>
      <c r="H97" s="186">
        <f t="shared" si="0"/>
      </c>
      <c r="I97" s="186">
        <f t="shared" si="1"/>
      </c>
      <c r="J97" s="186">
        <f t="shared" si="2"/>
      </c>
      <c r="K97" s="174">
        <v>1</v>
      </c>
      <c r="L97" s="174">
        <v>396</v>
      </c>
      <c r="M97" s="174" t="s">
        <v>400</v>
      </c>
      <c r="N97" s="174">
        <v>10</v>
      </c>
      <c r="O97" s="175" t="s">
        <v>401</v>
      </c>
      <c r="P97" s="174">
        <v>11</v>
      </c>
    </row>
    <row hidden="true" r="98">
      <c r="A98" s="185" t="s">
        <v>452</v>
      </c>
      <c r="B98" s="174" t="s">
        <v>408</v>
      </c>
      <c r="C98" s="174" t="s">
        <v>454</v>
      </c>
      <c r="D98" s="174">
        <v>4</v>
      </c>
      <c r="E98" s="174">
        <v>20</v>
      </c>
      <c r="F98" s="174">
        <v>24961.2</v>
      </c>
      <c r="G98" s="174">
        <v>14706.48</v>
      </c>
      <c r="H98" s="186">
        <f t="shared" si="0"/>
      </c>
      <c r="I98" s="186">
        <f t="shared" si="1"/>
      </c>
      <c r="J98" s="186">
        <f t="shared" si="2"/>
      </c>
      <c r="K98" s="174">
        <v>8</v>
      </c>
      <c r="L98" s="174">
        <v>8182.800000000001</v>
      </c>
      <c r="M98" s="174"/>
      <c r="N98" s="174"/>
      <c r="O98" s="175"/>
      <c r="P98" s="175"/>
    </row>
    <row hidden="true" r="99">
      <c r="A99" s="185" t="s">
        <v>452</v>
      </c>
      <c r="B99" s="174" t="s">
        <v>439</v>
      </c>
      <c r="C99" s="174" t="s">
        <v>446</v>
      </c>
      <c r="D99" s="174">
        <v>4</v>
      </c>
      <c r="E99" s="174">
        <v>13</v>
      </c>
      <c r="F99" s="174">
        <v>14501.999999999993</v>
      </c>
      <c r="G99" s="174">
        <v>19986.69</v>
      </c>
      <c r="H99" s="186">
        <f t="shared" si="0"/>
      </c>
      <c r="I99" s="186">
        <f t="shared" si="1"/>
      </c>
      <c r="J99" s="186">
        <f t="shared" si="2"/>
      </c>
      <c r="K99" s="174">
        <v>1</v>
      </c>
      <c r="L99" s="174">
        <v>2802</v>
      </c>
      <c r="M99" s="174"/>
      <c r="N99" s="174"/>
      <c r="O99" s="175"/>
      <c r="P99" s="175"/>
    </row>
    <row hidden="true" r="100">
      <c r="A100" s="185" t="s">
        <v>452</v>
      </c>
      <c r="B100" s="174" t="s">
        <v>428</v>
      </c>
      <c r="C100" s="174" t="s">
        <v>447</v>
      </c>
      <c r="D100" s="174">
        <v>4</v>
      </c>
      <c r="E100" s="174">
        <v>12</v>
      </c>
      <c r="F100" s="174">
        <v>15889.919999999998</v>
      </c>
      <c r="G100" s="174">
        <v>8767.539999999999</v>
      </c>
      <c r="H100" s="186">
        <f t="shared" si="0"/>
      </c>
      <c r="I100" s="186">
        <f t="shared" si="1"/>
      </c>
      <c r="J100" s="186">
        <f t="shared" si="2"/>
      </c>
      <c r="K100" s="174">
        <v>4</v>
      </c>
      <c r="L100" s="174">
        <v>5092.799999999999</v>
      </c>
      <c r="M100" s="174"/>
      <c r="N100" s="174"/>
      <c r="O100" s="175"/>
      <c r="P100" s="175"/>
    </row>
    <row hidden="true" r="101">
      <c r="A101" s="185" t="s">
        <v>452</v>
      </c>
      <c r="B101" s="174" t="s">
        <v>413</v>
      </c>
      <c r="C101" s="174" t="s">
        <v>448</v>
      </c>
      <c r="D101" s="174">
        <v>4</v>
      </c>
      <c r="E101" s="174">
        <v>15</v>
      </c>
      <c r="F101" s="187">
        <v>18932.600000000006</v>
      </c>
      <c r="G101" s="174">
        <v>13250.859999999999</v>
      </c>
      <c r="H101" s="186">
        <f t="shared" si="0"/>
      </c>
      <c r="I101" s="186">
        <f t="shared" si="1"/>
      </c>
      <c r="J101" s="186">
        <f t="shared" si="2"/>
      </c>
      <c r="K101" s="174">
        <v>1</v>
      </c>
      <c r="L101" s="174">
        <v>1663.2000000000007</v>
      </c>
      <c r="M101" s="174" t="s">
        <v>442</v>
      </c>
      <c r="N101" s="177">
        <v>10</v>
      </c>
      <c r="O101" s="174" t="s">
        <v>411</v>
      </c>
      <c r="P101" s="174">
        <v>11</v>
      </c>
    </row>
    <row r="102">
      <c r="A102" s="188" t="s">
        <v>452</v>
      </c>
      <c r="B102" s="189"/>
      <c r="C102" s="189"/>
      <c r="D102" s="182">
        <f>SUM(D97:D101)</f>
      </c>
      <c r="E102" s="182">
        <f>SUM(E97:E101)</f>
      </c>
      <c r="F102" s="182">
        <f>SUM(F97:F101)</f>
      </c>
      <c r="G102" s="182">
        <f>SUM(G97:G101)</f>
      </c>
      <c r="H102" s="190">
        <f t="shared" si="0"/>
      </c>
      <c r="I102" s="190">
        <f t="shared" si="1"/>
      </c>
      <c r="J102" s="190">
        <f t="shared" si="2"/>
      </c>
      <c r="K102" s="182">
        <f>SUM(K97:K101)</f>
      </c>
      <c r="L102" s="182">
        <f>SUM(L97:L101)</f>
      </c>
      <c r="M102" s="183"/>
      <c r="N102" s="182">
        <f>SUM(N97:N101)</f>
      </c>
      <c r="O102" s="183"/>
      <c r="P102" s="182">
        <f>SUM(P97:P101)</f>
      </c>
    </row>
    <row hidden="true" r="103">
      <c r="A103" s="185" t="s">
        <v>455</v>
      </c>
      <c r="B103" s="174" t="s">
        <v>398</v>
      </c>
      <c r="C103" s="174" t="s">
        <v>453</v>
      </c>
      <c r="D103" s="174">
        <v>4</v>
      </c>
      <c r="E103" s="174">
        <v>6</v>
      </c>
      <c r="F103" s="174">
        <v>8724</v>
      </c>
      <c r="G103" s="174">
        <v>9968.419999999998</v>
      </c>
      <c r="H103" s="186">
        <f t="shared" si="0"/>
      </c>
      <c r="I103" s="186">
        <f t="shared" si="1"/>
      </c>
      <c r="J103" s="186">
        <f t="shared" si="2"/>
      </c>
      <c r="K103" s="174">
        <v>1</v>
      </c>
      <c r="L103" s="174">
        <v>396</v>
      </c>
      <c r="M103" s="174" t="s">
        <v>400</v>
      </c>
      <c r="N103" s="174">
        <v>10</v>
      </c>
      <c r="O103" s="175" t="s">
        <v>401</v>
      </c>
      <c r="P103" s="174">
        <v>11</v>
      </c>
    </row>
    <row hidden="true" r="104">
      <c r="A104" s="185" t="s">
        <v>455</v>
      </c>
      <c r="B104" s="174" t="s">
        <v>439</v>
      </c>
      <c r="C104" s="174" t="s">
        <v>454</v>
      </c>
      <c r="D104" s="174">
        <v>4</v>
      </c>
      <c r="E104" s="174">
        <v>15</v>
      </c>
      <c r="F104" s="174">
        <v>19045.2</v>
      </c>
      <c r="G104" s="174">
        <v>12720.06</v>
      </c>
      <c r="H104" s="186">
        <f t="shared" si="0"/>
      </c>
      <c r="I104" s="186">
        <f t="shared" si="1"/>
      </c>
      <c r="J104" s="186">
        <f t="shared" si="2"/>
      </c>
      <c r="K104" s="174">
        <v>5</v>
      </c>
      <c r="L104" s="174">
        <v>4765.2</v>
      </c>
      <c r="M104" s="174"/>
      <c r="N104" s="174"/>
      <c r="O104" s="175"/>
      <c r="P104" s="175"/>
    </row>
    <row hidden="true" r="105">
      <c r="A105" s="185" t="s">
        <v>455</v>
      </c>
      <c r="B105" s="174" t="s">
        <v>408</v>
      </c>
      <c r="C105" s="174" t="s">
        <v>446</v>
      </c>
      <c r="D105" s="174">
        <v>4</v>
      </c>
      <c r="E105" s="174">
        <v>16</v>
      </c>
      <c r="F105" s="174">
        <v>21821.999999999996</v>
      </c>
      <c r="G105" s="174">
        <v>12217.27</v>
      </c>
      <c r="H105" s="186">
        <f t="shared" si="0"/>
      </c>
      <c r="I105" s="186">
        <f t="shared" si="1"/>
      </c>
      <c r="J105" s="186">
        <f t="shared" si="2"/>
      </c>
      <c r="K105" s="174">
        <v>6</v>
      </c>
      <c r="L105" s="174">
        <v>7120.799999999999</v>
      </c>
      <c r="M105" s="174"/>
      <c r="N105" s="174"/>
      <c r="O105" s="175"/>
      <c r="P105" s="175"/>
    </row>
    <row hidden="true" r="106">
      <c r="A106" s="185" t="s">
        <v>455</v>
      </c>
      <c r="B106" s="174" t="s">
        <v>428</v>
      </c>
      <c r="C106" s="174" t="s">
        <v>447</v>
      </c>
      <c r="D106" s="174">
        <v>4</v>
      </c>
      <c r="E106" s="174">
        <v>11</v>
      </c>
      <c r="F106" s="174">
        <v>15991.199999999997</v>
      </c>
      <c r="G106" s="174">
        <v>15793.350000000002</v>
      </c>
      <c r="H106" s="186">
        <f t="shared" si="0"/>
      </c>
      <c r="I106" s="186">
        <f t="shared" si="1"/>
      </c>
      <c r="J106" s="186">
        <f t="shared" si="2"/>
      </c>
      <c r="K106" s="174">
        <v>2</v>
      </c>
      <c r="L106" s="174">
        <v>4176</v>
      </c>
      <c r="M106" s="174"/>
      <c r="N106" s="174"/>
      <c r="O106" s="175"/>
      <c r="P106" s="175"/>
    </row>
    <row hidden="true" r="107">
      <c r="A107" s="185" t="s">
        <v>455</v>
      </c>
      <c r="B107" s="174" t="s">
        <v>413</v>
      </c>
      <c r="C107" s="174" t="s">
        <v>448</v>
      </c>
      <c r="D107" s="174">
        <v>4</v>
      </c>
      <c r="E107" s="174">
        <v>21</v>
      </c>
      <c r="F107" s="187">
        <v>27775.20000000001</v>
      </c>
      <c r="G107" s="174">
        <v>13789.369999999999</v>
      </c>
      <c r="H107" s="186">
        <f t="shared" si="0"/>
      </c>
      <c r="I107" s="186">
        <f t="shared" si="1"/>
      </c>
      <c r="J107" s="186">
        <f t="shared" si="2"/>
      </c>
      <c r="K107" s="174">
        <v>4</v>
      </c>
      <c r="L107" s="174">
        <v>5547.6</v>
      </c>
      <c r="M107" s="174" t="s">
        <v>442</v>
      </c>
      <c r="N107" s="177">
        <v>10</v>
      </c>
      <c r="O107" s="174" t="s">
        <v>411</v>
      </c>
      <c r="P107" s="174">
        <v>11</v>
      </c>
    </row>
    <row r="108">
      <c r="A108" s="188" t="s">
        <v>455</v>
      </c>
      <c r="B108" s="189"/>
      <c r="C108" s="189"/>
      <c r="D108" s="182">
        <f>SUM(D103:D107)</f>
      </c>
      <c r="E108" s="182">
        <f>SUM(E103:E107)</f>
      </c>
      <c r="F108" s="182">
        <f>SUM(F103:F107)</f>
      </c>
      <c r="G108" s="182">
        <f>SUM(G103:G107)</f>
      </c>
      <c r="H108" s="190">
        <f t="shared" si="0"/>
      </c>
      <c r="I108" s="190">
        <f t="shared" si="1"/>
      </c>
      <c r="J108" s="190">
        <f t="shared" si="2"/>
      </c>
      <c r="K108" s="182">
        <f>SUM(K103:K107)</f>
      </c>
      <c r="L108" s="182">
        <f>SUM(L103:L107)</f>
      </c>
      <c r="M108" s="183"/>
      <c r="N108" s="182">
        <f>SUM(N103:N107)</f>
      </c>
      <c r="O108" s="183"/>
      <c r="P108" s="182">
        <f>SUM(P103:P107)</f>
      </c>
    </row>
    <row hidden="true" r="109">
      <c r="A109" s="185" t="s">
        <v>456</v>
      </c>
      <c r="B109" s="174" t="s">
        <v>408</v>
      </c>
      <c r="C109" s="174" t="s">
        <v>453</v>
      </c>
      <c r="D109" s="174">
        <v>4</v>
      </c>
      <c r="E109" s="174">
        <v>39</v>
      </c>
      <c r="F109" s="174">
        <v>53193</v>
      </c>
      <c r="G109" s="174">
        <v>31379.65</v>
      </c>
      <c r="H109" s="186">
        <f t="shared" si="0"/>
      </c>
      <c r="I109" s="186">
        <f t="shared" si="1"/>
      </c>
      <c r="J109" s="186">
        <f t="shared" si="2"/>
      </c>
      <c r="K109" s="174">
        <v>9</v>
      </c>
      <c r="L109" s="174">
        <v>12069.600000000002</v>
      </c>
      <c r="M109" s="174" t="s">
        <v>400</v>
      </c>
      <c r="N109" s="174">
        <v>10</v>
      </c>
      <c r="O109" s="175" t="s">
        <v>401</v>
      </c>
      <c r="P109" s="174">
        <v>11</v>
      </c>
    </row>
    <row hidden="true" r="110">
      <c r="A110" s="185" t="s">
        <v>456</v>
      </c>
      <c r="B110" s="174" t="s">
        <v>439</v>
      </c>
      <c r="C110" s="174" t="s">
        <v>454</v>
      </c>
      <c r="D110" s="174">
        <v>4</v>
      </c>
      <c r="E110" s="174">
        <v>34</v>
      </c>
      <c r="F110" s="174">
        <v>42057.8</v>
      </c>
      <c r="G110" s="174">
        <v>34128.1</v>
      </c>
      <c r="H110" s="186">
        <f t="shared" si="0"/>
      </c>
      <c r="I110" s="186">
        <f t="shared" si="1"/>
      </c>
      <c r="J110" s="186">
        <f t="shared" si="2"/>
      </c>
      <c r="K110" s="174">
        <v>9</v>
      </c>
      <c r="L110" s="174">
        <v>7089.6</v>
      </c>
      <c r="M110" s="174"/>
      <c r="N110" s="174"/>
      <c r="O110" s="175"/>
      <c r="P110" s="175"/>
    </row>
    <row hidden="true" r="111">
      <c r="A111" s="185" t="s">
        <v>456</v>
      </c>
      <c r="B111" s="174" t="s">
        <v>428</v>
      </c>
      <c r="C111" s="174" t="s">
        <v>446</v>
      </c>
      <c r="D111" s="174">
        <v>4</v>
      </c>
      <c r="E111" s="174">
        <v>14</v>
      </c>
      <c r="F111" s="174">
        <v>19014</v>
      </c>
      <c r="G111" s="174">
        <v>24205.14</v>
      </c>
      <c r="H111" s="186">
        <f t="shared" si="0"/>
      </c>
      <c r="I111" s="186">
        <f t="shared" si="1"/>
      </c>
      <c r="J111" s="186">
        <f t="shared" si="2"/>
      </c>
      <c r="K111" s="174">
        <v>3</v>
      </c>
      <c r="L111" s="174">
        <v>5337.6</v>
      </c>
      <c r="M111" s="174"/>
      <c r="N111" s="174"/>
      <c r="O111" s="175"/>
      <c r="P111" s="175"/>
    </row>
    <row hidden="true" r="112">
      <c r="A112" s="185" t="s">
        <v>456</v>
      </c>
      <c r="B112" s="174" t="s">
        <v>413</v>
      </c>
      <c r="C112" s="174" t="s">
        <v>447</v>
      </c>
      <c r="D112" s="174">
        <v>4</v>
      </c>
      <c r="E112" s="174">
        <v>23</v>
      </c>
      <c r="F112" s="174">
        <v>35297.999999999985</v>
      </c>
      <c r="G112" s="174">
        <v>21959.03</v>
      </c>
      <c r="H112" s="186">
        <f t="shared" si="0"/>
      </c>
      <c r="I112" s="186">
        <f t="shared" si="1"/>
      </c>
      <c r="J112" s="186">
        <f t="shared" si="2"/>
      </c>
      <c r="K112" s="174">
        <v>7</v>
      </c>
      <c r="L112" s="174">
        <v>7905.6</v>
      </c>
      <c r="M112" s="174"/>
      <c r="N112" s="174"/>
      <c r="O112" s="175"/>
      <c r="P112" s="175"/>
    </row>
    <row hidden="true" r="113">
      <c r="A113" s="185" t="s">
        <v>456</v>
      </c>
      <c r="B113" s="174" t="s">
        <v>398</v>
      </c>
      <c r="C113" s="174" t="s">
        <v>448</v>
      </c>
      <c r="D113" s="174">
        <v>4</v>
      </c>
      <c r="E113" s="174">
        <v>17</v>
      </c>
      <c r="F113" s="187">
        <v>31684.800000000017</v>
      </c>
      <c r="G113" s="174">
        <v>20773.62</v>
      </c>
      <c r="H113" s="186">
        <f t="shared" si="0"/>
      </c>
      <c r="I113" s="186">
        <f t="shared" si="1"/>
      </c>
      <c r="J113" s="186">
        <f t="shared" si="2"/>
      </c>
      <c r="K113" s="174">
        <v>2</v>
      </c>
      <c r="L113" s="174">
        <v>2378.4</v>
      </c>
      <c r="M113" s="174" t="s">
        <v>442</v>
      </c>
      <c r="N113" s="177">
        <v>10</v>
      </c>
      <c r="O113" s="174" t="s">
        <v>411</v>
      </c>
      <c r="P113" s="174">
        <v>11</v>
      </c>
    </row>
    <row r="114">
      <c r="A114" s="188" t="s">
        <v>456</v>
      </c>
      <c r="B114" s="189"/>
      <c r="C114" s="189"/>
      <c r="D114" s="182">
        <f>SUM(D109:D113)</f>
      </c>
      <c r="E114" s="182">
        <f>SUM(E109:E113)</f>
      </c>
      <c r="F114" s="182">
        <f>SUM(F109:F113)</f>
      </c>
      <c r="G114" s="182">
        <f>SUM(G109:G113)</f>
      </c>
      <c r="H114" s="190">
        <f t="shared" si="0"/>
      </c>
      <c r="I114" s="190">
        <f t="shared" si="1"/>
      </c>
      <c r="J114" s="190">
        <f t="shared" si="2"/>
      </c>
      <c r="K114" s="182">
        <f>SUM(K109:K113)</f>
      </c>
      <c r="L114" s="182">
        <f>SUM(L109:L113)</f>
      </c>
      <c r="M114" s="183"/>
      <c r="N114" s="182">
        <f>SUM(N109:N113)</f>
      </c>
      <c r="O114" s="183"/>
      <c r="P114" s="182">
        <f>SUM(P109:P113)</f>
      </c>
    </row>
    <row hidden="true" r="115">
      <c r="A115" s="185" t="s">
        <v>457</v>
      </c>
      <c r="B115" s="174" t="s">
        <v>408</v>
      </c>
      <c r="C115" s="174" t="s">
        <v>444</v>
      </c>
      <c r="D115" s="174">
        <v>5</v>
      </c>
      <c r="E115" s="174">
        <v>17</v>
      </c>
      <c r="F115" s="174">
        <v>19168.8</v>
      </c>
      <c r="G115" s="174">
        <v>15285.079999999998</v>
      </c>
      <c r="H115" s="186">
        <f t="shared" si="0"/>
      </c>
      <c r="I115" s="186">
        <f t="shared" si="1"/>
      </c>
      <c r="J115" s="186">
        <f t="shared" si="2"/>
      </c>
      <c r="K115" s="174">
        <v>2</v>
      </c>
      <c r="L115" s="174">
        <v>1039.2</v>
      </c>
      <c r="M115" s="174" t="s">
        <v>400</v>
      </c>
      <c r="N115" s="174">
        <v>3</v>
      </c>
      <c r="O115" s="175" t="s">
        <v>401</v>
      </c>
      <c r="P115" s="174">
        <v>11</v>
      </c>
    </row>
    <row hidden="true" r="116">
      <c r="A116" s="185" t="s">
        <v>457</v>
      </c>
      <c r="B116" s="174" t="s">
        <v>439</v>
      </c>
      <c r="C116" s="174" t="s">
        <v>445</v>
      </c>
      <c r="D116" s="174">
        <v>3</v>
      </c>
      <c r="E116" s="174">
        <v>11</v>
      </c>
      <c r="F116" s="174">
        <v>11116.8</v>
      </c>
      <c r="G116" s="174">
        <v>16670.19</v>
      </c>
      <c r="H116" s="186">
        <f t="shared" si="0"/>
      </c>
      <c r="I116" s="186">
        <f t="shared" si="1"/>
      </c>
      <c r="J116" s="186">
        <f t="shared" si="2"/>
      </c>
      <c r="K116" s="174">
        <v>1</v>
      </c>
      <c r="L116" s="174">
        <v>396</v>
      </c>
      <c r="M116" s="174"/>
      <c r="N116" s="174"/>
      <c r="O116" s="175"/>
      <c r="P116" s="175"/>
    </row>
    <row hidden="true" r="117">
      <c r="A117" s="185" t="s">
        <v>457</v>
      </c>
      <c r="B117" s="174" t="s">
        <v>428</v>
      </c>
      <c r="C117" s="174" t="s">
        <v>446</v>
      </c>
      <c r="D117" s="174">
        <v>4</v>
      </c>
      <c r="E117" s="174">
        <v>22</v>
      </c>
      <c r="F117" s="174">
        <v>31548.59999999999</v>
      </c>
      <c r="G117" s="174">
        <v>19927.95</v>
      </c>
      <c r="H117" s="186">
        <f t="shared" si="0"/>
      </c>
      <c r="I117" s="186">
        <f t="shared" si="1"/>
      </c>
      <c r="J117" s="186">
        <f t="shared" si="2"/>
      </c>
      <c r="K117" s="174">
        <v>9</v>
      </c>
      <c r="L117" s="174">
        <v>12622.8</v>
      </c>
      <c r="M117" s="174" t="s">
        <v>458</v>
      </c>
      <c r="N117" s="174">
        <v>7</v>
      </c>
      <c r="O117" s="175"/>
      <c r="P117" s="175"/>
    </row>
    <row hidden="true" r="118">
      <c r="A118" s="185" t="s">
        <v>457</v>
      </c>
      <c r="B118" s="174" t="s">
        <v>413</v>
      </c>
      <c r="C118" s="174" t="s">
        <v>450</v>
      </c>
      <c r="D118" s="174">
        <v>3</v>
      </c>
      <c r="E118" s="174">
        <v>6</v>
      </c>
      <c r="F118" s="174">
        <v>6408.600000000006</v>
      </c>
      <c r="G118" s="174">
        <v>10570.26</v>
      </c>
      <c r="H118" s="186">
        <f t="shared" si="0"/>
      </c>
      <c r="I118" s="186">
        <f t="shared" si="1"/>
      </c>
      <c r="J118" s="186">
        <f t="shared" si="2"/>
      </c>
      <c r="K118" s="174">
        <v>2</v>
      </c>
      <c r="L118" s="174">
        <v>2863.2000000000007</v>
      </c>
      <c r="M118" s="174"/>
      <c r="N118" s="174"/>
      <c r="O118" s="175"/>
      <c r="P118" s="175"/>
    </row>
    <row hidden="true" r="119">
      <c r="A119" s="185" t="s">
        <v>457</v>
      </c>
      <c r="B119" s="174" t="s">
        <v>398</v>
      </c>
      <c r="C119" s="174" t="s">
        <v>409</v>
      </c>
      <c r="D119" s="174">
        <v>5</v>
      </c>
      <c r="E119" s="174">
        <v>15</v>
      </c>
      <c r="F119" s="187">
        <v>21223.199999999997</v>
      </c>
      <c r="G119" s="174">
        <v>11405.61</v>
      </c>
      <c r="H119" s="186">
        <f t="shared" si="0"/>
      </c>
      <c r="I119" s="186">
        <f t="shared" si="1"/>
      </c>
      <c r="J119" s="186">
        <f t="shared" si="2"/>
      </c>
      <c r="K119" s="174">
        <v>1</v>
      </c>
      <c r="L119" s="174">
        <v>621.5999999999985</v>
      </c>
      <c r="M119" s="174" t="s">
        <v>459</v>
      </c>
      <c r="N119" s="177">
        <v>10</v>
      </c>
      <c r="O119" s="174" t="s">
        <v>411</v>
      </c>
      <c r="P119" s="174">
        <v>11</v>
      </c>
    </row>
    <row r="120">
      <c r="A120" s="188" t="s">
        <v>457</v>
      </c>
      <c r="B120" s="189"/>
      <c r="C120" s="189"/>
      <c r="D120" s="182">
        <f>SUM(D115:D119)</f>
      </c>
      <c r="E120" s="182">
        <f>SUM(E115:E119)</f>
      </c>
      <c r="F120" s="182">
        <f>SUM(F115:F119)</f>
      </c>
      <c r="G120" s="182">
        <f>SUM(G115:G119)</f>
      </c>
      <c r="H120" s="190">
        <f t="shared" si="0"/>
      </c>
      <c r="I120" s="190">
        <f t="shared" si="1"/>
      </c>
      <c r="J120" s="190">
        <f t="shared" si="2"/>
      </c>
      <c r="K120" s="182">
        <f>SUM(K115:K119)</f>
      </c>
      <c r="L120" s="182">
        <f>SUM(L115:L119)</f>
      </c>
      <c r="M120" s="183"/>
      <c r="N120" s="182">
        <f>SUM(N115:N119)</f>
      </c>
      <c r="O120" s="183"/>
      <c r="P120" s="182">
        <f>SUM(P115:P119)</f>
      </c>
    </row>
    <row hidden="true" r="121">
      <c r="A121" s="185" t="s">
        <v>460</v>
      </c>
      <c r="B121" s="174" t="s">
        <v>428</v>
      </c>
      <c r="C121" s="174" t="s">
        <v>453</v>
      </c>
      <c r="D121" s="174">
        <v>4</v>
      </c>
      <c r="E121" s="174">
        <v>19</v>
      </c>
      <c r="F121" s="174">
        <v>25633</v>
      </c>
      <c r="G121" s="174">
        <v>16455.21</v>
      </c>
      <c r="H121" s="186">
        <f t="shared" si="0"/>
      </c>
      <c r="I121" s="186">
        <f t="shared" si="1"/>
      </c>
      <c r="J121" s="186">
        <f t="shared" si="2"/>
      </c>
      <c r="K121" s="174">
        <v>5</v>
      </c>
      <c r="L121" s="174">
        <v>6092.400000000001</v>
      </c>
      <c r="M121" s="174" t="s">
        <v>400</v>
      </c>
      <c r="N121" s="174">
        <v>10</v>
      </c>
      <c r="O121" s="175" t="s">
        <v>401</v>
      </c>
      <c r="P121" s="174">
        <v>10</v>
      </c>
    </row>
    <row hidden="true" r="122">
      <c r="A122" s="185" t="s">
        <v>460</v>
      </c>
      <c r="B122" s="174" t="s">
        <v>404</v>
      </c>
      <c r="C122" s="174" t="s">
        <v>454</v>
      </c>
      <c r="D122" s="174">
        <v>4</v>
      </c>
      <c r="E122" s="174">
        <v>11</v>
      </c>
      <c r="F122" s="174">
        <v>13351.800000000003</v>
      </c>
      <c r="G122" s="174">
        <v>15173.84</v>
      </c>
      <c r="H122" s="186">
        <f t="shared" si="0"/>
      </c>
      <c r="I122" s="186">
        <f t="shared" si="1"/>
      </c>
      <c r="J122" s="186">
        <f t="shared" si="2"/>
      </c>
      <c r="K122" s="174">
        <v>4</v>
      </c>
      <c r="L122" s="174">
        <v>5138.4</v>
      </c>
      <c r="M122" s="174"/>
      <c r="N122" s="174"/>
      <c r="O122" s="175"/>
      <c r="P122" s="175"/>
    </row>
    <row hidden="true" r="123">
      <c r="A123" s="185" t="s">
        <v>460</v>
      </c>
      <c r="B123" s="174" t="s">
        <v>413</v>
      </c>
      <c r="C123" s="174" t="s">
        <v>446</v>
      </c>
      <c r="D123" s="174">
        <v>4</v>
      </c>
      <c r="E123" s="174">
        <v>9</v>
      </c>
      <c r="F123" s="174">
        <v>9540</v>
      </c>
      <c r="G123" s="174">
        <v>9188.48</v>
      </c>
      <c r="H123" s="186">
        <f t="shared" si="0"/>
      </c>
      <c r="I123" s="186">
        <f t="shared" si="1"/>
      </c>
      <c r="J123" s="186">
        <f t="shared" si="2"/>
      </c>
      <c r="K123" s="174">
        <v>0</v>
      </c>
      <c r="L123" s="174">
        <v>0</v>
      </c>
      <c r="M123" s="174"/>
      <c r="N123" s="174"/>
      <c r="O123" s="175"/>
      <c r="P123" s="175"/>
    </row>
    <row hidden="true" r="124">
      <c r="A124" s="185" t="s">
        <v>460</v>
      </c>
      <c r="B124" s="174" t="s">
        <v>398</v>
      </c>
      <c r="C124" s="174" t="s">
        <v>447</v>
      </c>
      <c r="D124" s="174">
        <v>4</v>
      </c>
      <c r="E124" s="174">
        <v>14</v>
      </c>
      <c r="F124" s="174">
        <v>17233</v>
      </c>
      <c r="G124" s="174">
        <v>10935.880000000001</v>
      </c>
      <c r="H124" s="186">
        <f t="shared" si="0"/>
      </c>
      <c r="I124" s="186">
        <f t="shared" si="1"/>
      </c>
      <c r="J124" s="186">
        <f t="shared" si="2"/>
      </c>
      <c r="K124" s="174">
        <v>1</v>
      </c>
      <c r="L124" s="174">
        <v>270</v>
      </c>
      <c r="M124" s="174"/>
      <c r="N124" s="174"/>
      <c r="O124" s="175"/>
      <c r="P124" s="175"/>
    </row>
    <row hidden="true" r="125">
      <c r="A125" s="185" t="s">
        <v>460</v>
      </c>
      <c r="B125" s="174" t="s">
        <v>408</v>
      </c>
      <c r="C125" s="174" t="s">
        <v>448</v>
      </c>
      <c r="D125" s="174">
        <v>4</v>
      </c>
      <c r="E125" s="174">
        <v>25</v>
      </c>
      <c r="F125" s="187">
        <v>34069</v>
      </c>
      <c r="G125" s="174">
        <v>17843.75</v>
      </c>
      <c r="H125" s="186">
        <f t="shared" si="0"/>
      </c>
      <c r="I125" s="186">
        <f t="shared" si="1"/>
      </c>
      <c r="J125" s="186">
        <f t="shared" si="2"/>
      </c>
      <c r="K125" s="174">
        <v>2</v>
      </c>
      <c r="L125" s="174">
        <v>756</v>
      </c>
      <c r="M125" s="174" t="s">
        <v>459</v>
      </c>
      <c r="N125" s="177">
        <v>10</v>
      </c>
      <c r="O125" s="174" t="s">
        <v>411</v>
      </c>
      <c r="P125" s="174">
        <v>10</v>
      </c>
    </row>
    <row r="126">
      <c r="A126" s="188" t="s">
        <v>460</v>
      </c>
      <c r="B126" s="189"/>
      <c r="C126" s="189"/>
      <c r="D126" s="182">
        <f>SUM(D121:D125)</f>
      </c>
      <c r="E126" s="182">
        <f>SUM(E121:E125)</f>
      </c>
      <c r="F126" s="182">
        <f>SUM(F121:F125)</f>
      </c>
      <c r="G126" s="182">
        <f>SUM(G121:G125)</f>
      </c>
      <c r="H126" s="190">
        <f t="shared" si="0"/>
      </c>
      <c r="I126" s="190">
        <f t="shared" si="1"/>
      </c>
      <c r="J126" s="190">
        <f t="shared" si="2"/>
      </c>
      <c r="K126" s="182">
        <f>SUM(K121:K125)</f>
      </c>
      <c r="L126" s="182">
        <f>SUM(L121:L125)</f>
      </c>
      <c r="M126" s="183"/>
      <c r="N126" s="182">
        <f>SUM(N121:N125)</f>
      </c>
      <c r="O126" s="183"/>
      <c r="P126" s="182">
        <f>SUM(P121:P125)</f>
      </c>
    </row>
    <row hidden="true" r="127">
      <c r="A127" s="191" t="s">
        <v>461</v>
      </c>
      <c r="B127" s="192" t="s">
        <v>428</v>
      </c>
      <c r="C127" s="192" t="s">
        <v>431</v>
      </c>
      <c r="D127" s="192">
        <v>5</v>
      </c>
      <c r="E127" s="193">
        <v>22</v>
      </c>
      <c r="F127" s="192">
        <v>31552.8</v>
      </c>
      <c r="G127" s="192">
        <v>24195.899999999998</v>
      </c>
      <c r="H127" s="186">
        <f t="shared" si="0"/>
      </c>
      <c r="I127" s="194">
        <f t="shared" si="1"/>
      </c>
      <c r="J127" s="194">
        <f t="shared" si="2"/>
      </c>
      <c r="K127" s="193">
        <v>6</v>
      </c>
      <c r="L127" s="195">
        <v>9576</v>
      </c>
      <c r="M127" s="195" t="s">
        <v>400</v>
      </c>
      <c r="N127" s="195">
        <v>10</v>
      </c>
      <c r="O127" s="195" t="s">
        <v>401</v>
      </c>
      <c r="P127" s="195">
        <v>11</v>
      </c>
    </row>
    <row hidden="true" r="128">
      <c r="A128" s="191" t="s">
        <v>461</v>
      </c>
      <c r="B128" s="192" t="s">
        <v>404</v>
      </c>
      <c r="C128" s="192" t="s">
        <v>436</v>
      </c>
      <c r="D128" s="192">
        <v>5</v>
      </c>
      <c r="E128" s="193">
        <v>27</v>
      </c>
      <c r="F128" s="192">
        <v>33895.399999999994</v>
      </c>
      <c r="G128" s="192">
        <v>18268.719999999998</v>
      </c>
      <c r="H128" s="186">
        <f t="shared" si="0"/>
      </c>
      <c r="I128" s="194">
        <f t="shared" si="1"/>
      </c>
      <c r="J128" s="194">
        <f t="shared" si="2"/>
      </c>
      <c r="K128" s="193">
        <v>7</v>
      </c>
      <c r="L128" s="195">
        <v>10320</v>
      </c>
      <c r="M128" s="195"/>
      <c r="N128" s="195"/>
      <c r="O128" s="195"/>
      <c r="P128" s="195"/>
    </row>
    <row hidden="true" r="129">
      <c r="A129" s="191" t="s">
        <v>461</v>
      </c>
      <c r="B129" s="192" t="s">
        <v>398</v>
      </c>
      <c r="C129" s="192" t="s">
        <v>421</v>
      </c>
      <c r="D129" s="192">
        <v>5</v>
      </c>
      <c r="E129" s="193">
        <v>20</v>
      </c>
      <c r="F129" s="192">
        <v>25456.199999999997</v>
      </c>
      <c r="G129" s="192">
        <v>14864.650000000001</v>
      </c>
      <c r="H129" s="186">
        <f t="shared" si="0"/>
      </c>
      <c r="I129" s="194">
        <f t="shared" si="1"/>
      </c>
      <c r="J129" s="194">
        <f t="shared" si="2"/>
      </c>
      <c r="K129" s="193">
        <v>8</v>
      </c>
      <c r="L129" s="195">
        <v>9264.599999999999</v>
      </c>
      <c r="M129" s="195"/>
      <c r="N129" s="195"/>
      <c r="O129" s="195"/>
      <c r="P129" s="195"/>
    </row>
    <row hidden="true" r="130">
      <c r="A130" s="191" t="s">
        <v>461</v>
      </c>
      <c r="B130" s="192" t="s">
        <v>408</v>
      </c>
      <c r="C130" s="192" t="s">
        <v>409</v>
      </c>
      <c r="D130" s="192">
        <v>5</v>
      </c>
      <c r="E130" s="193">
        <v>39</v>
      </c>
      <c r="F130" s="194">
        <v>47183.600000000006</v>
      </c>
      <c r="G130" s="192">
        <v>20606.530000000002</v>
      </c>
      <c r="H130" s="186">
        <f t="shared" si="0"/>
      </c>
      <c r="I130" s="194">
        <f t="shared" si="1"/>
      </c>
      <c r="J130" s="194">
        <f t="shared" si="2"/>
      </c>
      <c r="K130" s="193">
        <v>9</v>
      </c>
      <c r="L130" s="195">
        <v>9161.599999999999</v>
      </c>
      <c r="M130" s="195" t="s">
        <v>459</v>
      </c>
      <c r="N130" s="195">
        <v>10</v>
      </c>
      <c r="O130" s="195" t="s">
        <v>411</v>
      </c>
      <c r="P130" s="195">
        <v>11</v>
      </c>
    </row>
    <row r="131">
      <c r="A131" s="196" t="s">
        <v>461</v>
      </c>
      <c r="B131" s="197"/>
      <c r="C131" s="197"/>
      <c r="D131" s="198">
        <f>SUM(D127:D130)</f>
      </c>
      <c r="E131" s="198">
        <f>SUM(E127:E130)</f>
      </c>
      <c r="F131" s="199">
        <f>SUM(F127:F130)</f>
      </c>
      <c r="G131" s="198">
        <f>SUM(G127:G130)</f>
      </c>
      <c r="H131" s="200">
        <f t="shared" si="0"/>
      </c>
      <c r="I131" s="200">
        <f t="shared" si="1"/>
      </c>
      <c r="J131" s="200">
        <f t="shared" si="2"/>
      </c>
      <c r="K131" s="198">
        <f>SUM(K127:K130)</f>
      </c>
      <c r="L131" s="201">
        <f>SUM(L127:L130)</f>
      </c>
      <c r="M131" s="202"/>
      <c r="N131" s="201">
        <f>SUM(N127:N130)</f>
      </c>
      <c r="O131" s="202"/>
      <c r="P131" s="201">
        <f>SUM(P127:P130)</f>
      </c>
    </row>
    <row hidden="true" r="132">
      <c r="A132" s="203" t="s">
        <v>462</v>
      </c>
      <c r="B132" s="192" t="s">
        <v>404</v>
      </c>
      <c r="C132" s="192" t="s">
        <v>431</v>
      </c>
      <c r="D132" s="192">
        <v>5</v>
      </c>
      <c r="E132" s="193">
        <v>9</v>
      </c>
      <c r="F132" s="192">
        <v>12946.8</v>
      </c>
      <c r="G132" s="192">
        <v>13476.229999999998</v>
      </c>
      <c r="H132" s="186">
        <f t="shared" si="0"/>
      </c>
      <c r="I132" s="194">
        <f t="shared" si="1"/>
      </c>
      <c r="J132" s="194">
        <f t="shared" si="2"/>
      </c>
      <c r="K132" s="193">
        <v>3</v>
      </c>
      <c r="L132" s="204">
        <v>4713.6</v>
      </c>
      <c r="M132" s="195" t="s">
        <v>400</v>
      </c>
      <c r="N132" s="195">
        <v>10</v>
      </c>
      <c r="O132" s="195" t="s">
        <v>401</v>
      </c>
      <c r="P132" s="204">
        <v>10</v>
      </c>
    </row>
    <row hidden="true" r="133">
      <c r="A133" s="203" t="s">
        <v>462</v>
      </c>
      <c r="B133" s="192" t="s">
        <v>398</v>
      </c>
      <c r="C133" s="192" t="s">
        <v>436</v>
      </c>
      <c r="D133" s="192">
        <v>5</v>
      </c>
      <c r="E133" s="193">
        <v>15</v>
      </c>
      <c r="F133" s="193">
        <v>16694.4</v>
      </c>
      <c r="G133" s="193">
        <v>10058.53</v>
      </c>
      <c r="H133" s="186">
        <f t="shared" si="0"/>
      </c>
      <c r="I133" s="194">
        <f t="shared" si="1"/>
      </c>
      <c r="J133" s="194">
        <f t="shared" si="2"/>
      </c>
      <c r="K133" s="193">
        <v>5</v>
      </c>
      <c r="L133" s="204">
        <v>4704</v>
      </c>
      <c r="M133" s="195"/>
      <c r="N133" s="195"/>
      <c r="O133" s="195"/>
      <c r="P133" s="195"/>
    </row>
    <row hidden="true" r="134">
      <c r="A134" s="203" t="s">
        <v>462</v>
      </c>
      <c r="B134" s="192" t="s">
        <v>408</v>
      </c>
      <c r="C134" s="192" t="s">
        <v>421</v>
      </c>
      <c r="D134" s="192">
        <v>5</v>
      </c>
      <c r="E134" s="193">
        <v>18</v>
      </c>
      <c r="F134" s="193">
        <v>28443.6</v>
      </c>
      <c r="G134" s="193">
        <v>18922.5</v>
      </c>
      <c r="H134" s="186">
        <f t="shared" si="0"/>
      </c>
      <c r="I134" s="194">
        <f t="shared" si="1"/>
      </c>
      <c r="J134" s="194">
        <f t="shared" si="2"/>
      </c>
      <c r="K134" s="193">
        <v>3</v>
      </c>
      <c r="L134" s="204">
        <v>1892.4</v>
      </c>
      <c r="M134" s="195"/>
      <c r="N134" s="195"/>
      <c r="O134" s="195"/>
      <c r="P134" s="195"/>
    </row>
    <row hidden="true" r="135">
      <c r="A135" s="203" t="s">
        <v>462</v>
      </c>
      <c r="B135" s="192" t="s">
        <v>428</v>
      </c>
      <c r="C135" s="192" t="s">
        <v>409</v>
      </c>
      <c r="D135" s="192">
        <v>5</v>
      </c>
      <c r="E135" s="193">
        <v>29</v>
      </c>
      <c r="F135" s="205">
        <v>36935.6</v>
      </c>
      <c r="G135" s="193">
        <v>23806.51</v>
      </c>
      <c r="H135" s="186">
        <f t="shared" si="0"/>
      </c>
      <c r="I135" s="194">
        <f t="shared" si="1"/>
      </c>
      <c r="J135" s="194">
        <f t="shared" si="2"/>
      </c>
      <c r="K135" s="193">
        <v>5</v>
      </c>
      <c r="L135" s="204">
        <v>5796</v>
      </c>
      <c r="M135" s="204" t="s">
        <v>463</v>
      </c>
      <c r="N135" s="195">
        <v>10</v>
      </c>
      <c r="O135" s="195" t="s">
        <v>411</v>
      </c>
      <c r="P135" s="204">
        <v>10</v>
      </c>
    </row>
    <row r="136">
      <c r="A136" s="206" t="s">
        <v>462</v>
      </c>
      <c r="B136" s="197"/>
      <c r="C136" s="197"/>
      <c r="D136" s="198">
        <f>SUM(D132:D135)</f>
      </c>
      <c r="E136" s="198">
        <f>SUM(E132:E135)</f>
      </c>
      <c r="F136" s="199">
        <f>SUM(F132:F135)</f>
      </c>
      <c r="G136" s="198">
        <f>SUM(G132:G135)</f>
      </c>
      <c r="H136" s="200">
        <f t="shared" si="0"/>
      </c>
      <c r="I136" s="200">
        <f t="shared" si="1"/>
      </c>
      <c r="J136" s="200">
        <f t="shared" si="2"/>
      </c>
      <c r="K136" s="198">
        <f>SUM(K132:K135)</f>
      </c>
      <c r="L136" s="201">
        <f>SUM(L132:L135)</f>
      </c>
      <c r="M136" s="202"/>
      <c r="N136" s="201">
        <f>SUM(N132:N135)</f>
      </c>
      <c r="O136" s="202"/>
      <c r="P136" s="201">
        <f>SUM(P132:P135)</f>
      </c>
    </row>
    <row hidden="true" r="137">
      <c r="A137" s="203" t="s">
        <v>464</v>
      </c>
      <c r="B137" s="192" t="s">
        <v>404</v>
      </c>
      <c r="C137" s="193" t="s">
        <v>465</v>
      </c>
      <c r="D137" s="193">
        <v>4</v>
      </c>
      <c r="E137" s="193">
        <v>1</v>
      </c>
      <c r="F137" s="193">
        <v>715.2</v>
      </c>
      <c r="G137" s="193">
        <v>6354.74</v>
      </c>
      <c r="H137" s="186">
        <f t="shared" si="0"/>
      </c>
      <c r="I137" s="194">
        <f t="shared" si="1"/>
      </c>
      <c r="J137" s="194">
        <f t="shared" si="2"/>
      </c>
      <c r="K137" s="193">
        <v>1</v>
      </c>
      <c r="L137" s="204">
        <v>715.2</v>
      </c>
      <c r="M137" s="204" t="s">
        <v>466</v>
      </c>
      <c r="N137" s="195">
        <v>10</v>
      </c>
      <c r="O137" s="195" t="s">
        <v>401</v>
      </c>
      <c r="P137" s="204">
        <v>10</v>
      </c>
    </row>
    <row hidden="true" r="138">
      <c r="A138" s="203" t="s">
        <v>464</v>
      </c>
      <c r="B138" s="192" t="s">
        <v>398</v>
      </c>
      <c r="C138" s="193" t="s">
        <v>454</v>
      </c>
      <c r="D138" s="193">
        <v>4</v>
      </c>
      <c r="E138" s="193">
        <v>10</v>
      </c>
      <c r="F138" s="193">
        <v>17105.8</v>
      </c>
      <c r="G138" s="193">
        <v>10054.17</v>
      </c>
      <c r="H138" s="186">
        <f t="shared" si="0"/>
      </c>
      <c r="I138" s="194">
        <f t="shared" si="1"/>
      </c>
      <c r="J138" s="194">
        <f t="shared" si="2"/>
      </c>
      <c r="K138" s="193">
        <v>1</v>
      </c>
      <c r="L138" s="204">
        <v>2011.2</v>
      </c>
      <c r="M138" s="195"/>
      <c r="N138" s="195"/>
      <c r="O138" s="195"/>
      <c r="P138" s="195"/>
    </row>
    <row hidden="true" r="139">
      <c r="A139" s="203" t="s">
        <v>464</v>
      </c>
      <c r="B139" s="192" t="s">
        <v>408</v>
      </c>
      <c r="C139" s="193" t="s">
        <v>446</v>
      </c>
      <c r="D139" s="193">
        <v>4</v>
      </c>
      <c r="E139" s="193">
        <v>10</v>
      </c>
      <c r="F139" s="193">
        <v>15689.4</v>
      </c>
      <c r="G139" s="193">
        <v>9705.48</v>
      </c>
      <c r="H139" s="186">
        <f t="shared" si="0"/>
      </c>
      <c r="I139" s="194">
        <f t="shared" si="1"/>
      </c>
      <c r="J139" s="194">
        <f t="shared" si="2"/>
      </c>
      <c r="K139" s="193">
        <v>2</v>
      </c>
      <c r="L139" s="204">
        <v>2726.4</v>
      </c>
      <c r="M139" s="195"/>
      <c r="N139" s="195"/>
      <c r="O139" s="195"/>
      <c r="P139" s="195"/>
    </row>
    <row customHeight="true" hidden="true" ht="16.071428571428573" r="140">
      <c r="A140" s="203" t="s">
        <v>464</v>
      </c>
      <c r="B140" s="174" t="s">
        <v>439</v>
      </c>
      <c r="C140" s="193" t="s">
        <v>447</v>
      </c>
      <c r="D140" s="193">
        <v>4</v>
      </c>
      <c r="E140" s="193">
        <v>12</v>
      </c>
      <c r="F140" s="193">
        <v>13558.8</v>
      </c>
      <c r="G140" s="193">
        <v>12683.85</v>
      </c>
      <c r="H140" s="186">
        <f t="shared" si="0"/>
      </c>
      <c r="I140" s="194">
        <f t="shared" si="1"/>
      </c>
      <c r="J140" s="194">
        <f t="shared" si="2"/>
      </c>
      <c r="K140" s="193">
        <v>1</v>
      </c>
      <c r="L140" s="204">
        <v>379.2</v>
      </c>
      <c r="M140" s="195"/>
      <c r="N140" s="195"/>
      <c r="O140" s="195"/>
      <c r="P140" s="195"/>
    </row>
    <row hidden="true" r="141">
      <c r="A141" s="203" t="s">
        <v>464</v>
      </c>
      <c r="B141" s="192" t="s">
        <v>428</v>
      </c>
      <c r="C141" s="193" t="s">
        <v>448</v>
      </c>
      <c r="D141" s="193">
        <v>4</v>
      </c>
      <c r="E141" s="193">
        <v>10</v>
      </c>
      <c r="F141" s="205">
        <v>12900</v>
      </c>
      <c r="G141" s="193">
        <v>8805.44</v>
      </c>
      <c r="H141" s="186">
        <f t="shared" si="0"/>
      </c>
      <c r="I141" s="194">
        <f t="shared" si="1"/>
      </c>
      <c r="J141" s="194">
        <f t="shared" si="2"/>
      </c>
      <c r="K141" s="193">
        <v>2</v>
      </c>
      <c r="L141" s="204">
        <v>2395.2</v>
      </c>
      <c r="M141" s="204" t="s">
        <v>463</v>
      </c>
      <c r="N141" s="195">
        <v>10</v>
      </c>
      <c r="O141" s="195" t="s">
        <v>411</v>
      </c>
      <c r="P141" s="204">
        <v>10</v>
      </c>
    </row>
    <row r="142">
      <c r="A142" s="206" t="s">
        <v>464</v>
      </c>
      <c r="B142" s="197"/>
      <c r="C142" s="197"/>
      <c r="D142" s="198">
        <f>SUM(D137:D141)</f>
      </c>
      <c r="E142" s="198">
        <f>SUM(E137:E141)</f>
      </c>
      <c r="F142" s="199">
        <f>SUM(F137:F141)</f>
      </c>
      <c r="G142" s="198">
        <f>SUM(G137:G141)</f>
      </c>
      <c r="H142" s="200">
        <f t="shared" si="0"/>
      </c>
      <c r="I142" s="200">
        <f t="shared" si="1"/>
      </c>
      <c r="J142" s="200">
        <f t="shared" si="2"/>
      </c>
      <c r="K142" s="198">
        <f>SUM(K137:K141)</f>
      </c>
      <c r="L142" s="201">
        <f>SUM(L137:L141)</f>
      </c>
      <c r="M142" s="202"/>
      <c r="N142" s="201">
        <f>SUM(N137:N141)</f>
      </c>
      <c r="O142" s="202"/>
      <c r="P142" s="201">
        <f>SUM(P137:P141)</f>
      </c>
    </row>
    <row customHeight="true" hidden="true" ht="16.071428571428573" r="143">
      <c r="A143" s="203" t="s">
        <v>467</v>
      </c>
      <c r="B143" s="192" t="s">
        <v>408</v>
      </c>
      <c r="C143" s="193" t="s">
        <v>465</v>
      </c>
      <c r="D143" s="193">
        <v>4</v>
      </c>
      <c r="E143" s="193">
        <v>19</v>
      </c>
      <c r="F143" s="193">
        <v>31322.4</v>
      </c>
      <c r="G143" s="193">
        <v>11805.369999999999</v>
      </c>
      <c r="H143" s="186">
        <f t="shared" si="0"/>
      </c>
      <c r="I143" s="194">
        <f t="shared" si="1"/>
      </c>
      <c r="J143" s="194">
        <f t="shared" si="2"/>
      </c>
      <c r="K143" s="193">
        <v>4</v>
      </c>
      <c r="L143" s="204">
        <v>7624.8</v>
      </c>
      <c r="M143" s="204" t="s">
        <v>468</v>
      </c>
      <c r="N143" s="195">
        <v>10</v>
      </c>
      <c r="O143" s="195" t="s">
        <v>401</v>
      </c>
      <c r="P143" s="204">
        <v>10</v>
      </c>
    </row>
    <row customHeight="true" hidden="true" ht="16.071428571428573" r="144">
      <c r="A144" s="203" t="s">
        <v>467</v>
      </c>
      <c r="B144" s="192" t="s">
        <v>439</v>
      </c>
      <c r="C144" s="193" t="s">
        <v>454</v>
      </c>
      <c r="D144" s="193">
        <v>4</v>
      </c>
      <c r="E144" s="193">
        <v>7</v>
      </c>
      <c r="F144" s="193">
        <v>9052.799999999996</v>
      </c>
      <c r="G144" s="193">
        <v>14568.699999999999</v>
      </c>
      <c r="H144" s="186">
        <f t="shared" si="0"/>
      </c>
      <c r="I144" s="194">
        <f t="shared" si="1"/>
      </c>
      <c r="J144" s="194">
        <f t="shared" si="2"/>
      </c>
      <c r="K144" s="193">
        <v>3</v>
      </c>
      <c r="L144" s="204">
        <v>2930.4000000000005</v>
      </c>
      <c r="M144" s="195"/>
      <c r="N144" s="195"/>
      <c r="O144" s="195"/>
      <c r="P144" s="195"/>
    </row>
    <row customHeight="true" hidden="true" ht="16.071428571428573" r="145">
      <c r="A145" s="203" t="s">
        <v>467</v>
      </c>
      <c r="B145" s="192" t="s">
        <v>413</v>
      </c>
      <c r="C145" s="193" t="s">
        <v>446</v>
      </c>
      <c r="D145" s="193">
        <v>4</v>
      </c>
      <c r="E145" s="193">
        <v>11</v>
      </c>
      <c r="F145" s="193">
        <v>15470.600000000006</v>
      </c>
      <c r="G145" s="193">
        <v>12061.98</v>
      </c>
      <c r="H145" s="186">
        <f t="shared" si="0"/>
      </c>
      <c r="I145" s="194">
        <f t="shared" si="1"/>
      </c>
      <c r="J145" s="194">
        <f t="shared" si="2"/>
      </c>
      <c r="K145" s="193">
        <v>1</v>
      </c>
      <c r="L145" s="204">
        <v>2011.199999999999</v>
      </c>
      <c r="M145" s="195"/>
      <c r="N145" s="195"/>
      <c r="O145" s="195"/>
      <c r="P145" s="195"/>
    </row>
    <row customHeight="true" hidden="true" ht="16.071428571428573" r="146">
      <c r="A146" s="203" t="s">
        <v>467</v>
      </c>
      <c r="B146" s="174" t="s">
        <v>428</v>
      </c>
      <c r="C146" s="193" t="s">
        <v>447</v>
      </c>
      <c r="D146" s="193">
        <v>4</v>
      </c>
      <c r="E146" s="193">
        <v>4</v>
      </c>
      <c r="F146" s="193">
        <v>4387.199999999997</v>
      </c>
      <c r="G146" s="193">
        <v>7555.01</v>
      </c>
      <c r="H146" s="186">
        <f t="shared" si="0"/>
      </c>
      <c r="I146" s="194">
        <f t="shared" si="1"/>
      </c>
      <c r="J146" s="194">
        <f t="shared" si="2"/>
      </c>
      <c r="K146" s="193">
        <v>1</v>
      </c>
      <c r="L146" s="204">
        <v>2407.2000000000007</v>
      </c>
      <c r="M146" s="195"/>
      <c r="N146" s="195"/>
      <c r="O146" s="195"/>
      <c r="P146" s="195"/>
    </row>
    <row customHeight="true" hidden="true" ht="16.071428571428573" r="147">
      <c r="A147" s="203" t="s">
        <v>467</v>
      </c>
      <c r="B147" s="192" t="s">
        <v>404</v>
      </c>
      <c r="C147" s="193" t="s">
        <v>448</v>
      </c>
      <c r="D147" s="193">
        <v>4</v>
      </c>
      <c r="E147" s="193">
        <v>14</v>
      </c>
      <c r="F147" s="205">
        <v>19002</v>
      </c>
      <c r="G147" s="193">
        <v>11760.299999999997</v>
      </c>
      <c r="H147" s="186">
        <f t="shared" si="0"/>
      </c>
      <c r="I147" s="194">
        <f t="shared" si="1"/>
      </c>
      <c r="J147" s="194">
        <f t="shared" si="2"/>
      </c>
      <c r="K147" s="193">
        <v>0</v>
      </c>
      <c r="L147" s="204">
        <v>0</v>
      </c>
      <c r="M147" s="204" t="s">
        <v>469</v>
      </c>
      <c r="N147" s="195">
        <v>10</v>
      </c>
      <c r="O147" s="195" t="s">
        <v>411</v>
      </c>
      <c r="P147" s="204">
        <v>10</v>
      </c>
    </row>
    <row customHeight="true" ht="16.071428571428573" r="148">
      <c r="A148" s="206" t="s">
        <v>467</v>
      </c>
      <c r="B148" s="197"/>
      <c r="C148" s="197"/>
      <c r="D148" s="198">
        <f>SUM(D143:D147)</f>
      </c>
      <c r="E148" s="198">
        <f>SUM(E143:E147)</f>
      </c>
      <c r="F148" s="199">
        <f>SUM(F143:F147)</f>
      </c>
      <c r="G148" s="198">
        <f>SUM(G143:G147)</f>
      </c>
      <c r="H148" s="200">
        <f t="shared" si="0"/>
      </c>
      <c r="I148" s="200">
        <f t="shared" si="1"/>
      </c>
      <c r="J148" s="200">
        <f t="shared" si="2"/>
      </c>
      <c r="K148" s="198">
        <f>SUM(K143:K147)</f>
      </c>
      <c r="L148" s="201">
        <f>SUM(L143:L147)</f>
      </c>
      <c r="M148" s="202"/>
      <c r="N148" s="201">
        <f>SUM(N143:N147)</f>
      </c>
      <c r="O148" s="202"/>
      <c r="P148" s="201">
        <f>SUM(P143:P147)</f>
      </c>
    </row>
    <row customHeight="true" hidden="true" ht="16.071428571428573" r="149">
      <c r="A149" s="203" t="s">
        <v>470</v>
      </c>
      <c r="B149" s="192" t="s">
        <v>408</v>
      </c>
      <c r="C149" s="193" t="s">
        <v>431</v>
      </c>
      <c r="D149" s="193">
        <v>5</v>
      </c>
      <c r="E149" s="193">
        <v>8</v>
      </c>
      <c r="F149" s="193">
        <v>12241.199999999999</v>
      </c>
      <c r="G149" s="193">
        <v>9226.59</v>
      </c>
      <c r="H149" s="186">
        <f t="shared" si="0"/>
      </c>
      <c r="I149" s="194">
        <f t="shared" si="1"/>
      </c>
      <c r="J149" s="194">
        <f t="shared" si="2"/>
      </c>
      <c r="K149" s="193">
        <v>2</v>
      </c>
      <c r="L149" s="204">
        <v>3355.2</v>
      </c>
      <c r="M149" s="204" t="s">
        <v>471</v>
      </c>
      <c r="N149" s="195">
        <v>10</v>
      </c>
      <c r="O149" s="195" t="s">
        <v>401</v>
      </c>
      <c r="P149" s="204">
        <v>10</v>
      </c>
    </row>
    <row customHeight="true" hidden="true" ht="16.071428571428573" r="150">
      <c r="A150" s="203" t="s">
        <v>470</v>
      </c>
      <c r="B150" s="192" t="s">
        <v>413</v>
      </c>
      <c r="C150" s="193" t="s">
        <v>436</v>
      </c>
      <c r="D150" s="193">
        <v>5</v>
      </c>
      <c r="E150" s="193">
        <v>16</v>
      </c>
      <c r="F150" s="193">
        <v>18018.200000000004</v>
      </c>
      <c r="G150" s="193">
        <v>12580.01</v>
      </c>
      <c r="H150" s="186">
        <f t="shared" si="0"/>
      </c>
      <c r="I150" s="194">
        <f t="shared" si="1"/>
      </c>
      <c r="J150" s="194">
        <f t="shared" si="2"/>
      </c>
      <c r="K150" s="193">
        <v>6</v>
      </c>
      <c r="L150" s="204">
        <v>6831.800000000001</v>
      </c>
      <c r="M150" s="195"/>
      <c r="N150" s="195"/>
      <c r="O150" s="195"/>
      <c r="P150" s="195"/>
    </row>
    <row customHeight="true" hidden="true" ht="16.071428571428573" r="151">
      <c r="A151" s="203" t="s">
        <v>470</v>
      </c>
      <c r="B151" s="192" t="s">
        <v>398</v>
      </c>
      <c r="C151" s="193" t="s">
        <v>421</v>
      </c>
      <c r="D151" s="193">
        <v>5</v>
      </c>
      <c r="E151" s="193">
        <v>9</v>
      </c>
      <c r="F151" s="193">
        <v>9133.199999999997</v>
      </c>
      <c r="G151" s="193">
        <v>14224.289999999999</v>
      </c>
      <c r="H151" s="186">
        <f t="shared" si="0"/>
      </c>
      <c r="I151" s="194">
        <f t="shared" si="1"/>
      </c>
      <c r="J151" s="194">
        <f t="shared" si="2"/>
      </c>
      <c r="K151" s="193">
        <v>3</v>
      </c>
      <c r="L151" s="204">
        <v>3086.3999999999996</v>
      </c>
      <c r="M151" s="195"/>
      <c r="N151" s="195"/>
      <c r="O151" s="195"/>
      <c r="P151" s="195"/>
    </row>
    <row customHeight="true" hidden="true" ht="16.071428571428573" r="152">
      <c r="A152" s="203" t="s">
        <v>470</v>
      </c>
      <c r="B152" s="174" t="s">
        <v>404</v>
      </c>
      <c r="C152" s="193" t="s">
        <v>409</v>
      </c>
      <c r="D152" s="193">
        <v>5</v>
      </c>
      <c r="E152" s="193">
        <v>4</v>
      </c>
      <c r="F152" s="193">
        <v>5683.200000000004</v>
      </c>
      <c r="G152" s="193">
        <v>11530.840000000002</v>
      </c>
      <c r="H152" s="186">
        <f t="shared" si="0"/>
      </c>
      <c r="I152" s="194">
        <f t="shared" si="1"/>
      </c>
      <c r="J152" s="194">
        <f t="shared" si="2"/>
      </c>
      <c r="K152" s="193">
        <v>1</v>
      </c>
      <c r="L152" s="204">
        <v>715.2</v>
      </c>
      <c r="M152" s="204" t="s">
        <v>469</v>
      </c>
      <c r="N152" s="195">
        <v>10</v>
      </c>
      <c r="O152" s="195" t="s">
        <v>411</v>
      </c>
      <c r="P152" s="204">
        <v>10</v>
      </c>
    </row>
    <row r="153">
      <c r="A153" s="206" t="s">
        <v>470</v>
      </c>
      <c r="B153" s="197"/>
      <c r="C153" s="197"/>
      <c r="D153" s="198">
        <f>SUM(D149:D152)</f>
      </c>
      <c r="E153" s="198">
        <f>SUM(E149:E152)</f>
      </c>
      <c r="F153" s="199">
        <f>SUM(F149:F152)</f>
      </c>
      <c r="G153" s="198">
        <f>SUM(G149:G152)</f>
      </c>
      <c r="H153" s="200">
        <f t="shared" si="0"/>
      </c>
      <c r="I153" s="200">
        <f t="shared" si="1"/>
      </c>
      <c r="J153" s="200">
        <f t="shared" si="2"/>
      </c>
      <c r="K153" s="198">
        <f>SUM(K149:K152)</f>
      </c>
      <c r="L153" s="201">
        <f>SUM(L149:L152)</f>
      </c>
      <c r="M153" s="202"/>
      <c r="N153" s="201">
        <f>SUM(N149:N152)</f>
      </c>
      <c r="O153" s="202"/>
      <c r="P153" s="201">
        <f>SUM(P149:P152)</f>
      </c>
    </row>
    <row hidden="true" r="154">
      <c r="A154" s="203" t="s">
        <v>472</v>
      </c>
      <c r="B154" s="192" t="s">
        <v>413</v>
      </c>
      <c r="C154" s="193" t="s">
        <v>431</v>
      </c>
      <c r="D154" s="193">
        <v>5</v>
      </c>
      <c r="E154" s="193">
        <v>4</v>
      </c>
      <c r="F154" s="193">
        <v>5301.6</v>
      </c>
      <c r="G154" s="193">
        <v>5836.47</v>
      </c>
      <c r="H154" s="186">
        <f t="shared" si="0"/>
      </c>
      <c r="I154" s="194">
        <f t="shared" si="1"/>
      </c>
      <c r="J154" s="194">
        <f t="shared" si="2"/>
      </c>
      <c r="K154" s="193">
        <v>1</v>
      </c>
      <c r="L154" s="204">
        <v>1411.2</v>
      </c>
      <c r="M154" s="204" t="s">
        <v>471</v>
      </c>
      <c r="N154" s="195">
        <v>10</v>
      </c>
      <c r="O154" s="195" t="s">
        <v>401</v>
      </c>
      <c r="P154" s="204">
        <v>10</v>
      </c>
    </row>
    <row hidden="true" r="155">
      <c r="A155" s="203" t="s">
        <v>472</v>
      </c>
      <c r="B155" s="192" t="s">
        <v>398</v>
      </c>
      <c r="C155" s="193" t="s">
        <v>436</v>
      </c>
      <c r="D155" s="193">
        <v>5</v>
      </c>
      <c r="E155" s="193">
        <v>9</v>
      </c>
      <c r="F155" s="193">
        <v>8371.2</v>
      </c>
      <c r="G155" s="193">
        <v>8049.34</v>
      </c>
      <c r="H155" s="186">
        <f t="shared" si="0"/>
      </c>
      <c r="I155" s="194">
        <f t="shared" si="1"/>
      </c>
      <c r="J155" s="194">
        <f t="shared" si="2"/>
      </c>
      <c r="K155" s="193">
        <v>0</v>
      </c>
      <c r="L155" s="204">
        <v>0</v>
      </c>
      <c r="M155" s="195"/>
      <c r="N155" s="195"/>
      <c r="O155" s="195"/>
      <c r="P155" s="195"/>
    </row>
    <row hidden="true" r="156">
      <c r="A156" s="203" t="s">
        <v>472</v>
      </c>
      <c r="B156" s="192" t="s">
        <v>404</v>
      </c>
      <c r="C156" s="193" t="s">
        <v>421</v>
      </c>
      <c r="D156" s="207">
        <v>4.5</v>
      </c>
      <c r="E156" s="193">
        <v>4</v>
      </c>
      <c r="F156" s="193">
        <v>4130.4</v>
      </c>
      <c r="G156" s="193">
        <v>4913.1900000000005</v>
      </c>
      <c r="H156" s="186">
        <f t="shared" si="0"/>
      </c>
      <c r="I156" s="194">
        <f t="shared" si="1"/>
      </c>
      <c r="J156" s="194">
        <f t="shared" si="2"/>
      </c>
      <c r="K156" s="193">
        <v>0</v>
      </c>
      <c r="L156" s="204">
        <v>0</v>
      </c>
      <c r="M156" s="195"/>
      <c r="N156" s="195"/>
      <c r="O156" s="195"/>
      <c r="P156" s="195"/>
    </row>
    <row hidden="true" r="157">
      <c r="A157" s="203" t="s">
        <v>472</v>
      </c>
      <c r="B157" s="174" t="s">
        <v>408</v>
      </c>
      <c r="C157" s="193" t="s">
        <v>409</v>
      </c>
      <c r="D157" s="193">
        <v>5</v>
      </c>
      <c r="E157" s="193">
        <v>18</v>
      </c>
      <c r="F157" s="193">
        <v>18639.8</v>
      </c>
      <c r="G157" s="193">
        <v>10346.9</v>
      </c>
      <c r="H157" s="186">
        <f t="shared" si="0"/>
      </c>
      <c r="I157" s="194">
        <f t="shared" si="1"/>
      </c>
      <c r="J157" s="194">
        <f t="shared" si="2"/>
      </c>
      <c r="K157" s="193">
        <v>2</v>
      </c>
      <c r="L157" s="204">
        <v>4099.2</v>
      </c>
      <c r="M157" s="204" t="s">
        <v>469</v>
      </c>
      <c r="N157" s="195">
        <v>10</v>
      </c>
      <c r="O157" s="195" t="s">
        <v>411</v>
      </c>
      <c r="P157" s="204">
        <v>10</v>
      </c>
    </row>
    <row r="158">
      <c r="A158" s="206" t="s">
        <v>472</v>
      </c>
      <c r="B158" s="197"/>
      <c r="C158" s="197"/>
      <c r="D158" s="198">
        <f>SUM(D154:D157)</f>
      </c>
      <c r="E158" s="198">
        <f>SUM(E154:E157)</f>
      </c>
      <c r="F158" s="199">
        <f>SUM(F154:F157)</f>
      </c>
      <c r="G158" s="198">
        <f>SUM(G154:G157)</f>
      </c>
      <c r="H158" s="200">
        <f t="shared" si="0"/>
      </c>
      <c r="I158" s="200">
        <f t="shared" si="1"/>
      </c>
      <c r="J158" s="200">
        <f t="shared" si="2"/>
      </c>
      <c r="K158" s="198">
        <f>SUM(K154:K157)</f>
      </c>
      <c r="L158" s="201">
        <f>SUM(L154:L157)</f>
      </c>
      <c r="M158" s="202"/>
      <c r="N158" s="201">
        <f>SUM(N154:N157)</f>
      </c>
      <c r="O158" s="202"/>
      <c r="P158" s="201">
        <f>SUM(P154:P157)</f>
      </c>
    </row>
    <row hidden="true" r="159">
      <c r="A159" s="203" t="s">
        <v>473</v>
      </c>
      <c r="B159" s="192" t="s">
        <v>413</v>
      </c>
      <c r="C159" s="193" t="s">
        <v>431</v>
      </c>
      <c r="D159" s="193">
        <v>5</v>
      </c>
      <c r="E159" s="193">
        <v>11</v>
      </c>
      <c r="F159" s="193">
        <v>18528</v>
      </c>
      <c r="G159" s="193">
        <v>9848.01</v>
      </c>
      <c r="H159" s="186">
        <f t="shared" si="0"/>
      </c>
      <c r="I159" s="194">
        <f t="shared" si="1"/>
      </c>
      <c r="J159" s="194">
        <f t="shared" si="2"/>
      </c>
      <c r="K159" s="193">
        <v>4</v>
      </c>
      <c r="L159" s="204">
        <v>7665.599999999999</v>
      </c>
      <c r="M159" s="204" t="s">
        <v>471</v>
      </c>
      <c r="N159" s="195">
        <v>10</v>
      </c>
      <c r="O159" s="195" t="s">
        <v>401</v>
      </c>
      <c r="P159" s="204">
        <v>10</v>
      </c>
    </row>
    <row hidden="true" r="160">
      <c r="A160" s="203" t="s">
        <v>473</v>
      </c>
      <c r="B160" s="192" t="s">
        <v>398</v>
      </c>
      <c r="C160" s="193" t="s">
        <v>436</v>
      </c>
      <c r="D160" s="193">
        <v>5</v>
      </c>
      <c r="E160" s="193">
        <v>20</v>
      </c>
      <c r="F160" s="193">
        <v>21685.199999999997</v>
      </c>
      <c r="G160" s="193">
        <v>23421.440000000002</v>
      </c>
      <c r="H160" s="186">
        <f t="shared" si="0"/>
      </c>
      <c r="I160" s="194">
        <f t="shared" si="1"/>
      </c>
      <c r="J160" s="194">
        <f t="shared" si="2"/>
      </c>
      <c r="K160" s="193">
        <v>6</v>
      </c>
      <c r="L160" s="204">
        <v>5760.000000000002</v>
      </c>
      <c r="M160" s="195"/>
      <c r="N160" s="195"/>
      <c r="O160" s="195"/>
      <c r="P160" s="195"/>
    </row>
    <row hidden="true" r="161">
      <c r="A161" s="203" t="s">
        <v>473</v>
      </c>
      <c r="B161" s="192" t="s">
        <v>428</v>
      </c>
      <c r="C161" s="193" t="s">
        <v>421</v>
      </c>
      <c r="D161" s="193">
        <v>5</v>
      </c>
      <c r="E161" s="193">
        <v>22</v>
      </c>
      <c r="F161" s="193">
        <v>30054</v>
      </c>
      <c r="G161" s="193">
        <v>15812.560000000001</v>
      </c>
      <c r="H161" s="186">
        <f t="shared" si="0"/>
      </c>
      <c r="I161" s="194">
        <f t="shared" si="1"/>
      </c>
      <c r="J161" s="194">
        <f t="shared" si="2"/>
      </c>
      <c r="K161" s="193">
        <v>4</v>
      </c>
      <c r="L161" s="204">
        <v>5299.200000000001</v>
      </c>
      <c r="M161" s="195"/>
      <c r="N161" s="195"/>
      <c r="O161" s="195"/>
      <c r="P161" s="195"/>
    </row>
    <row hidden="true" r="162">
      <c r="A162" s="203" t="s">
        <v>473</v>
      </c>
      <c r="B162" s="174" t="s">
        <v>408</v>
      </c>
      <c r="C162" s="193" t="s">
        <v>409</v>
      </c>
      <c r="D162" s="193">
        <v>5</v>
      </c>
      <c r="E162" s="193">
        <v>21</v>
      </c>
      <c r="F162" s="193">
        <v>26743.199999999997</v>
      </c>
      <c r="G162" s="193">
        <v>20577.32</v>
      </c>
      <c r="H162" s="186">
        <f t="shared" si="0"/>
      </c>
      <c r="I162" s="194">
        <f t="shared" si="1"/>
      </c>
      <c r="J162" s="194">
        <f t="shared" si="2"/>
      </c>
      <c r="K162" s="193">
        <v>6</v>
      </c>
      <c r="L162" s="204">
        <v>6187.199999999997</v>
      </c>
      <c r="M162" s="204" t="s">
        <v>469</v>
      </c>
      <c r="N162" s="195">
        <v>10</v>
      </c>
      <c r="O162" s="195" t="s">
        <v>411</v>
      </c>
      <c r="P162" s="204">
        <v>10</v>
      </c>
    </row>
    <row r="163">
      <c r="A163" s="206" t="s">
        <v>473</v>
      </c>
      <c r="B163" s="197"/>
      <c r="C163" s="197"/>
      <c r="D163" s="198">
        <f>SUM(D159:D162)</f>
      </c>
      <c r="E163" s="198">
        <f>SUM(E159:E162)</f>
      </c>
      <c r="F163" s="199">
        <f>SUM(F159:F162)</f>
      </c>
      <c r="G163" s="198">
        <f>SUM(G159:G162)</f>
      </c>
      <c r="H163" s="200">
        <f t="shared" si="0"/>
      </c>
      <c r="I163" s="200">
        <f t="shared" si="1"/>
      </c>
      <c r="J163" s="200">
        <f t="shared" si="2"/>
      </c>
      <c r="K163" s="198">
        <f>SUM(K159:K162)</f>
      </c>
      <c r="L163" s="201">
        <f>SUM(L159:L162)</f>
      </c>
      <c r="M163" s="202"/>
      <c r="N163" s="201">
        <f>SUM(N159:N162)</f>
      </c>
      <c r="O163" s="202"/>
      <c r="P163" s="201">
        <f>SUM(P159:P162)</f>
      </c>
    </row>
    <row hidden="true" r="164">
      <c r="A164" s="203" t="s">
        <v>474</v>
      </c>
      <c r="B164" s="192" t="s">
        <v>428</v>
      </c>
      <c r="C164" s="193" t="s">
        <v>465</v>
      </c>
      <c r="D164" s="193">
        <v>4</v>
      </c>
      <c r="E164" s="193">
        <v>12</v>
      </c>
      <c r="F164" s="193">
        <v>19008</v>
      </c>
      <c r="G164" s="193">
        <v>7682.32</v>
      </c>
      <c r="H164" s="186">
        <f t="shared" si="0"/>
      </c>
      <c r="I164" s="194">
        <f t="shared" si="1"/>
      </c>
      <c r="J164" s="194">
        <f t="shared" si="2"/>
      </c>
      <c r="K164" s="193">
        <v>3</v>
      </c>
      <c r="L164" s="204">
        <v>3470.4</v>
      </c>
      <c r="M164" s="204" t="s">
        <v>475</v>
      </c>
      <c r="N164" s="195">
        <v>10</v>
      </c>
      <c r="O164" s="195" t="s">
        <v>401</v>
      </c>
      <c r="P164" s="204">
        <v>10</v>
      </c>
    </row>
    <row hidden="true" r="165">
      <c r="A165" s="203" t="s">
        <v>474</v>
      </c>
      <c r="B165" s="192" t="s">
        <v>439</v>
      </c>
      <c r="C165" s="193" t="s">
        <v>454</v>
      </c>
      <c r="D165" s="193">
        <v>4</v>
      </c>
      <c r="E165" s="193">
        <v>6</v>
      </c>
      <c r="F165" s="193">
        <v>9193</v>
      </c>
      <c r="G165" s="193">
        <v>6145.9800000000005</v>
      </c>
      <c r="H165" s="186">
        <f t="shared" si="0"/>
      </c>
      <c r="I165" s="194">
        <f t="shared" si="1"/>
      </c>
      <c r="J165" s="194">
        <f t="shared" si="2"/>
      </c>
      <c r="K165" s="193">
        <v>1</v>
      </c>
      <c r="L165" s="204">
        <v>1119.6</v>
      </c>
      <c r="M165" s="195"/>
      <c r="N165" s="195"/>
      <c r="O165" s="195"/>
      <c r="P165" s="195"/>
    </row>
    <row customHeight="true" hidden="true" ht="16.071428571428573" r="166">
      <c r="A166" s="203" t="s">
        <v>474</v>
      </c>
      <c r="B166" s="192" t="s">
        <v>408</v>
      </c>
      <c r="C166" s="193" t="s">
        <v>446</v>
      </c>
      <c r="D166" s="193">
        <v>4</v>
      </c>
      <c r="E166" s="193">
        <v>6</v>
      </c>
      <c r="F166" s="193">
        <v>8956.800000000003</v>
      </c>
      <c r="G166" s="193">
        <v>5472.43</v>
      </c>
      <c r="H166" s="186">
        <f t="shared" si="0"/>
      </c>
      <c r="I166" s="194">
        <f t="shared" si="1"/>
      </c>
      <c r="J166" s="194">
        <f t="shared" si="2"/>
      </c>
      <c r="K166" s="193">
        <v>1</v>
      </c>
      <c r="L166" s="204">
        <v>2011.1999999999998</v>
      </c>
      <c r="M166" s="195"/>
      <c r="N166" s="195"/>
      <c r="O166" s="195"/>
      <c r="P166" s="195"/>
    </row>
    <row hidden="true" r="167">
      <c r="A167" s="203" t="s">
        <v>474</v>
      </c>
      <c r="B167" s="192" t="s">
        <v>413</v>
      </c>
      <c r="C167" s="193" t="s">
        <v>447</v>
      </c>
      <c r="D167" s="193">
        <v>4</v>
      </c>
      <c r="E167" s="193">
        <v>11</v>
      </c>
      <c r="F167" s="193">
        <v>17182.199999999997</v>
      </c>
      <c r="G167" s="193">
        <v>10336.91</v>
      </c>
      <c r="H167" s="186">
        <f t="shared" si="0"/>
      </c>
      <c r="I167" s="194">
        <f t="shared" si="1"/>
      </c>
      <c r="J167" s="194">
        <f t="shared" si="2"/>
      </c>
      <c r="K167" s="193">
        <v>2</v>
      </c>
      <c r="L167" s="204">
        <v>2035.1999999999998</v>
      </c>
      <c r="M167" s="195"/>
      <c r="N167" s="195"/>
      <c r="O167" s="195"/>
      <c r="P167" s="195"/>
    </row>
    <row hidden="true" r="168">
      <c r="A168" s="203" t="s">
        <v>474</v>
      </c>
      <c r="B168" s="174" t="s">
        <v>398</v>
      </c>
      <c r="C168" s="193" t="s">
        <v>448</v>
      </c>
      <c r="D168" s="207">
        <v>3.5</v>
      </c>
      <c r="E168" s="193">
        <v>13</v>
      </c>
      <c r="F168" s="193">
        <v>15858</v>
      </c>
      <c r="G168" s="193">
        <v>13854.2</v>
      </c>
      <c r="H168" s="186">
        <f t="shared" si="0"/>
      </c>
      <c r="I168" s="194">
        <f t="shared" si="1"/>
      </c>
      <c r="J168" s="194">
        <f t="shared" si="2"/>
      </c>
      <c r="K168" s="193">
        <v>0</v>
      </c>
      <c r="L168" s="204">
        <v>0</v>
      </c>
      <c r="M168" s="204" t="s">
        <v>469</v>
      </c>
      <c r="N168" s="195">
        <v>10</v>
      </c>
      <c r="O168" s="195" t="s">
        <v>411</v>
      </c>
      <c r="P168" s="204">
        <v>10</v>
      </c>
    </row>
    <row r="169">
      <c r="A169" s="206" t="s">
        <v>474</v>
      </c>
      <c r="B169" s="197"/>
      <c r="C169" s="197"/>
      <c r="D169" s="198">
        <f>SUM(D164:D168)</f>
      </c>
      <c r="E169" s="198">
        <f>SUM(E164:E168)</f>
      </c>
      <c r="F169" s="199">
        <f>SUM(F164:F168)</f>
      </c>
      <c r="G169" s="198">
        <f>SUM(G164:G168)</f>
      </c>
      <c r="H169" s="200">
        <f t="shared" si="0"/>
      </c>
      <c r="I169" s="200">
        <f t="shared" si="1"/>
      </c>
      <c r="J169" s="200">
        <f t="shared" si="2"/>
      </c>
      <c r="K169" s="198">
        <f>SUM(K164:K168)</f>
      </c>
      <c r="L169" s="201">
        <f>SUM(L164:L168)</f>
      </c>
      <c r="M169" s="202"/>
      <c r="N169" s="201">
        <f>SUM(N164:N168)</f>
      </c>
      <c r="O169" s="202"/>
      <c r="P169" s="201">
        <f>SUM(P164:P168)</f>
      </c>
    </row>
    <row hidden="true" r="170">
      <c r="A170" s="203" t="s">
        <v>476</v>
      </c>
      <c r="B170" s="192" t="s">
        <v>428</v>
      </c>
      <c r="C170" s="193" t="s">
        <v>431</v>
      </c>
      <c r="D170" s="193">
        <v>5</v>
      </c>
      <c r="E170" s="193">
        <v>10</v>
      </c>
      <c r="F170" s="193">
        <v>20313</v>
      </c>
      <c r="G170" s="193">
        <v>10369.23</v>
      </c>
      <c r="H170" s="186">
        <f t="shared" si="0"/>
      </c>
      <c r="I170" s="194">
        <f t="shared" si="1"/>
      </c>
      <c r="J170" s="194">
        <f t="shared" si="2"/>
      </c>
      <c r="K170" s="193">
        <v>1</v>
      </c>
      <c r="L170" s="204">
        <v>2088</v>
      </c>
      <c r="M170" s="204" t="s">
        <v>475</v>
      </c>
      <c r="N170" s="195">
        <v>10</v>
      </c>
      <c r="O170" s="195" t="s">
        <v>401</v>
      </c>
      <c r="P170" s="204">
        <v>10</v>
      </c>
    </row>
    <row hidden="true" r="171">
      <c r="A171" s="203" t="s">
        <v>476</v>
      </c>
      <c r="B171" s="192" t="s">
        <v>439</v>
      </c>
      <c r="C171" s="193" t="s">
        <v>436</v>
      </c>
      <c r="D171" s="193">
        <v>5</v>
      </c>
      <c r="E171" s="193">
        <v>19</v>
      </c>
      <c r="F171" s="193">
        <v>27297.600000000002</v>
      </c>
      <c r="G171" s="193">
        <v>13237.17</v>
      </c>
      <c r="H171" s="186">
        <f t="shared" si="0"/>
      </c>
      <c r="I171" s="194">
        <f t="shared" si="1"/>
      </c>
      <c r="J171" s="194">
        <f t="shared" si="2"/>
      </c>
      <c r="K171" s="193">
        <v>8</v>
      </c>
      <c r="L171" s="204">
        <v>10838.4</v>
      </c>
      <c r="M171" s="195"/>
      <c r="N171" s="195"/>
      <c r="O171" s="195"/>
      <c r="P171" s="195"/>
    </row>
    <row hidden="true" r="172">
      <c r="A172" s="203" t="s">
        <v>476</v>
      </c>
      <c r="B172" s="192" t="s">
        <v>408</v>
      </c>
      <c r="C172" s="193" t="s">
        <v>421</v>
      </c>
      <c r="D172" s="193">
        <v>5</v>
      </c>
      <c r="E172" s="193">
        <v>4</v>
      </c>
      <c r="F172" s="193">
        <v>5966.399999999994</v>
      </c>
      <c r="G172" s="193">
        <v>9818.779999999999</v>
      </c>
      <c r="H172" s="186">
        <f t="shared" si="0"/>
      </c>
      <c r="I172" s="194">
        <f t="shared" si="1"/>
      </c>
      <c r="J172" s="194">
        <f t="shared" si="2"/>
      </c>
      <c r="K172" s="193">
        <v>1</v>
      </c>
      <c r="L172" s="204">
        <v>1092</v>
      </c>
      <c r="M172" s="195"/>
      <c r="N172" s="195"/>
      <c r="O172" s="195"/>
      <c r="P172" s="195"/>
    </row>
    <row hidden="true" r="173">
      <c r="A173" s="203" t="s">
        <v>476</v>
      </c>
      <c r="B173" s="174" t="s">
        <v>413</v>
      </c>
      <c r="C173" s="193" t="s">
        <v>409</v>
      </c>
      <c r="D173" s="193">
        <v>5</v>
      </c>
      <c r="E173" s="193">
        <v>21</v>
      </c>
      <c r="F173" s="193">
        <v>16471.199999999997</v>
      </c>
      <c r="G173" s="193">
        <v>19607.479999999996</v>
      </c>
      <c r="H173" s="186">
        <f t="shared" si="0"/>
      </c>
      <c r="I173" s="194">
        <f t="shared" si="1"/>
      </c>
      <c r="J173" s="194">
        <f t="shared" si="2"/>
      </c>
      <c r="K173" s="193">
        <v>0</v>
      </c>
      <c r="L173" s="204">
        <v>0</v>
      </c>
      <c r="M173" s="204" t="s">
        <v>469</v>
      </c>
      <c r="N173" s="195">
        <v>10</v>
      </c>
      <c r="O173" s="195" t="s">
        <v>411</v>
      </c>
      <c r="P173" s="204">
        <v>10</v>
      </c>
    </row>
    <row r="174">
      <c r="A174" s="206" t="s">
        <v>476</v>
      </c>
      <c r="B174" s="197"/>
      <c r="C174" s="197"/>
      <c r="D174" s="198">
        <f>SUM(D170:D173)</f>
      </c>
      <c r="E174" s="198">
        <f>SUM(E170:E173)</f>
      </c>
      <c r="F174" s="199">
        <f>SUM(F170:F173)</f>
      </c>
      <c r="G174" s="198">
        <f>SUM(G170:G173)</f>
      </c>
      <c r="H174" s="200">
        <f t="shared" si="0"/>
      </c>
      <c r="I174" s="200">
        <f t="shared" si="1"/>
      </c>
      <c r="J174" s="200">
        <f t="shared" si="2"/>
      </c>
      <c r="K174" s="198">
        <f>SUM(K170:K173)</f>
      </c>
      <c r="L174" s="201">
        <f>SUM(L170:L173)</f>
      </c>
      <c r="M174" s="202"/>
      <c r="N174" s="201">
        <f>SUM(N170:N173)</f>
      </c>
      <c r="O174" s="202"/>
      <c r="P174" s="201">
        <f>SUM(P170:P173)</f>
      </c>
    </row>
    <row hidden="true" r="175">
      <c r="A175" s="203" t="s">
        <v>477</v>
      </c>
      <c r="B175" s="192" t="s">
        <v>428</v>
      </c>
      <c r="C175" s="193" t="s">
        <v>431</v>
      </c>
      <c r="D175" s="193">
        <v>5</v>
      </c>
      <c r="E175" s="193">
        <v>18</v>
      </c>
      <c r="F175" s="193">
        <v>28615.2</v>
      </c>
      <c r="G175" s="193">
        <v>16656.66</v>
      </c>
      <c r="H175" s="186">
        <f t="shared" si="0"/>
      </c>
      <c r="I175" s="194">
        <f t="shared" si="1"/>
      </c>
      <c r="J175" s="194">
        <f t="shared" si="2"/>
      </c>
      <c r="K175" s="193">
        <v>2</v>
      </c>
      <c r="L175" s="204">
        <v>2726.4</v>
      </c>
      <c r="M175" s="204" t="s">
        <v>475</v>
      </c>
      <c r="N175" s="195">
        <v>10</v>
      </c>
      <c r="O175" s="195" t="s">
        <v>401</v>
      </c>
      <c r="P175" s="204">
        <v>10</v>
      </c>
    </row>
    <row hidden="true" r="176">
      <c r="A176" s="203" t="s">
        <v>477</v>
      </c>
      <c r="B176" s="192" t="s">
        <v>439</v>
      </c>
      <c r="C176" s="193" t="s">
        <v>436</v>
      </c>
      <c r="D176" s="207">
        <v>4.5</v>
      </c>
      <c r="E176" s="193">
        <v>15</v>
      </c>
      <c r="F176" s="193">
        <v>19747.8</v>
      </c>
      <c r="G176" s="193">
        <v>20426.4</v>
      </c>
      <c r="H176" s="186">
        <f t="shared" si="0"/>
      </c>
      <c r="I176" s="194">
        <f t="shared" si="1"/>
      </c>
      <c r="J176" s="194">
        <f t="shared" si="2"/>
      </c>
      <c r="K176" s="193">
        <v>2</v>
      </c>
      <c r="L176" s="204">
        <v>3326.4000000000005</v>
      </c>
      <c r="M176" s="195"/>
      <c r="N176" s="195"/>
      <c r="O176" s="195"/>
      <c r="P176" s="195"/>
    </row>
    <row hidden="true" r="177">
      <c r="A177" s="203" t="s">
        <v>477</v>
      </c>
      <c r="B177" s="192" t="s">
        <v>408</v>
      </c>
      <c r="C177" s="193" t="s">
        <v>421</v>
      </c>
      <c r="D177" s="207">
        <v>4</v>
      </c>
      <c r="E177" s="193">
        <v>18</v>
      </c>
      <c r="F177" s="193">
        <v>26122.199999999997</v>
      </c>
      <c r="G177" s="193">
        <v>18216.27</v>
      </c>
      <c r="H177" s="186">
        <f t="shared" si="0"/>
      </c>
      <c r="I177" s="194">
        <f t="shared" si="1"/>
      </c>
      <c r="J177" s="194">
        <f t="shared" si="2"/>
      </c>
      <c r="K177" s="193">
        <v>4</v>
      </c>
      <c r="L177" s="204">
        <v>4637.399999999998</v>
      </c>
      <c r="M177" s="195"/>
      <c r="N177" s="195"/>
      <c r="O177" s="195"/>
      <c r="P177" s="195"/>
    </row>
    <row hidden="true" r="178">
      <c r="A178" s="203" t="s">
        <v>477</v>
      </c>
      <c r="B178" s="174" t="s">
        <v>413</v>
      </c>
      <c r="C178" s="193" t="s">
        <v>409</v>
      </c>
      <c r="D178" s="207">
        <v>4</v>
      </c>
      <c r="E178" s="193">
        <v>31</v>
      </c>
      <c r="F178" s="193">
        <v>45151.2</v>
      </c>
      <c r="G178" s="193">
        <v>26877.629999999997</v>
      </c>
      <c r="H178" s="186">
        <f t="shared" si="0"/>
      </c>
      <c r="I178" s="194">
        <f t="shared" si="1"/>
      </c>
      <c r="J178" s="194">
        <f t="shared" si="2"/>
      </c>
      <c r="K178" s="193">
        <v>4</v>
      </c>
      <c r="L178" s="204">
        <v>2362.800000000001</v>
      </c>
      <c r="M178" s="204" t="s">
        <v>469</v>
      </c>
      <c r="N178" s="195">
        <v>10</v>
      </c>
      <c r="O178" s="195" t="s">
        <v>411</v>
      </c>
      <c r="P178" s="204">
        <v>10</v>
      </c>
    </row>
    <row customHeight="true" ht="16.071428571428573" r="179">
      <c r="A179" s="206" t="s">
        <v>477</v>
      </c>
      <c r="B179" s="197"/>
      <c r="C179" s="197"/>
      <c r="D179" s="198">
        <f>SUM(D175:D178)</f>
      </c>
      <c r="E179" s="198">
        <f>SUM(E175:E178)</f>
      </c>
      <c r="F179" s="199">
        <f>SUM(F175:F178)</f>
      </c>
      <c r="G179" s="198">
        <f>SUM(G175:G178)</f>
      </c>
      <c r="H179" s="200">
        <f t="shared" si="0"/>
      </c>
      <c r="I179" s="200">
        <f t="shared" si="1"/>
      </c>
      <c r="J179" s="200">
        <f t="shared" si="2"/>
      </c>
      <c r="K179" s="198">
        <f>SUM(K175:K178)</f>
      </c>
      <c r="L179" s="201">
        <f>SUM(L175:L178)</f>
      </c>
      <c r="M179" s="202"/>
      <c r="N179" s="201">
        <f>SUM(N175:N178)</f>
      </c>
      <c r="O179" s="202"/>
      <c r="P179" s="201">
        <f>SUM(P175:P178)</f>
      </c>
    </row>
    <row customHeight="true" ht="16.071428571428573" r="180">
      <c r="G180" s="208"/>
      <c r="I180" s="208"/>
    </row>
    <row customHeight="true" ht="16.071428571428573" r="181">
      <c r="G181" s="208"/>
      <c r="I181" s="208"/>
    </row>
    <row customHeight="true" ht="16.071428571428573" r="182">
      <c r="G182" s="208"/>
      <c r="I182" s="208"/>
    </row>
    <row customHeight="true" ht="16.071428571428573" r="183">
      <c r="G183" s="208"/>
      <c r="I183" s="208"/>
    </row>
    <row r="184">
      <c r="G184" s="208"/>
      <c r="I184" s="208"/>
    </row>
    <row r="185">
      <c r="G185" s="208"/>
      <c r="I185" s="208"/>
    </row>
    <row customHeight="true" ht="16.071428571428573" r="186">
      <c r="H186" s="208"/>
      <c r="I186" s="208"/>
    </row>
    <row customHeight="true" ht="16.071428571428573" r="187">
      <c r="H187" s="208"/>
      <c r="I187" s="208"/>
    </row>
    <row customHeight="true" ht="16.071428571428573" r="188">
      <c r="H188" s="208"/>
      <c r="I188" s="208"/>
    </row>
    <row customHeight="true" ht="16.071428571428573" r="189">
      <c r="H189" s="209"/>
      <c r="I189" s="208"/>
      <c r="J189" s="208"/>
    </row>
    <row customHeight="true" ht="16.071428571428573" r="190">
      <c r="H190" s="208"/>
      <c r="I190" s="208"/>
      <c r="J190" s="208"/>
    </row>
    <row customHeight="true" ht="16.071428571428573" r="191">
      <c r="H191" s="208"/>
      <c r="I191" s="208"/>
      <c r="J191" s="208"/>
    </row>
    <row customHeight="true" ht="16.071428571428573" r="192">
      <c r="H192" s="208"/>
      <c r="I192" s="208"/>
      <c r="J192" s="208"/>
    </row>
    <row customHeight="true" ht="16.071428571428573" r="193">
      <c r="H193" s="208"/>
      <c r="I193" s="208"/>
      <c r="J193" s="208"/>
    </row>
    <row customHeight="true" ht="16.071428571428573" r="194">
      <c r="H194" s="210"/>
      <c r="I194" s="208"/>
      <c r="J194" s="208"/>
    </row>
    <row customHeight="true" ht="16.071428571428573" r="195">
      <c r="I195" s="208"/>
      <c r="J195" s="208"/>
    </row>
    <row r="196">
      <c r="I196" s="208"/>
      <c r="J196" s="208"/>
    </row>
  </sheetData>
  <autoFilter ref="A1:P185">
    <filterColumn colId="1">
      <filters blank="true"/>
    </filterColumn>
  </autoFilter>
  <dataValidations count="3">
    <dataValidation allowBlank="true" errorStyle="stop" showErrorMessage="true" sqref="B2:B6 B8:B12 B14:B18 B20:B24 B26:B30 B32:B36 B38:B42" type="list">
      <formula1>"刘慕涵,林育菁,郝旭靓,栗敏纳,张晓薇,杜思利"</formula1>
    </dataValidation>
    <dataValidation allowBlank="true" errorStyle="stop" showErrorMessage="true" sqref="B44:B48 B50:B54 B56:B60 B62:B65 B127:B130 B132:B135 B137:B139 B141:B141" type="list">
      <formula1>"刘慕涵,林育菁,郝旭靓,栗敏纳,张晓薇,杜思利,连贝贝"</formula1>
    </dataValidation>
    <dataValidation allowBlank="true" errorStyle="stop" showErrorMessage="true" sqref="B67:B71 B73:B77 B79:B83 B85:B89 B91:B95 B97:B101 B103:B107 B109:B113 B115:B119 B121:B125 B140:B140 B143:B147 B149:B152 B154:B157 B159:B162 B164:B168 B170:B173 B175:B178" type="list">
      <formula1>"刘慕涵,林育菁,郝旭靓,栗敏纳,张晓薇,杜思利,连贝贝,陈梓栩"</formula1>
    </dataValidation>
  </dataValidation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4" min="4" style="0" width="11.211267605633802"/>
    <col collapsed="false" customWidth="true" hidden="false" max="7" min="7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3" min="3" style="0" width="11.211267605633802"/>
    <col collapsed="false" customWidth="true" hidden="false" max="11" min="11" style="0" width="11.211267605633802"/>
    <col collapsed="false" customWidth="true" hidden="false" max="15" min="15" style="0" width="11.211267605633802"/>
  </cols>
  <sheetData>
    <row r="1">
      <c r="A1" s="211" t="s">
        <v>478</v>
      </c>
      <c r="B1" s="212" t="s">
        <v>479</v>
      </c>
      <c r="C1" s="212" t="s">
        <v>480</v>
      </c>
      <c r="D1" s="212" t="s">
        <v>481</v>
      </c>
      <c r="E1" s="212" t="s">
        <v>482</v>
      </c>
      <c r="F1" s="213" t="s">
        <v>483</v>
      </c>
      <c r="G1" s="213" t="s">
        <v>484</v>
      </c>
      <c r="H1" s="213" t="s">
        <v>485</v>
      </c>
      <c r="I1" s="213" t="s">
        <v>486</v>
      </c>
      <c r="J1" s="213" t="s">
        <v>487</v>
      </c>
      <c r="K1" s="212" t="s">
        <v>488</v>
      </c>
      <c r="L1" s="212" t="s">
        <v>489</v>
      </c>
      <c r="M1" s="212" t="s">
        <v>490</v>
      </c>
      <c r="N1" s="212" t="s">
        <v>491</v>
      </c>
      <c r="O1" s="212" t="s">
        <v>492</v>
      </c>
      <c r="P1" s="212" t="s">
        <v>493</v>
      </c>
    </row>
    <row r="2">
      <c r="A2" s="214" t="s">
        <v>494</v>
      </c>
      <c r="B2" s="215" t="s">
        <v>495</v>
      </c>
      <c r="C2" s="216" t="s">
        <v>496</v>
      </c>
      <c r="D2" s="216">
        <v>5</v>
      </c>
      <c r="E2" s="216">
        <v>8</v>
      </c>
      <c r="F2" s="216">
        <v>9170.4</v>
      </c>
      <c r="G2" s="216">
        <v>8733.66</v>
      </c>
      <c r="H2" s="217">
        <f t="shared" ref="H2:H167" si="0">F2/G2</f>
      </c>
      <c r="I2" s="217">
        <f t="shared" ref="I2:I167" si="1">F2/E2</f>
      </c>
      <c r="J2" s="217">
        <f t="shared" ref="J2:J167" si="2">G2/E2</f>
      </c>
      <c r="K2" s="216">
        <v>1</v>
      </c>
      <c r="L2" s="216">
        <v>2407.2</v>
      </c>
      <c r="M2" s="216" t="s">
        <v>497</v>
      </c>
      <c r="N2" s="216">
        <v>10</v>
      </c>
      <c r="O2" s="216" t="s">
        <v>498</v>
      </c>
      <c r="P2" s="216">
        <v>10</v>
      </c>
    </row>
    <row r="3">
      <c r="A3" s="214" t="s">
        <v>494</v>
      </c>
      <c r="B3" s="215" t="s">
        <v>499</v>
      </c>
      <c r="C3" s="216" t="s">
        <v>500</v>
      </c>
      <c r="D3" s="216">
        <v>5</v>
      </c>
      <c r="E3" s="216">
        <v>11</v>
      </c>
      <c r="F3" s="216">
        <v>14764.800000000001</v>
      </c>
      <c r="G3" s="216">
        <v>10186.470000000001</v>
      </c>
      <c r="H3" s="217">
        <f t="shared" si="0"/>
      </c>
      <c r="I3" s="217">
        <f t="shared" si="1"/>
      </c>
      <c r="J3" s="217">
        <f t="shared" si="2"/>
      </c>
      <c r="K3" s="216">
        <v>2</v>
      </c>
      <c r="L3" s="216">
        <v>2598</v>
      </c>
      <c r="M3" s="216"/>
      <c r="N3" s="216"/>
      <c r="P3" s="218"/>
    </row>
    <row r="4">
      <c r="A4" s="214" t="s">
        <v>494</v>
      </c>
      <c r="B4" s="215" t="s">
        <v>501</v>
      </c>
      <c r="C4" s="216" t="s">
        <v>502</v>
      </c>
      <c r="D4" s="216">
        <v>2</v>
      </c>
      <c r="E4" s="216">
        <v>13</v>
      </c>
      <c r="F4" s="216">
        <v>22990.999999999996</v>
      </c>
      <c r="G4" s="216">
        <v>10140.06</v>
      </c>
      <c r="H4" s="217">
        <f t="shared" si="0"/>
      </c>
      <c r="I4" s="217">
        <f t="shared" si="1"/>
      </c>
      <c r="J4" s="217">
        <f t="shared" si="2"/>
      </c>
      <c r="K4" s="216">
        <v>2</v>
      </c>
      <c r="L4" s="216">
        <v>2316.2</v>
      </c>
      <c r="M4" s="216"/>
      <c r="N4" s="216"/>
      <c r="O4" s="218"/>
      <c r="P4" s="218"/>
    </row>
    <row r="5">
      <c r="A5" s="214" t="s">
        <v>494</v>
      </c>
      <c r="B5" s="215" t="s">
        <v>503</v>
      </c>
      <c r="C5" s="216" t="s">
        <v>504</v>
      </c>
      <c r="D5" s="216">
        <v>4</v>
      </c>
      <c r="E5" s="216">
        <v>13</v>
      </c>
      <c r="F5" s="216">
        <v>17575.200000000004</v>
      </c>
      <c r="G5" s="216">
        <v>15860.449999999999</v>
      </c>
      <c r="H5" s="217">
        <f t="shared" si="0"/>
      </c>
      <c r="I5" s="217">
        <f t="shared" si="1"/>
      </c>
      <c r="J5" s="217">
        <f t="shared" si="2"/>
      </c>
      <c r="K5" s="216">
        <v>2</v>
      </c>
      <c r="L5" s="216">
        <v>3170.4</v>
      </c>
      <c r="M5" s="216"/>
      <c r="N5" s="216"/>
      <c r="O5" s="218"/>
      <c r="P5" s="218"/>
    </row>
    <row r="6">
      <c r="A6" s="214" t="s">
        <v>494</v>
      </c>
      <c r="B6" s="215" t="s">
        <v>505</v>
      </c>
      <c r="C6" s="216" t="s">
        <v>506</v>
      </c>
      <c r="D6" s="216">
        <v>4</v>
      </c>
      <c r="E6" s="216">
        <v>17</v>
      </c>
      <c r="F6" s="219">
        <v>20937.59999999999</v>
      </c>
      <c r="G6" s="216">
        <v>13602.780000000002</v>
      </c>
      <c r="H6" s="217">
        <f t="shared" si="0"/>
      </c>
      <c r="I6" s="217">
        <f t="shared" si="1"/>
      </c>
      <c r="J6" s="217">
        <f t="shared" si="2"/>
      </c>
      <c r="K6" s="216">
        <v>2</v>
      </c>
      <c r="L6" s="216">
        <v>684</v>
      </c>
      <c r="M6" s="216" t="s">
        <v>507</v>
      </c>
      <c r="N6" s="220">
        <v>10</v>
      </c>
      <c r="O6" s="218" t="s">
        <v>508</v>
      </c>
      <c r="P6" s="216">
        <v>10</v>
      </c>
    </row>
    <row r="7">
      <c r="A7" s="221" t="s">
        <v>494</v>
      </c>
      <c r="B7" s="222"/>
      <c r="C7" s="222"/>
      <c r="D7" s="223">
        <f>SUM(D2:D6)</f>
      </c>
      <c r="E7" s="223">
        <f>SUM(E2:E6)</f>
      </c>
      <c r="F7" s="223">
        <f>SUM(F2:F6)</f>
      </c>
      <c r="G7" s="223">
        <f>SUM(G2:G6)</f>
      </c>
      <c r="H7" s="224">
        <f t="shared" si="0"/>
      </c>
      <c r="I7" s="224">
        <f t="shared" si="1"/>
      </c>
      <c r="J7" s="224">
        <f t="shared" si="2"/>
      </c>
      <c r="K7" s="223">
        <f>SUM(K2:K6)</f>
      </c>
      <c r="L7" s="223">
        <f>SUM(L2:L6)</f>
      </c>
      <c r="M7" s="225"/>
      <c r="N7" s="223">
        <f>SUM(N2:N6)</f>
      </c>
      <c r="O7" s="225"/>
      <c r="P7" s="223">
        <f>SUM(P2:P6)</f>
      </c>
    </row>
    <row r="8">
      <c r="A8" s="214" t="s">
        <v>509</v>
      </c>
      <c r="B8" s="215" t="s">
        <v>495</v>
      </c>
      <c r="C8" s="216" t="s">
        <v>496</v>
      </c>
      <c r="D8" s="216">
        <v>5</v>
      </c>
      <c r="E8" s="216">
        <v>24</v>
      </c>
      <c r="F8" s="216">
        <v>32616.12</v>
      </c>
      <c r="G8" s="216">
        <v>15749.009999999998</v>
      </c>
      <c r="H8" s="217">
        <f t="shared" si="0"/>
      </c>
      <c r="I8" s="217">
        <f t="shared" si="1"/>
      </c>
      <c r="J8" s="217">
        <f t="shared" si="2"/>
      </c>
      <c r="K8" s="216">
        <v>1</v>
      </c>
      <c r="L8" s="216">
        <v>270</v>
      </c>
      <c r="M8" s="216" t="s">
        <v>497</v>
      </c>
      <c r="N8" s="216">
        <v>10</v>
      </c>
      <c r="O8" s="216" t="s">
        <v>498</v>
      </c>
      <c r="P8" s="216">
        <v>10</v>
      </c>
    </row>
    <row r="9">
      <c r="A9" s="214" t="s">
        <v>509</v>
      </c>
      <c r="B9" s="215" t="s">
        <v>503</v>
      </c>
      <c r="C9" s="216" t="s">
        <v>500</v>
      </c>
      <c r="D9" s="216">
        <v>5</v>
      </c>
      <c r="E9" s="216">
        <v>15</v>
      </c>
      <c r="F9" s="216">
        <v>23282.399999999998</v>
      </c>
      <c r="G9" s="216">
        <v>18220.87</v>
      </c>
      <c r="H9" s="217">
        <f t="shared" si="0"/>
      </c>
      <c r="I9" s="217">
        <f t="shared" si="1"/>
      </c>
      <c r="J9" s="217">
        <f t="shared" si="2"/>
      </c>
      <c r="K9" s="216">
        <v>6</v>
      </c>
      <c r="L9" s="216">
        <v>8699.999999999996</v>
      </c>
      <c r="M9" s="216"/>
      <c r="N9" s="216"/>
      <c r="P9" s="218"/>
    </row>
    <row r="10">
      <c r="A10" s="214" t="s">
        <v>509</v>
      </c>
      <c r="B10" s="215" t="s">
        <v>501</v>
      </c>
      <c r="C10" s="216" t="s">
        <v>502</v>
      </c>
      <c r="D10" s="216">
        <v>2</v>
      </c>
      <c r="E10" s="216">
        <v>5</v>
      </c>
      <c r="F10" s="216">
        <v>7769.800000000003</v>
      </c>
      <c r="G10" s="216">
        <v>4275.04</v>
      </c>
      <c r="H10" s="217">
        <f t="shared" si="0"/>
      </c>
      <c r="I10" s="217">
        <f t="shared" si="1"/>
      </c>
      <c r="J10" s="217">
        <f t="shared" si="2"/>
      </c>
      <c r="K10" s="216">
        <v>2</v>
      </c>
      <c r="L10" s="216">
        <v>3818.4</v>
      </c>
      <c r="M10" s="216"/>
      <c r="N10" s="216"/>
      <c r="O10" s="218"/>
      <c r="P10" s="218"/>
    </row>
    <row r="11">
      <c r="A11" s="214" t="s">
        <v>509</v>
      </c>
      <c r="B11" s="215" t="s">
        <v>499</v>
      </c>
      <c r="C11" s="216" t="s">
        <v>504</v>
      </c>
      <c r="D11" s="216">
        <v>4</v>
      </c>
      <c r="E11" s="216">
        <v>17</v>
      </c>
      <c r="F11" s="216">
        <v>22508.4</v>
      </c>
      <c r="G11" s="216">
        <v>12174.060000000001</v>
      </c>
      <c r="H11" s="217">
        <f t="shared" si="0"/>
      </c>
      <c r="I11" s="217">
        <f t="shared" si="1"/>
      </c>
      <c r="J11" s="217">
        <f t="shared" si="2"/>
      </c>
      <c r="K11" s="216">
        <v>8</v>
      </c>
      <c r="L11" s="216">
        <v>7294.800000000001</v>
      </c>
      <c r="M11" s="216"/>
      <c r="N11" s="216"/>
      <c r="O11" s="218"/>
      <c r="P11" s="218"/>
    </row>
    <row r="12">
      <c r="A12" s="214" t="s">
        <v>509</v>
      </c>
      <c r="B12" s="215" t="s">
        <v>505</v>
      </c>
      <c r="C12" s="216" t="s">
        <v>506</v>
      </c>
      <c r="D12" s="216">
        <v>4</v>
      </c>
      <c r="E12" s="216">
        <v>22</v>
      </c>
      <c r="F12" s="219">
        <v>33030.00000000001</v>
      </c>
      <c r="G12" s="216">
        <v>18073.5</v>
      </c>
      <c r="H12" s="217">
        <f t="shared" si="0"/>
      </c>
      <c r="I12" s="217">
        <f t="shared" si="1"/>
      </c>
      <c r="J12" s="217">
        <f t="shared" si="2"/>
      </c>
      <c r="K12" s="216">
        <v>2</v>
      </c>
      <c r="L12" s="216">
        <v>1576.800000000003</v>
      </c>
      <c r="M12" s="216" t="s">
        <v>507</v>
      </c>
      <c r="N12" s="220">
        <v>10</v>
      </c>
      <c r="O12" s="218" t="s">
        <v>508</v>
      </c>
      <c r="P12" s="216">
        <v>10</v>
      </c>
    </row>
    <row r="13">
      <c r="A13" s="221" t="s">
        <v>509</v>
      </c>
      <c r="B13" s="222"/>
      <c r="C13" s="222"/>
      <c r="D13" s="223">
        <f>SUM(D8:D12)</f>
      </c>
      <c r="E13" s="223">
        <f>SUM(E8:E12)</f>
      </c>
      <c r="F13" s="223">
        <f>SUM(F8:F12)</f>
      </c>
      <c r="G13" s="223">
        <f>SUM(G8:G12)</f>
      </c>
      <c r="H13" s="224">
        <f t="shared" si="0"/>
      </c>
      <c r="I13" s="224">
        <f t="shared" si="1"/>
      </c>
      <c r="J13" s="224">
        <f t="shared" si="2"/>
      </c>
      <c r="K13" s="223">
        <f>SUM(K8:K12)</f>
      </c>
      <c r="L13" s="223">
        <f>SUM(L8:L12)</f>
      </c>
      <c r="M13" s="225"/>
      <c r="N13" s="223">
        <f>SUM(N8:N12)</f>
      </c>
      <c r="O13" s="225"/>
      <c r="P13" s="223">
        <f>SUM(P8:P12)</f>
      </c>
    </row>
    <row r="14">
      <c r="A14" s="214" t="s">
        <v>510</v>
      </c>
      <c r="B14" s="215" t="s">
        <v>503</v>
      </c>
      <c r="C14" s="216" t="s">
        <v>511</v>
      </c>
      <c r="D14" s="216">
        <v>4</v>
      </c>
      <c r="E14" s="216">
        <v>13</v>
      </c>
      <c r="F14" s="216">
        <v>20157.800000000003</v>
      </c>
      <c r="G14" s="216">
        <v>12853.05</v>
      </c>
      <c r="H14" s="217">
        <f t="shared" si="0"/>
      </c>
      <c r="I14" s="217">
        <f t="shared" si="1"/>
      </c>
      <c r="J14" s="217">
        <f t="shared" si="2"/>
      </c>
      <c r="K14" s="216">
        <v>3</v>
      </c>
      <c r="L14" s="216">
        <v>3453.6000000000004</v>
      </c>
      <c r="M14" s="216" t="s">
        <v>497</v>
      </c>
      <c r="N14" s="216">
        <v>10</v>
      </c>
      <c r="O14" s="216" t="s">
        <v>498</v>
      </c>
      <c r="P14" s="216">
        <v>10</v>
      </c>
    </row>
    <row r="15">
      <c r="A15" s="214" t="s">
        <v>510</v>
      </c>
      <c r="B15" s="215" t="s">
        <v>495</v>
      </c>
      <c r="C15" s="216" t="s">
        <v>512</v>
      </c>
      <c r="D15" s="216">
        <v>5</v>
      </c>
      <c r="E15" s="216">
        <v>4</v>
      </c>
      <c r="F15" s="216">
        <v>5768.4</v>
      </c>
      <c r="G15" s="216">
        <v>9306.15</v>
      </c>
      <c r="H15" s="217">
        <f t="shared" si="0"/>
      </c>
      <c r="I15" s="217">
        <f t="shared" si="1"/>
      </c>
      <c r="J15" s="217">
        <f t="shared" si="2"/>
      </c>
      <c r="K15" s="216">
        <v>0</v>
      </c>
      <c r="L15" s="216">
        <v>0</v>
      </c>
      <c r="M15" s="216"/>
      <c r="N15" s="216"/>
      <c r="P15" s="218"/>
    </row>
    <row r="16">
      <c r="A16" s="214" t="s">
        <v>510</v>
      </c>
      <c r="B16" s="215" t="s">
        <v>501</v>
      </c>
      <c r="C16" s="216" t="s">
        <v>513</v>
      </c>
      <c r="D16" s="216">
        <v>3</v>
      </c>
      <c r="E16" s="216">
        <v>2</v>
      </c>
      <c r="F16" s="216">
        <v>3674.399999999994</v>
      </c>
      <c r="G16" s="216">
        <v>3473.21</v>
      </c>
      <c r="H16" s="217">
        <f t="shared" si="0"/>
      </c>
      <c r="I16" s="217">
        <f t="shared" si="1"/>
      </c>
      <c r="J16" s="217">
        <f t="shared" si="2"/>
      </c>
      <c r="K16" s="216">
        <v>0</v>
      </c>
      <c r="L16" s="216">
        <v>0</v>
      </c>
      <c r="M16" s="216"/>
      <c r="N16" s="216"/>
      <c r="O16" s="218"/>
      <c r="P16" s="218"/>
    </row>
    <row r="17">
      <c r="A17" s="214" t="s">
        <v>510</v>
      </c>
      <c r="B17" s="215" t="s">
        <v>514</v>
      </c>
      <c r="C17" s="216" t="s">
        <v>515</v>
      </c>
      <c r="D17" s="216">
        <v>3</v>
      </c>
      <c r="E17" s="216">
        <v>14</v>
      </c>
      <c r="F17" s="216">
        <v>19845</v>
      </c>
      <c r="G17" s="216">
        <v>7920.32</v>
      </c>
      <c r="H17" s="217">
        <f t="shared" si="0"/>
      </c>
      <c r="I17" s="217">
        <f t="shared" si="1"/>
      </c>
      <c r="J17" s="217">
        <f t="shared" si="2"/>
      </c>
      <c r="K17" s="216">
        <v>2</v>
      </c>
      <c r="L17" s="216">
        <v>2755.2</v>
      </c>
      <c r="M17" s="216"/>
      <c r="N17" s="216"/>
      <c r="O17" s="218"/>
      <c r="P17" s="218"/>
    </row>
    <row r="18">
      <c r="A18" s="214" t="s">
        <v>510</v>
      </c>
      <c r="B18" s="215" t="s">
        <v>505</v>
      </c>
      <c r="C18" s="216" t="s">
        <v>516</v>
      </c>
      <c r="D18" s="216">
        <v>5</v>
      </c>
      <c r="E18" s="216">
        <v>36</v>
      </c>
      <c r="F18" s="219">
        <v>48017.200000000004</v>
      </c>
      <c r="G18" s="216">
        <v>23263.46</v>
      </c>
      <c r="H18" s="217">
        <f t="shared" si="0"/>
      </c>
      <c r="I18" s="217">
        <f t="shared" si="1"/>
      </c>
      <c r="J18" s="217">
        <f t="shared" si="2"/>
      </c>
      <c r="K18" s="216">
        <v>2</v>
      </c>
      <c r="L18" s="216">
        <v>2378.4000000000005</v>
      </c>
      <c r="M18" s="216" t="s">
        <v>507</v>
      </c>
      <c r="N18" s="220">
        <v>10</v>
      </c>
      <c r="O18" s="218" t="s">
        <v>508</v>
      </c>
      <c r="P18" s="216">
        <v>10</v>
      </c>
    </row>
    <row r="19">
      <c r="A19" s="221" t="s">
        <v>510</v>
      </c>
      <c r="B19" s="222"/>
      <c r="C19" s="222"/>
      <c r="D19" s="223">
        <f>SUM(D14:D18)</f>
      </c>
      <c r="E19" s="223">
        <f>SUM(E14:E18)</f>
      </c>
      <c r="F19" s="223">
        <f>SUM(F14:F18)</f>
      </c>
      <c r="G19" s="223">
        <f>SUM(G14:G18)</f>
      </c>
      <c r="H19" s="224">
        <f t="shared" si="0"/>
      </c>
      <c r="I19" s="224">
        <f t="shared" si="1"/>
      </c>
      <c r="J19" s="224">
        <f t="shared" si="2"/>
      </c>
      <c r="K19" s="223">
        <f>SUM(K14:K18)</f>
      </c>
      <c r="L19" s="223">
        <f>SUM(L14:L18)</f>
      </c>
      <c r="M19" s="225"/>
      <c r="N19" s="223">
        <f>SUM(N14:N18)</f>
      </c>
      <c r="O19" s="225"/>
      <c r="P19" s="223">
        <f>SUM(P14:P18)</f>
      </c>
    </row>
    <row r="20">
      <c r="A20" s="214" t="s">
        <v>517</v>
      </c>
      <c r="B20" s="215" t="s">
        <v>503</v>
      </c>
      <c r="C20" s="216" t="s">
        <v>511</v>
      </c>
      <c r="D20" s="216">
        <v>4</v>
      </c>
      <c r="E20" s="216">
        <v>9</v>
      </c>
      <c r="F20" s="216">
        <v>12861.600000000002</v>
      </c>
      <c r="G20" s="216">
        <v>10209.88</v>
      </c>
      <c r="H20" s="217">
        <f t="shared" si="0"/>
      </c>
      <c r="I20" s="217">
        <f t="shared" si="1"/>
      </c>
      <c r="J20" s="217">
        <f t="shared" si="2"/>
      </c>
      <c r="K20" s="216">
        <v>1</v>
      </c>
      <c r="L20" s="216">
        <v>225.6</v>
      </c>
      <c r="M20" s="216" t="s">
        <v>518</v>
      </c>
      <c r="N20" s="216">
        <v>10</v>
      </c>
      <c r="O20" s="216" t="s">
        <v>498</v>
      </c>
      <c r="P20" s="216">
        <v>10</v>
      </c>
    </row>
    <row r="21">
      <c r="A21" s="214" t="s">
        <v>517</v>
      </c>
      <c r="B21" s="215" t="s">
        <v>495</v>
      </c>
      <c r="C21" s="216" t="s">
        <v>512</v>
      </c>
      <c r="D21" s="216">
        <v>5</v>
      </c>
      <c r="E21" s="216">
        <v>17</v>
      </c>
      <c r="F21" s="216">
        <v>25377.399999999998</v>
      </c>
      <c r="G21" s="216">
        <v>15121.25</v>
      </c>
      <c r="H21" s="217">
        <f t="shared" si="0"/>
      </c>
      <c r="I21" s="217">
        <f t="shared" si="1"/>
      </c>
      <c r="J21" s="217">
        <f t="shared" si="2"/>
      </c>
      <c r="K21" s="216">
        <v>4</v>
      </c>
      <c r="L21" s="216">
        <v>4746</v>
      </c>
      <c r="M21" s="216"/>
      <c r="N21" s="216"/>
      <c r="P21" s="218"/>
    </row>
    <row r="22">
      <c r="A22" s="214" t="s">
        <v>517</v>
      </c>
      <c r="B22" s="215" t="s">
        <v>501</v>
      </c>
      <c r="C22" s="216" t="s">
        <v>513</v>
      </c>
      <c r="D22" s="216">
        <v>3</v>
      </c>
      <c r="E22" s="216">
        <v>5</v>
      </c>
      <c r="F22" s="216">
        <v>6048</v>
      </c>
      <c r="G22" s="216">
        <v>7163.139999999999</v>
      </c>
      <c r="H22" s="217">
        <f t="shared" si="0"/>
      </c>
      <c r="I22" s="217">
        <f t="shared" si="1"/>
      </c>
      <c r="J22" s="217">
        <f t="shared" si="2"/>
      </c>
      <c r="K22" s="216">
        <v>3</v>
      </c>
      <c r="L22" s="216">
        <v>2692.7999999999993</v>
      </c>
      <c r="M22" s="216"/>
      <c r="N22" s="216"/>
      <c r="O22" s="218"/>
      <c r="P22" s="218"/>
    </row>
    <row r="23">
      <c r="A23" s="214" t="s">
        <v>517</v>
      </c>
      <c r="B23" s="215" t="s">
        <v>514</v>
      </c>
      <c r="C23" s="216" t="s">
        <v>504</v>
      </c>
      <c r="D23" s="216">
        <v>4</v>
      </c>
      <c r="E23" s="216">
        <v>12</v>
      </c>
      <c r="F23" s="216">
        <v>19952.4</v>
      </c>
      <c r="G23" s="216">
        <v>13254.31</v>
      </c>
      <c r="H23" s="217">
        <f t="shared" si="0"/>
      </c>
      <c r="I23" s="217">
        <f t="shared" si="1"/>
      </c>
      <c r="J23" s="217">
        <f t="shared" si="2"/>
      </c>
      <c r="K23" s="216">
        <v>3</v>
      </c>
      <c r="L23" s="216">
        <v>4621.200000000001</v>
      </c>
      <c r="M23" s="216"/>
      <c r="N23" s="216"/>
      <c r="O23" s="218"/>
      <c r="P23" s="218"/>
    </row>
    <row r="24">
      <c r="A24" s="214" t="s">
        <v>517</v>
      </c>
      <c r="B24" s="215" t="s">
        <v>499</v>
      </c>
      <c r="C24" s="216" t="s">
        <v>506</v>
      </c>
      <c r="D24" s="216">
        <v>4</v>
      </c>
      <c r="E24" s="216">
        <v>16</v>
      </c>
      <c r="F24" s="219">
        <v>22022.399999999994</v>
      </c>
      <c r="G24" s="216">
        <v>13542.49</v>
      </c>
      <c r="H24" s="217">
        <f t="shared" si="0"/>
      </c>
      <c r="I24" s="217">
        <f t="shared" si="1"/>
      </c>
      <c r="J24" s="217">
        <f t="shared" si="2"/>
      </c>
      <c r="K24" s="216">
        <v>4</v>
      </c>
      <c r="L24" s="216">
        <v>3506.3999999999996</v>
      </c>
      <c r="M24" s="216" t="s">
        <v>507</v>
      </c>
      <c r="N24" s="220">
        <v>10</v>
      </c>
      <c r="O24" s="218" t="s">
        <v>508</v>
      </c>
      <c r="P24" s="216">
        <v>10</v>
      </c>
    </row>
    <row r="25">
      <c r="A25" s="221" t="s">
        <v>517</v>
      </c>
      <c r="B25" s="222"/>
      <c r="C25" s="222"/>
      <c r="D25" s="223">
        <f>SUM(D20:D24)</f>
      </c>
      <c r="E25" s="223">
        <f>SUM(E20:E24)</f>
      </c>
      <c r="F25" s="223">
        <f>SUM(F20:F24)</f>
      </c>
      <c r="G25" s="223">
        <f>SUM(G20:G24)</f>
      </c>
      <c r="H25" s="224">
        <f t="shared" si="0"/>
      </c>
      <c r="I25" s="224">
        <f t="shared" si="1"/>
      </c>
      <c r="J25" s="224">
        <f t="shared" si="2"/>
      </c>
      <c r="K25" s="223">
        <f>SUM(K20:K24)</f>
      </c>
      <c r="L25" s="223">
        <f>SUM(L20:L24)</f>
      </c>
      <c r="M25" s="225"/>
      <c r="N25" s="223">
        <f>SUM(N20:N24)</f>
      </c>
      <c r="O25" s="225"/>
      <c r="P25" s="223">
        <f>SUM(P20:P24)</f>
      </c>
    </row>
    <row r="26">
      <c r="A26" s="214" t="s">
        <v>519</v>
      </c>
      <c r="B26" s="215" t="s">
        <v>495</v>
      </c>
      <c r="C26" s="216" t="s">
        <v>496</v>
      </c>
      <c r="D26" s="216">
        <v>5</v>
      </c>
      <c r="E26" s="216">
        <v>9</v>
      </c>
      <c r="F26" s="216">
        <v>12669.6</v>
      </c>
      <c r="G26" s="216">
        <v>11575.880000000001</v>
      </c>
      <c r="H26" s="217">
        <f t="shared" si="0"/>
      </c>
      <c r="I26" s="217">
        <f t="shared" si="1"/>
      </c>
      <c r="J26" s="217">
        <f t="shared" si="2"/>
      </c>
      <c r="K26" s="216">
        <v>1</v>
      </c>
      <c r="L26" s="216">
        <v>2011.2000000000003</v>
      </c>
      <c r="M26" s="216" t="s">
        <v>518</v>
      </c>
      <c r="N26" s="216">
        <v>10</v>
      </c>
      <c r="O26" s="216" t="s">
        <v>498</v>
      </c>
      <c r="P26" s="216">
        <v>10</v>
      </c>
    </row>
    <row r="27">
      <c r="A27" s="214" t="s">
        <v>519</v>
      </c>
      <c r="B27" s="215" t="s">
        <v>503</v>
      </c>
      <c r="C27" s="216" t="s">
        <v>520</v>
      </c>
      <c r="D27" s="216">
        <v>4</v>
      </c>
      <c r="E27" s="216">
        <v>15</v>
      </c>
      <c r="F27" s="216">
        <v>17944.800000000003</v>
      </c>
      <c r="G27" s="216">
        <v>12334.55</v>
      </c>
      <c r="H27" s="217">
        <f t="shared" si="0"/>
      </c>
      <c r="I27" s="217">
        <f t="shared" si="1"/>
      </c>
      <c r="J27" s="217">
        <f t="shared" si="2"/>
      </c>
      <c r="K27" s="216">
        <v>5</v>
      </c>
      <c r="L27" s="216">
        <v>2234.4</v>
      </c>
      <c r="M27" s="216"/>
      <c r="N27" s="216"/>
      <c r="P27" s="218"/>
    </row>
    <row r="28">
      <c r="A28" s="214" t="s">
        <v>519</v>
      </c>
      <c r="B28" s="215" t="s">
        <v>501</v>
      </c>
      <c r="C28" s="216" t="s">
        <v>513</v>
      </c>
      <c r="D28" s="216">
        <v>3</v>
      </c>
      <c r="E28" s="216">
        <v>14</v>
      </c>
      <c r="F28" s="216">
        <v>21265.799999999996</v>
      </c>
      <c r="G28" s="216">
        <v>9779.900000000001</v>
      </c>
      <c r="H28" s="217">
        <f t="shared" si="0"/>
      </c>
      <c r="I28" s="217">
        <f t="shared" si="1"/>
      </c>
      <c r="J28" s="217">
        <f t="shared" si="2"/>
      </c>
      <c r="K28" s="216">
        <v>0</v>
      </c>
      <c r="L28" s="216">
        <v>0</v>
      </c>
      <c r="M28" s="216"/>
      <c r="N28" s="216"/>
      <c r="O28" s="218"/>
      <c r="P28" s="218"/>
    </row>
    <row r="29">
      <c r="A29" s="214" t="s">
        <v>519</v>
      </c>
      <c r="B29" s="215" t="s">
        <v>514</v>
      </c>
      <c r="C29" s="216" t="s">
        <v>504</v>
      </c>
      <c r="D29" s="216">
        <v>4</v>
      </c>
      <c r="E29" s="216">
        <v>16</v>
      </c>
      <c r="F29" s="216">
        <v>20814.800000000003</v>
      </c>
      <c r="G29" s="216">
        <v>18293.68</v>
      </c>
      <c r="H29" s="217">
        <f t="shared" si="0"/>
      </c>
      <c r="I29" s="217">
        <f t="shared" si="1"/>
      </c>
      <c r="J29" s="217">
        <f t="shared" si="2"/>
      </c>
      <c r="K29" s="216">
        <v>1</v>
      </c>
      <c r="L29" s="216">
        <v>763.1999999999998</v>
      </c>
      <c r="M29" s="216"/>
      <c r="N29" s="216"/>
      <c r="O29" s="218"/>
      <c r="P29" s="218"/>
    </row>
    <row r="30">
      <c r="A30" s="214" t="s">
        <v>519</v>
      </c>
      <c r="B30" s="215" t="s">
        <v>499</v>
      </c>
      <c r="C30" s="216" t="s">
        <v>506</v>
      </c>
      <c r="D30" s="216">
        <v>4</v>
      </c>
      <c r="E30" s="216">
        <v>11</v>
      </c>
      <c r="F30" s="219">
        <v>13296</v>
      </c>
      <c r="G30" s="216">
        <v>9942.970000000001</v>
      </c>
      <c r="H30" s="217">
        <f t="shared" si="0"/>
      </c>
      <c r="I30" s="217">
        <f t="shared" si="1"/>
      </c>
      <c r="J30" s="217">
        <f t="shared" si="2"/>
      </c>
      <c r="K30" s="216">
        <v>1</v>
      </c>
      <c r="L30" s="216">
        <v>686.3999999999996</v>
      </c>
      <c r="M30" s="216" t="s">
        <v>507</v>
      </c>
      <c r="N30" s="220">
        <v>10</v>
      </c>
      <c r="O30" s="218" t="s">
        <v>508</v>
      </c>
      <c r="P30" s="216">
        <v>10</v>
      </c>
    </row>
    <row r="31">
      <c r="A31" s="221" t="s">
        <v>519</v>
      </c>
      <c r="B31" s="222"/>
      <c r="C31" s="222"/>
      <c r="D31" s="223">
        <f>SUM(D26:D30)</f>
      </c>
      <c r="E31" s="223">
        <f>SUM(E26:E30)</f>
      </c>
      <c r="F31" s="223">
        <f>SUM(F26:F30)</f>
      </c>
      <c r="G31" s="223">
        <f>SUM(G26:G30)</f>
      </c>
      <c r="H31" s="224">
        <f t="shared" si="0"/>
      </c>
      <c r="I31" s="224">
        <f t="shared" si="1"/>
      </c>
      <c r="J31" s="224">
        <f t="shared" si="2"/>
      </c>
      <c r="K31" s="223">
        <f>SUM(K26:K30)</f>
      </c>
      <c r="L31" s="223">
        <f>SUM(L26:L30)</f>
      </c>
      <c r="M31" s="225"/>
      <c r="N31" s="223">
        <f>SUM(N26:N30)</f>
      </c>
      <c r="O31" s="225"/>
      <c r="P31" s="223">
        <f>SUM(P26:P30)</f>
      </c>
    </row>
    <row r="32">
      <c r="A32" s="214" t="s">
        <v>521</v>
      </c>
      <c r="B32" s="215" t="s">
        <v>495</v>
      </c>
      <c r="C32" s="216" t="s">
        <v>496</v>
      </c>
      <c r="D32" s="216">
        <v>5</v>
      </c>
      <c r="E32" s="216">
        <v>24</v>
      </c>
      <c r="F32" s="216">
        <v>38235.6</v>
      </c>
      <c r="G32" s="216">
        <v>20628.34</v>
      </c>
      <c r="H32" s="217">
        <f t="shared" si="0"/>
      </c>
      <c r="I32" s="217">
        <f t="shared" si="1"/>
      </c>
      <c r="J32" s="217">
        <f t="shared" si="2"/>
      </c>
      <c r="K32" s="216">
        <v>2</v>
      </c>
      <c r="L32" s="216">
        <v>3703.2</v>
      </c>
      <c r="M32" s="216" t="s">
        <v>518</v>
      </c>
      <c r="N32" s="216">
        <v>10</v>
      </c>
      <c r="O32" s="216" t="s">
        <v>498</v>
      </c>
      <c r="P32" s="216">
        <v>10</v>
      </c>
    </row>
    <row r="33">
      <c r="A33" s="214" t="s">
        <v>521</v>
      </c>
      <c r="B33" s="215" t="s">
        <v>514</v>
      </c>
      <c r="C33" s="216" t="s">
        <v>500</v>
      </c>
      <c r="D33" s="216">
        <v>5</v>
      </c>
      <c r="E33" s="216">
        <v>22</v>
      </c>
      <c r="F33" s="216">
        <v>24399.6</v>
      </c>
      <c r="G33" s="216">
        <v>13095.939999999999</v>
      </c>
      <c r="H33" s="217">
        <f t="shared" si="0"/>
      </c>
      <c r="I33" s="217">
        <f t="shared" si="1"/>
      </c>
      <c r="J33" s="217">
        <f t="shared" si="2"/>
      </c>
      <c r="K33" s="216">
        <v>3</v>
      </c>
      <c r="L33" s="216">
        <v>5040.000000000001</v>
      </c>
      <c r="M33" s="216"/>
      <c r="N33" s="216"/>
      <c r="P33" s="218"/>
    </row>
    <row r="34">
      <c r="A34" s="214" t="s">
        <v>521</v>
      </c>
      <c r="B34" s="215" t="s">
        <v>505</v>
      </c>
      <c r="C34" s="216" t="s">
        <v>504</v>
      </c>
      <c r="D34" s="216">
        <v>5</v>
      </c>
      <c r="E34" s="216">
        <v>26</v>
      </c>
      <c r="F34" s="216">
        <v>36805.40000000001</v>
      </c>
      <c r="G34" s="216">
        <v>17651.31</v>
      </c>
      <c r="H34" s="217">
        <f t="shared" si="0"/>
      </c>
      <c r="I34" s="217">
        <f t="shared" si="1"/>
      </c>
      <c r="J34" s="217">
        <f t="shared" si="2"/>
      </c>
      <c r="K34" s="216">
        <v>3</v>
      </c>
      <c r="L34" s="216">
        <v>1634.3999999999996</v>
      </c>
      <c r="M34" s="216"/>
      <c r="N34" s="216"/>
      <c r="O34" s="218"/>
      <c r="P34" s="218"/>
    </row>
    <row r="35">
      <c r="A35" s="214" t="s">
        <v>521</v>
      </c>
      <c r="B35" s="215" t="s">
        <v>499</v>
      </c>
      <c r="C35" s="216" t="s">
        <v>506</v>
      </c>
      <c r="D35" s="216">
        <v>5</v>
      </c>
      <c r="E35" s="216">
        <v>20</v>
      </c>
      <c r="F35" s="219">
        <v>25614.59999999999</v>
      </c>
      <c r="G35" s="216">
        <v>21198.219999999998</v>
      </c>
      <c r="H35" s="217">
        <f t="shared" si="0"/>
      </c>
      <c r="I35" s="217">
        <f t="shared" si="1"/>
      </c>
      <c r="J35" s="217">
        <f t="shared" si="2"/>
      </c>
      <c r="K35" s="216">
        <v>1</v>
      </c>
      <c r="L35" s="216">
        <v>2088</v>
      </c>
      <c r="M35" s="216" t="s">
        <v>507</v>
      </c>
      <c r="N35" s="220">
        <v>10</v>
      </c>
      <c r="O35" s="218" t="s">
        <v>508</v>
      </c>
      <c r="P35" s="216">
        <v>10</v>
      </c>
    </row>
    <row r="36">
      <c r="A36" s="221" t="s">
        <v>521</v>
      </c>
      <c r="B36" s="222"/>
      <c r="C36" s="222"/>
      <c r="D36" s="223">
        <f>SUM(D32:D35)</f>
      </c>
      <c r="E36" s="223">
        <f>SUM(E32:E35)</f>
      </c>
      <c r="F36" s="223">
        <f>SUM(F32:F35)</f>
      </c>
      <c r="G36" s="223">
        <f>SUM(G32:G35)</f>
      </c>
      <c r="H36" s="224">
        <f t="shared" si="0"/>
      </c>
      <c r="I36" s="224">
        <f t="shared" si="1"/>
      </c>
      <c r="J36" s="224">
        <f t="shared" si="2"/>
      </c>
      <c r="K36" s="223">
        <f>SUM(K32:K35)</f>
      </c>
      <c r="L36" s="223">
        <f>SUM(L32:L35)</f>
      </c>
      <c r="M36" s="225"/>
      <c r="N36" s="223">
        <f>SUM(N32:N35)</f>
      </c>
      <c r="O36" s="225"/>
      <c r="P36" s="223">
        <f>SUM(P32:P35)</f>
      </c>
    </row>
    <row r="37">
      <c r="A37" s="214" t="s">
        <v>522</v>
      </c>
      <c r="B37" s="215" t="s">
        <v>495</v>
      </c>
      <c r="C37" s="216" t="s">
        <v>511</v>
      </c>
      <c r="D37" s="216">
        <v>4</v>
      </c>
      <c r="E37" s="216">
        <v>10</v>
      </c>
      <c r="F37" s="216">
        <v>14961.6</v>
      </c>
      <c r="G37" s="216">
        <v>12927.82</v>
      </c>
      <c r="H37" s="217">
        <f t="shared" si="0"/>
      </c>
      <c r="I37" s="217">
        <f t="shared" si="1"/>
      </c>
      <c r="J37" s="217">
        <f t="shared" si="2"/>
      </c>
      <c r="K37" s="216">
        <v>1</v>
      </c>
      <c r="L37" s="216">
        <v>1692</v>
      </c>
      <c r="M37" s="216" t="s">
        <v>518</v>
      </c>
      <c r="N37" s="216">
        <v>10</v>
      </c>
      <c r="O37" s="216" t="s">
        <v>498</v>
      </c>
      <c r="P37" s="216">
        <v>10</v>
      </c>
    </row>
    <row r="38">
      <c r="A38" s="214" t="s">
        <v>522</v>
      </c>
      <c r="B38" s="215" t="s">
        <v>503</v>
      </c>
      <c r="C38" s="216" t="s">
        <v>523</v>
      </c>
      <c r="D38" s="216">
        <v>4</v>
      </c>
      <c r="E38" s="216">
        <v>5</v>
      </c>
      <c r="F38" s="216">
        <v>8888.4</v>
      </c>
      <c r="G38" s="216">
        <v>8912.25</v>
      </c>
      <c r="H38" s="217">
        <f t="shared" si="0"/>
      </c>
      <c r="I38" s="217">
        <f t="shared" si="1"/>
      </c>
      <c r="J38" s="217">
        <f t="shared" si="2"/>
      </c>
      <c r="K38" s="216">
        <v>2</v>
      </c>
      <c r="L38" s="216">
        <v>3703.2</v>
      </c>
      <c r="M38" s="216"/>
      <c r="N38" s="216"/>
      <c r="P38" s="218"/>
    </row>
    <row r="39">
      <c r="A39" s="214" t="s">
        <v>522</v>
      </c>
      <c r="B39" s="215" t="s">
        <v>501</v>
      </c>
      <c r="C39" s="216" t="s">
        <v>524</v>
      </c>
      <c r="D39" s="216">
        <v>4</v>
      </c>
      <c r="E39" s="216">
        <v>9</v>
      </c>
      <c r="F39" s="216">
        <v>13070.400000000001</v>
      </c>
      <c r="G39" s="216">
        <v>7039.53</v>
      </c>
      <c r="H39" s="217">
        <f t="shared" si="0"/>
      </c>
      <c r="I39" s="217">
        <f t="shared" si="1"/>
      </c>
      <c r="J39" s="217">
        <f t="shared" si="2"/>
      </c>
      <c r="K39" s="216">
        <v>2</v>
      </c>
      <c r="L39" s="216">
        <v>2126.4</v>
      </c>
      <c r="M39" s="216"/>
      <c r="N39" s="216"/>
      <c r="O39" s="218"/>
      <c r="P39" s="218"/>
    </row>
    <row r="40">
      <c r="A40" s="214" t="s">
        <v>522</v>
      </c>
      <c r="B40" s="215" t="s">
        <v>514</v>
      </c>
      <c r="C40" s="216" t="s">
        <v>504</v>
      </c>
      <c r="D40" s="216">
        <v>4</v>
      </c>
      <c r="E40" s="216">
        <v>10</v>
      </c>
      <c r="F40" s="216">
        <v>14178</v>
      </c>
      <c r="G40" s="216">
        <v>9032.67</v>
      </c>
      <c r="H40" s="217">
        <f t="shared" si="0"/>
      </c>
      <c r="I40" s="217">
        <f t="shared" si="1"/>
      </c>
      <c r="J40" s="217">
        <f t="shared" si="2"/>
      </c>
      <c r="K40" s="216">
        <v>0</v>
      </c>
      <c r="L40" s="216">
        <v>0</v>
      </c>
      <c r="M40" s="216"/>
      <c r="N40" s="216"/>
      <c r="O40" s="218"/>
      <c r="P40" s="218"/>
    </row>
    <row r="41">
      <c r="A41" s="214" t="s">
        <v>522</v>
      </c>
      <c r="B41" s="215" t="s">
        <v>505</v>
      </c>
      <c r="C41" s="216" t="s">
        <v>506</v>
      </c>
      <c r="D41" s="216">
        <v>4</v>
      </c>
      <c r="E41" s="216">
        <v>14</v>
      </c>
      <c r="F41" s="219">
        <v>21058.799999999996</v>
      </c>
      <c r="G41" s="216">
        <v>13842.039999999999</v>
      </c>
      <c r="H41" s="217">
        <f t="shared" si="0"/>
      </c>
      <c r="I41" s="217">
        <f t="shared" si="1"/>
      </c>
      <c r="J41" s="217">
        <f t="shared" si="2"/>
      </c>
      <c r="K41" s="216">
        <v>1</v>
      </c>
      <c r="L41" s="216">
        <v>763.1999999999989</v>
      </c>
      <c r="M41" s="216" t="s">
        <v>507</v>
      </c>
      <c r="N41" s="220">
        <v>10</v>
      </c>
      <c r="O41" s="218" t="s">
        <v>508</v>
      </c>
      <c r="P41" s="216">
        <v>10</v>
      </c>
    </row>
    <row r="42">
      <c r="A42" s="221" t="s">
        <v>522</v>
      </c>
      <c r="B42" s="222"/>
      <c r="C42" s="222"/>
      <c r="D42" s="223">
        <f>SUM(D37:D41)</f>
      </c>
      <c r="E42" s="223">
        <f>SUM(E37:E41)</f>
      </c>
      <c r="F42" s="223">
        <f>SUM(F37:F41)</f>
      </c>
      <c r="G42" s="223">
        <f>SUM(G37:G41)</f>
      </c>
      <c r="H42" s="224">
        <f t="shared" si="0"/>
      </c>
      <c r="I42" s="224">
        <f t="shared" si="1"/>
      </c>
      <c r="J42" s="224">
        <f t="shared" si="2"/>
      </c>
      <c r="K42" s="223">
        <f>SUM(K37:K41)</f>
      </c>
      <c r="L42" s="223">
        <f>SUM(L37:L41)</f>
      </c>
      <c r="M42" s="225"/>
      <c r="N42" s="223">
        <f>SUM(N37:N41)</f>
      </c>
      <c r="O42" s="225"/>
      <c r="P42" s="223">
        <f>SUM(P37:P41)</f>
      </c>
    </row>
    <row r="43">
      <c r="A43" s="214" t="s">
        <v>525</v>
      </c>
      <c r="B43" s="215" t="s">
        <v>495</v>
      </c>
      <c r="C43" s="216" t="s">
        <v>511</v>
      </c>
      <c r="D43" s="216">
        <v>4</v>
      </c>
      <c r="E43" s="216">
        <v>13</v>
      </c>
      <c r="F43" s="216">
        <v>21396</v>
      </c>
      <c r="G43" s="216">
        <v>13696.1</v>
      </c>
      <c r="H43" s="217">
        <f t="shared" si="0"/>
      </c>
      <c r="I43" s="217">
        <f t="shared" si="1"/>
      </c>
      <c r="J43" s="217">
        <f t="shared" si="2"/>
      </c>
      <c r="K43" s="216">
        <v>1</v>
      </c>
      <c r="L43" s="216">
        <v>2011.2</v>
      </c>
      <c r="M43" s="216" t="s">
        <v>518</v>
      </c>
      <c r="N43" s="216">
        <v>10</v>
      </c>
      <c r="O43" s="216" t="s">
        <v>498</v>
      </c>
      <c r="P43" s="216">
        <v>10</v>
      </c>
    </row>
    <row r="44">
      <c r="A44" s="214" t="s">
        <v>525</v>
      </c>
      <c r="B44" s="215" t="s">
        <v>503</v>
      </c>
      <c r="C44" s="216" t="s">
        <v>523</v>
      </c>
      <c r="D44" s="216">
        <v>4</v>
      </c>
      <c r="E44" s="216">
        <v>10</v>
      </c>
      <c r="F44" s="216">
        <v>12969.599999999999</v>
      </c>
      <c r="G44" s="216">
        <v>12079.879999999997</v>
      </c>
      <c r="H44" s="217">
        <f t="shared" si="0"/>
      </c>
      <c r="I44" s="217">
        <f t="shared" si="1"/>
      </c>
      <c r="J44" s="217">
        <f t="shared" si="2"/>
      </c>
      <c r="K44" s="216">
        <v>3</v>
      </c>
      <c r="L44" s="216">
        <v>3626.4</v>
      </c>
      <c r="M44" s="216"/>
      <c r="N44" s="216"/>
      <c r="P44" s="218"/>
    </row>
    <row r="45">
      <c r="A45" s="214" t="s">
        <v>525</v>
      </c>
      <c r="B45" s="215" t="s">
        <v>505</v>
      </c>
      <c r="C45" s="216" t="s">
        <v>524</v>
      </c>
      <c r="D45" s="216">
        <v>4</v>
      </c>
      <c r="E45" s="216">
        <v>21</v>
      </c>
      <c r="F45" s="216">
        <v>22310</v>
      </c>
      <c r="G45" s="216">
        <v>12683.29</v>
      </c>
      <c r="H45" s="217">
        <f t="shared" si="0"/>
      </c>
      <c r="I45" s="217">
        <f t="shared" si="1"/>
      </c>
      <c r="J45" s="217">
        <f t="shared" si="2"/>
      </c>
      <c r="K45" s="216">
        <v>3</v>
      </c>
      <c r="L45" s="216">
        <v>1814.4</v>
      </c>
      <c r="M45" s="216"/>
      <c r="N45" s="216"/>
      <c r="O45" s="218"/>
      <c r="P45" s="218"/>
    </row>
    <row r="46">
      <c r="A46" s="214" t="s">
        <v>525</v>
      </c>
      <c r="B46" s="215" t="s">
        <v>501</v>
      </c>
      <c r="C46" s="216" t="s">
        <v>504</v>
      </c>
      <c r="D46" s="216">
        <v>4</v>
      </c>
      <c r="E46" s="216">
        <v>16</v>
      </c>
      <c r="F46" s="216">
        <v>24213.6</v>
      </c>
      <c r="G46" s="216">
        <v>12965.84</v>
      </c>
      <c r="H46" s="217">
        <f t="shared" si="0"/>
      </c>
      <c r="I46" s="217">
        <f t="shared" si="1"/>
      </c>
      <c r="J46" s="217">
        <f t="shared" si="2"/>
      </c>
      <c r="K46" s="216">
        <v>0</v>
      </c>
      <c r="L46" s="216">
        <v>0</v>
      </c>
      <c r="M46" s="216"/>
      <c r="N46" s="216"/>
      <c r="O46" s="218"/>
      <c r="P46" s="218"/>
    </row>
    <row r="47">
      <c r="A47" s="214" t="s">
        <v>525</v>
      </c>
      <c r="B47" s="215" t="s">
        <v>499</v>
      </c>
      <c r="C47" s="216" t="s">
        <v>506</v>
      </c>
      <c r="D47" s="216">
        <v>4</v>
      </c>
      <c r="E47" s="216">
        <v>20</v>
      </c>
      <c r="F47" s="219">
        <v>24225.600000000006</v>
      </c>
      <c r="G47" s="216">
        <v>17542.77</v>
      </c>
      <c r="H47" s="217">
        <f t="shared" si="0"/>
      </c>
      <c r="I47" s="217">
        <f t="shared" si="1"/>
      </c>
      <c r="J47" s="217">
        <f t="shared" si="2"/>
      </c>
      <c r="K47" s="216">
        <v>4</v>
      </c>
      <c r="L47" s="216">
        <v>5930.4</v>
      </c>
      <c r="M47" s="216" t="s">
        <v>507</v>
      </c>
      <c r="N47" s="220">
        <v>10</v>
      </c>
      <c r="O47" s="218" t="s">
        <v>508</v>
      </c>
      <c r="P47" s="216">
        <v>10</v>
      </c>
    </row>
    <row r="48">
      <c r="A48" s="221" t="s">
        <v>525</v>
      </c>
      <c r="B48" s="222"/>
      <c r="C48" s="222"/>
      <c r="D48" s="223">
        <f>SUM(D43:D47)</f>
      </c>
      <c r="E48" s="223">
        <f>SUM(E43:E47)</f>
      </c>
      <c r="F48" s="223">
        <f>SUM(F43:F47)</f>
      </c>
      <c r="G48" s="223">
        <f>SUM(G43:G47)</f>
      </c>
      <c r="H48" s="224">
        <f t="shared" si="0"/>
      </c>
      <c r="I48" s="224">
        <f t="shared" si="1"/>
      </c>
      <c r="J48" s="224">
        <f t="shared" si="2"/>
      </c>
      <c r="K48" s="223">
        <f>SUM(K43:K47)</f>
      </c>
      <c r="L48" s="223">
        <f>SUM(L43:L47)</f>
      </c>
      <c r="M48" s="225"/>
      <c r="N48" s="223">
        <f>SUM(N43:N47)</f>
      </c>
      <c r="O48" s="225"/>
      <c r="P48" s="223">
        <f>SUM(P43:P47)</f>
      </c>
    </row>
    <row r="49">
      <c r="A49" s="214" t="s">
        <v>526</v>
      </c>
      <c r="B49" s="215" t="s">
        <v>514</v>
      </c>
      <c r="C49" s="216" t="s">
        <v>511</v>
      </c>
      <c r="D49" s="216">
        <v>4</v>
      </c>
      <c r="E49" s="216">
        <v>12</v>
      </c>
      <c r="F49" s="216">
        <v>13030.8</v>
      </c>
      <c r="G49" s="216">
        <v>10245.26</v>
      </c>
      <c r="H49" s="217">
        <f t="shared" si="0"/>
      </c>
      <c r="I49" s="217">
        <f t="shared" si="1"/>
      </c>
      <c r="J49" s="217">
        <f t="shared" si="2"/>
      </c>
      <c r="K49" s="216">
        <v>1</v>
      </c>
      <c r="L49" s="216">
        <v>1344</v>
      </c>
      <c r="M49" s="216" t="s">
        <v>518</v>
      </c>
      <c r="N49" s="216">
        <v>10</v>
      </c>
      <c r="O49" s="216" t="s">
        <v>498</v>
      </c>
      <c r="P49" s="216">
        <v>10</v>
      </c>
    </row>
    <row r="50">
      <c r="A50" s="214" t="s">
        <v>526</v>
      </c>
      <c r="B50" s="215" t="s">
        <v>495</v>
      </c>
      <c r="C50" s="216" t="s">
        <v>523</v>
      </c>
      <c r="D50" s="216">
        <v>4</v>
      </c>
      <c r="E50" s="216">
        <v>10</v>
      </c>
      <c r="F50" s="216">
        <v>13480.8</v>
      </c>
      <c r="G50" s="216">
        <v>12187.759999999998</v>
      </c>
      <c r="H50" s="217">
        <f t="shared" si="0"/>
      </c>
      <c r="I50" s="217">
        <f t="shared" si="1"/>
      </c>
      <c r="J50" s="217">
        <f t="shared" si="2"/>
      </c>
      <c r="K50" s="216">
        <v>3</v>
      </c>
      <c r="L50" s="216">
        <v>2551.2</v>
      </c>
      <c r="M50" s="216"/>
      <c r="N50" s="216"/>
      <c r="P50" s="218"/>
    </row>
    <row r="51">
      <c r="A51" s="214" t="s">
        <v>526</v>
      </c>
      <c r="B51" s="215" t="s">
        <v>503</v>
      </c>
      <c r="C51" s="216" t="s">
        <v>524</v>
      </c>
      <c r="D51" s="216">
        <v>4</v>
      </c>
      <c r="E51" s="216">
        <v>9</v>
      </c>
      <c r="F51" s="216">
        <v>9892.800000000003</v>
      </c>
      <c r="G51" s="216">
        <v>8954.91</v>
      </c>
      <c r="H51" s="217">
        <f t="shared" si="0"/>
      </c>
      <c r="I51" s="217">
        <f t="shared" si="1"/>
      </c>
      <c r="J51" s="217">
        <f t="shared" si="2"/>
      </c>
      <c r="K51" s="216">
        <v>1</v>
      </c>
      <c r="L51" s="216">
        <v>691.1999999999998</v>
      </c>
      <c r="M51" s="216"/>
      <c r="N51" s="216"/>
      <c r="O51" s="218"/>
      <c r="P51" s="218"/>
    </row>
    <row r="52">
      <c r="A52" s="214" t="s">
        <v>526</v>
      </c>
      <c r="B52" s="215" t="s">
        <v>501</v>
      </c>
      <c r="C52" s="216" t="s">
        <v>504</v>
      </c>
      <c r="D52" s="216">
        <v>4</v>
      </c>
      <c r="E52" s="216">
        <v>12</v>
      </c>
      <c r="F52" s="216">
        <v>17542.8</v>
      </c>
      <c r="G52" s="216">
        <v>10829.880000000001</v>
      </c>
      <c r="H52" s="217">
        <f t="shared" si="0"/>
      </c>
      <c r="I52" s="217">
        <f t="shared" si="1"/>
      </c>
      <c r="J52" s="217">
        <f t="shared" si="2"/>
      </c>
      <c r="K52" s="216">
        <v>3</v>
      </c>
      <c r="L52" s="216">
        <v>5018.4</v>
      </c>
      <c r="M52" s="216"/>
      <c r="N52" s="216"/>
      <c r="O52" s="218"/>
      <c r="P52" s="218"/>
    </row>
    <row r="53">
      <c r="A53" s="214" t="s">
        <v>526</v>
      </c>
      <c r="B53" s="215" t="s">
        <v>499</v>
      </c>
      <c r="C53" s="216" t="s">
        <v>506</v>
      </c>
      <c r="D53" s="216">
        <v>4</v>
      </c>
      <c r="E53" s="216">
        <v>15</v>
      </c>
      <c r="F53" s="219">
        <v>12544.799999999996</v>
      </c>
      <c r="G53" s="216">
        <v>12467.119999999999</v>
      </c>
      <c r="H53" s="217">
        <f t="shared" si="0"/>
      </c>
      <c r="I53" s="217">
        <f t="shared" si="1"/>
      </c>
      <c r="J53" s="217">
        <f t="shared" si="2"/>
      </c>
      <c r="K53" s="216">
        <v>1</v>
      </c>
      <c r="L53" s="216">
        <v>178.8000000000011</v>
      </c>
      <c r="M53" s="216" t="s">
        <v>507</v>
      </c>
      <c r="N53" s="220">
        <v>10</v>
      </c>
      <c r="O53" s="218" t="s">
        <v>508</v>
      </c>
      <c r="P53" s="216">
        <v>10</v>
      </c>
    </row>
    <row r="54">
      <c r="A54" s="221" t="s">
        <v>526</v>
      </c>
      <c r="B54" s="222"/>
      <c r="C54" s="222"/>
      <c r="D54" s="223">
        <f>SUM(D49:D53)</f>
      </c>
      <c r="E54" s="223">
        <f>SUM(E49:E53)</f>
      </c>
      <c r="F54" s="223">
        <f>SUM(F49:F53)</f>
      </c>
      <c r="G54" s="223">
        <f>SUM(G49:G53)</f>
      </c>
      <c r="H54" s="224">
        <f t="shared" si="0"/>
      </c>
      <c r="I54" s="224">
        <f t="shared" si="1"/>
      </c>
      <c r="J54" s="224">
        <f t="shared" si="2"/>
      </c>
      <c r="K54" s="223">
        <f>SUM(K49:K53)</f>
      </c>
      <c r="L54" s="223">
        <f>SUM(L49:L53)</f>
      </c>
      <c r="M54" s="225"/>
      <c r="N54" s="223">
        <f>SUM(N49:N53)</f>
      </c>
      <c r="O54" s="225"/>
      <c r="P54" s="223">
        <f>SUM(P49:P53)</f>
      </c>
    </row>
    <row r="55">
      <c r="A55" s="214" t="s">
        <v>527</v>
      </c>
      <c r="B55" s="215" t="s">
        <v>495</v>
      </c>
      <c r="C55" s="216" t="s">
        <v>496</v>
      </c>
      <c r="D55" s="216">
        <v>5</v>
      </c>
      <c r="E55" s="216">
        <v>8</v>
      </c>
      <c r="F55" s="216">
        <v>6143.4</v>
      </c>
      <c r="G55" s="216">
        <v>10862.39</v>
      </c>
      <c r="H55" s="217">
        <f t="shared" si="0"/>
      </c>
      <c r="I55" s="217">
        <f t="shared" si="1"/>
      </c>
      <c r="J55" s="217">
        <f t="shared" si="2"/>
      </c>
      <c r="K55" s="216">
        <v>0</v>
      </c>
      <c r="L55" s="216">
        <v>0</v>
      </c>
      <c r="M55" s="216" t="s">
        <v>528</v>
      </c>
      <c r="N55" s="216">
        <v>10</v>
      </c>
      <c r="O55" s="216" t="s">
        <v>498</v>
      </c>
      <c r="P55" s="216">
        <v>10</v>
      </c>
    </row>
    <row r="56">
      <c r="A56" s="214" t="s">
        <v>527</v>
      </c>
      <c r="B56" s="215" t="s">
        <v>501</v>
      </c>
      <c r="C56" s="216" t="s">
        <v>500</v>
      </c>
      <c r="D56" s="216">
        <v>5</v>
      </c>
      <c r="E56" s="216">
        <v>16</v>
      </c>
      <c r="F56" s="216">
        <v>11535.4</v>
      </c>
      <c r="G56" s="216">
        <v>13071.2</v>
      </c>
      <c r="H56" s="217">
        <f t="shared" si="0"/>
      </c>
      <c r="I56" s="217">
        <f t="shared" si="1"/>
      </c>
      <c r="J56" s="217">
        <f t="shared" si="2"/>
      </c>
      <c r="K56" s="216">
        <v>0</v>
      </c>
      <c r="L56" s="216">
        <v>0</v>
      </c>
      <c r="M56" s="216"/>
      <c r="N56" s="216"/>
      <c r="P56" s="218"/>
    </row>
    <row r="57">
      <c r="A57" s="214" t="s">
        <v>527</v>
      </c>
      <c r="B57" s="215" t="s">
        <v>499</v>
      </c>
      <c r="C57" s="216" t="s">
        <v>529</v>
      </c>
      <c r="D57" s="216">
        <v>5</v>
      </c>
      <c r="E57" s="216">
        <v>5</v>
      </c>
      <c r="F57" s="216">
        <v>9940.8</v>
      </c>
      <c r="G57" s="216">
        <v>6501.200000000001</v>
      </c>
      <c r="H57" s="217">
        <f t="shared" si="0"/>
      </c>
      <c r="I57" s="217">
        <f t="shared" si="1"/>
      </c>
      <c r="J57" s="217">
        <f t="shared" si="2"/>
      </c>
      <c r="K57" s="216">
        <v>0</v>
      </c>
      <c r="L57" s="216">
        <v>0</v>
      </c>
      <c r="M57" s="216"/>
      <c r="N57" s="216"/>
      <c r="O57" s="218"/>
      <c r="P57" s="218"/>
    </row>
    <row r="58">
      <c r="A58" s="214" t="s">
        <v>527</v>
      </c>
      <c r="B58" s="215" t="s">
        <v>514</v>
      </c>
      <c r="C58" s="216" t="s">
        <v>530</v>
      </c>
      <c r="D58" s="216">
        <v>4</v>
      </c>
      <c r="E58" s="216">
        <v>11</v>
      </c>
      <c r="F58" s="219">
        <v>15191.04</v>
      </c>
      <c r="G58" s="216">
        <v>10474.84</v>
      </c>
      <c r="H58" s="217">
        <f t="shared" si="0"/>
      </c>
      <c r="I58" s="217">
        <f t="shared" si="1"/>
      </c>
      <c r="J58" s="217">
        <f t="shared" si="2"/>
      </c>
      <c r="K58" s="216">
        <v>2</v>
      </c>
      <c r="L58" s="216">
        <v>1740</v>
      </c>
      <c r="M58" s="216" t="s">
        <v>531</v>
      </c>
      <c r="N58" s="220">
        <v>9</v>
      </c>
      <c r="O58" s="218" t="s">
        <v>508</v>
      </c>
      <c r="P58" s="216">
        <v>9</v>
      </c>
    </row>
    <row r="59">
      <c r="A59" s="221" t="s">
        <v>527</v>
      </c>
      <c r="B59" s="222"/>
      <c r="C59" s="222"/>
      <c r="D59" s="223">
        <f>SUM(D55:D58)</f>
      </c>
      <c r="E59" s="223">
        <f>SUM(E55:E58)</f>
      </c>
      <c r="F59" s="223">
        <f>SUM(F55:F58)</f>
      </c>
      <c r="G59" s="223">
        <f>SUM(G55:G58)</f>
      </c>
      <c r="H59" s="224">
        <f t="shared" si="0"/>
      </c>
      <c r="I59" s="224">
        <f t="shared" si="1"/>
      </c>
      <c r="J59" s="224">
        <f t="shared" si="2"/>
      </c>
      <c r="K59" s="223">
        <f>SUM(K55:K58)</f>
      </c>
      <c r="L59" s="223">
        <f>SUM(L55:L58)</f>
      </c>
      <c r="M59" s="225"/>
      <c r="N59" s="223">
        <f>SUM(N55:N58)</f>
      </c>
      <c r="O59" s="225"/>
      <c r="P59" s="223">
        <f>SUM(P55:P58)</f>
      </c>
    </row>
    <row r="60">
      <c r="A60" s="214" t="s">
        <v>532</v>
      </c>
      <c r="B60" s="215" t="s">
        <v>495</v>
      </c>
      <c r="C60" s="216" t="s">
        <v>496</v>
      </c>
      <c r="D60" s="216">
        <v>5</v>
      </c>
      <c r="E60" s="216">
        <v>15</v>
      </c>
      <c r="F60" s="216">
        <v>17324.2</v>
      </c>
      <c r="G60" s="216">
        <v>17838.519999999997</v>
      </c>
      <c r="H60" s="217">
        <f t="shared" si="0"/>
      </c>
      <c r="I60" s="217">
        <f t="shared" si="1"/>
      </c>
      <c r="J60" s="217">
        <f t="shared" si="2"/>
      </c>
      <c r="K60" s="216">
        <v>6</v>
      </c>
      <c r="L60" s="216">
        <v>6201.4</v>
      </c>
      <c r="M60" s="216" t="s">
        <v>518</v>
      </c>
      <c r="N60" s="216">
        <v>10</v>
      </c>
      <c r="O60" s="216" t="s">
        <v>498</v>
      </c>
      <c r="P60" s="216">
        <v>10</v>
      </c>
    </row>
    <row r="61">
      <c r="A61" s="214" t="s">
        <v>532</v>
      </c>
      <c r="B61" s="215" t="s">
        <v>499</v>
      </c>
      <c r="C61" s="216" t="s">
        <v>500</v>
      </c>
      <c r="D61" s="216">
        <v>5</v>
      </c>
      <c r="E61" s="216">
        <v>13</v>
      </c>
      <c r="F61" s="216">
        <v>16260.399999999998</v>
      </c>
      <c r="G61" s="216">
        <v>11120.779999999999</v>
      </c>
      <c r="H61" s="217">
        <f t="shared" si="0"/>
      </c>
      <c r="I61" s="217">
        <f t="shared" si="1"/>
      </c>
      <c r="J61" s="217">
        <f t="shared" si="2"/>
      </c>
      <c r="K61" s="216">
        <v>2</v>
      </c>
      <c r="L61" s="216">
        <v>3106</v>
      </c>
      <c r="M61" s="216"/>
      <c r="N61" s="216"/>
      <c r="P61" s="218"/>
    </row>
    <row r="62">
      <c r="A62" s="214" t="s">
        <v>532</v>
      </c>
      <c r="B62" s="215" t="s">
        <v>501</v>
      </c>
      <c r="C62" s="216" t="s">
        <v>529</v>
      </c>
      <c r="D62" s="216">
        <v>5</v>
      </c>
      <c r="E62" s="216">
        <v>10</v>
      </c>
      <c r="F62" s="216">
        <v>17056.4</v>
      </c>
      <c r="G62" s="216">
        <v>9574.66</v>
      </c>
      <c r="H62" s="217">
        <f t="shared" si="0"/>
      </c>
      <c r="I62" s="217">
        <f t="shared" si="1"/>
      </c>
      <c r="J62" s="217">
        <f t="shared" si="2"/>
      </c>
      <c r="K62" s="216">
        <v>0</v>
      </c>
      <c r="L62" s="216">
        <v>0</v>
      </c>
      <c r="M62" s="216"/>
      <c r="N62" s="216"/>
      <c r="O62" s="218"/>
      <c r="P62" s="218"/>
    </row>
    <row r="63">
      <c r="A63" s="214" t="s">
        <v>532</v>
      </c>
      <c r="B63" s="215" t="s">
        <v>505</v>
      </c>
      <c r="C63" s="216" t="s">
        <v>516</v>
      </c>
      <c r="D63" s="216">
        <v>5</v>
      </c>
      <c r="E63" s="216">
        <v>12</v>
      </c>
      <c r="F63" s="219">
        <v>18924.000000000007</v>
      </c>
      <c r="G63" s="216">
        <v>15460.850000000002</v>
      </c>
      <c r="H63" s="217">
        <f t="shared" si="0"/>
      </c>
      <c r="I63" s="217">
        <f t="shared" si="1"/>
      </c>
      <c r="J63" s="217">
        <f t="shared" si="2"/>
      </c>
      <c r="K63" s="216">
        <v>2</v>
      </c>
      <c r="L63" s="216">
        <v>2035.2000000000007</v>
      </c>
      <c r="M63" s="216" t="s">
        <v>507</v>
      </c>
      <c r="N63" s="220">
        <v>10</v>
      </c>
      <c r="O63" s="218" t="s">
        <v>508</v>
      </c>
      <c r="P63" s="216">
        <v>10</v>
      </c>
    </row>
    <row r="64">
      <c r="A64" s="221" t="s">
        <v>532</v>
      </c>
      <c r="B64" s="222"/>
      <c r="C64" s="222"/>
      <c r="D64" s="223">
        <f>SUM(D60:D63)</f>
      </c>
      <c r="E64" s="223">
        <f>SUM(E60:E63)</f>
      </c>
      <c r="F64" s="223">
        <f>SUM(F60:F63)</f>
      </c>
      <c r="G64" s="223">
        <f>SUM(G60:G63)</f>
      </c>
      <c r="H64" s="224">
        <f t="shared" si="0"/>
      </c>
      <c r="I64" s="224">
        <f t="shared" si="1"/>
      </c>
      <c r="J64" s="224">
        <f t="shared" si="2"/>
      </c>
      <c r="K64" s="223">
        <f>SUM(K60:K63)</f>
      </c>
      <c r="L64" s="223">
        <f>SUM(L60:L63)</f>
      </c>
      <c r="M64" s="225"/>
      <c r="N64" s="223">
        <f>SUM(N60:N63)</f>
      </c>
      <c r="O64" s="225"/>
      <c r="P64" s="223">
        <f>SUM(P60:P63)</f>
      </c>
    </row>
    <row r="65">
      <c r="A65" s="214" t="s">
        <v>533</v>
      </c>
      <c r="B65" s="215" t="s">
        <v>499</v>
      </c>
      <c r="C65" s="216" t="s">
        <v>496</v>
      </c>
      <c r="D65" s="216">
        <v>5</v>
      </c>
      <c r="E65" s="216">
        <v>15</v>
      </c>
      <c r="F65" s="216">
        <v>20991.6</v>
      </c>
      <c r="G65" s="216">
        <v>19795.420000000002</v>
      </c>
      <c r="H65" s="217">
        <f t="shared" si="0"/>
      </c>
      <c r="I65" s="217">
        <f t="shared" si="1"/>
      </c>
      <c r="J65" s="217">
        <f t="shared" si="2"/>
      </c>
      <c r="K65" s="216">
        <v>2</v>
      </c>
      <c r="L65" s="216">
        <v>4099.2</v>
      </c>
      <c r="M65" s="216" t="s">
        <v>518</v>
      </c>
      <c r="N65" s="216">
        <v>3</v>
      </c>
      <c r="O65" s="216" t="s">
        <v>498</v>
      </c>
      <c r="P65" s="216">
        <v>10</v>
      </c>
    </row>
    <row r="66">
      <c r="A66" s="214" t="s">
        <v>533</v>
      </c>
      <c r="B66" s="215" t="s">
        <v>505</v>
      </c>
      <c r="C66" s="216" t="s">
        <v>500</v>
      </c>
      <c r="D66" s="216">
        <v>5</v>
      </c>
      <c r="E66" s="216">
        <v>6</v>
      </c>
      <c r="F66" s="216">
        <v>7361.400000000001</v>
      </c>
      <c r="G66" s="216">
        <v>10091.97</v>
      </c>
      <c r="H66" s="217">
        <f t="shared" si="0"/>
      </c>
      <c r="I66" s="217">
        <f t="shared" si="1"/>
      </c>
      <c r="J66" s="217">
        <f t="shared" si="2"/>
      </c>
      <c r="K66" s="216">
        <v>2</v>
      </c>
      <c r="L66" s="216">
        <v>2702.4000000000005</v>
      </c>
      <c r="M66" s="216" t="s">
        <v>497</v>
      </c>
      <c r="N66" s="216">
        <v>7</v>
      </c>
      <c r="P66" s="218"/>
    </row>
    <row r="67">
      <c r="A67" s="214" t="s">
        <v>533</v>
      </c>
      <c r="B67" s="215" t="s">
        <v>503</v>
      </c>
      <c r="C67" s="216" t="s">
        <v>529</v>
      </c>
      <c r="D67" s="216">
        <v>5</v>
      </c>
      <c r="E67" s="216">
        <v>9</v>
      </c>
      <c r="F67" s="216">
        <v>6018</v>
      </c>
      <c r="G67" s="216">
        <v>5576.749999999999</v>
      </c>
      <c r="H67" s="217">
        <f t="shared" si="0"/>
      </c>
      <c r="I67" s="217">
        <f t="shared" si="1"/>
      </c>
      <c r="J67" s="217">
        <f t="shared" si="2"/>
      </c>
      <c r="K67" s="216">
        <v>2</v>
      </c>
      <c r="L67" s="216">
        <v>1135.1999999999998</v>
      </c>
      <c r="M67" s="216"/>
      <c r="N67" s="216"/>
      <c r="O67" s="218"/>
      <c r="P67" s="218"/>
    </row>
    <row r="68">
      <c r="A68" s="214" t="s">
        <v>533</v>
      </c>
      <c r="B68" s="215" t="s">
        <v>501</v>
      </c>
      <c r="C68" s="216" t="s">
        <v>516</v>
      </c>
      <c r="D68" s="216">
        <v>5</v>
      </c>
      <c r="E68" s="216">
        <v>12</v>
      </c>
      <c r="F68" s="219">
        <v>19776</v>
      </c>
      <c r="G68" s="216">
        <v>8934.16</v>
      </c>
      <c r="H68" s="217">
        <f t="shared" si="0"/>
      </c>
      <c r="I68" s="217">
        <f t="shared" si="1"/>
      </c>
      <c r="J68" s="217">
        <f t="shared" si="2"/>
      </c>
      <c r="K68" s="216">
        <v>1</v>
      </c>
      <c r="L68" s="216">
        <v>1663.1999999999998</v>
      </c>
      <c r="M68" s="216" t="s">
        <v>534</v>
      </c>
      <c r="N68" s="220">
        <v>10</v>
      </c>
      <c r="O68" s="218" t="s">
        <v>508</v>
      </c>
      <c r="P68" s="216">
        <v>10</v>
      </c>
    </row>
    <row r="69">
      <c r="A69" s="221" t="s">
        <v>533</v>
      </c>
      <c r="B69" s="222"/>
      <c r="C69" s="222"/>
      <c r="D69" s="223">
        <f>SUM(D65:D68)</f>
      </c>
      <c r="E69" s="223">
        <f>SUM(E65:E68)</f>
      </c>
      <c r="F69" s="223">
        <f>SUM(F65:F68)</f>
      </c>
      <c r="G69" s="223">
        <f>SUM(G65:G68)</f>
      </c>
      <c r="H69" s="224">
        <f t="shared" si="0"/>
      </c>
      <c r="I69" s="224">
        <f t="shared" si="1"/>
      </c>
      <c r="J69" s="224">
        <f t="shared" si="2"/>
      </c>
      <c r="K69" s="223">
        <f>SUM(K65:K68)</f>
      </c>
      <c r="L69" s="223">
        <f>SUM(L65:L68)</f>
      </c>
      <c r="M69" s="225"/>
      <c r="N69" s="223">
        <f>SUM(N65:N68)</f>
      </c>
      <c r="O69" s="225"/>
      <c r="P69" s="223">
        <f>SUM(P65:P68)</f>
      </c>
    </row>
    <row r="70">
      <c r="A70" s="214" t="s">
        <v>535</v>
      </c>
      <c r="B70" s="215" t="s">
        <v>514</v>
      </c>
      <c r="C70" s="216" t="s">
        <v>496</v>
      </c>
      <c r="D70" s="216">
        <v>5</v>
      </c>
      <c r="E70" s="216">
        <v>15</v>
      </c>
      <c r="F70" s="216">
        <v>17660.4</v>
      </c>
      <c r="G70" s="216">
        <v>17693.030000000002</v>
      </c>
      <c r="H70" s="217">
        <f t="shared" si="0"/>
      </c>
      <c r="I70" s="217">
        <f t="shared" si="1"/>
      </c>
      <c r="J70" s="217">
        <f t="shared" si="2"/>
      </c>
      <c r="K70" s="216">
        <v>1</v>
      </c>
      <c r="L70" s="216">
        <v>1542</v>
      </c>
      <c r="M70" s="216" t="s">
        <v>518</v>
      </c>
      <c r="N70" s="216">
        <v>3</v>
      </c>
      <c r="O70" s="216" t="s">
        <v>498</v>
      </c>
      <c r="P70" s="216">
        <v>10</v>
      </c>
    </row>
    <row r="71">
      <c r="A71" s="214" t="s">
        <v>535</v>
      </c>
      <c r="B71" s="215" t="s">
        <v>505</v>
      </c>
      <c r="C71" s="216" t="s">
        <v>500</v>
      </c>
      <c r="D71" s="216">
        <v>5</v>
      </c>
      <c r="E71" s="216">
        <v>7</v>
      </c>
      <c r="F71" s="216">
        <v>7716</v>
      </c>
      <c r="G71" s="216">
        <v>11543.619999999999</v>
      </c>
      <c r="H71" s="217">
        <f t="shared" si="0"/>
      </c>
      <c r="I71" s="217">
        <f t="shared" si="1"/>
      </c>
      <c r="J71" s="217">
        <f t="shared" si="2"/>
      </c>
      <c r="K71" s="216">
        <v>4</v>
      </c>
      <c r="L71" s="216">
        <v>4904.400000000001</v>
      </c>
      <c r="M71" s="216" t="s">
        <v>536</v>
      </c>
      <c r="N71" s="216">
        <v>6</v>
      </c>
      <c r="P71" s="218"/>
    </row>
    <row r="72">
      <c r="A72" s="214" t="s">
        <v>535</v>
      </c>
      <c r="B72" s="215" t="s">
        <v>503</v>
      </c>
      <c r="C72" s="216" t="s">
        <v>529</v>
      </c>
      <c r="D72" s="216">
        <v>5</v>
      </c>
      <c r="E72" s="216">
        <v>10</v>
      </c>
      <c r="F72" s="216">
        <v>11658.599999999999</v>
      </c>
      <c r="G72" s="216">
        <v>7195.22</v>
      </c>
      <c r="H72" s="217">
        <f t="shared" si="0"/>
      </c>
      <c r="I72" s="217">
        <f t="shared" si="1"/>
      </c>
      <c r="J72" s="217">
        <f t="shared" si="2"/>
      </c>
      <c r="K72" s="216">
        <v>4</v>
      </c>
      <c r="L72" s="216">
        <v>3732.2</v>
      </c>
      <c r="M72" s="216" t="s">
        <v>537</v>
      </c>
      <c r="N72" s="216">
        <v>1</v>
      </c>
      <c r="O72" s="218"/>
      <c r="P72" s="218"/>
    </row>
    <row r="73">
      <c r="A73" s="214" t="s">
        <v>535</v>
      </c>
      <c r="B73" s="215" t="s">
        <v>538</v>
      </c>
      <c r="C73" s="216" t="s">
        <v>516</v>
      </c>
      <c r="D73" s="216">
        <v>5</v>
      </c>
      <c r="E73" s="216">
        <v>12</v>
      </c>
      <c r="F73" s="219">
        <v>17710.800000000003</v>
      </c>
      <c r="G73" s="216">
        <v>11575.429999999998</v>
      </c>
      <c r="H73" s="217">
        <f t="shared" si="0"/>
      </c>
      <c r="I73" s="217">
        <f t="shared" si="1"/>
      </c>
      <c r="J73" s="217">
        <f t="shared" si="2"/>
      </c>
      <c r="K73" s="216">
        <v>1</v>
      </c>
      <c r="L73" s="216">
        <v>2592</v>
      </c>
      <c r="M73" s="216" t="s">
        <v>534</v>
      </c>
      <c r="N73" s="220">
        <v>10</v>
      </c>
      <c r="O73" s="218" t="s">
        <v>508</v>
      </c>
      <c r="P73" s="216">
        <v>10</v>
      </c>
    </row>
    <row r="74">
      <c r="A74" s="221" t="s">
        <v>535</v>
      </c>
      <c r="B74" s="222"/>
      <c r="C74" s="222"/>
      <c r="D74" s="223">
        <f>SUM(D70:D73)</f>
      </c>
      <c r="E74" s="223">
        <f>SUM(E70:E73)</f>
      </c>
      <c r="F74" s="223">
        <f>SUM(F70:F73)</f>
      </c>
      <c r="G74" s="223">
        <f>SUM(G70:G73)</f>
      </c>
      <c r="H74" s="224">
        <f t="shared" si="0"/>
      </c>
      <c r="I74" s="224">
        <f t="shared" si="1"/>
      </c>
      <c r="J74" s="224">
        <f t="shared" si="2"/>
      </c>
      <c r="K74" s="223">
        <f>SUM(K70:K73)</f>
      </c>
      <c r="L74" s="223">
        <f>SUM(L70:L73)</f>
      </c>
      <c r="M74" s="225"/>
      <c r="N74" s="223">
        <f>SUM(N70:N73)</f>
      </c>
      <c r="O74" s="225"/>
      <c r="P74" s="223">
        <f>SUM(P70:P73)</f>
      </c>
    </row>
    <row r="75">
      <c r="A75" s="214" t="s">
        <v>539</v>
      </c>
      <c r="B75" s="215" t="s">
        <v>514</v>
      </c>
      <c r="C75" s="216" t="s">
        <v>496</v>
      </c>
      <c r="D75" s="216">
        <v>5</v>
      </c>
      <c r="E75" s="216">
        <v>23</v>
      </c>
      <c r="F75" s="216">
        <v>25669.8</v>
      </c>
      <c r="G75" s="216">
        <v>18804.04</v>
      </c>
      <c r="H75" s="217">
        <f t="shared" si="0"/>
      </c>
      <c r="I75" s="217">
        <f t="shared" si="1"/>
      </c>
      <c r="J75" s="217">
        <f t="shared" si="2"/>
      </c>
      <c r="K75" s="216">
        <v>1</v>
      </c>
      <c r="L75" s="216">
        <v>1663.2</v>
      </c>
      <c r="M75" s="216" t="s">
        <v>518</v>
      </c>
      <c r="N75" s="216">
        <v>10</v>
      </c>
      <c r="O75" s="216" t="s">
        <v>498</v>
      </c>
      <c r="P75" s="216">
        <v>10</v>
      </c>
    </row>
    <row r="76">
      <c r="A76" s="214" t="s">
        <v>539</v>
      </c>
      <c r="B76" s="215" t="s">
        <v>505</v>
      </c>
      <c r="C76" s="216" t="s">
        <v>500</v>
      </c>
      <c r="D76" s="216">
        <v>5</v>
      </c>
      <c r="E76" s="216">
        <v>13</v>
      </c>
      <c r="F76" s="216">
        <v>17257.2</v>
      </c>
      <c r="G76" s="216">
        <v>16286.839999999998</v>
      </c>
      <c r="H76" s="217">
        <f t="shared" si="0"/>
      </c>
      <c r="I76" s="217">
        <f t="shared" si="1"/>
      </c>
      <c r="J76" s="217">
        <f t="shared" si="2"/>
      </c>
      <c r="K76" s="216">
        <v>5</v>
      </c>
      <c r="L76" s="216">
        <v>5118</v>
      </c>
      <c r="M76" s="216"/>
      <c r="N76" s="216"/>
      <c r="P76" s="218"/>
    </row>
    <row r="77">
      <c r="A77" s="214" t="s">
        <v>539</v>
      </c>
      <c r="B77" s="215" t="s">
        <v>503</v>
      </c>
      <c r="C77" s="216" t="s">
        <v>540</v>
      </c>
      <c r="D77" s="216">
        <v>3.5</v>
      </c>
      <c r="E77" s="216">
        <v>19</v>
      </c>
      <c r="F77" s="216">
        <v>24136.800000000003</v>
      </c>
      <c r="G77" s="216">
        <v>12327.71</v>
      </c>
      <c r="H77" s="217">
        <f t="shared" si="0"/>
      </c>
      <c r="I77" s="217">
        <f t="shared" si="1"/>
      </c>
      <c r="J77" s="217">
        <f t="shared" si="2"/>
      </c>
      <c r="K77" s="216">
        <v>1</v>
      </c>
      <c r="L77" s="216">
        <v>2011.1999999999998</v>
      </c>
      <c r="M77" s="216"/>
      <c r="N77" s="216"/>
      <c r="O77" s="218"/>
      <c r="P77" s="218"/>
    </row>
    <row r="78">
      <c r="A78" s="214" t="s">
        <v>539</v>
      </c>
      <c r="B78" s="215" t="s">
        <v>538</v>
      </c>
      <c r="C78" s="216" t="s">
        <v>541</v>
      </c>
      <c r="D78" s="216">
        <v>4.5</v>
      </c>
      <c r="E78" s="216">
        <v>15</v>
      </c>
      <c r="F78" s="219">
        <v>19985.59999999999</v>
      </c>
      <c r="G78" s="216">
        <v>15385.4</v>
      </c>
      <c r="H78" s="217">
        <f t="shared" si="0"/>
      </c>
      <c r="I78" s="217">
        <f t="shared" si="1"/>
      </c>
      <c r="J78" s="217">
        <f t="shared" si="2"/>
      </c>
      <c r="K78" s="216">
        <v>2</v>
      </c>
      <c r="L78" s="216">
        <v>1282.3999999999996</v>
      </c>
      <c r="M78" s="216" t="s">
        <v>534</v>
      </c>
      <c r="N78" s="220">
        <v>8</v>
      </c>
      <c r="O78" s="218" t="s">
        <v>508</v>
      </c>
      <c r="P78" s="216">
        <v>10</v>
      </c>
    </row>
    <row r="79">
      <c r="A79" s="221" t="s">
        <v>539</v>
      </c>
      <c r="B79" s="222"/>
      <c r="C79" s="222"/>
      <c r="D79" s="223">
        <f>SUM(D75:D78)</f>
      </c>
      <c r="E79" s="223">
        <f>SUM(E75:E78)</f>
      </c>
      <c r="F79" s="223">
        <f>SUM(F75:F78)</f>
      </c>
      <c r="G79" s="223">
        <f>SUM(G75:G78)</f>
      </c>
      <c r="H79" s="224">
        <f t="shared" si="0"/>
      </c>
      <c r="I79" s="224">
        <f t="shared" si="1"/>
      </c>
      <c r="J79" s="224">
        <f t="shared" si="2"/>
      </c>
      <c r="K79" s="223">
        <f>SUM(K75:K78)</f>
      </c>
      <c r="L79" s="223">
        <f>SUM(L75:L78)</f>
      </c>
      <c r="M79" s="225"/>
      <c r="N79" s="223">
        <f>SUM(N75:N78)</f>
      </c>
      <c r="O79" s="225"/>
      <c r="P79" s="223">
        <f>SUM(P75:P78)</f>
      </c>
    </row>
    <row r="80">
      <c r="A80" s="214" t="s">
        <v>542</v>
      </c>
      <c r="B80" s="215" t="s">
        <v>514</v>
      </c>
      <c r="C80" s="216" t="s">
        <v>496</v>
      </c>
      <c r="D80" s="216">
        <v>5</v>
      </c>
      <c r="E80" s="216">
        <v>7</v>
      </c>
      <c r="F80" s="216">
        <v>11815.2</v>
      </c>
      <c r="G80" s="216">
        <v>13126.14</v>
      </c>
      <c r="H80" s="217">
        <f t="shared" si="0"/>
      </c>
      <c r="I80" s="217">
        <f t="shared" si="1"/>
      </c>
      <c r="J80" s="217">
        <f t="shared" si="2"/>
      </c>
      <c r="K80" s="216">
        <v>1</v>
      </c>
      <c r="L80" s="216">
        <v>1692</v>
      </c>
      <c r="M80" s="216" t="s">
        <v>518</v>
      </c>
      <c r="N80" s="216">
        <v>10</v>
      </c>
      <c r="O80" s="216" t="s">
        <v>498</v>
      </c>
      <c r="P80" s="216">
        <v>10</v>
      </c>
    </row>
    <row r="81">
      <c r="A81" s="214" t="s">
        <v>542</v>
      </c>
      <c r="B81" s="215" t="s">
        <v>505</v>
      </c>
      <c r="C81" s="216" t="s">
        <v>500</v>
      </c>
      <c r="D81" s="216">
        <v>5</v>
      </c>
      <c r="E81" s="216">
        <v>7</v>
      </c>
      <c r="F81" s="216">
        <v>10892.399999999998</v>
      </c>
      <c r="G81" s="216">
        <v>8398.199999999999</v>
      </c>
      <c r="H81" s="217">
        <f t="shared" si="0"/>
      </c>
      <c r="I81" s="217">
        <f t="shared" si="1"/>
      </c>
      <c r="J81" s="217">
        <f t="shared" si="2"/>
      </c>
      <c r="K81" s="216">
        <v>2</v>
      </c>
      <c r="L81" s="216">
        <v>2755.2</v>
      </c>
      <c r="M81" s="216"/>
      <c r="N81" s="216"/>
      <c r="P81" s="218"/>
    </row>
    <row r="82">
      <c r="A82" s="214" t="s">
        <v>542</v>
      </c>
      <c r="B82" s="215" t="s">
        <v>503</v>
      </c>
      <c r="C82" s="216" t="s">
        <v>529</v>
      </c>
      <c r="D82" s="216">
        <v>5</v>
      </c>
      <c r="E82" s="216">
        <v>3</v>
      </c>
      <c r="F82" s="216">
        <v>1870.800000000003</v>
      </c>
      <c r="G82" s="216">
        <v>5466.35</v>
      </c>
      <c r="H82" s="217">
        <f t="shared" si="0"/>
      </c>
      <c r="I82" s="217">
        <f t="shared" si="1"/>
      </c>
      <c r="J82" s="217">
        <f t="shared" si="2"/>
      </c>
      <c r="K82" s="216">
        <v>1</v>
      </c>
      <c r="L82" s="216">
        <v>444</v>
      </c>
      <c r="M82" s="216"/>
      <c r="N82" s="216"/>
      <c r="O82" s="218"/>
      <c r="P82" s="218"/>
    </row>
    <row r="83">
      <c r="A83" s="214" t="s">
        <v>542</v>
      </c>
      <c r="B83" s="215" t="s">
        <v>538</v>
      </c>
      <c r="C83" s="216" t="s">
        <v>516</v>
      </c>
      <c r="D83" s="216">
        <v>5</v>
      </c>
      <c r="E83" s="216">
        <v>20</v>
      </c>
      <c r="F83" s="219">
        <v>25244.40000000001</v>
      </c>
      <c r="G83" s="216">
        <v>10675.3</v>
      </c>
      <c r="H83" s="217">
        <f t="shared" si="0"/>
      </c>
      <c r="I83" s="217">
        <f t="shared" si="1"/>
      </c>
      <c r="J83" s="217">
        <f t="shared" si="2"/>
      </c>
      <c r="K83" s="216">
        <v>0</v>
      </c>
      <c r="L83" s="216">
        <v>0</v>
      </c>
      <c r="M83" s="216" t="s">
        <v>534</v>
      </c>
      <c r="N83" s="220">
        <v>10</v>
      </c>
      <c r="O83" s="218" t="s">
        <v>508</v>
      </c>
      <c r="P83" s="216">
        <v>10</v>
      </c>
    </row>
    <row r="84">
      <c r="A84" s="221" t="s">
        <v>542</v>
      </c>
      <c r="B84" s="222"/>
      <c r="C84" s="222"/>
      <c r="D84" s="223">
        <f>SUM(D80:D83)</f>
      </c>
      <c r="E84" s="223">
        <f>SUM(E80:E83)</f>
      </c>
      <c r="F84" s="223">
        <f>SUM(F80:F83)</f>
      </c>
      <c r="G84" s="223">
        <f>SUM(G80:G83)</f>
      </c>
      <c r="H84" s="224">
        <f t="shared" si="0"/>
      </c>
      <c r="I84" s="224">
        <f t="shared" si="1"/>
      </c>
      <c r="J84" s="224">
        <f t="shared" si="2"/>
      </c>
      <c r="K84" s="223">
        <f>SUM(K80:K83)</f>
      </c>
      <c r="L84" s="223">
        <f>SUM(L80:L83)</f>
      </c>
      <c r="M84" s="225"/>
      <c r="N84" s="223">
        <f>SUM(N80:N83)</f>
      </c>
      <c r="O84" s="225"/>
      <c r="P84" s="223">
        <f>SUM(P80:P83)</f>
      </c>
    </row>
    <row r="85">
      <c r="A85" s="214" t="s">
        <v>543</v>
      </c>
      <c r="B85" s="215" t="s">
        <v>503</v>
      </c>
      <c r="C85" s="216" t="s">
        <v>496</v>
      </c>
      <c r="D85" s="216">
        <v>5</v>
      </c>
      <c r="E85" s="216">
        <v>25</v>
      </c>
      <c r="F85" s="216">
        <v>30109.2</v>
      </c>
      <c r="G85" s="216">
        <v>25643.22</v>
      </c>
      <c r="H85" s="217">
        <f t="shared" si="0"/>
      </c>
      <c r="I85" s="217">
        <f t="shared" si="1"/>
      </c>
      <c r="J85" s="217">
        <f t="shared" si="2"/>
      </c>
      <c r="K85" s="216">
        <v>5</v>
      </c>
      <c r="L85" s="216">
        <v>5930.4</v>
      </c>
      <c r="M85" s="216" t="s">
        <v>518</v>
      </c>
      <c r="N85" s="216">
        <v>10</v>
      </c>
      <c r="O85" s="216" t="s">
        <v>498</v>
      </c>
      <c r="P85" s="216">
        <v>10</v>
      </c>
    </row>
    <row r="86">
      <c r="A86" s="214" t="s">
        <v>543</v>
      </c>
      <c r="B86" s="215" t="s">
        <v>514</v>
      </c>
      <c r="C86" s="216" t="s">
        <v>500</v>
      </c>
      <c r="D86" s="216">
        <v>5</v>
      </c>
      <c r="E86" s="216">
        <v>47</v>
      </c>
      <c r="F86" s="216">
        <v>18782.399999999998</v>
      </c>
      <c r="G86" s="216">
        <v>17182.85</v>
      </c>
      <c r="H86" s="217">
        <f t="shared" si="0"/>
      </c>
      <c r="I86" s="217">
        <f t="shared" si="1"/>
      </c>
      <c r="J86" s="217">
        <f t="shared" si="2"/>
      </c>
      <c r="K86" s="216">
        <v>7</v>
      </c>
      <c r="L86" s="216">
        <v>8654.400000000001</v>
      </c>
      <c r="M86" s="216"/>
      <c r="N86" s="216"/>
      <c r="P86" s="218"/>
    </row>
    <row r="87">
      <c r="A87" s="214" t="s">
        <v>543</v>
      </c>
      <c r="B87" s="215" t="s">
        <v>538</v>
      </c>
      <c r="C87" s="216" t="s">
        <v>529</v>
      </c>
      <c r="D87" s="216">
        <v>5</v>
      </c>
      <c r="E87" s="216">
        <v>48</v>
      </c>
      <c r="F87" s="216">
        <v>21068.40000000001</v>
      </c>
      <c r="G87" s="216">
        <v>11520.169999999998</v>
      </c>
      <c r="H87" s="217">
        <f t="shared" si="0"/>
      </c>
      <c r="I87" s="217">
        <f t="shared" si="1"/>
      </c>
      <c r="J87" s="217">
        <f t="shared" si="2"/>
      </c>
      <c r="K87" s="216">
        <v>4</v>
      </c>
      <c r="L87" s="216">
        <v>4665.6</v>
      </c>
      <c r="M87" s="216"/>
      <c r="N87" s="216"/>
      <c r="O87" s="218"/>
      <c r="P87" s="218"/>
    </row>
    <row r="88">
      <c r="A88" s="214" t="s">
        <v>543</v>
      </c>
      <c r="B88" s="215" t="s">
        <v>505</v>
      </c>
      <c r="C88" s="216" t="s">
        <v>516</v>
      </c>
      <c r="D88" s="216">
        <v>5</v>
      </c>
      <c r="E88" s="216">
        <v>12</v>
      </c>
      <c r="F88" s="219">
        <v>14155.399999999994</v>
      </c>
      <c r="G88" s="216">
        <v>15376.74</v>
      </c>
      <c r="H88" s="217">
        <f t="shared" si="0"/>
      </c>
      <c r="I88" s="217">
        <f t="shared" si="1"/>
      </c>
      <c r="J88" s="217">
        <f t="shared" si="2"/>
      </c>
      <c r="K88" s="216">
        <v>1</v>
      </c>
      <c r="L88" s="216">
        <v>407</v>
      </c>
      <c r="M88" s="216" t="s">
        <v>544</v>
      </c>
      <c r="N88" s="220">
        <v>10</v>
      </c>
      <c r="O88" s="218" t="s">
        <v>508</v>
      </c>
      <c r="P88" s="216">
        <v>10</v>
      </c>
    </row>
    <row r="89">
      <c r="A89" s="221" t="s">
        <v>543</v>
      </c>
      <c r="B89" s="222"/>
      <c r="C89" s="222"/>
      <c r="D89" s="223">
        <f>SUM(D85:D88)</f>
      </c>
      <c r="E89" s="223">
        <f>SUM(E85:E88)</f>
      </c>
      <c r="F89" s="223">
        <f>SUM(F85:F88)</f>
      </c>
      <c r="G89" s="223">
        <f>SUM(G85:G88)</f>
      </c>
      <c r="H89" s="224">
        <f t="shared" si="0"/>
      </c>
      <c r="I89" s="224">
        <f t="shared" si="1"/>
      </c>
      <c r="J89" s="224">
        <f t="shared" si="2"/>
      </c>
      <c r="K89" s="223">
        <f>SUM(K85:K88)</f>
      </c>
      <c r="L89" s="223">
        <f>SUM(L85:L88)</f>
      </c>
      <c r="M89" s="225"/>
      <c r="N89" s="223">
        <f>SUM(N85:N88)</f>
      </c>
      <c r="O89" s="225"/>
      <c r="P89" s="223">
        <f>SUM(P85:P88)</f>
      </c>
    </row>
    <row r="90">
      <c r="A90" s="214" t="s">
        <v>545</v>
      </c>
      <c r="B90" s="215" t="s">
        <v>503</v>
      </c>
      <c r="C90" s="216" t="s">
        <v>496</v>
      </c>
      <c r="D90" s="216">
        <v>5</v>
      </c>
      <c r="E90" s="216">
        <v>21</v>
      </c>
      <c r="F90" s="216">
        <v>31851.2</v>
      </c>
      <c r="G90" s="216">
        <v>15983.98</v>
      </c>
      <c r="H90" s="217">
        <f t="shared" si="0"/>
      </c>
      <c r="I90" s="217">
        <f t="shared" si="1"/>
      </c>
      <c r="J90" s="217">
        <f t="shared" si="2"/>
      </c>
      <c r="K90" s="216">
        <v>8</v>
      </c>
      <c r="L90" s="216">
        <v>10046</v>
      </c>
      <c r="M90" s="216" t="s">
        <v>518</v>
      </c>
      <c r="N90" s="216">
        <v>10</v>
      </c>
      <c r="O90" s="216" t="s">
        <v>498</v>
      </c>
      <c r="P90" s="216">
        <v>10</v>
      </c>
    </row>
    <row r="91">
      <c r="A91" s="214" t="s">
        <v>545</v>
      </c>
      <c r="B91" s="215" t="s">
        <v>514</v>
      </c>
      <c r="C91" s="216" t="s">
        <v>500</v>
      </c>
      <c r="D91" s="216">
        <v>5</v>
      </c>
      <c r="E91" s="216">
        <v>9</v>
      </c>
      <c r="F91" s="216">
        <v>11001.999999999996</v>
      </c>
      <c r="G91" s="216">
        <v>10412.670000000002</v>
      </c>
      <c r="H91" s="217">
        <f t="shared" si="0"/>
      </c>
      <c r="I91" s="217">
        <f t="shared" si="1"/>
      </c>
      <c r="J91" s="217">
        <f t="shared" si="2"/>
      </c>
      <c r="K91" s="216">
        <v>1</v>
      </c>
      <c r="L91" s="216">
        <v>1344</v>
      </c>
      <c r="M91" s="216"/>
      <c r="N91" s="216"/>
      <c r="P91" s="218"/>
    </row>
    <row r="92">
      <c r="A92" s="214" t="s">
        <v>545</v>
      </c>
      <c r="B92" s="215" t="s">
        <v>505</v>
      </c>
      <c r="C92" s="216" t="s">
        <v>529</v>
      </c>
      <c r="D92" s="216">
        <v>5</v>
      </c>
      <c r="E92" s="216">
        <v>12</v>
      </c>
      <c r="F92" s="216">
        <v>15609.600000000006</v>
      </c>
      <c r="G92" s="216">
        <v>7334.03</v>
      </c>
      <c r="H92" s="217">
        <f t="shared" si="0"/>
      </c>
      <c r="I92" s="217">
        <f t="shared" si="1"/>
      </c>
      <c r="J92" s="217">
        <f t="shared" si="2"/>
      </c>
      <c r="K92" s="216">
        <v>4</v>
      </c>
      <c r="L92" s="216">
        <v>6269.999999999999</v>
      </c>
      <c r="M92" s="216"/>
      <c r="N92" s="216"/>
      <c r="O92" s="218"/>
      <c r="P92" s="218"/>
    </row>
    <row r="93">
      <c r="A93" s="214" t="s">
        <v>545</v>
      </c>
      <c r="B93" s="215" t="s">
        <v>538</v>
      </c>
      <c r="C93" s="216" t="s">
        <v>516</v>
      </c>
      <c r="D93" s="216">
        <v>5</v>
      </c>
      <c r="E93" s="216">
        <v>25</v>
      </c>
      <c r="F93" s="219">
        <v>34733.399999999994</v>
      </c>
      <c r="G93" s="216">
        <v>16064.230000000001</v>
      </c>
      <c r="H93" s="217">
        <f t="shared" si="0"/>
      </c>
      <c r="I93" s="217">
        <f t="shared" si="1"/>
      </c>
      <c r="J93" s="217">
        <f t="shared" si="2"/>
      </c>
      <c r="K93" s="216">
        <v>2</v>
      </c>
      <c r="L93" s="216">
        <v>3074.4</v>
      </c>
      <c r="M93" s="216" t="s">
        <v>544</v>
      </c>
      <c r="N93" s="220">
        <v>10</v>
      </c>
      <c r="O93" s="218" t="s">
        <v>508</v>
      </c>
      <c r="P93" s="216">
        <v>10</v>
      </c>
    </row>
    <row r="94">
      <c r="A94" s="221" t="s">
        <v>545</v>
      </c>
      <c r="B94" s="222"/>
      <c r="C94" s="222"/>
      <c r="D94" s="223">
        <f>SUM(D90:D93)</f>
      </c>
      <c r="E94" s="223">
        <f>SUM(E90:E93)</f>
      </c>
      <c r="F94" s="223">
        <f>SUM(F90:F93)</f>
      </c>
      <c r="G94" s="223">
        <f>SUM(G90:G93)</f>
      </c>
      <c r="H94" s="224">
        <f t="shared" si="0"/>
      </c>
      <c r="I94" s="224">
        <f t="shared" si="1"/>
      </c>
      <c r="J94" s="224">
        <f t="shared" si="2"/>
      </c>
      <c r="K94" s="223">
        <f>SUM(K90:K93)</f>
      </c>
      <c r="L94" s="223">
        <f>SUM(L90:L93)</f>
      </c>
      <c r="M94" s="225"/>
      <c r="N94" s="223">
        <f>SUM(N90:N93)</f>
      </c>
      <c r="O94" s="225"/>
      <c r="P94" s="223">
        <f>SUM(P90:P93)</f>
      </c>
    </row>
    <row r="95">
      <c r="A95" s="214" t="s">
        <v>546</v>
      </c>
      <c r="B95" s="215" t="s">
        <v>503</v>
      </c>
      <c r="C95" s="216" t="s">
        <v>496</v>
      </c>
      <c r="D95" s="216">
        <v>5</v>
      </c>
      <c r="E95" s="216">
        <v>21</v>
      </c>
      <c r="F95" s="216">
        <v>23120.8</v>
      </c>
      <c r="G95" s="216">
        <v>16541.8</v>
      </c>
      <c r="H95" s="217">
        <f t="shared" si="0"/>
      </c>
      <c r="I95" s="217">
        <f t="shared" si="1"/>
      </c>
      <c r="J95" s="217">
        <f t="shared" si="2"/>
      </c>
      <c r="K95" s="216">
        <v>6</v>
      </c>
      <c r="L95" s="216">
        <v>9756</v>
      </c>
      <c r="M95" s="216" t="s">
        <v>518</v>
      </c>
      <c r="N95" s="216">
        <v>10</v>
      </c>
      <c r="O95" s="216" t="s">
        <v>498</v>
      </c>
      <c r="P95" s="216">
        <v>10</v>
      </c>
    </row>
    <row r="96">
      <c r="A96" s="214" t="s">
        <v>546</v>
      </c>
      <c r="B96" s="215" t="s">
        <v>505</v>
      </c>
      <c r="C96" s="216" t="s">
        <v>500</v>
      </c>
      <c r="D96" s="216">
        <v>5</v>
      </c>
      <c r="E96" s="216">
        <v>4</v>
      </c>
      <c r="F96" s="216">
        <v>8440.8</v>
      </c>
      <c r="G96" s="216">
        <v>8151.740000000001</v>
      </c>
      <c r="H96" s="217">
        <f t="shared" si="0"/>
      </c>
      <c r="I96" s="217">
        <f t="shared" si="1"/>
      </c>
      <c r="J96" s="217">
        <f t="shared" si="2"/>
      </c>
      <c r="K96" s="216">
        <v>1</v>
      </c>
      <c r="L96" s="216">
        <v>1343.999999999999</v>
      </c>
      <c r="M96" s="216"/>
      <c r="N96" s="216"/>
      <c r="P96" s="218"/>
    </row>
    <row r="97">
      <c r="A97" s="214" t="s">
        <v>546</v>
      </c>
      <c r="B97" s="215" t="s">
        <v>538</v>
      </c>
      <c r="C97" s="216" t="s">
        <v>529</v>
      </c>
      <c r="D97" s="216">
        <v>5</v>
      </c>
      <c r="E97" s="216">
        <v>10</v>
      </c>
      <c r="F97" s="216">
        <v>13902</v>
      </c>
      <c r="G97" s="216">
        <v>5765.94</v>
      </c>
      <c r="H97" s="217">
        <f t="shared" si="0"/>
      </c>
      <c r="I97" s="217">
        <f t="shared" si="1"/>
      </c>
      <c r="J97" s="217">
        <f t="shared" si="2"/>
      </c>
      <c r="K97" s="216">
        <v>6</v>
      </c>
      <c r="L97" s="216">
        <v>8702.4</v>
      </c>
      <c r="M97" s="216"/>
      <c r="N97" s="216"/>
      <c r="O97" s="218"/>
      <c r="P97" s="218"/>
    </row>
    <row r="98">
      <c r="A98" s="214" t="s">
        <v>546</v>
      </c>
      <c r="B98" s="215" t="s">
        <v>514</v>
      </c>
      <c r="C98" s="216" t="s">
        <v>516</v>
      </c>
      <c r="D98" s="216">
        <v>5</v>
      </c>
      <c r="E98" s="216">
        <v>16</v>
      </c>
      <c r="F98" s="219">
        <v>20866.8</v>
      </c>
      <c r="G98" s="216">
        <v>11052.54</v>
      </c>
      <c r="H98" s="217">
        <f t="shared" si="0"/>
      </c>
      <c r="I98" s="217">
        <f t="shared" si="1"/>
      </c>
      <c r="J98" s="217">
        <f t="shared" si="2"/>
      </c>
      <c r="K98" s="216">
        <v>2</v>
      </c>
      <c r="L98" s="216">
        <v>1887</v>
      </c>
      <c r="M98" s="216" t="s">
        <v>544</v>
      </c>
      <c r="N98" s="220">
        <v>10</v>
      </c>
      <c r="O98" s="218" t="s">
        <v>508</v>
      </c>
      <c r="P98" s="216">
        <v>10</v>
      </c>
    </row>
    <row r="99">
      <c r="A99" s="221" t="s">
        <v>546</v>
      </c>
      <c r="B99" s="222"/>
      <c r="C99" s="222"/>
      <c r="D99" s="223">
        <f>SUM(D95:D98)</f>
      </c>
      <c r="E99" s="223">
        <f>SUM(E95:E98)</f>
      </c>
      <c r="F99" s="223">
        <f>SUM(F95:F98)</f>
      </c>
      <c r="G99" s="223">
        <f>SUM(G95:G98)</f>
      </c>
      <c r="H99" s="224">
        <f t="shared" si="0"/>
      </c>
      <c r="I99" s="224">
        <f t="shared" si="1"/>
      </c>
      <c r="J99" s="224">
        <f t="shared" si="2"/>
      </c>
      <c r="K99" s="223">
        <f>SUM(K95:K98)</f>
      </c>
      <c r="L99" s="223">
        <f>SUM(L95:L98)</f>
      </c>
      <c r="M99" s="225"/>
      <c r="N99" s="223">
        <f>SUM(N95:N98)</f>
      </c>
      <c r="O99" s="225"/>
      <c r="P99" s="223">
        <f>SUM(P95:P98)</f>
      </c>
    </row>
    <row r="100">
      <c r="A100" s="214" t="s">
        <v>547</v>
      </c>
      <c r="B100" s="215" t="s">
        <v>505</v>
      </c>
      <c r="C100" s="216" t="s">
        <v>496</v>
      </c>
      <c r="D100" s="216">
        <v>5</v>
      </c>
      <c r="E100" s="216">
        <v>25</v>
      </c>
      <c r="F100" s="216">
        <v>36066.2</v>
      </c>
      <c r="G100" s="216">
        <v>25507.829999999998</v>
      </c>
      <c r="H100" s="217">
        <f t="shared" si="0"/>
      </c>
      <c r="I100" s="217">
        <f t="shared" si="1"/>
      </c>
      <c r="J100" s="217">
        <f t="shared" si="2"/>
      </c>
      <c r="K100" s="216">
        <v>9</v>
      </c>
      <c r="L100" s="216">
        <v>13401.599999999999</v>
      </c>
      <c r="M100" s="216" t="s">
        <v>518</v>
      </c>
      <c r="N100" s="216">
        <v>10</v>
      </c>
      <c r="O100" s="216" t="s">
        <v>498</v>
      </c>
      <c r="P100" s="216">
        <v>10</v>
      </c>
    </row>
    <row r="101">
      <c r="A101" s="214" t="s">
        <v>547</v>
      </c>
      <c r="B101" s="215" t="s">
        <v>538</v>
      </c>
      <c r="C101" s="216" t="s">
        <v>500</v>
      </c>
      <c r="D101" s="216">
        <v>5</v>
      </c>
      <c r="E101" s="216">
        <v>25</v>
      </c>
      <c r="F101" s="216">
        <v>37090.600000000006</v>
      </c>
      <c r="G101" s="216">
        <v>17677.850000000002</v>
      </c>
      <c r="H101" s="217">
        <f t="shared" si="0"/>
      </c>
      <c r="I101" s="217">
        <f t="shared" si="1"/>
      </c>
      <c r="J101" s="217">
        <f t="shared" si="2"/>
      </c>
      <c r="K101" s="216">
        <v>6</v>
      </c>
      <c r="L101" s="216">
        <v>7931.999999999998</v>
      </c>
      <c r="M101" s="216"/>
      <c r="N101" s="216"/>
      <c r="P101" s="218"/>
    </row>
    <row r="102">
      <c r="A102" s="214" t="s">
        <v>547</v>
      </c>
      <c r="B102" s="215" t="s">
        <v>503</v>
      </c>
      <c r="C102" s="216" t="s">
        <v>529</v>
      </c>
      <c r="D102" s="216">
        <v>5</v>
      </c>
      <c r="E102" s="216">
        <v>27</v>
      </c>
      <c r="F102" s="216">
        <v>36681.6</v>
      </c>
      <c r="G102" s="216">
        <v>21153.109999999997</v>
      </c>
      <c r="H102" s="217">
        <f t="shared" si="0"/>
      </c>
      <c r="I102" s="217">
        <f t="shared" si="1"/>
      </c>
      <c r="J102" s="217">
        <f t="shared" si="2"/>
      </c>
      <c r="K102" s="216">
        <v>10</v>
      </c>
      <c r="L102" s="216">
        <v>10544.4</v>
      </c>
      <c r="M102" s="216"/>
      <c r="N102" s="216"/>
      <c r="O102" s="218"/>
      <c r="P102" s="218"/>
    </row>
    <row r="103">
      <c r="A103" s="214" t="s">
        <v>547</v>
      </c>
      <c r="B103" s="215" t="s">
        <v>514</v>
      </c>
      <c r="C103" s="216" t="s">
        <v>516</v>
      </c>
      <c r="D103" s="216">
        <v>5</v>
      </c>
      <c r="E103" s="216">
        <v>14</v>
      </c>
      <c r="F103" s="219">
        <v>16612.8</v>
      </c>
      <c r="G103" s="216">
        <v>18084.2</v>
      </c>
      <c r="H103" s="217">
        <f t="shared" si="0"/>
      </c>
      <c r="I103" s="217">
        <f t="shared" si="1"/>
      </c>
      <c r="J103" s="217">
        <f t="shared" si="2"/>
      </c>
      <c r="K103" s="216">
        <v>1</v>
      </c>
      <c r="L103" s="216">
        <v>358.8</v>
      </c>
      <c r="M103" s="216" t="s">
        <v>544</v>
      </c>
      <c r="N103" s="220">
        <v>10</v>
      </c>
      <c r="O103" s="218" t="s">
        <v>508</v>
      </c>
      <c r="P103" s="216">
        <v>10</v>
      </c>
    </row>
    <row r="104">
      <c r="A104" s="221" t="s">
        <v>547</v>
      </c>
      <c r="B104" s="222"/>
      <c r="C104" s="222"/>
      <c r="D104" s="223">
        <f>SUM(D100:D103)</f>
      </c>
      <c r="E104" s="223">
        <f>SUM(E100:E103)</f>
      </c>
      <c r="F104" s="223">
        <f>SUM(F100:F103)</f>
      </c>
      <c r="G104" s="223">
        <f>SUM(G100:G103)</f>
      </c>
      <c r="H104" s="224">
        <f t="shared" si="0"/>
      </c>
      <c r="I104" s="224">
        <f t="shared" si="1"/>
      </c>
      <c r="J104" s="224">
        <f t="shared" si="2"/>
      </c>
      <c r="K104" s="223">
        <f>SUM(K100:K103)</f>
      </c>
      <c r="L104" s="223">
        <f>SUM(L100:L103)</f>
      </c>
      <c r="M104" s="225"/>
      <c r="N104" s="223">
        <f>SUM(N100:N103)</f>
      </c>
      <c r="O104" s="225"/>
      <c r="P104" s="223">
        <f>SUM(P100:P103)</f>
      </c>
    </row>
    <row r="105">
      <c r="A105" s="214" t="s">
        <v>548</v>
      </c>
      <c r="B105" s="215" t="s">
        <v>538</v>
      </c>
      <c r="C105" s="216" t="s">
        <v>496</v>
      </c>
      <c r="D105" s="216">
        <v>5</v>
      </c>
      <c r="E105" s="216">
        <v>23</v>
      </c>
      <c r="F105" s="216">
        <v>33424.8</v>
      </c>
      <c r="G105" s="216">
        <v>22110.010000000002</v>
      </c>
      <c r="H105" s="217">
        <f t="shared" si="0"/>
      </c>
      <c r="I105" s="217">
        <f t="shared" si="1"/>
      </c>
      <c r="J105" s="217">
        <f t="shared" si="2"/>
      </c>
      <c r="K105" s="216">
        <v>4</v>
      </c>
      <c r="L105" s="216">
        <v>5904</v>
      </c>
      <c r="M105" s="216" t="s">
        <v>549</v>
      </c>
      <c r="N105" s="216">
        <v>10</v>
      </c>
      <c r="O105" s="216" t="s">
        <v>498</v>
      </c>
      <c r="P105" s="216">
        <v>10</v>
      </c>
    </row>
    <row r="106">
      <c r="A106" s="214" t="s">
        <v>548</v>
      </c>
      <c r="B106" s="215" t="s">
        <v>505</v>
      </c>
      <c r="C106" s="216" t="s">
        <v>500</v>
      </c>
      <c r="D106" s="216">
        <v>5</v>
      </c>
      <c r="E106" s="216">
        <v>32</v>
      </c>
      <c r="F106" s="216">
        <v>41597.4</v>
      </c>
      <c r="G106" s="216">
        <v>32203.26</v>
      </c>
      <c r="H106" s="217">
        <f t="shared" si="0"/>
      </c>
      <c r="I106" s="217">
        <f t="shared" si="1"/>
      </c>
      <c r="J106" s="217">
        <f t="shared" si="2"/>
      </c>
      <c r="K106" s="216">
        <v>5</v>
      </c>
      <c r="L106" s="216">
        <v>4831.2</v>
      </c>
      <c r="M106" s="216"/>
      <c r="N106" s="216"/>
      <c r="P106" s="218"/>
    </row>
    <row r="107">
      <c r="A107" s="214" t="s">
        <v>548</v>
      </c>
      <c r="B107" s="215" t="s">
        <v>503</v>
      </c>
      <c r="C107" s="216" t="s">
        <v>529</v>
      </c>
      <c r="D107" s="216">
        <v>5</v>
      </c>
      <c r="E107" s="216">
        <v>20</v>
      </c>
      <c r="F107" s="216">
        <v>28867</v>
      </c>
      <c r="G107" s="216">
        <v>20690.68</v>
      </c>
      <c r="H107" s="217">
        <f t="shared" si="0"/>
      </c>
      <c r="I107" s="217">
        <f t="shared" si="1"/>
      </c>
      <c r="J107" s="217">
        <f t="shared" si="2"/>
      </c>
      <c r="K107" s="216">
        <v>5</v>
      </c>
      <c r="L107" s="216">
        <v>7605.6</v>
      </c>
      <c r="M107" s="216"/>
      <c r="N107" s="216"/>
      <c r="O107" s="218"/>
      <c r="P107" s="218"/>
    </row>
    <row r="108">
      <c r="A108" s="214" t="s">
        <v>548</v>
      </c>
      <c r="B108" s="215" t="s">
        <v>514</v>
      </c>
      <c r="C108" s="216" t="s">
        <v>516</v>
      </c>
      <c r="D108" s="216">
        <v>5</v>
      </c>
      <c r="E108" s="216">
        <v>15</v>
      </c>
      <c r="F108" s="219">
        <v>20094.2</v>
      </c>
      <c r="G108" s="216">
        <v>17198.25</v>
      </c>
      <c r="H108" s="217">
        <f t="shared" si="0"/>
      </c>
      <c r="I108" s="217">
        <f t="shared" si="1"/>
      </c>
      <c r="J108" s="217">
        <f t="shared" si="2"/>
      </c>
      <c r="K108" s="216">
        <v>1</v>
      </c>
      <c r="L108" s="216">
        <v>1692</v>
      </c>
      <c r="M108" s="216" t="s">
        <v>497</v>
      </c>
      <c r="N108" s="220">
        <v>10</v>
      </c>
      <c r="O108" s="218" t="s">
        <v>508</v>
      </c>
      <c r="P108" s="216">
        <v>10</v>
      </c>
    </row>
    <row r="109">
      <c r="A109" s="221" t="s">
        <v>548</v>
      </c>
      <c r="B109" s="222"/>
      <c r="C109" s="222"/>
      <c r="D109" s="223">
        <f>SUM(D105:D108)</f>
      </c>
      <c r="E109" s="223">
        <f>SUM(E105:E108)</f>
      </c>
      <c r="F109" s="223">
        <f>SUM(F105:F108)</f>
      </c>
      <c r="G109" s="223">
        <f>SUM(G105:G108)</f>
      </c>
      <c r="H109" s="224">
        <f t="shared" si="0"/>
      </c>
      <c r="I109" s="224">
        <f t="shared" si="1"/>
      </c>
      <c r="J109" s="224">
        <f t="shared" si="2"/>
      </c>
      <c r="K109" s="223">
        <f>SUM(K105:K108)</f>
      </c>
      <c r="L109" s="223">
        <f>SUM(L105:L108)</f>
      </c>
      <c r="M109" s="225"/>
      <c r="N109" s="223">
        <f>SUM(N105:N108)</f>
      </c>
      <c r="O109" s="225"/>
      <c r="P109" s="223">
        <f>SUM(P105:P108)</f>
      </c>
    </row>
    <row r="110">
      <c r="A110" s="214" t="s">
        <v>550</v>
      </c>
      <c r="B110" s="215" t="s">
        <v>505</v>
      </c>
      <c r="C110" s="216" t="s">
        <v>496</v>
      </c>
      <c r="D110" s="216">
        <v>5</v>
      </c>
      <c r="E110" s="216">
        <v>11</v>
      </c>
      <c r="F110" s="216">
        <v>17188.8</v>
      </c>
      <c r="G110" s="216">
        <v>18031.91</v>
      </c>
      <c r="H110" s="217">
        <f t="shared" si="0"/>
      </c>
      <c r="I110" s="217">
        <f t="shared" si="1"/>
      </c>
      <c r="J110" s="217">
        <f t="shared" si="2"/>
      </c>
      <c r="K110" s="216">
        <v>3</v>
      </c>
      <c r="L110" s="216">
        <v>3686.4</v>
      </c>
      <c r="M110" s="216" t="s">
        <v>518</v>
      </c>
      <c r="N110" s="216">
        <v>10</v>
      </c>
      <c r="O110" s="216" t="s">
        <v>498</v>
      </c>
      <c r="P110" s="216">
        <v>10</v>
      </c>
    </row>
    <row r="111">
      <c r="A111" s="214" t="s">
        <v>550</v>
      </c>
      <c r="B111" s="215" t="s">
        <v>501</v>
      </c>
      <c r="C111" s="216" t="s">
        <v>500</v>
      </c>
      <c r="D111" s="216">
        <v>5</v>
      </c>
      <c r="E111" s="216">
        <v>10</v>
      </c>
      <c r="F111" s="216">
        <v>14628</v>
      </c>
      <c r="G111" s="216">
        <v>12150.05</v>
      </c>
      <c r="H111" s="217">
        <f t="shared" si="0"/>
      </c>
      <c r="I111" s="217">
        <f t="shared" si="1"/>
      </c>
      <c r="J111" s="217">
        <f t="shared" si="2"/>
      </c>
      <c r="K111" s="216">
        <v>1</v>
      </c>
      <c r="L111" s="216">
        <v>1663.2</v>
      </c>
      <c r="M111" s="216"/>
      <c r="N111" s="216"/>
      <c r="P111" s="218"/>
    </row>
    <row r="112">
      <c r="A112" s="214" t="s">
        <v>550</v>
      </c>
      <c r="B112" s="215" t="s">
        <v>503</v>
      </c>
      <c r="C112" s="216" t="s">
        <v>529</v>
      </c>
      <c r="D112" s="216">
        <v>5</v>
      </c>
      <c r="E112" s="216">
        <v>22</v>
      </c>
      <c r="F112" s="216">
        <v>32712</v>
      </c>
      <c r="G112" s="216">
        <v>20300.69</v>
      </c>
      <c r="H112" s="217">
        <f t="shared" si="0"/>
      </c>
      <c r="I112" s="217">
        <f t="shared" si="1"/>
      </c>
      <c r="J112" s="217">
        <f t="shared" si="2"/>
      </c>
      <c r="K112" s="216">
        <v>4</v>
      </c>
      <c r="L112" s="216">
        <v>2418</v>
      </c>
      <c r="M112" s="216"/>
      <c r="N112" s="216"/>
      <c r="O112" s="218"/>
      <c r="P112" s="218"/>
    </row>
    <row r="113">
      <c r="A113" s="214" t="s">
        <v>550</v>
      </c>
      <c r="B113" s="215" t="s">
        <v>514</v>
      </c>
      <c r="C113" s="216" t="s">
        <v>516</v>
      </c>
      <c r="D113" s="216">
        <v>5</v>
      </c>
      <c r="E113" s="216">
        <v>26</v>
      </c>
      <c r="F113" s="219">
        <v>36132</v>
      </c>
      <c r="G113" s="216">
        <v>20823.08</v>
      </c>
      <c r="H113" s="217">
        <f t="shared" si="0"/>
      </c>
      <c r="I113" s="217">
        <f t="shared" si="1"/>
      </c>
      <c r="J113" s="217">
        <f t="shared" si="2"/>
      </c>
      <c r="K113" s="216">
        <v>2</v>
      </c>
      <c r="L113" s="216">
        <v>4070.4</v>
      </c>
      <c r="M113" s="216" t="s">
        <v>551</v>
      </c>
      <c r="N113" s="220">
        <v>10</v>
      </c>
      <c r="O113" s="218" t="s">
        <v>508</v>
      </c>
      <c r="P113" s="216">
        <v>10</v>
      </c>
    </row>
    <row r="114">
      <c r="A114" s="221" t="s">
        <v>550</v>
      </c>
      <c r="B114" s="222"/>
      <c r="C114" s="222"/>
      <c r="D114" s="223">
        <f>SUM(D110:D113)</f>
      </c>
      <c r="E114" s="223">
        <f>SUM(E110:E113)</f>
      </c>
      <c r="F114" s="223">
        <f>SUM(F110:F113)</f>
      </c>
      <c r="G114" s="223">
        <f>SUM(G110:G113)</f>
      </c>
      <c r="H114" s="224">
        <f t="shared" si="0"/>
      </c>
      <c r="I114" s="224">
        <f t="shared" si="1"/>
      </c>
      <c r="J114" s="224">
        <f t="shared" si="2"/>
      </c>
      <c r="K114" s="223">
        <f>SUM(K110:K113)</f>
      </c>
      <c r="L114" s="223">
        <f>SUM(L110:L113)</f>
      </c>
      <c r="M114" s="225"/>
      <c r="N114" s="223">
        <f>SUM(N110:N113)</f>
      </c>
      <c r="O114" s="225"/>
      <c r="P114" s="223">
        <f>SUM(P110:P113)</f>
      </c>
    </row>
    <row r="115">
      <c r="A115" s="214" t="s">
        <v>552</v>
      </c>
      <c r="B115" s="215" t="s">
        <v>501</v>
      </c>
      <c r="C115" s="216" t="s">
        <v>496</v>
      </c>
      <c r="D115" s="216">
        <v>5</v>
      </c>
      <c r="E115" s="216">
        <v>23</v>
      </c>
      <c r="F115" s="216">
        <v>26008.8</v>
      </c>
      <c r="G115" s="216">
        <v>24707.78</v>
      </c>
      <c r="H115" s="217">
        <f t="shared" si="0"/>
      </c>
      <c r="I115" s="217">
        <f t="shared" si="1"/>
      </c>
      <c r="J115" s="217">
        <f t="shared" si="2"/>
      </c>
      <c r="K115" s="216">
        <v>4</v>
      </c>
      <c r="L115" s="216">
        <v>3417.6</v>
      </c>
      <c r="M115" s="216" t="s">
        <v>518</v>
      </c>
      <c r="N115" s="216">
        <v>10</v>
      </c>
      <c r="O115" s="216" t="s">
        <v>498</v>
      </c>
      <c r="P115" s="216">
        <v>10</v>
      </c>
    </row>
    <row r="116">
      <c r="A116" s="214" t="s">
        <v>552</v>
      </c>
      <c r="B116" s="215" t="s">
        <v>505</v>
      </c>
      <c r="C116" s="216" t="s">
        <v>500</v>
      </c>
      <c r="D116" s="216">
        <v>5</v>
      </c>
      <c r="E116" s="216">
        <v>22</v>
      </c>
      <c r="F116" s="216">
        <v>28140.4</v>
      </c>
      <c r="G116" s="216">
        <v>19206.81</v>
      </c>
      <c r="H116" s="217">
        <f t="shared" si="0"/>
      </c>
      <c r="I116" s="217">
        <f t="shared" si="1"/>
      </c>
      <c r="J116" s="217">
        <f t="shared" si="2"/>
      </c>
      <c r="K116" s="216">
        <v>7</v>
      </c>
      <c r="L116" s="216">
        <v>9898.2</v>
      </c>
      <c r="M116" s="216"/>
      <c r="N116" s="216"/>
      <c r="P116" s="218"/>
    </row>
    <row r="117">
      <c r="A117" s="214" t="s">
        <v>552</v>
      </c>
      <c r="B117" s="215" t="s">
        <v>538</v>
      </c>
      <c r="C117" s="216" t="s">
        <v>529</v>
      </c>
      <c r="D117" s="216">
        <v>5</v>
      </c>
      <c r="E117" s="216">
        <v>7</v>
      </c>
      <c r="F117" s="216">
        <v>8336.4</v>
      </c>
      <c r="G117" s="216">
        <v>8265.41</v>
      </c>
      <c r="H117" s="217">
        <f t="shared" si="0"/>
      </c>
      <c r="I117" s="217">
        <f t="shared" si="1"/>
      </c>
      <c r="J117" s="217">
        <f t="shared" si="2"/>
      </c>
      <c r="K117" s="216">
        <v>2</v>
      </c>
      <c r="L117" s="216">
        <v>3007.2</v>
      </c>
      <c r="M117" s="216"/>
      <c r="N117" s="216"/>
      <c r="O117" s="218"/>
      <c r="P117" s="218"/>
    </row>
    <row r="118">
      <c r="A118" s="214" t="s">
        <v>552</v>
      </c>
      <c r="B118" s="215" t="s">
        <v>514</v>
      </c>
      <c r="C118" s="216" t="s">
        <v>516</v>
      </c>
      <c r="D118" s="216">
        <v>5</v>
      </c>
      <c r="E118" s="216">
        <v>16</v>
      </c>
      <c r="F118" s="219">
        <v>22393.8</v>
      </c>
      <c r="G118" s="216">
        <v>12311.66</v>
      </c>
      <c r="H118" s="217">
        <f t="shared" si="0"/>
      </c>
      <c r="I118" s="217">
        <f t="shared" si="1"/>
      </c>
      <c r="J118" s="217">
        <f t="shared" si="2"/>
      </c>
      <c r="K118" s="216">
        <v>1</v>
      </c>
      <c r="L118" s="216">
        <v>1344</v>
      </c>
      <c r="M118" s="216" t="s">
        <v>551</v>
      </c>
      <c r="N118" s="220">
        <v>10</v>
      </c>
      <c r="O118" s="218" t="s">
        <v>508</v>
      </c>
      <c r="P118" s="216">
        <v>10</v>
      </c>
    </row>
    <row r="119">
      <c r="A119" s="221" t="s">
        <v>552</v>
      </c>
      <c r="B119" s="222"/>
      <c r="C119" s="222"/>
      <c r="D119" s="223">
        <f>SUM(D115:D118)</f>
      </c>
      <c r="E119" s="223">
        <f>SUM(E115:E118)</f>
      </c>
      <c r="F119" s="223">
        <f>SUM(F115:F118)</f>
      </c>
      <c r="G119" s="223">
        <f>SUM(G115:G118)</f>
      </c>
      <c r="H119" s="224">
        <f t="shared" si="0"/>
      </c>
      <c r="I119" s="224">
        <f t="shared" si="1"/>
      </c>
      <c r="J119" s="224">
        <f t="shared" si="2"/>
      </c>
      <c r="K119" s="223">
        <f>SUM(K115:K118)</f>
      </c>
      <c r="L119" s="223">
        <f>SUM(L115:L118)</f>
      </c>
      <c r="M119" s="225"/>
      <c r="N119" s="223">
        <f>SUM(N115:N118)</f>
      </c>
      <c r="O119" s="225"/>
      <c r="P119" s="223">
        <f>SUM(P115:P118)</f>
      </c>
    </row>
    <row r="120">
      <c r="A120" s="214" t="s">
        <v>553</v>
      </c>
      <c r="B120" s="215" t="s">
        <v>501</v>
      </c>
      <c r="C120" s="216" t="s">
        <v>554</v>
      </c>
      <c r="D120" s="216">
        <v>5</v>
      </c>
      <c r="E120" s="216">
        <v>31</v>
      </c>
      <c r="F120" s="216">
        <v>36231.6</v>
      </c>
      <c r="G120" s="216">
        <v>25654.84</v>
      </c>
      <c r="H120" s="217">
        <f t="shared" si="0"/>
      </c>
      <c r="I120" s="217">
        <f t="shared" si="1"/>
      </c>
      <c r="J120" s="217">
        <f t="shared" si="2"/>
      </c>
      <c r="K120" s="216">
        <v>6</v>
      </c>
      <c r="L120" s="216">
        <v>4832.4</v>
      </c>
      <c r="M120" s="216" t="s">
        <v>518</v>
      </c>
      <c r="N120" s="216">
        <v>11</v>
      </c>
      <c r="O120" s="216" t="s">
        <v>498</v>
      </c>
      <c r="P120" s="216">
        <v>11</v>
      </c>
    </row>
    <row r="121">
      <c r="A121" s="214" t="s">
        <v>553</v>
      </c>
      <c r="B121" s="215" t="s">
        <v>538</v>
      </c>
      <c r="C121" s="216" t="s">
        <v>555</v>
      </c>
      <c r="D121" s="216">
        <v>5</v>
      </c>
      <c r="E121" s="216">
        <v>25</v>
      </c>
      <c r="F121" s="216">
        <v>42389.00000000001</v>
      </c>
      <c r="G121" s="216">
        <v>26716.17</v>
      </c>
      <c r="H121" s="217">
        <f t="shared" si="0"/>
      </c>
      <c r="I121" s="217">
        <f t="shared" si="1"/>
      </c>
      <c r="J121" s="217">
        <f t="shared" si="2"/>
      </c>
      <c r="K121" s="216">
        <v>4</v>
      </c>
      <c r="L121" s="216">
        <v>4732.8</v>
      </c>
      <c r="M121" s="216"/>
      <c r="N121" s="216"/>
      <c r="P121" s="218"/>
    </row>
    <row r="122">
      <c r="A122" s="214" t="s">
        <v>553</v>
      </c>
      <c r="B122" s="215" t="s">
        <v>556</v>
      </c>
      <c r="C122" s="216" t="s">
        <v>557</v>
      </c>
      <c r="D122" s="216">
        <v>2</v>
      </c>
      <c r="E122" s="216">
        <v>6</v>
      </c>
      <c r="F122" s="216">
        <v>10268.4</v>
      </c>
      <c r="G122" s="216">
        <v>8661.73</v>
      </c>
      <c r="H122" s="217">
        <f t="shared" si="0"/>
      </c>
      <c r="I122" s="217">
        <f t="shared" si="1"/>
      </c>
      <c r="J122" s="217">
        <f t="shared" si="2"/>
      </c>
      <c r="K122" s="216">
        <v>2</v>
      </c>
      <c r="L122" s="216">
        <v>2766</v>
      </c>
      <c r="M122" s="216"/>
      <c r="N122" s="216"/>
      <c r="O122" s="218"/>
      <c r="P122" s="218"/>
    </row>
    <row customHeight="true" ht="16.071428571428573" r="123">
      <c r="A123" s="214" t="s">
        <v>553</v>
      </c>
      <c r="B123" s="215" t="s">
        <v>505</v>
      </c>
      <c r="C123" s="216" t="s">
        <v>529</v>
      </c>
      <c r="D123" s="216">
        <v>5</v>
      </c>
      <c r="E123" s="216">
        <v>10</v>
      </c>
      <c r="F123" s="216">
        <v>15970.8</v>
      </c>
      <c r="G123" s="216">
        <v>13837.73</v>
      </c>
      <c r="H123" s="217">
        <f t="shared" si="0"/>
      </c>
      <c r="I123" s="217">
        <f t="shared" si="1"/>
      </c>
      <c r="J123" s="217">
        <f t="shared" si="2"/>
      </c>
      <c r="K123" s="216">
        <v>1</v>
      </c>
      <c r="L123" s="216">
        <v>1663.2</v>
      </c>
      <c r="M123" s="216"/>
      <c r="N123" s="216"/>
      <c r="O123" s="218"/>
      <c r="P123" s="218"/>
    </row>
    <row r="124">
      <c r="A124" s="214" t="s">
        <v>553</v>
      </c>
      <c r="B124" s="215" t="s">
        <v>503</v>
      </c>
      <c r="C124" s="216" t="s">
        <v>516</v>
      </c>
      <c r="D124" s="216">
        <v>5</v>
      </c>
      <c r="E124" s="216">
        <v>35</v>
      </c>
      <c r="F124" s="219">
        <v>40197.16</v>
      </c>
      <c r="G124" s="216">
        <v>19960.71</v>
      </c>
      <c r="H124" s="217">
        <f t="shared" si="0"/>
      </c>
      <c r="I124" s="217">
        <f t="shared" si="1"/>
      </c>
      <c r="J124" s="217">
        <f t="shared" si="2"/>
      </c>
      <c r="K124" s="216">
        <v>13</v>
      </c>
      <c r="L124" s="216">
        <v>11775.6</v>
      </c>
      <c r="M124" s="216" t="s">
        <v>551</v>
      </c>
      <c r="N124" s="220">
        <v>11</v>
      </c>
      <c r="O124" s="218" t="s">
        <v>508</v>
      </c>
      <c r="P124" s="216">
        <v>11</v>
      </c>
    </row>
    <row r="125">
      <c r="A125" s="221" t="s">
        <v>553</v>
      </c>
      <c r="B125" s="222"/>
      <c r="C125" s="222"/>
      <c r="D125" s="223">
        <f>SUM(D120:D124)</f>
      </c>
      <c r="E125" s="223">
        <f>SUM(E120:E124)</f>
      </c>
      <c r="F125" s="223">
        <f>SUM(F120:F124)</f>
      </c>
      <c r="G125" s="223">
        <f>SUM(G120:G124)</f>
      </c>
      <c r="H125" s="224">
        <f t="shared" si="0"/>
      </c>
      <c r="I125" s="224">
        <f t="shared" si="1"/>
      </c>
      <c r="J125" s="224">
        <f t="shared" si="2"/>
      </c>
      <c r="K125" s="223">
        <f>SUM(K120:K124)</f>
      </c>
      <c r="L125" s="223">
        <f>SUM(L120:L124)</f>
      </c>
      <c r="M125" s="225"/>
      <c r="N125" s="223">
        <f>SUM(N120:N124)</f>
      </c>
      <c r="O125" s="225"/>
      <c r="P125" s="223">
        <f>SUM(P120:P124)</f>
      </c>
    </row>
    <row r="126">
      <c r="A126" s="214" t="s">
        <v>558</v>
      </c>
      <c r="B126" s="215" t="s">
        <v>538</v>
      </c>
      <c r="C126" s="216" t="s">
        <v>554</v>
      </c>
      <c r="D126" s="216">
        <v>5</v>
      </c>
      <c r="E126" s="216">
        <v>17</v>
      </c>
      <c r="F126" s="216">
        <v>24345</v>
      </c>
      <c r="G126" s="216">
        <v>24345</v>
      </c>
      <c r="H126" s="217">
        <f t="shared" si="0"/>
      </c>
      <c r="I126" s="217">
        <f t="shared" si="1"/>
      </c>
      <c r="J126" s="217">
        <f t="shared" si="2"/>
      </c>
      <c r="K126" s="216">
        <v>6</v>
      </c>
      <c r="L126" s="216">
        <v>10002</v>
      </c>
      <c r="M126" s="216" t="s">
        <v>518</v>
      </c>
      <c r="N126" s="216">
        <v>11</v>
      </c>
      <c r="O126" s="216" t="s">
        <v>498</v>
      </c>
      <c r="P126" s="216">
        <v>11</v>
      </c>
    </row>
    <row r="127">
      <c r="A127" s="214" t="s">
        <v>558</v>
      </c>
      <c r="B127" s="215" t="s">
        <v>556</v>
      </c>
      <c r="C127" s="216" t="s">
        <v>559</v>
      </c>
      <c r="D127" s="216">
        <v>2</v>
      </c>
      <c r="E127" s="216">
        <v>10</v>
      </c>
      <c r="F127" s="216">
        <v>11409.599999999999</v>
      </c>
      <c r="G127" s="216">
        <v>7122.470000000001</v>
      </c>
      <c r="H127" s="217">
        <f t="shared" si="0"/>
      </c>
      <c r="I127" s="217">
        <f t="shared" si="1"/>
      </c>
      <c r="J127" s="217">
        <f t="shared" si="2"/>
      </c>
      <c r="K127" s="216">
        <v>3</v>
      </c>
      <c r="L127" s="216">
        <v>1850.4</v>
      </c>
      <c r="M127" s="216"/>
      <c r="N127" s="216"/>
      <c r="P127" s="218"/>
    </row>
    <row r="128">
      <c r="A128" s="214" t="s">
        <v>558</v>
      </c>
      <c r="B128" s="215" t="s">
        <v>505</v>
      </c>
      <c r="C128" s="216" t="s">
        <v>500</v>
      </c>
      <c r="D128" s="216">
        <v>5</v>
      </c>
      <c r="E128" s="216">
        <v>33</v>
      </c>
      <c r="F128" s="216">
        <v>44217.600000000006</v>
      </c>
      <c r="G128" s="216">
        <v>23678.47</v>
      </c>
      <c r="H128" s="217">
        <f t="shared" si="0"/>
      </c>
      <c r="I128" s="217">
        <f t="shared" si="1"/>
      </c>
      <c r="J128" s="217">
        <f t="shared" si="2"/>
      </c>
      <c r="K128" s="216">
        <v>4</v>
      </c>
      <c r="L128" s="216">
        <v>5393.399999999999</v>
      </c>
      <c r="M128" s="216"/>
      <c r="N128" s="216"/>
      <c r="O128" s="218"/>
      <c r="P128" s="218"/>
    </row>
    <row r="129">
      <c r="A129" s="214" t="s">
        <v>558</v>
      </c>
      <c r="B129" s="215" t="s">
        <v>503</v>
      </c>
      <c r="C129" s="216" t="s">
        <v>529</v>
      </c>
      <c r="D129" s="216">
        <v>5</v>
      </c>
      <c r="E129" s="216">
        <v>11</v>
      </c>
      <c r="F129" s="216">
        <v>16576.8</v>
      </c>
      <c r="G129" s="216">
        <v>12375.49</v>
      </c>
      <c r="H129" s="217">
        <f t="shared" si="0"/>
      </c>
      <c r="I129" s="217">
        <f t="shared" si="1"/>
      </c>
      <c r="J129" s="217">
        <f t="shared" si="2"/>
      </c>
      <c r="K129" s="216">
        <v>4</v>
      </c>
      <c r="L129" s="216">
        <v>7029.599999999999</v>
      </c>
      <c r="M129" s="216"/>
      <c r="N129" s="216"/>
      <c r="O129" s="218"/>
      <c r="P129" s="218"/>
    </row>
    <row r="130">
      <c r="A130" s="214" t="s">
        <v>558</v>
      </c>
      <c r="B130" s="215" t="s">
        <v>514</v>
      </c>
      <c r="C130" s="216" t="s">
        <v>516</v>
      </c>
      <c r="D130" s="216">
        <v>5</v>
      </c>
      <c r="E130" s="216">
        <v>10</v>
      </c>
      <c r="F130" s="219">
        <v>10010.400000000012</v>
      </c>
      <c r="G130" s="216">
        <v>12072.62</v>
      </c>
      <c r="H130" s="217">
        <f t="shared" si="0"/>
      </c>
      <c r="I130" s="217">
        <f t="shared" si="1"/>
      </c>
      <c r="J130" s="217">
        <f t="shared" si="2"/>
      </c>
      <c r="K130" s="216">
        <v>2</v>
      </c>
      <c r="L130" s="216">
        <v>3036</v>
      </c>
      <c r="M130" s="216" t="s">
        <v>544</v>
      </c>
      <c r="N130" s="220">
        <v>11</v>
      </c>
      <c r="O130" s="218" t="s">
        <v>508</v>
      </c>
      <c r="P130" s="216">
        <v>11</v>
      </c>
    </row>
    <row r="131">
      <c r="A131" s="221" t="s">
        <v>558</v>
      </c>
      <c r="B131" s="222"/>
      <c r="C131" s="222"/>
      <c r="D131" s="223">
        <f>SUM(D126:D130)</f>
      </c>
      <c r="E131" s="223">
        <f>SUM(E126:E130)</f>
      </c>
      <c r="F131" s="223">
        <f>SUM(F126:F130)</f>
      </c>
      <c r="G131" s="223">
        <f>SUM(G126:G130)</f>
      </c>
      <c r="H131" s="224">
        <f t="shared" si="0"/>
      </c>
      <c r="I131" s="224">
        <f t="shared" si="1"/>
      </c>
      <c r="J131" s="224">
        <f t="shared" si="2"/>
      </c>
      <c r="K131" s="223">
        <f>SUM(K126:K130)</f>
      </c>
      <c r="L131" s="223">
        <f>SUM(L126:L130)</f>
      </c>
      <c r="M131" s="225"/>
      <c r="N131" s="223">
        <f>SUM(N126:N130)</f>
      </c>
      <c r="O131" s="225"/>
      <c r="P131" s="223">
        <f>SUM(P126:P130)</f>
      </c>
    </row>
    <row r="132">
      <c r="A132" s="214" t="s">
        <v>560</v>
      </c>
      <c r="B132" s="215" t="s">
        <v>538</v>
      </c>
      <c r="C132" s="216" t="s">
        <v>554</v>
      </c>
      <c r="D132" s="216">
        <v>5</v>
      </c>
      <c r="E132" s="216">
        <v>11</v>
      </c>
      <c r="F132" s="216">
        <v>14011.2</v>
      </c>
      <c r="G132" s="216">
        <v>12184.300000000001</v>
      </c>
      <c r="H132" s="217">
        <f t="shared" si="0"/>
      </c>
      <c r="I132" s="217">
        <f t="shared" si="1"/>
      </c>
      <c r="J132" s="217">
        <f t="shared" si="2"/>
      </c>
      <c r="K132" s="216">
        <v>2</v>
      </c>
      <c r="L132" s="216">
        <v>2088</v>
      </c>
      <c r="M132" s="216" t="s">
        <v>518</v>
      </c>
      <c r="N132" s="216">
        <v>11</v>
      </c>
      <c r="O132" s="216" t="s">
        <v>498</v>
      </c>
      <c r="P132" s="216">
        <v>11</v>
      </c>
    </row>
    <row r="133">
      <c r="A133" s="214" t="s">
        <v>560</v>
      </c>
      <c r="B133" s="215" t="s">
        <v>556</v>
      </c>
      <c r="C133" s="216" t="s">
        <v>559</v>
      </c>
      <c r="D133" s="216">
        <v>2</v>
      </c>
      <c r="E133" s="216">
        <v>4</v>
      </c>
      <c r="F133" s="216">
        <v>5319.5999999999985</v>
      </c>
      <c r="G133" s="216">
        <v>5070.219999999999</v>
      </c>
      <c r="H133" s="217">
        <f t="shared" si="0"/>
      </c>
      <c r="I133" s="217">
        <f t="shared" si="1"/>
      </c>
      <c r="J133" s="217">
        <f t="shared" si="2"/>
      </c>
      <c r="K133" s="216">
        <v>1</v>
      </c>
      <c r="L133" s="216">
        <v>1807.2</v>
      </c>
      <c r="M133" s="216"/>
      <c r="N133" s="216"/>
      <c r="P133" s="218"/>
    </row>
    <row r="134">
      <c r="A134" s="214" t="s">
        <v>560</v>
      </c>
      <c r="B134" s="215" t="s">
        <v>503</v>
      </c>
      <c r="C134" s="216" t="s">
        <v>500</v>
      </c>
      <c r="D134" s="216">
        <v>5</v>
      </c>
      <c r="E134" s="216">
        <v>12</v>
      </c>
      <c r="F134" s="216">
        <v>13623.2</v>
      </c>
      <c r="G134" s="216">
        <v>11932.049999999997</v>
      </c>
      <c r="H134" s="217">
        <f t="shared" si="0"/>
      </c>
      <c r="I134" s="217">
        <f t="shared" si="1"/>
      </c>
      <c r="J134" s="217">
        <f t="shared" si="2"/>
      </c>
      <c r="K134" s="216">
        <v>1</v>
      </c>
      <c r="L134" s="216">
        <v>1344</v>
      </c>
      <c r="M134" s="216"/>
      <c r="N134" s="216"/>
      <c r="O134" s="218"/>
      <c r="P134" s="218"/>
    </row>
    <row r="135">
      <c r="A135" s="214" t="s">
        <v>560</v>
      </c>
      <c r="B135" s="215" t="s">
        <v>514</v>
      </c>
      <c r="C135" s="216" t="s">
        <v>529</v>
      </c>
      <c r="D135" s="216">
        <v>5</v>
      </c>
      <c r="E135" s="216">
        <v>11</v>
      </c>
      <c r="F135" s="216">
        <v>18007.199999999997</v>
      </c>
      <c r="G135" s="216">
        <v>8782.08</v>
      </c>
      <c r="H135" s="217">
        <f t="shared" si="0"/>
      </c>
      <c r="I135" s="217">
        <f t="shared" si="1"/>
      </c>
      <c r="J135" s="217">
        <f t="shared" si="2"/>
      </c>
      <c r="K135" s="216">
        <v>2</v>
      </c>
      <c r="L135" s="216">
        <v>3326.4</v>
      </c>
      <c r="M135" s="216"/>
      <c r="N135" s="216"/>
      <c r="O135" s="218"/>
      <c r="P135" s="218"/>
    </row>
    <row r="136">
      <c r="A136" s="214" t="s">
        <v>560</v>
      </c>
      <c r="B136" s="215" t="s">
        <v>501</v>
      </c>
      <c r="C136" s="216" t="s">
        <v>516</v>
      </c>
      <c r="D136" s="216">
        <v>5</v>
      </c>
      <c r="E136" s="216">
        <v>24</v>
      </c>
      <c r="F136" s="219">
        <v>41696.799999999996</v>
      </c>
      <c r="G136" s="216">
        <v>14832.64</v>
      </c>
      <c r="H136" s="217">
        <f t="shared" si="0"/>
      </c>
      <c r="I136" s="217">
        <f t="shared" si="1"/>
      </c>
      <c r="J136" s="217">
        <f t="shared" si="2"/>
      </c>
      <c r="K136" s="216">
        <v>6</v>
      </c>
      <c r="L136" s="216">
        <v>10897.2</v>
      </c>
      <c r="M136" s="216" t="s">
        <v>544</v>
      </c>
      <c r="N136" s="220">
        <v>11</v>
      </c>
      <c r="O136" s="218" t="s">
        <v>508</v>
      </c>
      <c r="P136" s="216">
        <v>11</v>
      </c>
    </row>
    <row r="137">
      <c r="A137" s="221" t="s">
        <v>560</v>
      </c>
      <c r="B137" s="222"/>
      <c r="C137" s="222"/>
      <c r="D137" s="223">
        <f>SUM(D132:D136)</f>
      </c>
      <c r="E137" s="223">
        <f>SUM(E132:E136)</f>
      </c>
      <c r="F137" s="223">
        <f>SUM(F132:F136)</f>
      </c>
      <c r="G137" s="223">
        <f>SUM(G132:G136)</f>
      </c>
      <c r="H137" s="224">
        <f t="shared" si="0"/>
      </c>
      <c r="I137" s="224">
        <f t="shared" si="1"/>
      </c>
      <c r="J137" s="224">
        <f t="shared" si="2"/>
      </c>
      <c r="K137" s="223">
        <f>SUM(K132:K136)</f>
      </c>
      <c r="L137" s="223">
        <f>SUM(L132:L136)</f>
      </c>
      <c r="M137" s="225"/>
      <c r="N137" s="223">
        <f>SUM(N132:N136)</f>
      </c>
      <c r="O137" s="225"/>
      <c r="P137" s="223">
        <f>SUM(P132:P136)</f>
      </c>
    </row>
    <row r="138">
      <c r="A138" s="214" t="s">
        <v>561</v>
      </c>
      <c r="B138" s="215" t="s">
        <v>505</v>
      </c>
      <c r="C138" s="216" t="s">
        <v>554</v>
      </c>
      <c r="D138" s="216">
        <v>5</v>
      </c>
      <c r="E138" s="216">
        <v>14</v>
      </c>
      <c r="F138" s="216">
        <v>18732.2</v>
      </c>
      <c r="G138" s="216">
        <v>14686.95</v>
      </c>
      <c r="H138" s="217">
        <f t="shared" si="0"/>
      </c>
      <c r="I138" s="217">
        <f t="shared" si="1"/>
      </c>
      <c r="J138" s="217">
        <f t="shared" si="2"/>
      </c>
      <c r="K138" s="216">
        <v>0</v>
      </c>
      <c r="L138" s="216">
        <v>0</v>
      </c>
      <c r="M138" s="216" t="s">
        <v>518</v>
      </c>
      <c r="N138" s="216">
        <v>11</v>
      </c>
      <c r="O138" s="216" t="s">
        <v>498</v>
      </c>
      <c r="P138" s="216">
        <v>11</v>
      </c>
    </row>
    <row r="139">
      <c r="A139" s="214" t="s">
        <v>561</v>
      </c>
      <c r="B139" s="215" t="s">
        <v>514</v>
      </c>
      <c r="C139" s="216" t="s">
        <v>555</v>
      </c>
      <c r="D139" s="216">
        <v>5</v>
      </c>
      <c r="E139" s="216">
        <v>8</v>
      </c>
      <c r="F139" s="216">
        <v>14512.8</v>
      </c>
      <c r="G139" s="216">
        <v>8817.63</v>
      </c>
      <c r="H139" s="217">
        <f t="shared" si="0"/>
      </c>
      <c r="I139" s="217">
        <f t="shared" si="1"/>
      </c>
      <c r="J139" s="217">
        <f t="shared" si="2"/>
      </c>
      <c r="K139" s="216">
        <v>5</v>
      </c>
      <c r="L139" s="216">
        <v>9408</v>
      </c>
      <c r="M139" s="216"/>
      <c r="N139" s="216"/>
      <c r="P139" s="218"/>
    </row>
    <row r="140">
      <c r="A140" s="214" t="s">
        <v>561</v>
      </c>
      <c r="B140" s="215" t="s">
        <v>501</v>
      </c>
      <c r="C140" s="216" t="s">
        <v>562</v>
      </c>
      <c r="D140" s="216">
        <v>5</v>
      </c>
      <c r="E140" s="216">
        <v>12</v>
      </c>
      <c r="F140" s="216">
        <v>13994.399999999998</v>
      </c>
      <c r="G140" s="216">
        <v>8836.15</v>
      </c>
      <c r="H140" s="217">
        <f t="shared" si="0"/>
      </c>
      <c r="I140" s="217">
        <f t="shared" si="1"/>
      </c>
      <c r="J140" s="217">
        <f t="shared" si="2"/>
      </c>
      <c r="K140" s="216">
        <v>4</v>
      </c>
      <c r="L140" s="216">
        <v>4574.4</v>
      </c>
      <c r="M140" s="216" t="s">
        <v>497</v>
      </c>
      <c r="N140" s="216">
        <v>4</v>
      </c>
      <c r="O140" s="218"/>
      <c r="P140" s="218"/>
    </row>
    <row r="141">
      <c r="A141" s="214" t="s">
        <v>561</v>
      </c>
      <c r="B141" s="215" t="s">
        <v>556</v>
      </c>
      <c r="C141" s="216" t="s">
        <v>563</v>
      </c>
      <c r="D141" s="216">
        <v>2</v>
      </c>
      <c r="E141" s="216">
        <v>9</v>
      </c>
      <c r="F141" s="216">
        <v>6110.200000000004</v>
      </c>
      <c r="G141" s="216">
        <v>4034.12</v>
      </c>
      <c r="H141" s="217">
        <f t="shared" si="0"/>
      </c>
      <c r="I141" s="217">
        <f t="shared" si="1"/>
      </c>
      <c r="J141" s="217">
        <f t="shared" si="2"/>
      </c>
      <c r="K141" s="216">
        <v>4</v>
      </c>
      <c r="L141" s="216">
        <v>2482.600000000002</v>
      </c>
      <c r="M141" s="216"/>
      <c r="N141" s="216"/>
      <c r="O141" s="218"/>
      <c r="P141" s="218"/>
    </row>
    <row r="142">
      <c r="A142" s="214" t="s">
        <v>561</v>
      </c>
      <c r="B142" s="215" t="s">
        <v>538</v>
      </c>
      <c r="C142" s="216" t="s">
        <v>516</v>
      </c>
      <c r="D142" s="216">
        <v>5</v>
      </c>
      <c r="E142" s="216">
        <v>20</v>
      </c>
      <c r="F142" s="219">
        <v>28237.440000000002</v>
      </c>
      <c r="G142" s="216">
        <v>16730.2</v>
      </c>
      <c r="H142" s="217">
        <f t="shared" si="0"/>
      </c>
      <c r="I142" s="217">
        <f t="shared" si="1"/>
      </c>
      <c r="J142" s="217">
        <f t="shared" si="2"/>
      </c>
      <c r="K142" s="216">
        <v>4</v>
      </c>
      <c r="L142" s="216">
        <v>4406.399999999998</v>
      </c>
      <c r="M142" s="216" t="s">
        <v>534</v>
      </c>
      <c r="N142" s="220">
        <v>7</v>
      </c>
      <c r="O142" s="218" t="s">
        <v>508</v>
      </c>
      <c r="P142" s="216">
        <v>11</v>
      </c>
    </row>
    <row r="143">
      <c r="A143" s="221" t="s">
        <v>561</v>
      </c>
      <c r="B143" s="222"/>
      <c r="C143" s="222"/>
      <c r="D143" s="223">
        <f>SUM(D138:D142)</f>
      </c>
      <c r="E143" s="223">
        <f>SUM(E138:E142)</f>
      </c>
      <c r="F143" s="223">
        <f>SUM(F138:F142)</f>
      </c>
      <c r="G143" s="223">
        <f>SUM(G138:G142)</f>
      </c>
      <c r="H143" s="224">
        <f t="shared" si="0"/>
      </c>
      <c r="I143" s="224">
        <f t="shared" si="1"/>
      </c>
      <c r="J143" s="224">
        <f t="shared" si="2"/>
      </c>
      <c r="K143" s="223">
        <f>SUM(K138:K142)</f>
      </c>
      <c r="L143" s="223">
        <f>SUM(L138:L142)</f>
      </c>
      <c r="M143" s="225"/>
      <c r="N143" s="223">
        <f>SUM(N138:N142)</f>
      </c>
      <c r="O143" s="225"/>
      <c r="P143" s="223">
        <f>SUM(P138:P142)</f>
      </c>
    </row>
    <row r="144">
      <c r="A144" s="214" t="s">
        <v>564</v>
      </c>
      <c r="B144" s="215" t="s">
        <v>505</v>
      </c>
      <c r="C144" s="216" t="s">
        <v>565</v>
      </c>
      <c r="D144" s="216">
        <v>6</v>
      </c>
      <c r="E144" s="216">
        <v>26</v>
      </c>
      <c r="F144" s="216">
        <v>23555.4</v>
      </c>
      <c r="G144" s="216">
        <v>22825.53</v>
      </c>
      <c r="H144" s="217">
        <f t="shared" si="0"/>
      </c>
      <c r="I144" s="217">
        <f t="shared" si="1"/>
      </c>
      <c r="J144" s="217">
        <f t="shared" si="2"/>
      </c>
      <c r="K144" s="216">
        <v>7</v>
      </c>
      <c r="L144" s="216">
        <v>9033.599999999999</v>
      </c>
      <c r="M144" s="216" t="s">
        <v>518</v>
      </c>
      <c r="N144" s="216">
        <v>11</v>
      </c>
      <c r="O144" s="216" t="s">
        <v>498</v>
      </c>
      <c r="P144" s="216">
        <v>11</v>
      </c>
    </row>
    <row r="145">
      <c r="A145" s="214" t="s">
        <v>564</v>
      </c>
      <c r="B145" s="215" t="s">
        <v>503</v>
      </c>
      <c r="C145" s="216" t="s">
        <v>523</v>
      </c>
      <c r="D145" s="216">
        <v>4</v>
      </c>
      <c r="E145" s="216">
        <v>6</v>
      </c>
      <c r="F145" s="216">
        <v>7189</v>
      </c>
      <c r="G145" s="216">
        <v>11099.140000000001</v>
      </c>
      <c r="H145" s="217">
        <f t="shared" si="0"/>
      </c>
      <c r="I145" s="217">
        <f t="shared" si="1"/>
      </c>
      <c r="J145" s="217">
        <f t="shared" si="2"/>
      </c>
      <c r="K145" s="216">
        <v>2</v>
      </c>
      <c r="L145" s="216">
        <v>1965.6000000000004</v>
      </c>
      <c r="M145" s="216"/>
      <c r="N145" s="216"/>
      <c r="P145" s="218"/>
    </row>
    <row r="146">
      <c r="A146" s="214" t="s">
        <v>564</v>
      </c>
      <c r="B146" s="215" t="s">
        <v>501</v>
      </c>
      <c r="C146" s="216" t="s">
        <v>562</v>
      </c>
      <c r="D146" s="216">
        <v>5</v>
      </c>
      <c r="E146" s="216">
        <v>5</v>
      </c>
      <c r="F146" s="216">
        <v>5555.999999999997</v>
      </c>
      <c r="G146" s="216">
        <v>7507.989999999999</v>
      </c>
      <c r="H146" s="217">
        <f t="shared" si="0"/>
      </c>
      <c r="I146" s="217">
        <f t="shared" si="1"/>
      </c>
      <c r="J146" s="217">
        <f t="shared" si="2"/>
      </c>
      <c r="K146" s="216">
        <v>1</v>
      </c>
      <c r="L146" s="216">
        <v>679.2</v>
      </c>
      <c r="M146" s="216" t="s">
        <v>497</v>
      </c>
      <c r="N146" s="216">
        <v>4</v>
      </c>
      <c r="O146" s="218"/>
      <c r="P146" s="218"/>
    </row>
    <row r="147">
      <c r="A147" s="214" t="s">
        <v>564</v>
      </c>
      <c r="B147" s="215" t="s">
        <v>556</v>
      </c>
      <c r="C147" s="216" t="s">
        <v>563</v>
      </c>
      <c r="D147" s="216">
        <v>2</v>
      </c>
      <c r="E147" s="216">
        <v>1</v>
      </c>
      <c r="F147" s="216">
        <v>456</v>
      </c>
      <c r="G147" s="216">
        <v>2365.22</v>
      </c>
      <c r="H147" s="217">
        <f t="shared" si="0"/>
      </c>
      <c r="I147" s="217">
        <f t="shared" si="1"/>
      </c>
      <c r="J147" s="217">
        <f t="shared" si="2"/>
      </c>
      <c r="K147" s="216">
        <v>0</v>
      </c>
      <c r="L147" s="216">
        <v>0</v>
      </c>
      <c r="M147" s="216"/>
      <c r="N147" s="216"/>
      <c r="O147" s="218"/>
      <c r="P147" s="218"/>
    </row>
    <row r="148">
      <c r="A148" s="214" t="s">
        <v>564</v>
      </c>
      <c r="B148" s="215" t="s">
        <v>538</v>
      </c>
      <c r="C148" s="216" t="s">
        <v>516</v>
      </c>
      <c r="D148" s="216">
        <v>5</v>
      </c>
      <c r="E148" s="216">
        <v>16</v>
      </c>
      <c r="F148" s="219">
        <v>24342</v>
      </c>
      <c r="G148" s="216">
        <v>10984.25</v>
      </c>
      <c r="H148" s="217">
        <f t="shared" si="0"/>
      </c>
      <c r="I148" s="217">
        <f t="shared" si="1"/>
      </c>
      <c r="J148" s="217">
        <f t="shared" si="2"/>
      </c>
      <c r="K148" s="216">
        <v>5</v>
      </c>
      <c r="L148" s="216">
        <v>5798.4</v>
      </c>
      <c r="M148" s="216" t="s">
        <v>534</v>
      </c>
      <c r="N148" s="220">
        <v>7</v>
      </c>
      <c r="O148" s="218" t="s">
        <v>508</v>
      </c>
      <c r="P148" s="216">
        <v>11</v>
      </c>
    </row>
    <row r="149">
      <c r="A149" s="221" t="s">
        <v>564</v>
      </c>
      <c r="B149" s="222"/>
      <c r="C149" s="222"/>
      <c r="D149" s="223">
        <f>SUM(D144:D148)</f>
      </c>
      <c r="E149" s="223">
        <f>SUM(E144:E148)</f>
      </c>
      <c r="F149" s="223">
        <f>SUM(F144:F148)</f>
      </c>
      <c r="G149" s="223">
        <f>SUM(G144:G148)</f>
      </c>
      <c r="H149" s="224">
        <f t="shared" si="0"/>
      </c>
      <c r="I149" s="224">
        <f t="shared" si="1"/>
      </c>
      <c r="J149" s="224">
        <f t="shared" si="2"/>
      </c>
      <c r="K149" s="223">
        <f>SUM(K144:K148)</f>
      </c>
      <c r="L149" s="223">
        <f>SUM(L144:L148)</f>
      </c>
      <c r="M149" s="225"/>
      <c r="N149" s="223">
        <f>SUM(N144:N148)</f>
      </c>
      <c r="O149" s="225"/>
      <c r="P149" s="223">
        <f>SUM(P144:P148)</f>
      </c>
    </row>
    <row r="150">
      <c r="A150" s="214" t="s">
        <v>566</v>
      </c>
      <c r="B150" s="215" t="s">
        <v>501</v>
      </c>
      <c r="C150" s="216" t="s">
        <v>554</v>
      </c>
      <c r="D150" s="216">
        <v>5</v>
      </c>
      <c r="E150" s="216">
        <v>4</v>
      </c>
      <c r="F150" s="216">
        <v>5458.8</v>
      </c>
      <c r="G150" s="216">
        <v>6438.65</v>
      </c>
      <c r="H150" s="217">
        <f t="shared" si="0"/>
      </c>
      <c r="I150" s="217">
        <f t="shared" si="1"/>
      </c>
      <c r="J150" s="217">
        <f t="shared" si="2"/>
      </c>
      <c r="K150" s="216">
        <v>1</v>
      </c>
      <c r="L150" s="216">
        <v>2011.2</v>
      </c>
      <c r="M150" s="216" t="s">
        <v>518</v>
      </c>
      <c r="N150" s="216">
        <v>11</v>
      </c>
      <c r="O150" s="216" t="s">
        <v>498</v>
      </c>
      <c r="P150" s="216">
        <v>11</v>
      </c>
    </row>
    <row r="151">
      <c r="A151" s="214" t="s">
        <v>566</v>
      </c>
      <c r="B151" s="215" t="s">
        <v>514</v>
      </c>
      <c r="C151" s="216" t="s">
        <v>567</v>
      </c>
      <c r="D151" s="216">
        <v>4</v>
      </c>
      <c r="E151" s="216">
        <v>12</v>
      </c>
      <c r="F151" s="216">
        <v>19670.4</v>
      </c>
      <c r="G151" s="216">
        <v>8580.95</v>
      </c>
      <c r="H151" s="217">
        <f t="shared" si="0"/>
      </c>
      <c r="I151" s="217">
        <f t="shared" si="1"/>
      </c>
      <c r="J151" s="217">
        <f t="shared" si="2"/>
      </c>
      <c r="K151" s="216">
        <v>1</v>
      </c>
      <c r="L151" s="216">
        <v>1663.2</v>
      </c>
      <c r="M151" s="216"/>
      <c r="N151" s="216"/>
      <c r="P151" s="218"/>
    </row>
    <row r="152">
      <c r="A152" s="214" t="s">
        <v>566</v>
      </c>
      <c r="B152" s="215" t="s">
        <v>556</v>
      </c>
      <c r="C152" s="216" t="s">
        <v>568</v>
      </c>
      <c r="D152" s="216">
        <v>4</v>
      </c>
      <c r="E152" s="216">
        <v>7</v>
      </c>
      <c r="F152" s="216">
        <v>13118.399999999998</v>
      </c>
      <c r="G152" s="216">
        <v>10514.369999999999</v>
      </c>
      <c r="H152" s="217">
        <f t="shared" si="0"/>
      </c>
      <c r="I152" s="217">
        <f t="shared" si="1"/>
      </c>
      <c r="J152" s="217">
        <f t="shared" si="2"/>
      </c>
      <c r="K152" s="216">
        <v>3</v>
      </c>
      <c r="L152" s="216">
        <v>5133.6</v>
      </c>
      <c r="M152" s="216"/>
      <c r="N152" s="216"/>
      <c r="O152" s="218"/>
      <c r="P152" s="218"/>
    </row>
    <row r="153">
      <c r="A153" s="214" t="s">
        <v>566</v>
      </c>
      <c r="B153" s="215" t="s">
        <v>503</v>
      </c>
      <c r="C153" s="216" t="s">
        <v>569</v>
      </c>
      <c r="D153" s="216">
        <v>4</v>
      </c>
      <c r="E153" s="216">
        <v>9</v>
      </c>
      <c r="F153" s="216">
        <v>10584</v>
      </c>
      <c r="G153" s="216">
        <v>6148.459999999999</v>
      </c>
      <c r="H153" s="217">
        <f t="shared" si="0"/>
      </c>
      <c r="I153" s="217">
        <f t="shared" si="1"/>
      </c>
      <c r="J153" s="217">
        <f t="shared" si="2"/>
      </c>
      <c r="K153" s="216">
        <v>3</v>
      </c>
      <c r="L153" s="216">
        <v>3688.8000000000006</v>
      </c>
      <c r="M153" s="216"/>
      <c r="N153" s="216"/>
      <c r="O153" s="218"/>
      <c r="P153" s="218"/>
    </row>
    <row r="154">
      <c r="A154" s="214" t="s">
        <v>566</v>
      </c>
      <c r="B154" s="215" t="s">
        <v>505</v>
      </c>
      <c r="C154" s="216" t="s">
        <v>516</v>
      </c>
      <c r="D154" s="216">
        <v>5</v>
      </c>
      <c r="E154" s="216">
        <v>14</v>
      </c>
      <c r="F154" s="219">
        <v>18361.799999999996</v>
      </c>
      <c r="G154" s="216">
        <v>11507.259999999998</v>
      </c>
      <c r="H154" s="217">
        <f t="shared" si="0"/>
      </c>
      <c r="I154" s="217">
        <f t="shared" si="1"/>
      </c>
      <c r="J154" s="217">
        <f t="shared" si="2"/>
      </c>
      <c r="K154" s="216">
        <v>3</v>
      </c>
      <c r="L154" s="216">
        <v>4382.4</v>
      </c>
      <c r="M154" s="216" t="s">
        <v>507</v>
      </c>
      <c r="N154" s="220">
        <v>11</v>
      </c>
      <c r="O154" s="218" t="s">
        <v>508</v>
      </c>
      <c r="P154" s="216">
        <v>11</v>
      </c>
    </row>
    <row r="155">
      <c r="A155" s="221" t="s">
        <v>566</v>
      </c>
      <c r="B155" s="222"/>
      <c r="C155" s="222"/>
      <c r="D155" s="223">
        <f>SUM(D150:D154)</f>
      </c>
      <c r="E155" s="223">
        <f>SUM(E150:E154)</f>
      </c>
      <c r="F155" s="223">
        <f>SUM(F150:F154)</f>
      </c>
      <c r="G155" s="223">
        <f>SUM(G150:G154)</f>
      </c>
      <c r="H155" s="224">
        <f t="shared" si="0"/>
      </c>
      <c r="I155" s="224">
        <f t="shared" si="1"/>
      </c>
      <c r="J155" s="224">
        <f t="shared" si="2"/>
      </c>
      <c r="K155" s="223">
        <f>SUM(K150:K154)</f>
      </c>
      <c r="L155" s="223">
        <f>SUM(L150:L154)</f>
      </c>
      <c r="M155" s="225"/>
      <c r="N155" s="223">
        <f>SUM(N150:N154)</f>
      </c>
      <c r="O155" s="225"/>
      <c r="P155" s="223">
        <f>SUM(P150:P154)</f>
      </c>
    </row>
    <row r="156">
      <c r="A156" s="214" t="s">
        <v>570</v>
      </c>
      <c r="B156" s="215" t="s">
        <v>501</v>
      </c>
      <c r="C156" s="216" t="s">
        <v>554</v>
      </c>
      <c r="D156" s="216">
        <v>5</v>
      </c>
      <c r="E156" s="216">
        <v>9</v>
      </c>
      <c r="F156" s="216">
        <v>6535.2</v>
      </c>
      <c r="G156" s="216">
        <v>9775.48</v>
      </c>
      <c r="H156" s="217">
        <f t="shared" si="0"/>
      </c>
      <c r="I156" s="217">
        <f t="shared" si="1"/>
      </c>
      <c r="J156" s="217">
        <f t="shared" si="2"/>
      </c>
      <c r="K156" s="216">
        <v>4</v>
      </c>
      <c r="L156" s="216">
        <v>2406</v>
      </c>
      <c r="M156" s="216" t="s">
        <v>518</v>
      </c>
      <c r="N156" s="216">
        <v>11</v>
      </c>
      <c r="O156" s="216" t="s">
        <v>498</v>
      </c>
      <c r="P156" s="216">
        <v>11</v>
      </c>
    </row>
    <row r="157">
      <c r="A157" s="214" t="s">
        <v>570</v>
      </c>
      <c r="B157" s="215" t="s">
        <v>538</v>
      </c>
      <c r="C157" s="216" t="s">
        <v>567</v>
      </c>
      <c r="D157" s="216">
        <v>4</v>
      </c>
      <c r="E157" s="216">
        <v>14</v>
      </c>
      <c r="F157" s="216">
        <v>17433</v>
      </c>
      <c r="G157" s="216">
        <v>7586.93</v>
      </c>
      <c r="H157" s="217">
        <f t="shared" si="0"/>
      </c>
      <c r="I157" s="217">
        <f t="shared" si="1"/>
      </c>
      <c r="J157" s="217">
        <f t="shared" si="2"/>
      </c>
      <c r="K157" s="216">
        <v>4</v>
      </c>
      <c r="L157" s="216">
        <v>4641.599999999999</v>
      </c>
      <c r="M157" s="216"/>
      <c r="N157" s="216"/>
      <c r="P157" s="218"/>
    </row>
    <row r="158">
      <c r="A158" s="214" t="s">
        <v>570</v>
      </c>
      <c r="B158" s="215" t="s">
        <v>556</v>
      </c>
      <c r="C158" s="216" t="s">
        <v>568</v>
      </c>
      <c r="D158" s="216">
        <v>4</v>
      </c>
      <c r="E158" s="216">
        <v>22</v>
      </c>
      <c r="F158" s="216">
        <v>32472.999999999996</v>
      </c>
      <c r="G158" s="216">
        <v>15595.130000000001</v>
      </c>
      <c r="H158" s="217">
        <f t="shared" si="0"/>
      </c>
      <c r="I158" s="217">
        <f t="shared" si="1"/>
      </c>
      <c r="J158" s="217">
        <f t="shared" si="2"/>
      </c>
      <c r="K158" s="216">
        <v>7</v>
      </c>
      <c r="L158" s="216">
        <v>12177.4</v>
      </c>
      <c r="M158" s="216"/>
      <c r="N158" s="216"/>
      <c r="O158" s="218"/>
      <c r="P158" s="218"/>
    </row>
    <row r="159">
      <c r="A159" s="214" t="s">
        <v>570</v>
      </c>
      <c r="B159" s="215" t="s">
        <v>514</v>
      </c>
      <c r="C159" s="216" t="s">
        <v>569</v>
      </c>
      <c r="D159" s="216">
        <v>4</v>
      </c>
      <c r="E159" s="216">
        <v>10</v>
      </c>
      <c r="F159" s="216">
        <v>10754.600000000006</v>
      </c>
      <c r="G159" s="216">
        <v>14781.919999999998</v>
      </c>
      <c r="H159" s="217">
        <f t="shared" si="0"/>
      </c>
      <c r="I159" s="217">
        <f t="shared" si="1"/>
      </c>
      <c r="J159" s="217">
        <f t="shared" si="2"/>
      </c>
      <c r="K159" s="216">
        <v>0</v>
      </c>
      <c r="L159" s="216">
        <v>0</v>
      </c>
      <c r="M159" s="216"/>
      <c r="N159" s="216"/>
      <c r="O159" s="218"/>
      <c r="P159" s="218"/>
    </row>
    <row r="160">
      <c r="A160" s="214" t="s">
        <v>570</v>
      </c>
      <c r="B160" s="215" t="s">
        <v>505</v>
      </c>
      <c r="C160" s="216" t="s">
        <v>571</v>
      </c>
      <c r="D160" s="216">
        <v>3</v>
      </c>
      <c r="E160" s="216">
        <v>2</v>
      </c>
      <c r="F160" s="219">
        <v>2407.199999999997</v>
      </c>
      <c r="G160" s="216">
        <v>5934.6</v>
      </c>
      <c r="H160" s="217">
        <f t="shared" si="0"/>
      </c>
      <c r="I160" s="217">
        <f t="shared" si="1"/>
      </c>
      <c r="J160" s="217">
        <f t="shared" si="2"/>
      </c>
      <c r="K160" s="216">
        <v>0</v>
      </c>
      <c r="L160" s="216">
        <v>0</v>
      </c>
      <c r="M160" s="216" t="s">
        <v>531</v>
      </c>
      <c r="N160" s="220">
        <v>9</v>
      </c>
      <c r="O160" s="218" t="s">
        <v>508</v>
      </c>
      <c r="P160" s="216">
        <v>9</v>
      </c>
    </row>
    <row r="161">
      <c r="A161" s="221" t="s">
        <v>570</v>
      </c>
      <c r="B161" s="222"/>
      <c r="C161" s="222"/>
      <c r="D161" s="223">
        <f>SUM(D156:D160)</f>
      </c>
      <c r="E161" s="223">
        <f>SUM(E156:E160)</f>
      </c>
      <c r="F161" s="223">
        <f>SUM(F156:F160)</f>
      </c>
      <c r="G161" s="223">
        <f>SUM(G156:G160)</f>
      </c>
      <c r="H161" s="224">
        <f t="shared" si="0"/>
      </c>
      <c r="I161" s="224">
        <f t="shared" si="1"/>
      </c>
      <c r="J161" s="224">
        <f t="shared" si="2"/>
      </c>
      <c r="K161" s="223">
        <f>SUM(K156:K160)</f>
      </c>
      <c r="L161" s="223">
        <f>SUM(L156:L160)</f>
      </c>
      <c r="M161" s="225"/>
      <c r="N161" s="223">
        <f>SUM(N156:N160)</f>
      </c>
      <c r="O161" s="225"/>
      <c r="P161" s="223">
        <f>SUM(P156:P160)</f>
      </c>
    </row>
    <row r="162">
      <c r="A162" s="214" t="s">
        <v>572</v>
      </c>
      <c r="B162" s="215" t="s">
        <v>538</v>
      </c>
      <c r="C162" s="216" t="s">
        <v>554</v>
      </c>
      <c r="D162" s="216">
        <v>5</v>
      </c>
      <c r="E162" s="216">
        <v>5</v>
      </c>
      <c r="F162" s="216">
        <v>6801.6</v>
      </c>
      <c r="G162" s="216">
        <v>5858.65</v>
      </c>
      <c r="H162" s="217">
        <f t="shared" si="0"/>
      </c>
      <c r="I162" s="217">
        <f t="shared" si="1"/>
      </c>
      <c r="J162" s="217">
        <f t="shared" si="2"/>
      </c>
      <c r="K162" s="216">
        <v>2</v>
      </c>
      <c r="L162" s="216">
        <v>2088</v>
      </c>
      <c r="M162" s="216" t="s">
        <v>518</v>
      </c>
      <c r="N162" s="216">
        <v>11</v>
      </c>
      <c r="O162" s="216" t="s">
        <v>498</v>
      </c>
      <c r="P162" s="216">
        <v>11</v>
      </c>
    </row>
    <row r="163">
      <c r="A163" s="214" t="s">
        <v>572</v>
      </c>
      <c r="B163" s="215" t="s">
        <v>556</v>
      </c>
      <c r="C163" s="216" t="s">
        <v>567</v>
      </c>
      <c r="D163" s="216">
        <v>4</v>
      </c>
      <c r="E163" s="216">
        <v>16</v>
      </c>
      <c r="F163" s="216">
        <v>16414.800000000003</v>
      </c>
      <c r="G163" s="216">
        <v>12297.3</v>
      </c>
      <c r="H163" s="217">
        <f t="shared" si="0"/>
      </c>
      <c r="I163" s="217">
        <f t="shared" si="1"/>
      </c>
      <c r="J163" s="217">
        <f t="shared" si="2"/>
      </c>
      <c r="K163" s="216">
        <v>4</v>
      </c>
      <c r="L163" s="216">
        <v>4588.8</v>
      </c>
      <c r="M163" s="216"/>
      <c r="N163" s="216"/>
      <c r="P163" s="218"/>
    </row>
    <row r="164">
      <c r="A164" s="214" t="s">
        <v>572</v>
      </c>
      <c r="B164" s="215" t="s">
        <v>505</v>
      </c>
      <c r="C164" s="216" t="s">
        <v>568</v>
      </c>
      <c r="D164" s="226">
        <v>3</v>
      </c>
      <c r="E164" s="216">
        <v>4</v>
      </c>
      <c r="F164" s="216">
        <v>3482.399999999998</v>
      </c>
      <c r="G164" s="216">
        <v>4993.610000000001</v>
      </c>
      <c r="H164" s="217">
        <f t="shared" si="0"/>
      </c>
      <c r="I164" s="217">
        <f t="shared" si="1"/>
      </c>
      <c r="J164" s="217">
        <f t="shared" si="2"/>
      </c>
      <c r="K164" s="216">
        <v>2</v>
      </c>
      <c r="L164" s="216">
        <v>2726.4000000000005</v>
      </c>
      <c r="M164" s="216"/>
      <c r="N164" s="216"/>
      <c r="O164" s="218"/>
      <c r="P164" s="218"/>
    </row>
    <row r="165">
      <c r="A165" s="214" t="s">
        <v>572</v>
      </c>
      <c r="B165" s="215" t="s">
        <v>514</v>
      </c>
      <c r="C165" s="216" t="s">
        <v>573</v>
      </c>
      <c r="D165" s="226">
        <v>2.5</v>
      </c>
      <c r="E165" s="216">
        <v>4</v>
      </c>
      <c r="F165" s="216">
        <v>4293.5999999999985</v>
      </c>
      <c r="G165" s="216">
        <v>3256.14</v>
      </c>
      <c r="H165" s="217">
        <f t="shared" si="0"/>
      </c>
      <c r="I165" s="217">
        <f t="shared" si="1"/>
      </c>
      <c r="J165" s="217">
        <f t="shared" si="2"/>
      </c>
      <c r="K165" s="216">
        <v>3</v>
      </c>
      <c r="L165" s="216">
        <v>3530.399999999998</v>
      </c>
      <c r="M165" s="216"/>
      <c r="N165" s="216"/>
      <c r="O165" s="218"/>
      <c r="P165" s="218"/>
    </row>
    <row r="166">
      <c r="A166" s="214" t="s">
        <v>572</v>
      </c>
      <c r="B166" s="215" t="s">
        <v>501</v>
      </c>
      <c r="C166" s="216" t="s">
        <v>541</v>
      </c>
      <c r="D166" s="226">
        <v>4</v>
      </c>
      <c r="E166" s="216">
        <v>22</v>
      </c>
      <c r="F166" s="219">
        <v>28739.600000000002</v>
      </c>
      <c r="G166" s="216">
        <v>13066.57</v>
      </c>
      <c r="H166" s="217">
        <f t="shared" si="0"/>
      </c>
      <c r="I166" s="217">
        <f t="shared" si="1"/>
      </c>
      <c r="J166" s="217">
        <f t="shared" si="2"/>
      </c>
      <c r="K166" s="216">
        <v>3</v>
      </c>
      <c r="L166" s="216">
        <v>4449.6</v>
      </c>
      <c r="M166" s="216" t="s">
        <v>507</v>
      </c>
      <c r="N166" s="220">
        <v>9.5</v>
      </c>
      <c r="O166" s="218" t="s">
        <v>508</v>
      </c>
      <c r="P166" s="216">
        <v>9.5</v>
      </c>
    </row>
    <row r="167">
      <c r="A167" s="221" t="s">
        <v>572</v>
      </c>
      <c r="B167" s="222"/>
      <c r="C167" s="222"/>
      <c r="D167" s="223">
        <f>SUM(D162:D166)</f>
      </c>
      <c r="E167" s="223">
        <f>SUM(E162:E166)</f>
      </c>
      <c r="F167" s="223">
        <f>SUM(F162:F166)</f>
      </c>
      <c r="G167" s="223">
        <f>SUM(G162:G166)</f>
      </c>
      <c r="H167" s="224">
        <f t="shared" si="0"/>
      </c>
      <c r="I167" s="224">
        <f t="shared" si="1"/>
      </c>
      <c r="J167" s="224">
        <f t="shared" si="2"/>
      </c>
      <c r="K167" s="223">
        <f>SUM(K162:K166)</f>
      </c>
      <c r="L167" s="223">
        <f>SUM(L162:L166)</f>
      </c>
      <c r="M167" s="225"/>
      <c r="N167" s="223">
        <f>SUM(N162:N166)</f>
      </c>
      <c r="O167" s="225"/>
      <c r="P167" s="223">
        <f>SUM(P162:P166)</f>
      </c>
    </row>
    <row r="168">
      <c r="A168" s="227"/>
      <c r="B168" s="227"/>
      <c r="C168" s="227"/>
      <c r="D168" s="228"/>
      <c r="I168" s="229"/>
    </row>
    <row r="169">
      <c r="A169" s="230"/>
      <c r="B169" s="227"/>
      <c r="F169" s="227"/>
      <c r="G169" s="227"/>
      <c r="H169" s="231"/>
      <c r="I169" s="229"/>
      <c r="K169" s="230"/>
    </row>
    <row r="170">
      <c r="K170" s="229"/>
    </row>
    <row r="171">
      <c r="K171" s="229"/>
    </row>
    <row r="172">
      <c r="K172" s="229"/>
    </row>
    <row r="173">
      <c r="K173" s="229"/>
    </row>
    <row r="174">
      <c r="K174" s="229"/>
    </row>
    <row r="175"/>
    <row r="176"/>
    <row r="177"/>
    <row r="178"/>
    <row r="179"/>
    <row r="180"/>
    <row r="181"/>
    <row r="182"/>
    <row r="183"/>
    <row r="184"/>
    <row r="185"/>
    <row r="186"/>
    <row r="187">
      <c r="I187" s="230"/>
      <c r="J187" s="229"/>
    </row>
    <row r="188">
      <c r="I188" s="228"/>
    </row>
    <row r="189">
      <c r="I189" s="228"/>
    </row>
    <row r="190">
      <c r="I190" s="228"/>
    </row>
    <row r="191">
      <c r="I191" s="228"/>
    </row>
    <row r="192">
      <c r="I192" s="228"/>
    </row>
    <row r="193">
      <c r="I193" s="228"/>
    </row>
    <row r="194">
      <c r="I194" s="228"/>
    </row>
    <row r="195">
      <c r="I195" s="228"/>
    </row>
  </sheetData>
  <autoFilter ref="A1:P167"/>
  <dataValidations count="4">
    <dataValidation allowBlank="true" errorStyle="stop" showErrorMessage="true" sqref="B2:B6 B8:B12 B14:B18 B20:B24 B26:B30 B32:B35 B37:B41 B43:B47 B49:B53 B55:B58 B60:B63 B65:B68 B70:B72 B75:B78 B80:B83" type="list">
      <formula1>"刘慕涵,林育菁,郝旭靓,栗敏纳,王亚倩,于慧,张晓薇,杜思利"</formula1>
    </dataValidation>
    <dataValidation allowBlank="true" errorStyle="stop" showErrorMessage="true" sqref="B73:B73 B85:B88 B90:B93 B95:B98 B100:B103 B105:B108" type="list">
      <formula1>"刘慕涵,林育菁,郝旭靓,栗敏纳"</formula1>
    </dataValidation>
    <dataValidation allowBlank="true" errorStyle="stop" showErrorMessage="true" sqref="B110:B113 B115:B118" type="list">
      <formula1>"刘慕涵,林育菁,郝旭靓,栗敏纳,张晓薇"</formula1>
    </dataValidation>
    <dataValidation allowBlank="true" errorStyle="stop" showErrorMessage="true" sqref="B120:B124 B126:B130 B132:B136 B138:B142 B144:B148 B150:B154 B156:B160 B162:B166" type="list">
      <formula1>"刘慕涵,林育菁,郝旭靓,栗敏纳,张晓薇,杜思利"</formula1>
    </dataValidation>
  </dataValidation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5" min="15" style="0" width="11.211267605633802"/>
    <col collapsed="false" customWidth="true" hidden="false" max="23" min="23" style="0" width="12.64480633802817"/>
    <col collapsed="false" customWidth="true" hidden="false" max="31" min="31" style="0" width="12.64480633802817"/>
    <col collapsed="false" customWidth="true" hidden="false" max="34" min="34" style="0" width="12.64480633802817"/>
    <col collapsed="false" customWidth="true" hidden="false" max="42" min="42" style="0" width="11.211267605633802"/>
    <col collapsed="false" customWidth="true" hidden="false" max="7" min="7" style="0" width="11.211267605633802"/>
    <col collapsed="false" customWidth="true" hidden="false" max="16" min="16" style="0" width="11.211267605633802"/>
    <col collapsed="false" customWidth="true" hidden="false" max="24" min="24" style="0" width="12.64480633802817"/>
    <col collapsed="false" customWidth="true" hidden="false" max="32" min="32" style="0" width="12.64480633802817"/>
    <col collapsed="false" customWidth="true" hidden="false" max="39" min="39" style="0" width="12.64480633802817"/>
    <col collapsed="false" customWidth="true" hidden="false" max="8" min="8" style="0" width="11.211267605633802"/>
    <col collapsed="false" customWidth="true" hidden="false" max="13" min="13" style="0" width="11.211267605633802"/>
    <col collapsed="false" customWidth="true" hidden="false" max="21" min="21" style="0" width="12.64480633802817"/>
    <col collapsed="false" customWidth="true" hidden="false" max="29" min="29" style="0" width="12.64480633802817"/>
    <col collapsed="false" customWidth="true" hidden="false" max="40" min="40" style="0" width="12.64480633802817"/>
    <col collapsed="false" customWidth="true" hidden="false" max="5" min="5" style="0" width="11.211267605633802"/>
    <col collapsed="false" customWidth="true" hidden="false" max="14" min="14" style="0" width="11.211267605633802"/>
    <col collapsed="false" customWidth="true" hidden="false" max="22" min="22" style="0" width="12.64480633802817"/>
    <col collapsed="false" customWidth="true" hidden="false" max="30" min="30" style="0" width="12.64480633802817"/>
    <col collapsed="false" customWidth="true" hidden="false" max="37" min="37" style="0" width="12.64480633802817"/>
    <col collapsed="false" customWidth="true" hidden="false" max="6" min="6" style="0" width="11.211267605633802"/>
    <col collapsed="false" customWidth="true" hidden="false" max="11" min="11" style="0" width="11.211267605633802"/>
    <col collapsed="false" customWidth="true" hidden="false" max="27" min="27" style="0" width="12.64480633802817"/>
    <col collapsed="false" customWidth="true" hidden="false" max="38" min="38" style="0" width="12.64480633802817"/>
    <col collapsed="false" customWidth="true" hidden="false" max="3" min="3" style="0" width="11.211267605633802"/>
    <col collapsed="false" customWidth="true" hidden="false" max="12" min="12" style="0" width="11.211267605633802"/>
    <col collapsed="false" customWidth="true" hidden="false" max="19" min="19" style="0" width="11.211267605633802"/>
    <col collapsed="false" customWidth="true" hidden="false" max="20" min="20" style="0" width="11.211267605633802"/>
    <col collapsed="false" customWidth="true" hidden="false" max="28" min="28" style="0" width="12.64480633802817"/>
    <col collapsed="false" customWidth="true" hidden="false" max="35" min="35" style="0" width="12.64480633802817"/>
    <col collapsed="false" customWidth="true" hidden="false" max="43" min="43" style="0" width="11.211267605633802"/>
    <col collapsed="false" customWidth="true" hidden="false" max="4" min="4" style="0" width="11.211267605633802"/>
    <col collapsed="false" customWidth="true" hidden="false" max="9" min="9" style="0" width="11.211267605633802"/>
    <col collapsed="false" customWidth="true" hidden="false" max="17" min="17" style="0" width="11.211267605633802"/>
    <col collapsed="false" customWidth="true" hidden="false" max="25" min="25" style="0" width="12.64480633802817"/>
    <col collapsed="false" customWidth="true" hidden="false" max="36" min="36" style="0" width="12.64480633802817"/>
    <col collapsed="false" customWidth="true" hidden="false" max="1" min="1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6" min="26" style="0" width="12.64480633802817"/>
    <col collapsed="false" customWidth="true" hidden="false" max="33" min="33" style="0" width="12.64480633802817"/>
    <col collapsed="false" customWidth="true" hidden="false" max="41" min="41" style="0" width="11.211267605633802"/>
    <col collapsed="false" customWidth="true" hidden="false" max="2" min="2" style="0" width="11.211267605633802"/>
  </cols>
  <sheetData>
    <row customHeight="true" ht="16.071428571428573" r="1">
      <c r="A1" s="232" t="s">
        <v>574</v>
      </c>
      <c r="B1" s="232" t="s">
        <v>575</v>
      </c>
      <c r="C1" s="232" t="s">
        <v>576</v>
      </c>
      <c r="D1" s="232" t="s">
        <v>577</v>
      </c>
      <c r="E1" s="232" t="s">
        <v>578</v>
      </c>
      <c r="F1" s="233" t="s">
        <v>579</v>
      </c>
      <c r="G1" s="233" t="s">
        <v>580</v>
      </c>
      <c r="H1" s="233" t="s">
        <v>581</v>
      </c>
      <c r="I1" s="233" t="s">
        <v>582</v>
      </c>
      <c r="J1" s="233" t="s">
        <v>583</v>
      </c>
      <c r="K1" s="232" t="s">
        <v>584</v>
      </c>
      <c r="L1" s="232" t="s">
        <v>585</v>
      </c>
      <c r="M1" s="232" t="s">
        <v>586</v>
      </c>
      <c r="N1" s="232" t="s">
        <v>587</v>
      </c>
      <c r="O1" s="232" t="s">
        <v>588</v>
      </c>
      <c r="P1" s="232" t="s">
        <v>589</v>
      </c>
    </row>
    <row hidden="true" r="2">
      <c r="A2" s="234" t="s">
        <v>590</v>
      </c>
      <c r="B2" s="235" t="s">
        <v>591</v>
      </c>
      <c r="C2" s="236" t="s">
        <v>592</v>
      </c>
      <c r="D2" s="236">
        <v>5</v>
      </c>
      <c r="E2" s="236">
        <v>24</v>
      </c>
      <c r="F2" s="236">
        <v>36409.2</v>
      </c>
      <c r="G2" s="236">
        <v>25417.13</v>
      </c>
      <c r="H2" s="237">
        <f t="shared" ref="H2:H156" si="2">F2/G2</f>
      </c>
      <c r="I2" s="237">
        <f t="shared" ref="I2:I156" si="0">F2/E2</f>
      </c>
      <c r="J2" s="237">
        <f t="shared" ref="J2:J156" si="1">G2/E2</f>
      </c>
      <c r="K2" s="236">
        <v>7</v>
      </c>
      <c r="L2" s="236">
        <v>8118</v>
      </c>
      <c r="M2" s="236" t="s">
        <v>593</v>
      </c>
      <c r="N2" s="236">
        <v>10</v>
      </c>
      <c r="O2" s="238" t="s">
        <v>594</v>
      </c>
      <c r="P2" s="236">
        <v>10</v>
      </c>
    </row>
    <row hidden="true" r="3">
      <c r="A3" s="234" t="s">
        <v>590</v>
      </c>
      <c r="B3" s="235" t="s">
        <v>595</v>
      </c>
      <c r="C3" s="236" t="s">
        <v>596</v>
      </c>
      <c r="D3" s="236">
        <v>5</v>
      </c>
      <c r="E3" s="236">
        <v>22</v>
      </c>
      <c r="F3" s="236">
        <v>26388.8</v>
      </c>
      <c r="G3" s="236">
        <v>12954.46</v>
      </c>
      <c r="H3" s="237">
        <f t="shared" si="2"/>
      </c>
      <c r="I3" s="237">
        <f t="shared" si="0"/>
      </c>
      <c r="J3" s="237">
        <f t="shared" si="1"/>
      </c>
      <c r="K3" s="236">
        <v>6</v>
      </c>
      <c r="L3" s="236">
        <v>5103.6</v>
      </c>
      <c r="M3" s="238"/>
      <c r="N3" s="238"/>
      <c r="P3" s="238"/>
    </row>
    <row hidden="true" r="4">
      <c r="A4" s="234" t="s">
        <v>590</v>
      </c>
      <c r="B4" s="235" t="s">
        <v>597</v>
      </c>
      <c r="C4" s="236" t="s">
        <v>598</v>
      </c>
      <c r="D4" s="236">
        <v>5</v>
      </c>
      <c r="E4" s="236">
        <v>48</v>
      </c>
      <c r="F4" s="236">
        <v>56851.8</v>
      </c>
      <c r="G4" s="236">
        <v>29981.07</v>
      </c>
      <c r="H4" s="237">
        <f t="shared" si="2"/>
      </c>
      <c r="I4" s="237">
        <f t="shared" si="0"/>
      </c>
      <c r="J4" s="237">
        <f t="shared" si="1"/>
      </c>
      <c r="K4" s="236">
        <v>7</v>
      </c>
      <c r="L4" s="236">
        <v>6069.6</v>
      </c>
      <c r="M4" s="236"/>
      <c r="N4" s="239"/>
      <c r="O4" s="238"/>
      <c r="P4" s="238"/>
    </row>
    <row hidden="true" r="5">
      <c r="A5" s="234" t="s">
        <v>590</v>
      </c>
      <c r="B5" s="235" t="s">
        <v>599</v>
      </c>
      <c r="C5" s="236" t="s">
        <v>600</v>
      </c>
      <c r="D5" s="236">
        <v>5</v>
      </c>
      <c r="E5" s="236">
        <v>46</v>
      </c>
      <c r="F5" s="240">
        <v>62102.8</v>
      </c>
      <c r="G5" s="236">
        <v>31475.62</v>
      </c>
      <c r="H5" s="237">
        <f t="shared" si="2"/>
      </c>
      <c r="I5" s="237">
        <f t="shared" si="0"/>
      </c>
      <c r="J5" s="237">
        <f t="shared" si="1"/>
      </c>
      <c r="K5" s="236">
        <v>11</v>
      </c>
      <c r="L5" s="236">
        <v>11304</v>
      </c>
      <c r="M5" s="236" t="s">
        <v>601</v>
      </c>
      <c r="N5" s="236">
        <v>10</v>
      </c>
      <c r="O5" s="238" t="s">
        <v>602</v>
      </c>
      <c r="P5" s="236">
        <v>10</v>
      </c>
    </row>
    <row r="6">
      <c r="A6" s="241" t="s">
        <v>590</v>
      </c>
      <c r="B6" s="242"/>
      <c r="C6" s="242"/>
      <c r="D6" s="243">
        <f>SUM(D2:D5)</f>
      </c>
      <c r="E6" s="243">
        <f>SUM(E2:E5)</f>
      </c>
      <c r="F6" s="244">
        <f>SUM(F2:F5)</f>
      </c>
      <c r="G6" s="243">
        <f>SUM(G2:G5)</f>
      </c>
      <c r="H6" s="244">
        <f t="shared" si="2"/>
      </c>
      <c r="I6" s="244">
        <f t="shared" si="0"/>
      </c>
      <c r="J6" s="244">
        <f t="shared" si="1"/>
      </c>
      <c r="K6" s="243">
        <f>SUM(K2:K5)</f>
      </c>
      <c r="L6" s="243">
        <f>SUM(L2:L5)</f>
      </c>
      <c r="M6" s="245"/>
      <c r="N6" s="243">
        <f>SUM(N2:N5)</f>
      </c>
      <c r="O6" s="245"/>
      <c r="P6" s="245">
        <f>SUM(P2:P5)</f>
      </c>
    </row>
    <row hidden="true" r="7">
      <c r="A7" s="234" t="s">
        <v>603</v>
      </c>
      <c r="B7" s="235" t="s">
        <v>591</v>
      </c>
      <c r="C7" s="236" t="s">
        <v>592</v>
      </c>
      <c r="D7" s="236">
        <v>5</v>
      </c>
      <c r="E7" s="236">
        <v>29</v>
      </c>
      <c r="F7" s="236">
        <v>34119.6</v>
      </c>
      <c r="G7" s="236">
        <v>21262.6</v>
      </c>
      <c r="H7" s="237">
        <f t="shared" si="2"/>
      </c>
      <c r="I7" s="237">
        <f t="shared" si="0"/>
      </c>
      <c r="J7" s="237">
        <f t="shared" si="1"/>
      </c>
      <c r="K7" s="236">
        <v>5</v>
      </c>
      <c r="L7" s="236">
        <v>7447.200000000001</v>
      </c>
      <c r="M7" s="236" t="s">
        <v>593</v>
      </c>
      <c r="N7" s="236">
        <v>6</v>
      </c>
      <c r="O7" s="238" t="s">
        <v>594</v>
      </c>
      <c r="P7" s="236">
        <v>10</v>
      </c>
    </row>
    <row hidden="true" r="8">
      <c r="A8" s="234" t="s">
        <v>603</v>
      </c>
      <c r="B8" s="235" t="s">
        <v>595</v>
      </c>
      <c r="C8" s="236" t="s">
        <v>596</v>
      </c>
      <c r="D8" s="236">
        <v>5</v>
      </c>
      <c r="E8" s="236">
        <v>25</v>
      </c>
      <c r="F8" s="236">
        <v>46627.2</v>
      </c>
      <c r="G8" s="236">
        <v>21417.51</v>
      </c>
      <c r="H8" s="237">
        <f t="shared" si="2"/>
      </c>
      <c r="I8" s="237">
        <f t="shared" si="0"/>
      </c>
      <c r="J8" s="237">
        <f t="shared" si="1"/>
      </c>
      <c r="K8" s="236">
        <v>3</v>
      </c>
      <c r="L8" s="236">
        <v>3309.6</v>
      </c>
      <c r="M8" s="238"/>
      <c r="N8" s="238"/>
      <c r="P8" s="238"/>
    </row>
    <row hidden="true" r="9">
      <c r="A9" s="234" t="s">
        <v>603</v>
      </c>
      <c r="B9" s="235" t="s">
        <v>597</v>
      </c>
      <c r="C9" s="236" t="s">
        <v>598</v>
      </c>
      <c r="D9" s="236">
        <v>5</v>
      </c>
      <c r="E9" s="236">
        <v>16</v>
      </c>
      <c r="F9" s="236">
        <v>21822</v>
      </c>
      <c r="G9" s="236">
        <v>13641.39</v>
      </c>
      <c r="H9" s="237">
        <f t="shared" si="2"/>
      </c>
      <c r="I9" s="237">
        <f t="shared" si="0"/>
      </c>
      <c r="J9" s="237">
        <f t="shared" si="1"/>
      </c>
      <c r="K9" s="236">
        <v>2</v>
      </c>
      <c r="L9" s="236">
        <v>2822.4</v>
      </c>
      <c r="M9" s="236" t="s">
        <v>604</v>
      </c>
      <c r="N9" s="236">
        <v>10</v>
      </c>
      <c r="O9" s="238"/>
      <c r="P9" s="238"/>
    </row>
    <row hidden="true" r="10">
      <c r="A10" s="234" t="s">
        <v>603</v>
      </c>
      <c r="B10" s="235" t="s">
        <v>599</v>
      </c>
      <c r="C10" s="236" t="s">
        <v>600</v>
      </c>
      <c r="D10" s="236">
        <v>5</v>
      </c>
      <c r="E10" s="236">
        <v>22</v>
      </c>
      <c r="F10" s="240">
        <v>26457.00000000001</v>
      </c>
      <c r="G10" s="236">
        <v>25591.640000000003</v>
      </c>
      <c r="H10" s="237">
        <f t="shared" si="2"/>
      </c>
      <c r="I10" s="237">
        <f t="shared" si="0"/>
      </c>
      <c r="J10" s="237">
        <f t="shared" si="1"/>
      </c>
      <c r="K10" s="236">
        <v>2</v>
      </c>
      <c r="L10" s="236">
        <v>3355.2000000000007</v>
      </c>
      <c r="M10" s="236" t="s">
        <v>605</v>
      </c>
      <c r="N10" s="236">
        <v>4</v>
      </c>
      <c r="O10" s="238" t="s">
        <v>602</v>
      </c>
      <c r="P10" s="236">
        <v>10</v>
      </c>
    </row>
    <row r="11">
      <c r="A11" s="241" t="s">
        <v>603</v>
      </c>
      <c r="B11" s="242"/>
      <c r="C11" s="242"/>
      <c r="D11" s="243">
        <f>SUM(D7:D10)</f>
      </c>
      <c r="E11" s="243">
        <f>SUM(E7:E10)</f>
      </c>
      <c r="F11" s="244">
        <f>SUM(F7:F10)</f>
      </c>
      <c r="G11" s="243">
        <f>SUM(G7:G10)</f>
      </c>
      <c r="H11" s="244">
        <f t="shared" si="2"/>
      </c>
      <c r="I11" s="244">
        <f t="shared" si="0"/>
      </c>
      <c r="J11" s="244">
        <f t="shared" si="1"/>
      </c>
      <c r="K11" s="243">
        <f>SUM(K7:K10)</f>
      </c>
      <c r="L11" s="243">
        <f>SUM(L7:L10)</f>
      </c>
      <c r="M11" s="245"/>
      <c r="N11" s="243">
        <f>SUM(N7:N10)</f>
      </c>
      <c r="O11" s="245"/>
      <c r="P11" s="245">
        <f>SUM(P7:P10)</f>
      </c>
    </row>
    <row hidden="true" r="12">
      <c r="A12" s="234" t="s">
        <v>606</v>
      </c>
      <c r="B12" s="235" t="s">
        <v>591</v>
      </c>
      <c r="C12" s="236" t="s">
        <v>607</v>
      </c>
      <c r="D12" s="236">
        <v>4</v>
      </c>
      <c r="E12" s="236">
        <v>16</v>
      </c>
      <c r="F12" s="236">
        <v>23308.800000000003</v>
      </c>
      <c r="G12" s="236">
        <v>17201.43</v>
      </c>
      <c r="H12" s="237">
        <f t="shared" si="2"/>
      </c>
      <c r="I12" s="237">
        <f t="shared" si="0"/>
      </c>
      <c r="J12" s="237">
        <f t="shared" si="1"/>
      </c>
      <c r="K12" s="236">
        <v>5</v>
      </c>
      <c r="L12" s="236">
        <v>5164.8</v>
      </c>
      <c r="M12" s="236" t="s">
        <v>608</v>
      </c>
      <c r="N12" s="236">
        <v>8</v>
      </c>
      <c r="O12" s="238" t="s">
        <v>594</v>
      </c>
      <c r="P12" s="236">
        <v>8</v>
      </c>
    </row>
    <row hidden="true" r="13">
      <c r="A13" s="234" t="s">
        <v>606</v>
      </c>
      <c r="B13" s="235" t="s">
        <v>609</v>
      </c>
      <c r="C13" s="236" t="s">
        <v>610</v>
      </c>
      <c r="D13" s="236">
        <v>4</v>
      </c>
      <c r="E13" s="236">
        <v>18</v>
      </c>
      <c r="F13" s="236">
        <v>26846.6</v>
      </c>
      <c r="G13" s="236">
        <v>15212.64</v>
      </c>
      <c r="H13" s="237">
        <f t="shared" si="2"/>
      </c>
      <c r="I13" s="237">
        <f t="shared" si="0"/>
      </c>
      <c r="J13" s="237">
        <f t="shared" si="1"/>
      </c>
      <c r="K13" s="236">
        <v>7</v>
      </c>
      <c r="L13" s="236">
        <v>11135.000000000002</v>
      </c>
      <c r="M13" s="238"/>
      <c r="N13" s="238"/>
      <c r="P13" s="238"/>
    </row>
    <row hidden="true" r="14">
      <c r="A14" s="234" t="s">
        <v>606</v>
      </c>
      <c r="B14" s="235" t="s">
        <v>597</v>
      </c>
      <c r="C14" s="236" t="s">
        <v>598</v>
      </c>
      <c r="D14" s="236">
        <v>5</v>
      </c>
      <c r="E14" s="236">
        <v>11</v>
      </c>
      <c r="F14" s="236">
        <v>12673.199999999997</v>
      </c>
      <c r="G14" s="236">
        <v>8562</v>
      </c>
      <c r="H14" s="237">
        <f t="shared" si="2"/>
      </c>
      <c r="I14" s="237">
        <f t="shared" si="0"/>
      </c>
      <c r="J14" s="237">
        <f t="shared" si="1"/>
      </c>
      <c r="K14" s="236">
        <v>1</v>
      </c>
      <c r="L14" s="236">
        <v>465.59999999999854</v>
      </c>
      <c r="M14" s="236"/>
      <c r="N14" s="236"/>
      <c r="O14" s="238"/>
      <c r="P14" s="238"/>
    </row>
    <row hidden="true" r="15">
      <c r="A15" s="234" t="s">
        <v>606</v>
      </c>
      <c r="B15" s="235" t="s">
        <v>599</v>
      </c>
      <c r="C15" s="236" t="s">
        <v>600</v>
      </c>
      <c r="D15" s="236">
        <v>5</v>
      </c>
      <c r="E15" s="236">
        <v>22</v>
      </c>
      <c r="F15" s="240">
        <v>26782.799999999996</v>
      </c>
      <c r="G15" s="236">
        <v>15211.18</v>
      </c>
      <c r="H15" s="237">
        <f t="shared" si="2"/>
      </c>
      <c r="I15" s="237">
        <f t="shared" si="0"/>
      </c>
      <c r="J15" s="237">
        <f t="shared" si="1"/>
      </c>
      <c r="K15" s="236">
        <v>3</v>
      </c>
      <c r="L15" s="236">
        <v>5433.5999999999985</v>
      </c>
      <c r="M15" s="236" t="s">
        <v>605</v>
      </c>
      <c r="N15" s="236">
        <v>10</v>
      </c>
      <c r="O15" s="238" t="s">
        <v>602</v>
      </c>
      <c r="P15" s="236">
        <v>10</v>
      </c>
    </row>
    <row r="16">
      <c r="A16" s="241" t="s">
        <v>606</v>
      </c>
      <c r="B16" s="242"/>
      <c r="C16" s="242"/>
      <c r="D16" s="243">
        <f>SUM(D12:D15)</f>
      </c>
      <c r="E16" s="243">
        <f>SUM(E12:E15)</f>
      </c>
      <c r="F16" s="244">
        <f>SUM(F12:F15)</f>
      </c>
      <c r="G16" s="243">
        <f>SUM(G12:G15)</f>
      </c>
      <c r="H16" s="244">
        <f t="shared" si="2"/>
      </c>
      <c r="I16" s="244">
        <f t="shared" si="0"/>
      </c>
      <c r="J16" s="244">
        <f t="shared" si="1"/>
      </c>
      <c r="K16" s="243">
        <f>SUM(K12:K15)</f>
      </c>
      <c r="L16" s="243">
        <f>SUM(L12:L15)</f>
      </c>
      <c r="M16" s="245"/>
      <c r="N16" s="243">
        <f>SUM(N12:N15)</f>
      </c>
      <c r="O16" s="245"/>
      <c r="P16" s="245">
        <f>SUM(P12:P15)</f>
      </c>
    </row>
    <row hidden="true" r="17">
      <c r="A17" s="234" t="s">
        <v>611</v>
      </c>
      <c r="B17" s="235" t="s">
        <v>595</v>
      </c>
      <c r="C17" s="236" t="s">
        <v>592</v>
      </c>
      <c r="D17" s="236">
        <v>5</v>
      </c>
      <c r="E17" s="236">
        <v>11</v>
      </c>
      <c r="F17" s="236">
        <v>13963.200000000003</v>
      </c>
      <c r="G17" s="236">
        <v>13707.969999999998</v>
      </c>
      <c r="H17" s="237">
        <f t="shared" si="2"/>
      </c>
      <c r="I17" s="237">
        <f t="shared" si="0"/>
      </c>
      <c r="J17" s="237">
        <f t="shared" si="1"/>
      </c>
      <c r="K17" s="236">
        <v>4</v>
      </c>
      <c r="L17" s="236">
        <v>4118.4</v>
      </c>
      <c r="M17" s="236" t="s">
        <v>608</v>
      </c>
      <c r="N17" s="236">
        <v>10</v>
      </c>
      <c r="O17" s="238" t="s">
        <v>594</v>
      </c>
      <c r="P17" s="236">
        <v>10</v>
      </c>
    </row>
    <row hidden="true" r="18">
      <c r="A18" s="234" t="s">
        <v>611</v>
      </c>
      <c r="B18" s="235" t="s">
        <v>591</v>
      </c>
      <c r="C18" s="236" t="s">
        <v>596</v>
      </c>
      <c r="D18" s="236">
        <v>5</v>
      </c>
      <c r="E18" s="236">
        <v>18</v>
      </c>
      <c r="F18" s="236">
        <v>21822.48</v>
      </c>
      <c r="G18" s="236">
        <v>9814.210000000001</v>
      </c>
      <c r="H18" s="237">
        <f t="shared" si="2"/>
      </c>
      <c r="I18" s="237">
        <f t="shared" si="0"/>
      </c>
      <c r="J18" s="237">
        <f t="shared" si="1"/>
      </c>
      <c r="K18" s="236">
        <v>4</v>
      </c>
      <c r="L18" s="236">
        <v>5469.6</v>
      </c>
      <c r="M18" s="238"/>
      <c r="N18" s="238"/>
      <c r="P18" s="238"/>
    </row>
    <row hidden="true" r="19">
      <c r="A19" s="234" t="s">
        <v>611</v>
      </c>
      <c r="B19" s="235" t="s">
        <v>609</v>
      </c>
      <c r="C19" s="236" t="s">
        <v>598</v>
      </c>
      <c r="D19" s="236">
        <v>5</v>
      </c>
      <c r="E19" s="236">
        <v>46</v>
      </c>
      <c r="F19" s="236">
        <v>66615.6</v>
      </c>
      <c r="G19" s="236">
        <v>25375.770000000004</v>
      </c>
      <c r="H19" s="237">
        <f t="shared" si="2"/>
      </c>
      <c r="I19" s="237">
        <f t="shared" si="0"/>
      </c>
      <c r="J19" s="237">
        <f t="shared" si="1"/>
      </c>
      <c r="K19" s="236">
        <v>7</v>
      </c>
      <c r="L19" s="236">
        <v>7557.5999999999985</v>
      </c>
      <c r="M19" s="236"/>
      <c r="N19" s="236"/>
      <c r="O19" s="238"/>
      <c r="P19" s="238"/>
    </row>
    <row hidden="true" r="20">
      <c r="A20" s="234" t="s">
        <v>611</v>
      </c>
      <c r="B20" s="235" t="s">
        <v>599</v>
      </c>
      <c r="C20" s="236" t="s">
        <v>600</v>
      </c>
      <c r="D20" s="236">
        <v>5</v>
      </c>
      <c r="E20" s="236">
        <v>36</v>
      </c>
      <c r="F20" s="240">
        <v>51757.19999999998</v>
      </c>
      <c r="G20" s="236">
        <v>31129.219999999998</v>
      </c>
      <c r="H20" s="237">
        <f t="shared" si="2"/>
      </c>
      <c r="I20" s="237">
        <f t="shared" si="0"/>
      </c>
      <c r="J20" s="237">
        <f t="shared" si="1"/>
      </c>
      <c r="K20" s="236">
        <v>3</v>
      </c>
      <c r="L20" s="236">
        <v>4790.400000000001</v>
      </c>
      <c r="M20" s="236" t="s">
        <v>605</v>
      </c>
      <c r="N20" s="236">
        <v>10</v>
      </c>
      <c r="O20" s="238" t="s">
        <v>602</v>
      </c>
      <c r="P20" s="236">
        <v>10</v>
      </c>
    </row>
    <row r="21">
      <c r="A21" s="241" t="s">
        <v>611</v>
      </c>
      <c r="B21" s="242"/>
      <c r="C21" s="242"/>
      <c r="D21" s="243">
        <f>SUM(D17:D20)</f>
      </c>
      <c r="E21" s="243">
        <f>SUM(E17:E20)</f>
      </c>
      <c r="F21" s="244">
        <f>SUM(F17:F20)</f>
      </c>
      <c r="G21" s="243">
        <f>SUM(G17:G20)</f>
      </c>
      <c r="H21" s="244">
        <f t="shared" si="2"/>
      </c>
      <c r="I21" s="244">
        <f t="shared" si="0"/>
      </c>
      <c r="J21" s="244">
        <f t="shared" si="1"/>
      </c>
      <c r="K21" s="243">
        <f>SUM(K17:K20)</f>
      </c>
      <c r="L21" s="243">
        <f>SUM(L17:L20)</f>
      </c>
      <c r="M21" s="245"/>
      <c r="N21" s="243">
        <f>SUM(N17:N20)</f>
      </c>
      <c r="O21" s="245"/>
      <c r="P21" s="245">
        <f>SUM(P17:P20)</f>
      </c>
    </row>
    <row hidden="true" r="22">
      <c r="A22" s="234" t="s">
        <v>612</v>
      </c>
      <c r="B22" s="235" t="s">
        <v>591</v>
      </c>
      <c r="C22" s="236" t="s">
        <v>592</v>
      </c>
      <c r="D22" s="236">
        <v>5</v>
      </c>
      <c r="E22" s="236">
        <v>20</v>
      </c>
      <c r="F22" s="236">
        <v>30559.6</v>
      </c>
      <c r="G22" s="236">
        <v>17761.070000000003</v>
      </c>
      <c r="H22" s="237">
        <f t="shared" si="2"/>
      </c>
      <c r="I22" s="237">
        <f t="shared" si="0"/>
      </c>
      <c r="J22" s="237">
        <f t="shared" si="1"/>
      </c>
      <c r="K22" s="236">
        <v>4</v>
      </c>
      <c r="L22" s="236">
        <v>7108.8</v>
      </c>
      <c r="M22" s="236" t="s">
        <v>608</v>
      </c>
      <c r="N22" s="236">
        <v>10</v>
      </c>
      <c r="O22" s="238" t="s">
        <v>594</v>
      </c>
      <c r="P22" s="236">
        <v>10</v>
      </c>
    </row>
    <row hidden="true" r="23">
      <c r="A23" s="234" t="s">
        <v>612</v>
      </c>
      <c r="B23" s="235" t="s">
        <v>599</v>
      </c>
      <c r="C23" s="236" t="s">
        <v>596</v>
      </c>
      <c r="D23" s="236">
        <v>5</v>
      </c>
      <c r="E23" s="236">
        <v>31</v>
      </c>
      <c r="F23" s="236">
        <v>38253.59999999999</v>
      </c>
      <c r="G23" s="236">
        <v>24825.28</v>
      </c>
      <c r="H23" s="237">
        <f t="shared" si="2"/>
      </c>
      <c r="I23" s="237">
        <f t="shared" si="0"/>
      </c>
      <c r="J23" s="237">
        <f t="shared" si="1"/>
      </c>
      <c r="K23" s="236">
        <v>6</v>
      </c>
      <c r="L23" s="236">
        <v>9861.6</v>
      </c>
      <c r="M23" s="238"/>
      <c r="N23" s="238"/>
      <c r="P23" s="238"/>
    </row>
    <row hidden="true" r="24">
      <c r="A24" s="234" t="s">
        <v>612</v>
      </c>
      <c r="B24" s="235" t="s">
        <v>595</v>
      </c>
      <c r="C24" s="236" t="s">
        <v>598</v>
      </c>
      <c r="D24" s="236">
        <v>5</v>
      </c>
      <c r="E24" s="236">
        <v>20</v>
      </c>
      <c r="F24" s="236">
        <v>25077.600000000006</v>
      </c>
      <c r="G24" s="236">
        <v>11663.210000000003</v>
      </c>
      <c r="H24" s="237">
        <f t="shared" si="2"/>
      </c>
      <c r="I24" s="237">
        <f t="shared" si="0"/>
      </c>
      <c r="J24" s="237">
        <f t="shared" si="1"/>
      </c>
      <c r="K24" s="236">
        <v>5</v>
      </c>
      <c r="L24" s="236">
        <v>4526.399999999998</v>
      </c>
      <c r="M24" s="236"/>
      <c r="N24" s="236"/>
      <c r="O24" s="238"/>
      <c r="P24" s="238"/>
    </row>
    <row hidden="true" r="25">
      <c r="A25" s="234" t="s">
        <v>612</v>
      </c>
      <c r="B25" s="235" t="s">
        <v>613</v>
      </c>
      <c r="C25" s="236" t="s">
        <v>600</v>
      </c>
      <c r="D25" s="236">
        <v>5</v>
      </c>
      <c r="E25" s="236">
        <v>22</v>
      </c>
      <c r="F25" s="240">
        <v>34468.40000000001</v>
      </c>
      <c r="G25" s="236">
        <v>19478.289999999997</v>
      </c>
      <c r="H25" s="237">
        <f t="shared" si="2"/>
      </c>
      <c r="I25" s="237">
        <f t="shared" si="0"/>
      </c>
      <c r="J25" s="237">
        <f t="shared" si="1"/>
      </c>
      <c r="K25" s="236">
        <v>4</v>
      </c>
      <c r="L25" s="236">
        <v>5892</v>
      </c>
      <c r="M25" s="236" t="s">
        <v>605</v>
      </c>
      <c r="N25" s="236">
        <v>10</v>
      </c>
      <c r="O25" s="238" t="s">
        <v>602</v>
      </c>
      <c r="P25" s="236">
        <v>10</v>
      </c>
    </row>
    <row r="26">
      <c r="A26" s="241" t="s">
        <v>612</v>
      </c>
      <c r="B26" s="242"/>
      <c r="C26" s="242"/>
      <c r="D26" s="243">
        <f>SUM(D22:D25)</f>
      </c>
      <c r="E26" s="243">
        <f>SUM(E22:E25)</f>
      </c>
      <c r="F26" s="244">
        <f>SUM(F22:F25)</f>
      </c>
      <c r="G26" s="243">
        <f>SUM(G22:G25)</f>
      </c>
      <c r="H26" s="244">
        <f t="shared" si="2"/>
      </c>
      <c r="I26" s="244">
        <f t="shared" si="0"/>
      </c>
      <c r="J26" s="244">
        <f t="shared" si="1"/>
      </c>
      <c r="K26" s="243">
        <f>SUM(K22:K25)</f>
      </c>
      <c r="L26" s="243">
        <f>SUM(L22:L25)</f>
      </c>
      <c r="M26" s="245"/>
      <c r="N26" s="243">
        <f>SUM(N22:N25)</f>
      </c>
      <c r="O26" s="245"/>
      <c r="P26" s="245">
        <f>SUM(P22:P25)</f>
      </c>
    </row>
    <row hidden="true" r="27">
      <c r="A27" s="234" t="s">
        <v>614</v>
      </c>
      <c r="B27" s="235" t="s">
        <v>591</v>
      </c>
      <c r="C27" s="236" t="s">
        <v>592</v>
      </c>
      <c r="D27" s="236">
        <v>5</v>
      </c>
      <c r="E27" s="236">
        <v>9</v>
      </c>
      <c r="F27" s="236">
        <v>10260</v>
      </c>
      <c r="G27" s="236">
        <v>12311.47</v>
      </c>
      <c r="H27" s="237">
        <f t="shared" si="2"/>
      </c>
      <c r="I27" s="237">
        <f t="shared" si="0"/>
      </c>
      <c r="J27" s="237">
        <f t="shared" si="1"/>
      </c>
      <c r="K27" s="236">
        <v>3</v>
      </c>
      <c r="L27" s="236">
        <v>3151.2</v>
      </c>
      <c r="M27" s="236" t="s">
        <v>608</v>
      </c>
      <c r="N27" s="236">
        <v>10</v>
      </c>
      <c r="O27" s="238" t="s">
        <v>594</v>
      </c>
      <c r="P27" s="236">
        <v>10</v>
      </c>
    </row>
    <row hidden="true" r="28">
      <c r="A28" s="234" t="s">
        <v>614</v>
      </c>
      <c r="B28" s="235" t="s">
        <v>599</v>
      </c>
      <c r="C28" s="236" t="s">
        <v>596</v>
      </c>
      <c r="D28" s="236">
        <v>5</v>
      </c>
      <c r="E28" s="236">
        <v>27</v>
      </c>
      <c r="F28" s="236">
        <v>36843.4</v>
      </c>
      <c r="G28" s="236">
        <v>18472.84</v>
      </c>
      <c r="H28" s="237">
        <f t="shared" si="2"/>
      </c>
      <c r="I28" s="237">
        <f t="shared" si="0"/>
      </c>
      <c r="J28" s="237">
        <f t="shared" si="1"/>
      </c>
      <c r="K28" s="236">
        <v>8</v>
      </c>
      <c r="L28" s="236">
        <v>8306.199999999997</v>
      </c>
      <c r="M28" s="238"/>
      <c r="N28" s="238"/>
      <c r="P28" s="238"/>
    </row>
    <row hidden="true" r="29">
      <c r="A29" s="234" t="s">
        <v>614</v>
      </c>
      <c r="B29" s="235" t="s">
        <v>613</v>
      </c>
      <c r="C29" s="236" t="s">
        <v>598</v>
      </c>
      <c r="D29" s="236">
        <v>5</v>
      </c>
      <c r="E29" s="236">
        <v>22</v>
      </c>
      <c r="F29" s="236">
        <v>31973.799999999996</v>
      </c>
      <c r="G29" s="236">
        <v>16074.21</v>
      </c>
      <c r="H29" s="237">
        <f t="shared" si="2"/>
      </c>
      <c r="I29" s="237">
        <f t="shared" si="0"/>
      </c>
      <c r="J29" s="237">
        <f t="shared" si="1"/>
      </c>
      <c r="K29" s="236">
        <v>9</v>
      </c>
      <c r="L29" s="236">
        <v>16000.800000000003</v>
      </c>
      <c r="M29" s="236"/>
      <c r="N29" s="236"/>
      <c r="O29" s="238"/>
      <c r="P29" s="238"/>
    </row>
    <row hidden="true" r="30">
      <c r="A30" s="234" t="s">
        <v>614</v>
      </c>
      <c r="B30" s="235" t="s">
        <v>609</v>
      </c>
      <c r="C30" s="236" t="s">
        <v>600</v>
      </c>
      <c r="D30" s="236">
        <v>5</v>
      </c>
      <c r="E30" s="236">
        <v>38</v>
      </c>
      <c r="F30" s="240">
        <v>45236.000000000015</v>
      </c>
      <c r="G30" s="236">
        <v>23872.980000000003</v>
      </c>
      <c r="H30" s="237">
        <f t="shared" si="2"/>
      </c>
      <c r="I30" s="237">
        <f t="shared" si="0"/>
      </c>
      <c r="J30" s="237">
        <f t="shared" si="1"/>
      </c>
      <c r="K30" s="236">
        <v>3</v>
      </c>
      <c r="L30" s="236">
        <v>5133.5999999999985</v>
      </c>
      <c r="M30" s="236" t="s">
        <v>605</v>
      </c>
      <c r="N30" s="236">
        <v>10</v>
      </c>
      <c r="O30" s="238" t="s">
        <v>602</v>
      </c>
      <c r="P30" s="236">
        <v>10</v>
      </c>
    </row>
    <row r="31">
      <c r="A31" s="241" t="s">
        <v>614</v>
      </c>
      <c r="B31" s="242"/>
      <c r="C31" s="242"/>
      <c r="D31" s="243">
        <f>SUM(D27:D30)</f>
      </c>
      <c r="E31" s="243">
        <f>SUM(E27:E30)</f>
      </c>
      <c r="F31" s="244">
        <f>SUM(F27:F30)</f>
      </c>
      <c r="G31" s="243">
        <f>SUM(G27:G30)</f>
      </c>
      <c r="H31" s="244">
        <f t="shared" si="2"/>
      </c>
      <c r="I31" s="244">
        <f t="shared" si="0"/>
      </c>
      <c r="J31" s="244">
        <f t="shared" si="1"/>
      </c>
      <c r="K31" s="243">
        <f>SUM(K27:K30)</f>
      </c>
      <c r="L31" s="243">
        <f>SUM(L27:L30)</f>
      </c>
      <c r="M31" s="245"/>
      <c r="N31" s="243">
        <f>SUM(N27:N30)</f>
      </c>
      <c r="O31" s="245"/>
      <c r="P31" s="245">
        <f>SUM(P27:P30)</f>
      </c>
    </row>
    <row hidden="true" r="32">
      <c r="A32" s="234" t="s">
        <v>615</v>
      </c>
      <c r="B32" s="235" t="s">
        <v>595</v>
      </c>
      <c r="C32" s="236" t="s">
        <v>592</v>
      </c>
      <c r="D32" s="236">
        <v>5</v>
      </c>
      <c r="E32" s="236">
        <v>28</v>
      </c>
      <c r="F32" s="236">
        <v>37083.799999999996</v>
      </c>
      <c r="G32" s="236">
        <v>23288.94</v>
      </c>
      <c r="H32" s="237">
        <f t="shared" si="2"/>
      </c>
      <c r="I32" s="237">
        <f t="shared" si="0"/>
      </c>
      <c r="J32" s="237">
        <f t="shared" si="1"/>
      </c>
      <c r="K32" s="236">
        <v>5</v>
      </c>
      <c r="L32" s="236">
        <v>7149.6</v>
      </c>
      <c r="M32" s="236" t="s">
        <v>608</v>
      </c>
      <c r="N32" s="236">
        <v>10</v>
      </c>
      <c r="O32" s="238" t="s">
        <v>594</v>
      </c>
      <c r="P32" s="236">
        <v>10</v>
      </c>
    </row>
    <row hidden="true" r="33">
      <c r="A33" s="234" t="s">
        <v>615</v>
      </c>
      <c r="B33" s="235" t="s">
        <v>591</v>
      </c>
      <c r="C33" s="236" t="s">
        <v>596</v>
      </c>
      <c r="D33" s="236">
        <v>5</v>
      </c>
      <c r="E33" s="236">
        <v>30</v>
      </c>
      <c r="F33" s="236">
        <v>41832.799999999996</v>
      </c>
      <c r="G33" s="236">
        <v>19528.699999999997</v>
      </c>
      <c r="H33" s="237">
        <f t="shared" si="2"/>
      </c>
      <c r="I33" s="237">
        <f t="shared" si="0"/>
      </c>
      <c r="J33" s="237">
        <f t="shared" si="1"/>
      </c>
      <c r="K33" s="236">
        <v>4</v>
      </c>
      <c r="L33" s="236">
        <v>6700.799999999999</v>
      </c>
      <c r="M33" s="238"/>
      <c r="N33" s="238"/>
      <c r="P33" s="238"/>
    </row>
    <row hidden="true" r="34">
      <c r="A34" s="234" t="s">
        <v>615</v>
      </c>
      <c r="B34" s="235" t="s">
        <v>609</v>
      </c>
      <c r="C34" s="236" t="s">
        <v>598</v>
      </c>
      <c r="D34" s="236">
        <v>5</v>
      </c>
      <c r="E34" s="236">
        <v>26</v>
      </c>
      <c r="F34" s="236">
        <v>29391.600000000006</v>
      </c>
      <c r="G34" s="236">
        <v>20862.770000000004</v>
      </c>
      <c r="H34" s="237">
        <f t="shared" si="2"/>
      </c>
      <c r="I34" s="237">
        <f t="shared" si="0"/>
      </c>
      <c r="J34" s="237">
        <f t="shared" si="1"/>
      </c>
      <c r="K34" s="236">
        <v>9</v>
      </c>
      <c r="L34" s="236">
        <v>10665.6</v>
      </c>
      <c r="M34" s="236"/>
      <c r="N34" s="236"/>
      <c r="O34" s="238"/>
      <c r="P34" s="238"/>
    </row>
    <row hidden="true" r="35">
      <c r="A35" s="234" t="s">
        <v>615</v>
      </c>
      <c r="B35" s="235" t="s">
        <v>599</v>
      </c>
      <c r="C35" s="236" t="s">
        <v>600</v>
      </c>
      <c r="D35" s="236">
        <v>5</v>
      </c>
      <c r="E35" s="236">
        <v>39</v>
      </c>
      <c r="F35" s="240">
        <v>60524.20000000001</v>
      </c>
      <c r="G35" s="236">
        <v>30037.92</v>
      </c>
      <c r="H35" s="237">
        <f t="shared" si="2"/>
      </c>
      <c r="I35" s="237">
        <f t="shared" si="0"/>
      </c>
      <c r="J35" s="237">
        <f t="shared" si="1"/>
      </c>
      <c r="K35" s="236">
        <v>5</v>
      </c>
      <c r="L35" s="236">
        <v>4448.000000000004</v>
      </c>
      <c r="M35" s="236" t="s">
        <v>605</v>
      </c>
      <c r="N35" s="236">
        <v>10</v>
      </c>
      <c r="O35" s="238" t="s">
        <v>602</v>
      </c>
      <c r="P35" s="236">
        <v>10</v>
      </c>
    </row>
    <row r="36">
      <c r="A36" s="241" t="s">
        <v>615</v>
      </c>
      <c r="B36" s="242"/>
      <c r="C36" s="242"/>
      <c r="D36" s="243">
        <f>SUM(D32:D35)</f>
      </c>
      <c r="E36" s="243">
        <f>SUM(E32:E35)</f>
      </c>
      <c r="F36" s="244">
        <f>SUM(F32:F35)</f>
      </c>
      <c r="G36" s="243">
        <f>SUM(G32:G35)</f>
      </c>
      <c r="H36" s="244">
        <f t="shared" si="2"/>
      </c>
      <c r="I36" s="244">
        <f t="shared" si="0"/>
      </c>
      <c r="J36" s="244">
        <f t="shared" si="1"/>
      </c>
      <c r="K36" s="243">
        <f>SUM(K32:K35)</f>
      </c>
      <c r="L36" s="243">
        <f>SUM(L32:L35)</f>
      </c>
      <c r="M36" s="245"/>
      <c r="N36" s="243">
        <f>SUM(N32:N35)</f>
      </c>
      <c r="O36" s="245"/>
      <c r="P36" s="245">
        <f>SUM(P32:P35)</f>
      </c>
    </row>
    <row hidden="true" r="37">
      <c r="A37" s="234" t="s">
        <v>616</v>
      </c>
      <c r="B37" s="235" t="s">
        <v>613</v>
      </c>
      <c r="C37" s="236" t="s">
        <v>592</v>
      </c>
      <c r="D37" s="236">
        <v>5</v>
      </c>
      <c r="E37" s="236">
        <v>34</v>
      </c>
      <c r="F37" s="236">
        <v>44488.6</v>
      </c>
      <c r="G37" s="236">
        <v>25269.390000000003</v>
      </c>
      <c r="H37" s="237">
        <f t="shared" si="2"/>
      </c>
      <c r="I37" s="237">
        <f t="shared" si="0"/>
      </c>
      <c r="J37" s="237">
        <f t="shared" si="1"/>
      </c>
      <c r="K37" s="236">
        <v>8</v>
      </c>
      <c r="L37" s="236">
        <v>9964.8</v>
      </c>
      <c r="M37" s="236" t="s">
        <v>608</v>
      </c>
      <c r="N37" s="236">
        <v>10</v>
      </c>
      <c r="O37" s="238" t="s">
        <v>594</v>
      </c>
      <c r="P37" s="236">
        <v>10</v>
      </c>
    </row>
    <row hidden="true" r="38">
      <c r="A38" s="234" t="s">
        <v>616</v>
      </c>
      <c r="B38" s="235" t="s">
        <v>591</v>
      </c>
      <c r="C38" s="236" t="s">
        <v>596</v>
      </c>
      <c r="D38" s="236">
        <v>5</v>
      </c>
      <c r="E38" s="236">
        <v>23</v>
      </c>
      <c r="F38" s="236">
        <v>29968.000000000004</v>
      </c>
      <c r="G38" s="236">
        <v>15894.769999999999</v>
      </c>
      <c r="H38" s="237">
        <f t="shared" si="2"/>
      </c>
      <c r="I38" s="237">
        <f t="shared" si="0"/>
      </c>
      <c r="J38" s="237">
        <f t="shared" si="1"/>
      </c>
      <c r="K38" s="236">
        <v>7</v>
      </c>
      <c r="L38" s="236">
        <v>5987.2</v>
      </c>
      <c r="M38" s="238"/>
      <c r="N38" s="238"/>
      <c r="P38" s="238"/>
    </row>
    <row hidden="true" r="39">
      <c r="A39" s="234" t="s">
        <v>616</v>
      </c>
      <c r="B39" s="235" t="s">
        <v>609</v>
      </c>
      <c r="C39" s="236" t="s">
        <v>598</v>
      </c>
      <c r="D39" s="236">
        <v>5</v>
      </c>
      <c r="E39" s="236">
        <v>17</v>
      </c>
      <c r="F39" s="236">
        <v>23098.79999999999</v>
      </c>
      <c r="G39" s="236">
        <v>13333.720000000001</v>
      </c>
      <c r="H39" s="237">
        <f t="shared" si="2"/>
      </c>
      <c r="I39" s="237">
        <f t="shared" si="0"/>
      </c>
      <c r="J39" s="237">
        <f t="shared" si="1"/>
      </c>
      <c r="K39" s="236">
        <v>4</v>
      </c>
      <c r="L39" s="236">
        <v>6844.800000000001</v>
      </c>
      <c r="M39" s="236"/>
      <c r="N39" s="236"/>
      <c r="O39" s="238"/>
      <c r="P39" s="238"/>
    </row>
    <row hidden="true" r="40">
      <c r="A40" s="234" t="s">
        <v>616</v>
      </c>
      <c r="B40" s="235" t="s">
        <v>599</v>
      </c>
      <c r="C40" s="236" t="s">
        <v>600</v>
      </c>
      <c r="D40" s="236">
        <v>5</v>
      </c>
      <c r="E40" s="236">
        <v>33</v>
      </c>
      <c r="F40" s="240">
        <v>42313</v>
      </c>
      <c r="G40" s="236">
        <v>24811.640000000003</v>
      </c>
      <c r="H40" s="237">
        <f t="shared" si="2"/>
      </c>
      <c r="I40" s="237">
        <f t="shared" si="0"/>
      </c>
      <c r="J40" s="237">
        <f t="shared" si="1"/>
      </c>
      <c r="K40" s="236">
        <v>1</v>
      </c>
      <c r="L40" s="236">
        <v>1344</v>
      </c>
      <c r="M40" s="236" t="s">
        <v>605</v>
      </c>
      <c r="N40" s="236">
        <v>10</v>
      </c>
      <c r="O40" s="238" t="s">
        <v>602</v>
      </c>
      <c r="P40" s="236">
        <v>10</v>
      </c>
    </row>
    <row r="41">
      <c r="A41" s="241" t="s">
        <v>616</v>
      </c>
      <c r="B41" s="242"/>
      <c r="C41" s="242"/>
      <c r="D41" s="243">
        <f>SUM(D37:D40)</f>
      </c>
      <c r="E41" s="243">
        <f>SUM(E37:E40)</f>
      </c>
      <c r="F41" s="244">
        <f>SUM(F37:F40)</f>
      </c>
      <c r="G41" s="243">
        <f>SUM(G37:G40)</f>
      </c>
      <c r="H41" s="244">
        <f t="shared" si="2"/>
      </c>
      <c r="I41" s="244">
        <f t="shared" si="0"/>
      </c>
      <c r="J41" s="244">
        <f t="shared" si="1"/>
      </c>
      <c r="K41" s="243">
        <f>SUM(K37:K40)</f>
      </c>
      <c r="L41" s="243">
        <f>SUM(L37:L40)</f>
      </c>
      <c r="M41" s="245"/>
      <c r="N41" s="243">
        <f>SUM(N37:N40)</f>
      </c>
      <c r="O41" s="245"/>
      <c r="P41" s="245">
        <f>SUM(P37:P40)</f>
      </c>
    </row>
    <row hidden="true" r="42">
      <c r="A42" s="234" t="s">
        <v>617</v>
      </c>
      <c r="B42" s="235" t="s">
        <v>591</v>
      </c>
      <c r="C42" s="236" t="s">
        <v>592</v>
      </c>
      <c r="D42" s="236">
        <v>5</v>
      </c>
      <c r="E42" s="236">
        <v>20</v>
      </c>
      <c r="F42" s="236">
        <v>26430.4</v>
      </c>
      <c r="G42" s="236">
        <v>18644.609999999997</v>
      </c>
      <c r="H42" s="237">
        <f t="shared" si="2"/>
      </c>
      <c r="I42" s="237">
        <f t="shared" si="0"/>
      </c>
      <c r="J42" s="237">
        <f t="shared" si="1"/>
      </c>
      <c r="K42" s="236">
        <v>1</v>
      </c>
      <c r="L42" s="236">
        <v>1338</v>
      </c>
      <c r="M42" s="236" t="s">
        <v>608</v>
      </c>
      <c r="N42" s="236">
        <v>10</v>
      </c>
      <c r="O42" s="238" t="s">
        <v>594</v>
      </c>
      <c r="P42" s="236">
        <v>10</v>
      </c>
    </row>
    <row hidden="true" r="43">
      <c r="A43" s="234" t="s">
        <v>617</v>
      </c>
      <c r="B43" s="235" t="s">
        <v>613</v>
      </c>
      <c r="C43" s="236" t="s">
        <v>618</v>
      </c>
      <c r="D43" s="236">
        <v>4</v>
      </c>
      <c r="E43" s="236">
        <v>24</v>
      </c>
      <c r="F43" s="236">
        <v>28102.8</v>
      </c>
      <c r="G43" s="236">
        <v>19630.739999999998</v>
      </c>
      <c r="H43" s="237">
        <f t="shared" si="2"/>
      </c>
      <c r="I43" s="237">
        <f t="shared" si="0"/>
      </c>
      <c r="J43" s="237">
        <f t="shared" si="1"/>
      </c>
      <c r="K43" s="236">
        <v>7</v>
      </c>
      <c r="L43" s="236">
        <v>6582</v>
      </c>
      <c r="M43" s="238"/>
      <c r="N43" s="238"/>
      <c r="P43" s="238"/>
    </row>
    <row hidden="true" r="44">
      <c r="A44" s="234" t="s">
        <v>617</v>
      </c>
      <c r="B44" s="235" t="s">
        <v>595</v>
      </c>
      <c r="C44" s="236" t="s">
        <v>619</v>
      </c>
      <c r="D44" s="236">
        <v>6</v>
      </c>
      <c r="E44" s="236">
        <v>32</v>
      </c>
      <c r="F44" s="236">
        <v>41837.99999999999</v>
      </c>
      <c r="G44" s="236">
        <v>24456.46</v>
      </c>
      <c r="H44" s="237">
        <f t="shared" si="2"/>
      </c>
      <c r="I44" s="237">
        <f t="shared" si="0"/>
      </c>
      <c r="J44" s="237">
        <f t="shared" si="1"/>
      </c>
      <c r="K44" s="236">
        <v>6</v>
      </c>
      <c r="L44" s="236">
        <v>10752</v>
      </c>
      <c r="M44" s="236"/>
      <c r="N44" s="236"/>
      <c r="O44" s="238"/>
      <c r="P44" s="238"/>
    </row>
    <row hidden="true" r="45">
      <c r="A45" s="234" t="s">
        <v>617</v>
      </c>
      <c r="B45" s="235" t="s">
        <v>599</v>
      </c>
      <c r="C45" s="236" t="s">
        <v>600</v>
      </c>
      <c r="D45" s="236">
        <v>5</v>
      </c>
      <c r="E45" s="236">
        <v>38</v>
      </c>
      <c r="F45" s="240">
        <v>43687.03999999998</v>
      </c>
      <c r="G45" s="236">
        <v>23040.010000000002</v>
      </c>
      <c r="H45" s="237">
        <f t="shared" si="2"/>
      </c>
      <c r="I45" s="237">
        <f t="shared" si="0"/>
      </c>
      <c r="J45" s="237">
        <f t="shared" si="1"/>
      </c>
      <c r="K45" s="236">
        <v>3</v>
      </c>
      <c r="L45" s="236">
        <v>4070.4000000000015</v>
      </c>
      <c r="M45" s="236" t="s">
        <v>605</v>
      </c>
      <c r="N45" s="236">
        <v>10</v>
      </c>
      <c r="O45" s="238" t="s">
        <v>602</v>
      </c>
      <c r="P45" s="236">
        <v>10</v>
      </c>
    </row>
    <row r="46">
      <c r="A46" s="241" t="s">
        <v>617</v>
      </c>
      <c r="B46" s="242"/>
      <c r="C46" s="242"/>
      <c r="D46" s="243">
        <f>SUM(D42:D45)</f>
      </c>
      <c r="E46" s="243">
        <f>SUM(E42:E45)</f>
      </c>
      <c r="F46" s="244">
        <f>SUM(F42:F45)</f>
      </c>
      <c r="G46" s="243">
        <f>SUM(G42:G45)</f>
      </c>
      <c r="H46" s="244">
        <f t="shared" si="2"/>
      </c>
      <c r="I46" s="244">
        <f t="shared" si="0"/>
      </c>
      <c r="J46" s="244">
        <f t="shared" si="1"/>
      </c>
      <c r="K46" s="243">
        <f>SUM(K42:K45)</f>
      </c>
      <c r="L46" s="243">
        <f>SUM(L42:L45)</f>
      </c>
      <c r="M46" s="245"/>
      <c r="N46" s="243">
        <f>SUM(N42:N45)</f>
      </c>
      <c r="O46" s="245"/>
      <c r="P46" s="245">
        <f>SUM(P42:P45)</f>
      </c>
    </row>
    <row hidden="true" r="47">
      <c r="A47" s="234" t="s">
        <v>620</v>
      </c>
      <c r="B47" s="235" t="s">
        <v>613</v>
      </c>
      <c r="C47" s="236" t="s">
        <v>592</v>
      </c>
      <c r="D47" s="236">
        <v>5</v>
      </c>
      <c r="E47" s="236">
        <v>14</v>
      </c>
      <c r="F47" s="236">
        <v>16210.8</v>
      </c>
      <c r="G47" s="236">
        <v>17764.27</v>
      </c>
      <c r="H47" s="237">
        <f t="shared" si="2"/>
      </c>
      <c r="I47" s="237">
        <f t="shared" si="0"/>
      </c>
      <c r="J47" s="237">
        <f t="shared" si="1"/>
      </c>
      <c r="K47" s="236">
        <v>4</v>
      </c>
      <c r="L47" s="236">
        <v>2258.4</v>
      </c>
      <c r="M47" s="236" t="s">
        <v>608</v>
      </c>
      <c r="N47" s="236">
        <v>11</v>
      </c>
      <c r="O47" s="238" t="s">
        <v>594</v>
      </c>
      <c r="P47" s="236">
        <v>10</v>
      </c>
    </row>
    <row hidden="true" r="48">
      <c r="A48" s="234" t="s">
        <v>620</v>
      </c>
      <c r="B48" s="235" t="s">
        <v>595</v>
      </c>
      <c r="C48" s="236" t="s">
        <v>596</v>
      </c>
      <c r="D48" s="236">
        <v>5</v>
      </c>
      <c r="E48" s="236">
        <v>21</v>
      </c>
      <c r="F48" s="236">
        <v>29462.399999999998</v>
      </c>
      <c r="G48" s="236">
        <v>17900.16</v>
      </c>
      <c r="H48" s="237">
        <f t="shared" si="2"/>
      </c>
      <c r="I48" s="237">
        <f t="shared" si="0"/>
      </c>
      <c r="J48" s="237">
        <f t="shared" si="1"/>
      </c>
      <c r="K48" s="236">
        <v>4</v>
      </c>
      <c r="L48" s="236">
        <v>5829.599999999999</v>
      </c>
      <c r="M48" s="238"/>
      <c r="N48" s="238"/>
      <c r="P48" s="238"/>
    </row>
    <row hidden="true" r="49">
      <c r="A49" s="234" t="s">
        <v>620</v>
      </c>
      <c r="B49" s="235" t="s">
        <v>599</v>
      </c>
      <c r="C49" s="236" t="s">
        <v>598</v>
      </c>
      <c r="D49" s="236">
        <v>5</v>
      </c>
      <c r="E49" s="236">
        <v>22</v>
      </c>
      <c r="F49" s="236">
        <v>25932.000000000004</v>
      </c>
      <c r="G49" s="236">
        <v>14259.58</v>
      </c>
      <c r="H49" s="237">
        <f t="shared" si="2"/>
      </c>
      <c r="I49" s="237">
        <f t="shared" si="0"/>
      </c>
      <c r="J49" s="237">
        <f t="shared" si="1"/>
      </c>
      <c r="K49" s="236">
        <v>3</v>
      </c>
      <c r="L49" s="236">
        <v>1267.2000000000007</v>
      </c>
      <c r="M49" s="236"/>
      <c r="N49" s="236"/>
      <c r="O49" s="238"/>
      <c r="P49" s="238"/>
    </row>
    <row hidden="true" r="50">
      <c r="A50" s="234" t="s">
        <v>620</v>
      </c>
      <c r="B50" s="235" t="s">
        <v>609</v>
      </c>
      <c r="C50" s="236" t="s">
        <v>600</v>
      </c>
      <c r="D50" s="236">
        <v>5</v>
      </c>
      <c r="E50" s="236">
        <v>24</v>
      </c>
      <c r="F50" s="240">
        <v>32968.8</v>
      </c>
      <c r="G50" s="236">
        <v>19221.25</v>
      </c>
      <c r="H50" s="237">
        <f t="shared" si="2"/>
      </c>
      <c r="I50" s="237">
        <f t="shared" si="0"/>
      </c>
      <c r="J50" s="237">
        <f t="shared" si="1"/>
      </c>
      <c r="K50" s="236">
        <v>2</v>
      </c>
      <c r="L50" s="236">
        <v>3751.199999999999</v>
      </c>
      <c r="M50" s="236" t="s">
        <v>605</v>
      </c>
      <c r="N50" s="236">
        <v>9</v>
      </c>
      <c r="O50" s="238" t="s">
        <v>602</v>
      </c>
      <c r="P50" s="236">
        <v>10</v>
      </c>
    </row>
    <row r="51">
      <c r="A51" s="241" t="s">
        <v>620</v>
      </c>
      <c r="B51" s="242"/>
      <c r="C51" s="242"/>
      <c r="D51" s="243">
        <f>SUM(D47:D50)</f>
      </c>
      <c r="E51" s="243">
        <f>SUM(E47:E50)</f>
      </c>
      <c r="F51" s="244">
        <f>SUM(F47:F50)</f>
      </c>
      <c r="G51" s="243">
        <f>SUM(G47:G50)</f>
      </c>
      <c r="H51" s="244">
        <f t="shared" si="2"/>
      </c>
      <c r="I51" s="244">
        <f t="shared" si="0"/>
      </c>
      <c r="J51" s="244">
        <f t="shared" si="1"/>
      </c>
      <c r="K51" s="243">
        <f>SUM(K47:K50)</f>
      </c>
      <c r="L51" s="243">
        <f>SUM(L47:L50)</f>
      </c>
      <c r="M51" s="245"/>
      <c r="N51" s="243">
        <f>SUM(N47:N50)</f>
      </c>
      <c r="O51" s="245"/>
      <c r="P51" s="245">
        <f>SUM(P47:P50)</f>
      </c>
    </row>
    <row hidden="true" r="52">
      <c r="A52" s="234" t="s">
        <v>621</v>
      </c>
      <c r="B52" s="235" t="s">
        <v>595</v>
      </c>
      <c r="C52" s="236" t="s">
        <v>592</v>
      </c>
      <c r="D52" s="236">
        <v>5</v>
      </c>
      <c r="E52" s="236">
        <v>29</v>
      </c>
      <c r="F52" s="236">
        <v>38301.6</v>
      </c>
      <c r="G52" s="236">
        <v>26399.4</v>
      </c>
      <c r="H52" s="237">
        <f t="shared" si="2"/>
      </c>
      <c r="I52" s="237">
        <f t="shared" si="0"/>
      </c>
      <c r="J52" s="237">
        <f t="shared" si="1"/>
      </c>
      <c r="K52" s="236">
        <v>5</v>
      </c>
      <c r="L52" s="236">
        <v>8874</v>
      </c>
      <c r="M52" s="236" t="s">
        <v>608</v>
      </c>
      <c r="N52" s="236">
        <v>10</v>
      </c>
      <c r="O52" s="238" t="s">
        <v>594</v>
      </c>
      <c r="P52" s="236">
        <v>10</v>
      </c>
    </row>
    <row hidden="true" r="53">
      <c r="A53" s="234" t="s">
        <v>621</v>
      </c>
      <c r="B53" s="235" t="s">
        <v>609</v>
      </c>
      <c r="C53" s="236" t="s">
        <v>596</v>
      </c>
      <c r="D53" s="236">
        <v>5</v>
      </c>
      <c r="E53" s="236">
        <v>20</v>
      </c>
      <c r="F53" s="236">
        <v>26473.200000000004</v>
      </c>
      <c r="G53" s="236">
        <v>17782.379999999997</v>
      </c>
      <c r="H53" s="237">
        <f t="shared" si="2"/>
      </c>
      <c r="I53" s="237">
        <f t="shared" si="0"/>
      </c>
      <c r="J53" s="237">
        <f t="shared" si="1"/>
      </c>
      <c r="K53" s="236">
        <v>5</v>
      </c>
      <c r="L53" s="236">
        <v>7557.5999999999985</v>
      </c>
      <c r="M53" s="238"/>
      <c r="N53" s="238"/>
      <c r="P53" s="238"/>
    </row>
    <row hidden="true" r="54">
      <c r="A54" s="234" t="s">
        <v>621</v>
      </c>
      <c r="B54" s="235" t="s">
        <v>613</v>
      </c>
      <c r="C54" s="236" t="s">
        <v>598</v>
      </c>
      <c r="D54" s="236">
        <v>5</v>
      </c>
      <c r="E54" s="236">
        <v>12</v>
      </c>
      <c r="F54" s="236">
        <v>15567.599999999991</v>
      </c>
      <c r="G54" s="236">
        <v>12929.680000000002</v>
      </c>
      <c r="H54" s="237">
        <f t="shared" si="2"/>
      </c>
      <c r="I54" s="237">
        <f t="shared" si="0"/>
      </c>
      <c r="J54" s="237">
        <f t="shared" si="1"/>
      </c>
      <c r="K54" s="236">
        <v>2</v>
      </c>
      <c r="L54" s="236">
        <v>3674.4000000000015</v>
      </c>
      <c r="M54" s="236"/>
      <c r="N54" s="236"/>
      <c r="O54" s="238"/>
      <c r="P54" s="238"/>
    </row>
    <row hidden="true" r="55">
      <c r="A55" s="234" t="s">
        <v>621</v>
      </c>
      <c r="B55" s="235" t="s">
        <v>599</v>
      </c>
      <c r="C55" s="236" t="s">
        <v>600</v>
      </c>
      <c r="D55" s="236">
        <v>5</v>
      </c>
      <c r="E55" s="236">
        <v>37</v>
      </c>
      <c r="F55" s="240">
        <v>64166.39999999998</v>
      </c>
      <c r="G55" s="236">
        <v>23645.46</v>
      </c>
      <c r="H55" s="237">
        <f t="shared" si="2"/>
      </c>
      <c r="I55" s="237">
        <f t="shared" si="0"/>
      </c>
      <c r="J55" s="237">
        <f t="shared" si="1"/>
      </c>
      <c r="K55" s="236">
        <v>4</v>
      </c>
      <c r="L55" s="236">
        <v>7569.5999999999985</v>
      </c>
      <c r="M55" s="236" t="s">
        <v>605</v>
      </c>
      <c r="N55" s="236">
        <v>10</v>
      </c>
      <c r="O55" s="238" t="s">
        <v>602</v>
      </c>
      <c r="P55" s="236">
        <v>10</v>
      </c>
    </row>
    <row r="56">
      <c r="A56" s="241" t="s">
        <v>621</v>
      </c>
      <c r="B56" s="242"/>
      <c r="C56" s="242"/>
      <c r="D56" s="243">
        <f>SUM(D52:D55)</f>
      </c>
      <c r="E56" s="243">
        <f>SUM(E52:E55)</f>
      </c>
      <c r="F56" s="244">
        <f>SUM(F52:F55)</f>
      </c>
      <c r="G56" s="243">
        <f>SUM(G52:G55)</f>
      </c>
      <c r="H56" s="244">
        <f t="shared" si="2"/>
      </c>
      <c r="I56" s="244">
        <f t="shared" si="0"/>
      </c>
      <c r="J56" s="244">
        <f t="shared" si="1"/>
      </c>
      <c r="K56" s="243">
        <f>SUM(K52:K55)</f>
      </c>
      <c r="L56" s="243">
        <f>SUM(L52:L55)</f>
      </c>
      <c r="M56" s="245"/>
      <c r="N56" s="243">
        <f>SUM(N52:N55)</f>
      </c>
      <c r="O56" s="245"/>
      <c r="P56" s="245">
        <f>SUM(P52:P55)</f>
      </c>
    </row>
    <row hidden="true" r="57">
      <c r="A57" s="234" t="s">
        <v>622</v>
      </c>
      <c r="B57" s="235" t="s">
        <v>591</v>
      </c>
      <c r="C57" s="236" t="s">
        <v>592</v>
      </c>
      <c r="D57" s="236">
        <v>5</v>
      </c>
      <c r="E57" s="236">
        <v>44</v>
      </c>
      <c r="F57" s="236">
        <v>66634.4</v>
      </c>
      <c r="G57" s="236">
        <v>36693.11</v>
      </c>
      <c r="H57" s="237">
        <f t="shared" si="2"/>
      </c>
      <c r="I57" s="237">
        <f t="shared" si="0"/>
      </c>
      <c r="J57" s="237">
        <f t="shared" si="1"/>
      </c>
      <c r="K57" s="236">
        <v>11</v>
      </c>
      <c r="L57" s="236">
        <v>15196.8</v>
      </c>
      <c r="M57" s="236" t="s">
        <v>623</v>
      </c>
      <c r="N57" s="236">
        <v>10</v>
      </c>
      <c r="O57" s="238" t="s">
        <v>594</v>
      </c>
      <c r="P57" s="236">
        <v>10</v>
      </c>
    </row>
    <row hidden="true" r="58">
      <c r="A58" s="234" t="s">
        <v>622</v>
      </c>
      <c r="B58" s="235" t="s">
        <v>595</v>
      </c>
      <c r="C58" s="236" t="s">
        <v>596</v>
      </c>
      <c r="D58" s="236">
        <v>5</v>
      </c>
      <c r="E58" s="236">
        <v>43</v>
      </c>
      <c r="F58" s="236">
        <v>58095.600000000006</v>
      </c>
      <c r="G58" s="236">
        <v>30368.58</v>
      </c>
      <c r="H58" s="237">
        <f t="shared" si="2"/>
      </c>
      <c r="I58" s="237">
        <f t="shared" si="0"/>
      </c>
      <c r="J58" s="237">
        <f t="shared" si="1"/>
      </c>
      <c r="K58" s="236">
        <v>7</v>
      </c>
      <c r="L58" s="236">
        <v>8428.799999999996</v>
      </c>
      <c r="M58" s="238"/>
      <c r="N58" s="238"/>
      <c r="P58" s="238"/>
    </row>
    <row hidden="true" r="59">
      <c r="A59" s="234" t="s">
        <v>622</v>
      </c>
      <c r="B59" s="235" t="s">
        <v>609</v>
      </c>
      <c r="C59" s="236" t="s">
        <v>598</v>
      </c>
      <c r="D59" s="236">
        <v>5</v>
      </c>
      <c r="E59" s="236">
        <v>12</v>
      </c>
      <c r="F59" s="236">
        <v>18475.20000000001</v>
      </c>
      <c r="G59" s="236">
        <v>16872.15</v>
      </c>
      <c r="H59" s="237">
        <f t="shared" si="2"/>
      </c>
      <c r="I59" s="237">
        <f t="shared" si="0"/>
      </c>
      <c r="J59" s="237">
        <f t="shared" si="1"/>
      </c>
      <c r="K59" s="236">
        <v>1</v>
      </c>
      <c r="L59" s="236">
        <v>1344.0000000000036</v>
      </c>
      <c r="M59" s="236"/>
      <c r="N59" s="236"/>
      <c r="O59" s="238"/>
      <c r="P59" s="238"/>
    </row>
    <row hidden="true" r="60">
      <c r="A60" s="234" t="s">
        <v>622</v>
      </c>
      <c r="B60" s="235" t="s">
        <v>599</v>
      </c>
      <c r="C60" s="236" t="s">
        <v>600</v>
      </c>
      <c r="D60" s="236">
        <v>5</v>
      </c>
      <c r="E60" s="236">
        <v>26</v>
      </c>
      <c r="F60" s="240">
        <v>45566.399999999994</v>
      </c>
      <c r="G60" s="236">
        <v>22586.05</v>
      </c>
      <c r="H60" s="237">
        <f t="shared" si="2"/>
      </c>
      <c r="I60" s="237">
        <f t="shared" si="0"/>
      </c>
      <c r="J60" s="237">
        <f t="shared" si="1"/>
      </c>
      <c r="K60" s="236">
        <v>1</v>
      </c>
      <c r="L60" s="236">
        <v>715.2000000000007</v>
      </c>
      <c r="M60" s="236" t="s">
        <v>605</v>
      </c>
      <c r="N60" s="236">
        <v>10</v>
      </c>
      <c r="O60" s="238" t="s">
        <v>602</v>
      </c>
      <c r="P60" s="236">
        <v>10</v>
      </c>
    </row>
    <row r="61">
      <c r="A61" s="241" t="s">
        <v>622</v>
      </c>
      <c r="B61" s="242"/>
      <c r="C61" s="242"/>
      <c r="D61" s="243">
        <f>SUM(D57:D60)</f>
      </c>
      <c r="E61" s="243">
        <f>SUM(E57:E60)</f>
      </c>
      <c r="F61" s="244">
        <f>SUM(F57:F60)</f>
      </c>
      <c r="G61" s="243">
        <f>SUM(G57:G60)</f>
      </c>
      <c r="H61" s="244">
        <f t="shared" si="2"/>
      </c>
      <c r="I61" s="244">
        <f t="shared" si="0"/>
      </c>
      <c r="J61" s="244">
        <f t="shared" si="1"/>
      </c>
      <c r="K61" s="243">
        <f>SUM(K57:K60)</f>
      </c>
      <c r="L61" s="243">
        <f>SUM(L57:L60)</f>
      </c>
      <c r="M61" s="245"/>
      <c r="N61" s="243">
        <f>SUM(N57:N60)</f>
      </c>
      <c r="O61" s="245"/>
      <c r="P61" s="245">
        <f>SUM(P57:P60)</f>
      </c>
    </row>
    <row hidden="true" r="62">
      <c r="A62" s="234" t="s">
        <v>624</v>
      </c>
      <c r="B62" s="235" t="s">
        <v>595</v>
      </c>
      <c r="C62" s="236" t="s">
        <v>592</v>
      </c>
      <c r="D62" s="236">
        <v>5</v>
      </c>
      <c r="E62" s="236">
        <v>10</v>
      </c>
      <c r="F62" s="236">
        <v>14702</v>
      </c>
      <c r="G62" s="236">
        <v>15328.24</v>
      </c>
      <c r="H62" s="237">
        <f t="shared" si="2"/>
      </c>
      <c r="I62" s="237">
        <f t="shared" si="0"/>
      </c>
      <c r="J62" s="237">
        <f t="shared" si="1"/>
      </c>
      <c r="K62" s="236">
        <v>3</v>
      </c>
      <c r="L62" s="236">
        <v>2978.4</v>
      </c>
      <c r="M62" s="236" t="s">
        <v>623</v>
      </c>
      <c r="N62" s="236">
        <v>10</v>
      </c>
      <c r="O62" s="238" t="s">
        <v>594</v>
      </c>
      <c r="P62" s="236">
        <v>10</v>
      </c>
    </row>
    <row hidden="true" r="63">
      <c r="A63" s="234" t="s">
        <v>624</v>
      </c>
      <c r="B63" s="235" t="s">
        <v>591</v>
      </c>
      <c r="C63" s="236" t="s">
        <v>596</v>
      </c>
      <c r="D63" s="236">
        <v>5</v>
      </c>
      <c r="E63" s="236">
        <v>22</v>
      </c>
      <c r="F63" s="236">
        <v>32497.000000000004</v>
      </c>
      <c r="G63" s="236">
        <v>18853.84</v>
      </c>
      <c r="H63" s="237">
        <f t="shared" si="2"/>
      </c>
      <c r="I63" s="237">
        <f t="shared" si="0"/>
      </c>
      <c r="J63" s="237">
        <f t="shared" si="1"/>
      </c>
      <c r="K63" s="236">
        <v>6</v>
      </c>
      <c r="L63" s="236">
        <v>5899</v>
      </c>
      <c r="M63" s="238"/>
      <c r="N63" s="238"/>
      <c r="P63" s="238"/>
    </row>
    <row hidden="true" r="64">
      <c r="A64" s="234" t="s">
        <v>624</v>
      </c>
      <c r="B64" s="235" t="s">
        <v>599</v>
      </c>
      <c r="C64" s="236" t="s">
        <v>598</v>
      </c>
      <c r="D64" s="236">
        <v>5</v>
      </c>
      <c r="E64" s="236">
        <v>6</v>
      </c>
      <c r="F64" s="236">
        <v>12019.19999999999</v>
      </c>
      <c r="G64" s="236">
        <v>9552.46</v>
      </c>
      <c r="H64" s="237">
        <f t="shared" si="2"/>
      </c>
      <c r="I64" s="237">
        <f t="shared" si="0"/>
      </c>
      <c r="J64" s="237">
        <f t="shared" si="1"/>
      </c>
      <c r="K64" s="236">
        <v>3</v>
      </c>
      <c r="L64" s="236">
        <v>2834.4</v>
      </c>
      <c r="M64" s="236" t="s">
        <v>625</v>
      </c>
      <c r="N64" s="236">
        <v>8</v>
      </c>
      <c r="O64" s="238"/>
      <c r="P64" s="238"/>
    </row>
    <row hidden="true" r="65">
      <c r="A65" s="234" t="s">
        <v>624</v>
      </c>
      <c r="B65" s="235" t="s">
        <v>609</v>
      </c>
      <c r="C65" s="236" t="s">
        <v>600</v>
      </c>
      <c r="D65" s="236">
        <v>5</v>
      </c>
      <c r="E65" s="236">
        <v>33</v>
      </c>
      <c r="F65" s="240">
        <v>39747</v>
      </c>
      <c r="G65" s="236">
        <v>18641.390000000003</v>
      </c>
      <c r="H65" s="237">
        <f t="shared" si="2"/>
      </c>
      <c r="I65" s="237">
        <f t="shared" si="0"/>
      </c>
      <c r="J65" s="237">
        <f t="shared" si="1"/>
      </c>
      <c r="K65" s="236">
        <v>4</v>
      </c>
      <c r="L65" s="236">
        <v>3560.4000000000005</v>
      </c>
      <c r="M65" s="236" t="s">
        <v>605</v>
      </c>
      <c r="N65" s="236">
        <v>2</v>
      </c>
      <c r="O65" s="238" t="s">
        <v>602</v>
      </c>
      <c r="P65" s="236">
        <v>10</v>
      </c>
    </row>
    <row r="66">
      <c r="A66" s="241" t="s">
        <v>624</v>
      </c>
      <c r="B66" s="242"/>
      <c r="C66" s="242"/>
      <c r="D66" s="243">
        <f>SUM(D62:D65)</f>
      </c>
      <c r="E66" s="243">
        <f>SUM(E62:E65)</f>
      </c>
      <c r="F66" s="244">
        <f>SUM(F62:F65)</f>
      </c>
      <c r="G66" s="243">
        <f>SUM(G62:G65)</f>
      </c>
      <c r="H66" s="244">
        <f t="shared" si="2"/>
      </c>
      <c r="I66" s="244">
        <f t="shared" si="0"/>
      </c>
      <c r="J66" s="244">
        <f t="shared" si="1"/>
      </c>
      <c r="K66" s="243">
        <f>SUM(K62:K65)</f>
      </c>
      <c r="L66" s="243">
        <f>SUM(L62:L65)</f>
      </c>
      <c r="M66" s="245"/>
      <c r="N66" s="243">
        <f>SUM(N62:N65)</f>
      </c>
      <c r="O66" s="245"/>
      <c r="P66" s="245">
        <f>SUM(P62:P65)</f>
      </c>
    </row>
    <row hidden="true" r="67">
      <c r="A67" s="234" t="s">
        <v>626</v>
      </c>
      <c r="B67" s="235" t="s">
        <v>591</v>
      </c>
      <c r="C67" s="236" t="s">
        <v>592</v>
      </c>
      <c r="D67" s="236">
        <v>5</v>
      </c>
      <c r="E67" s="236">
        <v>25</v>
      </c>
      <c r="F67" s="236">
        <v>34453.8</v>
      </c>
      <c r="G67" s="236">
        <v>28451.539999999997</v>
      </c>
      <c r="H67" s="237">
        <f t="shared" si="2"/>
      </c>
      <c r="I67" s="237">
        <f t="shared" si="0"/>
      </c>
      <c r="J67" s="237">
        <f t="shared" si="1"/>
      </c>
      <c r="K67" s="236">
        <v>8</v>
      </c>
      <c r="L67" s="236">
        <v>9243.6</v>
      </c>
      <c r="M67" s="236" t="s">
        <v>608</v>
      </c>
      <c r="N67" s="236">
        <v>10</v>
      </c>
      <c r="O67" s="238" t="s">
        <v>594</v>
      </c>
      <c r="P67" s="236">
        <v>10</v>
      </c>
    </row>
    <row hidden="true" r="68">
      <c r="A68" s="234" t="s">
        <v>626</v>
      </c>
      <c r="B68" s="235" t="s">
        <v>609</v>
      </c>
      <c r="C68" s="236" t="s">
        <v>596</v>
      </c>
      <c r="D68" s="236">
        <v>5</v>
      </c>
      <c r="E68" s="236">
        <v>17</v>
      </c>
      <c r="F68" s="236">
        <v>15099.199999999999</v>
      </c>
      <c r="G68" s="236">
        <v>13765.019999999999</v>
      </c>
      <c r="H68" s="237">
        <f t="shared" si="2"/>
      </c>
      <c r="I68" s="237">
        <f t="shared" si="0"/>
      </c>
      <c r="J68" s="237">
        <f t="shared" si="1"/>
      </c>
      <c r="K68" s="236">
        <v>5</v>
      </c>
      <c r="L68" s="236">
        <v>4511.6</v>
      </c>
      <c r="M68" s="238"/>
      <c r="N68" s="238"/>
      <c r="P68" s="238"/>
    </row>
    <row hidden="true" r="69">
      <c r="A69" s="234" t="s">
        <v>626</v>
      </c>
      <c r="B69" s="235" t="s">
        <v>613</v>
      </c>
      <c r="C69" s="236" t="s">
        <v>598</v>
      </c>
      <c r="D69" s="236">
        <v>5</v>
      </c>
      <c r="E69" s="236">
        <v>26</v>
      </c>
      <c r="F69" s="236">
        <v>33644.2</v>
      </c>
      <c r="G69" s="236">
        <v>12743.169999999998</v>
      </c>
      <c r="H69" s="237">
        <f t="shared" si="2"/>
      </c>
      <c r="I69" s="237">
        <f t="shared" si="0"/>
      </c>
      <c r="J69" s="237">
        <f t="shared" si="1"/>
      </c>
      <c r="K69" s="236">
        <v>8</v>
      </c>
      <c r="L69" s="236">
        <v>10054.599999999999</v>
      </c>
      <c r="M69" s="236"/>
      <c r="N69" s="236"/>
      <c r="O69" s="238"/>
      <c r="P69" s="238"/>
    </row>
    <row hidden="true" r="70">
      <c r="A70" s="234" t="s">
        <v>626</v>
      </c>
      <c r="B70" s="235" t="s">
        <v>599</v>
      </c>
      <c r="C70" s="236" t="s">
        <v>600</v>
      </c>
      <c r="D70" s="236">
        <v>5</v>
      </c>
      <c r="E70" s="236">
        <v>31</v>
      </c>
      <c r="F70" s="240">
        <v>37612.5</v>
      </c>
      <c r="G70" s="236">
        <v>22311.68</v>
      </c>
      <c r="H70" s="237">
        <f t="shared" si="2"/>
      </c>
      <c r="I70" s="237">
        <f t="shared" si="0"/>
      </c>
      <c r="J70" s="237">
        <f t="shared" si="1"/>
      </c>
      <c r="K70" s="236">
        <v>0</v>
      </c>
      <c r="L70" s="236">
        <v>0</v>
      </c>
      <c r="M70" s="236" t="s">
        <v>627</v>
      </c>
      <c r="N70" s="236">
        <v>10</v>
      </c>
      <c r="O70" s="238" t="s">
        <v>602</v>
      </c>
      <c r="P70" s="236">
        <v>10</v>
      </c>
    </row>
    <row r="71">
      <c r="A71" s="241" t="s">
        <v>626</v>
      </c>
      <c r="B71" s="242"/>
      <c r="C71" s="242"/>
      <c r="D71" s="243">
        <f>SUM(D67:D70)</f>
      </c>
      <c r="E71" s="243">
        <f>SUM(E67:E70)</f>
      </c>
      <c r="F71" s="244">
        <f>SUM(F67:F70)</f>
      </c>
      <c r="G71" s="243">
        <f>SUM(G67:G70)</f>
      </c>
      <c r="H71" s="244">
        <f t="shared" si="2"/>
      </c>
      <c r="I71" s="244">
        <f t="shared" si="0"/>
      </c>
      <c r="J71" s="244">
        <f t="shared" si="1"/>
      </c>
      <c r="K71" s="243">
        <f>SUM(K67:K70)</f>
      </c>
      <c r="L71" s="243">
        <f>SUM(L67:L70)</f>
      </c>
      <c r="M71" s="245"/>
      <c r="N71" s="243">
        <f>SUM(N67:N70)</f>
      </c>
      <c r="O71" s="245"/>
      <c r="P71" s="245">
        <f>SUM(P67:P70)</f>
      </c>
    </row>
    <row hidden="true" r="72">
      <c r="A72" s="234" t="s">
        <v>628</v>
      </c>
      <c r="B72" s="235" t="s">
        <v>591</v>
      </c>
      <c r="C72" s="236" t="s">
        <v>592</v>
      </c>
      <c r="D72" s="236">
        <v>5</v>
      </c>
      <c r="E72" s="236">
        <v>35</v>
      </c>
      <c r="F72" s="236">
        <v>50387.8</v>
      </c>
      <c r="G72" s="236">
        <v>27016.41</v>
      </c>
      <c r="H72" s="237">
        <f t="shared" si="2"/>
      </c>
      <c r="I72" s="237">
        <f t="shared" si="0"/>
      </c>
      <c r="J72" s="237">
        <f t="shared" si="1"/>
      </c>
      <c r="K72" s="236">
        <v>8</v>
      </c>
      <c r="L72" s="236">
        <v>9207.6</v>
      </c>
      <c r="M72" s="236" t="s">
        <v>608</v>
      </c>
      <c r="N72" s="236">
        <v>10</v>
      </c>
      <c r="O72" s="238" t="s">
        <v>594</v>
      </c>
      <c r="P72" s="236">
        <v>10</v>
      </c>
    </row>
    <row hidden="true" r="73">
      <c r="A73" s="234" t="s">
        <v>628</v>
      </c>
      <c r="B73" s="235" t="s">
        <v>613</v>
      </c>
      <c r="C73" s="236" t="s">
        <v>596</v>
      </c>
      <c r="D73" s="236">
        <v>5</v>
      </c>
      <c r="E73" s="236">
        <v>21</v>
      </c>
      <c r="F73" s="236">
        <v>27246</v>
      </c>
      <c r="G73" s="236">
        <v>20073.66</v>
      </c>
      <c r="H73" s="237">
        <f t="shared" si="2"/>
      </c>
      <c r="I73" s="237">
        <f t="shared" si="0"/>
      </c>
      <c r="J73" s="237">
        <f t="shared" si="1"/>
      </c>
      <c r="K73" s="236">
        <v>2</v>
      </c>
      <c r="L73" s="236">
        <v>1909.2</v>
      </c>
      <c r="M73" s="238"/>
      <c r="N73" s="238"/>
      <c r="P73" s="238"/>
    </row>
    <row hidden="true" r="74">
      <c r="A74" s="234" t="s">
        <v>628</v>
      </c>
      <c r="B74" s="235" t="s">
        <v>609</v>
      </c>
      <c r="C74" s="236" t="s">
        <v>598</v>
      </c>
      <c r="D74" s="236">
        <v>5</v>
      </c>
      <c r="E74" s="236">
        <v>34</v>
      </c>
      <c r="F74" s="236">
        <v>42633.23999999999</v>
      </c>
      <c r="G74" s="236">
        <v>20748.66</v>
      </c>
      <c r="H74" s="237">
        <f t="shared" si="2"/>
      </c>
      <c r="I74" s="237">
        <f t="shared" si="0"/>
      </c>
      <c r="J74" s="237">
        <f t="shared" si="1"/>
      </c>
      <c r="K74" s="236">
        <v>2</v>
      </c>
      <c r="L74" s="236">
        <v>770.4</v>
      </c>
      <c r="M74" s="236"/>
      <c r="N74" s="236"/>
      <c r="O74" s="238"/>
      <c r="P74" s="238"/>
    </row>
    <row hidden="true" r="75">
      <c r="A75" s="234" t="s">
        <v>628</v>
      </c>
      <c r="B75" s="235" t="s">
        <v>599</v>
      </c>
      <c r="C75" s="236" t="s">
        <v>600</v>
      </c>
      <c r="D75" s="236">
        <v>5</v>
      </c>
      <c r="E75" s="236">
        <v>66</v>
      </c>
      <c r="F75" s="240">
        <v>77138.80000000002</v>
      </c>
      <c r="G75" s="236">
        <v>44621.43</v>
      </c>
      <c r="H75" s="237">
        <f t="shared" si="2"/>
      </c>
      <c r="I75" s="237">
        <f t="shared" si="0"/>
      </c>
      <c r="J75" s="237">
        <f t="shared" si="1"/>
      </c>
      <c r="K75" s="236">
        <v>7</v>
      </c>
      <c r="L75" s="236">
        <v>8988</v>
      </c>
      <c r="M75" s="236" t="s">
        <v>627</v>
      </c>
      <c r="N75" s="236">
        <v>10</v>
      </c>
      <c r="O75" s="238" t="s">
        <v>602</v>
      </c>
      <c r="P75" s="236">
        <v>10</v>
      </c>
    </row>
    <row r="76">
      <c r="A76" s="241" t="s">
        <v>628</v>
      </c>
      <c r="B76" s="242"/>
      <c r="C76" s="242"/>
      <c r="D76" s="243">
        <f>SUM(D72:D75)</f>
      </c>
      <c r="E76" s="243">
        <f>SUM(E72:E75)</f>
      </c>
      <c r="F76" s="244">
        <f>SUM(F72:F75)</f>
      </c>
      <c r="G76" s="243">
        <f>SUM(G72:G75)</f>
      </c>
      <c r="H76" s="244">
        <f t="shared" si="2"/>
      </c>
      <c r="I76" s="244">
        <f t="shared" si="0"/>
      </c>
      <c r="J76" s="244">
        <f t="shared" si="1"/>
      </c>
      <c r="K76" s="243">
        <f>SUM(K72:K75)</f>
      </c>
      <c r="L76" s="243">
        <f>SUM(L72:L75)</f>
      </c>
      <c r="M76" s="245"/>
      <c r="N76" s="243">
        <f>SUM(N72:N75)</f>
      </c>
      <c r="O76" s="245"/>
      <c r="P76" s="245">
        <f>SUM(P72:P75)</f>
      </c>
    </row>
    <row hidden="true" r="77">
      <c r="A77" s="234" t="s">
        <v>629</v>
      </c>
      <c r="B77" s="235" t="s">
        <v>613</v>
      </c>
      <c r="C77" s="236" t="s">
        <v>592</v>
      </c>
      <c r="D77" s="236">
        <v>5</v>
      </c>
      <c r="E77" s="236">
        <v>20</v>
      </c>
      <c r="F77" s="236">
        <v>28048.800000000003</v>
      </c>
      <c r="G77" s="236">
        <v>22313.14</v>
      </c>
      <c r="H77" s="237">
        <f t="shared" si="2"/>
      </c>
      <c r="I77" s="237">
        <f t="shared" si="0"/>
      </c>
      <c r="J77" s="237">
        <f t="shared" si="1"/>
      </c>
      <c r="K77" s="236">
        <v>5</v>
      </c>
      <c r="L77" s="236">
        <v>4966.8</v>
      </c>
      <c r="M77" s="236" t="s">
        <v>608</v>
      </c>
      <c r="N77" s="236">
        <v>10</v>
      </c>
      <c r="O77" s="238" t="s">
        <v>594</v>
      </c>
      <c r="P77" s="236">
        <v>10</v>
      </c>
    </row>
    <row hidden="true" r="78">
      <c r="A78" s="234" t="s">
        <v>629</v>
      </c>
      <c r="B78" s="235" t="s">
        <v>591</v>
      </c>
      <c r="C78" s="236" t="s">
        <v>596</v>
      </c>
      <c r="D78" s="236">
        <v>5</v>
      </c>
      <c r="E78" s="236">
        <v>20</v>
      </c>
      <c r="F78" s="236">
        <v>19668.320000000003</v>
      </c>
      <c r="G78" s="236">
        <v>15537.64</v>
      </c>
      <c r="H78" s="237">
        <f t="shared" si="2"/>
      </c>
      <c r="I78" s="237">
        <f t="shared" si="0"/>
      </c>
      <c r="J78" s="237">
        <f t="shared" si="1"/>
      </c>
      <c r="K78" s="236">
        <v>4</v>
      </c>
      <c r="L78" s="236">
        <v>5210</v>
      </c>
      <c r="M78" s="238"/>
      <c r="N78" s="238"/>
      <c r="P78" s="238"/>
    </row>
    <row hidden="true" r="79">
      <c r="A79" s="234" t="s">
        <v>629</v>
      </c>
      <c r="B79" s="235" t="s">
        <v>609</v>
      </c>
      <c r="C79" s="236" t="s">
        <v>598</v>
      </c>
      <c r="D79" s="236">
        <v>5</v>
      </c>
      <c r="E79" s="236">
        <v>14</v>
      </c>
      <c r="F79" s="236">
        <v>14010.399999999987</v>
      </c>
      <c r="G79" s="236">
        <v>12065.69</v>
      </c>
      <c r="H79" s="237">
        <f t="shared" si="2"/>
      </c>
      <c r="I79" s="237">
        <f t="shared" si="0"/>
      </c>
      <c r="J79" s="237">
        <f t="shared" si="1"/>
      </c>
      <c r="K79" s="236">
        <v>2</v>
      </c>
      <c r="L79" s="236">
        <v>2102.3999999999996</v>
      </c>
      <c r="M79" s="236"/>
      <c r="N79" s="236"/>
      <c r="O79" s="238"/>
      <c r="P79" s="238"/>
    </row>
    <row hidden="true" r="80">
      <c r="A80" s="234" t="s">
        <v>629</v>
      </c>
      <c r="B80" s="235" t="s">
        <v>599</v>
      </c>
      <c r="C80" s="236" t="s">
        <v>600</v>
      </c>
      <c r="D80" s="236">
        <v>5</v>
      </c>
      <c r="E80" s="236">
        <v>29</v>
      </c>
      <c r="F80" s="240">
        <v>27549.20000000001</v>
      </c>
      <c r="G80" s="236">
        <v>22552.75</v>
      </c>
      <c r="H80" s="237">
        <f t="shared" si="2"/>
      </c>
      <c r="I80" s="237">
        <f t="shared" si="0"/>
      </c>
      <c r="J80" s="237">
        <f t="shared" si="1"/>
      </c>
      <c r="K80" s="236">
        <v>5</v>
      </c>
      <c r="L80" s="236">
        <v>2415.5999999999995</v>
      </c>
      <c r="M80" s="236" t="s">
        <v>627</v>
      </c>
      <c r="N80" s="236">
        <v>10</v>
      </c>
      <c r="O80" s="238" t="s">
        <v>602</v>
      </c>
      <c r="P80" s="236">
        <v>10</v>
      </c>
    </row>
    <row r="81">
      <c r="A81" s="241" t="s">
        <v>629</v>
      </c>
      <c r="B81" s="242"/>
      <c r="C81" s="242"/>
      <c r="D81" s="243">
        <f>SUM(D77:D80)</f>
      </c>
      <c r="E81" s="243">
        <f>SUM(E77:E80)</f>
      </c>
      <c r="F81" s="244">
        <f>SUM(F77:F80)</f>
      </c>
      <c r="G81" s="243">
        <f>SUM(G77:G80)</f>
      </c>
      <c r="H81" s="244">
        <f t="shared" si="2"/>
      </c>
      <c r="I81" s="244">
        <f t="shared" si="0"/>
      </c>
      <c r="J81" s="244">
        <f t="shared" si="1"/>
      </c>
      <c r="K81" s="243">
        <f>SUM(K77:K80)</f>
      </c>
      <c r="L81" s="243">
        <f>SUM(L77:L80)</f>
      </c>
      <c r="M81" s="245"/>
      <c r="N81" s="243">
        <f>SUM(N77:N80)</f>
      </c>
      <c r="O81" s="245"/>
      <c r="P81" s="245">
        <f>SUM(P77:P80)</f>
      </c>
    </row>
    <row hidden="true" r="82">
      <c r="A82" s="234" t="s">
        <v>630</v>
      </c>
      <c r="B82" s="235" t="s">
        <v>613</v>
      </c>
      <c r="C82" s="236" t="s">
        <v>592</v>
      </c>
      <c r="D82" s="236">
        <v>5</v>
      </c>
      <c r="E82" s="236">
        <v>22</v>
      </c>
      <c r="F82" s="236">
        <v>27595.800000000003</v>
      </c>
      <c r="G82" s="236">
        <v>18681.57</v>
      </c>
      <c r="H82" s="237">
        <f t="shared" si="2"/>
      </c>
      <c r="I82" s="237">
        <f t="shared" si="0"/>
      </c>
      <c r="J82" s="237">
        <f t="shared" si="1"/>
      </c>
      <c r="K82" s="236">
        <v>5</v>
      </c>
      <c r="L82" s="236">
        <v>5586.6</v>
      </c>
      <c r="M82" s="236" t="s">
        <v>608</v>
      </c>
      <c r="N82" s="236">
        <v>10</v>
      </c>
      <c r="O82" s="238" t="s">
        <v>594</v>
      </c>
      <c r="P82" s="236">
        <v>10</v>
      </c>
    </row>
    <row hidden="true" r="83">
      <c r="A83" s="234" t="s">
        <v>630</v>
      </c>
      <c r="B83" s="235" t="s">
        <v>591</v>
      </c>
      <c r="C83" s="236" t="s">
        <v>596</v>
      </c>
      <c r="D83" s="236">
        <v>5</v>
      </c>
      <c r="E83" s="236">
        <v>31</v>
      </c>
      <c r="F83" s="236">
        <v>47976</v>
      </c>
      <c r="G83" s="236">
        <v>23624.969999999998</v>
      </c>
      <c r="H83" s="237">
        <f t="shared" si="2"/>
      </c>
      <c r="I83" s="237">
        <f t="shared" si="0"/>
      </c>
      <c r="J83" s="237">
        <f t="shared" si="1"/>
      </c>
      <c r="K83" s="236">
        <v>9</v>
      </c>
      <c r="L83" s="236">
        <v>12476.4</v>
      </c>
      <c r="M83" s="238"/>
      <c r="N83" s="238"/>
      <c r="P83" s="238"/>
    </row>
    <row hidden="true" r="84">
      <c r="A84" s="234" t="s">
        <v>630</v>
      </c>
      <c r="B84" s="235" t="s">
        <v>599</v>
      </c>
      <c r="C84" s="236" t="s">
        <v>598</v>
      </c>
      <c r="D84" s="236">
        <v>5</v>
      </c>
      <c r="E84" s="236">
        <v>27</v>
      </c>
      <c r="F84" s="236">
        <v>33376.399999999994</v>
      </c>
      <c r="G84" s="236">
        <v>19984.020000000004</v>
      </c>
      <c r="H84" s="237">
        <f t="shared" si="2"/>
      </c>
      <c r="I84" s="237">
        <f t="shared" si="0"/>
      </c>
      <c r="J84" s="237">
        <f t="shared" si="1"/>
      </c>
      <c r="K84" s="236">
        <v>5</v>
      </c>
      <c r="L84" s="236">
        <v>6381.599999999997</v>
      </c>
      <c r="M84" s="236"/>
      <c r="N84" s="236"/>
      <c r="O84" s="238"/>
      <c r="P84" s="238"/>
    </row>
    <row hidden="true" r="85">
      <c r="A85" s="234" t="s">
        <v>630</v>
      </c>
      <c r="B85" s="235" t="s">
        <v>609</v>
      </c>
      <c r="C85" s="236" t="s">
        <v>600</v>
      </c>
      <c r="D85" s="236">
        <v>5</v>
      </c>
      <c r="E85" s="236">
        <v>31</v>
      </c>
      <c r="F85" s="240">
        <v>38525.3</v>
      </c>
      <c r="G85" s="236">
        <v>20433.260000000002</v>
      </c>
      <c r="H85" s="237">
        <f t="shared" si="2"/>
      </c>
      <c r="I85" s="237">
        <f t="shared" si="0"/>
      </c>
      <c r="J85" s="237">
        <f t="shared" si="1"/>
      </c>
      <c r="K85" s="236">
        <v>2</v>
      </c>
      <c r="L85" s="236">
        <v>3818.4</v>
      </c>
      <c r="M85" s="236" t="s">
        <v>627</v>
      </c>
      <c r="N85" s="236">
        <v>10</v>
      </c>
      <c r="O85" s="238" t="s">
        <v>602</v>
      </c>
      <c r="P85" s="236">
        <v>10</v>
      </c>
    </row>
    <row r="86">
      <c r="A86" s="241" t="s">
        <v>630</v>
      </c>
      <c r="B86" s="242"/>
      <c r="C86" s="242"/>
      <c r="D86" s="243">
        <f>SUM(D82:D85)</f>
      </c>
      <c r="E86" s="243">
        <f>SUM(E82:E85)</f>
      </c>
      <c r="F86" s="244">
        <f>SUM(F82:F85)</f>
      </c>
      <c r="G86" s="243">
        <f>SUM(G82:G85)</f>
      </c>
      <c r="H86" s="244">
        <f t="shared" si="2"/>
      </c>
      <c r="I86" s="244">
        <f t="shared" si="0"/>
      </c>
      <c r="J86" s="244">
        <f t="shared" si="1"/>
      </c>
      <c r="K86" s="243">
        <f>SUM(K82:K85)</f>
      </c>
      <c r="L86" s="243">
        <f>SUM(L82:L85)</f>
      </c>
      <c r="M86" s="245"/>
      <c r="N86" s="243">
        <f>SUM(N82:N85)</f>
      </c>
      <c r="O86" s="245"/>
      <c r="P86" s="245">
        <f>SUM(P82:P85)</f>
      </c>
    </row>
    <row hidden="true" r="87">
      <c r="A87" s="234" t="s">
        <v>631</v>
      </c>
      <c r="B87" s="235" t="s">
        <v>591</v>
      </c>
      <c r="C87" s="236" t="s">
        <v>592</v>
      </c>
      <c r="D87" s="236">
        <v>5</v>
      </c>
      <c r="E87" s="236">
        <v>38</v>
      </c>
      <c r="F87" s="236">
        <v>42457.2</v>
      </c>
      <c r="G87" s="236">
        <v>25971.8</v>
      </c>
      <c r="H87" s="237">
        <f t="shared" si="2"/>
      </c>
      <c r="I87" s="237">
        <f t="shared" si="0"/>
      </c>
      <c r="J87" s="237">
        <f t="shared" si="1"/>
      </c>
      <c r="K87" s="236">
        <v>16</v>
      </c>
      <c r="L87" s="236">
        <v>11403.6</v>
      </c>
      <c r="M87" s="236" t="s">
        <v>608</v>
      </c>
      <c r="N87" s="236">
        <v>10</v>
      </c>
      <c r="O87" s="238" t="s">
        <v>594</v>
      </c>
      <c r="P87" s="236">
        <v>10</v>
      </c>
    </row>
    <row hidden="true" r="88">
      <c r="A88" s="234" t="s">
        <v>631</v>
      </c>
      <c r="B88" s="235" t="s">
        <v>599</v>
      </c>
      <c r="C88" s="236" t="s">
        <v>596</v>
      </c>
      <c r="D88" s="236">
        <v>5</v>
      </c>
      <c r="E88" s="236">
        <v>12</v>
      </c>
      <c r="F88" s="236">
        <v>19187.8</v>
      </c>
      <c r="G88" s="236">
        <v>12248.259999999998</v>
      </c>
      <c r="H88" s="237">
        <f t="shared" si="2"/>
      </c>
      <c r="I88" s="237">
        <f t="shared" si="0"/>
      </c>
      <c r="J88" s="237">
        <f t="shared" si="1"/>
      </c>
      <c r="K88" s="236">
        <v>2</v>
      </c>
      <c r="L88" s="236">
        <v>1135.2</v>
      </c>
      <c r="M88" s="238"/>
      <c r="N88" s="238"/>
      <c r="P88" s="238"/>
    </row>
    <row hidden="true" r="89">
      <c r="A89" s="234" t="s">
        <v>631</v>
      </c>
      <c r="B89" s="235" t="s">
        <v>609</v>
      </c>
      <c r="C89" s="236" t="s">
        <v>598</v>
      </c>
      <c r="D89" s="236">
        <v>5</v>
      </c>
      <c r="E89" s="236">
        <v>8</v>
      </c>
      <c r="F89" s="236">
        <v>12150</v>
      </c>
      <c r="G89" s="236">
        <v>7183.87</v>
      </c>
      <c r="H89" s="237">
        <f t="shared" si="2"/>
      </c>
      <c r="I89" s="237">
        <f t="shared" si="0"/>
      </c>
      <c r="J89" s="237">
        <f t="shared" si="1"/>
      </c>
      <c r="K89" s="236">
        <v>2</v>
      </c>
      <c r="L89" s="236">
        <v>3818.4</v>
      </c>
      <c r="M89" s="236"/>
      <c r="N89" s="236"/>
      <c r="O89" s="238"/>
      <c r="P89" s="238"/>
    </row>
    <row hidden="true" r="90">
      <c r="A90" s="234" t="s">
        <v>631</v>
      </c>
      <c r="B90" s="235" t="s">
        <v>613</v>
      </c>
      <c r="C90" s="236" t="s">
        <v>600</v>
      </c>
      <c r="D90" s="236">
        <v>5</v>
      </c>
      <c r="E90" s="236">
        <v>20</v>
      </c>
      <c r="F90" s="240">
        <v>30067.199999999997</v>
      </c>
      <c r="G90" s="236">
        <v>19451.42</v>
      </c>
      <c r="H90" s="237">
        <f t="shared" si="2"/>
      </c>
      <c r="I90" s="237">
        <f t="shared" si="0"/>
      </c>
      <c r="J90" s="237">
        <f t="shared" si="1"/>
      </c>
      <c r="K90" s="236">
        <v>3</v>
      </c>
      <c r="L90" s="236">
        <v>4814.399999999998</v>
      </c>
      <c r="M90" s="236" t="s">
        <v>627</v>
      </c>
      <c r="N90" s="236">
        <v>10</v>
      </c>
      <c r="O90" s="238" t="s">
        <v>602</v>
      </c>
      <c r="P90" s="236">
        <v>10</v>
      </c>
    </row>
    <row r="91">
      <c r="A91" s="241" t="s">
        <v>631</v>
      </c>
      <c r="B91" s="242"/>
      <c r="C91" s="242"/>
      <c r="D91" s="243">
        <f>SUM(D87:D90)</f>
      </c>
      <c r="E91" s="243">
        <f>SUM(E87:E90)</f>
      </c>
      <c r="F91" s="244">
        <f>SUM(F87:F90)</f>
      </c>
      <c r="G91" s="243">
        <f>SUM(G87:G90)</f>
      </c>
      <c r="H91" s="244">
        <f t="shared" si="2"/>
      </c>
      <c r="I91" s="244">
        <f t="shared" si="0"/>
      </c>
      <c r="J91" s="244">
        <f t="shared" si="1"/>
      </c>
      <c r="K91" s="243">
        <f>SUM(K87:K90)</f>
      </c>
      <c r="L91" s="243">
        <f>SUM(L87:L90)</f>
      </c>
      <c r="M91" s="245"/>
      <c r="N91" s="243">
        <f>SUM(N87:N90)</f>
      </c>
      <c r="O91" s="245"/>
      <c r="P91" s="245">
        <f>SUM(P87:P90)</f>
      </c>
    </row>
    <row hidden="true" r="92">
      <c r="A92" s="234" t="s">
        <v>632</v>
      </c>
      <c r="B92" s="235" t="s">
        <v>591</v>
      </c>
      <c r="C92" s="236" t="s">
        <v>592</v>
      </c>
      <c r="D92" s="236">
        <v>5</v>
      </c>
      <c r="E92" s="236">
        <v>20</v>
      </c>
      <c r="F92" s="236">
        <v>24634.800000000003</v>
      </c>
      <c r="G92" s="236">
        <v>16762.09</v>
      </c>
      <c r="H92" s="237">
        <f t="shared" si="2"/>
      </c>
      <c r="I92" s="237">
        <f t="shared" si="0"/>
      </c>
      <c r="J92" s="237">
        <f t="shared" si="1"/>
      </c>
      <c r="K92" s="236">
        <v>1</v>
      </c>
      <c r="L92" s="236">
        <v>1692</v>
      </c>
      <c r="M92" s="236" t="s">
        <v>608</v>
      </c>
      <c r="N92" s="236">
        <v>10</v>
      </c>
      <c r="O92" s="238" t="s">
        <v>594</v>
      </c>
      <c r="P92" s="236">
        <v>10</v>
      </c>
    </row>
    <row hidden="true" r="93">
      <c r="A93" s="234" t="s">
        <v>632</v>
      </c>
      <c r="B93" s="235" t="s">
        <v>599</v>
      </c>
      <c r="C93" s="236" t="s">
        <v>596</v>
      </c>
      <c r="D93" s="236">
        <v>5</v>
      </c>
      <c r="E93" s="236">
        <v>36</v>
      </c>
      <c r="F93" s="236">
        <v>46528.8</v>
      </c>
      <c r="G93" s="236">
        <v>27805.699999999997</v>
      </c>
      <c r="H93" s="237">
        <f t="shared" si="2"/>
      </c>
      <c r="I93" s="237">
        <f t="shared" si="0"/>
      </c>
      <c r="J93" s="237">
        <f t="shared" si="1"/>
      </c>
      <c r="K93" s="236">
        <v>10</v>
      </c>
      <c r="L93" s="236">
        <v>11428.800000000001</v>
      </c>
      <c r="M93" s="238"/>
      <c r="N93" s="238"/>
      <c r="P93" s="238"/>
    </row>
    <row hidden="true" r="94">
      <c r="A94" s="234" t="s">
        <v>632</v>
      </c>
      <c r="B94" s="235" t="s">
        <v>609</v>
      </c>
      <c r="C94" s="236" t="s">
        <v>598</v>
      </c>
      <c r="D94" s="236">
        <v>5</v>
      </c>
      <c r="E94" s="236">
        <v>12</v>
      </c>
      <c r="F94" s="236">
        <v>14654.399999999994</v>
      </c>
      <c r="G94" s="236">
        <v>15415.239999999998</v>
      </c>
      <c r="H94" s="237">
        <f t="shared" si="2"/>
      </c>
      <c r="I94" s="237">
        <f t="shared" si="0"/>
      </c>
      <c r="J94" s="237">
        <f t="shared" si="1"/>
      </c>
      <c r="K94" s="236">
        <v>1</v>
      </c>
      <c r="L94" s="236">
        <v>2011.2000000000007</v>
      </c>
      <c r="M94" s="236"/>
      <c r="N94" s="236"/>
      <c r="O94" s="238"/>
      <c r="P94" s="238"/>
    </row>
    <row hidden="true" r="95">
      <c r="A95" s="234" t="s">
        <v>632</v>
      </c>
      <c r="B95" s="235" t="s">
        <v>613</v>
      </c>
      <c r="C95" s="236" t="s">
        <v>600</v>
      </c>
      <c r="D95" s="236">
        <v>5</v>
      </c>
      <c r="E95" s="236">
        <v>32</v>
      </c>
      <c r="F95" s="240">
        <v>37585.2</v>
      </c>
      <c r="G95" s="236">
        <v>22227.859999999997</v>
      </c>
      <c r="H95" s="237">
        <f t="shared" si="2"/>
      </c>
      <c r="I95" s="237">
        <f t="shared" si="0"/>
      </c>
      <c r="J95" s="237">
        <f t="shared" si="1"/>
      </c>
      <c r="K95" s="236">
        <v>4</v>
      </c>
      <c r="L95" s="236">
        <v>946.7999999999986</v>
      </c>
      <c r="M95" s="236" t="s">
        <v>627</v>
      </c>
      <c r="N95" s="236">
        <v>10</v>
      </c>
      <c r="O95" s="238" t="s">
        <v>602</v>
      </c>
      <c r="P95" s="236">
        <v>10</v>
      </c>
    </row>
    <row r="96">
      <c r="A96" s="241" t="s">
        <v>632</v>
      </c>
      <c r="B96" s="242"/>
      <c r="C96" s="242"/>
      <c r="D96" s="243">
        <f>SUM(D92:D95)</f>
      </c>
      <c r="E96" s="243">
        <f>SUM(E92:E95)</f>
      </c>
      <c r="F96" s="244">
        <f>SUM(F92:F95)</f>
      </c>
      <c r="G96" s="243">
        <f>SUM(G92:G95)</f>
      </c>
      <c r="H96" s="244">
        <f t="shared" si="2"/>
      </c>
      <c r="I96" s="244">
        <f t="shared" si="0"/>
      </c>
      <c r="J96" s="244">
        <f t="shared" si="1"/>
      </c>
      <c r="K96" s="243">
        <f>SUM(K92:K95)</f>
      </c>
      <c r="L96" s="243">
        <f>SUM(L92:L95)</f>
      </c>
      <c r="M96" s="245"/>
      <c r="N96" s="243">
        <f>SUM(N92:N95)</f>
      </c>
      <c r="O96" s="245"/>
      <c r="P96" s="245">
        <f>SUM(P92:P95)</f>
      </c>
    </row>
    <row hidden="true" r="97">
      <c r="A97" s="234" t="s">
        <v>633</v>
      </c>
      <c r="B97" s="235" t="s">
        <v>591</v>
      </c>
      <c r="C97" s="236" t="s">
        <v>592</v>
      </c>
      <c r="D97" s="236">
        <v>5</v>
      </c>
      <c r="E97" s="236">
        <v>18</v>
      </c>
      <c r="F97" s="236">
        <v>24757.200000000004</v>
      </c>
      <c r="G97" s="236">
        <v>22338.789999999997</v>
      </c>
      <c r="H97" s="237">
        <f t="shared" si="2"/>
      </c>
      <c r="I97" s="237">
        <f t="shared" si="0"/>
      </c>
      <c r="J97" s="237">
        <f t="shared" si="1"/>
      </c>
      <c r="K97" s="236">
        <v>3</v>
      </c>
      <c r="L97" s="236">
        <v>4266</v>
      </c>
      <c r="M97" s="236" t="s">
        <v>608</v>
      </c>
      <c r="N97" s="236">
        <v>10</v>
      </c>
      <c r="O97" s="238" t="s">
        <v>594</v>
      </c>
      <c r="P97" s="236">
        <v>10</v>
      </c>
    </row>
    <row hidden="true" r="98">
      <c r="A98" s="234" t="s">
        <v>633</v>
      </c>
      <c r="B98" s="235" t="s">
        <v>609</v>
      </c>
      <c r="C98" s="236" t="s">
        <v>596</v>
      </c>
      <c r="D98" s="236">
        <v>5</v>
      </c>
      <c r="E98" s="236">
        <v>21</v>
      </c>
      <c r="F98" s="236">
        <v>30095.879999999994</v>
      </c>
      <c r="G98" s="236">
        <v>13638.619999999999</v>
      </c>
      <c r="H98" s="237">
        <f t="shared" si="2"/>
      </c>
      <c r="I98" s="237">
        <f t="shared" si="0"/>
      </c>
      <c r="J98" s="237">
        <f t="shared" si="1"/>
      </c>
      <c r="K98" s="236">
        <v>7</v>
      </c>
      <c r="L98" s="236">
        <v>8490</v>
      </c>
      <c r="M98" s="238"/>
      <c r="N98" s="238"/>
      <c r="P98" s="238"/>
    </row>
    <row hidden="true" r="99">
      <c r="A99" s="234" t="s">
        <v>633</v>
      </c>
      <c r="B99" s="235" t="s">
        <v>613</v>
      </c>
      <c r="C99" s="236" t="s">
        <v>598</v>
      </c>
      <c r="D99" s="236">
        <v>5</v>
      </c>
      <c r="E99" s="236">
        <v>21</v>
      </c>
      <c r="F99" s="236">
        <v>34117.20000000001</v>
      </c>
      <c r="G99" s="236">
        <v>22038.91</v>
      </c>
      <c r="H99" s="237">
        <f t="shared" si="2"/>
      </c>
      <c r="I99" s="237">
        <f t="shared" si="0"/>
      </c>
      <c r="J99" s="237">
        <f t="shared" si="1"/>
      </c>
      <c r="K99" s="236">
        <v>6</v>
      </c>
      <c r="L99" s="236">
        <v>9195.6</v>
      </c>
      <c r="M99" s="236"/>
      <c r="N99" s="236"/>
      <c r="O99" s="238"/>
      <c r="P99" s="238"/>
    </row>
    <row hidden="true" r="100">
      <c r="A100" s="234" t="s">
        <v>633</v>
      </c>
      <c r="B100" s="235" t="s">
        <v>595</v>
      </c>
      <c r="C100" s="236" t="s">
        <v>600</v>
      </c>
      <c r="D100" s="236">
        <v>5</v>
      </c>
      <c r="E100" s="236">
        <v>45</v>
      </c>
      <c r="F100" s="240">
        <v>48537.11999999998</v>
      </c>
      <c r="G100" s="236">
        <v>25358.329999999998</v>
      </c>
      <c r="H100" s="237">
        <f t="shared" si="2"/>
      </c>
      <c r="I100" s="237">
        <f t="shared" si="0"/>
      </c>
      <c r="J100" s="237">
        <f t="shared" si="1"/>
      </c>
      <c r="K100" s="236">
        <v>4</v>
      </c>
      <c r="L100" s="236">
        <v>2188.919999999998</v>
      </c>
      <c r="M100" s="236" t="s">
        <v>627</v>
      </c>
      <c r="N100" s="236">
        <v>10</v>
      </c>
      <c r="O100" s="238" t="s">
        <v>602</v>
      </c>
      <c r="P100" s="236">
        <v>10</v>
      </c>
    </row>
    <row r="101">
      <c r="A101" s="241" t="s">
        <v>633</v>
      </c>
      <c r="B101" s="242"/>
      <c r="C101" s="242"/>
      <c r="D101" s="243">
        <f>SUM(D97:D100)</f>
      </c>
      <c r="E101" s="243">
        <f>SUM(E97:E100)</f>
      </c>
      <c r="F101" s="244">
        <f>SUM(F97:F100)</f>
      </c>
      <c r="G101" s="243">
        <f>SUM(G97:G100)</f>
      </c>
      <c r="H101" s="244">
        <f t="shared" si="2"/>
      </c>
      <c r="I101" s="244">
        <f t="shared" si="0"/>
      </c>
      <c r="J101" s="244">
        <f t="shared" si="1"/>
      </c>
      <c r="K101" s="243">
        <f>SUM(K97:K100)</f>
      </c>
      <c r="L101" s="243">
        <f>SUM(L97:L100)</f>
      </c>
      <c r="M101" s="245"/>
      <c r="N101" s="243">
        <f>SUM(N97:N100)</f>
      </c>
      <c r="O101" s="245"/>
      <c r="P101" s="245">
        <f>SUM(P97:P100)</f>
      </c>
    </row>
    <row hidden="true" r="102">
      <c r="A102" s="234" t="s">
        <v>634</v>
      </c>
      <c r="B102" s="235" t="s">
        <v>591</v>
      </c>
      <c r="C102" s="236" t="s">
        <v>592</v>
      </c>
      <c r="D102" s="236">
        <v>5</v>
      </c>
      <c r="E102" s="236">
        <v>22</v>
      </c>
      <c r="F102" s="236">
        <v>32090.600000000002</v>
      </c>
      <c r="G102" s="236">
        <v>25141.27</v>
      </c>
      <c r="H102" s="237">
        <f t="shared" si="2"/>
      </c>
      <c r="I102" s="237">
        <f t="shared" si="0"/>
      </c>
      <c r="J102" s="237">
        <f t="shared" si="1"/>
      </c>
      <c r="K102" s="236">
        <v>2</v>
      </c>
      <c r="L102" s="236">
        <v>1870.8</v>
      </c>
      <c r="M102" s="236" t="s">
        <v>608</v>
      </c>
      <c r="N102" s="236">
        <v>10</v>
      </c>
      <c r="O102" s="238" t="s">
        <v>594</v>
      </c>
      <c r="P102" s="236">
        <v>10</v>
      </c>
    </row>
    <row hidden="true" r="103">
      <c r="A103" s="234" t="s">
        <v>634</v>
      </c>
      <c r="B103" s="235" t="s">
        <v>613</v>
      </c>
      <c r="C103" s="236" t="s">
        <v>596</v>
      </c>
      <c r="D103" s="236">
        <v>5</v>
      </c>
      <c r="E103" s="236">
        <v>16</v>
      </c>
      <c r="F103" s="236">
        <v>20124</v>
      </c>
      <c r="G103" s="236">
        <v>13479.419999999998</v>
      </c>
      <c r="H103" s="237">
        <f t="shared" si="2"/>
      </c>
      <c r="I103" s="237">
        <f t="shared" si="0"/>
      </c>
      <c r="J103" s="237">
        <f t="shared" si="1"/>
      </c>
      <c r="K103" s="236">
        <v>4</v>
      </c>
      <c r="L103" s="236">
        <v>2913.5999999999995</v>
      </c>
      <c r="M103" s="238"/>
      <c r="N103" s="238"/>
      <c r="P103" s="238"/>
    </row>
    <row hidden="true" r="104">
      <c r="A104" s="234" t="s">
        <v>634</v>
      </c>
      <c r="B104" s="235" t="s">
        <v>595</v>
      </c>
      <c r="C104" s="236" t="s">
        <v>598</v>
      </c>
      <c r="D104" s="236">
        <v>5</v>
      </c>
      <c r="E104" s="236">
        <v>13</v>
      </c>
      <c r="F104" s="236">
        <v>21520.799999999996</v>
      </c>
      <c r="G104" s="236">
        <v>12403.36</v>
      </c>
      <c r="H104" s="237">
        <f t="shared" si="2"/>
      </c>
      <c r="I104" s="237">
        <f t="shared" si="0"/>
      </c>
      <c r="J104" s="237">
        <f t="shared" si="1"/>
      </c>
      <c r="K104" s="236">
        <v>0</v>
      </c>
      <c r="L104" s="236">
        <v>0</v>
      </c>
      <c r="M104" s="236"/>
      <c r="N104" s="236"/>
      <c r="O104" s="238"/>
      <c r="P104" s="238"/>
    </row>
    <row hidden="true" r="105">
      <c r="A105" s="234" t="s">
        <v>634</v>
      </c>
      <c r="B105" s="235" t="s">
        <v>609</v>
      </c>
      <c r="C105" s="236" t="s">
        <v>600</v>
      </c>
      <c r="D105" s="236">
        <v>5</v>
      </c>
      <c r="E105" s="236">
        <v>51</v>
      </c>
      <c r="F105" s="240">
        <v>68934.39999999998</v>
      </c>
      <c r="G105" s="236">
        <v>28491.490000000005</v>
      </c>
      <c r="H105" s="237">
        <f t="shared" si="2"/>
      </c>
      <c r="I105" s="237">
        <f t="shared" si="0"/>
      </c>
      <c r="J105" s="237">
        <f t="shared" si="1"/>
      </c>
      <c r="K105" s="236">
        <v>8</v>
      </c>
      <c r="L105" s="236">
        <v>8311.2</v>
      </c>
      <c r="M105" s="236" t="s">
        <v>627</v>
      </c>
      <c r="N105" s="236">
        <v>10</v>
      </c>
      <c r="O105" s="238" t="s">
        <v>602</v>
      </c>
      <c r="P105" s="236">
        <v>10</v>
      </c>
    </row>
    <row r="106">
      <c r="A106" s="241" t="s">
        <v>634</v>
      </c>
      <c r="B106" s="242"/>
      <c r="C106" s="242"/>
      <c r="D106" s="243">
        <f>SUM(D102:D105)</f>
      </c>
      <c r="E106" s="243">
        <f>SUM(E102:E105)</f>
      </c>
      <c r="F106" s="244">
        <f>SUM(F102:F105)</f>
      </c>
      <c r="G106" s="243">
        <f>SUM(G102:G105)</f>
      </c>
      <c r="H106" s="244">
        <f t="shared" si="2"/>
      </c>
      <c r="I106" s="244">
        <f t="shared" si="0"/>
      </c>
      <c r="J106" s="244">
        <f t="shared" si="1"/>
      </c>
      <c r="K106" s="243">
        <f>SUM(K102:K105)</f>
      </c>
      <c r="L106" s="243">
        <f>SUM(L102:L105)</f>
      </c>
      <c r="M106" s="245"/>
      <c r="N106" s="243">
        <f>SUM(N102:N105)</f>
      </c>
      <c r="O106" s="245"/>
      <c r="P106" s="245">
        <f>SUM(P102:P105)</f>
      </c>
    </row>
    <row hidden="true" r="107">
      <c r="A107" s="234" t="s">
        <v>635</v>
      </c>
      <c r="B107" s="235" t="s">
        <v>591</v>
      </c>
      <c r="C107" s="236" t="s">
        <v>592</v>
      </c>
      <c r="D107" s="236">
        <v>5</v>
      </c>
      <c r="E107" s="236">
        <v>37</v>
      </c>
      <c r="F107" s="236">
        <v>56759.200000000004</v>
      </c>
      <c r="G107" s="236">
        <v>33454.36</v>
      </c>
      <c r="H107" s="237">
        <f t="shared" si="2"/>
      </c>
      <c r="I107" s="237">
        <f t="shared" si="0"/>
      </c>
      <c r="J107" s="237">
        <f t="shared" si="1"/>
      </c>
      <c r="K107" s="236">
        <v>9</v>
      </c>
      <c r="L107" s="236">
        <v>14901.599999999999</v>
      </c>
      <c r="M107" s="236" t="s">
        <v>608</v>
      </c>
      <c r="N107" s="236">
        <v>10</v>
      </c>
      <c r="O107" s="238" t="s">
        <v>594</v>
      </c>
      <c r="P107" s="236">
        <v>10</v>
      </c>
    </row>
    <row hidden="true" r="108">
      <c r="A108" s="234" t="s">
        <v>635</v>
      </c>
      <c r="B108" s="235" t="s">
        <v>595</v>
      </c>
      <c r="C108" s="236" t="s">
        <v>596</v>
      </c>
      <c r="D108" s="236">
        <v>5</v>
      </c>
      <c r="E108" s="236">
        <v>17</v>
      </c>
      <c r="F108" s="236">
        <v>25130.4</v>
      </c>
      <c r="G108" s="236">
        <v>12802.320000000002</v>
      </c>
      <c r="H108" s="237">
        <f t="shared" si="2"/>
      </c>
      <c r="I108" s="237">
        <f t="shared" si="0"/>
      </c>
      <c r="J108" s="237">
        <f t="shared" si="1"/>
      </c>
      <c r="K108" s="236">
        <v>3</v>
      </c>
      <c r="L108" s="236">
        <v>1531.2</v>
      </c>
      <c r="M108" s="238"/>
      <c r="N108" s="238"/>
      <c r="P108" s="238"/>
    </row>
    <row hidden="true" r="109">
      <c r="A109" s="234" t="s">
        <v>635</v>
      </c>
      <c r="B109" s="235" t="s">
        <v>613</v>
      </c>
      <c r="C109" s="236" t="s">
        <v>598</v>
      </c>
      <c r="D109" s="236">
        <v>5</v>
      </c>
      <c r="E109" s="236">
        <v>7</v>
      </c>
      <c r="F109" s="236">
        <v>8053.199999999997</v>
      </c>
      <c r="G109" s="236">
        <v>8834.15</v>
      </c>
      <c r="H109" s="237">
        <f t="shared" si="2"/>
      </c>
      <c r="I109" s="237">
        <f t="shared" si="0"/>
      </c>
      <c r="J109" s="237">
        <f t="shared" si="1"/>
      </c>
      <c r="K109" s="236">
        <v>1</v>
      </c>
      <c r="L109" s="236">
        <v>455.9999999999982</v>
      </c>
      <c r="M109" s="236"/>
      <c r="N109" s="236"/>
      <c r="O109" s="238"/>
      <c r="P109" s="238"/>
    </row>
    <row hidden="true" r="110">
      <c r="A110" s="234" t="s">
        <v>635</v>
      </c>
      <c r="B110" s="235" t="s">
        <v>599</v>
      </c>
      <c r="C110" s="236" t="s">
        <v>600</v>
      </c>
      <c r="D110" s="236">
        <v>5</v>
      </c>
      <c r="E110" s="236">
        <v>20</v>
      </c>
      <c r="F110" s="240">
        <v>30793.399999999994</v>
      </c>
      <c r="G110" s="236">
        <v>18784.08</v>
      </c>
      <c r="H110" s="237">
        <f t="shared" si="2"/>
      </c>
      <c r="I110" s="237">
        <f t="shared" si="0"/>
      </c>
      <c r="J110" s="237">
        <f t="shared" si="1"/>
      </c>
      <c r="K110" s="236">
        <v>2</v>
      </c>
      <c r="L110" s="236">
        <v>2786.400000000005</v>
      </c>
      <c r="M110" s="236" t="s">
        <v>627</v>
      </c>
      <c r="N110" s="236">
        <v>10</v>
      </c>
      <c r="O110" s="238" t="s">
        <v>602</v>
      </c>
      <c r="P110" s="236">
        <v>10</v>
      </c>
    </row>
    <row r="111">
      <c r="A111" s="241" t="s">
        <v>635</v>
      </c>
      <c r="B111" s="242"/>
      <c r="C111" s="242"/>
      <c r="D111" s="243">
        <f>SUM(D107:D110)</f>
      </c>
      <c r="E111" s="243">
        <f>SUM(E107:E110)</f>
      </c>
      <c r="F111" s="244">
        <f>SUM(F107:F110)</f>
      </c>
      <c r="G111" s="243">
        <f>SUM(G107:G110)</f>
      </c>
      <c r="H111" s="244">
        <f t="shared" si="2"/>
      </c>
      <c r="I111" s="244">
        <f t="shared" si="0"/>
      </c>
      <c r="J111" s="244">
        <f t="shared" si="1"/>
      </c>
      <c r="K111" s="243">
        <f>SUM(K107:K110)</f>
      </c>
      <c r="L111" s="243">
        <f>SUM(L107:L110)</f>
      </c>
      <c r="M111" s="245"/>
      <c r="N111" s="243">
        <f>SUM(N107:N110)</f>
      </c>
      <c r="O111" s="245"/>
      <c r="P111" s="245">
        <f>SUM(P107:P110)</f>
      </c>
    </row>
    <row hidden="true" r="112">
      <c r="A112" s="234" t="s">
        <v>636</v>
      </c>
      <c r="B112" s="235" t="s">
        <v>595</v>
      </c>
      <c r="C112" s="236" t="s">
        <v>592</v>
      </c>
      <c r="D112" s="236">
        <v>5</v>
      </c>
      <c r="E112" s="236">
        <v>19</v>
      </c>
      <c r="F112" s="236">
        <v>31657.1</v>
      </c>
      <c r="G112" s="236">
        <v>18931.22</v>
      </c>
      <c r="H112" s="237">
        <f t="shared" si="2"/>
      </c>
      <c r="I112" s="237">
        <f t="shared" si="0"/>
      </c>
      <c r="J112" s="237">
        <f t="shared" si="1"/>
      </c>
      <c r="K112" s="236">
        <v>3</v>
      </c>
      <c r="L112" s="236">
        <v>4814.4</v>
      </c>
      <c r="M112" s="236" t="s">
        <v>608</v>
      </c>
      <c r="N112" s="236">
        <v>10</v>
      </c>
      <c r="O112" s="238" t="s">
        <v>594</v>
      </c>
      <c r="P112" s="236">
        <v>10</v>
      </c>
    </row>
    <row hidden="true" r="113">
      <c r="A113" s="234" t="s">
        <v>636</v>
      </c>
      <c r="B113" s="235" t="s">
        <v>591</v>
      </c>
      <c r="C113" s="236" t="s">
        <v>596</v>
      </c>
      <c r="D113" s="236">
        <v>5</v>
      </c>
      <c r="E113" s="236">
        <v>20</v>
      </c>
      <c r="F113" s="236">
        <v>31622.4</v>
      </c>
      <c r="G113" s="236">
        <v>20160.62</v>
      </c>
      <c r="H113" s="237">
        <f t="shared" si="2"/>
      </c>
      <c r="I113" s="237">
        <f t="shared" si="0"/>
      </c>
      <c r="J113" s="237">
        <f t="shared" si="1"/>
      </c>
      <c r="K113" s="236">
        <v>6</v>
      </c>
      <c r="L113" s="236">
        <v>6764.4</v>
      </c>
      <c r="M113" s="238"/>
      <c r="N113" s="238"/>
      <c r="P113" s="238"/>
    </row>
    <row hidden="true" r="114">
      <c r="A114" s="234" t="s">
        <v>636</v>
      </c>
      <c r="B114" s="235" t="s">
        <v>613</v>
      </c>
      <c r="C114" s="236" t="s">
        <v>598</v>
      </c>
      <c r="D114" s="236">
        <v>5</v>
      </c>
      <c r="E114" s="236">
        <v>6</v>
      </c>
      <c r="F114" s="236">
        <v>11832.800000000003</v>
      </c>
      <c r="G114" s="236">
        <v>9619.429999999998</v>
      </c>
      <c r="H114" s="237">
        <f t="shared" si="2"/>
      </c>
      <c r="I114" s="237">
        <f t="shared" si="0"/>
      </c>
      <c r="J114" s="237">
        <f t="shared" si="1"/>
      </c>
      <c r="K114" s="236">
        <v>0</v>
      </c>
      <c r="L114" s="236">
        <v>0</v>
      </c>
      <c r="M114" s="236"/>
      <c r="N114" s="236"/>
      <c r="O114" s="238"/>
      <c r="P114" s="238"/>
    </row>
    <row hidden="true" r="115">
      <c r="A115" s="234" t="s">
        <v>636</v>
      </c>
      <c r="B115" s="235" t="s">
        <v>599</v>
      </c>
      <c r="C115" s="236" t="s">
        <v>600</v>
      </c>
      <c r="D115" s="236">
        <v>5</v>
      </c>
      <c r="E115" s="236">
        <v>11</v>
      </c>
      <c r="F115" s="240">
        <v>16712.399999999994</v>
      </c>
      <c r="G115" s="236">
        <v>10227.110000000002</v>
      </c>
      <c r="H115" s="237">
        <f t="shared" si="2"/>
      </c>
      <c r="I115" s="237">
        <f t="shared" si="0"/>
      </c>
      <c r="J115" s="237">
        <f t="shared" si="1"/>
      </c>
      <c r="K115" s="236">
        <v>0</v>
      </c>
      <c r="L115" s="236">
        <v>0</v>
      </c>
      <c r="M115" s="236" t="s">
        <v>627</v>
      </c>
      <c r="N115" s="236">
        <v>10</v>
      </c>
      <c r="O115" s="238" t="s">
        <v>602</v>
      </c>
      <c r="P115" s="236">
        <v>10</v>
      </c>
    </row>
    <row r="116">
      <c r="A116" s="241" t="s">
        <v>636</v>
      </c>
      <c r="B116" s="242"/>
      <c r="C116" s="242"/>
      <c r="D116" s="243">
        <f>SUM(D112:D115)</f>
      </c>
      <c r="E116" s="243">
        <f>SUM(E112:E115)</f>
      </c>
      <c r="F116" s="244">
        <f>SUM(F112:F115)</f>
      </c>
      <c r="G116" s="243">
        <f>SUM(G112:G115)</f>
      </c>
      <c r="H116" s="244">
        <f t="shared" si="2"/>
      </c>
      <c r="I116" s="244">
        <f t="shared" si="0"/>
      </c>
      <c r="J116" s="244">
        <f t="shared" si="1"/>
      </c>
      <c r="K116" s="243">
        <f>SUM(K112:K115)</f>
      </c>
      <c r="L116" s="243">
        <f>SUM(L112:L115)</f>
      </c>
      <c r="M116" s="245"/>
      <c r="N116" s="243">
        <f>SUM(N112:N115)</f>
      </c>
      <c r="O116" s="245"/>
      <c r="P116" s="245">
        <f>SUM(P112:P115)</f>
      </c>
    </row>
    <row hidden="true" r="117">
      <c r="A117" s="234" t="s">
        <v>637</v>
      </c>
      <c r="B117" s="235" t="s">
        <v>591</v>
      </c>
      <c r="C117" s="236" t="s">
        <v>592</v>
      </c>
      <c r="D117" s="236">
        <v>5</v>
      </c>
      <c r="E117" s="236">
        <v>16</v>
      </c>
      <c r="F117" s="236">
        <v>22068</v>
      </c>
      <c r="G117" s="236">
        <v>15553.98</v>
      </c>
      <c r="H117" s="237">
        <f t="shared" si="2"/>
      </c>
      <c r="I117" s="237">
        <f t="shared" si="0"/>
      </c>
      <c r="J117" s="237">
        <f t="shared" si="1"/>
      </c>
      <c r="K117" s="236">
        <v>5</v>
      </c>
      <c r="L117" s="236">
        <v>7999.2</v>
      </c>
      <c r="M117" s="236" t="s">
        <v>608</v>
      </c>
      <c r="N117" s="236">
        <v>9</v>
      </c>
      <c r="O117" s="238" t="s">
        <v>594</v>
      </c>
      <c r="P117" s="236">
        <v>10</v>
      </c>
    </row>
    <row hidden="true" r="118">
      <c r="A118" s="234" t="s">
        <v>637</v>
      </c>
      <c r="B118" s="235" t="s">
        <v>599</v>
      </c>
      <c r="C118" s="236" t="s">
        <v>596</v>
      </c>
      <c r="D118" s="236">
        <v>5</v>
      </c>
      <c r="E118" s="236">
        <v>14</v>
      </c>
      <c r="F118" s="236">
        <v>22655.399999999998</v>
      </c>
      <c r="G118" s="236">
        <v>13825.43</v>
      </c>
      <c r="H118" s="237">
        <f t="shared" si="2"/>
      </c>
      <c r="I118" s="237">
        <f t="shared" si="0"/>
      </c>
      <c r="J118" s="237">
        <f t="shared" si="1"/>
      </c>
      <c r="K118" s="236">
        <v>2</v>
      </c>
      <c r="L118" s="236">
        <v>3593.4</v>
      </c>
      <c r="M118" s="238"/>
      <c r="N118" s="238"/>
      <c r="P118" s="238"/>
    </row>
    <row hidden="true" r="119">
      <c r="A119" s="234" t="s">
        <v>637</v>
      </c>
      <c r="B119" s="235" t="s">
        <v>609</v>
      </c>
      <c r="C119" s="236" t="s">
        <v>598</v>
      </c>
      <c r="D119" s="236">
        <v>5</v>
      </c>
      <c r="E119" s="236">
        <v>10</v>
      </c>
      <c r="F119" s="236">
        <v>12982.800000000003</v>
      </c>
      <c r="G119" s="236">
        <v>9102.6</v>
      </c>
      <c r="H119" s="237">
        <f t="shared" si="2"/>
      </c>
      <c r="I119" s="237">
        <f t="shared" si="0"/>
      </c>
      <c r="J119" s="237">
        <f t="shared" si="1"/>
      </c>
      <c r="K119" s="236">
        <v>2</v>
      </c>
      <c r="L119" s="236">
        <v>3154.7999999999993</v>
      </c>
      <c r="M119" s="236" t="s">
        <v>627</v>
      </c>
      <c r="N119" s="236">
        <v>9</v>
      </c>
      <c r="O119" s="238"/>
      <c r="P119" s="238"/>
    </row>
    <row hidden="true" r="120">
      <c r="A120" s="234" t="s">
        <v>637</v>
      </c>
      <c r="B120" s="235" t="s">
        <v>595</v>
      </c>
      <c r="C120" s="236" t="s">
        <v>600</v>
      </c>
      <c r="D120" s="236">
        <v>5</v>
      </c>
      <c r="E120" s="236">
        <v>20</v>
      </c>
      <c r="F120" s="240">
        <v>30775.199999999997</v>
      </c>
      <c r="G120" s="236">
        <v>14485.420000000002</v>
      </c>
      <c r="H120" s="237">
        <f t="shared" si="2"/>
      </c>
      <c r="I120" s="237">
        <f t="shared" si="0"/>
      </c>
      <c r="J120" s="237">
        <f t="shared" si="1"/>
      </c>
      <c r="K120" s="236">
        <v>1</v>
      </c>
      <c r="L120" s="236">
        <v>2088.0000000000036</v>
      </c>
      <c r="M120" s="236" t="s">
        <v>605</v>
      </c>
      <c r="N120" s="239">
        <v>2</v>
      </c>
      <c r="O120" s="238" t="s">
        <v>602</v>
      </c>
      <c r="P120" s="236">
        <v>10</v>
      </c>
    </row>
    <row r="121">
      <c r="A121" s="241" t="s">
        <v>637</v>
      </c>
      <c r="B121" s="242"/>
      <c r="C121" s="242"/>
      <c r="D121" s="243">
        <f>SUM(D117:D120)</f>
      </c>
      <c r="E121" s="243">
        <f>SUM(E117:E120)</f>
      </c>
      <c r="F121" s="244">
        <f>SUM(F117:F120)</f>
      </c>
      <c r="G121" s="243">
        <f>SUM(G117:G120)</f>
      </c>
      <c r="H121" s="244">
        <f t="shared" si="2"/>
      </c>
      <c r="I121" s="244">
        <f t="shared" si="0"/>
      </c>
      <c r="J121" s="244">
        <f t="shared" si="1"/>
      </c>
      <c r="K121" s="243">
        <f>SUM(K117:K120)</f>
      </c>
      <c r="L121" s="243">
        <f>SUM(L117:L120)</f>
      </c>
      <c r="M121" s="245"/>
      <c r="N121" s="243">
        <f>SUM(N117:N120)</f>
      </c>
      <c r="O121" s="245"/>
      <c r="P121" s="245">
        <f>SUM(P117:P120)</f>
      </c>
    </row>
    <row hidden="true" r="122">
      <c r="A122" s="234" t="s">
        <v>638</v>
      </c>
      <c r="B122" s="235" t="s">
        <v>591</v>
      </c>
      <c r="C122" s="236" t="s">
        <v>592</v>
      </c>
      <c r="D122" s="236">
        <v>5</v>
      </c>
      <c r="E122" s="236">
        <v>22</v>
      </c>
      <c r="F122" s="236">
        <v>38610</v>
      </c>
      <c r="G122" s="236">
        <v>17451.28</v>
      </c>
      <c r="H122" s="237">
        <f t="shared" si="2"/>
      </c>
      <c r="I122" s="237">
        <f t="shared" si="0"/>
      </c>
      <c r="J122" s="237">
        <f t="shared" si="1"/>
      </c>
      <c r="K122" s="236">
        <v>4</v>
      </c>
      <c r="L122" s="236">
        <v>5713.2</v>
      </c>
      <c r="M122" s="236" t="s">
        <v>623</v>
      </c>
      <c r="N122" s="236">
        <v>4</v>
      </c>
      <c r="O122" s="238" t="s">
        <v>594</v>
      </c>
      <c r="P122" s="236">
        <v>10</v>
      </c>
    </row>
    <row hidden="true" r="123">
      <c r="A123" s="234" t="s">
        <v>638</v>
      </c>
      <c r="B123" s="235" t="s">
        <v>613</v>
      </c>
      <c r="C123" s="236" t="s">
        <v>596</v>
      </c>
      <c r="D123" s="236">
        <v>5</v>
      </c>
      <c r="E123" s="236">
        <v>12</v>
      </c>
      <c r="F123" s="236">
        <v>12357.6</v>
      </c>
      <c r="G123" s="236">
        <v>14660</v>
      </c>
      <c r="H123" s="237">
        <f t="shared" si="2"/>
      </c>
      <c r="I123" s="237">
        <f t="shared" si="0"/>
      </c>
      <c r="J123" s="237">
        <f t="shared" si="1"/>
      </c>
      <c r="K123" s="236">
        <v>4</v>
      </c>
      <c r="L123" s="236">
        <v>3054.0000000000005</v>
      </c>
      <c r="M123" s="236" t="s">
        <v>639</v>
      </c>
      <c r="N123" s="236">
        <v>5</v>
      </c>
      <c r="P123" s="238"/>
    </row>
    <row hidden="true" r="124">
      <c r="A124" s="234" t="s">
        <v>638</v>
      </c>
      <c r="B124" s="235" t="s">
        <v>599</v>
      </c>
      <c r="C124" s="236" t="s">
        <v>598</v>
      </c>
      <c r="D124" s="236">
        <v>5</v>
      </c>
      <c r="E124" s="236">
        <v>18</v>
      </c>
      <c r="F124" s="236">
        <v>21517.200000000004</v>
      </c>
      <c r="G124" s="236">
        <v>15240.35</v>
      </c>
      <c r="H124" s="237">
        <f t="shared" si="2"/>
      </c>
      <c r="I124" s="237">
        <f t="shared" si="0"/>
      </c>
      <c r="J124" s="237">
        <f t="shared" si="1"/>
      </c>
      <c r="K124" s="236">
        <v>1</v>
      </c>
      <c r="L124" s="236">
        <v>372</v>
      </c>
      <c r="M124" s="236" t="s">
        <v>625</v>
      </c>
      <c r="N124" s="236">
        <v>9</v>
      </c>
      <c r="O124" s="238"/>
      <c r="P124" s="238"/>
    </row>
    <row hidden="true" r="125">
      <c r="A125" s="234" t="s">
        <v>638</v>
      </c>
      <c r="B125" s="235" t="s">
        <v>595</v>
      </c>
      <c r="C125" s="236" t="s">
        <v>600</v>
      </c>
      <c r="D125" s="236">
        <v>5</v>
      </c>
      <c r="E125" s="236">
        <v>28</v>
      </c>
      <c r="F125" s="240">
        <v>36520.2</v>
      </c>
      <c r="G125" s="236">
        <v>21018.7</v>
      </c>
      <c r="H125" s="237">
        <f t="shared" si="2"/>
      </c>
      <c r="I125" s="237">
        <f t="shared" si="0"/>
      </c>
      <c r="J125" s="237">
        <f t="shared" si="1"/>
      </c>
      <c r="K125" s="236">
        <v>1</v>
      </c>
      <c r="L125" s="236">
        <v>2011.199999999999</v>
      </c>
      <c r="M125" s="236" t="s">
        <v>605</v>
      </c>
      <c r="N125" s="239">
        <v>2</v>
      </c>
      <c r="O125" s="238" t="s">
        <v>602</v>
      </c>
      <c r="P125" s="236">
        <v>10</v>
      </c>
    </row>
    <row r="126">
      <c r="A126" s="241" t="s">
        <v>638</v>
      </c>
      <c r="B126" s="242"/>
      <c r="C126" s="242"/>
      <c r="D126" s="243">
        <f>SUM(D122:D125)</f>
      </c>
      <c r="E126" s="243">
        <f>SUM(E122:E125)</f>
      </c>
      <c r="F126" s="244">
        <f>SUM(F122:F125)</f>
      </c>
      <c r="G126" s="243">
        <f>SUM(G122:G125)</f>
      </c>
      <c r="H126" s="244">
        <f t="shared" si="2"/>
      </c>
      <c r="I126" s="244">
        <f t="shared" si="0"/>
      </c>
      <c r="J126" s="244">
        <f t="shared" si="1"/>
      </c>
      <c r="K126" s="243">
        <f>SUM(K122:K125)</f>
      </c>
      <c r="L126" s="243">
        <f>SUM(L122:L125)</f>
      </c>
      <c r="M126" s="245"/>
      <c r="N126" s="243">
        <f>SUM(N122:N125)</f>
      </c>
      <c r="O126" s="245"/>
      <c r="P126" s="245">
        <f>SUM(P122:P125)</f>
      </c>
    </row>
    <row hidden="true" r="127">
      <c r="A127" s="234" t="s">
        <v>640</v>
      </c>
      <c r="B127" s="235" t="s">
        <v>613</v>
      </c>
      <c r="C127" s="236" t="s">
        <v>592</v>
      </c>
      <c r="D127" s="236">
        <v>5</v>
      </c>
      <c r="E127" s="236">
        <v>20</v>
      </c>
      <c r="F127" s="236">
        <v>22179</v>
      </c>
      <c r="G127" s="236">
        <v>16387.75</v>
      </c>
      <c r="H127" s="237">
        <f t="shared" si="2"/>
      </c>
      <c r="I127" s="237">
        <f t="shared" si="0"/>
      </c>
      <c r="J127" s="237">
        <f t="shared" si="1"/>
      </c>
      <c r="K127" s="236">
        <v>4</v>
      </c>
      <c r="L127" s="236">
        <v>5592.6</v>
      </c>
      <c r="M127" s="236" t="s">
        <v>623</v>
      </c>
      <c r="N127" s="236">
        <v>9</v>
      </c>
      <c r="O127" s="238" t="s">
        <v>594</v>
      </c>
      <c r="P127" s="236">
        <v>10</v>
      </c>
    </row>
    <row hidden="true" r="128">
      <c r="A128" s="234" t="s">
        <v>640</v>
      </c>
      <c r="B128" s="235" t="s">
        <v>591</v>
      </c>
      <c r="C128" s="236" t="s">
        <v>596</v>
      </c>
      <c r="D128" s="236">
        <v>5</v>
      </c>
      <c r="E128" s="236">
        <v>12</v>
      </c>
      <c r="F128" s="236">
        <v>13229.400000000001</v>
      </c>
      <c r="G128" s="236">
        <v>13020.4</v>
      </c>
      <c r="H128" s="237">
        <f t="shared" si="2"/>
      </c>
      <c r="I128" s="237">
        <f t="shared" si="0"/>
      </c>
      <c r="J128" s="237">
        <f t="shared" si="1"/>
      </c>
      <c r="K128" s="236">
        <v>2</v>
      </c>
      <c r="L128" s="236">
        <v>2332.7999999999993</v>
      </c>
      <c r="M128" s="236"/>
      <c r="N128" s="236"/>
      <c r="P128" s="238"/>
    </row>
    <row hidden="true" r="129">
      <c r="A129" s="234" t="s">
        <v>640</v>
      </c>
      <c r="B129" s="235" t="s">
        <v>595</v>
      </c>
      <c r="C129" s="236" t="s">
        <v>598</v>
      </c>
      <c r="D129" s="236">
        <v>5</v>
      </c>
      <c r="E129" s="236">
        <v>11</v>
      </c>
      <c r="F129" s="236">
        <v>16107.799999999996</v>
      </c>
      <c r="G129" s="236">
        <v>9975.710000000001</v>
      </c>
      <c r="H129" s="237">
        <f t="shared" si="2"/>
      </c>
      <c r="I129" s="237">
        <f t="shared" si="0"/>
      </c>
      <c r="J129" s="237">
        <f t="shared" si="1"/>
      </c>
      <c r="K129" s="236">
        <v>2</v>
      </c>
      <c r="L129" s="236">
        <v>4070.4</v>
      </c>
      <c r="M129" s="236" t="s">
        <v>625</v>
      </c>
      <c r="N129" s="236">
        <v>9</v>
      </c>
      <c r="O129" s="238"/>
      <c r="P129" s="238"/>
    </row>
    <row hidden="true" r="130">
      <c r="A130" s="234" t="s">
        <v>640</v>
      </c>
      <c r="B130" s="235" t="s">
        <v>599</v>
      </c>
      <c r="C130" s="236" t="s">
        <v>641</v>
      </c>
      <c r="D130" s="236">
        <v>4</v>
      </c>
      <c r="E130" s="236">
        <v>8</v>
      </c>
      <c r="F130" s="240">
        <v>10675.200000000004</v>
      </c>
      <c r="G130" s="236">
        <v>9104.74</v>
      </c>
      <c r="H130" s="237">
        <f t="shared" si="2"/>
      </c>
      <c r="I130" s="237">
        <f t="shared" si="0"/>
      </c>
      <c r="J130" s="237">
        <f t="shared" si="1"/>
      </c>
      <c r="K130" s="236">
        <v>0</v>
      </c>
      <c r="L130" s="236">
        <v>0</v>
      </c>
      <c r="M130" s="236" t="s">
        <v>642</v>
      </c>
      <c r="N130" s="239">
        <v>1</v>
      </c>
      <c r="O130" s="238" t="s">
        <v>602</v>
      </c>
      <c r="P130" s="236">
        <v>9</v>
      </c>
    </row>
    <row r="131">
      <c r="A131" s="241" t="s">
        <v>640</v>
      </c>
      <c r="B131" s="242"/>
      <c r="C131" s="242"/>
      <c r="D131" s="243">
        <f>SUM(D127:D130)</f>
      </c>
      <c r="E131" s="243">
        <f>SUM(E129:E130)</f>
      </c>
      <c r="F131" s="244">
        <f>SUM(F129:F130)</f>
      </c>
      <c r="G131" s="243">
        <f>SUM(G129:G130)</f>
      </c>
      <c r="H131" s="244">
        <f t="shared" si="2"/>
      </c>
      <c r="I131" s="244">
        <f t="shared" si="0"/>
      </c>
      <c r="J131" s="244">
        <f t="shared" si="1"/>
      </c>
      <c r="K131" s="243">
        <f>SUM(K129:K130)</f>
      </c>
      <c r="L131" s="243">
        <f>SUM(L129:L130)</f>
      </c>
      <c r="M131" s="245"/>
      <c r="N131" s="243">
        <f>SUM(N127:N130)</f>
      </c>
      <c r="O131" s="245"/>
      <c r="P131" s="243">
        <f>SUM(P127:P130)</f>
      </c>
    </row>
    <row hidden="true" r="132">
      <c r="A132" s="234" t="s">
        <v>643</v>
      </c>
      <c r="B132" s="235" t="s">
        <v>613</v>
      </c>
      <c r="C132" s="236" t="s">
        <v>592</v>
      </c>
      <c r="D132" s="236">
        <v>5</v>
      </c>
      <c r="E132" s="236">
        <v>14</v>
      </c>
      <c r="F132" s="236">
        <v>14937.599999999999</v>
      </c>
      <c r="G132" s="236">
        <v>15028.17</v>
      </c>
      <c r="H132" s="237">
        <f t="shared" si="2"/>
      </c>
      <c r="I132" s="237">
        <f t="shared" si="0"/>
      </c>
      <c r="J132" s="237">
        <f t="shared" si="1"/>
      </c>
      <c r="K132" s="236">
        <v>4</v>
      </c>
      <c r="L132" s="236">
        <v>4722</v>
      </c>
      <c r="M132" s="236" t="s">
        <v>639</v>
      </c>
      <c r="N132" s="236">
        <v>9</v>
      </c>
      <c r="O132" s="238" t="s">
        <v>594</v>
      </c>
      <c r="P132" s="236">
        <v>10</v>
      </c>
    </row>
    <row hidden="true" r="133">
      <c r="A133" s="234" t="s">
        <v>643</v>
      </c>
      <c r="B133" s="235" t="s">
        <v>599</v>
      </c>
      <c r="C133" s="236" t="s">
        <v>596</v>
      </c>
      <c r="D133" s="236">
        <v>5</v>
      </c>
      <c r="E133" s="236">
        <v>13</v>
      </c>
      <c r="F133" s="236">
        <v>21996</v>
      </c>
      <c r="G133" s="236">
        <v>10465.75</v>
      </c>
      <c r="H133" s="237">
        <f t="shared" si="2"/>
      </c>
      <c r="I133" s="237">
        <f t="shared" si="0"/>
      </c>
      <c r="J133" s="237">
        <f t="shared" si="1"/>
      </c>
      <c r="K133" s="236">
        <v>4</v>
      </c>
      <c r="L133" s="236">
        <v>5538</v>
      </c>
      <c r="M133" s="236"/>
      <c r="N133" s="236"/>
      <c r="P133" s="238"/>
    </row>
    <row hidden="true" r="134">
      <c r="A134" s="234" t="s">
        <v>643</v>
      </c>
      <c r="B134" s="235" t="s">
        <v>595</v>
      </c>
      <c r="C134" s="236" t="s">
        <v>598</v>
      </c>
      <c r="D134" s="236">
        <v>5</v>
      </c>
      <c r="E134" s="236">
        <v>22</v>
      </c>
      <c r="F134" s="236">
        <v>24221.800000000003</v>
      </c>
      <c r="G134" s="236">
        <v>10479.24</v>
      </c>
      <c r="H134" s="237">
        <f t="shared" si="2"/>
      </c>
      <c r="I134" s="237">
        <f t="shared" si="0"/>
      </c>
      <c r="J134" s="237">
        <f t="shared" si="1"/>
      </c>
      <c r="K134" s="236">
        <v>1</v>
      </c>
      <c r="L134" s="236">
        <v>1663.2000000000007</v>
      </c>
      <c r="M134" s="236" t="s">
        <v>644</v>
      </c>
      <c r="N134" s="236">
        <v>1</v>
      </c>
      <c r="O134" s="238"/>
      <c r="P134" s="238"/>
    </row>
    <row hidden="true" r="135">
      <c r="A135" s="234" t="s">
        <v>643</v>
      </c>
      <c r="B135" s="235" t="s">
        <v>609</v>
      </c>
      <c r="C135" s="236" t="s">
        <v>600</v>
      </c>
      <c r="D135" s="236">
        <v>5</v>
      </c>
      <c r="E135" s="236">
        <v>21</v>
      </c>
      <c r="F135" s="240">
        <v>27493.200000000004</v>
      </c>
      <c r="G135" s="236">
        <v>11338.21</v>
      </c>
      <c r="H135" s="237">
        <f t="shared" si="2"/>
      </c>
      <c r="I135" s="237">
        <f t="shared" si="0"/>
      </c>
      <c r="J135" s="237">
        <f t="shared" si="1"/>
      </c>
      <c r="K135" s="236">
        <v>2</v>
      </c>
      <c r="L135" s="236">
        <v>2035.199999999999</v>
      </c>
      <c r="M135" s="236" t="s">
        <v>605</v>
      </c>
      <c r="N135" s="239">
        <v>10</v>
      </c>
      <c r="O135" s="238" t="s">
        <v>602</v>
      </c>
      <c r="P135" s="236">
        <v>10</v>
      </c>
    </row>
    <row r="136">
      <c r="A136" s="241" t="s">
        <v>643</v>
      </c>
      <c r="B136" s="242"/>
      <c r="C136" s="242"/>
      <c r="D136" s="243">
        <f>SUM(D132:D135)</f>
      </c>
      <c r="E136" s="243">
        <f>SUM(E132:E135)</f>
      </c>
      <c r="F136" s="243">
        <f>SUM(F132:F135)</f>
      </c>
      <c r="G136" s="243">
        <f>SUM(G132:G135)</f>
      </c>
      <c r="H136" s="244">
        <f t="shared" si="2"/>
      </c>
      <c r="I136" s="244">
        <f t="shared" si="0"/>
      </c>
      <c r="J136" s="244">
        <f t="shared" si="1"/>
      </c>
      <c r="K136" s="243">
        <f>SUM(K132:K135)</f>
      </c>
      <c r="L136" s="243">
        <f>SUM(L132:L135)</f>
      </c>
      <c r="M136" s="245"/>
      <c r="N136" s="243">
        <f>SUM(N132:N135)</f>
      </c>
      <c r="O136" s="245"/>
      <c r="P136" s="243">
        <f>SUM(P132:P135)</f>
      </c>
    </row>
    <row hidden="true" r="137">
      <c r="A137" s="234" t="s">
        <v>645</v>
      </c>
      <c r="B137" s="235" t="s">
        <v>613</v>
      </c>
      <c r="C137" s="236" t="s">
        <v>592</v>
      </c>
      <c r="D137" s="246">
        <v>4.5</v>
      </c>
      <c r="E137" s="236">
        <v>16</v>
      </c>
      <c r="F137" s="236">
        <v>24911.4</v>
      </c>
      <c r="G137" s="236">
        <v>13262.67</v>
      </c>
      <c r="H137" s="237">
        <f t="shared" si="2"/>
      </c>
      <c r="I137" s="237">
        <f t="shared" si="0"/>
      </c>
      <c r="J137" s="237">
        <f t="shared" si="1"/>
      </c>
      <c r="K137" s="236">
        <v>1</v>
      </c>
      <c r="L137" s="236">
        <v>1692</v>
      </c>
      <c r="M137" s="236" t="s">
        <v>639</v>
      </c>
      <c r="N137" s="236">
        <v>9</v>
      </c>
      <c r="O137" s="238" t="s">
        <v>594</v>
      </c>
      <c r="P137" s="236">
        <v>10</v>
      </c>
    </row>
    <row hidden="true" r="138">
      <c r="A138" s="234" t="s">
        <v>645</v>
      </c>
      <c r="B138" s="235" t="s">
        <v>595</v>
      </c>
      <c r="C138" s="236" t="s">
        <v>596</v>
      </c>
      <c r="D138" s="236">
        <v>5</v>
      </c>
      <c r="E138" s="236">
        <v>7</v>
      </c>
      <c r="F138" s="236">
        <v>9894.799999999997</v>
      </c>
      <c r="G138" s="236">
        <v>9014.810000000001</v>
      </c>
      <c r="H138" s="237">
        <f t="shared" si="2"/>
      </c>
      <c r="I138" s="237">
        <f t="shared" si="0"/>
      </c>
      <c r="J138" s="237">
        <f t="shared" si="1"/>
      </c>
      <c r="K138" s="236">
        <v>2</v>
      </c>
      <c r="L138" s="236">
        <v>1753.2</v>
      </c>
      <c r="M138" s="236"/>
      <c r="N138" s="236"/>
      <c r="P138" s="238"/>
    </row>
    <row hidden="true" r="139">
      <c r="A139" s="234" t="s">
        <v>645</v>
      </c>
      <c r="B139" s="235" t="s">
        <v>599</v>
      </c>
      <c r="C139" s="236" t="s">
        <v>598</v>
      </c>
      <c r="D139" s="236">
        <v>5</v>
      </c>
      <c r="E139" s="236">
        <v>8</v>
      </c>
      <c r="F139" s="236">
        <v>13593.600000000006</v>
      </c>
      <c r="G139" s="236">
        <v>5628.29</v>
      </c>
      <c r="H139" s="237">
        <f t="shared" si="2"/>
      </c>
      <c r="I139" s="237">
        <f t="shared" si="0"/>
      </c>
      <c r="J139" s="237">
        <f t="shared" si="1"/>
      </c>
      <c r="K139" s="236">
        <v>0</v>
      </c>
      <c r="L139" s="236">
        <v>0</v>
      </c>
      <c r="M139" s="236"/>
      <c r="N139" s="236"/>
      <c r="O139" s="238"/>
      <c r="P139" s="238"/>
    </row>
    <row customHeight="true" hidden="true" ht="16.071428571428573" r="140">
      <c r="A140" s="234" t="s">
        <v>645</v>
      </c>
      <c r="B140" s="235" t="s">
        <v>609</v>
      </c>
      <c r="C140" s="236" t="s">
        <v>600</v>
      </c>
      <c r="D140" s="236">
        <v>5</v>
      </c>
      <c r="E140" s="236">
        <v>9</v>
      </c>
      <c r="F140" s="240">
        <v>13992</v>
      </c>
      <c r="G140" s="236">
        <v>7297.08</v>
      </c>
      <c r="H140" s="237">
        <f t="shared" si="2"/>
      </c>
      <c r="I140" s="237">
        <f t="shared" si="0"/>
      </c>
      <c r="J140" s="237">
        <f t="shared" si="1"/>
      </c>
      <c r="K140" s="236">
        <v>0</v>
      </c>
      <c r="L140" s="236">
        <v>0</v>
      </c>
      <c r="M140" s="236" t="s">
        <v>627</v>
      </c>
      <c r="N140" s="239">
        <v>11</v>
      </c>
      <c r="O140" s="238" t="s">
        <v>602</v>
      </c>
      <c r="P140" s="236">
        <v>10</v>
      </c>
    </row>
    <row customHeight="true" ht="16.071428571428573" r="141">
      <c r="A141" s="241" t="s">
        <v>645</v>
      </c>
      <c r="B141" s="242"/>
      <c r="C141" s="242"/>
      <c r="D141" s="243">
        <f>SUM(D137:D140)</f>
      </c>
      <c r="E141" s="243">
        <f>SUM(E137:E140)</f>
      </c>
      <c r="F141" s="243">
        <f>SUM(F137:F140)</f>
      </c>
      <c r="G141" s="243">
        <f>SUM(G137:G140)</f>
      </c>
      <c r="H141" s="244">
        <f t="shared" si="2"/>
      </c>
      <c r="I141" s="244">
        <f t="shared" si="0"/>
      </c>
      <c r="J141" s="244">
        <f t="shared" si="1"/>
      </c>
      <c r="K141" s="243">
        <f>SUM(K137:K140)</f>
      </c>
      <c r="L141" s="243">
        <f>SUM(L137:L140)</f>
      </c>
      <c r="M141" s="245"/>
      <c r="N141" s="243">
        <f>SUM(N137:N140)</f>
      </c>
      <c r="O141" s="245"/>
      <c r="P141" s="243">
        <f>SUM(P137:P140)</f>
      </c>
    </row>
    <row customHeight="true" hidden="true" ht="16.071428571428573" r="142">
      <c r="A142" s="234" t="s">
        <v>646</v>
      </c>
      <c r="B142" s="235" t="s">
        <v>591</v>
      </c>
      <c r="C142" s="236" t="s">
        <v>592</v>
      </c>
      <c r="D142" s="236">
        <v>5</v>
      </c>
      <c r="E142" s="236">
        <v>8</v>
      </c>
      <c r="F142" s="236">
        <v>9378</v>
      </c>
      <c r="G142" s="236">
        <v>7687.66</v>
      </c>
      <c r="H142" s="237">
        <f t="shared" si="2"/>
      </c>
      <c r="I142" s="237">
        <f t="shared" si="0"/>
      </c>
      <c r="J142" s="237">
        <f t="shared" si="1"/>
      </c>
      <c r="K142" s="236">
        <v>0</v>
      </c>
      <c r="L142" s="236">
        <v>0</v>
      </c>
      <c r="M142" s="236" t="s">
        <v>639</v>
      </c>
      <c r="N142" s="236">
        <v>10</v>
      </c>
      <c r="O142" s="238" t="s">
        <v>594</v>
      </c>
      <c r="P142" s="236">
        <v>10</v>
      </c>
    </row>
    <row customHeight="true" hidden="true" ht="16.071428571428573" r="143">
      <c r="A143" s="234" t="s">
        <v>646</v>
      </c>
      <c r="B143" s="235" t="s">
        <v>595</v>
      </c>
      <c r="C143" s="236" t="s">
        <v>596</v>
      </c>
      <c r="D143" s="236">
        <v>5</v>
      </c>
      <c r="E143" s="236">
        <v>9</v>
      </c>
      <c r="F143" s="236">
        <v>16736.4</v>
      </c>
      <c r="G143" s="236">
        <v>6514.81</v>
      </c>
      <c r="H143" s="237">
        <f t="shared" si="2"/>
      </c>
      <c r="I143" s="237">
        <f t="shared" si="0"/>
      </c>
      <c r="J143" s="237">
        <f t="shared" si="1"/>
      </c>
      <c r="K143" s="236">
        <v>0</v>
      </c>
      <c r="L143" s="236">
        <v>0</v>
      </c>
      <c r="M143" s="236"/>
      <c r="N143" s="236"/>
      <c r="P143" s="238"/>
    </row>
    <row customHeight="true" hidden="true" ht="16.071428571428573" r="144">
      <c r="A144" s="234" t="s">
        <v>646</v>
      </c>
      <c r="B144" s="235" t="s">
        <v>609</v>
      </c>
      <c r="C144" s="236" t="s">
        <v>598</v>
      </c>
      <c r="D144" s="236">
        <v>5</v>
      </c>
      <c r="E144" s="236">
        <v>4</v>
      </c>
      <c r="F144" s="236">
        <v>6110.399999999998</v>
      </c>
      <c r="G144" s="236">
        <v>3881.4799999999996</v>
      </c>
      <c r="H144" s="237">
        <f t="shared" si="2"/>
      </c>
      <c r="I144" s="237">
        <f t="shared" si="0"/>
      </c>
      <c r="J144" s="237">
        <f t="shared" si="1"/>
      </c>
      <c r="K144" s="236">
        <v>1</v>
      </c>
      <c r="L144" s="236">
        <v>1411.2</v>
      </c>
      <c r="M144" s="236"/>
      <c r="N144" s="236"/>
      <c r="O144" s="238"/>
      <c r="P144" s="238"/>
    </row>
    <row customHeight="true" hidden="true" ht="16.071428571428573" r="145">
      <c r="A145" s="234" t="s">
        <v>646</v>
      </c>
      <c r="B145" s="235" t="s">
        <v>599</v>
      </c>
      <c r="C145" s="236" t="s">
        <v>600</v>
      </c>
      <c r="D145" s="236">
        <v>5</v>
      </c>
      <c r="E145" s="236">
        <v>14</v>
      </c>
      <c r="F145" s="240">
        <v>19586.399999999994</v>
      </c>
      <c r="G145" s="236">
        <v>11404.690000000002</v>
      </c>
      <c r="H145" s="237">
        <f t="shared" si="2"/>
      </c>
      <c r="I145" s="237">
        <f t="shared" si="0"/>
      </c>
      <c r="J145" s="237">
        <f t="shared" si="1"/>
      </c>
      <c r="K145" s="236">
        <v>1</v>
      </c>
      <c r="L145" s="236">
        <v>456</v>
      </c>
      <c r="M145" s="236" t="s">
        <v>627</v>
      </c>
      <c r="N145" s="239">
        <v>10</v>
      </c>
      <c r="O145" s="238" t="s">
        <v>602</v>
      </c>
      <c r="P145" s="236">
        <v>10</v>
      </c>
    </row>
    <row customHeight="true" ht="16.071428571428573" r="146">
      <c r="A146" s="241" t="s">
        <v>646</v>
      </c>
      <c r="B146" s="242"/>
      <c r="C146" s="242"/>
      <c r="D146" s="243">
        <f>SUM(D142:D145)</f>
      </c>
      <c r="E146" s="243">
        <f>SUM(E142:E145)</f>
      </c>
      <c r="F146" s="243">
        <f>SUM(F142:F145)</f>
      </c>
      <c r="G146" s="243">
        <f>SUM(G142:G145)</f>
      </c>
      <c r="H146" s="244">
        <f t="shared" si="2"/>
      </c>
      <c r="I146" s="244">
        <f t="shared" si="0"/>
      </c>
      <c r="J146" s="244">
        <f t="shared" si="1"/>
      </c>
      <c r="K146" s="243">
        <f>SUM(K142:K145)</f>
      </c>
      <c r="L146" s="243">
        <f>SUM(L142:L145)</f>
      </c>
      <c r="M146" s="245"/>
      <c r="N146" s="243">
        <f>SUM(N142:N145)</f>
      </c>
      <c r="O146" s="245"/>
      <c r="P146" s="243">
        <f>SUM(P142:P145)</f>
      </c>
    </row>
    <row customHeight="true" hidden="true" ht="16.071428571428573" r="147">
      <c r="A147" s="234" t="s">
        <v>647</v>
      </c>
      <c r="B147" s="235" t="s">
        <v>595</v>
      </c>
      <c r="C147" s="236" t="s">
        <v>648</v>
      </c>
      <c r="D147" s="236">
        <v>5</v>
      </c>
      <c r="E147" s="236">
        <v>9</v>
      </c>
      <c r="F147" s="236">
        <v>10953.6</v>
      </c>
      <c r="G147" s="236">
        <v>10746.14</v>
      </c>
      <c r="H147" s="237">
        <f t="shared" si="2"/>
      </c>
      <c r="I147" s="237">
        <f t="shared" si="0"/>
      </c>
      <c r="J147" s="237">
        <f t="shared" si="1"/>
      </c>
      <c r="K147" s="236">
        <v>5</v>
      </c>
      <c r="L147" s="236">
        <v>7747.2</v>
      </c>
      <c r="M147" s="236" t="s">
        <v>639</v>
      </c>
      <c r="N147" s="236">
        <v>7</v>
      </c>
      <c r="O147" s="238" t="s">
        <v>594</v>
      </c>
      <c r="P147" s="236">
        <v>7</v>
      </c>
    </row>
    <row customHeight="true" hidden="true" ht="16.071428571428573" r="148">
      <c r="A148" s="234" t="s">
        <v>647</v>
      </c>
      <c r="B148" s="235" t="s">
        <v>609</v>
      </c>
      <c r="C148" s="236" t="s">
        <v>649</v>
      </c>
      <c r="D148" s="236">
        <v>5</v>
      </c>
      <c r="E148" s="236">
        <v>10</v>
      </c>
      <c r="F148" s="236">
        <v>13388.199999999999</v>
      </c>
      <c r="G148" s="236">
        <v>9660.179999999998</v>
      </c>
      <c r="H148" s="237">
        <f t="shared" si="2"/>
      </c>
      <c r="I148" s="237">
        <f t="shared" si="0"/>
      </c>
      <c r="J148" s="237">
        <f t="shared" si="1"/>
      </c>
      <c r="K148" s="236">
        <v>1</v>
      </c>
      <c r="L148" s="236">
        <v>574.8000000000002</v>
      </c>
      <c r="M148" s="236"/>
      <c r="N148" s="236"/>
      <c r="O148" s="238"/>
      <c r="P148" s="238"/>
    </row>
    <row hidden="true" r="149">
      <c r="A149" s="234" t="s">
        <v>647</v>
      </c>
      <c r="B149" s="235" t="s">
        <v>599</v>
      </c>
      <c r="C149" s="236" t="s">
        <v>650</v>
      </c>
      <c r="D149" s="236">
        <v>5</v>
      </c>
      <c r="E149" s="236">
        <v>19</v>
      </c>
      <c r="F149" s="240">
        <v>27691.2</v>
      </c>
      <c r="G149" s="236">
        <v>16147.47</v>
      </c>
      <c r="H149" s="237">
        <f t="shared" si="2"/>
      </c>
      <c r="I149" s="237">
        <f t="shared" si="0"/>
      </c>
      <c r="J149" s="237">
        <f t="shared" si="1"/>
      </c>
      <c r="K149" s="236">
        <v>0</v>
      </c>
      <c r="L149" s="236">
        <v>0</v>
      </c>
      <c r="M149" s="236" t="s">
        <v>627</v>
      </c>
      <c r="N149" s="239">
        <v>8</v>
      </c>
      <c r="O149" s="238" t="s">
        <v>602</v>
      </c>
      <c r="P149" s="236">
        <v>8</v>
      </c>
    </row>
    <row r="150">
      <c r="A150" s="241" t="s">
        <v>647</v>
      </c>
      <c r="B150" s="242"/>
      <c r="C150" s="242"/>
      <c r="D150" s="243">
        <f>SUM(D147:D149)</f>
      </c>
      <c r="E150" s="243">
        <f>SUM(E147:E149)</f>
      </c>
      <c r="F150" s="243">
        <f>SUM(F147:F149)</f>
      </c>
      <c r="G150" s="243">
        <f>SUM(G147:G149)</f>
      </c>
      <c r="H150" s="244">
        <f t="shared" si="2"/>
      </c>
      <c r="I150" s="244">
        <f t="shared" si="0"/>
      </c>
      <c r="J150" s="244">
        <f t="shared" si="1"/>
      </c>
      <c r="K150" s="243">
        <f>SUM(K147:K149)</f>
      </c>
      <c r="L150" s="243">
        <f>SUM(L147:L149)</f>
      </c>
      <c r="M150" s="245"/>
      <c r="N150" s="243">
        <f>SUM(N147:N149)</f>
      </c>
      <c r="O150" s="245"/>
      <c r="P150" s="243">
        <f>SUM(P147:P149)</f>
      </c>
    </row>
    <row hidden="true" r="151">
      <c r="A151" s="234" t="s">
        <v>651</v>
      </c>
      <c r="B151" s="235" t="s">
        <v>652</v>
      </c>
      <c r="C151" s="236" t="s">
        <v>607</v>
      </c>
      <c r="D151" s="236">
        <v>4</v>
      </c>
      <c r="E151" s="236">
        <v>12</v>
      </c>
      <c r="F151" s="236">
        <v>16858.6</v>
      </c>
      <c r="G151" s="236">
        <v>9654.02</v>
      </c>
      <c r="H151" s="237">
        <f t="shared" si="2"/>
      </c>
      <c r="I151" s="237">
        <f t="shared" si="0"/>
      </c>
      <c r="J151" s="237">
        <f t="shared" si="1"/>
      </c>
      <c r="K151" s="236">
        <v>2</v>
      </c>
      <c r="L151" s="236">
        <v>2017</v>
      </c>
      <c r="M151" s="236" t="s">
        <v>639</v>
      </c>
      <c r="N151" s="236">
        <v>10</v>
      </c>
      <c r="O151" s="238" t="s">
        <v>594</v>
      </c>
      <c r="P151" s="236">
        <v>10</v>
      </c>
    </row>
    <row hidden="true" r="152">
      <c r="A152" s="234" t="s">
        <v>651</v>
      </c>
      <c r="B152" s="235" t="s">
        <v>599</v>
      </c>
      <c r="C152" s="236" t="s">
        <v>653</v>
      </c>
      <c r="D152" s="236">
        <v>5</v>
      </c>
      <c r="E152" s="236">
        <v>22</v>
      </c>
      <c r="F152" s="236">
        <v>26193.6</v>
      </c>
      <c r="G152" s="236">
        <v>21430.92</v>
      </c>
      <c r="H152" s="237">
        <f t="shared" si="2"/>
      </c>
      <c r="I152" s="237">
        <f t="shared" si="0"/>
      </c>
      <c r="J152" s="237">
        <f t="shared" si="1"/>
      </c>
      <c r="K152" s="236">
        <v>4</v>
      </c>
      <c r="L152" s="236">
        <v>7677.6</v>
      </c>
      <c r="M152" s="236"/>
      <c r="N152" s="236"/>
      <c r="P152" s="238"/>
    </row>
    <row customHeight="true" hidden="true" ht="16.071428571428573" r="153">
      <c r="A153" s="234" t="s">
        <v>651</v>
      </c>
      <c r="B153" s="235" t="s">
        <v>654</v>
      </c>
      <c r="C153" s="236" t="s">
        <v>655</v>
      </c>
      <c r="D153" s="236">
        <v>2</v>
      </c>
      <c r="E153" s="236">
        <v>11</v>
      </c>
      <c r="F153" s="236">
        <v>23330.40000000001</v>
      </c>
      <c r="G153" s="236">
        <v>5794.34</v>
      </c>
      <c r="H153" s="237">
        <f t="shared" si="2"/>
      </c>
      <c r="I153" s="237">
        <f t="shared" si="0"/>
      </c>
      <c r="J153" s="237">
        <f t="shared" si="1"/>
      </c>
      <c r="K153" s="236">
        <v>1</v>
      </c>
      <c r="L153" s="236">
        <v>2407.2</v>
      </c>
      <c r="M153" s="236"/>
      <c r="N153" s="236"/>
      <c r="O153" s="238"/>
      <c r="P153" s="238"/>
    </row>
    <row hidden="true" r="154">
      <c r="A154" s="234" t="s">
        <v>651</v>
      </c>
      <c r="B154" s="235" t="s">
        <v>595</v>
      </c>
      <c r="C154" s="236" t="s">
        <v>656</v>
      </c>
      <c r="D154" s="247">
        <v>4.75</v>
      </c>
      <c r="E154" s="236">
        <v>15</v>
      </c>
      <c r="F154" s="236">
        <v>22903.199999999997</v>
      </c>
      <c r="G154" s="236">
        <v>17381.600000000002</v>
      </c>
      <c r="H154" s="237">
        <f t="shared" si="2"/>
      </c>
      <c r="I154" s="237">
        <f t="shared" si="0"/>
      </c>
      <c r="J154" s="237">
        <f t="shared" si="1"/>
      </c>
      <c r="K154" s="236">
        <v>3</v>
      </c>
      <c r="L154" s="236">
        <v>5853.600000000002</v>
      </c>
      <c r="M154" s="236"/>
      <c r="N154" s="236"/>
      <c r="O154" s="238"/>
      <c r="P154" s="238"/>
    </row>
    <row hidden="true" r="155">
      <c r="A155" s="234" t="s">
        <v>651</v>
      </c>
      <c r="B155" s="235" t="s">
        <v>609</v>
      </c>
      <c r="C155" s="236" t="s">
        <v>657</v>
      </c>
      <c r="D155" s="247">
        <v>3.75</v>
      </c>
      <c r="E155" s="236">
        <v>9</v>
      </c>
      <c r="F155" s="240">
        <v>12519.599999999991</v>
      </c>
      <c r="G155" s="236">
        <v>12767.150000000001</v>
      </c>
      <c r="H155" s="237">
        <f t="shared" si="2"/>
      </c>
      <c r="I155" s="237">
        <f t="shared" si="0"/>
      </c>
      <c r="J155" s="237">
        <f t="shared" si="1"/>
      </c>
      <c r="K155" s="236">
        <v>0</v>
      </c>
      <c r="L155" s="236">
        <v>0</v>
      </c>
      <c r="M155" s="236" t="s">
        <v>627</v>
      </c>
      <c r="N155" s="239">
        <v>10</v>
      </c>
      <c r="O155" s="238" t="s">
        <v>602</v>
      </c>
      <c r="P155" s="236">
        <v>10</v>
      </c>
    </row>
    <row r="156">
      <c r="A156" s="241" t="s">
        <v>651</v>
      </c>
      <c r="B156" s="242"/>
      <c r="C156" s="242"/>
      <c r="D156" s="243">
        <f>SUM(D151:D155)</f>
      </c>
      <c r="E156" s="243">
        <f>SUM(E151:E155)</f>
      </c>
      <c r="F156" s="243">
        <f>SUM(F151:F155)</f>
      </c>
      <c r="G156" s="243">
        <f>SUM(G151:G155)</f>
      </c>
      <c r="H156" s="244">
        <f t="shared" si="2"/>
      </c>
      <c r="I156" s="244">
        <f t="shared" si="0"/>
      </c>
      <c r="J156" s="244">
        <f t="shared" si="1"/>
      </c>
      <c r="K156" s="243">
        <f>SUM(K151:K155)</f>
      </c>
      <c r="L156" s="243">
        <f>SUM(L151:L155)</f>
      </c>
      <c r="M156" s="245"/>
      <c r="N156" s="243">
        <f>SUM(N151:N155)</f>
      </c>
      <c r="O156" s="245"/>
      <c r="P156" s="243">
        <f>SUM(P151:P155)</f>
      </c>
    </row>
    <row customHeight="true" ht="16.071428571428573" r="157"/>
    <row customHeight="true" ht="16.071428571428573" r="158"/>
    <row customHeight="true" ht="16.071428571428573" r="159"/>
    <row customHeight="true" ht="16.071428571428573" r="160"/>
    <row customHeight="true" ht="16.071428571428573" r="161"/>
    <row r="162"/>
    <row r="163">
      <c r="H163" s="248"/>
      <c r="I163" s="249"/>
      <c r="O163" s="250"/>
    </row>
    <row r="164">
      <c r="H164" s="248"/>
      <c r="O164" s="250"/>
    </row>
    <row r="165">
      <c r="H165" s="248"/>
    </row>
    <row r="166">
      <c r="H166" s="248"/>
    </row>
    <row r="167">
      <c r="H167" s="248"/>
    </row>
    <row r="168">
      <c r="H168" s="248"/>
    </row>
    <row r="169"/>
    <row r="170">
      <c r="I170" s="251"/>
    </row>
    <row r="171">
      <c r="I171" s="251"/>
    </row>
    <row r="172">
      <c r="H172" s="248"/>
      <c r="I172" s="249"/>
    </row>
    <row r="173">
      <c r="H173" s="248"/>
    </row>
    <row r="174">
      <c r="H174" s="248"/>
    </row>
    <row r="175">
      <c r="H175" s="248"/>
    </row>
    <row r="176">
      <c r="H176" s="248"/>
    </row>
    <row r="177">
      <c r="H177" s="248"/>
    </row>
    <row r="178"/>
    <row r="179">
      <c r="I179" s="251"/>
    </row>
    <row r="180">
      <c r="I180" s="251"/>
    </row>
    <row r="181">
      <c r="H181" s="248"/>
      <c r="I181" s="249"/>
    </row>
    <row r="182">
      <c r="H182" s="248"/>
    </row>
    <row r="183">
      <c r="H183" s="248"/>
    </row>
    <row r="184">
      <c r="H184" s="248"/>
    </row>
    <row r="185">
      <c r="H185" s="248"/>
    </row>
    <row r="186">
      <c r="H186" s="248"/>
    </row>
  </sheetData>
  <autoFilter ref="A1:P162">
    <filterColumn colId="1">
      <filters blank="true"/>
    </filterColumn>
  </autoFilter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</cols>
  <sheetData>
    <row r="1">
      <c r="A1" s="252" t="s">
        <v>658</v>
      </c>
      <c r="B1" s="252" t="s">
        <v>659</v>
      </c>
      <c r="C1" s="252" t="s">
        <v>660</v>
      </c>
      <c r="D1" s="252" t="s">
        <v>661</v>
      </c>
      <c r="E1" s="252" t="s">
        <v>662</v>
      </c>
      <c r="F1" s="253" t="s">
        <v>663</v>
      </c>
      <c r="G1" s="253" t="s">
        <v>664</v>
      </c>
      <c r="H1" s="253" t="s">
        <v>665</v>
      </c>
      <c r="I1" s="253" t="s">
        <v>666</v>
      </c>
      <c r="J1" s="253" t="s">
        <v>667</v>
      </c>
      <c r="K1" s="252" t="s">
        <v>668</v>
      </c>
      <c r="L1" s="252" t="s">
        <v>669</v>
      </c>
      <c r="M1" s="252" t="s">
        <v>670</v>
      </c>
      <c r="N1" s="252" t="s">
        <v>671</v>
      </c>
      <c r="O1" s="252" t="s">
        <v>672</v>
      </c>
      <c r="P1" s="252" t="s">
        <v>673</v>
      </c>
    </row>
    <row hidden="true" r="2">
      <c r="A2" s="254" t="s">
        <v>674</v>
      </c>
      <c r="B2" s="255" t="s">
        <v>675</v>
      </c>
      <c r="C2" s="256" t="s">
        <v>676</v>
      </c>
      <c r="D2" s="256">
        <v>4</v>
      </c>
      <c r="E2" s="257">
        <v>16</v>
      </c>
      <c r="F2" s="257">
        <v>22872</v>
      </c>
      <c r="G2" s="257">
        <v>19476.22</v>
      </c>
      <c r="H2" s="258">
        <f t="shared" ref="H2:H138" si="29">F2/G2</f>
      </c>
      <c r="I2" s="258">
        <f t="shared" ref="I2:I138" si="30">F2/E2</f>
      </c>
      <c r="J2" s="258">
        <f>G2/E2</f>
      </c>
      <c r="K2" s="257">
        <v>1</v>
      </c>
      <c r="L2" s="257">
        <v>2592</v>
      </c>
      <c r="M2" s="257" t="s">
        <v>677</v>
      </c>
      <c r="N2" s="256">
        <v>8</v>
      </c>
      <c r="O2" s="256" t="s">
        <v>678</v>
      </c>
      <c r="P2" s="256">
        <v>8</v>
      </c>
    </row>
    <row hidden="true" r="3">
      <c r="A3" s="254" t="s">
        <v>674</v>
      </c>
      <c r="B3" s="255" t="s">
        <v>679</v>
      </c>
      <c r="C3" s="256" t="s">
        <v>680</v>
      </c>
      <c r="D3" s="256">
        <v>4</v>
      </c>
      <c r="E3" s="257">
        <v>28</v>
      </c>
      <c r="F3" s="257">
        <v>35470</v>
      </c>
      <c r="G3" s="257">
        <v>22393.9</v>
      </c>
      <c r="H3" s="258">
        <f t="shared" si="29"/>
      </c>
      <c r="I3" s="258">
        <f t="shared" si="30"/>
      </c>
      <c r="J3" s="258">
        <f>G2/E3</f>
      </c>
      <c r="K3" s="257">
        <v>6</v>
      </c>
      <c r="L3" s="257">
        <v>7958</v>
      </c>
      <c r="M3" s="256"/>
      <c r="N3" s="256"/>
      <c r="O3" s="259"/>
      <c r="P3" s="256"/>
    </row>
    <row hidden="true" r="4">
      <c r="A4" s="254" t="s">
        <v>674</v>
      </c>
      <c r="B4" s="255" t="s">
        <v>681</v>
      </c>
      <c r="C4" s="256" t="s">
        <v>682</v>
      </c>
      <c r="D4" s="257">
        <v>4</v>
      </c>
      <c r="E4" s="257">
        <v>10</v>
      </c>
      <c r="F4" s="257">
        <v>12470.8</v>
      </c>
      <c r="G4" s="257">
        <v>13874.38</v>
      </c>
      <c r="H4" s="258">
        <f t="shared" si="29"/>
      </c>
      <c r="I4" s="258">
        <f t="shared" si="30"/>
      </c>
      <c r="J4" s="258">
        <f t="shared" ref="J4:J7" si="0">G4/E4</f>
      </c>
      <c r="K4" s="257">
        <v>0</v>
      </c>
      <c r="L4" s="257">
        <v>0</v>
      </c>
      <c r="M4" s="257"/>
      <c r="N4" s="257"/>
      <c r="O4" s="256"/>
      <c r="P4" s="256"/>
    </row>
    <row hidden="true" r="5">
      <c r="A5" s="254" t="s">
        <v>674</v>
      </c>
      <c r="B5" s="255" t="s">
        <v>683</v>
      </c>
      <c r="C5" s="256" t="s">
        <v>684</v>
      </c>
      <c r="D5" s="257">
        <v>4</v>
      </c>
      <c r="E5" s="257">
        <v>42</v>
      </c>
      <c r="F5" s="257">
        <v>70416</v>
      </c>
      <c r="G5" s="257">
        <v>30304.07</v>
      </c>
      <c r="H5" s="258">
        <f t="shared" si="29"/>
      </c>
      <c r="I5" s="258">
        <f t="shared" si="30"/>
      </c>
      <c r="J5" s="258">
        <f t="shared" si="0"/>
      </c>
      <c r="K5" s="257">
        <v>9</v>
      </c>
      <c r="L5" s="257">
        <v>14880</v>
      </c>
      <c r="M5" s="257" t="s">
        <v>685</v>
      </c>
      <c r="N5" s="257">
        <v>8</v>
      </c>
      <c r="O5" s="256" t="s">
        <v>686</v>
      </c>
      <c r="P5" s="256">
        <v>8</v>
      </c>
    </row>
    <row r="6">
      <c r="A6" s="260" t="s">
        <v>674</v>
      </c>
      <c r="B6" s="261"/>
      <c r="C6" s="261"/>
      <c r="D6" s="262">
        <f>SUM(D2:D5)</f>
      </c>
      <c r="E6" s="262">
        <f>SUM(E2:E5)</f>
      </c>
      <c r="F6" s="262">
        <f>SUM(F2:F5)</f>
      </c>
      <c r="G6" s="262">
        <f>SUM(G2:G5)</f>
      </c>
      <c r="H6" s="263">
        <f t="shared" si="29"/>
      </c>
      <c r="I6" s="263">
        <f t="shared" si="30"/>
      </c>
      <c r="J6" s="263">
        <f t="shared" si="0"/>
      </c>
      <c r="K6" s="262">
        <f>SUM(K2:K5)</f>
      </c>
      <c r="L6" s="262">
        <f>SUM(L2:L5)</f>
      </c>
      <c r="M6" s="264"/>
      <c r="N6" s="262">
        <f>SUM(N2:N5)</f>
      </c>
      <c r="O6" s="264"/>
      <c r="P6" s="264">
        <f>SUM(P2:P5)</f>
      </c>
    </row>
    <row hidden="true" r="7">
      <c r="A7" s="254" t="s">
        <v>687</v>
      </c>
      <c r="B7" s="255" t="s">
        <v>688</v>
      </c>
      <c r="C7" s="256" t="s">
        <v>676</v>
      </c>
      <c r="D7" s="256">
        <v>4</v>
      </c>
      <c r="E7" s="257">
        <v>24</v>
      </c>
      <c r="F7" s="257">
        <v>28166</v>
      </c>
      <c r="G7" s="257">
        <v>21576.94</v>
      </c>
      <c r="H7" s="258">
        <f t="shared" si="29"/>
      </c>
      <c r="I7" s="258">
        <f t="shared" si="30"/>
      </c>
      <c r="J7" s="258">
        <f t="shared" si="0"/>
      </c>
      <c r="K7" s="257">
        <v>6</v>
      </c>
      <c r="L7" s="257">
        <v>7188</v>
      </c>
      <c r="M7" s="257" t="s">
        <v>677</v>
      </c>
      <c r="N7" s="256">
        <v>8</v>
      </c>
      <c r="O7" s="256" t="s">
        <v>678</v>
      </c>
      <c r="P7" s="256">
        <v>8</v>
      </c>
    </row>
    <row hidden="true" r="8">
      <c r="A8" s="254" t="s">
        <v>687</v>
      </c>
      <c r="B8" s="255" t="s">
        <v>679</v>
      </c>
      <c r="C8" s="256" t="s">
        <v>680</v>
      </c>
      <c r="D8" s="256">
        <v>4</v>
      </c>
      <c r="E8" s="257">
        <v>46</v>
      </c>
      <c r="F8" s="257">
        <v>72702</v>
      </c>
      <c r="G8" s="257">
        <v>28851.73</v>
      </c>
      <c r="H8" s="258">
        <f t="shared" si="29"/>
      </c>
      <c r="I8" s="258">
        <f t="shared" si="30"/>
      </c>
      <c r="J8" s="258">
        <f>G7/E8</f>
      </c>
      <c r="K8" s="257">
        <v>4</v>
      </c>
      <c r="L8" s="257">
        <v>2856</v>
      </c>
      <c r="M8" s="256"/>
      <c r="N8" s="256"/>
      <c r="O8" s="259"/>
      <c r="P8" s="256"/>
    </row>
    <row hidden="true" r="9">
      <c r="A9" s="254" t="s">
        <v>687</v>
      </c>
      <c r="B9" s="255" t="s">
        <v>683</v>
      </c>
      <c r="C9" s="256" t="s">
        <v>682</v>
      </c>
      <c r="D9" s="257">
        <v>4</v>
      </c>
      <c r="E9" s="257">
        <v>35</v>
      </c>
      <c r="F9" s="257">
        <v>49819.2</v>
      </c>
      <c r="G9" s="257">
        <v>28169.92</v>
      </c>
      <c r="H9" s="258">
        <f t="shared" si="29"/>
      </c>
      <c r="I9" s="258">
        <f t="shared" si="30"/>
      </c>
      <c r="J9" s="258">
        <f t="shared" ref="J9:J12" si="1">G9/E9</f>
      </c>
      <c r="K9" s="257">
        <v>5</v>
      </c>
      <c r="L9" s="257">
        <v>7560</v>
      </c>
      <c r="M9" s="257"/>
      <c r="N9" s="257"/>
      <c r="O9" s="256"/>
      <c r="P9" s="256"/>
    </row>
    <row hidden="true" r="10">
      <c r="A10" s="254" t="s">
        <v>687</v>
      </c>
      <c r="B10" s="255" t="s">
        <v>675</v>
      </c>
      <c r="C10" s="256" t="s">
        <v>684</v>
      </c>
      <c r="D10" s="257">
        <v>4</v>
      </c>
      <c r="E10" s="257">
        <v>46</v>
      </c>
      <c r="F10" s="257">
        <v>64176</v>
      </c>
      <c r="G10" s="257">
        <v>29461.16</v>
      </c>
      <c r="H10" s="258">
        <f t="shared" si="29"/>
      </c>
      <c r="I10" s="258">
        <f t="shared" si="30"/>
      </c>
      <c r="J10" s="258">
        <f t="shared" si="1"/>
      </c>
      <c r="K10" s="257">
        <v>4</v>
      </c>
      <c r="L10" s="257">
        <v>5172</v>
      </c>
      <c r="M10" s="257" t="s">
        <v>685</v>
      </c>
      <c r="N10" s="257">
        <v>8</v>
      </c>
      <c r="O10" s="256" t="s">
        <v>686</v>
      </c>
      <c r="P10" s="256">
        <v>8</v>
      </c>
    </row>
    <row r="11">
      <c r="A11" s="260" t="s">
        <v>687</v>
      </c>
      <c r="B11" s="261"/>
      <c r="C11" s="261"/>
      <c r="D11" s="262">
        <f>SUM(D7:D10)</f>
      </c>
      <c r="E11" s="262">
        <f>SUM(E7:E10)</f>
      </c>
      <c r="F11" s="262">
        <f>SUM(F7:F10)</f>
      </c>
      <c r="G11" s="262">
        <f>SUM(G7:G10)</f>
      </c>
      <c r="H11" s="263">
        <f t="shared" si="29"/>
      </c>
      <c r="I11" s="263">
        <f t="shared" si="30"/>
      </c>
      <c r="J11" s="263">
        <f t="shared" si="1"/>
      </c>
      <c r="K11" s="262">
        <f>SUM(K7:K10)</f>
      </c>
      <c r="L11" s="262">
        <f>SUM(L7:L10)</f>
      </c>
      <c r="M11" s="264"/>
      <c r="N11" s="262">
        <f>SUM(N7:N10)</f>
      </c>
      <c r="O11" s="264"/>
      <c r="P11" s="264">
        <f>SUM(P7:P10)</f>
      </c>
    </row>
    <row hidden="true" r="12">
      <c r="A12" s="254" t="s">
        <v>689</v>
      </c>
      <c r="B12" s="255" t="s">
        <v>679</v>
      </c>
      <c r="C12" s="257" t="s">
        <v>690</v>
      </c>
      <c r="D12" s="257">
        <v>5</v>
      </c>
      <c r="E12" s="257">
        <v>42</v>
      </c>
      <c r="F12" s="257">
        <v>58550</v>
      </c>
      <c r="G12" s="257">
        <v>41114.56999999999</v>
      </c>
      <c r="H12" s="258">
        <f t="shared" si="29"/>
      </c>
      <c r="I12" s="258">
        <f t="shared" si="30"/>
      </c>
      <c r="J12" s="258">
        <f t="shared" si="1"/>
      </c>
      <c r="K12" s="257">
        <v>7</v>
      </c>
      <c r="L12" s="257">
        <v>10752</v>
      </c>
      <c r="M12" s="257" t="s">
        <v>691</v>
      </c>
      <c r="N12" s="257">
        <v>9</v>
      </c>
      <c r="O12" s="256" t="s">
        <v>678</v>
      </c>
      <c r="P12" s="257">
        <v>9</v>
      </c>
    </row>
    <row hidden="true" r="13">
      <c r="A13" s="254" t="s">
        <v>689</v>
      </c>
      <c r="B13" s="255" t="s">
        <v>683</v>
      </c>
      <c r="C13" s="257" t="s">
        <v>692</v>
      </c>
      <c r="D13" s="257">
        <v>5</v>
      </c>
      <c r="E13" s="257">
        <v>46</v>
      </c>
      <c r="F13" s="257">
        <v>54081.6</v>
      </c>
      <c r="G13" s="257">
        <v>31688.2</v>
      </c>
      <c r="H13" s="258">
        <f t="shared" si="29"/>
      </c>
      <c r="I13" s="258">
        <f t="shared" si="30"/>
      </c>
      <c r="J13" s="258">
        <f>G12/E13</f>
      </c>
      <c r="K13" s="257">
        <v>8</v>
      </c>
      <c r="L13" s="257">
        <v>12000</v>
      </c>
      <c r="M13" s="256"/>
      <c r="N13" s="256"/>
      <c r="O13" s="259"/>
      <c r="P13" s="256"/>
    </row>
    <row hidden="true" r="14">
      <c r="A14" s="254" t="s">
        <v>689</v>
      </c>
      <c r="B14" s="255" t="s">
        <v>675</v>
      </c>
      <c r="C14" s="257" t="s">
        <v>693</v>
      </c>
      <c r="D14" s="257">
        <v>4</v>
      </c>
      <c r="E14" s="257">
        <v>18</v>
      </c>
      <c r="F14" s="257">
        <v>23208</v>
      </c>
      <c r="G14" s="257">
        <v>17035.68</v>
      </c>
      <c r="H14" s="258">
        <f t="shared" si="29"/>
      </c>
      <c r="I14" s="258">
        <f t="shared" si="30"/>
      </c>
      <c r="J14" s="258">
        <f t="shared" ref="J14:J17" si="2">G14/E14</f>
      </c>
      <c r="K14" s="257">
        <v>3</v>
      </c>
      <c r="L14" s="257">
        <v>3480</v>
      </c>
      <c r="M14" s="257"/>
      <c r="N14" s="257"/>
      <c r="O14" s="256"/>
      <c r="P14" s="256"/>
    </row>
    <row hidden="true" r="15">
      <c r="A15" s="254" t="s">
        <v>689</v>
      </c>
      <c r="B15" s="255" t="s">
        <v>688</v>
      </c>
      <c r="C15" s="257" t="s">
        <v>694</v>
      </c>
      <c r="D15" s="257">
        <v>4</v>
      </c>
      <c r="E15" s="257">
        <v>22</v>
      </c>
      <c r="F15" s="257">
        <v>24780</v>
      </c>
      <c r="G15" s="257">
        <v>19136.65</v>
      </c>
      <c r="H15" s="258">
        <f t="shared" si="29"/>
      </c>
      <c r="I15" s="258">
        <f t="shared" si="30"/>
      </c>
      <c r="J15" s="258">
        <f t="shared" si="2"/>
      </c>
      <c r="K15" s="257">
        <v>6</v>
      </c>
      <c r="L15" s="257">
        <v>6684</v>
      </c>
      <c r="M15" s="257" t="s">
        <v>685</v>
      </c>
      <c r="N15" s="257">
        <v>9</v>
      </c>
      <c r="O15" s="256" t="s">
        <v>686</v>
      </c>
      <c r="P15" s="257">
        <v>9</v>
      </c>
    </row>
    <row r="16">
      <c r="A16" s="260" t="s">
        <v>689</v>
      </c>
      <c r="B16" s="261"/>
      <c r="C16" s="261"/>
      <c r="D16" s="262">
        <f>SUM(D12:D15)</f>
      </c>
      <c r="E16" s="262">
        <f>SUM(E12:E15)</f>
      </c>
      <c r="F16" s="262">
        <f>SUM(F12:F15)</f>
      </c>
      <c r="G16" s="262">
        <f>SUM(G12:G15)</f>
      </c>
      <c r="H16" s="263">
        <f t="shared" si="29"/>
      </c>
      <c r="I16" s="263">
        <f t="shared" si="30"/>
      </c>
      <c r="J16" s="263">
        <f t="shared" si="2"/>
      </c>
      <c r="K16" s="262">
        <f>SUM(K12:K15)</f>
      </c>
      <c r="L16" s="262">
        <f>SUM(L12:L15)</f>
      </c>
      <c r="M16" s="264"/>
      <c r="N16" s="262">
        <f>SUM(N12:N15)</f>
      </c>
      <c r="O16" s="264"/>
      <c r="P16" s="264">
        <f>SUM(P12:P15)</f>
      </c>
    </row>
    <row hidden="true" r="17">
      <c r="A17" s="254" t="s">
        <v>695</v>
      </c>
      <c r="B17" s="255" t="s">
        <v>679</v>
      </c>
      <c r="C17" s="257" t="s">
        <v>696</v>
      </c>
      <c r="D17" s="257">
        <v>5</v>
      </c>
      <c r="E17" s="257">
        <v>43</v>
      </c>
      <c r="F17" s="257">
        <v>57712.4</v>
      </c>
      <c r="G17" s="257">
        <v>31004.86</v>
      </c>
      <c r="H17" s="258">
        <f t="shared" si="29"/>
      </c>
      <c r="I17" s="258">
        <f t="shared" si="30"/>
      </c>
      <c r="J17" s="258">
        <f t="shared" si="2"/>
      </c>
      <c r="K17" s="257">
        <v>8</v>
      </c>
      <c r="L17" s="257">
        <v>8688</v>
      </c>
      <c r="M17" s="257" t="s">
        <v>677</v>
      </c>
      <c r="N17" s="257">
        <v>9</v>
      </c>
      <c r="O17" s="256" t="s">
        <v>686</v>
      </c>
      <c r="P17" s="257">
        <v>9</v>
      </c>
    </row>
    <row hidden="true" r="18">
      <c r="A18" s="254" t="s">
        <v>695</v>
      </c>
      <c r="B18" s="255" t="s">
        <v>675</v>
      </c>
      <c r="C18" s="257" t="s">
        <v>697</v>
      </c>
      <c r="D18" s="257">
        <v>4</v>
      </c>
      <c r="E18" s="257">
        <v>36</v>
      </c>
      <c r="F18" s="257">
        <v>46136.1</v>
      </c>
      <c r="G18" s="257">
        <v>23529.02</v>
      </c>
      <c r="H18" s="258">
        <f t="shared" si="29"/>
      </c>
      <c r="I18" s="258">
        <f t="shared" si="30"/>
      </c>
      <c r="J18" s="258">
        <f>G17/E18</f>
      </c>
      <c r="K18" s="257">
        <v>2</v>
      </c>
      <c r="L18" s="257">
        <v>1902</v>
      </c>
      <c r="M18" s="256"/>
      <c r="N18" s="256"/>
      <c r="O18" s="259"/>
      <c r="P18" s="256"/>
    </row>
    <row hidden="true" r="19">
      <c r="A19" s="254" t="s">
        <v>695</v>
      </c>
      <c r="B19" s="255" t="s">
        <v>681</v>
      </c>
      <c r="C19" s="257" t="s">
        <v>693</v>
      </c>
      <c r="D19" s="257">
        <v>4</v>
      </c>
      <c r="E19" s="257">
        <v>26</v>
      </c>
      <c r="F19" s="257">
        <v>30412.7</v>
      </c>
      <c r="G19" s="257">
        <v>26631.95</v>
      </c>
      <c r="H19" s="258">
        <f t="shared" si="29"/>
      </c>
      <c r="I19" s="258">
        <f t="shared" si="30"/>
      </c>
      <c r="J19" s="258">
        <f t="shared" ref="J19:J22" si="3">G19/E19</f>
      </c>
      <c r="K19" s="257">
        <v>2</v>
      </c>
      <c r="L19" s="257">
        <v>3571</v>
      </c>
      <c r="M19" s="257"/>
      <c r="N19" s="257"/>
      <c r="O19" s="256"/>
      <c r="P19" s="256"/>
    </row>
    <row hidden="true" r="20">
      <c r="A20" s="254" t="s">
        <v>695</v>
      </c>
      <c r="B20" s="255" t="s">
        <v>683</v>
      </c>
      <c r="C20" s="257" t="s">
        <v>698</v>
      </c>
      <c r="D20" s="257">
        <v>5</v>
      </c>
      <c r="E20" s="257">
        <v>26</v>
      </c>
      <c r="F20" s="257">
        <v>35628</v>
      </c>
      <c r="G20" s="257">
        <v>21894.32</v>
      </c>
      <c r="H20" s="258">
        <f t="shared" si="29"/>
      </c>
      <c r="I20" s="258">
        <f t="shared" si="30"/>
      </c>
      <c r="J20" s="258">
        <f t="shared" si="3"/>
      </c>
      <c r="K20" s="257">
        <v>1</v>
      </c>
      <c r="L20" s="257">
        <v>396</v>
      </c>
      <c r="M20" s="257" t="s">
        <v>685</v>
      </c>
      <c r="N20" s="257">
        <v>9</v>
      </c>
      <c r="O20" s="256" t="s">
        <v>678</v>
      </c>
      <c r="P20" s="257">
        <v>9</v>
      </c>
    </row>
    <row r="21">
      <c r="A21" s="260" t="s">
        <v>695</v>
      </c>
      <c r="B21" s="261"/>
      <c r="C21" s="261"/>
      <c r="D21" s="262">
        <f>SUM(D17:D20)</f>
      </c>
      <c r="E21" s="262">
        <f>SUM(E17:E20)</f>
      </c>
      <c r="F21" s="262">
        <f>SUM(F17:F20)</f>
      </c>
      <c r="G21" s="262">
        <f>SUM(G17:G20)</f>
      </c>
      <c r="H21" s="263">
        <f t="shared" si="29"/>
      </c>
      <c r="I21" s="263">
        <f t="shared" si="30"/>
      </c>
      <c r="J21" s="263">
        <f t="shared" si="3"/>
      </c>
      <c r="K21" s="262">
        <f>SUM(K17:K20)</f>
      </c>
      <c r="L21" s="262">
        <f>SUM(L17:L20)</f>
      </c>
      <c r="M21" s="264"/>
      <c r="N21" s="262">
        <f>SUM(N17:N20)</f>
      </c>
      <c r="O21" s="264"/>
      <c r="P21" s="264">
        <f>SUM(P17:P20)</f>
      </c>
    </row>
    <row hidden="true" r="22">
      <c r="A22" s="254" t="s">
        <v>699</v>
      </c>
      <c r="B22" s="255" t="s">
        <v>679</v>
      </c>
      <c r="C22" s="257" t="s">
        <v>690</v>
      </c>
      <c r="D22" s="257">
        <v>5</v>
      </c>
      <c r="E22" s="257">
        <v>26</v>
      </c>
      <c r="F22" s="257">
        <v>25612.8</v>
      </c>
      <c r="G22" s="257">
        <v>19765.62</v>
      </c>
      <c r="H22" s="258">
        <f t="shared" si="29"/>
      </c>
      <c r="I22" s="258">
        <f t="shared" si="30"/>
      </c>
      <c r="J22" s="258">
        <f t="shared" si="3"/>
      </c>
      <c r="K22" s="257">
        <v>6</v>
      </c>
      <c r="L22" s="257">
        <v>3483.6</v>
      </c>
      <c r="M22" s="257" t="s">
        <v>677</v>
      </c>
      <c r="N22" s="257">
        <v>9</v>
      </c>
      <c r="O22" s="256" t="s">
        <v>686</v>
      </c>
      <c r="P22" s="257">
        <v>9</v>
      </c>
    </row>
    <row hidden="true" r="23">
      <c r="A23" s="254" t="s">
        <v>699</v>
      </c>
      <c r="B23" s="255" t="s">
        <v>688</v>
      </c>
      <c r="C23" s="257" t="s">
        <v>680</v>
      </c>
      <c r="D23" s="257">
        <v>4</v>
      </c>
      <c r="E23" s="257">
        <v>12</v>
      </c>
      <c r="F23" s="257">
        <v>12710</v>
      </c>
      <c r="G23" s="257">
        <v>16127.13</v>
      </c>
      <c r="H23" s="258">
        <f t="shared" si="29"/>
      </c>
      <c r="I23" s="258">
        <f t="shared" si="30"/>
      </c>
      <c r="J23" s="258">
        <f>G22/E23</f>
      </c>
      <c r="K23" s="257">
        <v>3</v>
      </c>
      <c r="L23" s="257">
        <v>4140</v>
      </c>
      <c r="M23" s="256"/>
      <c r="N23" s="256"/>
      <c r="O23" s="259"/>
      <c r="P23" s="256"/>
    </row>
    <row hidden="true" r="24">
      <c r="A24" s="254" t="s">
        <v>699</v>
      </c>
      <c r="B24" s="255" t="s">
        <v>675</v>
      </c>
      <c r="C24" s="257" t="s">
        <v>682</v>
      </c>
      <c r="D24" s="257">
        <v>4</v>
      </c>
      <c r="E24" s="257">
        <v>30</v>
      </c>
      <c r="F24" s="257">
        <v>31033.8</v>
      </c>
      <c r="G24" s="257">
        <v>15313.06</v>
      </c>
      <c r="H24" s="258">
        <f t="shared" si="29"/>
      </c>
      <c r="I24" s="258">
        <f t="shared" si="30"/>
      </c>
      <c r="J24" s="258">
        <f t="shared" ref="J24:J27" si="4">G24/E24</f>
      </c>
      <c r="K24" s="257">
        <v>1</v>
      </c>
      <c r="L24" s="257">
        <v>1692</v>
      </c>
      <c r="M24" s="257"/>
      <c r="N24" s="257"/>
      <c r="O24" s="256"/>
      <c r="P24" s="256"/>
    </row>
    <row hidden="true" r="25">
      <c r="A25" s="254" t="s">
        <v>699</v>
      </c>
      <c r="B25" s="255" t="s">
        <v>683</v>
      </c>
      <c r="C25" s="257" t="s">
        <v>700</v>
      </c>
      <c r="D25" s="257">
        <v>5</v>
      </c>
      <c r="E25" s="257">
        <v>39</v>
      </c>
      <c r="F25" s="257">
        <v>53773.8</v>
      </c>
      <c r="G25" s="257">
        <v>28769.1</v>
      </c>
      <c r="H25" s="258">
        <f t="shared" si="29"/>
      </c>
      <c r="I25" s="258">
        <f t="shared" si="30"/>
      </c>
      <c r="J25" s="258">
        <f t="shared" si="4"/>
      </c>
      <c r="K25" s="257">
        <v>6</v>
      </c>
      <c r="L25" s="257">
        <v>10092</v>
      </c>
      <c r="M25" s="257" t="s">
        <v>685</v>
      </c>
      <c r="N25" s="257">
        <v>9</v>
      </c>
      <c r="O25" s="256" t="s">
        <v>678</v>
      </c>
      <c r="P25" s="257">
        <v>9</v>
      </c>
    </row>
    <row r="26">
      <c r="A26" s="260" t="s">
        <v>699</v>
      </c>
      <c r="B26" s="261"/>
      <c r="C26" s="261"/>
      <c r="D26" s="262">
        <f>SUM(D22:D25)</f>
      </c>
      <c r="E26" s="262">
        <f>SUM(E22:E25)</f>
      </c>
      <c r="F26" s="262">
        <f>SUM(F22:F25)</f>
      </c>
      <c r="G26" s="262">
        <f>SUM(G22:G25)</f>
      </c>
      <c r="H26" s="263">
        <f t="shared" si="29"/>
      </c>
      <c r="I26" s="263">
        <f t="shared" si="30"/>
      </c>
      <c r="J26" s="263">
        <f t="shared" si="4"/>
      </c>
      <c r="K26" s="262">
        <f>SUM(K22:K25)</f>
      </c>
      <c r="L26" s="262">
        <f>SUM(L22:L25)</f>
      </c>
      <c r="M26" s="264"/>
      <c r="N26" s="262">
        <f>SUM(N22:N25)</f>
      </c>
      <c r="O26" s="264"/>
      <c r="P26" s="264">
        <f>SUM(P22:P25)</f>
      </c>
    </row>
    <row hidden="true" r="27">
      <c r="A27" s="254" t="s">
        <v>701</v>
      </c>
      <c r="B27" s="255" t="s">
        <v>681</v>
      </c>
      <c r="C27" s="257" t="s">
        <v>702</v>
      </c>
      <c r="D27" s="257">
        <v>4</v>
      </c>
      <c r="E27" s="257">
        <v>28</v>
      </c>
      <c r="F27" s="257">
        <v>33914.4</v>
      </c>
      <c r="G27" s="257">
        <v>24075.48</v>
      </c>
      <c r="H27" s="258">
        <f t="shared" si="29"/>
      </c>
      <c r="I27" s="258">
        <f t="shared" si="30"/>
      </c>
      <c r="J27" s="258">
        <f t="shared" si="4"/>
      </c>
      <c r="K27" s="257">
        <v>6</v>
      </c>
      <c r="L27" s="257">
        <v>5844</v>
      </c>
      <c r="M27" s="257" t="s">
        <v>677</v>
      </c>
      <c r="N27" s="257">
        <v>9</v>
      </c>
      <c r="O27" s="256" t="s">
        <v>686</v>
      </c>
      <c r="P27" s="257">
        <v>9</v>
      </c>
    </row>
    <row hidden="true" r="28">
      <c r="A28" s="254" t="s">
        <v>701</v>
      </c>
      <c r="B28" s="255" t="s">
        <v>679</v>
      </c>
      <c r="C28" s="257" t="s">
        <v>703</v>
      </c>
      <c r="D28" s="257">
        <v>5</v>
      </c>
      <c r="E28" s="257">
        <v>39</v>
      </c>
      <c r="F28" s="257">
        <v>44458.8</v>
      </c>
      <c r="G28" s="257">
        <v>31743.15</v>
      </c>
      <c r="H28" s="258">
        <f t="shared" si="29"/>
      </c>
      <c r="I28" s="258">
        <f t="shared" si="30"/>
      </c>
      <c r="J28" s="258">
        <f>G27/E28</f>
      </c>
      <c r="K28" s="257">
        <v>7</v>
      </c>
      <c r="L28" s="257">
        <v>11322</v>
      </c>
      <c r="M28" s="256"/>
      <c r="N28" s="256"/>
      <c r="O28" s="259"/>
      <c r="P28" s="256"/>
    </row>
    <row hidden="true" r="29">
      <c r="A29" s="254" t="s">
        <v>701</v>
      </c>
      <c r="B29" s="255" t="s">
        <v>683</v>
      </c>
      <c r="C29" s="257" t="s">
        <v>704</v>
      </c>
      <c r="D29" s="257">
        <v>5</v>
      </c>
      <c r="E29" s="257">
        <v>25</v>
      </c>
      <c r="F29" s="257">
        <v>33120</v>
      </c>
      <c r="G29" s="257">
        <v>20725.59</v>
      </c>
      <c r="H29" s="258">
        <f t="shared" si="29"/>
      </c>
      <c r="I29" s="258">
        <f t="shared" si="30"/>
      </c>
      <c r="J29" s="258">
        <f t="shared" ref="J29:J32" si="5">G29/E29</f>
      </c>
      <c r="K29" s="257">
        <v>3</v>
      </c>
      <c r="L29" s="257">
        <v>4236</v>
      </c>
      <c r="M29" s="257"/>
      <c r="N29" s="257"/>
      <c r="O29" s="256"/>
      <c r="P29" s="256"/>
    </row>
    <row hidden="true" r="30">
      <c r="A30" s="254" t="s">
        <v>701</v>
      </c>
      <c r="B30" s="255" t="s">
        <v>688</v>
      </c>
      <c r="C30" s="257" t="s">
        <v>694</v>
      </c>
      <c r="D30" s="257">
        <v>4</v>
      </c>
      <c r="E30" s="257">
        <v>35</v>
      </c>
      <c r="F30" s="257">
        <v>43372.6</v>
      </c>
      <c r="G30" s="257">
        <v>23386.01</v>
      </c>
      <c r="H30" s="258">
        <f t="shared" si="29"/>
      </c>
      <c r="I30" s="258">
        <f t="shared" si="30"/>
      </c>
      <c r="J30" s="258">
        <f t="shared" si="5"/>
      </c>
      <c r="K30" s="257">
        <v>4</v>
      </c>
      <c r="L30" s="257">
        <v>5844</v>
      </c>
      <c r="M30" s="257" t="s">
        <v>685</v>
      </c>
      <c r="N30" s="257">
        <v>9</v>
      </c>
      <c r="O30" s="256" t="s">
        <v>678</v>
      </c>
      <c r="P30" s="257">
        <v>9</v>
      </c>
    </row>
    <row r="31">
      <c r="A31" s="260" t="s">
        <v>701</v>
      </c>
      <c r="B31" s="261"/>
      <c r="C31" s="261"/>
      <c r="D31" s="262">
        <f>SUM(D27:D30)</f>
      </c>
      <c r="E31" s="262">
        <f>SUM(E27:E30)</f>
      </c>
      <c r="F31" s="262">
        <f>SUM(F27:F30)</f>
      </c>
      <c r="G31" s="262">
        <f>SUM(G27:G30)</f>
      </c>
      <c r="H31" s="263">
        <f t="shared" si="29"/>
      </c>
      <c r="I31" s="263">
        <f t="shared" si="30"/>
      </c>
      <c r="J31" s="263">
        <f t="shared" si="5"/>
      </c>
      <c r="K31" s="262">
        <f>SUM(K27:K30)</f>
      </c>
      <c r="L31" s="262">
        <f>SUM(L27:L30)</f>
      </c>
      <c r="M31" s="264"/>
      <c r="N31" s="262">
        <f>SUM(N27:N30)</f>
      </c>
      <c r="O31" s="264"/>
      <c r="P31" s="264">
        <f>SUM(P27:P30)</f>
      </c>
    </row>
    <row hidden="true" r="32">
      <c r="A32" s="254" t="s">
        <v>705</v>
      </c>
      <c r="B32" s="255" t="s">
        <v>681</v>
      </c>
      <c r="C32" s="257" t="s">
        <v>702</v>
      </c>
      <c r="D32" s="257">
        <v>4</v>
      </c>
      <c r="E32" s="257">
        <v>22</v>
      </c>
      <c r="F32" s="257">
        <v>24682.8</v>
      </c>
      <c r="G32" s="257">
        <v>20253.83</v>
      </c>
      <c r="H32" s="258">
        <f t="shared" si="29"/>
      </c>
      <c r="I32" s="258">
        <f t="shared" si="30"/>
      </c>
      <c r="J32" s="258">
        <f t="shared" si="5"/>
      </c>
      <c r="K32" s="257">
        <v>6</v>
      </c>
      <c r="L32" s="257">
        <v>8881.2</v>
      </c>
      <c r="M32" s="257" t="s">
        <v>677</v>
      </c>
      <c r="N32" s="257">
        <v>9</v>
      </c>
      <c r="O32" s="256" t="s">
        <v>686</v>
      </c>
      <c r="P32" s="257">
        <v>9</v>
      </c>
    </row>
    <row hidden="true" r="33">
      <c r="A33" s="254" t="s">
        <v>705</v>
      </c>
      <c r="B33" s="255" t="s">
        <v>679</v>
      </c>
      <c r="C33" s="257" t="s">
        <v>703</v>
      </c>
      <c r="D33" s="257">
        <v>5</v>
      </c>
      <c r="E33" s="257">
        <v>27</v>
      </c>
      <c r="F33" s="257">
        <v>31519.6</v>
      </c>
      <c r="G33" s="257">
        <v>22532.13</v>
      </c>
      <c r="H33" s="258">
        <f t="shared" si="29"/>
      </c>
      <c r="I33" s="258">
        <f t="shared" si="30"/>
      </c>
      <c r="J33" s="258">
        <f>G32/E33</f>
      </c>
      <c r="K33" s="257">
        <v>6</v>
      </c>
      <c r="L33" s="257">
        <v>4764</v>
      </c>
      <c r="M33" s="256"/>
      <c r="N33" s="256"/>
      <c r="O33" s="259"/>
      <c r="P33" s="256"/>
    </row>
    <row hidden="true" r="34">
      <c r="A34" s="254" t="s">
        <v>705</v>
      </c>
      <c r="B34" s="255" t="s">
        <v>683</v>
      </c>
      <c r="C34" s="257" t="s">
        <v>704</v>
      </c>
      <c r="D34" s="257">
        <v>5</v>
      </c>
      <c r="E34" s="257">
        <v>18</v>
      </c>
      <c r="F34" s="257">
        <v>21518.4</v>
      </c>
      <c r="G34" s="257">
        <v>17102.6</v>
      </c>
      <c r="H34" s="258">
        <f t="shared" si="29"/>
      </c>
      <c r="I34" s="258">
        <f t="shared" si="30"/>
      </c>
      <c r="J34" s="258">
        <f t="shared" ref="J34:J37" si="6">G34/E34</f>
      </c>
      <c r="K34" s="257">
        <v>3</v>
      </c>
      <c r="L34" s="257">
        <v>2088</v>
      </c>
      <c r="M34" s="257"/>
      <c r="N34" s="257"/>
      <c r="O34" s="256"/>
      <c r="P34" s="256"/>
    </row>
    <row hidden="true" r="35">
      <c r="A35" s="254" t="s">
        <v>705</v>
      </c>
      <c r="B35" s="255" t="s">
        <v>675</v>
      </c>
      <c r="C35" s="257" t="s">
        <v>694</v>
      </c>
      <c r="D35" s="257">
        <v>4</v>
      </c>
      <c r="E35" s="257">
        <v>35</v>
      </c>
      <c r="F35" s="257">
        <v>40151.98</v>
      </c>
      <c r="G35" s="257">
        <v>20945.31</v>
      </c>
      <c r="H35" s="258">
        <f t="shared" si="29"/>
      </c>
      <c r="I35" s="258">
        <f t="shared" si="30"/>
      </c>
      <c r="J35" s="258">
        <f t="shared" si="6"/>
      </c>
      <c r="K35" s="257">
        <v>4</v>
      </c>
      <c r="L35" s="257">
        <v>3795.6</v>
      </c>
      <c r="M35" s="257" t="s">
        <v>685</v>
      </c>
      <c r="N35" s="257">
        <v>9</v>
      </c>
      <c r="O35" s="256" t="s">
        <v>678</v>
      </c>
      <c r="P35" s="257">
        <v>9</v>
      </c>
    </row>
    <row r="36">
      <c r="A36" s="260" t="s">
        <v>705</v>
      </c>
      <c r="B36" s="261"/>
      <c r="C36" s="261"/>
      <c r="D36" s="262">
        <f>SUM(D32:D35)</f>
      </c>
      <c r="E36" s="262">
        <f>SUM(E32:E35)</f>
      </c>
      <c r="F36" s="262">
        <f>SUM(F32:F35)</f>
      </c>
      <c r="G36" s="262">
        <f>SUM(G32:G35)</f>
      </c>
      <c r="H36" s="263">
        <f t="shared" si="29"/>
      </c>
      <c r="I36" s="263">
        <f t="shared" si="30"/>
      </c>
      <c r="J36" s="263">
        <f t="shared" si="6"/>
      </c>
      <c r="K36" s="262">
        <f>SUM(K32:K35)</f>
      </c>
      <c r="L36" s="262">
        <f>SUM(L32:L35)</f>
      </c>
      <c r="M36" s="264"/>
      <c r="N36" s="262">
        <f>SUM(N32:N35)</f>
      </c>
      <c r="O36" s="264"/>
      <c r="P36" s="264">
        <f>SUM(P32:P35)</f>
      </c>
    </row>
    <row hidden="true" r="37">
      <c r="A37" s="254" t="s">
        <v>706</v>
      </c>
      <c r="B37" s="255" t="s">
        <v>688</v>
      </c>
      <c r="C37" s="257" t="s">
        <v>702</v>
      </c>
      <c r="D37" s="257">
        <v>4</v>
      </c>
      <c r="E37" s="257">
        <v>31</v>
      </c>
      <c r="F37" s="257">
        <v>32970.2</v>
      </c>
      <c r="G37" s="257">
        <v>22802.73</v>
      </c>
      <c r="H37" s="258">
        <f t="shared" si="29"/>
      </c>
      <c r="I37" s="258">
        <f t="shared" si="30"/>
      </c>
      <c r="J37" s="258">
        <f t="shared" si="6"/>
      </c>
      <c r="K37" s="257">
        <v>10</v>
      </c>
      <c r="L37" s="257">
        <v>10331.4</v>
      </c>
      <c r="M37" s="257" t="s">
        <v>677</v>
      </c>
      <c r="N37" s="257">
        <v>9</v>
      </c>
      <c r="O37" s="256" t="s">
        <v>686</v>
      </c>
      <c r="P37" s="257">
        <v>9</v>
      </c>
    </row>
    <row hidden="true" r="38">
      <c r="A38" s="254" t="s">
        <v>706</v>
      </c>
      <c r="B38" s="255" t="s">
        <v>679</v>
      </c>
      <c r="C38" s="257" t="s">
        <v>703</v>
      </c>
      <c r="D38" s="257">
        <v>5</v>
      </c>
      <c r="E38" s="257">
        <v>27</v>
      </c>
      <c r="F38" s="257">
        <v>31747</v>
      </c>
      <c r="G38" s="257">
        <v>20945.77</v>
      </c>
      <c r="H38" s="258">
        <f t="shared" si="29"/>
      </c>
      <c r="I38" s="258">
        <f t="shared" si="30"/>
      </c>
      <c r="J38" s="258">
        <f>G37/E38</f>
      </c>
      <c r="K38" s="257">
        <v>3</v>
      </c>
      <c r="L38" s="257">
        <v>3852</v>
      </c>
      <c r="M38" s="256"/>
      <c r="N38" s="256"/>
      <c r="O38" s="259"/>
      <c r="P38" s="256"/>
    </row>
    <row hidden="true" r="39">
      <c r="A39" s="254" t="s">
        <v>706</v>
      </c>
      <c r="B39" s="255" t="s">
        <v>683</v>
      </c>
      <c r="C39" s="257" t="s">
        <v>704</v>
      </c>
      <c r="D39" s="257">
        <v>5</v>
      </c>
      <c r="E39" s="257">
        <v>26</v>
      </c>
      <c r="F39" s="257">
        <v>32989.2</v>
      </c>
      <c r="G39" s="257">
        <v>16221.78</v>
      </c>
      <c r="H39" s="258">
        <f t="shared" si="29"/>
      </c>
      <c r="I39" s="258">
        <f t="shared" si="30"/>
      </c>
      <c r="J39" s="258">
        <f t="shared" ref="J39:J42" si="7">G39/E39</f>
      </c>
      <c r="K39" s="257">
        <v>6</v>
      </c>
      <c r="L39" s="257">
        <v>7644</v>
      </c>
      <c r="M39" s="257"/>
      <c r="N39" s="257"/>
      <c r="O39" s="256"/>
      <c r="P39" s="256"/>
    </row>
    <row hidden="true" r="40">
      <c r="A40" s="254" t="s">
        <v>706</v>
      </c>
      <c r="B40" s="255" t="s">
        <v>675</v>
      </c>
      <c r="C40" s="257" t="s">
        <v>707</v>
      </c>
      <c r="D40" s="257">
        <v>3</v>
      </c>
      <c r="E40" s="257">
        <v>24</v>
      </c>
      <c r="F40" s="257">
        <v>25540.2</v>
      </c>
      <c r="G40" s="257">
        <v>12859.49</v>
      </c>
      <c r="H40" s="258">
        <f t="shared" si="29"/>
      </c>
      <c r="I40" s="258">
        <f t="shared" si="30"/>
      </c>
      <c r="J40" s="258">
        <f t="shared" si="7"/>
      </c>
      <c r="K40" s="257">
        <v>4</v>
      </c>
      <c r="L40" s="257">
        <v>4776</v>
      </c>
      <c r="M40" s="257" t="s">
        <v>685</v>
      </c>
      <c r="N40" s="257">
        <v>8</v>
      </c>
      <c r="O40" s="256" t="s">
        <v>678</v>
      </c>
      <c r="P40" s="257">
        <v>8</v>
      </c>
    </row>
    <row r="41">
      <c r="A41" s="260" t="s">
        <v>706</v>
      </c>
      <c r="B41" s="261"/>
      <c r="C41" s="261"/>
      <c r="D41" s="262">
        <f>SUM(D37:D40)</f>
      </c>
      <c r="E41" s="262">
        <f>SUM(E37:E40)</f>
      </c>
      <c r="F41" s="262">
        <f>SUM(F37:F40)</f>
      </c>
      <c r="G41" s="262">
        <f>SUM(G37:G40)</f>
      </c>
      <c r="H41" s="263">
        <f t="shared" si="29"/>
      </c>
      <c r="I41" s="263">
        <f t="shared" si="30"/>
      </c>
      <c r="J41" s="263">
        <f t="shared" si="7"/>
      </c>
      <c r="K41" s="262">
        <f>SUM(K37:K40)</f>
      </c>
      <c r="L41" s="262">
        <f>SUM(L37:L40)</f>
      </c>
      <c r="M41" s="264"/>
      <c r="N41" s="262">
        <f>SUM(N37:N40)</f>
      </c>
      <c r="O41" s="264"/>
      <c r="P41" s="264">
        <f>SUM(P37:P40)</f>
      </c>
    </row>
    <row hidden="true" r="42">
      <c r="A42" s="254" t="s">
        <v>708</v>
      </c>
      <c r="B42" s="255" t="s">
        <v>688</v>
      </c>
      <c r="C42" s="257" t="s">
        <v>690</v>
      </c>
      <c r="D42" s="257">
        <v>5</v>
      </c>
      <c r="E42" s="257">
        <v>34</v>
      </c>
      <c r="F42" s="257">
        <v>44538</v>
      </c>
      <c r="G42" s="257">
        <v>28523.16</v>
      </c>
      <c r="H42" s="258">
        <f t="shared" si="29"/>
      </c>
      <c r="I42" s="258">
        <f t="shared" si="30"/>
      </c>
      <c r="J42" s="258">
        <f t="shared" si="7"/>
      </c>
      <c r="K42" s="257">
        <v>7</v>
      </c>
      <c r="L42" s="257">
        <v>6534</v>
      </c>
      <c r="M42" s="257" t="s">
        <v>677</v>
      </c>
      <c r="N42" s="257">
        <v>9</v>
      </c>
      <c r="O42" s="256" t="s">
        <v>686</v>
      </c>
      <c r="P42" s="257">
        <v>9</v>
      </c>
    </row>
    <row hidden="true" r="43">
      <c r="A43" s="254" t="s">
        <v>708</v>
      </c>
      <c r="B43" s="255" t="s">
        <v>681</v>
      </c>
      <c r="C43" s="257" t="s">
        <v>680</v>
      </c>
      <c r="D43" s="257">
        <v>4</v>
      </c>
      <c r="E43" s="257">
        <v>26</v>
      </c>
      <c r="F43" s="257">
        <v>28120.8</v>
      </c>
      <c r="G43" s="257">
        <v>18856.85</v>
      </c>
      <c r="H43" s="258">
        <f t="shared" si="29"/>
      </c>
      <c r="I43" s="258">
        <f t="shared" si="30"/>
      </c>
      <c r="J43" s="258">
        <f>G42/E43</f>
      </c>
      <c r="K43" s="257">
        <v>5</v>
      </c>
      <c r="L43" s="257">
        <v>4488</v>
      </c>
      <c r="M43" s="256"/>
      <c r="N43" s="256"/>
      <c r="O43" s="259"/>
      <c r="P43" s="256"/>
    </row>
    <row hidden="true" r="44">
      <c r="A44" s="254" t="s">
        <v>708</v>
      </c>
      <c r="B44" s="255" t="s">
        <v>675</v>
      </c>
      <c r="C44" s="257" t="s">
        <v>704</v>
      </c>
      <c r="D44" s="257">
        <v>5</v>
      </c>
      <c r="E44" s="257">
        <v>32</v>
      </c>
      <c r="F44" s="257">
        <v>40124.6</v>
      </c>
      <c r="G44" s="257">
        <v>29436.28</v>
      </c>
      <c r="H44" s="258">
        <f t="shared" si="29"/>
      </c>
      <c r="I44" s="258">
        <f t="shared" si="30"/>
      </c>
      <c r="J44" s="258">
        <f t="shared" ref="J44:J47" si="8">G44/E44</f>
      </c>
      <c r="K44" s="257">
        <v>6</v>
      </c>
      <c r="L44" s="257">
        <v>8256</v>
      </c>
      <c r="M44" s="257"/>
      <c r="N44" s="257"/>
      <c r="O44" s="256"/>
      <c r="P44" s="256"/>
    </row>
    <row hidden="true" r="45">
      <c r="A45" s="254" t="s">
        <v>708</v>
      </c>
      <c r="B45" s="255" t="s">
        <v>683</v>
      </c>
      <c r="C45" s="257" t="s">
        <v>694</v>
      </c>
      <c r="D45" s="257">
        <v>4</v>
      </c>
      <c r="E45" s="257">
        <v>46</v>
      </c>
      <c r="F45" s="257">
        <v>58556.4</v>
      </c>
      <c r="G45" s="257">
        <v>37258.08</v>
      </c>
      <c r="H45" s="258">
        <f t="shared" si="29"/>
      </c>
      <c r="I45" s="258">
        <f t="shared" si="30"/>
      </c>
      <c r="J45" s="258">
        <f t="shared" si="8"/>
      </c>
      <c r="K45" s="257">
        <v>5</v>
      </c>
      <c r="L45" s="257">
        <v>5496</v>
      </c>
      <c r="M45" s="257" t="s">
        <v>685</v>
      </c>
      <c r="N45" s="257">
        <v>9</v>
      </c>
      <c r="O45" s="256" t="s">
        <v>678</v>
      </c>
      <c r="P45" s="257">
        <v>9</v>
      </c>
    </row>
    <row r="46">
      <c r="A46" s="260" t="s">
        <v>708</v>
      </c>
      <c r="B46" s="261"/>
      <c r="C46" s="261"/>
      <c r="D46" s="262">
        <f>SUM(D42:D45)</f>
      </c>
      <c r="E46" s="262">
        <f>SUM(E42:E45)</f>
      </c>
      <c r="F46" s="262">
        <f>SUM(F42:F45)</f>
      </c>
      <c r="G46" s="262">
        <f>SUM(G42:G45)</f>
      </c>
      <c r="H46" s="263">
        <f t="shared" si="29"/>
      </c>
      <c r="I46" s="263">
        <f t="shared" si="30"/>
      </c>
      <c r="J46" s="263">
        <f t="shared" si="8"/>
      </c>
      <c r="K46" s="262">
        <f>SUM(K42:K45)</f>
      </c>
      <c r="L46" s="262">
        <f>SUM(L42:L45)</f>
      </c>
      <c r="M46" s="264"/>
      <c r="N46" s="262">
        <f>SUM(N42:N45)</f>
      </c>
      <c r="O46" s="264"/>
      <c r="P46" s="264">
        <f>SUM(P42:P45)</f>
      </c>
    </row>
    <row hidden="true" r="47">
      <c r="A47" s="254" t="s">
        <v>709</v>
      </c>
      <c r="B47" s="255" t="s">
        <v>681</v>
      </c>
      <c r="C47" s="257" t="s">
        <v>710</v>
      </c>
      <c r="D47" s="257">
        <v>5</v>
      </c>
      <c r="E47" s="257">
        <v>39</v>
      </c>
      <c r="F47" s="257">
        <v>36192</v>
      </c>
      <c r="G47" s="257">
        <v>22811.72</v>
      </c>
      <c r="H47" s="258">
        <f t="shared" si="29"/>
      </c>
      <c r="I47" s="258">
        <f t="shared" si="30"/>
      </c>
      <c r="J47" s="258">
        <f t="shared" si="8"/>
      </c>
      <c r="K47" s="257">
        <v>6</v>
      </c>
      <c r="L47" s="257">
        <v>6684</v>
      </c>
      <c r="M47" s="257" t="s">
        <v>711</v>
      </c>
      <c r="N47" s="257">
        <v>10</v>
      </c>
      <c r="O47" s="256" t="s">
        <v>686</v>
      </c>
      <c r="P47" s="257">
        <v>10</v>
      </c>
    </row>
    <row hidden="true" r="48">
      <c r="A48" s="254" t="s">
        <v>709</v>
      </c>
      <c r="B48" s="255" t="s">
        <v>675</v>
      </c>
      <c r="C48" s="257" t="s">
        <v>703</v>
      </c>
      <c r="D48" s="257">
        <v>5</v>
      </c>
      <c r="E48" s="257">
        <v>34</v>
      </c>
      <c r="F48" s="257">
        <v>36866.4</v>
      </c>
      <c r="G48" s="257">
        <v>24119.74</v>
      </c>
      <c r="H48" s="258">
        <f t="shared" si="29"/>
      </c>
      <c r="I48" s="258">
        <f t="shared" si="30"/>
      </c>
      <c r="J48" s="258">
        <f>G47/E48</f>
      </c>
      <c r="K48" s="257">
        <v>7</v>
      </c>
      <c r="L48" s="257">
        <v>11217.6</v>
      </c>
      <c r="M48" s="256"/>
      <c r="N48" s="256"/>
      <c r="O48" s="259"/>
      <c r="P48" s="256"/>
    </row>
    <row hidden="true" r="49">
      <c r="A49" s="254" t="s">
        <v>709</v>
      </c>
      <c r="B49" s="255" t="s">
        <v>688</v>
      </c>
      <c r="C49" s="257" t="s">
        <v>704</v>
      </c>
      <c r="D49" s="257">
        <v>5</v>
      </c>
      <c r="E49" s="257">
        <v>26</v>
      </c>
      <c r="F49" s="257">
        <v>35127.98</v>
      </c>
      <c r="G49" s="257">
        <v>22065.09</v>
      </c>
      <c r="H49" s="258">
        <f t="shared" si="29"/>
      </c>
      <c r="I49" s="258">
        <f t="shared" si="30"/>
      </c>
      <c r="J49" s="258">
        <f t="shared" ref="J49:J52" si="9">G49/E49</f>
      </c>
      <c r="K49" s="257">
        <v>3</v>
      </c>
      <c r="L49" s="257">
        <v>1244.88</v>
      </c>
      <c r="M49" s="257"/>
      <c r="N49" s="257"/>
      <c r="O49" s="256"/>
      <c r="P49" s="256"/>
    </row>
    <row hidden="true" r="50">
      <c r="A50" s="254" t="s">
        <v>709</v>
      </c>
      <c r="B50" s="255" t="s">
        <v>683</v>
      </c>
      <c r="C50" s="257" t="s">
        <v>698</v>
      </c>
      <c r="D50" s="257">
        <v>5</v>
      </c>
      <c r="E50" s="257">
        <v>28</v>
      </c>
      <c r="F50" s="257">
        <v>38374.56</v>
      </c>
      <c r="G50" s="257">
        <v>23079.76</v>
      </c>
      <c r="H50" s="258">
        <f t="shared" si="29"/>
      </c>
      <c r="I50" s="258">
        <f t="shared" si="30"/>
      </c>
      <c r="J50" s="258">
        <f t="shared" si="9"/>
      </c>
      <c r="K50" s="257">
        <v>5</v>
      </c>
      <c r="L50" s="257">
        <v>3855.6</v>
      </c>
      <c r="M50" s="257" t="s">
        <v>712</v>
      </c>
      <c r="N50" s="257">
        <v>10</v>
      </c>
      <c r="O50" s="256" t="s">
        <v>678</v>
      </c>
      <c r="P50" s="257">
        <v>10</v>
      </c>
    </row>
    <row r="51">
      <c r="A51" s="260" t="s">
        <v>709</v>
      </c>
      <c r="B51" s="261"/>
      <c r="C51" s="261"/>
      <c r="D51" s="262">
        <f>SUM(D47:D50)</f>
      </c>
      <c r="E51" s="262">
        <f>SUM(E47:E50)</f>
      </c>
      <c r="F51" s="262">
        <f>SUM(F47:F50)</f>
      </c>
      <c r="G51" s="262">
        <f>SUM(G47:G50)</f>
      </c>
      <c r="H51" s="263">
        <f t="shared" si="29"/>
      </c>
      <c r="I51" s="263">
        <f t="shared" si="30"/>
      </c>
      <c r="J51" s="263">
        <f t="shared" si="9"/>
      </c>
      <c r="K51" s="262">
        <f>SUM(K47:K50)</f>
      </c>
      <c r="L51" s="262">
        <f>SUM(L47:L50)</f>
      </c>
      <c r="M51" s="264"/>
      <c r="N51" s="262">
        <f>SUM(N47:N50)</f>
      </c>
      <c r="O51" s="264"/>
      <c r="P51" s="264">
        <f>SUM(P47:P50)</f>
      </c>
    </row>
    <row hidden="true" r="52">
      <c r="A52" s="254" t="s">
        <v>713</v>
      </c>
      <c r="B52" s="255" t="s">
        <v>681</v>
      </c>
      <c r="C52" s="257" t="s">
        <v>710</v>
      </c>
      <c r="D52" s="257">
        <v>5</v>
      </c>
      <c r="E52" s="257">
        <v>25</v>
      </c>
      <c r="F52" s="257">
        <v>32463.6</v>
      </c>
      <c r="G52" s="257">
        <v>23221.99</v>
      </c>
      <c r="H52" s="258">
        <f t="shared" si="29"/>
      </c>
      <c r="I52" s="258">
        <f t="shared" si="30"/>
      </c>
      <c r="J52" s="258">
        <f t="shared" si="9"/>
      </c>
      <c r="K52" s="257">
        <v>7</v>
      </c>
      <c r="L52" s="257">
        <v>9864</v>
      </c>
      <c r="M52" s="257" t="s">
        <v>711</v>
      </c>
      <c r="N52" s="257">
        <v>10</v>
      </c>
      <c r="O52" s="256" t="s">
        <v>686</v>
      </c>
      <c r="P52" s="257">
        <v>10</v>
      </c>
    </row>
    <row hidden="true" r="53">
      <c r="A53" s="254" t="s">
        <v>713</v>
      </c>
      <c r="B53" s="255" t="s">
        <v>679</v>
      </c>
      <c r="C53" s="257" t="s">
        <v>703</v>
      </c>
      <c r="D53" s="257">
        <v>5</v>
      </c>
      <c r="E53" s="257">
        <v>24</v>
      </c>
      <c r="F53" s="257">
        <v>32354.4</v>
      </c>
      <c r="G53" s="257">
        <v>25111.98</v>
      </c>
      <c r="H53" s="258">
        <f t="shared" si="29"/>
      </c>
      <c r="I53" s="258">
        <f t="shared" si="30"/>
      </c>
      <c r="J53" s="258">
        <f>G52/E53</f>
      </c>
      <c r="K53" s="257">
        <v>10</v>
      </c>
      <c r="L53" s="257">
        <v>14642.4</v>
      </c>
      <c r="M53" s="256"/>
      <c r="N53" s="256"/>
      <c r="O53" s="259"/>
      <c r="P53" s="256"/>
    </row>
    <row hidden="true" r="54">
      <c r="A54" s="254" t="s">
        <v>713</v>
      </c>
      <c r="B54" s="255" t="s">
        <v>675</v>
      </c>
      <c r="C54" s="257" t="s">
        <v>704</v>
      </c>
      <c r="D54" s="257">
        <v>5</v>
      </c>
      <c r="E54" s="257">
        <v>54</v>
      </c>
      <c r="F54" s="257">
        <v>66788.2</v>
      </c>
      <c r="G54" s="257">
        <v>41330.69</v>
      </c>
      <c r="H54" s="258">
        <f t="shared" si="29"/>
      </c>
      <c r="I54" s="258">
        <f t="shared" si="30"/>
      </c>
      <c r="J54" s="258">
        <f t="shared" ref="J54:J57" si="10">G54/E54</f>
      </c>
      <c r="K54" s="257">
        <v>11</v>
      </c>
      <c r="L54" s="257">
        <v>12741.4</v>
      </c>
      <c r="M54" s="257"/>
      <c r="N54" s="257"/>
      <c r="O54" s="256"/>
      <c r="P54" s="256"/>
    </row>
    <row hidden="true" r="55">
      <c r="A55" s="254" t="s">
        <v>713</v>
      </c>
      <c r="B55" s="255" t="s">
        <v>683</v>
      </c>
      <c r="C55" s="257" t="s">
        <v>698</v>
      </c>
      <c r="D55" s="257">
        <v>5</v>
      </c>
      <c r="E55" s="257">
        <v>57</v>
      </c>
      <c r="F55" s="257">
        <v>66104.04</v>
      </c>
      <c r="G55" s="257">
        <v>46376.19</v>
      </c>
      <c r="H55" s="258">
        <f t="shared" si="29"/>
      </c>
      <c r="I55" s="258">
        <f t="shared" si="30"/>
      </c>
      <c r="J55" s="258">
        <f t="shared" si="10"/>
      </c>
      <c r="K55" s="257">
        <v>6</v>
      </c>
      <c r="L55" s="257">
        <v>7322.4</v>
      </c>
      <c r="M55" s="257" t="s">
        <v>712</v>
      </c>
      <c r="N55" s="257">
        <v>10</v>
      </c>
      <c r="O55" s="256" t="s">
        <v>678</v>
      </c>
      <c r="P55" s="257">
        <v>10</v>
      </c>
    </row>
    <row r="56">
      <c r="A56" s="260" t="s">
        <v>713</v>
      </c>
      <c r="B56" s="261"/>
      <c r="C56" s="261"/>
      <c r="D56" s="262">
        <f>SUM(D52:D55)</f>
      </c>
      <c r="E56" s="262">
        <f>SUM(E52:E55)</f>
      </c>
      <c r="F56" s="262">
        <f>SUM(F52:F55)</f>
      </c>
      <c r="G56" s="262">
        <f>SUM(G52:G55)</f>
      </c>
      <c r="H56" s="263">
        <f t="shared" si="29"/>
      </c>
      <c r="I56" s="263">
        <f t="shared" si="30"/>
      </c>
      <c r="J56" s="263">
        <f t="shared" si="10"/>
      </c>
      <c r="K56" s="262">
        <f>SUM(K52:K55)</f>
      </c>
      <c r="L56" s="262">
        <f>SUM(L52:L55)</f>
      </c>
      <c r="M56" s="264"/>
      <c r="N56" s="262">
        <f>SUM(N52:N55)</f>
      </c>
      <c r="O56" s="264"/>
      <c r="P56" s="264">
        <f>SUM(P52:P55)</f>
      </c>
    </row>
    <row hidden="true" r="57">
      <c r="A57" s="254" t="s">
        <v>714</v>
      </c>
      <c r="B57" s="255" t="s">
        <v>688</v>
      </c>
      <c r="C57" s="257" t="s">
        <v>715</v>
      </c>
      <c r="D57" s="257">
        <v>3</v>
      </c>
      <c r="E57" s="257">
        <v>32</v>
      </c>
      <c r="F57" s="257">
        <v>44567.3</v>
      </c>
      <c r="G57" s="257">
        <v>27999.83</v>
      </c>
      <c r="H57" s="258">
        <f t="shared" si="29"/>
      </c>
      <c r="I57" s="258">
        <f t="shared" si="30"/>
      </c>
      <c r="J57" s="258">
        <f t="shared" si="10"/>
      </c>
      <c r="K57" s="257">
        <v>6</v>
      </c>
      <c r="L57" s="257">
        <v>9079.2</v>
      </c>
      <c r="M57" s="257" t="s">
        <v>677</v>
      </c>
      <c r="N57" s="257">
        <v>9</v>
      </c>
      <c r="O57" s="256" t="s">
        <v>686</v>
      </c>
      <c r="P57" s="257">
        <v>9</v>
      </c>
    </row>
    <row hidden="true" r="58">
      <c r="A58" s="254" t="s">
        <v>714</v>
      </c>
      <c r="B58" s="255" t="s">
        <v>679</v>
      </c>
      <c r="C58" s="257" t="s">
        <v>716</v>
      </c>
      <c r="D58" s="257">
        <v>5</v>
      </c>
      <c r="E58" s="257">
        <v>64</v>
      </c>
      <c r="F58" s="257">
        <v>83061.4</v>
      </c>
      <c r="G58" s="257">
        <v>46577.3</v>
      </c>
      <c r="H58" s="258">
        <f t="shared" si="29"/>
      </c>
      <c r="I58" s="258">
        <f t="shared" si="30"/>
      </c>
      <c r="J58" s="258">
        <f t="shared" ref="J58:J59" si="27">G57/E58</f>
      </c>
      <c r="K58" s="257">
        <v>9</v>
      </c>
      <c r="L58" s="257">
        <v>7507.2</v>
      </c>
      <c r="M58" s="256"/>
      <c r="N58" s="256"/>
      <c r="O58" s="259"/>
      <c r="P58" s="256"/>
    </row>
    <row customHeight="true" hidden="true" ht="16.071428571428573" r="59">
      <c r="A59" s="254" t="s">
        <v>714</v>
      </c>
      <c r="B59" s="255" t="s">
        <v>717</v>
      </c>
      <c r="C59" s="257" t="s">
        <v>718</v>
      </c>
      <c r="D59" s="257">
        <v>2</v>
      </c>
      <c r="E59" s="257">
        <v>10</v>
      </c>
      <c r="F59" s="257">
        <v>9601.2</v>
      </c>
      <c r="G59" s="257">
        <v>12404.8</v>
      </c>
      <c r="H59" s="258">
        <f t="shared" si="29"/>
      </c>
      <c r="I59" s="258">
        <f t="shared" si="30"/>
      </c>
      <c r="J59" s="258">
        <f t="shared" si="27"/>
      </c>
      <c r="K59" s="257">
        <v>3</v>
      </c>
      <c r="L59" s="257">
        <v>2143.2</v>
      </c>
      <c r="M59" s="256"/>
      <c r="N59" s="256"/>
      <c r="O59" s="259"/>
      <c r="P59" s="256"/>
    </row>
    <row hidden="true" r="60">
      <c r="A60" s="254" t="s">
        <v>714</v>
      </c>
      <c r="B60" s="255" t="s">
        <v>681</v>
      </c>
      <c r="C60" s="257" t="s">
        <v>704</v>
      </c>
      <c r="D60" s="257">
        <v>4</v>
      </c>
      <c r="E60" s="257">
        <v>18</v>
      </c>
      <c r="F60" s="257">
        <v>19423.2</v>
      </c>
      <c r="G60" s="257">
        <v>17086.23</v>
      </c>
      <c r="H60" s="258">
        <f t="shared" si="29"/>
      </c>
      <c r="I60" s="258">
        <f t="shared" si="30"/>
      </c>
      <c r="J60" s="258">
        <f t="shared" ref="J60:J63" si="11">G60/E60</f>
      </c>
      <c r="K60" s="257">
        <v>1</v>
      </c>
      <c r="L60" s="257">
        <v>1692</v>
      </c>
      <c r="M60" s="257"/>
      <c r="N60" s="257"/>
      <c r="O60" s="256"/>
      <c r="P60" s="256"/>
    </row>
    <row hidden="true" r="61">
      <c r="A61" s="254" t="s">
        <v>714</v>
      </c>
      <c r="B61" s="255" t="s">
        <v>683</v>
      </c>
      <c r="C61" s="257" t="s">
        <v>698</v>
      </c>
      <c r="D61" s="257">
        <v>5</v>
      </c>
      <c r="E61" s="257">
        <v>33</v>
      </c>
      <c r="F61" s="257">
        <v>44642.4</v>
      </c>
      <c r="G61" s="257">
        <v>25434.52</v>
      </c>
      <c r="H61" s="258">
        <f t="shared" si="29"/>
      </c>
      <c r="I61" s="258">
        <f t="shared" si="30"/>
      </c>
      <c r="J61" s="258">
        <f t="shared" si="11"/>
      </c>
      <c r="K61" s="257">
        <v>6</v>
      </c>
      <c r="L61" s="257">
        <v>5064</v>
      </c>
      <c r="M61" s="257" t="s">
        <v>712</v>
      </c>
      <c r="N61" s="257">
        <v>10</v>
      </c>
      <c r="O61" s="256" t="s">
        <v>678</v>
      </c>
      <c r="P61" s="257">
        <v>10</v>
      </c>
    </row>
    <row r="62">
      <c r="A62" s="260" t="s">
        <v>714</v>
      </c>
      <c r="B62" s="261"/>
      <c r="C62" s="261"/>
      <c r="D62" s="262">
        <f>SUM(D57:D61)</f>
      </c>
      <c r="E62" s="262">
        <f>SUM(E57:E61)</f>
      </c>
      <c r="F62" s="262">
        <f>SUM(F57:F61)</f>
      </c>
      <c r="G62" s="262">
        <f>SUM(G57:G61)</f>
      </c>
      <c r="H62" s="263">
        <f t="shared" si="29"/>
      </c>
      <c r="I62" s="263">
        <f t="shared" si="30"/>
      </c>
      <c r="J62" s="263">
        <f t="shared" si="11"/>
      </c>
      <c r="K62" s="262">
        <f>SUM(K57:K61)</f>
      </c>
      <c r="L62" s="262">
        <f>SUM(L57:L61)</f>
      </c>
      <c r="M62" s="264"/>
      <c r="N62" s="262">
        <f>SUM(N57:N61)</f>
      </c>
      <c r="O62" s="264"/>
      <c r="P62" s="264">
        <f>SUM(P57:P61)</f>
      </c>
    </row>
    <row hidden="true" r="63">
      <c r="A63" s="254" t="s">
        <v>719</v>
      </c>
      <c r="B63" s="255" t="s">
        <v>688</v>
      </c>
      <c r="C63" s="257" t="s">
        <v>720</v>
      </c>
      <c r="D63" s="257">
        <v>4</v>
      </c>
      <c r="E63" s="257">
        <v>19</v>
      </c>
      <c r="F63" s="257">
        <v>21869.6</v>
      </c>
      <c r="G63" s="257">
        <v>22984.8</v>
      </c>
      <c r="H63" s="258">
        <f t="shared" si="29"/>
      </c>
      <c r="I63" s="258">
        <f t="shared" si="30"/>
      </c>
      <c r="J63" s="258">
        <f t="shared" si="11"/>
      </c>
      <c r="K63" s="257">
        <v>2</v>
      </c>
      <c r="L63" s="257">
        <v>3900</v>
      </c>
      <c r="M63" s="257" t="s">
        <v>677</v>
      </c>
      <c r="N63" s="257">
        <v>10</v>
      </c>
      <c r="O63" s="256" t="s">
        <v>686</v>
      </c>
      <c r="P63" s="257">
        <v>9</v>
      </c>
    </row>
    <row hidden="true" r="64">
      <c r="A64" s="254" t="s">
        <v>719</v>
      </c>
      <c r="B64" s="255" t="s">
        <v>679</v>
      </c>
      <c r="C64" s="257" t="s">
        <v>716</v>
      </c>
      <c r="D64" s="257">
        <v>5</v>
      </c>
      <c r="E64" s="257">
        <v>39</v>
      </c>
      <c r="F64" s="257">
        <v>51022.5</v>
      </c>
      <c r="G64" s="257">
        <v>25092.55</v>
      </c>
      <c r="H64" s="258">
        <f t="shared" si="29"/>
      </c>
      <c r="I64" s="258">
        <f t="shared" si="30"/>
      </c>
      <c r="J64" s="258">
        <f t="shared" ref="J64:J65" si="28">G63/E64</f>
      </c>
      <c r="K64" s="257">
        <v>12</v>
      </c>
      <c r="L64" s="257">
        <v>13747.2</v>
      </c>
      <c r="M64" s="256"/>
      <c r="N64" s="256"/>
      <c r="O64" s="259"/>
      <c r="P64" s="256"/>
    </row>
    <row hidden="true" r="65">
      <c r="A65" s="254" t="s">
        <v>719</v>
      </c>
      <c r="B65" s="255" t="s">
        <v>717</v>
      </c>
      <c r="C65" s="257" t="s">
        <v>718</v>
      </c>
      <c r="D65" s="257">
        <v>2</v>
      </c>
      <c r="E65" s="257">
        <v>13</v>
      </c>
      <c r="F65" s="257">
        <v>16413.6</v>
      </c>
      <c r="G65" s="257">
        <v>10739.47</v>
      </c>
      <c r="H65" s="258">
        <f t="shared" si="29"/>
      </c>
      <c r="I65" s="258">
        <f t="shared" si="30"/>
      </c>
      <c r="J65" s="258">
        <f t="shared" si="28"/>
      </c>
      <c r="K65" s="257">
        <v>1</v>
      </c>
      <c r="L65" s="257">
        <v>1663.2</v>
      </c>
      <c r="M65" s="256"/>
      <c r="N65" s="256"/>
      <c r="O65" s="259"/>
      <c r="P65" s="256"/>
    </row>
    <row hidden="true" r="66">
      <c r="A66" s="254" t="s">
        <v>719</v>
      </c>
      <c r="B66" s="255" t="s">
        <v>681</v>
      </c>
      <c r="C66" s="257" t="s">
        <v>704</v>
      </c>
      <c r="D66" s="257">
        <v>4</v>
      </c>
      <c r="E66" s="257">
        <v>39</v>
      </c>
      <c r="F66" s="257">
        <v>49965.2</v>
      </c>
      <c r="G66" s="257">
        <v>25760.05</v>
      </c>
      <c r="H66" s="258">
        <f t="shared" si="29"/>
      </c>
      <c r="I66" s="258">
        <f t="shared" si="30"/>
      </c>
      <c r="J66" s="258">
        <f t="shared" ref="J66:J69" si="12">G66/E66</f>
      </c>
      <c r="K66" s="257">
        <v>4</v>
      </c>
      <c r="L66" s="257">
        <v>4899.6</v>
      </c>
      <c r="M66" s="257"/>
      <c r="N66" s="257"/>
      <c r="O66" s="256"/>
      <c r="P66" s="256"/>
    </row>
    <row hidden="true" r="67">
      <c r="A67" s="254" t="s">
        <v>719</v>
      </c>
      <c r="B67" s="255" t="s">
        <v>683</v>
      </c>
      <c r="C67" s="257" t="s">
        <v>698</v>
      </c>
      <c r="D67" s="257">
        <v>5</v>
      </c>
      <c r="E67" s="257">
        <v>87</v>
      </c>
      <c r="F67" s="257">
        <v>113348.8</v>
      </c>
      <c r="G67" s="257">
        <v>61520.37</v>
      </c>
      <c r="H67" s="258">
        <f t="shared" si="29"/>
      </c>
      <c r="I67" s="258">
        <f t="shared" si="30"/>
      </c>
      <c r="J67" s="258">
        <f t="shared" si="12"/>
      </c>
      <c r="K67" s="257">
        <v>23</v>
      </c>
      <c r="L67" s="257">
        <v>27694.8</v>
      </c>
      <c r="M67" s="257" t="s">
        <v>712</v>
      </c>
      <c r="N67" s="257">
        <v>10</v>
      </c>
      <c r="O67" s="256" t="s">
        <v>678</v>
      </c>
      <c r="P67" s="257">
        <v>10</v>
      </c>
    </row>
    <row r="68">
      <c r="A68" s="260" t="s">
        <v>719</v>
      </c>
      <c r="B68" s="261"/>
      <c r="C68" s="261"/>
      <c r="D68" s="262">
        <f>SUM(D63:D67)</f>
      </c>
      <c r="E68" s="262">
        <f>SUM(E63:E67)</f>
      </c>
      <c r="F68" s="262">
        <f>SUM(F63:F67)</f>
      </c>
      <c r="G68" s="262">
        <f>SUM(G63:G67)</f>
      </c>
      <c r="H68" s="263">
        <f t="shared" si="29"/>
      </c>
      <c r="I68" s="263">
        <f t="shared" si="30"/>
      </c>
      <c r="J68" s="263">
        <f t="shared" si="12"/>
      </c>
      <c r="K68" s="262">
        <f>SUM(K63:K67)</f>
      </c>
      <c r="L68" s="262">
        <f>SUM(L63:L67)</f>
      </c>
      <c r="M68" s="264"/>
      <c r="N68" s="262">
        <f>SUM(N63:N67)</f>
      </c>
      <c r="O68" s="264"/>
      <c r="P68" s="264">
        <f>SUM(P63:P67)</f>
      </c>
    </row>
    <row hidden="true" r="69">
      <c r="A69" s="254" t="s">
        <v>721</v>
      </c>
      <c r="B69" s="255" t="s">
        <v>679</v>
      </c>
      <c r="C69" s="257" t="s">
        <v>710</v>
      </c>
      <c r="D69" s="257">
        <v>5</v>
      </c>
      <c r="E69" s="257">
        <v>93</v>
      </c>
      <c r="F69" s="257">
        <v>134926.4</v>
      </c>
      <c r="G69" s="257">
        <v>67808.33</v>
      </c>
      <c r="H69" s="258">
        <f t="shared" si="29"/>
      </c>
      <c r="I69" s="258">
        <f t="shared" si="30"/>
      </c>
      <c r="J69" s="258">
        <f t="shared" si="12"/>
      </c>
      <c r="K69" s="257">
        <v>22</v>
      </c>
      <c r="L69" s="257">
        <v>28343.199999999997</v>
      </c>
      <c r="M69" s="257" t="s">
        <v>711</v>
      </c>
      <c r="N69" s="257">
        <v>10</v>
      </c>
      <c r="O69" s="256" t="s">
        <v>686</v>
      </c>
      <c r="P69" s="257">
        <v>10</v>
      </c>
    </row>
    <row hidden="true" r="70">
      <c r="A70" s="254" t="s">
        <v>721</v>
      </c>
      <c r="B70" s="255" t="s">
        <v>688</v>
      </c>
      <c r="C70" s="257" t="s">
        <v>703</v>
      </c>
      <c r="D70" s="257">
        <v>5</v>
      </c>
      <c r="E70" s="257">
        <v>41</v>
      </c>
      <c r="F70" s="257">
        <v>50651.2</v>
      </c>
      <c r="G70" s="257">
        <v>38336.8</v>
      </c>
      <c r="H70" s="258">
        <f t="shared" si="29"/>
      </c>
      <c r="I70" s="258">
        <f t="shared" si="30"/>
      </c>
      <c r="J70" s="258">
        <f>G69/E70</f>
      </c>
      <c r="K70" s="257">
        <v>12</v>
      </c>
      <c r="L70" s="257">
        <v>12997</v>
      </c>
      <c r="M70" s="256"/>
      <c r="N70" s="256"/>
      <c r="O70" s="259"/>
      <c r="P70" s="256"/>
    </row>
    <row hidden="true" r="71">
      <c r="A71" s="254" t="s">
        <v>721</v>
      </c>
      <c r="B71" s="255" t="s">
        <v>681</v>
      </c>
      <c r="C71" s="257" t="s">
        <v>704</v>
      </c>
      <c r="D71" s="257">
        <v>5</v>
      </c>
      <c r="E71" s="257">
        <v>46</v>
      </c>
      <c r="F71" s="257">
        <v>55233.8</v>
      </c>
      <c r="G71" s="257">
        <v>37038.509999999995</v>
      </c>
      <c r="H71" s="258">
        <f t="shared" si="29"/>
      </c>
      <c r="I71" s="258">
        <f t="shared" si="30"/>
      </c>
      <c r="J71" s="258">
        <f t="shared" ref="J71:J74" si="13">G71/E71</f>
      </c>
      <c r="K71" s="257">
        <v>8</v>
      </c>
      <c r="L71" s="257">
        <v>8952.4</v>
      </c>
      <c r="M71" s="257" t="s">
        <v>722</v>
      </c>
      <c r="N71" s="257">
        <v>2.4</v>
      </c>
      <c r="O71" s="256"/>
      <c r="P71" s="256"/>
    </row>
    <row hidden="true" r="72">
      <c r="A72" s="254" t="s">
        <v>721</v>
      </c>
      <c r="B72" s="255" t="s">
        <v>683</v>
      </c>
      <c r="C72" s="257" t="s">
        <v>698</v>
      </c>
      <c r="D72" s="257">
        <v>5</v>
      </c>
      <c r="E72" s="257">
        <v>78</v>
      </c>
      <c r="F72" s="257">
        <v>106048.2</v>
      </c>
      <c r="G72" s="257">
        <v>66755.5</v>
      </c>
      <c r="H72" s="258">
        <f t="shared" si="29"/>
      </c>
      <c r="I72" s="258">
        <f t="shared" si="30"/>
      </c>
      <c r="J72" s="258">
        <f t="shared" si="13"/>
      </c>
      <c r="K72" s="257">
        <v>15</v>
      </c>
      <c r="L72" s="257">
        <v>11909.4</v>
      </c>
      <c r="M72" s="257" t="s">
        <v>723</v>
      </c>
      <c r="N72" s="257">
        <v>4</v>
      </c>
      <c r="O72" s="256" t="s">
        <v>678</v>
      </c>
      <c r="P72" s="257">
        <v>10</v>
      </c>
    </row>
    <row r="73">
      <c r="A73" s="260" t="s">
        <v>721</v>
      </c>
      <c r="B73" s="261"/>
      <c r="C73" s="261"/>
      <c r="D73" s="262">
        <f>SUM(D69:D72)</f>
      </c>
      <c r="E73" s="262">
        <f>SUM(E69:E72)</f>
      </c>
      <c r="F73" s="262">
        <f>SUM(F69:F72)</f>
      </c>
      <c r="G73" s="262">
        <f>SUM(G69:G72)</f>
      </c>
      <c r="H73" s="263">
        <f t="shared" si="29"/>
      </c>
      <c r="I73" s="263">
        <f t="shared" si="30"/>
      </c>
      <c r="J73" s="263">
        <f t="shared" si="13"/>
      </c>
      <c r="K73" s="262">
        <f>SUM(K69:K72)</f>
      </c>
      <c r="L73" s="262">
        <f>SUM(L69:L72)</f>
      </c>
      <c r="M73" s="264"/>
      <c r="N73" s="262">
        <f>SUM(N69:N72)</f>
      </c>
      <c r="O73" s="264"/>
      <c r="P73" s="264">
        <f>SUM(P69:P72)</f>
      </c>
    </row>
    <row hidden="true" r="74">
      <c r="A74" s="254" t="s">
        <v>724</v>
      </c>
      <c r="B74" s="255" t="s">
        <v>679</v>
      </c>
      <c r="C74" s="257" t="s">
        <v>710</v>
      </c>
      <c r="D74" s="257">
        <v>5</v>
      </c>
      <c r="E74" s="257">
        <v>112</v>
      </c>
      <c r="F74" s="257">
        <v>134126.19</v>
      </c>
      <c r="G74" s="257">
        <v>66801.90000000001</v>
      </c>
      <c r="H74" s="258">
        <f t="shared" si="29"/>
      </c>
      <c r="I74" s="258">
        <f t="shared" si="30"/>
      </c>
      <c r="J74" s="258">
        <f t="shared" si="13"/>
      </c>
      <c r="K74" s="257">
        <v>19</v>
      </c>
      <c r="L74" s="257">
        <v>23589.800000000003</v>
      </c>
      <c r="M74" s="265" t="s">
        <v>725</v>
      </c>
      <c r="N74" s="265">
        <v>10</v>
      </c>
      <c r="O74" s="256" t="s">
        <v>686</v>
      </c>
      <c r="P74" s="257">
        <v>10</v>
      </c>
    </row>
    <row hidden="true" r="75">
      <c r="A75" s="254" t="s">
        <v>724</v>
      </c>
      <c r="B75" s="255" t="s">
        <v>681</v>
      </c>
      <c r="C75" s="257" t="s">
        <v>703</v>
      </c>
      <c r="D75" s="257">
        <v>5</v>
      </c>
      <c r="E75" s="257">
        <v>52</v>
      </c>
      <c r="F75" s="257">
        <v>67028</v>
      </c>
      <c r="G75" s="257">
        <v>43488.46</v>
      </c>
      <c r="H75" s="258">
        <f t="shared" si="29"/>
      </c>
      <c r="I75" s="258">
        <f t="shared" si="30"/>
      </c>
      <c r="J75" s="258">
        <f>G74/E75</f>
      </c>
      <c r="K75" s="257">
        <v>14</v>
      </c>
      <c r="L75" s="257">
        <v>13007.199999999997</v>
      </c>
      <c r="M75" s="266"/>
      <c r="N75" s="266"/>
      <c r="O75" s="259"/>
      <c r="P75" s="256"/>
    </row>
    <row hidden="true" r="76">
      <c r="A76" s="254" t="s">
        <v>724</v>
      </c>
      <c r="B76" s="255" t="s">
        <v>717</v>
      </c>
      <c r="C76" s="257" t="s">
        <v>704</v>
      </c>
      <c r="D76" s="257">
        <v>5</v>
      </c>
      <c r="E76" s="257">
        <v>40</v>
      </c>
      <c r="F76" s="257">
        <v>48077.79999999999</v>
      </c>
      <c r="G76" s="257">
        <v>29915.55</v>
      </c>
      <c r="H76" s="258">
        <f t="shared" si="29"/>
      </c>
      <c r="I76" s="258">
        <f t="shared" si="30"/>
      </c>
      <c r="J76" s="258">
        <f t="shared" ref="J76:J79" si="14">G76/E76</f>
      </c>
      <c r="K76" s="257">
        <v>7</v>
      </c>
      <c r="L76" s="257">
        <v>10150.800000000003</v>
      </c>
      <c r="M76" s="265" t="s">
        <v>723</v>
      </c>
      <c r="N76" s="265">
        <v>10</v>
      </c>
      <c r="O76" s="256"/>
      <c r="P76" s="256"/>
    </row>
    <row hidden="true" r="77">
      <c r="A77" s="254" t="s">
        <v>724</v>
      </c>
      <c r="B77" s="255" t="s">
        <v>683</v>
      </c>
      <c r="C77" s="257" t="s">
        <v>698</v>
      </c>
      <c r="D77" s="257">
        <v>5</v>
      </c>
      <c r="E77" s="257">
        <v>106</v>
      </c>
      <c r="F77" s="267">
        <v>140223</v>
      </c>
      <c r="G77" s="257">
        <v>70505.3</v>
      </c>
      <c r="H77" s="258">
        <f t="shared" si="29"/>
      </c>
      <c r="I77" s="258">
        <f t="shared" si="30"/>
      </c>
      <c r="J77" s="258">
        <f t="shared" si="14"/>
      </c>
      <c r="K77" s="257">
        <v>18</v>
      </c>
      <c r="L77" s="257">
        <v>18759.6</v>
      </c>
      <c r="M77" s="265"/>
      <c r="N77" s="265"/>
      <c r="O77" s="256" t="s">
        <v>678</v>
      </c>
      <c r="P77" s="257">
        <v>10</v>
      </c>
    </row>
    <row r="78">
      <c r="A78" s="260" t="s">
        <v>724</v>
      </c>
      <c r="B78" s="261"/>
      <c r="C78" s="261"/>
      <c r="D78" s="262">
        <f>SUM(D74:D77)</f>
      </c>
      <c r="E78" s="262">
        <f>SUM(E74:E77)</f>
      </c>
      <c r="F78" s="263">
        <f>SUM(F74:F77)</f>
      </c>
      <c r="G78" s="262">
        <f>SUM(G74:G77)</f>
      </c>
      <c r="H78" s="263">
        <f t="shared" si="29"/>
      </c>
      <c r="I78" s="263">
        <f t="shared" si="30"/>
      </c>
      <c r="J78" s="263">
        <f t="shared" si="14"/>
      </c>
      <c r="K78" s="262">
        <f>SUM(K74:K77)</f>
      </c>
      <c r="L78" s="262">
        <f>SUM(L74:L77)</f>
      </c>
      <c r="M78" s="264"/>
      <c r="N78" s="262">
        <f>SUM(N74:N77)</f>
      </c>
      <c r="O78" s="264"/>
      <c r="P78" s="264">
        <f>SUM(P74:P77)</f>
      </c>
    </row>
    <row hidden="true" r="79">
      <c r="A79" s="254" t="s">
        <v>726</v>
      </c>
      <c r="B79" s="255" t="s">
        <v>679</v>
      </c>
      <c r="C79" s="257" t="s">
        <v>710</v>
      </c>
      <c r="D79" s="257">
        <v>5</v>
      </c>
      <c r="E79" s="257">
        <v>49</v>
      </c>
      <c r="F79" s="257">
        <v>56448.4</v>
      </c>
      <c r="G79" s="257">
        <v>47674.45999999999</v>
      </c>
      <c r="H79" s="258">
        <f t="shared" si="29"/>
      </c>
      <c r="I79" s="258">
        <f t="shared" si="30"/>
      </c>
      <c r="J79" s="258">
        <f t="shared" si="14"/>
      </c>
      <c r="K79" s="257">
        <v>13</v>
      </c>
      <c r="L79" s="257">
        <v>8256</v>
      </c>
      <c r="M79" s="257" t="s">
        <v>725</v>
      </c>
      <c r="N79" s="257">
        <v>10</v>
      </c>
      <c r="O79" s="256" t="s">
        <v>686</v>
      </c>
      <c r="P79" s="257">
        <v>10</v>
      </c>
    </row>
    <row hidden="true" r="80">
      <c r="A80" s="254" t="s">
        <v>726</v>
      </c>
      <c r="B80" s="255" t="s">
        <v>681</v>
      </c>
      <c r="C80" s="257" t="s">
        <v>703</v>
      </c>
      <c r="D80" s="257">
        <v>5</v>
      </c>
      <c r="E80" s="257">
        <v>28</v>
      </c>
      <c r="F80" s="257">
        <v>33695.27999999999</v>
      </c>
      <c r="G80" s="257">
        <v>31286.24</v>
      </c>
      <c r="H80" s="258">
        <f t="shared" si="29"/>
      </c>
      <c r="I80" s="258">
        <f t="shared" si="30"/>
      </c>
      <c r="J80" s="258">
        <f>G79/E80</f>
      </c>
      <c r="K80" s="257">
        <v>5</v>
      </c>
      <c r="L80" s="257">
        <v>3722.3999999999987</v>
      </c>
      <c r="M80" s="256"/>
      <c r="N80" s="256"/>
      <c r="O80" s="259"/>
      <c r="P80" s="256"/>
    </row>
    <row hidden="true" r="81">
      <c r="A81" s="254" t="s">
        <v>726</v>
      </c>
      <c r="B81" s="255" t="s">
        <v>717</v>
      </c>
      <c r="C81" s="257" t="s">
        <v>704</v>
      </c>
      <c r="D81" s="257">
        <v>5</v>
      </c>
      <c r="E81" s="257">
        <v>59</v>
      </c>
      <c r="F81" s="257">
        <v>73161.60000000002</v>
      </c>
      <c r="G81" s="257">
        <v>33305.67</v>
      </c>
      <c r="H81" s="258">
        <f t="shared" si="29"/>
      </c>
      <c r="I81" s="258">
        <f t="shared" si="30"/>
      </c>
      <c r="J81" s="258">
        <f t="shared" ref="J81:J84" si="15">G81/E81</f>
      </c>
      <c r="K81" s="257">
        <v>10</v>
      </c>
      <c r="L81" s="257">
        <v>9693.600000000002</v>
      </c>
      <c r="M81" s="257" t="s">
        <v>723</v>
      </c>
      <c r="N81" s="257">
        <v>10</v>
      </c>
      <c r="O81" s="256"/>
      <c r="P81" s="256"/>
    </row>
    <row hidden="true" r="82">
      <c r="A82" s="254" t="s">
        <v>726</v>
      </c>
      <c r="B82" s="255" t="s">
        <v>683</v>
      </c>
      <c r="C82" s="257" t="s">
        <v>698</v>
      </c>
      <c r="D82" s="257">
        <v>5</v>
      </c>
      <c r="E82" s="257">
        <v>65</v>
      </c>
      <c r="F82" s="267">
        <v>88098.79999999999</v>
      </c>
      <c r="G82" s="257">
        <v>41545.42</v>
      </c>
      <c r="H82" s="258">
        <f t="shared" si="29"/>
      </c>
      <c r="I82" s="258">
        <f t="shared" si="30"/>
      </c>
      <c r="J82" s="258">
        <f t="shared" si="15"/>
      </c>
      <c r="K82" s="257">
        <v>3</v>
      </c>
      <c r="L82" s="257">
        <v>2870.4000000000015</v>
      </c>
      <c r="M82" s="257"/>
      <c r="N82" s="257"/>
      <c r="O82" s="256" t="s">
        <v>678</v>
      </c>
      <c r="P82" s="257">
        <v>10</v>
      </c>
    </row>
    <row r="83">
      <c r="A83" s="260" t="s">
        <v>726</v>
      </c>
      <c r="B83" s="261"/>
      <c r="C83" s="261"/>
      <c r="D83" s="262">
        <f>SUM(D79:D82)</f>
      </c>
      <c r="E83" s="262">
        <f>SUM(E79:E82)</f>
      </c>
      <c r="F83" s="263">
        <f>SUM(F79:F82)</f>
      </c>
      <c r="G83" s="262">
        <f>SUM(G79:G82)</f>
      </c>
      <c r="H83" s="263">
        <f t="shared" si="29"/>
      </c>
      <c r="I83" s="263">
        <f t="shared" si="30"/>
      </c>
      <c r="J83" s="263">
        <f t="shared" si="15"/>
      </c>
      <c r="K83" s="262">
        <f>SUM(K79:K82)</f>
      </c>
      <c r="L83" s="262">
        <f>SUM(L79:L82)</f>
      </c>
      <c r="M83" s="264"/>
      <c r="N83" s="262">
        <f>SUM(N79:N82)</f>
      </c>
      <c r="O83" s="264"/>
      <c r="P83" s="264">
        <f>SUM(P79:P82)</f>
      </c>
    </row>
    <row hidden="true" r="84">
      <c r="A84" s="254" t="s">
        <v>727</v>
      </c>
      <c r="B84" s="255" t="s">
        <v>681</v>
      </c>
      <c r="C84" s="257" t="s">
        <v>710</v>
      </c>
      <c r="D84" s="257">
        <v>5</v>
      </c>
      <c r="E84" s="257">
        <v>58</v>
      </c>
      <c r="F84" s="257">
        <v>71899.2</v>
      </c>
      <c r="G84" s="257">
        <v>55965.18000000001</v>
      </c>
      <c r="H84" s="258">
        <f t="shared" si="29"/>
      </c>
      <c r="I84" s="258">
        <f t="shared" si="30"/>
      </c>
      <c r="J84" s="258">
        <f t="shared" si="15"/>
      </c>
      <c r="K84" s="257">
        <v>13</v>
      </c>
      <c r="L84" s="257">
        <v>14167.2</v>
      </c>
      <c r="M84" s="257" t="s">
        <v>728</v>
      </c>
      <c r="N84" s="257">
        <v>10</v>
      </c>
      <c r="O84" s="256" t="s">
        <v>686</v>
      </c>
      <c r="P84" s="257">
        <v>10</v>
      </c>
    </row>
    <row hidden="true" r="85">
      <c r="A85" s="254" t="s">
        <v>727</v>
      </c>
      <c r="B85" s="255" t="s">
        <v>688</v>
      </c>
      <c r="C85" s="257" t="s">
        <v>703</v>
      </c>
      <c r="D85" s="257">
        <v>5</v>
      </c>
      <c r="E85" s="257">
        <v>47</v>
      </c>
      <c r="F85" s="257">
        <v>55114.8</v>
      </c>
      <c r="G85" s="257">
        <v>33115.69</v>
      </c>
      <c r="H85" s="258">
        <f t="shared" si="29"/>
      </c>
      <c r="I85" s="258">
        <f t="shared" si="30"/>
      </c>
      <c r="J85" s="258">
        <f>G84/E85</f>
      </c>
      <c r="K85" s="257">
        <v>10</v>
      </c>
      <c r="L85" s="257">
        <v>12771.599999999999</v>
      </c>
      <c r="M85" s="256"/>
      <c r="N85" s="256"/>
      <c r="O85" s="259"/>
      <c r="P85" s="256"/>
    </row>
    <row hidden="true" r="86">
      <c r="A86" s="254" t="s">
        <v>727</v>
      </c>
      <c r="B86" s="255" t="s">
        <v>717</v>
      </c>
      <c r="C86" s="257" t="s">
        <v>704</v>
      </c>
      <c r="D86" s="257">
        <v>5</v>
      </c>
      <c r="E86" s="257">
        <v>41</v>
      </c>
      <c r="F86" s="257">
        <v>53077.20000000001</v>
      </c>
      <c r="G86" s="257">
        <v>39184.64</v>
      </c>
      <c r="H86" s="258">
        <f t="shared" si="29"/>
      </c>
      <c r="I86" s="258">
        <f t="shared" si="30"/>
      </c>
      <c r="J86" s="258">
        <f t="shared" ref="J86:J89" si="16">G86/E86</f>
      </c>
      <c r="K86" s="257">
        <v>8</v>
      </c>
      <c r="L86" s="257">
        <v>9144.000000000004</v>
      </c>
      <c r="M86" s="257" t="s">
        <v>723</v>
      </c>
      <c r="N86" s="257">
        <v>10</v>
      </c>
      <c r="O86" s="256"/>
      <c r="P86" s="256"/>
    </row>
    <row hidden="true" r="87">
      <c r="A87" s="254" t="s">
        <v>727</v>
      </c>
      <c r="B87" s="255" t="s">
        <v>683</v>
      </c>
      <c r="C87" s="257" t="s">
        <v>698</v>
      </c>
      <c r="D87" s="257">
        <v>5</v>
      </c>
      <c r="E87" s="257">
        <v>81</v>
      </c>
      <c r="F87" s="267">
        <v>86912.75999999998</v>
      </c>
      <c r="G87" s="257">
        <v>50678.76000000001</v>
      </c>
      <c r="H87" s="258">
        <f t="shared" si="29"/>
      </c>
      <c r="I87" s="258">
        <f t="shared" si="30"/>
      </c>
      <c r="J87" s="258">
        <f t="shared" si="16"/>
      </c>
      <c r="K87" s="257">
        <v>14</v>
      </c>
      <c r="L87" s="257">
        <v>11049.199999999997</v>
      </c>
      <c r="M87" s="257"/>
      <c r="N87" s="257"/>
      <c r="O87" s="256" t="s">
        <v>678</v>
      </c>
      <c r="P87" s="257">
        <v>10</v>
      </c>
    </row>
    <row r="88">
      <c r="A88" s="260" t="s">
        <v>727</v>
      </c>
      <c r="B88" s="261"/>
      <c r="C88" s="261"/>
      <c r="D88" s="262">
        <f>SUM(D84:D87)</f>
      </c>
      <c r="E88" s="262">
        <f>SUM(E84:E87)</f>
      </c>
      <c r="F88" s="263">
        <f>SUM(F84:F87)</f>
      </c>
      <c r="G88" s="262">
        <f>SUM(G84:G87)</f>
      </c>
      <c r="H88" s="263">
        <f t="shared" si="29"/>
      </c>
      <c r="I88" s="263">
        <f t="shared" si="30"/>
      </c>
      <c r="J88" s="263">
        <f t="shared" si="16"/>
      </c>
      <c r="K88" s="262">
        <f>SUM(K84:K87)</f>
      </c>
      <c r="L88" s="262">
        <f>SUM(L84:L87)</f>
      </c>
      <c r="M88" s="264"/>
      <c r="N88" s="262">
        <f>SUM(N84:N87)</f>
      </c>
      <c r="O88" s="264"/>
      <c r="P88" s="264">
        <f>SUM(P84:P87)</f>
      </c>
    </row>
    <row hidden="true" r="89">
      <c r="A89" s="254" t="s">
        <v>729</v>
      </c>
      <c r="B89" s="255" t="s">
        <v>681</v>
      </c>
      <c r="C89" s="257" t="s">
        <v>710</v>
      </c>
      <c r="D89" s="257">
        <v>5</v>
      </c>
      <c r="E89" s="257">
        <v>67</v>
      </c>
      <c r="F89" s="257">
        <v>79851.8</v>
      </c>
      <c r="G89" s="257">
        <v>45986.079999999994</v>
      </c>
      <c r="H89" s="258">
        <f t="shared" si="29"/>
      </c>
      <c r="I89" s="258">
        <f t="shared" si="30"/>
      </c>
      <c r="J89" s="258">
        <f t="shared" si="16"/>
      </c>
      <c r="K89" s="257">
        <v>15</v>
      </c>
      <c r="L89" s="257">
        <v>19713.6</v>
      </c>
      <c r="M89" s="257" t="s">
        <v>728</v>
      </c>
      <c r="N89" s="257">
        <v>10</v>
      </c>
      <c r="O89" s="256" t="s">
        <v>686</v>
      </c>
      <c r="P89" s="257">
        <v>10</v>
      </c>
    </row>
    <row hidden="true" r="90">
      <c r="A90" s="254" t="s">
        <v>729</v>
      </c>
      <c r="B90" s="255" t="s">
        <v>679</v>
      </c>
      <c r="C90" s="257" t="s">
        <v>703</v>
      </c>
      <c r="D90" s="257">
        <v>5</v>
      </c>
      <c r="E90" s="257">
        <v>62</v>
      </c>
      <c r="F90" s="257">
        <v>81587.40000000001</v>
      </c>
      <c r="G90" s="257">
        <v>40374</v>
      </c>
      <c r="H90" s="258">
        <f t="shared" si="29"/>
      </c>
      <c r="I90" s="258">
        <f t="shared" si="30"/>
      </c>
      <c r="J90" s="258">
        <f>G89/E90</f>
      </c>
      <c r="K90" s="257">
        <v>12</v>
      </c>
      <c r="L90" s="257">
        <v>17792.399999999994</v>
      </c>
      <c r="M90" s="256"/>
      <c r="N90" s="256"/>
      <c r="O90" s="259"/>
      <c r="P90" s="256"/>
    </row>
    <row hidden="true" r="91">
      <c r="A91" s="254" t="s">
        <v>729</v>
      </c>
      <c r="B91" s="255" t="s">
        <v>683</v>
      </c>
      <c r="C91" s="257" t="s">
        <v>704</v>
      </c>
      <c r="D91" s="257">
        <v>5</v>
      </c>
      <c r="E91" s="257">
        <v>59</v>
      </c>
      <c r="F91" s="257">
        <v>74600.20000000001</v>
      </c>
      <c r="G91" s="257">
        <v>64538.049999999996</v>
      </c>
      <c r="H91" s="258">
        <f t="shared" si="29"/>
      </c>
      <c r="I91" s="258">
        <f t="shared" si="30"/>
      </c>
      <c r="J91" s="258">
        <f t="shared" ref="J91:J94" si="17">G91/E91</f>
      </c>
      <c r="K91" s="257">
        <v>11</v>
      </c>
      <c r="L91" s="257">
        <v>12270.000000000005</v>
      </c>
      <c r="M91" s="257" t="s">
        <v>723</v>
      </c>
      <c r="N91" s="257">
        <v>10</v>
      </c>
      <c r="O91" s="256"/>
      <c r="P91" s="256"/>
    </row>
    <row hidden="true" r="92">
      <c r="A92" s="254" t="s">
        <v>729</v>
      </c>
      <c r="B92" s="255" t="s">
        <v>717</v>
      </c>
      <c r="C92" s="257" t="s">
        <v>698</v>
      </c>
      <c r="D92" s="257">
        <v>5</v>
      </c>
      <c r="E92" s="257">
        <v>73</v>
      </c>
      <c r="F92" s="267">
        <v>89475.80000000002</v>
      </c>
      <c r="G92" s="257">
        <v>62032.76</v>
      </c>
      <c r="H92" s="258">
        <f t="shared" si="29"/>
      </c>
      <c r="I92" s="258">
        <f t="shared" si="30"/>
      </c>
      <c r="J92" s="258">
        <f t="shared" si="17"/>
      </c>
      <c r="K92" s="257">
        <v>13</v>
      </c>
      <c r="L92" s="257">
        <v>12679.199999999997</v>
      </c>
      <c r="M92" s="257"/>
      <c r="N92" s="257"/>
      <c r="O92" s="256" t="s">
        <v>678</v>
      </c>
      <c r="P92" s="257">
        <v>10</v>
      </c>
    </row>
    <row r="93">
      <c r="A93" s="260" t="s">
        <v>729</v>
      </c>
      <c r="B93" s="261"/>
      <c r="C93" s="261"/>
      <c r="D93" s="262">
        <f>SUM(D89:D92)</f>
      </c>
      <c r="E93" s="262">
        <f>SUM(E89:E92)</f>
      </c>
      <c r="F93" s="263">
        <f>SUM(F89:F92)</f>
      </c>
      <c r="G93" s="262">
        <f>SUM(G89:G92)</f>
      </c>
      <c r="H93" s="263">
        <f t="shared" si="29"/>
      </c>
      <c r="I93" s="263">
        <f t="shared" si="30"/>
      </c>
      <c r="J93" s="263">
        <f t="shared" si="17"/>
      </c>
      <c r="K93" s="262">
        <f>SUM(K89:K92)</f>
      </c>
      <c r="L93" s="262">
        <f>SUM(L89:L92)</f>
      </c>
      <c r="M93" s="264"/>
      <c r="N93" s="262">
        <f>SUM(N89:N92)</f>
      </c>
      <c r="O93" s="264"/>
      <c r="P93" s="264">
        <f>SUM(P89:P92)</f>
      </c>
    </row>
    <row hidden="true" r="94">
      <c r="A94" s="254" t="s">
        <v>730</v>
      </c>
      <c r="B94" s="255" t="s">
        <v>683</v>
      </c>
      <c r="C94" s="257" t="s">
        <v>710</v>
      </c>
      <c r="D94" s="257">
        <v>5</v>
      </c>
      <c r="E94" s="257">
        <v>80</v>
      </c>
      <c r="F94" s="257">
        <v>102229.6</v>
      </c>
      <c r="G94" s="257">
        <v>57571.75</v>
      </c>
      <c r="H94" s="258">
        <f t="shared" si="29"/>
      </c>
      <c r="I94" s="258">
        <f t="shared" si="30"/>
      </c>
      <c r="J94" s="258">
        <f t="shared" si="17"/>
      </c>
      <c r="K94" s="257">
        <v>9</v>
      </c>
      <c r="L94" s="257">
        <v>10479.6</v>
      </c>
      <c r="M94" s="257" t="s">
        <v>711</v>
      </c>
      <c r="N94" s="257">
        <v>10</v>
      </c>
      <c r="O94" s="256" t="s">
        <v>686</v>
      </c>
      <c r="P94" s="257">
        <v>10</v>
      </c>
    </row>
    <row hidden="true" r="95">
      <c r="A95" s="254" t="s">
        <v>730</v>
      </c>
      <c r="B95" s="255" t="s">
        <v>679</v>
      </c>
      <c r="C95" s="257" t="s">
        <v>703</v>
      </c>
      <c r="D95" s="257">
        <v>5</v>
      </c>
      <c r="E95" s="257">
        <v>38</v>
      </c>
      <c r="F95" s="257">
        <v>56644.79999999999</v>
      </c>
      <c r="G95" s="257">
        <v>29399.9</v>
      </c>
      <c r="H95" s="258">
        <f t="shared" si="29"/>
      </c>
      <c r="I95" s="258">
        <f t="shared" si="30"/>
      </c>
      <c r="J95" s="258">
        <f>G94/E95</f>
      </c>
      <c r="K95" s="257">
        <v>6</v>
      </c>
      <c r="L95" s="257">
        <v>6723.600000000002</v>
      </c>
      <c r="M95" s="256"/>
      <c r="N95" s="256"/>
      <c r="O95" s="259"/>
      <c r="P95" s="256"/>
    </row>
    <row hidden="true" r="96">
      <c r="A96" s="254" t="s">
        <v>730</v>
      </c>
      <c r="B96" s="255" t="s">
        <v>688</v>
      </c>
      <c r="C96" s="257" t="s">
        <v>704</v>
      </c>
      <c r="D96" s="257">
        <v>5</v>
      </c>
      <c r="E96" s="257">
        <v>40</v>
      </c>
      <c r="F96" s="257">
        <v>43072.80000000002</v>
      </c>
      <c r="G96" s="257">
        <v>30406.460000000003</v>
      </c>
      <c r="H96" s="258">
        <f t="shared" si="29"/>
      </c>
      <c r="I96" s="258">
        <f t="shared" si="30"/>
      </c>
      <c r="J96" s="258">
        <f t="shared" ref="J96:J99" si="18">G96/E96</f>
      </c>
      <c r="K96" s="257">
        <v>6</v>
      </c>
      <c r="L96" s="257">
        <v>5763.5999999999985</v>
      </c>
      <c r="M96" s="257" t="s">
        <v>723</v>
      </c>
      <c r="N96" s="257">
        <v>10</v>
      </c>
      <c r="O96" s="256"/>
      <c r="P96" s="256"/>
    </row>
    <row hidden="true" r="97">
      <c r="A97" s="254" t="s">
        <v>730</v>
      </c>
      <c r="B97" s="255" t="s">
        <v>675</v>
      </c>
      <c r="C97" s="257" t="s">
        <v>698</v>
      </c>
      <c r="D97" s="257">
        <v>5</v>
      </c>
      <c r="E97" s="257">
        <v>80</v>
      </c>
      <c r="F97" s="267">
        <v>102575.5</v>
      </c>
      <c r="G97" s="257">
        <v>48815.71</v>
      </c>
      <c r="H97" s="258">
        <f t="shared" si="29"/>
      </c>
      <c r="I97" s="258">
        <f t="shared" si="30"/>
      </c>
      <c r="J97" s="258">
        <f t="shared" si="18"/>
      </c>
      <c r="K97" s="257">
        <v>9</v>
      </c>
      <c r="L97" s="257">
        <v>10769.999999999996</v>
      </c>
      <c r="M97" s="257"/>
      <c r="N97" s="257"/>
      <c r="O97" s="256" t="s">
        <v>678</v>
      </c>
      <c r="P97" s="257">
        <v>10</v>
      </c>
    </row>
    <row r="98">
      <c r="A98" s="260" t="s">
        <v>730</v>
      </c>
      <c r="B98" s="261"/>
      <c r="C98" s="261"/>
      <c r="D98" s="262">
        <f>SUM(D94:D97)</f>
      </c>
      <c r="E98" s="262">
        <f>SUM(E94:E97)</f>
      </c>
      <c r="F98" s="263">
        <f>SUM(F94:F97)</f>
      </c>
      <c r="G98" s="262">
        <f>SUM(G94:G97)</f>
      </c>
      <c r="H98" s="263">
        <f t="shared" si="29"/>
      </c>
      <c r="I98" s="263">
        <f t="shared" si="30"/>
      </c>
      <c r="J98" s="263">
        <f t="shared" si="18"/>
      </c>
      <c r="K98" s="262">
        <f>SUM(K94:K97)</f>
      </c>
      <c r="L98" s="262">
        <f>SUM(L94:L97)</f>
      </c>
      <c r="M98" s="264"/>
      <c r="N98" s="262">
        <f>SUM(N94:N97)</f>
      </c>
      <c r="O98" s="264"/>
      <c r="P98" s="264">
        <f>SUM(P94:P97)</f>
      </c>
    </row>
    <row hidden="true" r="99">
      <c r="A99" s="254" t="s">
        <v>731</v>
      </c>
      <c r="B99" s="255" t="s">
        <v>679</v>
      </c>
      <c r="C99" s="257" t="s">
        <v>710</v>
      </c>
      <c r="D99" s="257">
        <v>5</v>
      </c>
      <c r="E99" s="257">
        <v>78</v>
      </c>
      <c r="F99" s="257">
        <v>116321.2</v>
      </c>
      <c r="G99" s="257">
        <v>57110.32</v>
      </c>
      <c r="H99" s="258">
        <f t="shared" si="29"/>
      </c>
      <c r="I99" s="258">
        <f t="shared" si="30"/>
      </c>
      <c r="J99" s="258">
        <f t="shared" si="18"/>
      </c>
      <c r="K99" s="257">
        <v>23</v>
      </c>
      <c r="L99" s="257">
        <v>29993.2</v>
      </c>
      <c r="M99" s="257" t="s">
        <v>711</v>
      </c>
      <c r="N99" s="257">
        <v>10</v>
      </c>
      <c r="O99" s="256" t="s">
        <v>686</v>
      </c>
      <c r="P99" s="257">
        <v>10</v>
      </c>
    </row>
    <row hidden="true" r="100">
      <c r="A100" s="254" t="s">
        <v>731</v>
      </c>
      <c r="B100" s="255" t="s">
        <v>688</v>
      </c>
      <c r="C100" s="257" t="s">
        <v>703</v>
      </c>
      <c r="D100" s="257">
        <v>5</v>
      </c>
      <c r="E100" s="257">
        <v>28</v>
      </c>
      <c r="F100" s="257">
        <v>26108.4</v>
      </c>
      <c r="G100" s="257">
        <v>27122.78</v>
      </c>
      <c r="H100" s="258">
        <f t="shared" si="29"/>
      </c>
      <c r="I100" s="258">
        <f t="shared" si="30"/>
      </c>
      <c r="J100" s="258">
        <f>G99/E100</f>
      </c>
      <c r="K100" s="257">
        <v>4</v>
      </c>
      <c r="L100" s="257">
        <v>4586.4</v>
      </c>
      <c r="M100" s="256"/>
      <c r="N100" s="256"/>
      <c r="O100" s="259"/>
      <c r="P100" s="256"/>
    </row>
    <row hidden="true" r="101">
      <c r="A101" s="254" t="s">
        <v>731</v>
      </c>
      <c r="B101" s="255" t="s">
        <v>681</v>
      </c>
      <c r="C101" s="257" t="s">
        <v>704</v>
      </c>
      <c r="D101" s="257">
        <v>5</v>
      </c>
      <c r="E101" s="257">
        <v>43</v>
      </c>
      <c r="F101" s="257">
        <v>62599.4</v>
      </c>
      <c r="G101" s="257">
        <v>23086.68</v>
      </c>
      <c r="H101" s="258">
        <f t="shared" si="29"/>
      </c>
      <c r="I101" s="258">
        <f t="shared" si="30"/>
      </c>
      <c r="J101" s="258">
        <f t="shared" ref="J101:J104" si="19">G101/E101</f>
      </c>
      <c r="K101" s="257">
        <v>14</v>
      </c>
      <c r="L101" s="257">
        <v>17204.6</v>
      </c>
      <c r="M101" s="257" t="s">
        <v>712</v>
      </c>
      <c r="N101" s="257">
        <v>10</v>
      </c>
      <c r="O101" s="256"/>
      <c r="P101" s="256"/>
    </row>
    <row hidden="true" r="102">
      <c r="A102" s="254" t="s">
        <v>731</v>
      </c>
      <c r="B102" s="255" t="s">
        <v>675</v>
      </c>
      <c r="C102" s="257" t="s">
        <v>698</v>
      </c>
      <c r="D102" s="257">
        <v>5</v>
      </c>
      <c r="E102" s="257">
        <v>82</v>
      </c>
      <c r="F102" s="267">
        <v>98669.2</v>
      </c>
      <c r="G102" s="257">
        <v>52900.18</v>
      </c>
      <c r="H102" s="258">
        <f t="shared" si="29"/>
      </c>
      <c r="I102" s="258">
        <f t="shared" si="30"/>
      </c>
      <c r="J102" s="258">
        <f t="shared" si="19"/>
      </c>
      <c r="K102" s="257">
        <v>3</v>
      </c>
      <c r="L102" s="257">
        <v>3500.4</v>
      </c>
      <c r="M102" s="257"/>
      <c r="N102" s="257"/>
      <c r="O102" s="256" t="s">
        <v>678</v>
      </c>
      <c r="P102" s="257">
        <v>10</v>
      </c>
    </row>
    <row r="103">
      <c r="A103" s="260" t="s">
        <v>731</v>
      </c>
      <c r="B103" s="261"/>
      <c r="C103" s="261"/>
      <c r="D103" s="262">
        <f>SUM(D99:D102)</f>
      </c>
      <c r="E103" s="262">
        <f>SUM(E99:E102)</f>
      </c>
      <c r="F103" s="263">
        <f>SUM(F99:F102)</f>
      </c>
      <c r="G103" s="262">
        <f>SUM(G99:G102)</f>
      </c>
      <c r="H103" s="263">
        <f t="shared" si="29"/>
      </c>
      <c r="I103" s="263">
        <f t="shared" si="30"/>
      </c>
      <c r="J103" s="263">
        <f t="shared" si="19"/>
      </c>
      <c r="K103" s="262">
        <f>SUM(K99:K102)</f>
      </c>
      <c r="L103" s="262">
        <f>SUM(L99:L102)</f>
      </c>
      <c r="M103" s="264"/>
      <c r="N103" s="262">
        <f>SUM(N99:N102)</f>
      </c>
      <c r="O103" s="264"/>
      <c r="P103" s="264">
        <f>SUM(P99:P102)</f>
      </c>
    </row>
    <row hidden="true" r="104">
      <c r="A104" s="254" t="s">
        <v>732</v>
      </c>
      <c r="B104" s="255" t="s">
        <v>679</v>
      </c>
      <c r="C104" s="257" t="s">
        <v>702</v>
      </c>
      <c r="D104" s="257">
        <v>4</v>
      </c>
      <c r="E104" s="257">
        <v>62</v>
      </c>
      <c r="F104" s="257">
        <v>75907</v>
      </c>
      <c r="G104" s="257">
        <v>47116.25</v>
      </c>
      <c r="H104" s="258">
        <f t="shared" si="29"/>
      </c>
      <c r="I104" s="258">
        <f t="shared" si="30"/>
      </c>
      <c r="J104" s="258">
        <f t="shared" si="19"/>
      </c>
      <c r="K104" s="257">
        <v>12</v>
      </c>
      <c r="L104" s="257">
        <v>19537.2</v>
      </c>
      <c r="M104" s="257" t="s">
        <v>677</v>
      </c>
      <c r="N104" s="257">
        <v>9</v>
      </c>
      <c r="O104" s="256" t="s">
        <v>686</v>
      </c>
      <c r="P104" s="257">
        <v>9</v>
      </c>
    </row>
    <row hidden="true" r="105">
      <c r="A105" s="254" t="s">
        <v>732</v>
      </c>
      <c r="B105" s="255" t="s">
        <v>688</v>
      </c>
      <c r="C105" s="257" t="s">
        <v>703</v>
      </c>
      <c r="D105" s="257">
        <v>5</v>
      </c>
      <c r="E105" s="257">
        <v>32</v>
      </c>
      <c r="F105" s="257">
        <v>37035.6</v>
      </c>
      <c r="G105" s="257">
        <v>33499.79</v>
      </c>
      <c r="H105" s="258">
        <f t="shared" si="29"/>
      </c>
      <c r="I105" s="258">
        <f t="shared" si="30"/>
      </c>
      <c r="J105" s="258">
        <f>G104/E105</f>
      </c>
      <c r="K105" s="257">
        <v>6</v>
      </c>
      <c r="L105" s="257">
        <v>4384.8</v>
      </c>
      <c r="M105" s="256"/>
      <c r="N105" s="256"/>
      <c r="O105" s="259"/>
      <c r="P105" s="256"/>
    </row>
    <row hidden="true" r="106">
      <c r="A106" s="254" t="s">
        <v>732</v>
      </c>
      <c r="B106" s="255" t="s">
        <v>675</v>
      </c>
      <c r="C106" s="257" t="s">
        <v>704</v>
      </c>
      <c r="D106" s="257">
        <v>5</v>
      </c>
      <c r="E106" s="257">
        <v>47</v>
      </c>
      <c r="F106" s="257">
        <v>52879.6</v>
      </c>
      <c r="G106" s="257">
        <v>35263.79</v>
      </c>
      <c r="H106" s="258">
        <f t="shared" si="29"/>
      </c>
      <c r="I106" s="258">
        <f t="shared" si="30"/>
      </c>
      <c r="J106" s="258">
        <f t="shared" ref="J106:J109" si="20">G106/E106</f>
      </c>
      <c r="K106" s="257">
        <v>9</v>
      </c>
      <c r="L106" s="257">
        <v>7446</v>
      </c>
      <c r="M106" s="268"/>
      <c r="N106" s="269"/>
      <c r="O106" s="256"/>
      <c r="P106" s="256"/>
    </row>
    <row hidden="true" r="107">
      <c r="A107" s="254" t="s">
        <v>732</v>
      </c>
      <c r="B107" s="255" t="s">
        <v>717</v>
      </c>
      <c r="C107" s="257" t="s">
        <v>698</v>
      </c>
      <c r="D107" s="257">
        <v>5</v>
      </c>
      <c r="E107" s="257">
        <v>45</v>
      </c>
      <c r="F107" s="267">
        <v>51846</v>
      </c>
      <c r="G107" s="257">
        <v>40688.47</v>
      </c>
      <c r="H107" s="258">
        <f t="shared" si="29"/>
      </c>
      <c r="I107" s="258">
        <f t="shared" si="30"/>
      </c>
      <c r="J107" s="258">
        <f t="shared" si="20"/>
      </c>
      <c r="K107" s="257">
        <v>5</v>
      </c>
      <c r="L107" s="257">
        <v>6228</v>
      </c>
      <c r="M107" s="257" t="s">
        <v>712</v>
      </c>
      <c r="N107" s="257">
        <v>10</v>
      </c>
      <c r="O107" s="256" t="s">
        <v>678</v>
      </c>
      <c r="P107" s="257">
        <v>10</v>
      </c>
    </row>
    <row r="108">
      <c r="A108" s="260" t="s">
        <v>732</v>
      </c>
      <c r="B108" s="261"/>
      <c r="C108" s="261"/>
      <c r="D108" s="262">
        <f>SUM(D104:D107)</f>
      </c>
      <c r="E108" s="262">
        <f>SUM(E104:E107)</f>
      </c>
      <c r="F108" s="263">
        <f>SUM(F104:F107)</f>
      </c>
      <c r="G108" s="262">
        <f>SUM(G104:G107)</f>
      </c>
      <c r="H108" s="263">
        <f t="shared" si="29"/>
      </c>
      <c r="I108" s="263">
        <f t="shared" si="30"/>
      </c>
      <c r="J108" s="263">
        <f t="shared" si="20"/>
      </c>
      <c r="K108" s="262">
        <f>SUM(K104:K107)</f>
      </c>
      <c r="L108" s="262">
        <f>SUM(L104:L107)</f>
      </c>
      <c r="M108" s="264"/>
      <c r="N108" s="262">
        <f>SUM(N104:N107)</f>
      </c>
      <c r="O108" s="264"/>
      <c r="P108" s="264">
        <f>SUM(P104:P107)</f>
      </c>
    </row>
    <row hidden="true" r="109">
      <c r="A109" s="254" t="s">
        <v>733</v>
      </c>
      <c r="B109" s="255" t="s">
        <v>679</v>
      </c>
      <c r="C109" s="257" t="s">
        <v>710</v>
      </c>
      <c r="D109" s="257">
        <v>5</v>
      </c>
      <c r="E109" s="257">
        <v>24</v>
      </c>
      <c r="F109" s="257">
        <v>29815.2</v>
      </c>
      <c r="G109" s="257">
        <v>22417.91</v>
      </c>
      <c r="H109" s="258">
        <f t="shared" si="29"/>
      </c>
      <c r="I109" s="258">
        <f t="shared" si="30"/>
      </c>
      <c r="J109" s="258">
        <f t="shared" si="20"/>
      </c>
      <c r="K109" s="257">
        <v>7</v>
      </c>
      <c r="L109" s="257">
        <v>6697.2</v>
      </c>
      <c r="M109" s="257" t="s">
        <v>711</v>
      </c>
      <c r="N109" s="257">
        <v>10</v>
      </c>
      <c r="O109" s="256" t="s">
        <v>686</v>
      </c>
      <c r="P109" s="257">
        <v>10</v>
      </c>
    </row>
    <row hidden="true" r="110">
      <c r="A110" s="254" t="s">
        <v>733</v>
      </c>
      <c r="B110" s="255" t="s">
        <v>681</v>
      </c>
      <c r="C110" s="257" t="s">
        <v>703</v>
      </c>
      <c r="D110" s="257">
        <v>5</v>
      </c>
      <c r="E110" s="257">
        <v>39</v>
      </c>
      <c r="F110" s="257">
        <v>52905.6</v>
      </c>
      <c r="G110" s="257">
        <v>30878.37</v>
      </c>
      <c r="H110" s="258">
        <f t="shared" si="29"/>
      </c>
      <c r="I110" s="258">
        <f t="shared" si="30"/>
      </c>
      <c r="J110" s="258">
        <f>G109/E110</f>
      </c>
      <c r="K110" s="257">
        <v>7</v>
      </c>
      <c r="L110" s="257">
        <v>5890.8</v>
      </c>
      <c r="M110" s="256"/>
      <c r="N110" s="256"/>
      <c r="O110" s="259"/>
      <c r="P110" s="256"/>
    </row>
    <row hidden="true" r="111">
      <c r="A111" s="254" t="s">
        <v>733</v>
      </c>
      <c r="B111" s="255" t="s">
        <v>717</v>
      </c>
      <c r="C111" s="257" t="s">
        <v>704</v>
      </c>
      <c r="D111" s="257">
        <v>5</v>
      </c>
      <c r="E111" s="257">
        <v>23</v>
      </c>
      <c r="F111" s="257">
        <v>26017.8</v>
      </c>
      <c r="G111" s="257">
        <v>28716.65</v>
      </c>
      <c r="H111" s="258">
        <f t="shared" si="29"/>
      </c>
      <c r="I111" s="258">
        <f t="shared" si="30"/>
      </c>
      <c r="J111" s="258">
        <f t="shared" ref="J111:J114" si="21">G111/E111</f>
      </c>
      <c r="K111" s="257">
        <v>4</v>
      </c>
      <c r="L111" s="257">
        <v>3529.8</v>
      </c>
      <c r="M111" s="268"/>
      <c r="N111" s="269"/>
      <c r="O111" s="256"/>
      <c r="P111" s="256"/>
    </row>
    <row hidden="true" r="112">
      <c r="A112" s="254" t="s">
        <v>733</v>
      </c>
      <c r="B112" s="255" t="s">
        <v>675</v>
      </c>
      <c r="C112" s="257" t="s">
        <v>698</v>
      </c>
      <c r="D112" s="257">
        <v>5</v>
      </c>
      <c r="E112" s="257">
        <v>26</v>
      </c>
      <c r="F112" s="267">
        <v>28578</v>
      </c>
      <c r="G112" s="257">
        <v>22894.99</v>
      </c>
      <c r="H112" s="258">
        <f t="shared" si="29"/>
      </c>
      <c r="I112" s="258">
        <f t="shared" si="30"/>
      </c>
      <c r="J112" s="258">
        <f t="shared" si="21"/>
      </c>
      <c r="K112" s="257">
        <v>5</v>
      </c>
      <c r="L112" s="257">
        <v>4920</v>
      </c>
      <c r="M112" s="257" t="s">
        <v>712</v>
      </c>
      <c r="N112" s="257">
        <v>10</v>
      </c>
      <c r="O112" s="256" t="s">
        <v>678</v>
      </c>
      <c r="P112" s="257">
        <v>10</v>
      </c>
    </row>
    <row r="113">
      <c r="A113" s="260" t="s">
        <v>733</v>
      </c>
      <c r="B113" s="261"/>
      <c r="C113" s="261"/>
      <c r="D113" s="262">
        <f>SUM(D109:D112)</f>
      </c>
      <c r="E113" s="262">
        <f>SUM(E109:E112)</f>
      </c>
      <c r="F113" s="263">
        <f>SUM(F109:F112)</f>
      </c>
      <c r="G113" s="262">
        <f>SUM(G109:G112)</f>
      </c>
      <c r="H113" s="263">
        <f t="shared" si="29"/>
      </c>
      <c r="I113" s="263">
        <f t="shared" si="30"/>
      </c>
      <c r="J113" s="263">
        <f t="shared" si="21"/>
      </c>
      <c r="K113" s="262">
        <f>SUM(K109:K112)</f>
      </c>
      <c r="L113" s="262">
        <f>SUM(L109:L112)</f>
      </c>
      <c r="M113" s="264"/>
      <c r="N113" s="262">
        <f>SUM(N109:N112)</f>
      </c>
      <c r="O113" s="264"/>
      <c r="P113" s="264">
        <f>SUM(P109:P112)</f>
      </c>
    </row>
    <row hidden="true" r="114">
      <c r="A114" s="254" t="s">
        <v>734</v>
      </c>
      <c r="B114" s="255" t="s">
        <v>688</v>
      </c>
      <c r="C114" s="257" t="s">
        <v>710</v>
      </c>
      <c r="D114" s="257">
        <v>5</v>
      </c>
      <c r="E114" s="257">
        <v>55</v>
      </c>
      <c r="F114" s="257">
        <v>58140.2</v>
      </c>
      <c r="G114" s="257">
        <v>37475.81</v>
      </c>
      <c r="H114" s="258">
        <f t="shared" si="29"/>
      </c>
      <c r="I114" s="258">
        <f t="shared" si="30"/>
      </c>
      <c r="J114" s="258">
        <f t="shared" si="21"/>
      </c>
      <c r="K114" s="257">
        <v>9</v>
      </c>
      <c r="L114" s="257">
        <v>9544.8</v>
      </c>
      <c r="M114" s="257" t="s">
        <v>711</v>
      </c>
      <c r="N114" s="257">
        <v>10</v>
      </c>
      <c r="O114" s="256" t="s">
        <v>686</v>
      </c>
      <c r="P114" s="257">
        <v>10</v>
      </c>
    </row>
    <row hidden="true" r="115">
      <c r="A115" s="254" t="s">
        <v>734</v>
      </c>
      <c r="B115" s="255" t="s">
        <v>717</v>
      </c>
      <c r="C115" s="257" t="s">
        <v>703</v>
      </c>
      <c r="D115" s="257">
        <v>5</v>
      </c>
      <c r="E115" s="257">
        <v>63</v>
      </c>
      <c r="F115" s="257">
        <v>75199.24</v>
      </c>
      <c r="G115" s="257">
        <v>49246.74</v>
      </c>
      <c r="H115" s="258">
        <f t="shared" si="29"/>
      </c>
      <c r="I115" s="258">
        <f t="shared" si="30"/>
      </c>
      <c r="J115" s="258">
        <f>G114/E115</f>
      </c>
      <c r="K115" s="257">
        <v>15</v>
      </c>
      <c r="L115" s="257">
        <v>16758.6</v>
      </c>
      <c r="M115" s="256"/>
      <c r="N115" s="256"/>
      <c r="O115" s="259"/>
      <c r="P115" s="256"/>
    </row>
    <row hidden="true" r="116">
      <c r="A116" s="254" t="s">
        <v>734</v>
      </c>
      <c r="B116" s="255" t="s">
        <v>681</v>
      </c>
      <c r="C116" s="257" t="s">
        <v>704</v>
      </c>
      <c r="D116" s="257">
        <v>5</v>
      </c>
      <c r="E116" s="257">
        <v>63</v>
      </c>
      <c r="F116" s="257">
        <v>71254.8</v>
      </c>
      <c r="G116" s="257">
        <v>40338</v>
      </c>
      <c r="H116" s="258">
        <f t="shared" si="29"/>
      </c>
      <c r="I116" s="258">
        <f t="shared" si="30"/>
      </c>
      <c r="J116" s="258">
        <f t="shared" ref="J116:J119" si="22">G116/E116</f>
      </c>
      <c r="K116" s="257">
        <v>10</v>
      </c>
      <c r="L116" s="257">
        <v>11546.4</v>
      </c>
      <c r="M116" s="268"/>
      <c r="N116" s="269"/>
      <c r="O116" s="256"/>
      <c r="P116" s="256"/>
    </row>
    <row hidden="true" r="117">
      <c r="A117" s="254" t="s">
        <v>734</v>
      </c>
      <c r="B117" s="255" t="s">
        <v>683</v>
      </c>
      <c r="C117" s="257" t="s">
        <v>698</v>
      </c>
      <c r="D117" s="257">
        <v>5</v>
      </c>
      <c r="E117" s="257">
        <v>44</v>
      </c>
      <c r="F117" s="267">
        <v>45875</v>
      </c>
      <c r="G117" s="257">
        <v>36882.94</v>
      </c>
      <c r="H117" s="258">
        <f t="shared" si="29"/>
      </c>
      <c r="I117" s="258">
        <f t="shared" si="30"/>
      </c>
      <c r="J117" s="258">
        <f t="shared" si="22"/>
      </c>
      <c r="K117" s="257">
        <v>10</v>
      </c>
      <c r="L117" s="257">
        <v>7365.6</v>
      </c>
      <c r="M117" s="257" t="s">
        <v>712</v>
      </c>
      <c r="N117" s="257">
        <v>10</v>
      </c>
      <c r="O117" s="256" t="s">
        <v>678</v>
      </c>
      <c r="P117" s="257">
        <v>10</v>
      </c>
    </row>
    <row r="118">
      <c r="A118" s="260" t="s">
        <v>734</v>
      </c>
      <c r="B118" s="261"/>
      <c r="C118" s="261"/>
      <c r="D118" s="262">
        <f>SUM(D114:D117)</f>
      </c>
      <c r="E118" s="262">
        <f>SUM(E114:E117)</f>
      </c>
      <c r="F118" s="263">
        <f>SUM(F114:F117)</f>
      </c>
      <c r="G118" s="262">
        <f>SUM(G114:G117)</f>
      </c>
      <c r="H118" s="263">
        <f t="shared" si="29"/>
      </c>
      <c r="I118" s="263">
        <f t="shared" si="30"/>
      </c>
      <c r="J118" s="263">
        <f t="shared" si="22"/>
      </c>
      <c r="K118" s="262">
        <f>SUM(K114:K117)</f>
      </c>
      <c r="L118" s="262">
        <f>SUM(L114:L117)</f>
      </c>
      <c r="M118" s="264"/>
      <c r="N118" s="262">
        <f>SUM(N114:N117)</f>
      </c>
      <c r="O118" s="264"/>
      <c r="P118" s="264">
        <f>SUM(P114:P117)</f>
      </c>
    </row>
    <row hidden="true" r="119">
      <c r="A119" s="254" t="s">
        <v>735</v>
      </c>
      <c r="B119" s="255" t="s">
        <v>688</v>
      </c>
      <c r="C119" s="257" t="s">
        <v>710</v>
      </c>
      <c r="D119" s="257">
        <v>5</v>
      </c>
      <c r="E119" s="257">
        <v>24</v>
      </c>
      <c r="F119" s="257">
        <v>25699.2</v>
      </c>
      <c r="G119" s="257">
        <v>23673.6</v>
      </c>
      <c r="H119" s="258">
        <f t="shared" si="29"/>
      </c>
      <c r="I119" s="258">
        <f t="shared" si="30"/>
      </c>
      <c r="J119" s="258">
        <f t="shared" si="22"/>
      </c>
      <c r="K119" s="257">
        <v>4</v>
      </c>
      <c r="L119" s="257">
        <v>5738.4</v>
      </c>
      <c r="M119" s="257" t="s">
        <v>711</v>
      </c>
      <c r="N119" s="257">
        <v>9</v>
      </c>
      <c r="O119" s="256" t="s">
        <v>686</v>
      </c>
      <c r="P119" s="257">
        <v>10</v>
      </c>
    </row>
    <row hidden="true" r="120">
      <c r="A120" s="254" t="s">
        <v>735</v>
      </c>
      <c r="B120" s="255" t="s">
        <v>717</v>
      </c>
      <c r="C120" s="257" t="s">
        <v>703</v>
      </c>
      <c r="D120" s="257">
        <v>5</v>
      </c>
      <c r="E120" s="257">
        <v>48</v>
      </c>
      <c r="F120" s="257">
        <v>66032.2</v>
      </c>
      <c r="G120" s="257">
        <v>46983.73</v>
      </c>
      <c r="H120" s="258">
        <f t="shared" si="29"/>
      </c>
      <c r="I120" s="258">
        <f t="shared" si="30"/>
      </c>
      <c r="J120" s="258">
        <f>G119/E120</f>
      </c>
      <c r="K120" s="257">
        <v>15</v>
      </c>
      <c r="L120" s="257">
        <v>18110.2</v>
      </c>
      <c r="M120" s="256"/>
      <c r="N120" s="256"/>
      <c r="O120" s="259"/>
      <c r="P120" s="256"/>
    </row>
    <row hidden="true" r="121">
      <c r="A121" s="254" t="s">
        <v>735</v>
      </c>
      <c r="B121" s="255" t="s">
        <v>681</v>
      </c>
      <c r="C121" s="257" t="s">
        <v>704</v>
      </c>
      <c r="D121" s="257">
        <v>5</v>
      </c>
      <c r="E121" s="257">
        <v>28</v>
      </c>
      <c r="F121" s="257">
        <v>35175.6</v>
      </c>
      <c r="G121" s="257">
        <v>25451.88</v>
      </c>
      <c r="H121" s="258">
        <f t="shared" si="29"/>
      </c>
      <c r="I121" s="258">
        <f t="shared" si="30"/>
      </c>
      <c r="J121" s="258">
        <f t="shared" ref="J121:J124" si="23">G121/E121</f>
      </c>
      <c r="K121" s="257">
        <v>2</v>
      </c>
      <c r="L121" s="257">
        <v>1526.4</v>
      </c>
      <c r="M121" s="257" t="s">
        <v>685</v>
      </c>
      <c r="N121" s="270">
        <v>9</v>
      </c>
      <c r="O121" s="256"/>
      <c r="P121" s="256"/>
    </row>
    <row hidden="true" r="122">
      <c r="A122" s="254" t="s">
        <v>735</v>
      </c>
      <c r="B122" s="255" t="s">
        <v>683</v>
      </c>
      <c r="C122" s="257" t="s">
        <v>698</v>
      </c>
      <c r="D122" s="257">
        <v>5</v>
      </c>
      <c r="E122" s="257">
        <v>39</v>
      </c>
      <c r="F122" s="267">
        <v>47654.599999999984</v>
      </c>
      <c r="G122" s="257">
        <v>35852.94</v>
      </c>
      <c r="H122" s="258">
        <f t="shared" si="29"/>
      </c>
      <c r="I122" s="258">
        <f t="shared" si="30"/>
      </c>
      <c r="J122" s="258">
        <f t="shared" si="23"/>
      </c>
      <c r="K122" s="257">
        <v>7</v>
      </c>
      <c r="L122" s="257">
        <v>5473.199999999997</v>
      </c>
      <c r="M122" s="257" t="s">
        <v>723</v>
      </c>
      <c r="N122" s="257">
        <v>2</v>
      </c>
      <c r="O122" s="256" t="s">
        <v>678</v>
      </c>
      <c r="P122" s="257">
        <v>10</v>
      </c>
    </row>
    <row r="123">
      <c r="A123" s="260" t="s">
        <v>735</v>
      </c>
      <c r="B123" s="261"/>
      <c r="C123" s="261"/>
      <c r="D123" s="262">
        <f>SUM(D119:D122)</f>
      </c>
      <c r="E123" s="262">
        <f>SUM(E119:E122)</f>
      </c>
      <c r="F123" s="263">
        <f>SUM(F119:F122)</f>
      </c>
      <c r="G123" s="262">
        <f>SUM(G119:G122)</f>
      </c>
      <c r="H123" s="263">
        <f t="shared" si="29"/>
      </c>
      <c r="I123" s="263">
        <f t="shared" si="30"/>
      </c>
      <c r="J123" s="263">
        <f t="shared" si="23"/>
      </c>
      <c r="K123" s="262">
        <f>SUM(K119:K122)</f>
      </c>
      <c r="L123" s="262">
        <f>SUM(L119:L122)</f>
      </c>
      <c r="M123" s="264"/>
      <c r="N123" s="262">
        <f>SUM(N119:N122)</f>
      </c>
      <c r="O123" s="264"/>
      <c r="P123" s="264">
        <f>SUM(P119:P122)</f>
      </c>
    </row>
    <row hidden="true" r="124">
      <c r="A124" s="254" t="s">
        <v>736</v>
      </c>
      <c r="B124" s="255" t="s">
        <v>679</v>
      </c>
      <c r="C124" s="257" t="s">
        <v>710</v>
      </c>
      <c r="D124" s="257">
        <v>5</v>
      </c>
      <c r="E124" s="257">
        <v>36</v>
      </c>
      <c r="F124" s="257">
        <v>47580.6</v>
      </c>
      <c r="G124" s="257">
        <v>30174.6</v>
      </c>
      <c r="H124" s="258">
        <f t="shared" si="29"/>
      </c>
      <c r="I124" s="258">
        <f t="shared" si="30"/>
      </c>
      <c r="J124" s="258">
        <f t="shared" si="23"/>
      </c>
      <c r="K124" s="257">
        <v>10</v>
      </c>
      <c r="L124" s="257">
        <v>15415</v>
      </c>
      <c r="M124" s="257" t="s">
        <v>711</v>
      </c>
      <c r="N124" s="257">
        <v>10</v>
      </c>
      <c r="O124" s="256" t="s">
        <v>686</v>
      </c>
      <c r="P124" s="257">
        <v>10</v>
      </c>
    </row>
    <row hidden="true" r="125">
      <c r="A125" s="254" t="s">
        <v>736</v>
      </c>
      <c r="B125" s="255" t="s">
        <v>717</v>
      </c>
      <c r="C125" s="257" t="s">
        <v>703</v>
      </c>
      <c r="D125" s="257">
        <v>5</v>
      </c>
      <c r="E125" s="257">
        <v>20</v>
      </c>
      <c r="F125" s="257">
        <v>23722.8</v>
      </c>
      <c r="G125" s="257">
        <v>17545.42</v>
      </c>
      <c r="H125" s="258">
        <f t="shared" si="29"/>
      </c>
      <c r="I125" s="258">
        <f t="shared" si="30"/>
      </c>
      <c r="J125" s="258">
        <f>G124/E125</f>
      </c>
      <c r="K125" s="257">
        <v>5</v>
      </c>
      <c r="L125" s="257">
        <v>7330.8</v>
      </c>
      <c r="M125" s="256"/>
      <c r="N125" s="256"/>
      <c r="O125" s="259"/>
      <c r="P125" s="256"/>
    </row>
    <row hidden="true" r="126">
      <c r="A126" s="254" t="s">
        <v>736</v>
      </c>
      <c r="B126" s="255" t="s">
        <v>681</v>
      </c>
      <c r="C126" s="257" t="s">
        <v>704</v>
      </c>
      <c r="D126" s="257">
        <v>5</v>
      </c>
      <c r="E126" s="257">
        <v>46</v>
      </c>
      <c r="F126" s="257">
        <v>70712.2</v>
      </c>
      <c r="G126" s="257">
        <v>36307.48</v>
      </c>
      <c r="H126" s="258">
        <f t="shared" si="29"/>
      </c>
      <c r="I126" s="258">
        <f t="shared" si="30"/>
      </c>
      <c r="J126" s="258">
        <f t="shared" ref="J126:J129" si="24">G126/E126</f>
      </c>
      <c r="K126" s="257">
        <v>7</v>
      </c>
      <c r="L126" s="257">
        <v>10855.2</v>
      </c>
      <c r="M126" s="257"/>
      <c r="N126" s="270"/>
      <c r="O126" s="256"/>
      <c r="P126" s="256"/>
    </row>
    <row hidden="true" r="127">
      <c r="A127" s="254" t="s">
        <v>736</v>
      </c>
      <c r="B127" s="255" t="s">
        <v>683</v>
      </c>
      <c r="C127" s="257" t="s">
        <v>698</v>
      </c>
      <c r="D127" s="257">
        <v>5</v>
      </c>
      <c r="E127" s="257">
        <v>97</v>
      </c>
      <c r="F127" s="267">
        <v>124932.92</v>
      </c>
      <c r="G127" s="257">
        <v>99333.95</v>
      </c>
      <c r="H127" s="258">
        <f t="shared" si="29"/>
      </c>
      <c r="I127" s="258">
        <f t="shared" si="30"/>
      </c>
      <c r="J127" s="258">
        <f t="shared" si="24"/>
      </c>
      <c r="K127" s="257">
        <v>14</v>
      </c>
      <c r="L127" s="257">
        <v>18708.8</v>
      </c>
      <c r="M127" s="257" t="s">
        <v>712</v>
      </c>
      <c r="N127" s="257">
        <v>10</v>
      </c>
      <c r="O127" s="256" t="s">
        <v>678</v>
      </c>
      <c r="P127" s="257">
        <v>10</v>
      </c>
    </row>
    <row r="128">
      <c r="A128" s="260" t="s">
        <v>736</v>
      </c>
      <c r="B128" s="261"/>
      <c r="C128" s="261"/>
      <c r="D128" s="262">
        <f>SUM(D124:D127)</f>
      </c>
      <c r="E128" s="262">
        <f>SUM(E124:E127)</f>
      </c>
      <c r="F128" s="263">
        <f>SUM(F124:F127)</f>
      </c>
      <c r="G128" s="262">
        <f>SUM(G124:G127)</f>
      </c>
      <c r="H128" s="263">
        <f t="shared" si="29"/>
      </c>
      <c r="I128" s="263">
        <f t="shared" si="30"/>
      </c>
      <c r="J128" s="263">
        <f t="shared" si="24"/>
      </c>
      <c r="K128" s="262">
        <f>SUM(K124:K127)</f>
      </c>
      <c r="L128" s="262">
        <f>SUM(L124:L127)</f>
      </c>
      <c r="M128" s="264"/>
      <c r="N128" s="262">
        <f>SUM(N124:N127)</f>
      </c>
      <c r="O128" s="264"/>
      <c r="P128" s="264">
        <f>SUM(P124:P127)</f>
      </c>
    </row>
    <row hidden="true" r="129">
      <c r="A129" s="254" t="s">
        <v>737</v>
      </c>
      <c r="B129" s="255" t="s">
        <v>679</v>
      </c>
      <c r="C129" s="257" t="s">
        <v>710</v>
      </c>
      <c r="D129" s="257">
        <v>5</v>
      </c>
      <c r="E129" s="257">
        <v>49</v>
      </c>
      <c r="F129" s="257">
        <v>67314</v>
      </c>
      <c r="G129" s="257">
        <v>34208.09</v>
      </c>
      <c r="H129" s="258">
        <f t="shared" si="29"/>
      </c>
      <c r="I129" s="258">
        <f t="shared" si="30"/>
      </c>
      <c r="J129" s="258">
        <f t="shared" si="24"/>
      </c>
      <c r="K129" s="257">
        <v>14</v>
      </c>
      <c r="L129" s="257">
        <v>21370.8</v>
      </c>
      <c r="M129" s="257" t="s">
        <v>711</v>
      </c>
      <c r="N129" s="257">
        <v>10</v>
      </c>
      <c r="O129" s="256" t="s">
        <v>686</v>
      </c>
      <c r="P129" s="257">
        <v>10</v>
      </c>
    </row>
    <row hidden="true" r="130">
      <c r="A130" s="254" t="s">
        <v>737</v>
      </c>
      <c r="B130" s="255" t="s">
        <v>681</v>
      </c>
      <c r="C130" s="257" t="s">
        <v>703</v>
      </c>
      <c r="D130" s="257">
        <v>5</v>
      </c>
      <c r="E130" s="257">
        <v>46</v>
      </c>
      <c r="F130" s="257">
        <v>69129</v>
      </c>
      <c r="G130" s="257">
        <v>27939.21</v>
      </c>
      <c r="H130" s="258">
        <f t="shared" si="29"/>
      </c>
      <c r="I130" s="258">
        <f t="shared" si="30"/>
      </c>
      <c r="J130" s="258">
        <f>G129/E130</f>
      </c>
      <c r="K130" s="257">
        <v>12</v>
      </c>
      <c r="L130" s="257">
        <v>17965.2</v>
      </c>
      <c r="M130" s="256"/>
      <c r="N130" s="256"/>
      <c r="O130" s="259"/>
      <c r="P130" s="256"/>
    </row>
    <row hidden="true" r="131">
      <c r="A131" s="254" t="s">
        <v>737</v>
      </c>
      <c r="B131" s="255" t="s">
        <v>675</v>
      </c>
      <c r="C131" s="257" t="s">
        <v>704</v>
      </c>
      <c r="D131" s="257">
        <v>5</v>
      </c>
      <c r="E131" s="257">
        <v>12</v>
      </c>
      <c r="F131" s="257">
        <v>15844</v>
      </c>
      <c r="G131" s="257">
        <v>16240.83</v>
      </c>
      <c r="H131" s="258">
        <f t="shared" si="29"/>
      </c>
      <c r="I131" s="258">
        <f t="shared" si="30"/>
      </c>
      <c r="J131" s="258">
        <f t="shared" ref="J131:J134" si="25">G131/E131</f>
      </c>
      <c r="K131" s="257">
        <v>1</v>
      </c>
      <c r="L131" s="257">
        <v>208.8</v>
      </c>
      <c r="M131" s="257"/>
      <c r="N131" s="270"/>
      <c r="O131" s="256"/>
      <c r="P131" s="256"/>
    </row>
    <row hidden="true" r="132">
      <c r="A132" s="254" t="s">
        <v>737</v>
      </c>
      <c r="B132" s="255" t="s">
        <v>683</v>
      </c>
      <c r="C132" s="257" t="s">
        <v>698</v>
      </c>
      <c r="D132" s="257">
        <v>5</v>
      </c>
      <c r="E132" s="257">
        <v>49</v>
      </c>
      <c r="F132" s="267">
        <v>60881.2</v>
      </c>
      <c r="G132" s="257">
        <v>28185.29</v>
      </c>
      <c r="H132" s="258">
        <f t="shared" si="29"/>
      </c>
      <c r="I132" s="258">
        <f t="shared" si="30"/>
      </c>
      <c r="J132" s="258">
        <f t="shared" si="25"/>
      </c>
      <c r="K132" s="257">
        <v>7</v>
      </c>
      <c r="L132" s="257">
        <v>7270</v>
      </c>
      <c r="M132" s="257" t="s">
        <v>712</v>
      </c>
      <c r="N132" s="257">
        <v>10</v>
      </c>
      <c r="O132" s="256" t="s">
        <v>678</v>
      </c>
      <c r="P132" s="257">
        <v>10</v>
      </c>
    </row>
    <row r="133">
      <c r="A133" s="260" t="s">
        <v>737</v>
      </c>
      <c r="B133" s="261"/>
      <c r="C133" s="261"/>
      <c r="D133" s="262">
        <f>SUM(D129:D132)</f>
      </c>
      <c r="E133" s="262">
        <f>SUM(E129:E132)</f>
      </c>
      <c r="F133" s="263">
        <f>SUM(F129:F132)</f>
      </c>
      <c r="G133" s="262">
        <f>SUM(G129:G132)</f>
      </c>
      <c r="H133" s="263">
        <f t="shared" si="29"/>
      </c>
      <c r="I133" s="263">
        <f t="shared" si="30"/>
      </c>
      <c r="J133" s="263">
        <f t="shared" si="25"/>
      </c>
      <c r="K133" s="262">
        <f>SUM(K129:K132)</f>
      </c>
      <c r="L133" s="262">
        <f>SUM(L129:L132)</f>
      </c>
      <c r="M133" s="264"/>
      <c r="N133" s="262">
        <f>SUM(N129:N132)</f>
      </c>
      <c r="O133" s="264"/>
      <c r="P133" s="264">
        <f>SUM(P129:P132)</f>
      </c>
    </row>
    <row hidden="true" r="134">
      <c r="A134" s="254" t="s">
        <v>738</v>
      </c>
      <c r="B134" s="255" t="s">
        <v>679</v>
      </c>
      <c r="C134" s="257" t="s">
        <v>710</v>
      </c>
      <c r="D134" s="257">
        <v>5</v>
      </c>
      <c r="E134" s="257">
        <v>46</v>
      </c>
      <c r="F134" s="257">
        <v>68481.2</v>
      </c>
      <c r="G134" s="257">
        <v>37491.36</v>
      </c>
      <c r="H134" s="258">
        <f t="shared" si="29"/>
      </c>
      <c r="I134" s="258">
        <f t="shared" si="30"/>
      </c>
      <c r="J134" s="258">
        <f t="shared" si="25"/>
      </c>
      <c r="K134" s="257">
        <v>16</v>
      </c>
      <c r="L134" s="257">
        <v>24141.4</v>
      </c>
      <c r="M134" s="257" t="s">
        <v>711</v>
      </c>
      <c r="N134" s="257">
        <v>10</v>
      </c>
      <c r="O134" s="256" t="s">
        <v>686</v>
      </c>
      <c r="P134" s="257">
        <v>10</v>
      </c>
    </row>
    <row hidden="true" r="135">
      <c r="A135" s="254" t="s">
        <v>738</v>
      </c>
      <c r="B135" s="255" t="s">
        <v>681</v>
      </c>
      <c r="C135" s="257" t="s">
        <v>703</v>
      </c>
      <c r="D135" s="257">
        <v>5</v>
      </c>
      <c r="E135" s="257">
        <v>42</v>
      </c>
      <c r="F135" s="257">
        <v>62472</v>
      </c>
      <c r="G135" s="257">
        <v>41681.98</v>
      </c>
      <c r="H135" s="258">
        <f t="shared" si="29"/>
      </c>
      <c r="I135" s="258">
        <f t="shared" si="30"/>
      </c>
      <c r="J135" s="258">
        <f>G134/E135</f>
      </c>
      <c r="K135" s="257">
        <v>12</v>
      </c>
      <c r="L135" s="257">
        <v>13881.6</v>
      </c>
      <c r="M135" s="256"/>
      <c r="N135" s="256"/>
      <c r="O135" s="259"/>
      <c r="P135" s="256"/>
    </row>
    <row hidden="true" r="136">
      <c r="A136" s="254" t="s">
        <v>738</v>
      </c>
      <c r="B136" s="255" t="s">
        <v>675</v>
      </c>
      <c r="C136" s="257" t="s">
        <v>704</v>
      </c>
      <c r="D136" s="257">
        <v>5</v>
      </c>
      <c r="E136" s="257">
        <v>23</v>
      </c>
      <c r="F136" s="257">
        <v>29688.76</v>
      </c>
      <c r="G136" s="257">
        <v>16945.61</v>
      </c>
      <c r="H136" s="258">
        <f t="shared" si="29"/>
      </c>
      <c r="I136" s="258">
        <f t="shared" si="30"/>
      </c>
      <c r="J136" s="258">
        <f t="shared" ref="J136:J138" si="26">G136/E136</f>
      </c>
      <c r="K136" s="257">
        <v>5</v>
      </c>
      <c r="L136" s="257">
        <v>2602.4</v>
      </c>
      <c r="M136" s="257"/>
      <c r="N136" s="270"/>
      <c r="O136" s="256"/>
      <c r="P136" s="256"/>
    </row>
    <row hidden="true" r="137">
      <c r="A137" s="254" t="s">
        <v>738</v>
      </c>
      <c r="B137" s="255" t="s">
        <v>683</v>
      </c>
      <c r="C137" s="257" t="s">
        <v>698</v>
      </c>
      <c r="D137" s="257">
        <v>5</v>
      </c>
      <c r="E137" s="257">
        <v>37</v>
      </c>
      <c r="F137" s="267">
        <v>46300.8</v>
      </c>
      <c r="G137" s="257">
        <v>25118.71</v>
      </c>
      <c r="H137" s="258">
        <f t="shared" si="29"/>
      </c>
      <c r="I137" s="258">
        <f t="shared" si="30"/>
      </c>
      <c r="J137" s="258">
        <f t="shared" si="26"/>
      </c>
      <c r="K137" s="257">
        <v>5</v>
      </c>
      <c r="L137" s="257">
        <v>5504.4</v>
      </c>
      <c r="M137" s="257" t="s">
        <v>712</v>
      </c>
      <c r="N137" s="257">
        <v>10</v>
      </c>
      <c r="O137" s="256" t="s">
        <v>678</v>
      </c>
      <c r="P137" s="257">
        <v>10</v>
      </c>
    </row>
    <row r="138">
      <c r="A138" s="260" t="s">
        <v>738</v>
      </c>
      <c r="B138" s="261"/>
      <c r="C138" s="261"/>
      <c r="D138" s="262">
        <f>SUM(D134:D137)</f>
      </c>
      <c r="E138" s="262">
        <f>SUM(E134:E137)</f>
      </c>
      <c r="F138" s="263">
        <f>SUM(F134:F137)</f>
      </c>
      <c r="G138" s="262">
        <f>SUM(G134:G137)</f>
      </c>
      <c r="H138" s="263">
        <f t="shared" si="29"/>
      </c>
      <c r="I138" s="263">
        <f t="shared" si="30"/>
      </c>
      <c r="J138" s="263">
        <f t="shared" si="26"/>
      </c>
      <c r="K138" s="262">
        <f>SUM(K134:K137)</f>
      </c>
      <c r="L138" s="262">
        <f>SUM(L134:L137)</f>
      </c>
      <c r="M138" s="264"/>
      <c r="N138" s="262">
        <f>SUM(N134:N137)</f>
      </c>
      <c r="O138" s="264"/>
      <c r="P138" s="264">
        <f>SUM(P134:P137)</f>
      </c>
    </row>
    <row r="139"/>
    <row r="140"/>
    <row r="141">
      <c r="H141" s="271"/>
    </row>
    <row r="142">
      <c r="D142" s="270"/>
      <c r="E142" s="270"/>
      <c r="F142" s="270"/>
      <c r="G142" s="270"/>
      <c r="H142" s="270"/>
      <c r="I142" s="270"/>
      <c r="J142" s="270"/>
    </row>
    <row r="143">
      <c r="D143" s="271"/>
      <c r="E143" s="271"/>
      <c r="F143" s="271"/>
      <c r="G143" s="271"/>
    </row>
  </sheetData>
  <autoFilter ref="A1:P138">
    <filterColumn colId="1">
      <filters blank="true"/>
    </filterColumn>
  </autoFilter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</cols>
  <sheetData>
    <row customHeight="true" ht="16.071428571428573" r="1">
      <c r="A1" s="272" t="s">
        <v>739</v>
      </c>
      <c r="B1" s="272" t="s">
        <v>740</v>
      </c>
      <c r="C1" s="272" t="s">
        <v>741</v>
      </c>
      <c r="D1" s="272" t="s">
        <v>742</v>
      </c>
      <c r="E1" s="272" t="s">
        <v>743</v>
      </c>
      <c r="F1" s="273" t="s">
        <v>744</v>
      </c>
      <c r="G1" s="273" t="s">
        <v>745</v>
      </c>
      <c r="H1" s="273" t="s">
        <v>746</v>
      </c>
      <c r="I1" s="273" t="s">
        <v>747</v>
      </c>
      <c r="J1" s="273" t="s">
        <v>748</v>
      </c>
      <c r="K1" s="272" t="s">
        <v>749</v>
      </c>
      <c r="L1" s="272" t="s">
        <v>750</v>
      </c>
      <c r="M1" s="272" t="s">
        <v>751</v>
      </c>
      <c r="N1" s="272" t="s">
        <v>752</v>
      </c>
      <c r="O1" s="272" t="s">
        <v>753</v>
      </c>
      <c r="P1" s="272" t="s">
        <v>754</v>
      </c>
    </row>
    <row hidden="true" r="2">
      <c r="A2" s="274" t="s">
        <v>755</v>
      </c>
      <c r="B2" s="275" t="s">
        <v>756</v>
      </c>
      <c r="C2" s="276" t="s">
        <v>757</v>
      </c>
      <c r="D2" s="276">
        <v>4</v>
      </c>
      <c r="E2" s="276">
        <v>20</v>
      </c>
      <c r="F2" s="276">
        <v>23184</v>
      </c>
      <c r="G2" s="276">
        <v>20442.98</v>
      </c>
      <c r="H2" s="277">
        <f t="shared" ref="H2:H154" si="0">F2/G2</f>
      </c>
      <c r="I2" s="277">
        <f t="shared" ref="I2:I154" si="1">F2/E2</f>
      </c>
      <c r="J2" s="277">
        <f>G2/E2</f>
      </c>
      <c r="K2" s="276">
        <v>4</v>
      </c>
      <c r="L2" s="276">
        <v>4596</v>
      </c>
      <c r="M2" s="276" t="s">
        <v>758</v>
      </c>
      <c r="N2" s="276">
        <v>8</v>
      </c>
      <c r="O2" s="278" t="s">
        <v>759</v>
      </c>
      <c r="P2" s="278">
        <v>8</v>
      </c>
    </row>
    <row hidden="true" r="3">
      <c r="A3" s="274" t="s">
        <v>755</v>
      </c>
      <c r="B3" s="275" t="s">
        <v>760</v>
      </c>
      <c r="C3" s="276" t="s">
        <v>761</v>
      </c>
      <c r="D3" s="276">
        <v>4</v>
      </c>
      <c r="E3" s="276">
        <v>27</v>
      </c>
      <c r="F3" s="276">
        <v>36492</v>
      </c>
      <c r="G3" s="276">
        <v>19846.14</v>
      </c>
      <c r="H3" s="277">
        <f t="shared" si="0"/>
      </c>
      <c r="I3" s="277">
        <f t="shared" si="1"/>
      </c>
      <c r="J3" s="277">
        <f>G2/E3</f>
      </c>
      <c r="K3" s="276">
        <v>5</v>
      </c>
      <c r="L3" s="276">
        <v>6888</v>
      </c>
      <c r="M3" s="278"/>
      <c r="N3" s="278"/>
      <c r="O3" s="279"/>
      <c r="P3" s="278"/>
    </row>
    <row hidden="true" r="4">
      <c r="A4" s="274" t="s">
        <v>755</v>
      </c>
      <c r="B4" s="275" t="s">
        <v>762</v>
      </c>
      <c r="C4" s="276" t="s">
        <v>763</v>
      </c>
      <c r="D4" s="276">
        <v>4</v>
      </c>
      <c r="E4" s="276">
        <v>22</v>
      </c>
      <c r="F4" s="276">
        <v>26857.2</v>
      </c>
      <c r="G4" s="276">
        <v>15600.72</v>
      </c>
      <c r="H4" s="277">
        <f t="shared" si="0"/>
      </c>
      <c r="I4" s="277">
        <f t="shared" si="1"/>
      </c>
      <c r="J4" s="277">
        <f t="shared" ref="J4:J7" si="2">G4/E4</f>
      </c>
      <c r="K4" s="276">
        <v>5</v>
      </c>
      <c r="L4" s="276">
        <v>5220</v>
      </c>
      <c r="M4" s="278"/>
      <c r="N4" s="278"/>
      <c r="O4" s="278"/>
      <c r="P4" s="278"/>
    </row>
    <row hidden="true" r="5">
      <c r="A5" s="274" t="s">
        <v>755</v>
      </c>
      <c r="B5" s="275" t="s">
        <v>764</v>
      </c>
      <c r="C5" s="276" t="s">
        <v>765</v>
      </c>
      <c r="D5" s="276">
        <v>4</v>
      </c>
      <c r="E5" s="276">
        <v>47</v>
      </c>
      <c r="F5" s="276">
        <v>54982.8</v>
      </c>
      <c r="G5" s="276">
        <v>29399.2</v>
      </c>
      <c r="H5" s="277">
        <f t="shared" si="0"/>
      </c>
      <c r="I5" s="277">
        <f t="shared" si="1"/>
      </c>
      <c r="J5" s="277">
        <f t="shared" si="2"/>
      </c>
      <c r="K5" s="276">
        <v>5</v>
      </c>
      <c r="L5" s="276">
        <v>2904</v>
      </c>
      <c r="M5" s="276" t="s">
        <v>766</v>
      </c>
      <c r="N5" s="276">
        <v>8</v>
      </c>
      <c r="O5" s="278" t="s">
        <v>767</v>
      </c>
      <c r="P5" s="278">
        <v>8</v>
      </c>
    </row>
    <row r="6">
      <c r="A6" s="280" t="s">
        <v>755</v>
      </c>
      <c r="B6" s="281"/>
      <c r="C6" s="281"/>
      <c r="D6" s="282">
        <f>SUM(D2:D5)</f>
      </c>
      <c r="E6" s="282">
        <f>SUM(E2:E5)</f>
      </c>
      <c r="F6" s="282">
        <f>SUM(F2:F5)</f>
      </c>
      <c r="G6" s="282">
        <f>SUM(G2:G5)</f>
      </c>
      <c r="H6" s="283">
        <f t="shared" si="0"/>
      </c>
      <c r="I6" s="283">
        <f t="shared" si="1"/>
      </c>
      <c r="J6" s="283">
        <f t="shared" si="2"/>
      </c>
      <c r="K6" s="282">
        <f>SUM(K2:K5)</f>
      </c>
      <c r="L6" s="282">
        <f>SUM(L2:L5)</f>
      </c>
      <c r="M6" s="281"/>
      <c r="N6" s="282">
        <f>SUM(N2:N5)</f>
      </c>
      <c r="O6" s="281"/>
      <c r="P6" s="281">
        <f>SUM(P2:P5)</f>
      </c>
    </row>
    <row hidden="true" r="7">
      <c r="A7" s="274" t="s">
        <v>768</v>
      </c>
      <c r="B7" s="275" t="s">
        <v>756</v>
      </c>
      <c r="C7" s="276" t="s">
        <v>757</v>
      </c>
      <c r="D7" s="276">
        <v>4</v>
      </c>
      <c r="E7" s="276">
        <v>42</v>
      </c>
      <c r="F7" s="276">
        <v>55208.4</v>
      </c>
      <c r="G7" s="276">
        <v>37387.22</v>
      </c>
      <c r="H7" s="277">
        <f t="shared" si="0"/>
      </c>
      <c r="I7" s="277">
        <f t="shared" si="1"/>
      </c>
      <c r="J7" s="277">
        <f t="shared" si="2"/>
      </c>
      <c r="K7" s="276">
        <v>8</v>
      </c>
      <c r="L7" s="276">
        <v>8748</v>
      </c>
      <c r="M7" s="276" t="s">
        <v>758</v>
      </c>
      <c r="N7" s="276">
        <v>8</v>
      </c>
      <c r="O7" s="278" t="s">
        <v>759</v>
      </c>
      <c r="P7" s="278">
        <v>8</v>
      </c>
    </row>
    <row hidden="true" r="8">
      <c r="A8" s="274" t="s">
        <v>768</v>
      </c>
      <c r="B8" s="275" t="s">
        <v>762</v>
      </c>
      <c r="C8" s="276" t="s">
        <v>761</v>
      </c>
      <c r="D8" s="276">
        <v>4</v>
      </c>
      <c r="E8" s="276">
        <v>15</v>
      </c>
      <c r="F8" s="276">
        <v>16958.4</v>
      </c>
      <c r="G8" s="276">
        <v>15099.53</v>
      </c>
      <c r="H8" s="277">
        <f t="shared" si="0"/>
      </c>
      <c r="I8" s="277">
        <f t="shared" si="1"/>
      </c>
      <c r="J8" s="277">
        <f>G7/E8</f>
      </c>
      <c r="K8" s="276">
        <v>1</v>
      </c>
      <c r="L8" s="276">
        <v>360</v>
      </c>
      <c r="M8" s="278"/>
      <c r="N8" s="278"/>
      <c r="O8" s="279"/>
      <c r="P8" s="278"/>
    </row>
    <row hidden="true" r="9">
      <c r="A9" s="274" t="s">
        <v>768</v>
      </c>
      <c r="B9" s="275" t="s">
        <v>760</v>
      </c>
      <c r="C9" s="276" t="s">
        <v>763</v>
      </c>
      <c r="D9" s="276">
        <v>4</v>
      </c>
      <c r="E9" s="276">
        <v>14</v>
      </c>
      <c r="F9" s="276">
        <v>11676</v>
      </c>
      <c r="G9" s="276">
        <v>7935.96</v>
      </c>
      <c r="H9" s="277">
        <f t="shared" si="0"/>
      </c>
      <c r="I9" s="277">
        <f t="shared" si="1"/>
      </c>
      <c r="J9" s="277">
        <f t="shared" ref="J9:J12" si="3">G9/E9</f>
      </c>
      <c r="K9" s="276">
        <v>3</v>
      </c>
      <c r="L9" s="276">
        <v>2076</v>
      </c>
      <c r="M9" s="278"/>
      <c r="N9" s="278"/>
      <c r="O9" s="278"/>
      <c r="P9" s="278"/>
    </row>
    <row hidden="true" r="10">
      <c r="A10" s="274" t="s">
        <v>768</v>
      </c>
      <c r="B10" s="275" t="s">
        <v>764</v>
      </c>
      <c r="C10" s="276" t="s">
        <v>765</v>
      </c>
      <c r="D10" s="276">
        <v>4</v>
      </c>
      <c r="E10" s="276">
        <v>8</v>
      </c>
      <c r="F10" s="276">
        <v>33900</v>
      </c>
      <c r="G10" s="276">
        <v>16590.44</v>
      </c>
      <c r="H10" s="277">
        <f t="shared" si="0"/>
      </c>
      <c r="I10" s="277">
        <f t="shared" si="1"/>
      </c>
      <c r="J10" s="277">
        <f t="shared" si="3"/>
      </c>
      <c r="K10" s="276">
        <v>4</v>
      </c>
      <c r="L10" s="276">
        <v>4008</v>
      </c>
      <c r="M10" s="276" t="s">
        <v>766</v>
      </c>
      <c r="N10" s="276">
        <v>8</v>
      </c>
      <c r="O10" s="278" t="s">
        <v>767</v>
      </c>
      <c r="P10" s="278">
        <v>8</v>
      </c>
    </row>
    <row r="11">
      <c r="A11" s="280" t="s">
        <v>768</v>
      </c>
      <c r="B11" s="281"/>
      <c r="C11" s="281"/>
      <c r="D11" s="282">
        <f>SUM(D7:D10)</f>
      </c>
      <c r="E11" s="282">
        <f>SUM(E7:E10)</f>
      </c>
      <c r="F11" s="282">
        <f>SUM(F7:F10)</f>
      </c>
      <c r="G11" s="282">
        <f>SUM(G7:G10)</f>
      </c>
      <c r="H11" s="283">
        <f t="shared" si="0"/>
      </c>
      <c r="I11" s="283">
        <f t="shared" si="1"/>
      </c>
      <c r="J11" s="283">
        <f t="shared" si="3"/>
      </c>
      <c r="K11" s="282">
        <f>SUM(K7:K10)</f>
      </c>
      <c r="L11" s="282">
        <f>SUM(L7:L10)</f>
      </c>
      <c r="M11" s="281"/>
      <c r="N11" s="282">
        <f>SUM(N7:N10)</f>
      </c>
      <c r="O11" s="281"/>
      <c r="P11" s="281">
        <f>SUM(P7:P10)</f>
      </c>
    </row>
    <row hidden="true" r="12">
      <c r="A12" s="274" t="s">
        <v>769</v>
      </c>
      <c r="B12" s="275" t="s">
        <v>756</v>
      </c>
      <c r="C12" s="276" t="s">
        <v>757</v>
      </c>
      <c r="D12" s="276">
        <v>4</v>
      </c>
      <c r="E12" s="276">
        <v>26</v>
      </c>
      <c r="F12" s="276">
        <v>31041.6</v>
      </c>
      <c r="G12" s="276">
        <v>21738.140000000003</v>
      </c>
      <c r="H12" s="277">
        <f t="shared" si="0"/>
      </c>
      <c r="I12" s="277">
        <f t="shared" si="1"/>
      </c>
      <c r="J12" s="277">
        <f t="shared" si="3"/>
      </c>
      <c r="K12" s="276">
        <v>5</v>
      </c>
      <c r="L12" s="276">
        <v>7764</v>
      </c>
      <c r="M12" s="276" t="s">
        <v>758</v>
      </c>
      <c r="N12" s="276">
        <v>8</v>
      </c>
      <c r="O12" s="278" t="s">
        <v>759</v>
      </c>
      <c r="P12" s="278">
        <v>8</v>
      </c>
    </row>
    <row hidden="true" r="13">
      <c r="A13" s="274" t="s">
        <v>769</v>
      </c>
      <c r="B13" s="275" t="s">
        <v>770</v>
      </c>
      <c r="C13" s="276" t="s">
        <v>771</v>
      </c>
      <c r="D13" s="276">
        <v>3</v>
      </c>
      <c r="E13" s="276">
        <v>10</v>
      </c>
      <c r="F13" s="276">
        <v>10464</v>
      </c>
      <c r="G13" s="276">
        <v>12226.48</v>
      </c>
      <c r="H13" s="277">
        <f t="shared" si="0"/>
      </c>
      <c r="I13" s="277">
        <f t="shared" si="1"/>
      </c>
      <c r="J13" s="277">
        <f>G12/E13</f>
      </c>
      <c r="K13" s="276">
        <v>4</v>
      </c>
      <c r="L13" s="276">
        <v>4884</v>
      </c>
      <c r="M13" s="278"/>
      <c r="N13" s="278"/>
      <c r="O13" s="279"/>
      <c r="P13" s="278"/>
    </row>
    <row hidden="true" r="14">
      <c r="A14" s="274" t="s">
        <v>769</v>
      </c>
      <c r="B14" s="275" t="s">
        <v>762</v>
      </c>
      <c r="C14" s="276" t="s">
        <v>772</v>
      </c>
      <c r="D14" s="276">
        <v>5</v>
      </c>
      <c r="E14" s="276">
        <v>34</v>
      </c>
      <c r="F14" s="276">
        <v>39478.15</v>
      </c>
      <c r="G14" s="276">
        <v>17071.93</v>
      </c>
      <c r="H14" s="277">
        <f t="shared" si="0"/>
      </c>
      <c r="I14" s="277">
        <f t="shared" si="1"/>
      </c>
      <c r="J14" s="277">
        <f t="shared" ref="J14:J17" si="4">G14/E14</f>
      </c>
      <c r="K14" s="276">
        <v>12</v>
      </c>
      <c r="L14" s="276">
        <v>12888.55</v>
      </c>
      <c r="M14" s="278"/>
      <c r="N14" s="278"/>
      <c r="O14" s="278"/>
      <c r="P14" s="278"/>
      <c r="Q14" s="278"/>
      <c r="R14" s="278"/>
    </row>
    <row hidden="true" r="15">
      <c r="A15" s="274" t="s">
        <v>769</v>
      </c>
      <c r="B15" s="275" t="s">
        <v>764</v>
      </c>
      <c r="C15" s="276" t="s">
        <v>765</v>
      </c>
      <c r="D15" s="276">
        <v>4</v>
      </c>
      <c r="E15" s="276">
        <v>62</v>
      </c>
      <c r="F15" s="276">
        <v>75334.4</v>
      </c>
      <c r="G15" s="276">
        <v>27382.32</v>
      </c>
      <c r="H15" s="277">
        <f t="shared" si="0"/>
      </c>
      <c r="I15" s="277">
        <f t="shared" si="1"/>
      </c>
      <c r="J15" s="277">
        <f t="shared" si="4"/>
      </c>
      <c r="K15" s="276">
        <v>5</v>
      </c>
      <c r="L15" s="276">
        <v>4660.8</v>
      </c>
      <c r="M15" s="276" t="s">
        <v>766</v>
      </c>
      <c r="N15" s="276">
        <v>8</v>
      </c>
      <c r="O15" s="278" t="s">
        <v>767</v>
      </c>
      <c r="P15" s="278">
        <v>8</v>
      </c>
    </row>
    <row r="16">
      <c r="A16" s="280" t="s">
        <v>769</v>
      </c>
      <c r="B16" s="281"/>
      <c r="C16" s="281"/>
      <c r="D16" s="282">
        <f>SUM(D12:D15)</f>
      </c>
      <c r="E16" s="282">
        <f>SUM(E12:E15)</f>
      </c>
      <c r="F16" s="282">
        <f>SUM(F12:F15)</f>
      </c>
      <c r="G16" s="282">
        <f>SUM(G12:G15)</f>
      </c>
      <c r="H16" s="283">
        <f t="shared" si="0"/>
      </c>
      <c r="I16" s="283">
        <f t="shared" si="1"/>
      </c>
      <c r="J16" s="283">
        <f t="shared" si="4"/>
      </c>
      <c r="K16" s="282">
        <f>SUM(K12:K15)</f>
      </c>
      <c r="L16" s="282">
        <f>SUM(L12:L15)</f>
      </c>
      <c r="M16" s="281"/>
      <c r="N16" s="282">
        <f>SUM(N12:N15)</f>
      </c>
      <c r="O16" s="281"/>
      <c r="P16" s="281">
        <f>SUM(P12:P15)</f>
      </c>
    </row>
    <row hidden="true" r="17">
      <c r="A17" s="274" t="s">
        <v>773</v>
      </c>
      <c r="B17" s="275" t="s">
        <v>770</v>
      </c>
      <c r="C17" s="276" t="s">
        <v>757</v>
      </c>
      <c r="D17" s="276">
        <v>4</v>
      </c>
      <c r="E17" s="276">
        <v>17</v>
      </c>
      <c r="F17" s="276">
        <v>19344</v>
      </c>
      <c r="G17" s="276">
        <v>21993.51</v>
      </c>
      <c r="H17" s="277">
        <f t="shared" si="0"/>
      </c>
      <c r="I17" s="277">
        <f t="shared" si="1"/>
      </c>
      <c r="J17" s="277">
        <f t="shared" si="4"/>
      </c>
      <c r="K17" s="276">
        <v>4</v>
      </c>
      <c r="L17" s="276">
        <v>3456</v>
      </c>
      <c r="M17" s="276" t="s">
        <v>758</v>
      </c>
      <c r="N17" s="276">
        <v>8</v>
      </c>
      <c r="O17" s="278" t="s">
        <v>759</v>
      </c>
      <c r="P17" s="278">
        <v>8</v>
      </c>
    </row>
    <row hidden="true" r="18">
      <c r="A18" s="274" t="s">
        <v>773</v>
      </c>
      <c r="B18" s="275" t="s">
        <v>756</v>
      </c>
      <c r="C18" s="276" t="s">
        <v>761</v>
      </c>
      <c r="D18" s="276">
        <v>4</v>
      </c>
      <c r="E18" s="276">
        <v>42</v>
      </c>
      <c r="F18" s="276">
        <v>52182.84</v>
      </c>
      <c r="G18" s="276">
        <v>28982.35</v>
      </c>
      <c r="H18" s="277">
        <f t="shared" si="0"/>
      </c>
      <c r="I18" s="277">
        <f t="shared" si="1"/>
      </c>
      <c r="J18" s="277">
        <f>G17/E18</f>
      </c>
      <c r="K18" s="276">
        <v>13</v>
      </c>
      <c r="L18" s="276">
        <v>16020</v>
      </c>
      <c r="M18" s="278"/>
      <c r="N18" s="278"/>
      <c r="O18" s="279"/>
      <c r="P18" s="278"/>
    </row>
    <row hidden="true" r="19">
      <c r="A19" s="274" t="s">
        <v>773</v>
      </c>
      <c r="B19" s="275" t="s">
        <v>760</v>
      </c>
      <c r="C19" s="276" t="s">
        <v>763</v>
      </c>
      <c r="D19" s="276">
        <v>4</v>
      </c>
      <c r="E19" s="276">
        <v>30</v>
      </c>
      <c r="F19" s="276">
        <v>36285.6</v>
      </c>
      <c r="G19" s="276">
        <v>21023.5</v>
      </c>
      <c r="H19" s="277">
        <f t="shared" si="0"/>
      </c>
      <c r="I19" s="277">
        <f t="shared" si="1"/>
      </c>
      <c r="J19" s="277">
        <f t="shared" ref="J19:J22" si="5">G19/E19</f>
      </c>
      <c r="K19" s="276">
        <v>4</v>
      </c>
      <c r="L19" s="276">
        <v>3936</v>
      </c>
      <c r="M19" s="278"/>
      <c r="N19" s="278"/>
      <c r="O19" s="278"/>
      <c r="P19" s="278"/>
    </row>
    <row hidden="true" r="20">
      <c r="A20" s="274" t="s">
        <v>773</v>
      </c>
      <c r="B20" s="275" t="s">
        <v>762</v>
      </c>
      <c r="C20" s="276" t="s">
        <v>765</v>
      </c>
      <c r="D20" s="276">
        <v>4</v>
      </c>
      <c r="E20" s="276">
        <v>33</v>
      </c>
      <c r="F20" s="276">
        <v>42544.8</v>
      </c>
      <c r="G20" s="276">
        <v>25223.22</v>
      </c>
      <c r="H20" s="277">
        <f t="shared" si="0"/>
      </c>
      <c r="I20" s="277">
        <f t="shared" si="1"/>
      </c>
      <c r="J20" s="277">
        <f t="shared" si="5"/>
      </c>
      <c r="K20" s="276">
        <v>6</v>
      </c>
      <c r="L20" s="276">
        <v>8268</v>
      </c>
      <c r="M20" s="276" t="s">
        <v>774</v>
      </c>
      <c r="N20" s="276">
        <v>3.2</v>
      </c>
      <c r="O20" s="278" t="s">
        <v>767</v>
      </c>
      <c r="P20" s="278">
        <v>8</v>
      </c>
    </row>
    <row r="21">
      <c r="A21" s="280" t="s">
        <v>773</v>
      </c>
      <c r="B21" s="281"/>
      <c r="C21" s="281"/>
      <c r="D21" s="282">
        <f>SUM(D17:D20)</f>
      </c>
      <c r="E21" s="282">
        <f>SUM(E17:E20)</f>
      </c>
      <c r="F21" s="282">
        <f>SUM(F17:F20)</f>
      </c>
      <c r="G21" s="282">
        <f>SUM(G17:G20)</f>
      </c>
      <c r="H21" s="283">
        <f t="shared" si="0"/>
      </c>
      <c r="I21" s="283">
        <f t="shared" si="1"/>
      </c>
      <c r="J21" s="283">
        <f t="shared" si="5"/>
      </c>
      <c r="K21" s="282">
        <f>SUM(K17:K20)</f>
      </c>
      <c r="L21" s="282">
        <f>SUM(L17:L20)</f>
      </c>
      <c r="M21" s="281"/>
      <c r="N21" s="282">
        <f>SUM(N17:N20)</f>
      </c>
      <c r="O21" s="281"/>
      <c r="P21" s="281">
        <f>SUM(P17:P20)</f>
      </c>
    </row>
    <row hidden="true" r="22">
      <c r="A22" s="274" t="s">
        <v>775</v>
      </c>
      <c r="B22" s="275" t="s">
        <v>770</v>
      </c>
      <c r="C22" s="276" t="s">
        <v>757</v>
      </c>
      <c r="D22" s="276">
        <v>4</v>
      </c>
      <c r="E22" s="276">
        <v>32</v>
      </c>
      <c r="F22" s="276">
        <v>38544</v>
      </c>
      <c r="G22" s="276">
        <v>29025.29</v>
      </c>
      <c r="H22" s="277">
        <f t="shared" si="0"/>
      </c>
      <c r="I22" s="277">
        <f t="shared" si="1"/>
      </c>
      <c r="J22" s="277">
        <f t="shared" si="5"/>
      </c>
      <c r="K22" s="276">
        <v>5</v>
      </c>
      <c r="L22" s="276">
        <v>4872</v>
      </c>
      <c r="M22" s="276" t="s">
        <v>758</v>
      </c>
      <c r="N22" s="276">
        <v>8</v>
      </c>
      <c r="O22" s="278" t="s">
        <v>759</v>
      </c>
      <c r="P22" s="278">
        <v>8</v>
      </c>
    </row>
    <row hidden="true" r="23">
      <c r="A23" s="274" t="s">
        <v>775</v>
      </c>
      <c r="B23" s="275" t="s">
        <v>756</v>
      </c>
      <c r="C23" s="276" t="s">
        <v>761</v>
      </c>
      <c r="D23" s="276">
        <v>4</v>
      </c>
      <c r="E23" s="276">
        <v>33</v>
      </c>
      <c r="F23" s="276">
        <v>44942</v>
      </c>
      <c r="G23" s="276">
        <v>25464.79</v>
      </c>
      <c r="H23" s="277">
        <f t="shared" si="0"/>
      </c>
      <c r="I23" s="277">
        <f t="shared" si="1"/>
      </c>
      <c r="J23" s="277">
        <f>G22/E23</f>
      </c>
      <c r="K23" s="276">
        <v>8</v>
      </c>
      <c r="L23" s="276">
        <v>10020</v>
      </c>
      <c r="M23" s="278"/>
      <c r="N23" s="278"/>
      <c r="O23" s="279"/>
      <c r="P23" s="278"/>
    </row>
    <row hidden="true" r="24">
      <c r="A24" s="274" t="s">
        <v>775</v>
      </c>
      <c r="B24" s="275" t="s">
        <v>762</v>
      </c>
      <c r="C24" s="276" t="s">
        <v>763</v>
      </c>
      <c r="D24" s="276">
        <v>4</v>
      </c>
      <c r="E24" s="276">
        <v>30</v>
      </c>
      <c r="F24" s="276">
        <v>35499</v>
      </c>
      <c r="G24" s="276">
        <v>22128.11</v>
      </c>
      <c r="H24" s="277">
        <f t="shared" si="0"/>
      </c>
      <c r="I24" s="277">
        <f t="shared" si="1"/>
      </c>
      <c r="J24" s="277">
        <f t="shared" ref="J24:J27" si="6">G24/E24</f>
      </c>
      <c r="K24" s="276">
        <v>8</v>
      </c>
      <c r="L24" s="276">
        <v>9746.4</v>
      </c>
      <c r="M24" s="278"/>
      <c r="N24" s="278"/>
      <c r="O24" s="278"/>
      <c r="P24" s="278"/>
    </row>
    <row hidden="true" r="25">
      <c r="A25" s="274" t="s">
        <v>775</v>
      </c>
      <c r="B25" s="275" t="s">
        <v>764</v>
      </c>
      <c r="C25" s="276" t="s">
        <v>765</v>
      </c>
      <c r="D25" s="276">
        <v>4</v>
      </c>
      <c r="E25" s="276">
        <v>20</v>
      </c>
      <c r="F25" s="276">
        <v>28848</v>
      </c>
      <c r="G25" s="276">
        <v>16038.68</v>
      </c>
      <c r="H25" s="277">
        <f t="shared" si="0"/>
      </c>
      <c r="I25" s="277">
        <f t="shared" si="1"/>
      </c>
      <c r="J25" s="277">
        <f t="shared" si="6"/>
      </c>
      <c r="K25" s="276">
        <v>4</v>
      </c>
      <c r="L25" s="276">
        <v>2868</v>
      </c>
      <c r="M25" s="276" t="s">
        <v>766</v>
      </c>
      <c r="N25" s="276">
        <v>8</v>
      </c>
      <c r="O25" s="278" t="s">
        <v>767</v>
      </c>
      <c r="P25" s="278">
        <v>8</v>
      </c>
    </row>
    <row r="26">
      <c r="A26" s="280" t="s">
        <v>775</v>
      </c>
      <c r="B26" s="281"/>
      <c r="C26" s="281"/>
      <c r="D26" s="282">
        <f>SUM(D22:D25)</f>
      </c>
      <c r="E26" s="282">
        <f>SUM(E22:E25)</f>
      </c>
      <c r="F26" s="282">
        <f>SUM(F22:F25)</f>
      </c>
      <c r="G26" s="282">
        <f>SUM(G22:G25)</f>
      </c>
      <c r="H26" s="283">
        <f t="shared" si="0"/>
      </c>
      <c r="I26" s="283">
        <f t="shared" si="1"/>
      </c>
      <c r="J26" s="283">
        <f t="shared" si="6"/>
      </c>
      <c r="K26" s="282">
        <f>SUM(K22:K25)</f>
      </c>
      <c r="L26" s="282">
        <f>SUM(L22:L25)</f>
      </c>
      <c r="M26" s="281"/>
      <c r="N26" s="282">
        <f>SUM(N22:N25)</f>
      </c>
      <c r="O26" s="281"/>
      <c r="P26" s="281">
        <f>SUM(P22:P25)</f>
      </c>
    </row>
    <row hidden="true" r="27">
      <c r="A27" s="284" t="s">
        <v>776</v>
      </c>
      <c r="B27" s="285" t="s">
        <v>760</v>
      </c>
      <c r="C27" s="278" t="s">
        <v>757</v>
      </c>
      <c r="D27" s="278">
        <v>4</v>
      </c>
      <c r="E27" s="278">
        <v>31</v>
      </c>
      <c r="F27" s="278">
        <v>32096.6</v>
      </c>
      <c r="G27" s="278">
        <v>22053.4</v>
      </c>
      <c r="H27" s="277">
        <f t="shared" si="0"/>
      </c>
      <c r="I27" s="277">
        <f t="shared" si="1"/>
      </c>
      <c r="J27" s="277">
        <f t="shared" si="6"/>
      </c>
      <c r="K27" s="278">
        <v>8</v>
      </c>
      <c r="L27" s="278">
        <v>6084</v>
      </c>
      <c r="M27" s="278" t="s">
        <v>758</v>
      </c>
      <c r="N27" s="278">
        <v>8</v>
      </c>
      <c r="O27" s="278" t="s">
        <v>759</v>
      </c>
      <c r="P27" s="278">
        <v>8</v>
      </c>
    </row>
    <row hidden="true" r="28">
      <c r="A28" s="284" t="s">
        <v>776</v>
      </c>
      <c r="B28" s="285" t="s">
        <v>756</v>
      </c>
      <c r="C28" s="278" t="s">
        <v>761</v>
      </c>
      <c r="D28" s="278">
        <v>4</v>
      </c>
      <c r="E28" s="278">
        <v>18</v>
      </c>
      <c r="F28" s="278">
        <v>23427.8</v>
      </c>
      <c r="G28" s="278">
        <v>14743.6</v>
      </c>
      <c r="H28" s="277">
        <f t="shared" si="0"/>
      </c>
      <c r="I28" s="277">
        <f t="shared" si="1"/>
      </c>
      <c r="J28" s="277">
        <f>G27/E28</f>
      </c>
      <c r="K28" s="278">
        <v>3</v>
      </c>
      <c r="L28" s="278">
        <v>4128</v>
      </c>
      <c r="M28" s="278"/>
      <c r="N28" s="278"/>
      <c r="O28" s="279"/>
      <c r="P28" s="278"/>
    </row>
    <row hidden="true" r="29">
      <c r="A29" s="284" t="s">
        <v>776</v>
      </c>
      <c r="B29" s="285" t="s">
        <v>770</v>
      </c>
      <c r="C29" s="278" t="s">
        <v>763</v>
      </c>
      <c r="D29" s="278">
        <v>4</v>
      </c>
      <c r="E29" s="278">
        <v>13</v>
      </c>
      <c r="F29" s="278">
        <v>18573</v>
      </c>
      <c r="G29" s="278">
        <v>10037.85</v>
      </c>
      <c r="H29" s="277">
        <f t="shared" si="0"/>
      </c>
      <c r="I29" s="277">
        <f t="shared" si="1"/>
      </c>
      <c r="J29" s="277">
        <f t="shared" ref="J29:J32" si="7">G29/E29</f>
      </c>
      <c r="K29" s="278">
        <v>0</v>
      </c>
      <c r="L29" s="278">
        <v>0</v>
      </c>
      <c r="M29" s="278"/>
      <c r="N29" s="278"/>
      <c r="O29" s="278"/>
      <c r="P29" s="278"/>
    </row>
    <row hidden="true" r="30">
      <c r="A30" s="284" t="s">
        <v>776</v>
      </c>
      <c r="B30" s="285" t="s">
        <v>762</v>
      </c>
      <c r="C30" s="278" t="s">
        <v>765</v>
      </c>
      <c r="D30" s="278">
        <v>4</v>
      </c>
      <c r="E30" s="278">
        <v>25</v>
      </c>
      <c r="F30" s="278">
        <v>29020.8</v>
      </c>
      <c r="G30" s="278">
        <v>14218.91</v>
      </c>
      <c r="H30" s="277">
        <f t="shared" si="0"/>
      </c>
      <c r="I30" s="277">
        <f t="shared" si="1"/>
      </c>
      <c r="J30" s="277">
        <f t="shared" si="7"/>
      </c>
      <c r="K30" s="278">
        <v>3</v>
      </c>
      <c r="L30" s="278">
        <v>4224</v>
      </c>
      <c r="M30" s="278" t="s">
        <v>766</v>
      </c>
      <c r="N30" s="278">
        <v>8</v>
      </c>
      <c r="O30" s="278" t="s">
        <v>767</v>
      </c>
      <c r="P30" s="278">
        <v>8</v>
      </c>
    </row>
    <row r="31">
      <c r="A31" s="286" t="s">
        <v>776</v>
      </c>
      <c r="B31" s="281"/>
      <c r="C31" s="281"/>
      <c r="D31" s="282">
        <f>SUM(D27:D30)</f>
      </c>
      <c r="E31" s="282">
        <f>SUM(E27:E30)</f>
      </c>
      <c r="F31" s="282">
        <f>SUM(F27:F30)</f>
      </c>
      <c r="G31" s="282">
        <f>SUM(G27:G30)</f>
      </c>
      <c r="H31" s="283">
        <f t="shared" si="0"/>
      </c>
      <c r="I31" s="283">
        <f t="shared" si="1"/>
      </c>
      <c r="J31" s="283">
        <f t="shared" si="7"/>
      </c>
      <c r="K31" s="282">
        <f>SUM(K27:K30)</f>
      </c>
      <c r="L31" s="282">
        <f>SUM(L27:L30)</f>
      </c>
      <c r="M31" s="281"/>
      <c r="N31" s="282">
        <f>SUM(N27:N30)</f>
      </c>
      <c r="O31" s="281"/>
      <c r="P31" s="281">
        <f>SUM(P27:P30)</f>
      </c>
    </row>
    <row hidden="true" r="32">
      <c r="A32" s="284" t="s">
        <v>777</v>
      </c>
      <c r="B32" s="285" t="s">
        <v>760</v>
      </c>
      <c r="C32" s="278" t="s">
        <v>757</v>
      </c>
      <c r="D32" s="278">
        <v>4</v>
      </c>
      <c r="E32" s="278">
        <v>20</v>
      </c>
      <c r="F32" s="278">
        <v>26088</v>
      </c>
      <c r="G32" s="278">
        <v>15803.439999999999</v>
      </c>
      <c r="H32" s="277">
        <f t="shared" si="0"/>
      </c>
      <c r="I32" s="277">
        <f t="shared" si="1"/>
      </c>
      <c r="J32" s="277">
        <f t="shared" si="7"/>
      </c>
      <c r="K32" s="278">
        <v>5</v>
      </c>
      <c r="L32" s="278">
        <v>5148</v>
      </c>
      <c r="M32" s="278" t="s">
        <v>758</v>
      </c>
      <c r="N32" s="278">
        <v>8</v>
      </c>
      <c r="O32" s="278" t="s">
        <v>759</v>
      </c>
      <c r="P32" s="278">
        <v>8</v>
      </c>
    </row>
    <row hidden="true" r="33">
      <c r="A33" s="284" t="s">
        <v>777</v>
      </c>
      <c r="B33" s="285" t="s">
        <v>756</v>
      </c>
      <c r="C33" s="278" t="s">
        <v>761</v>
      </c>
      <c r="D33" s="278">
        <v>4</v>
      </c>
      <c r="E33" s="278">
        <v>15</v>
      </c>
      <c r="F33" s="278">
        <v>19798.8</v>
      </c>
      <c r="G33" s="278">
        <v>13318.09</v>
      </c>
      <c r="H33" s="277">
        <f t="shared" si="0"/>
      </c>
      <c r="I33" s="277">
        <f t="shared" si="1"/>
      </c>
      <c r="J33" s="277">
        <f>G32/E33</f>
      </c>
      <c r="K33" s="278">
        <v>3</v>
      </c>
      <c r="L33" s="278">
        <v>4872</v>
      </c>
      <c r="M33" s="278"/>
      <c r="N33" s="278"/>
      <c r="O33" s="279"/>
      <c r="P33" s="278"/>
    </row>
    <row hidden="true" r="34">
      <c r="A34" s="284" t="s">
        <v>777</v>
      </c>
      <c r="B34" s="285" t="s">
        <v>770</v>
      </c>
      <c r="C34" s="278" t="s">
        <v>763</v>
      </c>
      <c r="D34" s="278">
        <v>4</v>
      </c>
      <c r="E34" s="278">
        <v>16</v>
      </c>
      <c r="F34" s="278">
        <v>23052</v>
      </c>
      <c r="G34" s="278">
        <v>13654.27</v>
      </c>
      <c r="H34" s="277">
        <f t="shared" si="0"/>
      </c>
      <c r="I34" s="277">
        <f t="shared" si="1"/>
      </c>
      <c r="J34" s="277">
        <f t="shared" ref="J34:J37" si="8">G34/E34</f>
      </c>
      <c r="K34" s="278">
        <v>3</v>
      </c>
      <c r="L34" s="278">
        <v>4152</v>
      </c>
      <c r="M34" s="278"/>
      <c r="N34" s="278"/>
      <c r="O34" s="278"/>
      <c r="P34" s="278"/>
    </row>
    <row hidden="true" r="35">
      <c r="A35" s="284" t="s">
        <v>777</v>
      </c>
      <c r="B35" s="285" t="s">
        <v>764</v>
      </c>
      <c r="C35" s="278" t="s">
        <v>765</v>
      </c>
      <c r="D35" s="278">
        <v>4</v>
      </c>
      <c r="E35" s="278">
        <v>22</v>
      </c>
      <c r="F35" s="278">
        <v>28038</v>
      </c>
      <c r="G35" s="278">
        <v>14535.8</v>
      </c>
      <c r="H35" s="277">
        <f t="shared" si="0"/>
      </c>
      <c r="I35" s="277">
        <f t="shared" si="1"/>
      </c>
      <c r="J35" s="277">
        <f t="shared" si="8"/>
      </c>
      <c r="K35" s="278">
        <v>0</v>
      </c>
      <c r="L35" s="278">
        <v>0</v>
      </c>
      <c r="M35" s="278" t="s">
        <v>766</v>
      </c>
      <c r="N35" s="278">
        <v>8</v>
      </c>
      <c r="O35" s="278" t="s">
        <v>767</v>
      </c>
      <c r="P35" s="278">
        <v>8</v>
      </c>
    </row>
    <row r="36">
      <c r="A36" s="286" t="s">
        <v>777</v>
      </c>
      <c r="B36" s="281"/>
      <c r="C36" s="281"/>
      <c r="D36" s="282">
        <f>SUM(D32:D35)</f>
      </c>
      <c r="E36" s="282">
        <f>SUM(E32:E35)</f>
      </c>
      <c r="F36" s="282">
        <f>SUM(F32:F35)</f>
      </c>
      <c r="G36" s="282">
        <f>SUM(G32:G35)</f>
      </c>
      <c r="H36" s="283">
        <f t="shared" si="0"/>
      </c>
      <c r="I36" s="283">
        <f t="shared" si="1"/>
      </c>
      <c r="J36" s="283">
        <f t="shared" si="8"/>
      </c>
      <c r="K36" s="282">
        <f>SUM(K32:K35)</f>
      </c>
      <c r="L36" s="282">
        <f>SUM(L32:L35)</f>
      </c>
      <c r="M36" s="281"/>
      <c r="N36" s="282">
        <f>SUM(N32:N35)</f>
      </c>
      <c r="O36" s="281"/>
      <c r="P36" s="281">
        <f>SUM(P32:P35)</f>
      </c>
    </row>
    <row hidden="true" r="37">
      <c r="A37" s="284" t="s">
        <v>778</v>
      </c>
      <c r="B37" s="285" t="s">
        <v>756</v>
      </c>
      <c r="C37" s="278" t="s">
        <v>779</v>
      </c>
      <c r="D37" s="278">
        <v>5</v>
      </c>
      <c r="E37" s="278">
        <v>24</v>
      </c>
      <c r="F37" s="278">
        <v>29876</v>
      </c>
      <c r="G37" s="278">
        <v>17248.34</v>
      </c>
      <c r="H37" s="277">
        <f t="shared" si="0"/>
      </c>
      <c r="I37" s="277">
        <f t="shared" si="1"/>
      </c>
      <c r="J37" s="277">
        <f t="shared" si="8"/>
      </c>
      <c r="K37" s="278">
        <v>9</v>
      </c>
      <c r="L37" s="278">
        <v>8064</v>
      </c>
      <c r="M37" s="278" t="s">
        <v>758</v>
      </c>
      <c r="N37" s="278">
        <v>9</v>
      </c>
      <c r="O37" s="278" t="s">
        <v>759</v>
      </c>
      <c r="P37" s="278">
        <v>8</v>
      </c>
    </row>
    <row hidden="true" r="38">
      <c r="A38" s="284" t="s">
        <v>778</v>
      </c>
      <c r="B38" s="285" t="s">
        <v>762</v>
      </c>
      <c r="C38" s="278" t="s">
        <v>780</v>
      </c>
      <c r="D38" s="278">
        <v>4</v>
      </c>
      <c r="E38" s="278">
        <v>14</v>
      </c>
      <c r="F38" s="278">
        <v>19483.2</v>
      </c>
      <c r="G38" s="278">
        <v>13021.58</v>
      </c>
      <c r="H38" s="277">
        <f t="shared" si="0"/>
      </c>
      <c r="I38" s="277">
        <f t="shared" si="1"/>
      </c>
      <c r="J38" s="277">
        <f>G37/E38</f>
      </c>
      <c r="K38" s="278">
        <v>4</v>
      </c>
      <c r="L38" s="278">
        <v>6324</v>
      </c>
      <c r="M38" s="278"/>
      <c r="N38" s="278"/>
      <c r="O38" s="279"/>
      <c r="P38" s="278"/>
    </row>
    <row hidden="true" r="39">
      <c r="A39" s="284" t="s">
        <v>778</v>
      </c>
      <c r="B39" s="285" t="s">
        <v>760</v>
      </c>
      <c r="C39" s="278" t="s">
        <v>781</v>
      </c>
      <c r="D39" s="278">
        <v>4</v>
      </c>
      <c r="E39" s="278">
        <v>27</v>
      </c>
      <c r="F39" s="278">
        <v>32467.2</v>
      </c>
      <c r="G39" s="278">
        <v>16390.67</v>
      </c>
      <c r="H39" s="277">
        <f t="shared" si="0"/>
      </c>
      <c r="I39" s="277">
        <f t="shared" si="1"/>
      </c>
      <c r="J39" s="277">
        <f t="shared" ref="J39:J42" si="9">G39/E39</f>
      </c>
      <c r="K39" s="278">
        <v>3</v>
      </c>
      <c r="L39" s="278">
        <v>3936</v>
      </c>
      <c r="M39" s="278"/>
      <c r="N39" s="278"/>
      <c r="O39" s="278"/>
      <c r="P39" s="278"/>
    </row>
    <row hidden="true" r="40">
      <c r="A40" s="284" t="s">
        <v>778</v>
      </c>
      <c r="B40" s="285" t="s">
        <v>764</v>
      </c>
      <c r="C40" s="278" t="s">
        <v>782</v>
      </c>
      <c r="D40" s="278">
        <v>4</v>
      </c>
      <c r="E40" s="278">
        <v>34</v>
      </c>
      <c r="F40" s="278">
        <v>50298.72</v>
      </c>
      <c r="G40" s="278">
        <v>20549.13</v>
      </c>
      <c r="H40" s="277">
        <f t="shared" si="0"/>
      </c>
      <c r="I40" s="277">
        <f t="shared" si="1"/>
      </c>
      <c r="J40" s="277">
        <f t="shared" si="9"/>
      </c>
      <c r="K40" s="278">
        <v>5</v>
      </c>
      <c r="L40" s="278">
        <v>7768.32</v>
      </c>
      <c r="M40" s="278" t="s">
        <v>766</v>
      </c>
      <c r="N40" s="278">
        <v>8</v>
      </c>
      <c r="O40" s="278" t="s">
        <v>767</v>
      </c>
      <c r="P40" s="278">
        <v>8</v>
      </c>
    </row>
    <row r="41">
      <c r="A41" s="286" t="s">
        <v>778</v>
      </c>
      <c r="B41" s="281"/>
      <c r="C41" s="281"/>
      <c r="D41" s="282">
        <f>SUM(D37:D40)</f>
      </c>
      <c r="E41" s="282">
        <f>SUM(E37:E40)</f>
      </c>
      <c r="F41" s="282">
        <f>SUM(F37:F40)</f>
      </c>
      <c r="G41" s="282">
        <f>SUM(G37:G40)</f>
      </c>
      <c r="H41" s="283">
        <f t="shared" si="0"/>
      </c>
      <c r="I41" s="283">
        <f t="shared" si="1"/>
      </c>
      <c r="J41" s="283">
        <f t="shared" si="9"/>
      </c>
      <c r="K41" s="282">
        <f>SUM(K37:K40)</f>
      </c>
      <c r="L41" s="282">
        <f>SUM(L37:L40)</f>
      </c>
      <c r="M41" s="281"/>
      <c r="N41" s="282">
        <f>SUM(N37:N40)</f>
      </c>
      <c r="O41" s="281"/>
      <c r="P41" s="281">
        <f>SUM(P37:P40)</f>
      </c>
    </row>
    <row hidden="true" r="42">
      <c r="A42" s="284" t="s">
        <v>783</v>
      </c>
      <c r="B42" s="285" t="s">
        <v>760</v>
      </c>
      <c r="C42" s="278" t="s">
        <v>757</v>
      </c>
      <c r="D42" s="278">
        <v>4</v>
      </c>
      <c r="E42" s="276">
        <v>32</v>
      </c>
      <c r="F42" s="278">
        <v>38034</v>
      </c>
      <c r="G42" s="278">
        <v>24098.75</v>
      </c>
      <c r="H42" s="277">
        <f t="shared" si="0"/>
      </c>
      <c r="I42" s="277">
        <f t="shared" si="1"/>
      </c>
      <c r="J42" s="277">
        <f t="shared" si="9"/>
      </c>
      <c r="K42" s="276">
        <v>7</v>
      </c>
      <c r="L42" s="276">
        <v>8400</v>
      </c>
      <c r="M42" s="278" t="s">
        <v>758</v>
      </c>
      <c r="N42" s="278">
        <v>8</v>
      </c>
      <c r="O42" s="278" t="s">
        <v>759</v>
      </c>
      <c r="P42" s="278">
        <v>8</v>
      </c>
    </row>
    <row hidden="true" r="43">
      <c r="A43" s="284" t="s">
        <v>783</v>
      </c>
      <c r="B43" s="285" t="s">
        <v>756</v>
      </c>
      <c r="C43" s="278" t="s">
        <v>761</v>
      </c>
      <c r="D43" s="278">
        <v>4</v>
      </c>
      <c r="E43" s="276">
        <v>30</v>
      </c>
      <c r="F43" s="276">
        <v>40880.4</v>
      </c>
      <c r="G43" s="276">
        <v>22520.2</v>
      </c>
      <c r="H43" s="277">
        <f t="shared" si="0"/>
      </c>
      <c r="I43" s="277">
        <f t="shared" si="1"/>
      </c>
      <c r="J43" s="277">
        <f>G42/E43</f>
      </c>
      <c r="K43" s="276">
        <v>7</v>
      </c>
      <c r="L43" s="276">
        <v>9159</v>
      </c>
      <c r="M43" s="278"/>
      <c r="N43" s="278"/>
      <c r="O43" s="279"/>
      <c r="P43" s="278"/>
    </row>
    <row hidden="true" r="44">
      <c r="A44" s="284" t="s">
        <v>783</v>
      </c>
      <c r="B44" s="285" t="s">
        <v>764</v>
      </c>
      <c r="C44" s="278" t="s">
        <v>763</v>
      </c>
      <c r="D44" s="278">
        <v>4</v>
      </c>
      <c r="E44" s="276">
        <v>22</v>
      </c>
      <c r="F44" s="276">
        <v>26917.2</v>
      </c>
      <c r="G44" s="276">
        <v>16825.82</v>
      </c>
      <c r="H44" s="277">
        <f t="shared" si="0"/>
      </c>
      <c r="I44" s="277">
        <f t="shared" si="1"/>
      </c>
      <c r="J44" s="277">
        <f t="shared" ref="J44:J47" si="10">G44/E44</f>
      </c>
      <c r="K44" s="276">
        <v>5</v>
      </c>
      <c r="L44" s="276">
        <v>3000</v>
      </c>
      <c r="M44" s="278"/>
      <c r="N44" s="278"/>
      <c r="O44" s="278"/>
      <c r="P44" s="278"/>
    </row>
    <row hidden="true" r="45">
      <c r="A45" s="284" t="s">
        <v>783</v>
      </c>
      <c r="B45" s="285" t="s">
        <v>762</v>
      </c>
      <c r="C45" s="278" t="s">
        <v>765</v>
      </c>
      <c r="D45" s="278">
        <v>4</v>
      </c>
      <c r="E45" s="276">
        <v>27</v>
      </c>
      <c r="F45" s="276">
        <v>29722.8</v>
      </c>
      <c r="G45" s="276">
        <v>14690.05</v>
      </c>
      <c r="H45" s="277">
        <f t="shared" si="0"/>
      </c>
      <c r="I45" s="277">
        <f t="shared" si="1"/>
      </c>
      <c r="J45" s="277">
        <f t="shared" si="10"/>
      </c>
      <c r="K45" s="276">
        <v>8</v>
      </c>
      <c r="L45" s="276">
        <v>6214.8</v>
      </c>
      <c r="M45" s="278" t="s">
        <v>766</v>
      </c>
      <c r="N45" s="278">
        <v>8</v>
      </c>
      <c r="O45" s="278" t="s">
        <v>767</v>
      </c>
      <c r="P45" s="278">
        <v>8</v>
      </c>
    </row>
    <row r="46">
      <c r="A46" s="286" t="s">
        <v>783</v>
      </c>
      <c r="B46" s="281"/>
      <c r="C46" s="281"/>
      <c r="D46" s="282">
        <f>SUM(D42:D45)</f>
      </c>
      <c r="E46" s="282">
        <f>SUM(E42:E45)</f>
      </c>
      <c r="F46" s="282">
        <f>SUM(F42:F45)</f>
      </c>
      <c r="G46" s="282">
        <f>SUM(G42:G45)</f>
      </c>
      <c r="H46" s="283">
        <f t="shared" si="0"/>
      </c>
      <c r="I46" s="283">
        <f t="shared" si="1"/>
      </c>
      <c r="J46" s="283">
        <f t="shared" si="10"/>
      </c>
      <c r="K46" s="282">
        <f>SUM(K42:K45)</f>
      </c>
      <c r="L46" s="282">
        <f>SUM(L42:L45)</f>
      </c>
      <c r="M46" s="281"/>
      <c r="N46" s="282">
        <f>SUM(N42:N45)</f>
      </c>
      <c r="O46" s="281"/>
      <c r="P46" s="281">
        <f>SUM(P42:P45)</f>
      </c>
    </row>
    <row hidden="true" r="47">
      <c r="A47" s="274" t="s">
        <v>784</v>
      </c>
      <c r="B47" s="285" t="s">
        <v>760</v>
      </c>
      <c r="C47" s="278" t="s">
        <v>757</v>
      </c>
      <c r="D47" s="278">
        <v>4</v>
      </c>
      <c r="E47" s="276">
        <v>27</v>
      </c>
      <c r="F47" s="278">
        <v>30128.4</v>
      </c>
      <c r="G47" s="278">
        <v>21826.4</v>
      </c>
      <c r="H47" s="277">
        <f t="shared" si="0"/>
      </c>
      <c r="I47" s="277">
        <f t="shared" si="1"/>
      </c>
      <c r="J47" s="277">
        <f t="shared" si="10"/>
      </c>
      <c r="K47" s="276">
        <v>4</v>
      </c>
      <c r="L47" s="276">
        <v>4524</v>
      </c>
      <c r="M47" s="278" t="s">
        <v>758</v>
      </c>
      <c r="N47" s="278">
        <v>8</v>
      </c>
      <c r="O47" s="278" t="s">
        <v>759</v>
      </c>
      <c r="P47" s="278">
        <v>8</v>
      </c>
    </row>
    <row hidden="true" r="48">
      <c r="A48" s="274" t="s">
        <v>784</v>
      </c>
      <c r="B48" s="285" t="s">
        <v>764</v>
      </c>
      <c r="C48" s="278" t="s">
        <v>761</v>
      </c>
      <c r="D48" s="278">
        <v>4</v>
      </c>
      <c r="E48" s="276">
        <v>15</v>
      </c>
      <c r="F48" s="276">
        <v>24516</v>
      </c>
      <c r="G48" s="276">
        <v>14450.16</v>
      </c>
      <c r="H48" s="277">
        <f t="shared" si="0"/>
      </c>
      <c r="I48" s="277">
        <f t="shared" si="1"/>
      </c>
      <c r="J48" s="277">
        <f>G47/E48</f>
      </c>
      <c r="K48" s="276">
        <v>3</v>
      </c>
      <c r="L48" s="276">
        <v>3432</v>
      </c>
      <c r="M48" s="278"/>
      <c r="N48" s="278"/>
      <c r="O48" s="279"/>
      <c r="P48" s="278"/>
    </row>
    <row hidden="true" r="49">
      <c r="A49" s="274" t="s">
        <v>784</v>
      </c>
      <c r="B49" s="285" t="s">
        <v>756</v>
      </c>
      <c r="C49" s="278" t="s">
        <v>763</v>
      </c>
      <c r="D49" s="278">
        <v>4</v>
      </c>
      <c r="E49" s="276">
        <v>21</v>
      </c>
      <c r="F49" s="276">
        <v>22056.6</v>
      </c>
      <c r="G49" s="276">
        <v>11594.97</v>
      </c>
      <c r="H49" s="277">
        <f t="shared" si="0"/>
      </c>
      <c r="I49" s="277">
        <f t="shared" si="1"/>
      </c>
      <c r="J49" s="277">
        <f t="shared" ref="J49:J52" si="11">G49/E49</f>
      </c>
      <c r="K49" s="276">
        <v>2</v>
      </c>
      <c r="L49" s="276">
        <v>2136</v>
      </c>
      <c r="M49" s="278"/>
      <c r="N49" s="278"/>
      <c r="O49" s="278"/>
      <c r="P49" s="278"/>
    </row>
    <row hidden="true" r="50">
      <c r="A50" s="274" t="s">
        <v>784</v>
      </c>
      <c r="B50" s="275" t="s">
        <v>770</v>
      </c>
      <c r="C50" s="278" t="s">
        <v>765</v>
      </c>
      <c r="D50" s="278">
        <v>4</v>
      </c>
      <c r="E50" s="276">
        <v>52</v>
      </c>
      <c r="F50" s="276">
        <v>62270.35</v>
      </c>
      <c r="G50" s="276">
        <v>38514.65</v>
      </c>
      <c r="H50" s="277">
        <f t="shared" si="0"/>
      </c>
      <c r="I50" s="277">
        <f t="shared" si="1"/>
      </c>
      <c r="J50" s="277">
        <f t="shared" si="11"/>
      </c>
      <c r="K50" s="276">
        <v>8</v>
      </c>
      <c r="L50" s="276">
        <v>5949.6</v>
      </c>
      <c r="M50" s="276" t="s">
        <v>774</v>
      </c>
      <c r="N50" s="276">
        <v>3.2</v>
      </c>
      <c r="O50" s="278" t="s">
        <v>767</v>
      </c>
      <c r="P50" s="278">
        <v>8</v>
      </c>
    </row>
    <row r="51">
      <c r="A51" s="280" t="s">
        <v>784</v>
      </c>
      <c r="B51" s="281"/>
      <c r="C51" s="281"/>
      <c r="D51" s="282">
        <f>SUM(D47:D50)</f>
      </c>
      <c r="E51" s="282">
        <f>SUM(E47:E50)</f>
      </c>
      <c r="F51" s="282">
        <f>SUM(F47:F50)</f>
      </c>
      <c r="G51" s="282">
        <f>SUM(G47:G50)</f>
      </c>
      <c r="H51" s="283">
        <f t="shared" si="0"/>
      </c>
      <c r="I51" s="283">
        <f t="shared" si="1"/>
      </c>
      <c r="J51" s="283">
        <f t="shared" si="11"/>
      </c>
      <c r="K51" s="282">
        <f>SUM(K47:K50)</f>
      </c>
      <c r="L51" s="282">
        <f>SUM(L47:L50)</f>
      </c>
      <c r="M51" s="281"/>
      <c r="N51" s="282">
        <f>SUM(N47:N50)</f>
      </c>
      <c r="O51" s="281"/>
      <c r="P51" s="281">
        <f>SUM(P47:P50)</f>
      </c>
    </row>
    <row hidden="true" r="52">
      <c r="A52" s="274" t="s">
        <v>785</v>
      </c>
      <c r="B52" s="285" t="s">
        <v>756</v>
      </c>
      <c r="C52" s="278" t="s">
        <v>757</v>
      </c>
      <c r="D52" s="278">
        <v>4</v>
      </c>
      <c r="E52" s="276">
        <v>30</v>
      </c>
      <c r="F52" s="278">
        <v>40044</v>
      </c>
      <c r="G52" s="278">
        <v>23592.21</v>
      </c>
      <c r="H52" s="277">
        <f t="shared" si="0"/>
      </c>
      <c r="I52" s="277">
        <f t="shared" si="1"/>
      </c>
      <c r="J52" s="277">
        <f t="shared" si="11"/>
      </c>
      <c r="K52" s="276">
        <v>7</v>
      </c>
      <c r="L52" s="276">
        <v>8724</v>
      </c>
      <c r="M52" s="278" t="s">
        <v>758</v>
      </c>
      <c r="N52" s="278">
        <v>8</v>
      </c>
      <c r="O52" s="278" t="s">
        <v>759</v>
      </c>
      <c r="P52" s="278">
        <v>8</v>
      </c>
    </row>
    <row hidden="true" r="53">
      <c r="A53" s="274" t="s">
        <v>785</v>
      </c>
      <c r="B53" s="285" t="s">
        <v>764</v>
      </c>
      <c r="C53" s="278" t="s">
        <v>761</v>
      </c>
      <c r="D53" s="278">
        <v>4</v>
      </c>
      <c r="E53" s="276">
        <v>29</v>
      </c>
      <c r="F53" s="276">
        <v>34190.4</v>
      </c>
      <c r="G53" s="276">
        <v>23765.15</v>
      </c>
      <c r="H53" s="277">
        <f t="shared" si="0"/>
      </c>
      <c r="I53" s="277">
        <f t="shared" si="1"/>
      </c>
      <c r="J53" s="277">
        <f>G52/E53</f>
      </c>
      <c r="K53" s="276">
        <v>9</v>
      </c>
      <c r="L53" s="276">
        <v>10080</v>
      </c>
      <c r="M53" s="278"/>
      <c r="N53" s="278"/>
      <c r="O53" s="279"/>
      <c r="P53" s="278"/>
    </row>
    <row hidden="true" r="54">
      <c r="A54" s="274" t="s">
        <v>785</v>
      </c>
      <c r="B54" s="285" t="s">
        <v>762</v>
      </c>
      <c r="C54" s="278" t="s">
        <v>763</v>
      </c>
      <c r="D54" s="278">
        <v>4</v>
      </c>
      <c r="E54" s="276">
        <v>20</v>
      </c>
      <c r="F54" s="276">
        <v>22324.8</v>
      </c>
      <c r="G54" s="276">
        <v>14894.47</v>
      </c>
      <c r="H54" s="277">
        <f t="shared" si="0"/>
      </c>
      <c r="I54" s="277">
        <f t="shared" si="1"/>
      </c>
      <c r="J54" s="277">
        <f t="shared" ref="J54:J57" si="12">G54/E54</f>
      </c>
      <c r="K54" s="276">
        <v>3</v>
      </c>
      <c r="L54" s="276">
        <v>3132</v>
      </c>
      <c r="M54" s="278"/>
      <c r="N54" s="278"/>
      <c r="O54" s="278"/>
      <c r="P54" s="278"/>
    </row>
    <row hidden="true" r="55">
      <c r="A55" s="274" t="s">
        <v>785</v>
      </c>
      <c r="B55" s="275" t="s">
        <v>770</v>
      </c>
      <c r="C55" s="278" t="s">
        <v>765</v>
      </c>
      <c r="D55" s="278">
        <v>4</v>
      </c>
      <c r="E55" s="276">
        <v>19</v>
      </c>
      <c r="F55" s="276">
        <v>24925.2</v>
      </c>
      <c r="G55" s="276">
        <v>13781.21</v>
      </c>
      <c r="H55" s="277">
        <f t="shared" si="0"/>
      </c>
      <c r="I55" s="277">
        <f t="shared" si="1"/>
      </c>
      <c r="J55" s="277">
        <f t="shared" si="12"/>
      </c>
      <c r="K55" s="276">
        <v>1</v>
      </c>
      <c r="L55" s="276">
        <v>2088</v>
      </c>
      <c r="M55" s="276" t="s">
        <v>766</v>
      </c>
      <c r="N55" s="276">
        <v>8</v>
      </c>
      <c r="O55" s="278" t="s">
        <v>767</v>
      </c>
      <c r="P55" s="278">
        <v>8</v>
      </c>
    </row>
    <row r="56">
      <c r="A56" s="280" t="s">
        <v>785</v>
      </c>
      <c r="B56" s="281"/>
      <c r="C56" s="281"/>
      <c r="D56" s="282">
        <f>SUM(D52:D55)</f>
      </c>
      <c r="E56" s="282">
        <f>SUM(E52:E55)</f>
      </c>
      <c r="F56" s="282">
        <f>SUM(F52:F55)</f>
      </c>
      <c r="G56" s="282">
        <f>SUM(G52:G55)</f>
      </c>
      <c r="H56" s="283">
        <f t="shared" si="0"/>
      </c>
      <c r="I56" s="283">
        <f t="shared" si="1"/>
      </c>
      <c r="J56" s="283">
        <f t="shared" si="12"/>
      </c>
      <c r="K56" s="282">
        <f>SUM(K52:K55)</f>
      </c>
      <c r="L56" s="282">
        <f>SUM(L52:L55)</f>
      </c>
      <c r="M56" s="281"/>
      <c r="N56" s="282">
        <f>SUM(N52:N55)</f>
      </c>
      <c r="O56" s="281"/>
      <c r="P56" s="281">
        <f>SUM(P52:P55)</f>
      </c>
    </row>
    <row hidden="true" r="57">
      <c r="A57" s="274" t="s">
        <v>786</v>
      </c>
      <c r="B57" s="285" t="s">
        <v>764</v>
      </c>
      <c r="C57" s="278" t="s">
        <v>757</v>
      </c>
      <c r="D57" s="278">
        <v>4</v>
      </c>
      <c r="E57" s="276">
        <v>26</v>
      </c>
      <c r="F57" s="278">
        <v>38640</v>
      </c>
      <c r="G57" s="278">
        <v>61440.32</v>
      </c>
      <c r="H57" s="277">
        <f t="shared" si="0"/>
      </c>
      <c r="I57" s="277">
        <f t="shared" si="1"/>
      </c>
      <c r="J57" s="277">
        <f t="shared" si="12"/>
      </c>
      <c r="K57" s="276">
        <v>4</v>
      </c>
      <c r="L57" s="276">
        <v>3876</v>
      </c>
      <c r="M57" s="278" t="s">
        <v>758</v>
      </c>
      <c r="N57" s="278">
        <v>8</v>
      </c>
      <c r="O57" s="278" t="s">
        <v>759</v>
      </c>
      <c r="P57" s="278">
        <v>8</v>
      </c>
    </row>
    <row hidden="true" r="58">
      <c r="A58" s="274" t="s">
        <v>786</v>
      </c>
      <c r="B58" s="285" t="s">
        <v>762</v>
      </c>
      <c r="C58" s="278" t="s">
        <v>761</v>
      </c>
      <c r="D58" s="278">
        <v>4</v>
      </c>
      <c r="E58" s="276">
        <v>27</v>
      </c>
      <c r="F58" s="276">
        <v>29976</v>
      </c>
      <c r="G58" s="276">
        <v>21109.97</v>
      </c>
      <c r="H58" s="277">
        <f t="shared" si="0"/>
      </c>
      <c r="I58" s="277">
        <f t="shared" si="1"/>
      </c>
      <c r="J58" s="277">
        <f>G57/E58</f>
      </c>
      <c r="K58" s="276">
        <v>7</v>
      </c>
      <c r="L58" s="276">
        <v>6732</v>
      </c>
      <c r="M58" s="278"/>
      <c r="N58" s="278"/>
      <c r="O58" s="279"/>
      <c r="P58" s="278"/>
    </row>
    <row hidden="true" r="59">
      <c r="A59" s="274" t="s">
        <v>786</v>
      </c>
      <c r="B59" s="285" t="s">
        <v>760</v>
      </c>
      <c r="C59" s="278" t="s">
        <v>763</v>
      </c>
      <c r="D59" s="278">
        <v>4</v>
      </c>
      <c r="E59" s="276">
        <v>15</v>
      </c>
      <c r="F59" s="276">
        <v>19366.8</v>
      </c>
      <c r="G59" s="276">
        <v>11741.86</v>
      </c>
      <c r="H59" s="277">
        <f t="shared" si="0"/>
      </c>
      <c r="I59" s="277">
        <f t="shared" si="1"/>
      </c>
      <c r="J59" s="277">
        <f t="shared" ref="J59:J62" si="13">G59/E59</f>
      </c>
      <c r="K59" s="276">
        <v>4</v>
      </c>
      <c r="L59" s="276">
        <v>3840</v>
      </c>
      <c r="M59" s="278"/>
      <c r="N59" s="278"/>
      <c r="O59" s="278"/>
      <c r="P59" s="278"/>
    </row>
    <row hidden="true" r="60">
      <c r="A60" s="274" t="s">
        <v>786</v>
      </c>
      <c r="B60" s="275" t="s">
        <v>770</v>
      </c>
      <c r="C60" s="278" t="s">
        <v>765</v>
      </c>
      <c r="D60" s="278">
        <v>4</v>
      </c>
      <c r="E60" s="276">
        <v>31</v>
      </c>
      <c r="F60" s="276">
        <v>38004</v>
      </c>
      <c r="G60" s="276">
        <v>20462.35</v>
      </c>
      <c r="H60" s="277">
        <f t="shared" si="0"/>
      </c>
      <c r="I60" s="277">
        <f t="shared" si="1"/>
      </c>
      <c r="J60" s="277">
        <f t="shared" si="13"/>
      </c>
      <c r="K60" s="276">
        <v>7</v>
      </c>
      <c r="L60" s="276">
        <v>7476</v>
      </c>
      <c r="M60" s="276" t="s">
        <v>774</v>
      </c>
      <c r="N60" s="276">
        <v>3.2</v>
      </c>
      <c r="O60" s="278" t="s">
        <v>767</v>
      </c>
      <c r="P60" s="278">
        <v>8</v>
      </c>
    </row>
    <row r="61">
      <c r="A61" s="280" t="s">
        <v>786</v>
      </c>
      <c r="B61" s="281"/>
      <c r="C61" s="281"/>
      <c r="D61" s="282">
        <f>SUM(D57:D60)</f>
      </c>
      <c r="E61" s="282">
        <f>SUM(E57:E60)</f>
      </c>
      <c r="F61" s="282">
        <f>SUM(F57:F60)</f>
      </c>
      <c r="G61" s="282">
        <f>SUM(G57:G60)</f>
      </c>
      <c r="H61" s="283">
        <f t="shared" si="0"/>
      </c>
      <c r="I61" s="283">
        <f t="shared" si="1"/>
      </c>
      <c r="J61" s="283">
        <f t="shared" si="13"/>
      </c>
      <c r="K61" s="282">
        <f>SUM(K57:K60)</f>
      </c>
      <c r="L61" s="282">
        <f>SUM(L57:L60)</f>
      </c>
      <c r="M61" s="281"/>
      <c r="N61" s="282">
        <f>SUM(N57:N60)</f>
      </c>
      <c r="O61" s="281"/>
      <c r="P61" s="281">
        <f>SUM(P57:P60)</f>
      </c>
    </row>
    <row hidden="true" r="62">
      <c r="A62" s="274" t="s">
        <v>787</v>
      </c>
      <c r="B62" s="285" t="s">
        <v>764</v>
      </c>
      <c r="C62" s="278" t="s">
        <v>757</v>
      </c>
      <c r="D62" s="278">
        <v>4</v>
      </c>
      <c r="E62" s="276">
        <v>12</v>
      </c>
      <c r="F62" s="278">
        <v>18060</v>
      </c>
      <c r="G62" s="278">
        <v>14802.419999999998</v>
      </c>
      <c r="H62" s="277">
        <f t="shared" si="0"/>
      </c>
      <c r="I62" s="277">
        <f t="shared" si="1"/>
      </c>
      <c r="J62" s="277">
        <f t="shared" si="13"/>
      </c>
      <c r="K62" s="276">
        <v>3</v>
      </c>
      <c r="L62" s="276">
        <v>3156</v>
      </c>
      <c r="M62" s="278" t="s">
        <v>758</v>
      </c>
      <c r="N62" s="278">
        <v>8</v>
      </c>
      <c r="O62" s="278" t="s">
        <v>759</v>
      </c>
      <c r="P62" s="278">
        <v>8</v>
      </c>
    </row>
    <row hidden="true" r="63">
      <c r="A63" s="274" t="s">
        <v>787</v>
      </c>
      <c r="B63" s="285" t="s">
        <v>760</v>
      </c>
      <c r="C63" s="278" t="s">
        <v>761</v>
      </c>
      <c r="D63" s="278">
        <v>4</v>
      </c>
      <c r="E63" s="276">
        <v>13</v>
      </c>
      <c r="F63" s="276">
        <v>15360</v>
      </c>
      <c r="G63" s="276">
        <v>12496.17</v>
      </c>
      <c r="H63" s="277">
        <f t="shared" si="0"/>
      </c>
      <c r="I63" s="277">
        <f t="shared" si="1"/>
      </c>
      <c r="J63" s="277">
        <f>G62/E63</f>
      </c>
      <c r="K63" s="276">
        <v>3</v>
      </c>
      <c r="L63" s="276">
        <v>1212</v>
      </c>
      <c r="M63" s="278"/>
      <c r="N63" s="278"/>
      <c r="O63" s="279"/>
      <c r="P63" s="278"/>
    </row>
    <row hidden="true" r="64">
      <c r="A64" s="274" t="s">
        <v>787</v>
      </c>
      <c r="B64" s="275" t="s">
        <v>770</v>
      </c>
      <c r="C64" s="278" t="s">
        <v>763</v>
      </c>
      <c r="D64" s="278">
        <v>4</v>
      </c>
      <c r="E64" s="276">
        <v>15</v>
      </c>
      <c r="F64" s="276">
        <v>19614.6</v>
      </c>
      <c r="G64" s="276">
        <v>11888.42</v>
      </c>
      <c r="H64" s="277">
        <f t="shared" si="0"/>
      </c>
      <c r="I64" s="277">
        <f t="shared" si="1"/>
      </c>
      <c r="J64" s="277">
        <f t="shared" ref="J64:J67" si="14">G64/E64</f>
      </c>
      <c r="K64" s="276">
        <v>2</v>
      </c>
      <c r="L64" s="276">
        <v>1503.6</v>
      </c>
      <c r="M64" s="278"/>
      <c r="N64" s="278"/>
      <c r="O64" s="278"/>
      <c r="P64" s="278"/>
    </row>
    <row hidden="true" r="65">
      <c r="A65" s="274" t="s">
        <v>787</v>
      </c>
      <c r="B65" s="285" t="s">
        <v>762</v>
      </c>
      <c r="C65" s="278" t="s">
        <v>765</v>
      </c>
      <c r="D65" s="278">
        <v>4</v>
      </c>
      <c r="E65" s="276">
        <v>11</v>
      </c>
      <c r="F65" s="276">
        <v>13584</v>
      </c>
      <c r="G65" s="276">
        <v>10810.69</v>
      </c>
      <c r="H65" s="277">
        <f t="shared" si="0"/>
      </c>
      <c r="I65" s="277">
        <f t="shared" si="1"/>
      </c>
      <c r="J65" s="277">
        <f t="shared" si="14"/>
      </c>
      <c r="K65" s="276">
        <v>1</v>
      </c>
      <c r="L65" s="276">
        <v>2088</v>
      </c>
      <c r="M65" s="276" t="s">
        <v>774</v>
      </c>
      <c r="N65" s="276">
        <v>3.2</v>
      </c>
      <c r="O65" s="278" t="s">
        <v>767</v>
      </c>
      <c r="P65" s="278">
        <v>8</v>
      </c>
    </row>
    <row r="66">
      <c r="A66" s="280" t="s">
        <v>787</v>
      </c>
      <c r="B66" s="281"/>
      <c r="C66" s="281"/>
      <c r="D66" s="282">
        <f>SUM(D62:D65)</f>
      </c>
      <c r="E66" s="282">
        <f>SUM(E62:E65)</f>
      </c>
      <c r="F66" s="282">
        <f>SUM(F62:F65)</f>
      </c>
      <c r="G66" s="282">
        <f>SUM(G62:G65)</f>
      </c>
      <c r="H66" s="283">
        <f t="shared" si="0"/>
      </c>
      <c r="I66" s="283">
        <f t="shared" si="1"/>
      </c>
      <c r="J66" s="283">
        <f t="shared" si="14"/>
      </c>
      <c r="K66" s="282">
        <f>SUM(K62:K65)</f>
      </c>
      <c r="L66" s="282">
        <f>SUM(L62:L65)</f>
      </c>
      <c r="M66" s="281"/>
      <c r="N66" s="282">
        <f>SUM(N62:N65)</f>
      </c>
      <c r="O66" s="281"/>
      <c r="P66" s="281">
        <f>SUM(P62:P65)</f>
      </c>
    </row>
    <row hidden="true" r="67">
      <c r="A67" s="274" t="s">
        <v>788</v>
      </c>
      <c r="B67" s="285" t="s">
        <v>760</v>
      </c>
      <c r="C67" s="278" t="s">
        <v>757</v>
      </c>
      <c r="D67" s="278">
        <v>4</v>
      </c>
      <c r="E67" s="276">
        <v>9</v>
      </c>
      <c r="F67" s="278">
        <v>15379</v>
      </c>
      <c r="G67" s="278">
        <v>12938.55</v>
      </c>
      <c r="H67" s="277">
        <f t="shared" si="0"/>
      </c>
      <c r="I67" s="277">
        <f t="shared" si="1"/>
      </c>
      <c r="J67" s="277">
        <f t="shared" si="14"/>
      </c>
      <c r="K67" s="276">
        <v>0</v>
      </c>
      <c r="L67" s="276">
        <v>0</v>
      </c>
      <c r="M67" s="278" t="s">
        <v>758</v>
      </c>
      <c r="N67" s="278">
        <v>8</v>
      </c>
      <c r="O67" s="278" t="s">
        <v>759</v>
      </c>
      <c r="P67" s="278">
        <v>8</v>
      </c>
    </row>
    <row hidden="true" r="68">
      <c r="A68" s="274" t="s">
        <v>788</v>
      </c>
      <c r="B68" s="275" t="s">
        <v>756</v>
      </c>
      <c r="C68" s="278" t="s">
        <v>761</v>
      </c>
      <c r="D68" s="278">
        <v>4</v>
      </c>
      <c r="E68" s="276">
        <v>26</v>
      </c>
      <c r="F68" s="276">
        <v>29305.2</v>
      </c>
      <c r="G68" s="276">
        <v>17528.14</v>
      </c>
      <c r="H68" s="277">
        <f t="shared" si="0"/>
      </c>
      <c r="I68" s="277">
        <f t="shared" si="1"/>
      </c>
      <c r="J68" s="277">
        <f>G67/E68</f>
      </c>
      <c r="K68" s="276">
        <v>4</v>
      </c>
      <c r="L68" s="276">
        <v>4212</v>
      </c>
      <c r="M68" s="278"/>
      <c r="N68" s="278"/>
      <c r="O68" s="279"/>
      <c r="P68" s="278"/>
    </row>
    <row hidden="true" r="69">
      <c r="A69" s="274" t="s">
        <v>788</v>
      </c>
      <c r="B69" s="275" t="s">
        <v>770</v>
      </c>
      <c r="C69" s="278" t="s">
        <v>763</v>
      </c>
      <c r="D69" s="278">
        <v>4</v>
      </c>
      <c r="E69" s="276">
        <v>14</v>
      </c>
      <c r="F69" s="276">
        <v>18072</v>
      </c>
      <c r="G69" s="276">
        <v>14922.46</v>
      </c>
      <c r="H69" s="277">
        <f t="shared" si="0"/>
      </c>
      <c r="I69" s="277">
        <f t="shared" si="1"/>
      </c>
      <c r="J69" s="277">
        <f t="shared" ref="J69:J72" si="15">G69/E69</f>
      </c>
      <c r="K69" s="276">
        <v>1</v>
      </c>
      <c r="L69" s="276">
        <v>372</v>
      </c>
      <c r="M69" s="278"/>
      <c r="N69" s="278"/>
      <c r="O69" s="278"/>
      <c r="P69" s="278"/>
    </row>
    <row hidden="true" r="70">
      <c r="A70" s="274" t="s">
        <v>788</v>
      </c>
      <c r="B70" s="285" t="s">
        <v>762</v>
      </c>
      <c r="C70" s="278" t="s">
        <v>765</v>
      </c>
      <c r="D70" s="278">
        <v>4</v>
      </c>
      <c r="E70" s="276">
        <v>43</v>
      </c>
      <c r="F70" s="276">
        <v>41788.4</v>
      </c>
      <c r="G70" s="276">
        <v>32276.89</v>
      </c>
      <c r="H70" s="277">
        <f t="shared" si="0"/>
      </c>
      <c r="I70" s="277">
        <f t="shared" si="1"/>
      </c>
      <c r="J70" s="277">
        <f t="shared" si="15"/>
      </c>
      <c r="K70" s="276">
        <v>14</v>
      </c>
      <c r="L70" s="276">
        <v>12909.6</v>
      </c>
      <c r="M70" s="276" t="s">
        <v>766</v>
      </c>
      <c r="N70" s="276">
        <v>8</v>
      </c>
      <c r="O70" s="278" t="s">
        <v>767</v>
      </c>
      <c r="P70" s="278">
        <v>8</v>
      </c>
    </row>
    <row r="71">
      <c r="A71" s="280" t="s">
        <v>788</v>
      </c>
      <c r="B71" s="281"/>
      <c r="C71" s="281"/>
      <c r="D71" s="282">
        <f>SUM(D67:D70)</f>
      </c>
      <c r="E71" s="282">
        <v>92</v>
      </c>
      <c r="F71" s="282">
        <f>SUM(F67:F70)</f>
      </c>
      <c r="G71" s="282">
        <f>SUM(G67:G70)</f>
      </c>
      <c r="H71" s="283">
        <f t="shared" si="0"/>
      </c>
      <c r="I71" s="283">
        <f t="shared" si="1"/>
      </c>
      <c r="J71" s="283">
        <f t="shared" si="15"/>
      </c>
      <c r="K71" s="282">
        <f>SUM(K67:K70)</f>
      </c>
      <c r="L71" s="282">
        <f>SUM(L67:L70)</f>
      </c>
      <c r="M71" s="281"/>
      <c r="N71" s="282">
        <f>SUM(N67:N70)</f>
      </c>
      <c r="O71" s="281"/>
      <c r="P71" s="281">
        <f>SUM(P67:P70)</f>
      </c>
    </row>
    <row hidden="true" r="72">
      <c r="A72" s="274" t="s">
        <v>789</v>
      </c>
      <c r="B72" s="275" t="s">
        <v>756</v>
      </c>
      <c r="C72" s="278" t="s">
        <v>757</v>
      </c>
      <c r="D72" s="278">
        <v>4</v>
      </c>
      <c r="E72" s="276">
        <v>25</v>
      </c>
      <c r="F72" s="278">
        <v>32281</v>
      </c>
      <c r="G72" s="278">
        <v>20851.32</v>
      </c>
      <c r="H72" s="277">
        <f t="shared" si="0"/>
      </c>
      <c r="I72" s="277">
        <f t="shared" si="1"/>
      </c>
      <c r="J72" s="277">
        <f t="shared" si="15"/>
      </c>
      <c r="K72" s="276">
        <v>6</v>
      </c>
      <c r="L72" s="276">
        <v>7884</v>
      </c>
      <c r="M72" s="278" t="s">
        <v>758</v>
      </c>
      <c r="N72" s="278">
        <v>8</v>
      </c>
      <c r="O72" s="278" t="s">
        <v>759</v>
      </c>
      <c r="P72" s="278">
        <v>8</v>
      </c>
    </row>
    <row hidden="true" r="73">
      <c r="A73" s="274" t="s">
        <v>789</v>
      </c>
      <c r="B73" s="275" t="s">
        <v>760</v>
      </c>
      <c r="C73" s="278" t="s">
        <v>761</v>
      </c>
      <c r="D73" s="278">
        <v>4</v>
      </c>
      <c r="E73" s="276">
        <v>14</v>
      </c>
      <c r="F73" s="276">
        <v>15144</v>
      </c>
      <c r="G73" s="276">
        <v>12778.77</v>
      </c>
      <c r="H73" s="277">
        <f t="shared" si="0"/>
      </c>
      <c r="I73" s="277">
        <f t="shared" si="1"/>
      </c>
      <c r="J73" s="277">
        <f>G72/E73</f>
      </c>
      <c r="K73" s="276">
        <v>3</v>
      </c>
      <c r="L73" s="276">
        <v>3552</v>
      </c>
      <c r="M73" s="278"/>
      <c r="N73" s="278"/>
      <c r="O73" s="279"/>
      <c r="P73" s="278"/>
    </row>
    <row hidden="true" r="74">
      <c r="A74" s="274" t="s">
        <v>789</v>
      </c>
      <c r="B74" s="275" t="s">
        <v>762</v>
      </c>
      <c r="C74" s="278" t="s">
        <v>763</v>
      </c>
      <c r="D74" s="278">
        <v>4</v>
      </c>
      <c r="E74" s="276">
        <v>12</v>
      </c>
      <c r="F74" s="276">
        <v>18324</v>
      </c>
      <c r="G74" s="276">
        <v>9478.16</v>
      </c>
      <c r="H74" s="277">
        <f t="shared" si="0"/>
      </c>
      <c r="I74" s="277">
        <f t="shared" si="1"/>
      </c>
      <c r="J74" s="277">
        <f t="shared" ref="J74:J77" si="16">G74/E74</f>
      </c>
      <c r="K74" s="276">
        <v>0</v>
      </c>
      <c r="L74" s="276">
        <v>0</v>
      </c>
      <c r="M74" s="278"/>
      <c r="N74" s="278"/>
      <c r="O74" s="278"/>
      <c r="P74" s="278"/>
    </row>
    <row hidden="true" r="75">
      <c r="A75" s="274" t="s">
        <v>789</v>
      </c>
      <c r="B75" s="275" t="s">
        <v>764</v>
      </c>
      <c r="C75" s="278" t="s">
        <v>765</v>
      </c>
      <c r="D75" s="278">
        <v>4</v>
      </c>
      <c r="E75" s="276">
        <v>18</v>
      </c>
      <c r="F75" s="276">
        <v>21460.8</v>
      </c>
      <c r="G75" s="276">
        <v>13586.43</v>
      </c>
      <c r="H75" s="277">
        <f t="shared" si="0"/>
      </c>
      <c r="I75" s="277">
        <f t="shared" si="1"/>
      </c>
      <c r="J75" s="277">
        <f t="shared" si="16"/>
      </c>
      <c r="K75" s="276">
        <v>4</v>
      </c>
      <c r="L75" s="276">
        <v>1464</v>
      </c>
      <c r="M75" s="276" t="s">
        <v>766</v>
      </c>
      <c r="N75" s="276">
        <v>8</v>
      </c>
      <c r="O75" s="278" t="s">
        <v>767</v>
      </c>
      <c r="P75" s="278">
        <v>8</v>
      </c>
    </row>
    <row r="76">
      <c r="A76" s="280" t="s">
        <v>789</v>
      </c>
      <c r="B76" s="281"/>
      <c r="C76" s="281"/>
      <c r="D76" s="282">
        <f>SUM(D72:D75)</f>
      </c>
      <c r="E76" s="282">
        <v>69</v>
      </c>
      <c r="F76" s="282">
        <f>SUM(F72:F75)</f>
      </c>
      <c r="G76" s="282">
        <f>SUM(G72:G75)</f>
      </c>
      <c r="H76" s="283">
        <f t="shared" si="0"/>
      </c>
      <c r="I76" s="283">
        <f t="shared" si="1"/>
      </c>
      <c r="J76" s="283">
        <f t="shared" si="16"/>
      </c>
      <c r="K76" s="282">
        <f>SUM(K72:K75)</f>
      </c>
      <c r="L76" s="282">
        <f>SUM(L72:L75)</f>
      </c>
      <c r="M76" s="281"/>
      <c r="N76" s="282">
        <f>SUM(N72:N75)</f>
      </c>
      <c r="O76" s="281"/>
      <c r="P76" s="281">
        <f>SUM(P72:P75)</f>
      </c>
    </row>
    <row hidden="true" r="77">
      <c r="A77" s="274" t="s">
        <v>790</v>
      </c>
      <c r="B77" s="275" t="s">
        <v>760</v>
      </c>
      <c r="C77" s="278" t="s">
        <v>757</v>
      </c>
      <c r="D77" s="278">
        <v>4</v>
      </c>
      <c r="E77" s="276">
        <v>20</v>
      </c>
      <c r="F77" s="278">
        <v>20815.2</v>
      </c>
      <c r="G77" s="278">
        <v>15335.81</v>
      </c>
      <c r="H77" s="277">
        <f t="shared" si="0"/>
      </c>
      <c r="I77" s="277">
        <f t="shared" si="1"/>
      </c>
      <c r="J77" s="277">
        <f t="shared" si="16"/>
      </c>
      <c r="K77" s="276">
        <v>3</v>
      </c>
      <c r="L77" s="276">
        <v>2686.8</v>
      </c>
      <c r="M77" s="278" t="s">
        <v>758</v>
      </c>
      <c r="N77" s="278">
        <v>8</v>
      </c>
      <c r="O77" s="278" t="s">
        <v>759</v>
      </c>
      <c r="P77" s="278">
        <v>8</v>
      </c>
    </row>
    <row hidden="true" r="78">
      <c r="A78" s="274" t="s">
        <v>790</v>
      </c>
      <c r="B78" s="275" t="s">
        <v>756</v>
      </c>
      <c r="C78" s="278" t="s">
        <v>761</v>
      </c>
      <c r="D78" s="278">
        <v>4</v>
      </c>
      <c r="E78" s="276">
        <v>23</v>
      </c>
      <c r="F78" s="276">
        <v>31681.8</v>
      </c>
      <c r="G78" s="276">
        <v>19006.04</v>
      </c>
      <c r="H78" s="277">
        <f t="shared" si="0"/>
      </c>
      <c r="I78" s="277">
        <f t="shared" si="1"/>
      </c>
      <c r="J78" s="277">
        <f>G77/E78</f>
      </c>
      <c r="K78" s="276">
        <v>6</v>
      </c>
      <c r="L78" s="276">
        <v>8880</v>
      </c>
      <c r="M78" s="278"/>
      <c r="N78" s="278"/>
      <c r="O78" s="279"/>
      <c r="P78" s="278"/>
    </row>
    <row hidden="true" r="79">
      <c r="A79" s="274" t="s">
        <v>790</v>
      </c>
      <c r="B79" s="275" t="s">
        <v>764</v>
      </c>
      <c r="C79" s="278" t="s">
        <v>763</v>
      </c>
      <c r="D79" s="278">
        <v>4</v>
      </c>
      <c r="E79" s="276">
        <v>12</v>
      </c>
      <c r="F79" s="276">
        <v>19453.2</v>
      </c>
      <c r="G79" s="276">
        <v>11818.47</v>
      </c>
      <c r="H79" s="277">
        <f t="shared" si="0"/>
      </c>
      <c r="I79" s="277">
        <f t="shared" si="1"/>
      </c>
      <c r="J79" s="277">
        <f t="shared" ref="J79:J82" si="17">G79/E79</f>
      </c>
      <c r="K79" s="276">
        <v>2</v>
      </c>
      <c r="L79" s="276">
        <v>3780</v>
      </c>
      <c r="M79" s="278"/>
      <c r="N79" s="278"/>
      <c r="O79" s="278"/>
      <c r="P79" s="278"/>
    </row>
    <row hidden="true" r="80">
      <c r="A80" s="274" t="s">
        <v>790</v>
      </c>
      <c r="B80" s="275" t="s">
        <v>762</v>
      </c>
      <c r="C80" s="278" t="s">
        <v>765</v>
      </c>
      <c r="D80" s="278">
        <v>4</v>
      </c>
      <c r="E80" s="276">
        <v>18</v>
      </c>
      <c r="F80" s="276">
        <v>23616</v>
      </c>
      <c r="G80" s="276">
        <v>19091.48</v>
      </c>
      <c r="H80" s="277">
        <f t="shared" si="0"/>
      </c>
      <c r="I80" s="277">
        <f t="shared" si="1"/>
      </c>
      <c r="J80" s="277">
        <f t="shared" si="17"/>
      </c>
      <c r="K80" s="276">
        <v>5</v>
      </c>
      <c r="L80" s="276">
        <v>8820</v>
      </c>
      <c r="M80" s="276" t="s">
        <v>791</v>
      </c>
      <c r="N80" s="276">
        <v>8</v>
      </c>
      <c r="O80" s="278" t="s">
        <v>767</v>
      </c>
      <c r="P80" s="278">
        <v>8</v>
      </c>
    </row>
    <row r="81">
      <c r="A81" s="280" t="s">
        <v>790</v>
      </c>
      <c r="B81" s="281"/>
      <c r="C81" s="281"/>
      <c r="D81" s="282">
        <f>SUM(D77:D80)</f>
      </c>
      <c r="E81" s="282">
        <v>73</v>
      </c>
      <c r="F81" s="282">
        <f>SUM(F77:F80)</f>
      </c>
      <c r="G81" s="282">
        <f>SUM(G77:G80)</f>
      </c>
      <c r="H81" s="283">
        <f t="shared" si="0"/>
      </c>
      <c r="I81" s="283">
        <f t="shared" si="1"/>
      </c>
      <c r="J81" s="283">
        <f t="shared" si="17"/>
      </c>
      <c r="K81" s="282">
        <f>SUM(K77:K80)</f>
      </c>
      <c r="L81" s="282">
        <f>SUM(L77:L80)</f>
      </c>
      <c r="M81" s="281"/>
      <c r="N81" s="282">
        <f>SUM(N77:N80)</f>
      </c>
      <c r="O81" s="281"/>
      <c r="P81" s="281">
        <f>SUM(P77:P80)</f>
      </c>
    </row>
    <row hidden="true" r="82">
      <c r="A82" s="274" t="s">
        <v>792</v>
      </c>
      <c r="B82" s="275" t="s">
        <v>760</v>
      </c>
      <c r="C82" s="278" t="s">
        <v>757</v>
      </c>
      <c r="D82" s="278">
        <v>4</v>
      </c>
      <c r="E82" s="276">
        <v>15</v>
      </c>
      <c r="F82" s="276">
        <v>17964</v>
      </c>
      <c r="G82" s="276">
        <v>15013.05</v>
      </c>
      <c r="H82" s="277">
        <f t="shared" si="0"/>
      </c>
      <c r="I82" s="277">
        <f t="shared" si="1"/>
      </c>
      <c r="J82" s="277">
        <f t="shared" si="17"/>
      </c>
      <c r="K82" s="276">
        <v>6</v>
      </c>
      <c r="L82" s="276">
        <v>7404</v>
      </c>
      <c r="M82" s="276" t="s">
        <v>766</v>
      </c>
      <c r="N82" s="278">
        <v>8</v>
      </c>
      <c r="O82" s="278" t="s">
        <v>759</v>
      </c>
      <c r="P82" s="278">
        <v>8</v>
      </c>
    </row>
    <row hidden="true" r="83">
      <c r="A83" s="274" t="s">
        <v>792</v>
      </c>
      <c r="B83" s="275" t="s">
        <v>756</v>
      </c>
      <c r="C83" s="278" t="s">
        <v>761</v>
      </c>
      <c r="D83" s="278">
        <v>4</v>
      </c>
      <c r="E83" s="276">
        <v>24</v>
      </c>
      <c r="F83" s="276">
        <v>21621.6</v>
      </c>
      <c r="G83" s="276">
        <v>15239.21</v>
      </c>
      <c r="H83" s="277">
        <f t="shared" si="0"/>
      </c>
      <c r="I83" s="277">
        <f t="shared" si="1"/>
      </c>
      <c r="J83" s="277">
        <f>G82/E83</f>
      </c>
      <c r="K83" s="276">
        <v>4</v>
      </c>
      <c r="L83" s="276">
        <v>1728</v>
      </c>
      <c r="M83" s="278"/>
      <c r="N83" s="278"/>
      <c r="O83" s="279"/>
      <c r="P83" s="278"/>
    </row>
    <row hidden="true" r="84">
      <c r="A84" s="274" t="s">
        <v>792</v>
      </c>
      <c r="B84" s="275" t="s">
        <v>770</v>
      </c>
      <c r="C84" s="278" t="s">
        <v>763</v>
      </c>
      <c r="D84" s="278">
        <v>4</v>
      </c>
      <c r="E84" s="276">
        <v>11</v>
      </c>
      <c r="F84" s="276">
        <v>14314.8</v>
      </c>
      <c r="G84" s="276">
        <v>12505.26</v>
      </c>
      <c r="H84" s="277">
        <f t="shared" si="0"/>
      </c>
      <c r="I84" s="277">
        <f t="shared" si="1"/>
      </c>
      <c r="J84" s="277">
        <f t="shared" ref="J84:J87" si="18">G84/E84</f>
      </c>
      <c r="K84" s="276">
        <v>5</v>
      </c>
      <c r="L84" s="276">
        <v>5734.8</v>
      </c>
      <c r="M84" s="278"/>
      <c r="N84" s="278"/>
      <c r="O84" s="278"/>
      <c r="P84" s="278"/>
    </row>
    <row hidden="true" r="85">
      <c r="A85" s="274" t="s">
        <v>792</v>
      </c>
      <c r="B85" s="275" t="s">
        <v>762</v>
      </c>
      <c r="C85" s="278" t="s">
        <v>765</v>
      </c>
      <c r="D85" s="278">
        <v>4</v>
      </c>
      <c r="E85" s="276">
        <v>50</v>
      </c>
      <c r="F85" s="276">
        <v>54046.35</v>
      </c>
      <c r="G85" s="276">
        <v>47866.09</v>
      </c>
      <c r="H85" s="277">
        <f t="shared" si="0"/>
      </c>
      <c r="I85" s="277">
        <f t="shared" si="1"/>
      </c>
      <c r="J85" s="277">
        <f t="shared" si="18"/>
      </c>
      <c r="K85" s="276">
        <v>5</v>
      </c>
      <c r="L85" s="276">
        <v>5196</v>
      </c>
      <c r="M85" s="276" t="s">
        <v>791</v>
      </c>
      <c r="N85" s="276">
        <v>8</v>
      </c>
      <c r="O85" s="278" t="s">
        <v>767</v>
      </c>
      <c r="P85" s="278">
        <v>8</v>
      </c>
    </row>
    <row r="86">
      <c r="A86" s="280" t="s">
        <v>792</v>
      </c>
      <c r="B86" s="287"/>
      <c r="C86" s="287"/>
      <c r="D86" s="282">
        <f>SUM(D82:D85)</f>
      </c>
      <c r="E86" s="282">
        <v>100</v>
      </c>
      <c r="F86" s="282">
        <f>SUM(F82:F85)</f>
      </c>
      <c r="G86" s="282">
        <f>SUM(G82:G85)</f>
      </c>
      <c r="H86" s="283">
        <f t="shared" si="0"/>
      </c>
      <c r="I86" s="283">
        <f t="shared" si="1"/>
      </c>
      <c r="J86" s="283">
        <f t="shared" si="18"/>
      </c>
      <c r="K86" s="282">
        <f>SUM(K82:K85)</f>
      </c>
      <c r="L86" s="282">
        <f>SUM(L82:L85)</f>
      </c>
      <c r="M86" s="281"/>
      <c r="N86" s="282">
        <f>SUM(N82:N85)</f>
      </c>
      <c r="O86" s="281"/>
      <c r="P86" s="281">
        <f>SUM(P82:P85)</f>
      </c>
    </row>
    <row hidden="true" r="87">
      <c r="A87" s="274" t="s">
        <v>793</v>
      </c>
      <c r="B87" s="275" t="s">
        <v>756</v>
      </c>
      <c r="C87" s="278" t="s">
        <v>757</v>
      </c>
      <c r="D87" s="278">
        <v>4</v>
      </c>
      <c r="E87" s="276">
        <v>33</v>
      </c>
      <c r="F87" s="276">
        <v>34421.28</v>
      </c>
      <c r="G87" s="276">
        <v>19476.11</v>
      </c>
      <c r="H87" s="277">
        <f t="shared" si="0"/>
      </c>
      <c r="I87" s="277">
        <f t="shared" si="1"/>
      </c>
      <c r="J87" s="277">
        <f t="shared" si="18"/>
      </c>
      <c r="K87" s="276">
        <v>4</v>
      </c>
      <c r="L87" s="276">
        <v>3276</v>
      </c>
      <c r="M87" s="276" t="s">
        <v>766</v>
      </c>
      <c r="N87" s="278">
        <v>8</v>
      </c>
      <c r="O87" s="278" t="s">
        <v>759</v>
      </c>
      <c r="P87" s="278">
        <v>8</v>
      </c>
    </row>
    <row hidden="true" r="88">
      <c r="A88" s="274" t="s">
        <v>793</v>
      </c>
      <c r="B88" s="275" t="s">
        <v>760</v>
      </c>
      <c r="C88" s="278" t="s">
        <v>761</v>
      </c>
      <c r="D88" s="278">
        <v>4</v>
      </c>
      <c r="E88" s="276">
        <v>32</v>
      </c>
      <c r="F88" s="276">
        <v>40933.8</v>
      </c>
      <c r="G88" s="276">
        <v>28860.93</v>
      </c>
      <c r="H88" s="277">
        <f t="shared" si="0"/>
      </c>
      <c r="I88" s="277">
        <f t="shared" si="1"/>
      </c>
      <c r="J88" s="277">
        <f>G87/E88</f>
      </c>
      <c r="K88" s="276">
        <v>7</v>
      </c>
      <c r="L88" s="276">
        <v>8448</v>
      </c>
      <c r="M88" s="278"/>
      <c r="N88" s="278"/>
      <c r="O88" s="279"/>
      <c r="P88" s="278"/>
    </row>
    <row hidden="true" r="89">
      <c r="A89" s="274" t="s">
        <v>793</v>
      </c>
      <c r="B89" s="275" t="s">
        <v>770</v>
      </c>
      <c r="C89" s="278" t="s">
        <v>763</v>
      </c>
      <c r="D89" s="278">
        <v>4</v>
      </c>
      <c r="E89" s="276">
        <v>23</v>
      </c>
      <c r="F89" s="276">
        <v>26134.8</v>
      </c>
      <c r="G89" s="276">
        <v>30376.93</v>
      </c>
      <c r="H89" s="277">
        <f t="shared" si="0"/>
      </c>
      <c r="I89" s="277">
        <f t="shared" si="1"/>
      </c>
      <c r="J89" s="277">
        <f t="shared" ref="J89:J92" si="19">G89/E89</f>
      </c>
      <c r="K89" s="276">
        <v>5</v>
      </c>
      <c r="L89" s="276">
        <v>5364</v>
      </c>
      <c r="M89" s="278"/>
      <c r="N89" s="278"/>
      <c r="O89" s="278"/>
      <c r="P89" s="278"/>
    </row>
    <row hidden="true" r="90">
      <c r="A90" s="274" t="s">
        <v>793</v>
      </c>
      <c r="B90" s="275" t="s">
        <v>764</v>
      </c>
      <c r="C90" s="278" t="s">
        <v>765</v>
      </c>
      <c r="D90" s="278">
        <v>4</v>
      </c>
      <c r="E90" s="276">
        <v>36</v>
      </c>
      <c r="F90" s="276">
        <v>55947.6</v>
      </c>
      <c r="G90" s="276">
        <v>28791.63</v>
      </c>
      <c r="H90" s="277">
        <f t="shared" si="0"/>
      </c>
      <c r="I90" s="277">
        <f t="shared" si="1"/>
      </c>
      <c r="J90" s="277">
        <f t="shared" si="19"/>
      </c>
      <c r="K90" s="276">
        <v>9</v>
      </c>
      <c r="L90" s="276">
        <v>10192.8</v>
      </c>
      <c r="M90" s="276" t="s">
        <v>791</v>
      </c>
      <c r="N90" s="276">
        <v>8</v>
      </c>
      <c r="O90" s="278" t="s">
        <v>767</v>
      </c>
      <c r="P90" s="278">
        <v>8</v>
      </c>
    </row>
    <row r="91">
      <c r="A91" s="280" t="s">
        <v>793</v>
      </c>
      <c r="B91" s="287"/>
      <c r="C91" s="287"/>
      <c r="D91" s="282">
        <f>SUM(D87:D90)</f>
      </c>
      <c r="E91" s="282">
        <v>124</v>
      </c>
      <c r="F91" s="282">
        <f>SUM(F87:F90)</f>
      </c>
      <c r="G91" s="282">
        <f>SUM(G87:G90)</f>
      </c>
      <c r="H91" s="283">
        <f t="shared" si="0"/>
      </c>
      <c r="I91" s="283">
        <f t="shared" si="1"/>
      </c>
      <c r="J91" s="283">
        <f t="shared" si="19"/>
      </c>
      <c r="K91" s="282">
        <f>SUM(K87:K90)</f>
      </c>
      <c r="L91" s="282">
        <f>SUM(L87:L90)</f>
      </c>
      <c r="M91" s="281"/>
      <c r="N91" s="282">
        <f>SUM(N87:N90)</f>
      </c>
      <c r="O91" s="281"/>
      <c r="P91" s="281">
        <f>SUM(P87:P90)</f>
      </c>
    </row>
    <row hidden="true" r="92">
      <c r="A92" s="274" t="s">
        <v>794</v>
      </c>
      <c r="B92" s="275" t="s">
        <v>756</v>
      </c>
      <c r="C92" s="278" t="s">
        <v>757</v>
      </c>
      <c r="D92" s="278">
        <v>4</v>
      </c>
      <c r="E92" s="276">
        <v>20</v>
      </c>
      <c r="F92" s="276">
        <v>27666</v>
      </c>
      <c r="G92" s="276">
        <v>15212.560000000001</v>
      </c>
      <c r="H92" s="277">
        <f t="shared" si="0"/>
      </c>
      <c r="I92" s="277">
        <f t="shared" si="1"/>
      </c>
      <c r="J92" s="277">
        <f t="shared" si="19"/>
      </c>
      <c r="K92" s="276">
        <v>3</v>
      </c>
      <c r="L92" s="276">
        <v>4776</v>
      </c>
      <c r="M92" s="276" t="s">
        <v>766</v>
      </c>
      <c r="N92" s="278">
        <v>8</v>
      </c>
      <c r="O92" s="278" t="s">
        <v>759</v>
      </c>
      <c r="P92" s="278">
        <v>8</v>
      </c>
    </row>
    <row hidden="true" r="93">
      <c r="A93" s="274" t="s">
        <v>794</v>
      </c>
      <c r="B93" s="275" t="s">
        <v>762</v>
      </c>
      <c r="C93" s="278" t="s">
        <v>761</v>
      </c>
      <c r="D93" s="278">
        <v>4</v>
      </c>
      <c r="E93" s="276">
        <v>30</v>
      </c>
      <c r="F93" s="276">
        <v>30512.4</v>
      </c>
      <c r="G93" s="276">
        <v>22190.75</v>
      </c>
      <c r="H93" s="277">
        <f t="shared" si="0"/>
      </c>
      <c r="I93" s="277">
        <f t="shared" si="1"/>
      </c>
      <c r="J93" s="277">
        <f>G92/E93</f>
      </c>
      <c r="K93" s="276">
        <v>5</v>
      </c>
      <c r="L93" s="276">
        <v>3708</v>
      </c>
      <c r="M93" s="278"/>
      <c r="N93" s="278"/>
      <c r="O93" s="279"/>
      <c r="P93" s="278"/>
    </row>
    <row hidden="true" r="94">
      <c r="A94" s="274" t="s">
        <v>794</v>
      </c>
      <c r="B94" s="275" t="s">
        <v>770</v>
      </c>
      <c r="C94" s="278" t="s">
        <v>763</v>
      </c>
      <c r="D94" s="278">
        <v>4</v>
      </c>
      <c r="E94" s="276">
        <v>15</v>
      </c>
      <c r="F94" s="276">
        <v>17840.4</v>
      </c>
      <c r="G94" s="276">
        <v>15358.469999999998</v>
      </c>
      <c r="H94" s="277">
        <f t="shared" si="0"/>
      </c>
      <c r="I94" s="277">
        <f t="shared" si="1"/>
      </c>
      <c r="J94" s="277">
        <f t="shared" ref="J94:J97" si="20">G94/E94</f>
      </c>
      <c r="K94" s="276">
        <v>2</v>
      </c>
      <c r="L94" s="276">
        <v>1704</v>
      </c>
      <c r="M94" s="278"/>
      <c r="N94" s="278"/>
      <c r="O94" s="278"/>
      <c r="P94" s="278"/>
    </row>
    <row hidden="true" r="95">
      <c r="A95" s="274" t="s">
        <v>794</v>
      </c>
      <c r="B95" s="275" t="s">
        <v>764</v>
      </c>
      <c r="C95" s="278" t="s">
        <v>765</v>
      </c>
      <c r="D95" s="278">
        <v>4</v>
      </c>
      <c r="E95" s="276">
        <v>29</v>
      </c>
      <c r="F95" s="276">
        <v>39708</v>
      </c>
      <c r="G95" s="276">
        <v>20537.02</v>
      </c>
      <c r="H95" s="277">
        <f t="shared" si="0"/>
      </c>
      <c r="I95" s="277">
        <f t="shared" si="1"/>
      </c>
      <c r="J95" s="277">
        <f t="shared" si="20"/>
      </c>
      <c r="K95" s="276">
        <v>7</v>
      </c>
      <c r="L95" s="276">
        <v>9132</v>
      </c>
      <c r="M95" s="276" t="s">
        <v>795</v>
      </c>
      <c r="N95" s="276">
        <v>3.2</v>
      </c>
      <c r="O95" s="278" t="s">
        <v>767</v>
      </c>
      <c r="P95" s="278">
        <v>8</v>
      </c>
    </row>
    <row r="96">
      <c r="A96" s="280" t="s">
        <v>794</v>
      </c>
      <c r="B96" s="287"/>
      <c r="C96" s="287"/>
      <c r="D96" s="282">
        <f>SUM(D92:D95)</f>
      </c>
      <c r="E96" s="282">
        <v>94</v>
      </c>
      <c r="F96" s="282">
        <f>SUM(F92:F95)</f>
      </c>
      <c r="G96" s="282">
        <f>SUM(G92:G95)</f>
      </c>
      <c r="H96" s="283">
        <f t="shared" si="0"/>
      </c>
      <c r="I96" s="283">
        <f t="shared" si="1"/>
      </c>
      <c r="J96" s="283">
        <f t="shared" si="20"/>
      </c>
      <c r="K96" s="282">
        <f>SUM(K92:K95)</f>
      </c>
      <c r="L96" s="282">
        <f>SUM(L92:L95)</f>
      </c>
      <c r="M96" s="281"/>
      <c r="N96" s="282">
        <f>SUM(N92:N95)</f>
      </c>
      <c r="O96" s="281"/>
      <c r="P96" s="281">
        <f>SUM(P92:P95)</f>
      </c>
    </row>
    <row hidden="true" r="97">
      <c r="A97" s="274" t="s">
        <v>796</v>
      </c>
      <c r="B97" s="275" t="s">
        <v>756</v>
      </c>
      <c r="C97" s="278" t="s">
        <v>757</v>
      </c>
      <c r="D97" s="278">
        <v>4</v>
      </c>
      <c r="E97" s="276">
        <v>22</v>
      </c>
      <c r="F97" s="276">
        <v>29098</v>
      </c>
      <c r="G97" s="276">
        <v>14052.79</v>
      </c>
      <c r="H97" s="277">
        <f t="shared" si="0"/>
      </c>
      <c r="I97" s="277">
        <f t="shared" si="1"/>
      </c>
      <c r="J97" s="277">
        <f t="shared" si="20"/>
      </c>
      <c r="K97" s="276">
        <v>1</v>
      </c>
      <c r="L97" s="276">
        <v>1692</v>
      </c>
      <c r="M97" s="276" t="s">
        <v>766</v>
      </c>
      <c r="N97" s="278">
        <v>8</v>
      </c>
      <c r="O97" s="278" t="s">
        <v>759</v>
      </c>
      <c r="P97" s="278">
        <v>8</v>
      </c>
    </row>
    <row hidden="true" r="98">
      <c r="A98" s="274" t="s">
        <v>796</v>
      </c>
      <c r="B98" s="275" t="s">
        <v>762</v>
      </c>
      <c r="C98" s="278" t="s">
        <v>761</v>
      </c>
      <c r="D98" s="278">
        <v>4</v>
      </c>
      <c r="E98" s="276">
        <v>12</v>
      </c>
      <c r="F98" s="276">
        <v>14864</v>
      </c>
      <c r="G98" s="276">
        <v>14320.02</v>
      </c>
      <c r="H98" s="277">
        <f t="shared" si="0"/>
      </c>
      <c r="I98" s="277">
        <f t="shared" si="1"/>
      </c>
      <c r="J98" s="277">
        <f>G97/E98</f>
      </c>
      <c r="K98" s="276">
        <v>2</v>
      </c>
      <c r="L98" s="276">
        <v>3036</v>
      </c>
      <c r="M98" s="278"/>
      <c r="N98" s="278"/>
      <c r="O98" s="279"/>
      <c r="P98" s="278"/>
    </row>
    <row hidden="true" r="99">
      <c r="A99" s="274" t="s">
        <v>796</v>
      </c>
      <c r="B99" s="275" t="s">
        <v>770</v>
      </c>
      <c r="C99" s="278" t="s">
        <v>763</v>
      </c>
      <c r="D99" s="278">
        <v>4</v>
      </c>
      <c r="E99" s="276">
        <v>17</v>
      </c>
      <c r="F99" s="276">
        <v>19687.8</v>
      </c>
      <c r="G99" s="276">
        <v>11610.61</v>
      </c>
      <c r="H99" s="277">
        <f t="shared" si="0"/>
      </c>
      <c r="I99" s="277">
        <f t="shared" si="1"/>
      </c>
      <c r="J99" s="277">
        <f t="shared" ref="J99:J102" si="21">G99/E99</f>
      </c>
      <c r="K99" s="276">
        <v>3</v>
      </c>
      <c r="L99" s="276">
        <v>3180</v>
      </c>
      <c r="M99" s="278"/>
      <c r="N99" s="278"/>
      <c r="O99" s="278"/>
      <c r="P99" s="278"/>
    </row>
    <row hidden="true" r="100">
      <c r="A100" s="274" t="s">
        <v>796</v>
      </c>
      <c r="B100" s="275" t="s">
        <v>760</v>
      </c>
      <c r="C100" s="278" t="s">
        <v>765</v>
      </c>
      <c r="D100" s="278">
        <v>4</v>
      </c>
      <c r="E100" s="276">
        <v>32</v>
      </c>
      <c r="F100" s="276">
        <v>39514.8</v>
      </c>
      <c r="G100" s="276">
        <v>27056.59</v>
      </c>
      <c r="H100" s="277">
        <f t="shared" si="0"/>
      </c>
      <c r="I100" s="277">
        <f t="shared" si="1"/>
      </c>
      <c r="J100" s="277">
        <f t="shared" si="21"/>
      </c>
      <c r="K100" s="276">
        <v>4</v>
      </c>
      <c r="L100" s="276">
        <v>5458.8</v>
      </c>
      <c r="M100" s="276" t="s">
        <v>791</v>
      </c>
      <c r="N100" s="276">
        <v>8</v>
      </c>
      <c r="O100" s="278" t="s">
        <v>767</v>
      </c>
      <c r="P100" s="278">
        <v>8</v>
      </c>
    </row>
    <row r="101">
      <c r="A101" s="280" t="s">
        <v>796</v>
      </c>
      <c r="B101" s="287"/>
      <c r="C101" s="287"/>
      <c r="D101" s="282">
        <f>SUM(D97:D100)</f>
      </c>
      <c r="E101" s="282">
        <v>83</v>
      </c>
      <c r="F101" s="282">
        <f>SUM(F97:F100)</f>
      </c>
      <c r="G101" s="282">
        <f>SUM(G97:G100)</f>
      </c>
      <c r="H101" s="283">
        <f t="shared" si="0"/>
      </c>
      <c r="I101" s="283">
        <f t="shared" si="1"/>
      </c>
      <c r="J101" s="283">
        <f t="shared" si="21"/>
      </c>
      <c r="K101" s="282">
        <f>SUM(K97:K100)</f>
      </c>
      <c r="L101" s="282">
        <f>SUM(L97:L100)</f>
      </c>
      <c r="M101" s="281"/>
      <c r="N101" s="282">
        <f>SUM(N97:N100)</f>
      </c>
      <c r="O101" s="281"/>
      <c r="P101" s="281">
        <f>SUM(P97:P100)</f>
      </c>
    </row>
    <row hidden="true" r="102">
      <c r="A102" s="274" t="s">
        <v>797</v>
      </c>
      <c r="B102" s="275" t="s">
        <v>756</v>
      </c>
      <c r="C102" s="278" t="s">
        <v>757</v>
      </c>
      <c r="D102" s="278">
        <v>4</v>
      </c>
      <c r="E102" s="276">
        <v>27</v>
      </c>
      <c r="F102" s="276">
        <v>29809.2</v>
      </c>
      <c r="G102" s="276">
        <v>20737.04</v>
      </c>
      <c r="H102" s="277">
        <f t="shared" si="0"/>
      </c>
      <c r="I102" s="277">
        <f t="shared" si="1"/>
      </c>
      <c r="J102" s="277">
        <f t="shared" si="21"/>
      </c>
      <c r="K102" s="276">
        <v>5</v>
      </c>
      <c r="L102" s="276">
        <v>5244</v>
      </c>
      <c r="M102" s="276" t="s">
        <v>766</v>
      </c>
      <c r="N102" s="278">
        <v>8</v>
      </c>
      <c r="O102" s="278" t="s">
        <v>759</v>
      </c>
      <c r="P102" s="278">
        <v>8</v>
      </c>
    </row>
    <row hidden="true" r="103">
      <c r="A103" s="274" t="s">
        <v>797</v>
      </c>
      <c r="B103" s="275" t="s">
        <v>764</v>
      </c>
      <c r="C103" s="278" t="s">
        <v>761</v>
      </c>
      <c r="D103" s="278">
        <v>4</v>
      </c>
      <c r="E103" s="276">
        <v>18</v>
      </c>
      <c r="F103" s="276">
        <v>20832</v>
      </c>
      <c r="G103" s="276">
        <v>14624.81</v>
      </c>
      <c r="H103" s="277">
        <f t="shared" si="0"/>
      </c>
      <c r="I103" s="277">
        <f t="shared" si="1"/>
      </c>
      <c r="J103" s="277">
        <f>G102/E103</f>
      </c>
      <c r="K103" s="276">
        <v>3</v>
      </c>
      <c r="L103" s="276">
        <v>4128</v>
      </c>
      <c r="M103" s="278"/>
      <c r="N103" s="278"/>
      <c r="O103" s="279"/>
      <c r="P103" s="278"/>
    </row>
    <row hidden="true" r="104">
      <c r="A104" s="274" t="s">
        <v>797</v>
      </c>
      <c r="B104" s="275" t="s">
        <v>762</v>
      </c>
      <c r="C104" s="278" t="s">
        <v>763</v>
      </c>
      <c r="D104" s="278">
        <v>4</v>
      </c>
      <c r="E104" s="276">
        <v>11</v>
      </c>
      <c r="F104" s="276">
        <v>17347</v>
      </c>
      <c r="G104" s="276">
        <v>11111.81</v>
      </c>
      <c r="H104" s="277">
        <f t="shared" si="0"/>
      </c>
      <c r="I104" s="277">
        <f t="shared" si="1"/>
      </c>
      <c r="J104" s="277">
        <f t="shared" ref="J104:J107" si="22">G104/E104</f>
      </c>
      <c r="K104" s="276">
        <v>0</v>
      </c>
      <c r="L104" s="276">
        <v>0</v>
      </c>
      <c r="M104" s="278"/>
      <c r="N104" s="278"/>
      <c r="O104" s="278"/>
      <c r="P104" s="278"/>
    </row>
    <row hidden="true" r="105">
      <c r="A105" s="274" t="s">
        <v>797</v>
      </c>
      <c r="B105" s="275" t="s">
        <v>770</v>
      </c>
      <c r="C105" s="278" t="s">
        <v>765</v>
      </c>
      <c r="D105" s="278">
        <v>4</v>
      </c>
      <c r="E105" s="276">
        <v>19</v>
      </c>
      <c r="F105" s="276">
        <v>27648</v>
      </c>
      <c r="G105" s="276">
        <v>17158.43</v>
      </c>
      <c r="H105" s="277">
        <f t="shared" si="0"/>
      </c>
      <c r="I105" s="277">
        <f t="shared" si="1"/>
      </c>
      <c r="J105" s="277">
        <f t="shared" si="22"/>
      </c>
      <c r="K105" s="276">
        <v>5</v>
      </c>
      <c r="L105" s="276">
        <v>5520</v>
      </c>
      <c r="M105" s="276" t="s">
        <v>791</v>
      </c>
      <c r="N105" s="276">
        <v>8</v>
      </c>
      <c r="O105" s="278" t="s">
        <v>767</v>
      </c>
      <c r="P105" s="278">
        <v>8</v>
      </c>
    </row>
    <row r="106">
      <c r="A106" s="280" t="s">
        <v>797</v>
      </c>
      <c r="B106" s="287"/>
      <c r="C106" s="287"/>
      <c r="D106" s="282">
        <f>SUM(D102:D105)</f>
      </c>
      <c r="E106" s="282">
        <f>SUM(E102:E105)</f>
      </c>
      <c r="F106" s="282">
        <f>SUM(F102:F105)</f>
      </c>
      <c r="G106" s="282">
        <f>SUM(G102:G105)</f>
      </c>
      <c r="H106" s="283">
        <f t="shared" si="0"/>
      </c>
      <c r="I106" s="283">
        <f t="shared" si="1"/>
      </c>
      <c r="J106" s="283">
        <f t="shared" si="22"/>
      </c>
      <c r="K106" s="282">
        <f>SUM(K102:K105)</f>
      </c>
      <c r="L106" s="282">
        <f>SUM(L102:L105)</f>
      </c>
      <c r="M106" s="281"/>
      <c r="N106" s="282">
        <f>SUM(N102:N105)</f>
      </c>
      <c r="O106" s="281"/>
      <c r="P106" s="281">
        <f>SUM(P102:P105)</f>
      </c>
    </row>
    <row hidden="true" r="107">
      <c r="A107" s="274" t="s">
        <v>798</v>
      </c>
      <c r="B107" s="275" t="s">
        <v>760</v>
      </c>
      <c r="C107" s="278" t="s">
        <v>757</v>
      </c>
      <c r="D107" s="278">
        <v>4</v>
      </c>
      <c r="E107" s="276">
        <v>15</v>
      </c>
      <c r="F107" s="276">
        <v>15936</v>
      </c>
      <c r="G107" s="276">
        <v>15863.93</v>
      </c>
      <c r="H107" s="277">
        <f t="shared" si="0"/>
      </c>
      <c r="I107" s="277">
        <f t="shared" si="1"/>
      </c>
      <c r="J107" s="277">
        <f t="shared" si="22"/>
      </c>
      <c r="K107" s="276">
        <v>1</v>
      </c>
      <c r="L107" s="276">
        <v>1344</v>
      </c>
      <c r="M107" s="276" t="s">
        <v>766</v>
      </c>
      <c r="N107" s="278">
        <v>8</v>
      </c>
      <c r="O107" s="278" t="s">
        <v>759</v>
      </c>
      <c r="P107" s="278">
        <v>8</v>
      </c>
    </row>
    <row hidden="true" r="108">
      <c r="A108" s="274" t="s">
        <v>798</v>
      </c>
      <c r="B108" s="275" t="s">
        <v>762</v>
      </c>
      <c r="C108" s="278" t="s">
        <v>761</v>
      </c>
      <c r="D108" s="278">
        <v>4</v>
      </c>
      <c r="E108" s="276">
        <v>14</v>
      </c>
      <c r="F108" s="276">
        <v>18432</v>
      </c>
      <c r="G108" s="276">
        <v>15500.11</v>
      </c>
      <c r="H108" s="277">
        <f t="shared" si="0"/>
      </c>
      <c r="I108" s="277">
        <f t="shared" si="1"/>
      </c>
      <c r="J108" s="277">
        <f>G107/E108</f>
      </c>
      <c r="K108" s="276">
        <v>4</v>
      </c>
      <c r="L108" s="276">
        <v>3984</v>
      </c>
      <c r="M108" s="278"/>
      <c r="N108" s="278"/>
      <c r="O108" s="279"/>
      <c r="P108" s="278"/>
    </row>
    <row hidden="true" r="109">
      <c r="A109" s="274" t="s">
        <v>798</v>
      </c>
      <c r="B109" s="275" t="s">
        <v>770</v>
      </c>
      <c r="C109" s="278" t="s">
        <v>763</v>
      </c>
      <c r="D109" s="278">
        <v>4</v>
      </c>
      <c r="E109" s="276">
        <v>9</v>
      </c>
      <c r="F109" s="276">
        <v>13939</v>
      </c>
      <c r="G109" s="276">
        <v>14104.12</v>
      </c>
      <c r="H109" s="277">
        <f t="shared" si="0"/>
      </c>
      <c r="I109" s="277">
        <f t="shared" si="1"/>
      </c>
      <c r="J109" s="277">
        <f t="shared" ref="J109:J112" si="23">G109/E109</f>
      </c>
      <c r="K109" s="276">
        <v>1</v>
      </c>
      <c r="L109" s="276">
        <v>1344</v>
      </c>
      <c r="M109" s="278"/>
      <c r="N109" s="278"/>
      <c r="O109" s="278"/>
      <c r="P109" s="278"/>
    </row>
    <row hidden="true" r="110">
      <c r="A110" s="274" t="s">
        <v>798</v>
      </c>
      <c r="B110" s="275" t="s">
        <v>764</v>
      </c>
      <c r="C110" s="278" t="s">
        <v>765</v>
      </c>
      <c r="D110" s="278">
        <v>4</v>
      </c>
      <c r="E110" s="276">
        <v>24</v>
      </c>
      <c r="F110" s="276">
        <v>26882.4</v>
      </c>
      <c r="G110" s="276">
        <v>15069.92</v>
      </c>
      <c r="H110" s="277">
        <f t="shared" si="0"/>
      </c>
      <c r="I110" s="277">
        <f t="shared" si="1"/>
      </c>
      <c r="J110" s="277">
        <f t="shared" si="23"/>
      </c>
      <c r="K110" s="276">
        <v>5</v>
      </c>
      <c r="L110" s="276">
        <v>5976</v>
      </c>
      <c r="M110" s="276" t="s">
        <v>791</v>
      </c>
      <c r="N110" s="276">
        <v>8</v>
      </c>
      <c r="O110" s="278" t="s">
        <v>767</v>
      </c>
      <c r="P110" s="278">
        <v>8</v>
      </c>
    </row>
    <row r="111">
      <c r="A111" s="280" t="s">
        <v>798</v>
      </c>
      <c r="B111" s="287"/>
      <c r="C111" s="287"/>
      <c r="D111" s="282">
        <f>SUM(D107:D110)</f>
      </c>
      <c r="E111" s="282">
        <f>SUM(E107:E110)</f>
      </c>
      <c r="F111" s="282">
        <f>SUM(F107:F110)</f>
      </c>
      <c r="G111" s="282">
        <f>SUM(G107:G110)</f>
      </c>
      <c r="H111" s="283">
        <f t="shared" si="0"/>
      </c>
      <c r="I111" s="283">
        <f t="shared" si="1"/>
      </c>
      <c r="J111" s="283">
        <f t="shared" si="23"/>
      </c>
      <c r="K111" s="282">
        <f>SUM(K107:K110)</f>
      </c>
      <c r="L111" s="282">
        <f>SUM(L107:L110)</f>
      </c>
      <c r="M111" s="281"/>
      <c r="N111" s="282">
        <f>SUM(N107:N110)</f>
      </c>
      <c r="O111" s="281"/>
      <c r="P111" s="281">
        <f>SUM(P107:P110)</f>
      </c>
    </row>
    <row hidden="true" r="112">
      <c r="A112" s="274" t="s">
        <v>799</v>
      </c>
      <c r="B112" s="275" t="s">
        <v>762</v>
      </c>
      <c r="C112" s="278" t="s">
        <v>757</v>
      </c>
      <c r="D112" s="278">
        <v>4</v>
      </c>
      <c r="E112" s="276">
        <v>21</v>
      </c>
      <c r="F112" s="276">
        <v>23867</v>
      </c>
      <c r="G112" s="276">
        <v>19097.56</v>
      </c>
      <c r="H112" s="277">
        <f t="shared" si="0"/>
      </c>
      <c r="I112" s="277">
        <f t="shared" si="1"/>
      </c>
      <c r="J112" s="277">
        <f t="shared" si="23"/>
      </c>
      <c r="K112" s="276">
        <v>7</v>
      </c>
      <c r="L112" s="276">
        <v>7500</v>
      </c>
      <c r="M112" s="276" t="s">
        <v>766</v>
      </c>
      <c r="N112" s="278">
        <v>8</v>
      </c>
      <c r="O112" s="278" t="s">
        <v>759</v>
      </c>
      <c r="P112" s="278">
        <v>8</v>
      </c>
    </row>
    <row hidden="true" r="113">
      <c r="A113" s="274" t="s">
        <v>799</v>
      </c>
      <c r="B113" s="275" t="s">
        <v>756</v>
      </c>
      <c r="C113" s="278" t="s">
        <v>761</v>
      </c>
      <c r="D113" s="278">
        <v>4</v>
      </c>
      <c r="E113" s="276">
        <v>10</v>
      </c>
      <c r="F113" s="276">
        <v>15072</v>
      </c>
      <c r="G113" s="276">
        <v>10131.33</v>
      </c>
      <c r="H113" s="277">
        <f t="shared" si="0"/>
      </c>
      <c r="I113" s="277">
        <f t="shared" si="1"/>
      </c>
      <c r="J113" s="277">
        <f>G112/E113</f>
      </c>
      <c r="K113" s="276">
        <v>2</v>
      </c>
      <c r="L113" s="276">
        <v>2136</v>
      </c>
      <c r="M113" s="278"/>
      <c r="N113" s="278"/>
      <c r="O113" s="279"/>
      <c r="P113" s="278"/>
    </row>
    <row hidden="true" r="114">
      <c r="A114" s="274" t="s">
        <v>799</v>
      </c>
      <c r="B114" s="275" t="s">
        <v>764</v>
      </c>
      <c r="C114" s="278" t="s">
        <v>763</v>
      </c>
      <c r="D114" s="278">
        <v>4</v>
      </c>
      <c r="E114" s="276">
        <v>10</v>
      </c>
      <c r="F114" s="276">
        <v>12468</v>
      </c>
      <c r="G114" s="276">
        <v>9910.45</v>
      </c>
      <c r="H114" s="277">
        <f t="shared" si="0"/>
      </c>
      <c r="I114" s="277">
        <f t="shared" si="1"/>
      </c>
      <c r="J114" s="277">
        <f t="shared" ref="J114:J117" si="24">G114/E114</f>
      </c>
      <c r="K114" s="276">
        <v>2</v>
      </c>
      <c r="L114" s="276">
        <v>1488</v>
      </c>
      <c r="M114" s="278"/>
      <c r="N114" s="278"/>
      <c r="O114" s="278"/>
      <c r="P114" s="278"/>
    </row>
    <row hidden="true" r="115">
      <c r="A115" s="274" t="s">
        <v>799</v>
      </c>
      <c r="B115" s="275" t="s">
        <v>760</v>
      </c>
      <c r="C115" s="278" t="s">
        <v>765</v>
      </c>
      <c r="D115" s="278">
        <v>4</v>
      </c>
      <c r="E115" s="276">
        <v>13</v>
      </c>
      <c r="F115" s="276">
        <v>11244</v>
      </c>
      <c r="G115" s="276">
        <v>9091.91</v>
      </c>
      <c r="H115" s="277">
        <f t="shared" si="0"/>
      </c>
      <c r="I115" s="277">
        <f t="shared" si="1"/>
      </c>
      <c r="J115" s="277">
        <f t="shared" si="24"/>
      </c>
      <c r="K115" s="276">
        <v>2</v>
      </c>
      <c r="L115" s="276">
        <v>912</v>
      </c>
      <c r="M115" s="276" t="s">
        <v>791</v>
      </c>
      <c r="N115" s="276">
        <v>8</v>
      </c>
      <c r="O115" s="278" t="s">
        <v>767</v>
      </c>
      <c r="P115" s="278">
        <v>8</v>
      </c>
    </row>
    <row r="116">
      <c r="A116" s="280" t="s">
        <v>799</v>
      </c>
      <c r="B116" s="287"/>
      <c r="C116" s="287"/>
      <c r="D116" s="282">
        <f>SUM(D112:D115)</f>
      </c>
      <c r="E116" s="282">
        <f>SUM(E112:E115)</f>
      </c>
      <c r="F116" s="282">
        <f>SUM(F112:F115)</f>
      </c>
      <c r="G116" s="282">
        <f>SUM(G112:G115)</f>
      </c>
      <c r="H116" s="283">
        <f t="shared" si="0"/>
      </c>
      <c r="I116" s="283">
        <f t="shared" si="1"/>
      </c>
      <c r="J116" s="283">
        <f t="shared" si="24"/>
      </c>
      <c r="K116" s="282">
        <f>SUM(K112:K115)</f>
      </c>
      <c r="L116" s="282">
        <f>SUM(L112:L115)</f>
      </c>
      <c r="M116" s="281"/>
      <c r="N116" s="282">
        <f>SUM(N112:N115)</f>
      </c>
      <c r="O116" s="281"/>
      <c r="P116" s="281">
        <f>SUM(P112:P115)</f>
      </c>
    </row>
    <row hidden="true" r="117">
      <c r="A117" s="274" t="s">
        <v>800</v>
      </c>
      <c r="B117" s="275" t="s">
        <v>756</v>
      </c>
      <c r="C117" s="278" t="s">
        <v>757</v>
      </c>
      <c r="D117" s="278">
        <v>4</v>
      </c>
      <c r="E117" s="276">
        <v>14</v>
      </c>
      <c r="F117" s="276">
        <v>12588.6</v>
      </c>
      <c r="G117" s="276">
        <v>12673.94</v>
      </c>
      <c r="H117" s="277">
        <f t="shared" si="0"/>
      </c>
      <c r="I117" s="277">
        <f t="shared" si="1"/>
      </c>
      <c r="J117" s="277">
        <f t="shared" si="24"/>
      </c>
      <c r="K117" s="276">
        <v>5</v>
      </c>
      <c r="L117" s="276">
        <v>4446</v>
      </c>
      <c r="M117" s="276" t="s">
        <v>766</v>
      </c>
      <c r="N117" s="278">
        <v>8</v>
      </c>
      <c r="O117" s="278" t="s">
        <v>759</v>
      </c>
      <c r="P117" s="278">
        <v>8</v>
      </c>
    </row>
    <row hidden="true" r="118">
      <c r="A118" s="274" t="s">
        <v>800</v>
      </c>
      <c r="B118" s="275" t="s">
        <v>770</v>
      </c>
      <c r="C118" s="278" t="s">
        <v>761</v>
      </c>
      <c r="D118" s="278">
        <v>4</v>
      </c>
      <c r="E118" s="276">
        <v>23</v>
      </c>
      <c r="F118" s="276">
        <v>25724.4</v>
      </c>
      <c r="G118" s="276">
        <v>10382.38</v>
      </c>
      <c r="H118" s="277">
        <f t="shared" si="0"/>
      </c>
      <c r="I118" s="277">
        <f t="shared" si="1"/>
      </c>
      <c r="J118" s="277">
        <f>G117/E118</f>
      </c>
      <c r="K118" s="276">
        <v>4</v>
      </c>
      <c r="L118" s="276">
        <v>4054.8</v>
      </c>
      <c r="M118" s="278"/>
      <c r="N118" s="278"/>
      <c r="O118" s="279"/>
      <c r="P118" s="278"/>
    </row>
    <row hidden="true" r="119">
      <c r="A119" s="274" t="s">
        <v>800</v>
      </c>
      <c r="B119" s="275" t="s">
        <v>760</v>
      </c>
      <c r="C119" s="278" t="s">
        <v>763</v>
      </c>
      <c r="D119" s="278">
        <v>4</v>
      </c>
      <c r="E119" s="276">
        <v>12</v>
      </c>
      <c r="F119" s="276">
        <v>15669</v>
      </c>
      <c r="G119" s="276">
        <v>10349.2</v>
      </c>
      <c r="H119" s="277">
        <f t="shared" si="0"/>
      </c>
      <c r="I119" s="277">
        <f t="shared" si="1"/>
      </c>
      <c r="J119" s="277">
        <f t="shared" ref="J119:J122" si="25">G119/E119</f>
      </c>
      <c r="K119" s="276">
        <v>2</v>
      </c>
      <c r="L119" s="276">
        <v>3780</v>
      </c>
      <c r="M119" s="278"/>
      <c r="N119" s="278"/>
      <c r="O119" s="278"/>
      <c r="P119" s="278"/>
    </row>
    <row hidden="true" r="120">
      <c r="A120" s="274" t="s">
        <v>800</v>
      </c>
      <c r="B120" s="275" t="s">
        <v>762</v>
      </c>
      <c r="C120" s="278" t="s">
        <v>765</v>
      </c>
      <c r="D120" s="278">
        <v>4</v>
      </c>
      <c r="E120" s="276">
        <v>32</v>
      </c>
      <c r="F120" s="276">
        <v>38748</v>
      </c>
      <c r="G120" s="276">
        <v>25706.35</v>
      </c>
      <c r="H120" s="277">
        <f t="shared" si="0"/>
      </c>
      <c r="I120" s="277">
        <f t="shared" si="1"/>
      </c>
      <c r="J120" s="277">
        <f t="shared" si="25"/>
      </c>
      <c r="K120" s="276">
        <v>4</v>
      </c>
      <c r="L120" s="276">
        <v>4740</v>
      </c>
      <c r="M120" s="276" t="s">
        <v>791</v>
      </c>
      <c r="N120" s="276">
        <v>8</v>
      </c>
      <c r="O120" s="278" t="s">
        <v>767</v>
      </c>
      <c r="P120" s="278">
        <v>8</v>
      </c>
    </row>
    <row r="121">
      <c r="A121" s="280" t="s">
        <v>800</v>
      </c>
      <c r="B121" s="287"/>
      <c r="C121" s="287"/>
      <c r="D121" s="282">
        <f>SUM(D117:D120)</f>
      </c>
      <c r="E121" s="282">
        <f>SUM(E117:E120)</f>
      </c>
      <c r="F121" s="282">
        <f>SUM(F117:F120)</f>
      </c>
      <c r="G121" s="282">
        <f>SUM(G117:G120)</f>
      </c>
      <c r="H121" s="283">
        <f t="shared" si="0"/>
      </c>
      <c r="I121" s="283">
        <f t="shared" si="1"/>
      </c>
      <c r="J121" s="283">
        <f t="shared" si="25"/>
      </c>
      <c r="K121" s="282">
        <f>SUM(K117:K120)</f>
      </c>
      <c r="L121" s="282">
        <f>SUM(L117:L120)</f>
      </c>
      <c r="M121" s="281"/>
      <c r="N121" s="282">
        <f>SUM(N117:N120)</f>
      </c>
      <c r="O121" s="281"/>
      <c r="P121" s="281">
        <f>SUM(P117:P120)</f>
      </c>
    </row>
    <row hidden="true" r="122">
      <c r="A122" s="274" t="s">
        <v>801</v>
      </c>
      <c r="B122" s="275" t="s">
        <v>770</v>
      </c>
      <c r="C122" s="278" t="s">
        <v>757</v>
      </c>
      <c r="D122" s="278">
        <v>4</v>
      </c>
      <c r="E122" s="276">
        <v>26</v>
      </c>
      <c r="F122" s="276">
        <v>31224</v>
      </c>
      <c r="G122" s="276">
        <v>20767.78</v>
      </c>
      <c r="H122" s="277">
        <f t="shared" si="0"/>
      </c>
      <c r="I122" s="277">
        <f t="shared" si="1"/>
      </c>
      <c r="J122" s="277">
        <f t="shared" si="25"/>
      </c>
      <c r="K122" s="276">
        <v>6</v>
      </c>
      <c r="L122" s="276">
        <v>5688</v>
      </c>
      <c r="M122" s="276" t="s">
        <v>766</v>
      </c>
      <c r="N122" s="278">
        <v>8</v>
      </c>
      <c r="O122" s="278" t="s">
        <v>759</v>
      </c>
      <c r="P122" s="278">
        <v>8</v>
      </c>
    </row>
    <row hidden="true" r="123">
      <c r="A123" s="274" t="s">
        <v>801</v>
      </c>
      <c r="B123" s="275" t="s">
        <v>756</v>
      </c>
      <c r="C123" s="278" t="s">
        <v>761</v>
      </c>
      <c r="D123" s="278">
        <v>4</v>
      </c>
      <c r="E123" s="276">
        <v>9</v>
      </c>
      <c r="F123" s="276">
        <v>13212</v>
      </c>
      <c r="G123" s="276">
        <v>10682.39</v>
      </c>
      <c r="H123" s="277">
        <f t="shared" si="0"/>
      </c>
      <c r="I123" s="277">
        <f t="shared" si="1"/>
      </c>
      <c r="J123" s="277">
        <f>G122/E123</f>
      </c>
      <c r="K123" s="276">
        <v>1</v>
      </c>
      <c r="L123" s="276">
        <v>1344</v>
      </c>
      <c r="M123" s="278"/>
      <c r="N123" s="278"/>
      <c r="O123" s="279"/>
      <c r="P123" s="278"/>
    </row>
    <row hidden="true" r="124">
      <c r="A124" s="274" t="s">
        <v>801</v>
      </c>
      <c r="B124" s="275" t="s">
        <v>762</v>
      </c>
      <c r="C124" s="278" t="s">
        <v>763</v>
      </c>
      <c r="D124" s="276">
        <v>4</v>
      </c>
      <c r="E124" s="276">
        <v>24</v>
      </c>
      <c r="F124" s="276">
        <v>22108.8</v>
      </c>
      <c r="G124" s="276">
        <v>14310.14</v>
      </c>
      <c r="H124" s="277">
        <f t="shared" si="0"/>
      </c>
      <c r="I124" s="277">
        <f t="shared" si="1"/>
      </c>
      <c r="J124" s="277">
        <f t="shared" ref="J124:J127" si="26">G124/E124</f>
      </c>
      <c r="K124" s="276">
        <v>2</v>
      </c>
      <c r="L124" s="276">
        <v>792</v>
      </c>
      <c r="M124" s="278"/>
      <c r="N124" s="278"/>
      <c r="O124" s="278"/>
      <c r="P124" s="278"/>
    </row>
    <row hidden="true" r="125">
      <c r="A125" s="274" t="s">
        <v>801</v>
      </c>
      <c r="B125" s="275" t="s">
        <v>764</v>
      </c>
      <c r="C125" s="278" t="s">
        <v>765</v>
      </c>
      <c r="D125" s="276">
        <v>4</v>
      </c>
      <c r="E125" s="276">
        <v>29</v>
      </c>
      <c r="F125" s="276">
        <v>42916.8</v>
      </c>
      <c r="G125" s="276">
        <v>21590.32</v>
      </c>
      <c r="H125" s="277">
        <f t="shared" si="0"/>
      </c>
      <c r="I125" s="277">
        <f t="shared" si="1"/>
      </c>
      <c r="J125" s="277">
        <f t="shared" si="26"/>
      </c>
      <c r="K125" s="276">
        <v>6</v>
      </c>
      <c r="L125" s="276">
        <v>9583.2</v>
      </c>
      <c r="M125" s="276" t="s">
        <v>791</v>
      </c>
      <c r="N125" s="276">
        <v>8</v>
      </c>
      <c r="O125" s="278" t="s">
        <v>767</v>
      </c>
      <c r="P125" s="278">
        <v>8</v>
      </c>
    </row>
    <row r="126">
      <c r="A126" s="280" t="s">
        <v>801</v>
      </c>
      <c r="B126" s="287"/>
      <c r="C126" s="287"/>
      <c r="D126" s="282">
        <f>SUM(D122:D125)</f>
      </c>
      <c r="E126" s="282">
        <f>SUM(E122:E125)</f>
      </c>
      <c r="F126" s="282">
        <f>SUM(F122:F125)</f>
      </c>
      <c r="G126" s="282">
        <f>SUM(G122:G125)</f>
      </c>
      <c r="H126" s="283">
        <f t="shared" si="0"/>
      </c>
      <c r="I126" s="283">
        <f t="shared" si="1"/>
      </c>
      <c r="J126" s="283">
        <f t="shared" si="26"/>
      </c>
      <c r="K126" s="282">
        <f>SUM(K122:K125)</f>
      </c>
      <c r="L126" s="282">
        <f>SUM(L122:L125)</f>
      </c>
      <c r="M126" s="281"/>
      <c r="N126" s="282">
        <f>SUM(N122:N125)</f>
      </c>
      <c r="O126" s="281"/>
      <c r="P126" s="281">
        <f>SUM(P122:P125)</f>
      </c>
    </row>
    <row hidden="true" r="127">
      <c r="A127" s="274" t="s">
        <v>802</v>
      </c>
      <c r="B127" s="275" t="s">
        <v>760</v>
      </c>
      <c r="C127" s="278" t="s">
        <v>757</v>
      </c>
      <c r="D127" s="278">
        <v>4</v>
      </c>
      <c r="E127" s="276">
        <v>19</v>
      </c>
      <c r="F127" s="276">
        <v>17617.8</v>
      </c>
      <c r="G127" s="276">
        <v>13532.49</v>
      </c>
      <c r="H127" s="277">
        <f t="shared" si="0"/>
      </c>
      <c r="I127" s="277">
        <f t="shared" si="1"/>
      </c>
      <c r="J127" s="277">
        <f t="shared" si="26"/>
      </c>
      <c r="K127" s="276">
        <v>3</v>
      </c>
      <c r="L127" s="276">
        <v>2448</v>
      </c>
      <c r="M127" s="276" t="s">
        <v>766</v>
      </c>
      <c r="N127" s="278">
        <v>8</v>
      </c>
      <c r="O127" s="278" t="s">
        <v>759</v>
      </c>
      <c r="P127" s="278">
        <v>8</v>
      </c>
    </row>
    <row hidden="true" r="128">
      <c r="A128" s="274" t="s">
        <v>802</v>
      </c>
      <c r="B128" s="275" t="s">
        <v>756</v>
      </c>
      <c r="C128" s="278" t="s">
        <v>761</v>
      </c>
      <c r="D128" s="278">
        <v>4</v>
      </c>
      <c r="E128" s="276">
        <v>17</v>
      </c>
      <c r="F128" s="276">
        <v>22390.799999999996</v>
      </c>
      <c r="G128" s="276">
        <v>15554.830000000002</v>
      </c>
      <c r="H128" s="277">
        <f t="shared" si="0"/>
      </c>
      <c r="I128" s="277">
        <f t="shared" si="1"/>
      </c>
      <c r="J128" s="277">
        <f>G127/E128</f>
      </c>
      <c r="K128" s="276">
        <v>5</v>
      </c>
      <c r="L128" s="276">
        <v>5772</v>
      </c>
      <c r="M128" s="278"/>
      <c r="N128" s="278"/>
      <c r="O128" s="279"/>
      <c r="P128" s="278"/>
    </row>
    <row hidden="true" r="129">
      <c r="A129" s="274" t="s">
        <v>802</v>
      </c>
      <c r="B129" s="275" t="s">
        <v>764</v>
      </c>
      <c r="C129" s="278" t="s">
        <v>763</v>
      </c>
      <c r="D129" s="276">
        <v>4</v>
      </c>
      <c r="E129" s="276">
        <v>16</v>
      </c>
      <c r="F129" s="276">
        <v>21194.4</v>
      </c>
      <c r="G129" s="276">
        <v>10218.79</v>
      </c>
      <c r="H129" s="277">
        <f t="shared" si="0"/>
      </c>
      <c r="I129" s="277">
        <f t="shared" si="1"/>
      </c>
      <c r="J129" s="277">
        <f t="shared" ref="J129:J132" si="27">G129/E129</f>
      </c>
      <c r="K129" s="276">
        <v>6</v>
      </c>
      <c r="L129" s="276">
        <v>6252</v>
      </c>
      <c r="M129" s="278"/>
      <c r="N129" s="278"/>
      <c r="O129" s="278"/>
      <c r="P129" s="278"/>
    </row>
    <row hidden="true" r="130">
      <c r="A130" s="274" t="s">
        <v>802</v>
      </c>
      <c r="B130" s="275" t="s">
        <v>770</v>
      </c>
      <c r="C130" s="278" t="s">
        <v>765</v>
      </c>
      <c r="D130" s="276">
        <v>4</v>
      </c>
      <c r="E130" s="276">
        <v>19</v>
      </c>
      <c r="F130" s="276">
        <v>22694.399999999994</v>
      </c>
      <c r="G130" s="276">
        <v>17256.38</v>
      </c>
      <c r="H130" s="277">
        <f t="shared" si="0"/>
      </c>
      <c r="I130" s="277">
        <f t="shared" si="1"/>
      </c>
      <c r="J130" s="277">
        <f t="shared" si="27"/>
      </c>
      <c r="K130" s="276">
        <v>4</v>
      </c>
      <c r="L130" s="276">
        <v>4814.4000000000015</v>
      </c>
      <c r="M130" s="276" t="s">
        <v>758</v>
      </c>
      <c r="N130" s="276">
        <v>8</v>
      </c>
      <c r="O130" s="278" t="s">
        <v>767</v>
      </c>
      <c r="P130" s="278">
        <v>8</v>
      </c>
    </row>
    <row r="131">
      <c r="A131" s="280" t="s">
        <v>802</v>
      </c>
      <c r="B131" s="287"/>
      <c r="C131" s="287"/>
      <c r="D131" s="282">
        <f>SUM(D127:D130)</f>
      </c>
      <c r="E131" s="282">
        <f>SUM(E127:E130)</f>
      </c>
      <c r="F131" s="282">
        <f>SUM(F127:F130)</f>
      </c>
      <c r="G131" s="282">
        <f>SUM(G127:G130)</f>
      </c>
      <c r="H131" s="283">
        <f t="shared" si="0"/>
      </c>
      <c r="I131" s="283">
        <f t="shared" si="1"/>
      </c>
      <c r="J131" s="283">
        <f t="shared" si="27"/>
      </c>
      <c r="K131" s="282">
        <f>SUM(K127:K130)</f>
      </c>
      <c r="L131" s="282">
        <f>SUM(L127:L130)</f>
      </c>
      <c r="M131" s="281"/>
      <c r="N131" s="282">
        <f>SUM(N127:N130)</f>
      </c>
      <c r="O131" s="281"/>
      <c r="P131" s="281">
        <f>SUM(P127:P130)</f>
      </c>
    </row>
    <row hidden="true" r="132">
      <c r="A132" s="274" t="s">
        <v>803</v>
      </c>
      <c r="B132" s="275" t="s">
        <v>756</v>
      </c>
      <c r="C132" s="278" t="s">
        <v>757</v>
      </c>
      <c r="D132" s="278">
        <v>4</v>
      </c>
      <c r="E132" s="276">
        <v>24</v>
      </c>
      <c r="F132" s="276">
        <v>32692.6</v>
      </c>
      <c r="G132" s="276">
        <v>18399.79</v>
      </c>
      <c r="H132" s="277">
        <f t="shared" si="0"/>
      </c>
      <c r="I132" s="277">
        <f t="shared" si="1"/>
      </c>
      <c r="J132" s="277">
        <f t="shared" si="27"/>
      </c>
      <c r="K132" s="276">
        <v>4</v>
      </c>
      <c r="L132" s="276">
        <v>4068</v>
      </c>
      <c r="M132" s="276" t="s">
        <v>804</v>
      </c>
      <c r="N132" s="278">
        <v>8</v>
      </c>
      <c r="O132" s="278" t="s">
        <v>759</v>
      </c>
      <c r="P132" s="278">
        <v>8</v>
      </c>
    </row>
    <row hidden="true" r="133">
      <c r="A133" s="274" t="s">
        <v>803</v>
      </c>
      <c r="B133" s="275" t="s">
        <v>762</v>
      </c>
      <c r="C133" s="278" t="s">
        <v>761</v>
      </c>
      <c r="D133" s="278">
        <v>4</v>
      </c>
      <c r="E133" s="276">
        <v>13</v>
      </c>
      <c r="F133" s="276">
        <v>13270.8</v>
      </c>
      <c r="G133" s="276">
        <v>13057.62</v>
      </c>
      <c r="H133" s="277">
        <f t="shared" si="0"/>
      </c>
      <c r="I133" s="277">
        <f t="shared" si="1"/>
      </c>
      <c r="J133" s="277">
        <f>G132/E133</f>
      </c>
      <c r="K133" s="276">
        <v>1</v>
      </c>
      <c r="L133" s="276">
        <v>444</v>
      </c>
      <c r="M133" s="278"/>
      <c r="N133" s="278"/>
      <c r="O133" s="279"/>
      <c r="P133" s="278"/>
    </row>
    <row hidden="true" r="134">
      <c r="A134" s="274" t="s">
        <v>803</v>
      </c>
      <c r="B134" s="275" t="s">
        <v>770</v>
      </c>
      <c r="C134" s="278" t="s">
        <v>763</v>
      </c>
      <c r="D134" s="276">
        <v>4</v>
      </c>
      <c r="E134" s="276">
        <v>24</v>
      </c>
      <c r="F134" s="276">
        <v>28363.8</v>
      </c>
      <c r="G134" s="276">
        <v>21529.16</v>
      </c>
      <c r="H134" s="277">
        <f t="shared" si="0"/>
      </c>
      <c r="I134" s="277">
        <f t="shared" si="1"/>
      </c>
      <c r="J134" s="277">
        <f t="shared" ref="J134:J137" si="28">G134/E134</f>
      </c>
      <c r="K134" s="276">
        <v>5</v>
      </c>
      <c r="L134" s="276">
        <v>5826</v>
      </c>
      <c r="M134" s="278"/>
      <c r="N134" s="278"/>
      <c r="O134" s="278"/>
      <c r="P134" s="278"/>
    </row>
    <row hidden="true" r="135">
      <c r="A135" s="274" t="s">
        <v>803</v>
      </c>
      <c r="B135" s="275" t="s">
        <v>760</v>
      </c>
      <c r="C135" s="278" t="s">
        <v>765</v>
      </c>
      <c r="D135" s="276">
        <v>4</v>
      </c>
      <c r="E135" s="276">
        <v>39</v>
      </c>
      <c r="F135" s="276">
        <v>43777.8</v>
      </c>
      <c r="G135" s="276">
        <v>28322.85</v>
      </c>
      <c r="H135" s="277">
        <f t="shared" si="0"/>
      </c>
      <c r="I135" s="277">
        <f t="shared" si="1"/>
      </c>
      <c r="J135" s="277">
        <f t="shared" si="28"/>
      </c>
      <c r="K135" s="276">
        <v>7</v>
      </c>
      <c r="L135" s="276">
        <v>6588</v>
      </c>
      <c r="M135" s="276" t="s">
        <v>791</v>
      </c>
      <c r="N135" s="276">
        <v>8</v>
      </c>
      <c r="O135" s="278" t="s">
        <v>767</v>
      </c>
      <c r="P135" s="278">
        <v>8</v>
      </c>
    </row>
    <row r="136">
      <c r="A136" s="280" t="s">
        <v>803</v>
      </c>
      <c r="B136" s="287"/>
      <c r="C136" s="287"/>
      <c r="D136" s="282">
        <f>SUM(D132:D135)</f>
      </c>
      <c r="E136" s="282">
        <f>SUM(E132:E135)</f>
      </c>
      <c r="F136" s="282">
        <f>SUM(F132:F135)</f>
      </c>
      <c r="G136" s="282">
        <f>SUM(G132:G135)</f>
      </c>
      <c r="H136" s="283">
        <f t="shared" si="0"/>
      </c>
      <c r="I136" s="283">
        <f t="shared" si="1"/>
      </c>
      <c r="J136" s="283">
        <f t="shared" si="28"/>
      </c>
      <c r="K136" s="282">
        <f>SUM(K132:K135)</f>
      </c>
      <c r="L136" s="282">
        <f>SUM(L132:L135)</f>
      </c>
      <c r="M136" s="281"/>
      <c r="N136" s="282">
        <f>SUM(N132:N135)</f>
      </c>
      <c r="O136" s="281"/>
      <c r="P136" s="281">
        <f>SUM(P132:P135)</f>
      </c>
    </row>
    <row hidden="true" r="137">
      <c r="A137" s="274" t="s">
        <v>805</v>
      </c>
      <c r="B137" s="275" t="s">
        <v>756</v>
      </c>
      <c r="C137" s="278" t="s">
        <v>757</v>
      </c>
      <c r="D137" s="278">
        <v>4</v>
      </c>
      <c r="E137" s="276">
        <v>13</v>
      </c>
      <c r="F137" s="276">
        <v>16474.8</v>
      </c>
      <c r="G137" s="276">
        <v>11998.32</v>
      </c>
      <c r="H137" s="277">
        <f t="shared" si="0"/>
      </c>
      <c r="I137" s="277">
        <f t="shared" si="1"/>
      </c>
      <c r="J137" s="277">
        <f t="shared" si="28"/>
      </c>
      <c r="K137" s="276">
        <v>3</v>
      </c>
      <c r="L137" s="276">
        <v>5520</v>
      </c>
      <c r="M137" s="276" t="s">
        <v>804</v>
      </c>
      <c r="N137" s="278">
        <v>8</v>
      </c>
      <c r="O137" s="278" t="s">
        <v>759</v>
      </c>
      <c r="P137" s="278">
        <v>8</v>
      </c>
    </row>
    <row hidden="true" r="138">
      <c r="A138" s="274" t="s">
        <v>805</v>
      </c>
      <c r="B138" s="275" t="s">
        <v>764</v>
      </c>
      <c r="C138" s="278" t="s">
        <v>761</v>
      </c>
      <c r="D138" s="278">
        <v>4</v>
      </c>
      <c r="E138" s="276">
        <v>11</v>
      </c>
      <c r="F138" s="276">
        <v>12528</v>
      </c>
      <c r="G138" s="276">
        <v>8563.16</v>
      </c>
      <c r="H138" s="277">
        <f t="shared" si="0"/>
      </c>
      <c r="I138" s="277">
        <f t="shared" si="1"/>
      </c>
      <c r="J138" s="277">
        <f>G137/E138</f>
      </c>
      <c r="K138" s="276">
        <v>3</v>
      </c>
      <c r="L138" s="276">
        <v>2532</v>
      </c>
      <c r="M138" s="278"/>
      <c r="N138" s="278"/>
      <c r="O138" s="279"/>
      <c r="P138" s="278"/>
    </row>
    <row r="139">
      <c r="A139" s="280" t="s">
        <v>805</v>
      </c>
      <c r="B139" s="287"/>
      <c r="C139" s="287"/>
      <c r="D139" s="282">
        <f>SUM(D137:D138)</f>
      </c>
      <c r="E139" s="282">
        <f>SUM(E137:E138)</f>
      </c>
      <c r="F139" s="282">
        <f>SUM(F137:F138)</f>
      </c>
      <c r="G139" s="282">
        <f>SUM(G137:G138)</f>
      </c>
      <c r="H139" s="283">
        <f t="shared" si="0"/>
      </c>
      <c r="I139" s="283">
        <f t="shared" si="1"/>
      </c>
      <c r="J139" s="283">
        <f t="shared" ref="J139:J140" si="29">G139/E139</f>
      </c>
      <c r="K139" s="282">
        <f>SUM(K137:K138)</f>
      </c>
      <c r="L139" s="282">
        <f>SUM(L137:L138)</f>
      </c>
      <c r="M139" s="281"/>
      <c r="N139" s="282">
        <f>SUM(N137:N138)</f>
      </c>
      <c r="O139" s="281"/>
      <c r="P139" s="281">
        <f>SUM(P137:P138)</f>
      </c>
    </row>
    <row hidden="true" r="140">
      <c r="A140" s="274" t="s">
        <v>806</v>
      </c>
      <c r="B140" s="275" t="s">
        <v>756</v>
      </c>
      <c r="C140" s="278" t="s">
        <v>757</v>
      </c>
      <c r="D140" s="278">
        <v>4</v>
      </c>
      <c r="E140" s="276">
        <v>15</v>
      </c>
      <c r="F140" s="276">
        <v>19596.6</v>
      </c>
      <c r="G140" s="276">
        <v>14405.16</v>
      </c>
      <c r="H140" s="277">
        <f t="shared" si="0"/>
      </c>
      <c r="I140" s="277">
        <f t="shared" si="1"/>
      </c>
      <c r="J140" s="277">
        <f t="shared" si="29"/>
      </c>
      <c r="K140" s="276">
        <v>3</v>
      </c>
      <c r="L140" s="276">
        <v>2916</v>
      </c>
      <c r="M140" s="276" t="s">
        <v>804</v>
      </c>
      <c r="N140" s="278">
        <v>8</v>
      </c>
      <c r="O140" s="278" t="s">
        <v>759</v>
      </c>
      <c r="P140" s="278">
        <v>8</v>
      </c>
    </row>
    <row hidden="true" r="141">
      <c r="A141" s="274" t="s">
        <v>806</v>
      </c>
      <c r="B141" s="275" t="s">
        <v>760</v>
      </c>
      <c r="C141" s="278" t="s">
        <v>761</v>
      </c>
      <c r="D141" s="278">
        <v>4</v>
      </c>
      <c r="E141" s="276">
        <v>9</v>
      </c>
      <c r="F141" s="276">
        <v>12644.4</v>
      </c>
      <c r="G141" s="276">
        <v>8114.66</v>
      </c>
      <c r="H141" s="277">
        <f t="shared" si="0"/>
      </c>
      <c r="I141" s="277">
        <f t="shared" si="1"/>
      </c>
      <c r="J141" s="277">
        <f>G140/E141</f>
      </c>
      <c r="K141" s="276">
        <v>3</v>
      </c>
      <c r="L141" s="276">
        <v>2792.4</v>
      </c>
      <c r="M141" s="278"/>
      <c r="N141" s="278"/>
      <c r="O141" s="279"/>
      <c r="P141" s="278"/>
    </row>
    <row hidden="true" r="142">
      <c r="A142" s="274" t="s">
        <v>806</v>
      </c>
      <c r="B142" s="275" t="s">
        <v>762</v>
      </c>
      <c r="C142" s="278" t="s">
        <v>763</v>
      </c>
      <c r="D142" s="276">
        <v>4</v>
      </c>
      <c r="E142" s="276">
        <v>3</v>
      </c>
      <c r="F142" s="276">
        <v>5472</v>
      </c>
      <c r="G142" s="276">
        <v>6233.71</v>
      </c>
      <c r="H142" s="277">
        <f t="shared" si="0"/>
      </c>
      <c r="I142" s="277">
        <f t="shared" si="1"/>
      </c>
      <c r="J142" s="277">
        <f t="shared" ref="J142:J145" si="30">G142/E142</f>
      </c>
      <c r="K142" s="276">
        <v>1</v>
      </c>
      <c r="L142" s="276">
        <v>1692</v>
      </c>
      <c r="M142" s="278"/>
      <c r="N142" s="278"/>
      <c r="O142" s="278"/>
      <c r="P142" s="278"/>
    </row>
    <row hidden="true" r="143">
      <c r="A143" s="274" t="s">
        <v>806</v>
      </c>
      <c r="B143" s="275" t="s">
        <v>764</v>
      </c>
      <c r="C143" s="278" t="s">
        <v>765</v>
      </c>
      <c r="D143" s="276">
        <v>4</v>
      </c>
      <c r="E143" s="276">
        <v>23</v>
      </c>
      <c r="F143" s="276">
        <v>40854</v>
      </c>
      <c r="G143" s="276">
        <v>16444.74</v>
      </c>
      <c r="H143" s="277">
        <f t="shared" si="0"/>
      </c>
      <c r="I143" s="277">
        <f t="shared" si="1"/>
      </c>
      <c r="J143" s="277">
        <f t="shared" si="30"/>
      </c>
      <c r="K143" s="276">
        <v>5</v>
      </c>
      <c r="L143" s="276">
        <v>5622</v>
      </c>
      <c r="M143" s="276" t="s">
        <v>791</v>
      </c>
      <c r="N143" s="276">
        <v>8</v>
      </c>
      <c r="O143" s="278" t="s">
        <v>767</v>
      </c>
      <c r="P143" s="278">
        <v>8</v>
      </c>
    </row>
    <row r="144">
      <c r="A144" s="280" t="s">
        <v>806</v>
      </c>
      <c r="B144" s="287"/>
      <c r="C144" s="287"/>
      <c r="D144" s="282">
        <f>SUM(D140:D143)</f>
      </c>
      <c r="E144" s="282">
        <f>SUM(E140:E143)</f>
      </c>
      <c r="F144" s="282">
        <f>SUM(F140:F143)</f>
      </c>
      <c r="G144" s="282">
        <f>SUM(G140:G143)</f>
      </c>
      <c r="H144" s="283">
        <f t="shared" si="0"/>
      </c>
      <c r="I144" s="283">
        <f t="shared" si="1"/>
      </c>
      <c r="J144" s="283">
        <f t="shared" si="30"/>
      </c>
      <c r="K144" s="282">
        <f>SUM(K140:K143)</f>
      </c>
      <c r="L144" s="282">
        <f>SUM(L140:L143)</f>
      </c>
      <c r="M144" s="281"/>
      <c r="N144" s="282">
        <f>SUM(N140:N143)</f>
      </c>
      <c r="O144" s="281"/>
      <c r="P144" s="281">
        <f>SUM(P140:P143)</f>
      </c>
    </row>
    <row hidden="true" r="145">
      <c r="A145" s="274" t="s">
        <v>807</v>
      </c>
      <c r="B145" s="275" t="s">
        <v>756</v>
      </c>
      <c r="C145" s="278" t="s">
        <v>757</v>
      </c>
      <c r="D145" s="278">
        <v>4</v>
      </c>
      <c r="E145" s="276">
        <v>14</v>
      </c>
      <c r="F145" s="276">
        <v>16008</v>
      </c>
      <c r="G145" s="276">
        <v>16276.86</v>
      </c>
      <c r="H145" s="277">
        <f t="shared" si="0"/>
      </c>
      <c r="I145" s="277">
        <f t="shared" si="1"/>
      </c>
      <c r="J145" s="277">
        <f t="shared" si="30"/>
      </c>
      <c r="K145" s="276">
        <v>3</v>
      </c>
      <c r="L145" s="276">
        <v>5076</v>
      </c>
      <c r="M145" s="276" t="s">
        <v>804</v>
      </c>
      <c r="N145" s="278">
        <v>8</v>
      </c>
      <c r="O145" s="278" t="s">
        <v>759</v>
      </c>
      <c r="P145" s="278">
        <v>8</v>
      </c>
    </row>
    <row hidden="true" r="146">
      <c r="A146" s="274" t="s">
        <v>807</v>
      </c>
      <c r="B146" s="275" t="s">
        <v>762</v>
      </c>
      <c r="C146" s="278" t="s">
        <v>761</v>
      </c>
      <c r="D146" s="278">
        <v>4</v>
      </c>
      <c r="E146" s="276">
        <v>9</v>
      </c>
      <c r="F146" s="276">
        <v>10992</v>
      </c>
      <c r="G146" s="276">
        <v>6025.97</v>
      </c>
      <c r="H146" s="277">
        <f t="shared" si="0"/>
      </c>
      <c r="I146" s="277">
        <f t="shared" si="1"/>
      </c>
      <c r="J146" s="277">
        <f>G145/E146</f>
      </c>
      <c r="K146" s="276">
        <v>3</v>
      </c>
      <c r="L146" s="276">
        <v>4656</v>
      </c>
      <c r="M146" s="278"/>
      <c r="N146" s="278"/>
      <c r="O146" s="279"/>
      <c r="P146" s="278"/>
    </row>
    <row hidden="true" r="147">
      <c r="A147" s="274" t="s">
        <v>807</v>
      </c>
      <c r="B147" s="275" t="s">
        <v>764</v>
      </c>
      <c r="C147" s="278" t="s">
        <v>763</v>
      </c>
      <c r="D147" s="276">
        <v>4</v>
      </c>
      <c r="E147" s="276">
        <v>11</v>
      </c>
      <c r="F147" s="276">
        <v>13692</v>
      </c>
      <c r="G147" s="276">
        <v>6272.46</v>
      </c>
      <c r="H147" s="277">
        <f t="shared" si="0"/>
      </c>
      <c r="I147" s="277">
        <f t="shared" si="1"/>
      </c>
      <c r="J147" s="277">
        <f t="shared" ref="J147:J150" si="31">G147/E147</f>
      </c>
      <c r="K147" s="276">
        <v>4</v>
      </c>
      <c r="L147" s="276">
        <v>3672</v>
      </c>
      <c r="M147" s="278"/>
      <c r="N147" s="278"/>
      <c r="O147" s="278"/>
      <c r="P147" s="278"/>
    </row>
    <row hidden="true" r="148">
      <c r="A148" s="274" t="s">
        <v>807</v>
      </c>
      <c r="B148" s="275" t="s">
        <v>760</v>
      </c>
      <c r="C148" s="278" t="s">
        <v>765</v>
      </c>
      <c r="D148" s="276">
        <v>4</v>
      </c>
      <c r="E148" s="276">
        <v>35</v>
      </c>
      <c r="F148" s="276">
        <v>45598.8</v>
      </c>
      <c r="G148" s="276">
        <v>24102.87</v>
      </c>
      <c r="H148" s="277">
        <f t="shared" si="0"/>
      </c>
      <c r="I148" s="277">
        <f t="shared" si="1"/>
      </c>
      <c r="J148" s="277">
        <f t="shared" si="31"/>
      </c>
      <c r="K148" s="276">
        <v>2</v>
      </c>
      <c r="L148" s="276">
        <v>1941.6</v>
      </c>
      <c r="M148" s="276" t="s">
        <v>791</v>
      </c>
      <c r="N148" s="276">
        <v>8</v>
      </c>
      <c r="O148" s="278" t="s">
        <v>767</v>
      </c>
      <c r="P148" s="278">
        <v>8</v>
      </c>
    </row>
    <row r="149">
      <c r="A149" s="280" t="s">
        <v>807</v>
      </c>
      <c r="B149" s="287"/>
      <c r="C149" s="287"/>
      <c r="D149" s="282">
        <f>SUM(D145:D148)</f>
      </c>
      <c r="E149" s="282">
        <f>SUM(E145:E148)</f>
      </c>
      <c r="F149" s="282">
        <f>SUM(F145:F148)</f>
      </c>
      <c r="G149" s="282">
        <f>SUM(G145:G148)</f>
      </c>
      <c r="H149" s="283">
        <f t="shared" si="0"/>
      </c>
      <c r="I149" s="283">
        <f t="shared" si="1"/>
      </c>
      <c r="J149" s="283">
        <f t="shared" si="31"/>
      </c>
      <c r="K149" s="282">
        <f>SUM(K145:K148)</f>
      </c>
      <c r="L149" s="282">
        <f>SUM(L145:L148)</f>
      </c>
      <c r="M149" s="281"/>
      <c r="N149" s="282">
        <f>SUM(N145:N148)</f>
      </c>
      <c r="O149" s="281"/>
      <c r="P149" s="281">
        <f>SUM(P145:P148)</f>
      </c>
    </row>
    <row hidden="true" r="150">
      <c r="A150" s="274" t="s">
        <v>808</v>
      </c>
      <c r="B150" s="275" t="s">
        <v>756</v>
      </c>
      <c r="C150" s="278" t="s">
        <v>757</v>
      </c>
      <c r="D150" s="288">
        <v>3.5</v>
      </c>
      <c r="E150" s="276">
        <v>17</v>
      </c>
      <c r="F150" s="276">
        <v>19530</v>
      </c>
      <c r="G150" s="276">
        <v>18379.62</v>
      </c>
      <c r="H150" s="277">
        <f t="shared" si="0"/>
      </c>
      <c r="I150" s="277">
        <f t="shared" si="1"/>
      </c>
      <c r="J150" s="277">
        <f t="shared" si="31"/>
      </c>
      <c r="K150" s="276">
        <v>6</v>
      </c>
      <c r="L150" s="276">
        <v>8176.8</v>
      </c>
      <c r="M150" s="276" t="s">
        <v>804</v>
      </c>
      <c r="N150" s="278">
        <v>8</v>
      </c>
      <c r="O150" s="278" t="s">
        <v>759</v>
      </c>
      <c r="P150" s="278">
        <v>8</v>
      </c>
    </row>
    <row hidden="true" r="151">
      <c r="A151" s="274" t="s">
        <v>808</v>
      </c>
      <c r="B151" s="275" t="s">
        <v>762</v>
      </c>
      <c r="C151" s="278" t="s">
        <v>761</v>
      </c>
      <c r="D151" s="278">
        <v>4</v>
      </c>
      <c r="E151" s="276">
        <v>17</v>
      </c>
      <c r="F151" s="276">
        <v>23362.8</v>
      </c>
      <c r="G151" s="276">
        <v>15468.76</v>
      </c>
      <c r="H151" s="277">
        <f t="shared" si="0"/>
      </c>
      <c r="I151" s="277">
        <f t="shared" si="1"/>
      </c>
      <c r="J151" s="277">
        <f>G150/E151</f>
      </c>
      <c r="K151" s="276">
        <v>1</v>
      </c>
      <c r="L151" s="276">
        <v>1344</v>
      </c>
      <c r="M151" s="278"/>
      <c r="N151" s="278"/>
      <c r="O151" s="279"/>
      <c r="P151" s="278"/>
    </row>
    <row hidden="true" r="152">
      <c r="A152" s="274" t="s">
        <v>808</v>
      </c>
      <c r="B152" s="275" t="s">
        <v>764</v>
      </c>
      <c r="C152" s="278" t="s">
        <v>763</v>
      </c>
      <c r="D152" s="288">
        <v>3.5</v>
      </c>
      <c r="E152" s="276">
        <v>26</v>
      </c>
      <c r="F152" s="276">
        <v>37666</v>
      </c>
      <c r="G152" s="276">
        <v>19634.749999999996</v>
      </c>
      <c r="H152" s="277">
        <f t="shared" si="0"/>
      </c>
      <c r="I152" s="277">
        <f t="shared" si="1"/>
      </c>
      <c r="J152" s="277">
        <f t="shared" ref="J152:J154" si="32">G152/E152</f>
      </c>
      <c r="K152" s="276">
        <v>4</v>
      </c>
      <c r="L152" s="276">
        <v>2523</v>
      </c>
      <c r="M152" s="276" t="s">
        <v>791</v>
      </c>
      <c r="N152" s="276">
        <v>1</v>
      </c>
      <c r="O152" s="278"/>
      <c r="P152" s="278"/>
    </row>
    <row hidden="true" r="153">
      <c r="A153" s="274" t="s">
        <v>808</v>
      </c>
      <c r="B153" s="275" t="s">
        <v>760</v>
      </c>
      <c r="C153" s="278" t="s">
        <v>765</v>
      </c>
      <c r="D153" s="276">
        <v>4</v>
      </c>
      <c r="E153" s="276">
        <v>42</v>
      </c>
      <c r="F153" s="276">
        <v>43267.2</v>
      </c>
      <c r="G153" s="276">
        <v>26525.08</v>
      </c>
      <c r="H153" s="277">
        <f t="shared" si="0"/>
      </c>
      <c r="I153" s="277">
        <f t="shared" si="1"/>
      </c>
      <c r="J153" s="277">
        <f t="shared" si="32"/>
      </c>
      <c r="K153" s="276">
        <v>10</v>
      </c>
      <c r="L153" s="276">
        <v>6614.4000000000015</v>
      </c>
      <c r="M153" s="276" t="s">
        <v>809</v>
      </c>
      <c r="N153" s="276">
        <f>7*0.4</f>
      </c>
      <c r="O153" s="278" t="s">
        <v>767</v>
      </c>
      <c r="P153" s="278">
        <v>8</v>
      </c>
    </row>
    <row r="154">
      <c r="A154" s="280" t="s">
        <v>808</v>
      </c>
      <c r="B154" s="287"/>
      <c r="C154" s="287"/>
      <c r="D154" s="282">
        <f>SUM(D150:D153)</f>
      </c>
      <c r="E154" s="282">
        <f>SUM(E150:E153)</f>
      </c>
      <c r="F154" s="282">
        <f>SUM(F150:F153)</f>
      </c>
      <c r="G154" s="282">
        <f>SUM(G150:G153)</f>
      </c>
      <c r="H154" s="283">
        <f t="shared" si="0"/>
      </c>
      <c r="I154" s="283">
        <f t="shared" si="1"/>
      </c>
      <c r="J154" s="283">
        <f t="shared" si="32"/>
      </c>
      <c r="K154" s="282">
        <f>SUM(K150:K153)</f>
      </c>
      <c r="L154" s="282">
        <f>SUM(L150:L153)</f>
      </c>
      <c r="M154" s="281"/>
      <c r="N154" s="282">
        <f>SUM(N150:N153)</f>
      </c>
      <c r="O154" s="281"/>
      <c r="P154" s="281">
        <f>SUM(P150:P153)</f>
      </c>
    </row>
    <row r="155">
      <c r="D155" s="289"/>
      <c r="F155" s="289"/>
      <c r="G155" s="289"/>
      <c r="H155" s="290"/>
      <c r="I155" s="290"/>
    </row>
    <row r="156">
      <c r="D156" s="289"/>
      <c r="E156" s="289"/>
      <c r="F156" s="289"/>
      <c r="G156" s="289"/>
      <c r="H156" s="290"/>
      <c r="I156" s="290"/>
    </row>
    <row r="157">
      <c r="D157" s="289"/>
      <c r="E157" s="289"/>
      <c r="F157" s="289"/>
      <c r="G157" s="289"/>
      <c r="H157" s="290"/>
      <c r="I157" s="290"/>
    </row>
    <row r="158">
      <c r="D158" s="289"/>
      <c r="E158" s="289"/>
      <c r="F158" s="289"/>
      <c r="G158" s="289"/>
      <c r="H158" s="291"/>
      <c r="I158" s="291"/>
    </row>
  </sheetData>
  <autoFilter ref="A1:P154">
    <filterColumn colId="2">
      <filters blank="true"/>
    </filterColumn>
  </autoFilter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292" t="s">
        <v>810</v>
      </c>
      <c r="B1" s="292" t="s">
        <v>811</v>
      </c>
      <c r="C1" s="292" t="s">
        <v>812</v>
      </c>
      <c r="D1" s="292" t="s">
        <v>813</v>
      </c>
      <c r="E1" s="292" t="s">
        <v>814</v>
      </c>
      <c r="F1" s="293" t="s">
        <v>815</v>
      </c>
      <c r="G1" s="293" t="s">
        <v>816</v>
      </c>
      <c r="H1" s="293" t="s">
        <v>817</v>
      </c>
      <c r="I1" s="293" t="s">
        <v>818</v>
      </c>
      <c r="J1" s="293" t="s">
        <v>819</v>
      </c>
      <c r="K1" s="292" t="s">
        <v>820</v>
      </c>
      <c r="L1" s="292" t="s">
        <v>821</v>
      </c>
      <c r="M1" s="292" t="s">
        <v>822</v>
      </c>
      <c r="N1" s="292" t="s">
        <v>823</v>
      </c>
      <c r="O1" s="292" t="s">
        <v>824</v>
      </c>
      <c r="P1" s="292" t="s">
        <v>825</v>
      </c>
    </row>
    <row r="2">
      <c r="A2" s="294" t="s">
        <v>826</v>
      </c>
      <c r="B2" s="295" t="s">
        <v>827</v>
      </c>
      <c r="C2" s="295" t="s">
        <v>828</v>
      </c>
      <c r="D2" s="295">
        <v>5</v>
      </c>
      <c r="E2" s="295">
        <v>32</v>
      </c>
      <c r="F2" s="295">
        <v>37054.8</v>
      </c>
      <c r="G2" s="295">
        <v>22258.46</v>
      </c>
      <c r="H2" s="296">
        <f t="shared" ref="H2:H151" si="2">F2/G2</f>
      </c>
      <c r="I2" s="296">
        <f t="shared" ref="I2:I151" si="3">F2/E2</f>
      </c>
      <c r="J2" s="296">
        <f t="shared" ref="J2:J67" si="4">G2/E2</f>
      </c>
      <c r="K2" s="295">
        <v>14</v>
      </c>
      <c r="L2" s="295">
        <v>13116</v>
      </c>
      <c r="M2" s="295" t="s">
        <v>829</v>
      </c>
      <c r="N2" s="295">
        <v>8</v>
      </c>
      <c r="O2" s="295" t="s">
        <v>830</v>
      </c>
      <c r="P2" s="295">
        <v>8</v>
      </c>
    </row>
    <row r="3">
      <c r="A3" s="294" t="s">
        <v>826</v>
      </c>
      <c r="B3" s="297" t="s">
        <v>831</v>
      </c>
      <c r="C3" s="295" t="s">
        <v>832</v>
      </c>
      <c r="D3" s="295">
        <v>4</v>
      </c>
      <c r="E3" s="295">
        <v>20</v>
      </c>
      <c r="F3" s="295">
        <v>21218.399999999994</v>
      </c>
      <c r="G3" s="295">
        <v>16408.27</v>
      </c>
      <c r="H3" s="296">
        <f t="shared" si="2"/>
      </c>
      <c r="I3" s="296">
        <f t="shared" si="3"/>
      </c>
      <c r="J3" s="296">
        <f t="shared" si="4"/>
      </c>
      <c r="K3" s="295">
        <v>7</v>
      </c>
      <c r="L3" s="295">
        <v>4932</v>
      </c>
      <c r="M3" s="298"/>
      <c r="N3" s="298"/>
      <c r="P3" s="295"/>
    </row>
    <row r="4">
      <c r="A4" s="294" t="s">
        <v>826</v>
      </c>
      <c r="B4" s="297" t="s">
        <v>833</v>
      </c>
      <c r="C4" s="295" t="s">
        <v>834</v>
      </c>
      <c r="D4" s="295">
        <v>3</v>
      </c>
      <c r="E4" s="295">
        <v>12</v>
      </c>
      <c r="F4" s="295">
        <v>11828.400000000009</v>
      </c>
      <c r="G4" s="295">
        <v>11219.720000000001</v>
      </c>
      <c r="H4" s="296">
        <f t="shared" si="2"/>
      </c>
      <c r="I4" s="296">
        <f t="shared" si="3"/>
      </c>
      <c r="J4" s="296">
        <f t="shared" si="4"/>
      </c>
      <c r="K4" s="295">
        <v>2</v>
      </c>
      <c r="L4" s="295">
        <v>816</v>
      </c>
      <c r="M4" s="295"/>
      <c r="N4" s="295"/>
      <c r="O4" s="298"/>
      <c r="P4" s="298"/>
    </row>
    <row r="5">
      <c r="A5" s="294" t="s">
        <v>826</v>
      </c>
      <c r="B5" s="297" t="s">
        <v>835</v>
      </c>
      <c r="C5" s="295" t="s">
        <v>836</v>
      </c>
      <c r="D5" s="295">
        <v>4</v>
      </c>
      <c r="E5" s="295">
        <v>17</v>
      </c>
      <c r="F5" s="295">
        <v>21141.59999999999</v>
      </c>
      <c r="G5" s="295">
        <v>13936.35</v>
      </c>
      <c r="H5" s="296">
        <f t="shared" si="2"/>
      </c>
      <c r="I5" s="296">
        <f t="shared" si="3"/>
      </c>
      <c r="J5" s="296">
        <f t="shared" si="4"/>
      </c>
      <c r="K5" s="295">
        <v>1</v>
      </c>
      <c r="L5" s="295">
        <v>1692</v>
      </c>
      <c r="M5" s="295" t="s">
        <v>837</v>
      </c>
      <c r="N5" s="295">
        <v>8</v>
      </c>
      <c r="O5" s="295" t="s">
        <v>838</v>
      </c>
      <c r="P5" s="295">
        <v>8</v>
      </c>
    </row>
    <row r="6">
      <c r="A6" s="299" t="s">
        <v>826</v>
      </c>
      <c r="B6" s="300"/>
      <c r="C6" s="300"/>
      <c r="D6" s="301">
        <f>SUM(D2:D5)</f>
      </c>
      <c r="E6" s="301">
        <f>SUM(E2:E5)</f>
      </c>
      <c r="F6" s="301">
        <f>SUM(F2:F5)</f>
      </c>
      <c r="G6" s="301">
        <f>SUM(G2:G5)</f>
      </c>
      <c r="H6" s="302">
        <f t="shared" si="2"/>
      </c>
      <c r="I6" s="302">
        <f t="shared" si="3"/>
      </c>
      <c r="J6" s="302">
        <f t="shared" si="4"/>
      </c>
      <c r="K6" s="301">
        <f>SUM(K2:K5)</f>
      </c>
      <c r="L6" s="301">
        <f>SUM(L2:L5)</f>
      </c>
      <c r="M6" s="300"/>
      <c r="N6" s="301">
        <f>SUM(N2:N5)</f>
      </c>
      <c r="O6" s="300"/>
      <c r="P6" s="303">
        <f>SUM(P2:P5)</f>
      </c>
    </row>
    <row r="7">
      <c r="A7" s="294" t="s">
        <v>839</v>
      </c>
      <c r="B7" s="295" t="s">
        <v>827</v>
      </c>
      <c r="C7" s="295" t="s">
        <v>828</v>
      </c>
      <c r="D7" s="295">
        <v>5</v>
      </c>
      <c r="E7" s="295">
        <v>37</v>
      </c>
      <c r="F7" s="295">
        <v>50328</v>
      </c>
      <c r="G7" s="295">
        <v>20109.7</v>
      </c>
      <c r="H7" s="296">
        <f t="shared" si="2"/>
      </c>
      <c r="I7" s="296">
        <f t="shared" si="3"/>
      </c>
      <c r="J7" s="296">
        <f t="shared" si="4"/>
      </c>
      <c r="K7" s="295">
        <v>10</v>
      </c>
      <c r="L7" s="295">
        <v>11772</v>
      </c>
      <c r="M7" s="295" t="s">
        <v>829</v>
      </c>
      <c r="N7" s="295">
        <v>8</v>
      </c>
      <c r="O7" s="295" t="s">
        <v>830</v>
      </c>
      <c r="P7" s="295">
        <v>8</v>
      </c>
    </row>
    <row r="8">
      <c r="A8" s="294" t="s">
        <v>839</v>
      </c>
      <c r="B8" s="297" t="s">
        <v>831</v>
      </c>
      <c r="C8" s="295" t="s">
        <v>832</v>
      </c>
      <c r="D8" s="295">
        <v>4</v>
      </c>
      <c r="E8" s="295">
        <v>17</v>
      </c>
      <c r="F8" s="295">
        <v>24958.079999999994</v>
      </c>
      <c r="G8" s="295">
        <v>12219.16</v>
      </c>
      <c r="H8" s="296">
        <f t="shared" si="2"/>
      </c>
      <c r="I8" s="296">
        <f t="shared" si="3"/>
      </c>
      <c r="J8" s="296">
        <f t="shared" si="4"/>
      </c>
      <c r="K8" s="295">
        <v>2</v>
      </c>
      <c r="L8" s="295">
        <v>1584</v>
      </c>
      <c r="M8" s="298"/>
      <c r="N8" s="298"/>
      <c r="P8" s="295"/>
    </row>
    <row r="9">
      <c r="A9" s="294" t="s">
        <v>839</v>
      </c>
      <c r="B9" s="297" t="s">
        <v>840</v>
      </c>
      <c r="C9" s="295" t="s">
        <v>834</v>
      </c>
      <c r="D9" s="295">
        <v>3</v>
      </c>
      <c r="E9" s="295">
        <v>5</v>
      </c>
      <c r="F9" s="295">
        <v>6792.000000000015</v>
      </c>
      <c r="G9" s="295">
        <v>7338.650000000001</v>
      </c>
      <c r="H9" s="296">
        <f t="shared" si="2"/>
      </c>
      <c r="I9" s="296">
        <f t="shared" si="3"/>
      </c>
      <c r="J9" s="296">
        <f t="shared" si="4"/>
      </c>
      <c r="K9" s="295">
        <v>1</v>
      </c>
      <c r="L9" s="295">
        <v>1344</v>
      </c>
      <c r="M9" s="295"/>
      <c r="N9" s="295"/>
      <c r="O9" s="298"/>
      <c r="P9" s="298"/>
    </row>
    <row r="10">
      <c r="A10" s="294" t="s">
        <v>839</v>
      </c>
      <c r="B10" s="297" t="s">
        <v>841</v>
      </c>
      <c r="C10" s="295" t="s">
        <v>836</v>
      </c>
      <c r="D10" s="295">
        <v>4</v>
      </c>
      <c r="E10" s="295">
        <v>25</v>
      </c>
      <c r="F10" s="295">
        <v>29044.800000000003</v>
      </c>
      <c r="G10" s="295">
        <v>10599.28</v>
      </c>
      <c r="H10" s="296">
        <f t="shared" si="2"/>
      </c>
      <c r="I10" s="296">
        <f t="shared" si="3"/>
      </c>
      <c r="J10" s="296">
        <f t="shared" si="4"/>
      </c>
      <c r="K10" s="295">
        <v>9</v>
      </c>
      <c r="L10" s="295">
        <v>7725.5999999999985</v>
      </c>
      <c r="M10" s="295" t="s">
        <v>837</v>
      </c>
      <c r="N10" s="295">
        <v>8</v>
      </c>
      <c r="O10" s="295" t="s">
        <v>838</v>
      </c>
      <c r="P10" s="295">
        <v>8</v>
      </c>
    </row>
    <row r="11">
      <c r="A11" s="299" t="s">
        <v>839</v>
      </c>
      <c r="B11" s="300"/>
      <c r="C11" s="300"/>
      <c r="D11" s="301">
        <f>SUM(D7:D10)</f>
      </c>
      <c r="E11" s="301">
        <f>SUM(E7:E10)</f>
      </c>
      <c r="F11" s="301">
        <f>SUM(F7:F10)</f>
      </c>
      <c r="G11" s="301">
        <f>SUM(G7:G10)</f>
      </c>
      <c r="H11" s="302">
        <f t="shared" si="2"/>
      </c>
      <c r="I11" s="302">
        <f t="shared" si="3"/>
      </c>
      <c r="J11" s="302">
        <f t="shared" si="4"/>
      </c>
      <c r="K11" s="301">
        <f>SUM(K7:K10)</f>
      </c>
      <c r="L11" s="301">
        <f>SUM(L7:L10)</f>
      </c>
      <c r="M11" s="300"/>
      <c r="N11" s="301">
        <f>SUM(N7:N10)</f>
      </c>
      <c r="O11" s="300"/>
      <c r="P11" s="303">
        <f>SUM(P7:P10)</f>
      </c>
    </row>
    <row r="12">
      <c r="A12" s="294" t="s">
        <v>842</v>
      </c>
      <c r="B12" s="295" t="s">
        <v>827</v>
      </c>
      <c r="C12" s="295" t="s">
        <v>828</v>
      </c>
      <c r="D12" s="295">
        <v>5</v>
      </c>
      <c r="E12" s="295">
        <v>26</v>
      </c>
      <c r="F12" s="295">
        <v>32204.4</v>
      </c>
      <c r="G12" s="295">
        <v>21363.19</v>
      </c>
      <c r="H12" s="296">
        <f t="shared" si="2"/>
      </c>
      <c r="I12" s="296">
        <f t="shared" si="3"/>
      </c>
      <c r="J12" s="296">
        <f t="shared" si="4"/>
      </c>
      <c r="K12" s="295">
        <v>3</v>
      </c>
      <c r="L12" s="295">
        <v>4872</v>
      </c>
      <c r="M12" s="295" t="s">
        <v>843</v>
      </c>
      <c r="N12" s="295">
        <v>8</v>
      </c>
      <c r="O12" s="295" t="s">
        <v>830</v>
      </c>
      <c r="P12" s="295">
        <v>8</v>
      </c>
    </row>
    <row r="13">
      <c r="A13" s="294" t="s">
        <v>842</v>
      </c>
      <c r="B13" s="297" t="s">
        <v>831</v>
      </c>
      <c r="C13" s="295" t="s">
        <v>832</v>
      </c>
      <c r="D13" s="295">
        <v>4</v>
      </c>
      <c r="E13" s="295">
        <v>22</v>
      </c>
      <c r="F13" s="295">
        <v>29333</v>
      </c>
      <c r="G13" s="295">
        <v>13199.849999999999</v>
      </c>
      <c r="H13" s="296">
        <f t="shared" si="2"/>
      </c>
      <c r="I13" s="296">
        <f t="shared" si="3"/>
      </c>
      <c r="J13" s="296">
        <f t="shared" si="4"/>
      </c>
      <c r="K13" s="295">
        <v>8</v>
      </c>
      <c r="L13" s="295">
        <v>7284</v>
      </c>
      <c r="M13" s="298"/>
      <c r="N13" s="298"/>
      <c r="P13" s="295"/>
    </row>
    <row r="14">
      <c r="A14" s="294" t="s">
        <v>842</v>
      </c>
      <c r="B14" s="297" t="s">
        <v>840</v>
      </c>
      <c r="C14" s="295" t="s">
        <v>834</v>
      </c>
      <c r="D14" s="295">
        <v>3</v>
      </c>
      <c r="E14" s="295">
        <v>10</v>
      </c>
      <c r="F14" s="295">
        <v>11506.799999999996</v>
      </c>
      <c r="G14" s="295">
        <v>12066.8</v>
      </c>
      <c r="H14" s="296">
        <f t="shared" si="2"/>
      </c>
      <c r="I14" s="296">
        <f t="shared" si="3"/>
      </c>
      <c r="J14" s="296">
        <f t="shared" si="4"/>
      </c>
      <c r="K14" s="295">
        <v>1</v>
      </c>
      <c r="L14" s="295">
        <v>444</v>
      </c>
      <c r="M14" s="295"/>
      <c r="N14" s="295"/>
      <c r="O14" s="298"/>
      <c r="P14" s="298"/>
    </row>
    <row r="15">
      <c r="A15" s="294" t="s">
        <v>842</v>
      </c>
      <c r="B15" s="297" t="s">
        <v>841</v>
      </c>
      <c r="C15" s="295" t="s">
        <v>836</v>
      </c>
      <c r="D15" s="295">
        <v>4</v>
      </c>
      <c r="E15" s="295">
        <v>6</v>
      </c>
      <c r="F15" s="295">
        <v>5400</v>
      </c>
      <c r="G15" s="295">
        <v>7697.85</v>
      </c>
      <c r="H15" s="296">
        <f t="shared" si="2"/>
      </c>
      <c r="I15" s="296">
        <f t="shared" si="3"/>
      </c>
      <c r="J15" s="296">
        <f t="shared" si="4"/>
      </c>
      <c r="K15" s="295">
        <v>1</v>
      </c>
      <c r="L15" s="295">
        <v>444</v>
      </c>
      <c r="M15" s="295" t="s">
        <v>837</v>
      </c>
      <c r="N15" s="295">
        <v>8</v>
      </c>
      <c r="O15" s="295" t="s">
        <v>838</v>
      </c>
      <c r="P15" s="295">
        <v>8</v>
      </c>
    </row>
    <row r="16">
      <c r="A16" s="299" t="s">
        <v>842</v>
      </c>
      <c r="B16" s="300"/>
      <c r="C16" s="300"/>
      <c r="D16" s="301">
        <f>SUM(D12:D15)</f>
      </c>
      <c r="E16" s="301">
        <f>SUM(E12:E15)</f>
      </c>
      <c r="F16" s="301">
        <f>SUM(F12:F15)</f>
      </c>
      <c r="G16" s="301">
        <f>SUM(G12:G15)</f>
      </c>
      <c r="H16" s="302">
        <f t="shared" si="2"/>
      </c>
      <c r="I16" s="302">
        <f t="shared" si="3"/>
      </c>
      <c r="J16" s="302">
        <f t="shared" si="4"/>
      </c>
      <c r="K16" s="301">
        <f>SUM(K12:K15)</f>
      </c>
      <c r="L16" s="301">
        <f>SUM(L12:L15)</f>
      </c>
      <c r="M16" s="300"/>
      <c r="N16" s="301">
        <f>SUM(N12:N15)</f>
      </c>
      <c r="O16" s="300"/>
      <c r="P16" s="303">
        <f>SUM(P12:P15)</f>
      </c>
    </row>
    <row r="17">
      <c r="A17" s="294" t="s">
        <v>844</v>
      </c>
      <c r="B17" s="295" t="s">
        <v>827</v>
      </c>
      <c r="C17" s="295" t="s">
        <v>828</v>
      </c>
      <c r="D17" s="295">
        <v>5</v>
      </c>
      <c r="E17" s="295">
        <v>18</v>
      </c>
      <c r="F17" s="295">
        <v>29100</v>
      </c>
      <c r="G17" s="295">
        <v>14877.16</v>
      </c>
      <c r="H17" s="296">
        <f t="shared" si="2"/>
      </c>
      <c r="I17" s="296">
        <f t="shared" si="3"/>
      </c>
      <c r="J17" s="296">
        <f t="shared" si="4"/>
      </c>
      <c r="K17" s="295">
        <v>2</v>
      </c>
      <c r="L17" s="295">
        <v>3432</v>
      </c>
      <c r="M17" s="295" t="s">
        <v>843</v>
      </c>
      <c r="N17" s="295">
        <v>8</v>
      </c>
      <c r="O17" s="295" t="s">
        <v>830</v>
      </c>
      <c r="P17" s="295">
        <v>8</v>
      </c>
    </row>
    <row r="18">
      <c r="A18" s="294" t="s">
        <v>844</v>
      </c>
      <c r="B18" s="297" t="s">
        <v>831</v>
      </c>
      <c r="C18" s="295" t="s">
        <v>832</v>
      </c>
      <c r="D18" s="295">
        <v>4</v>
      </c>
      <c r="E18" s="295">
        <v>25</v>
      </c>
      <c r="F18" s="295">
        <v>22992</v>
      </c>
      <c r="G18" s="295">
        <v>15743.119999999999</v>
      </c>
      <c r="H18" s="296">
        <f t="shared" si="2"/>
      </c>
      <c r="I18" s="296">
        <f t="shared" si="3"/>
      </c>
      <c r="J18" s="296">
        <f t="shared" si="4"/>
      </c>
      <c r="K18" s="295">
        <v>8</v>
      </c>
      <c r="L18" s="295">
        <v>7068</v>
      </c>
      <c r="M18" s="298"/>
      <c r="N18" s="298"/>
      <c r="P18" s="295"/>
    </row>
    <row r="19">
      <c r="A19" s="294" t="s">
        <v>844</v>
      </c>
      <c r="B19" s="297" t="s">
        <v>840</v>
      </c>
      <c r="C19" s="295" t="s">
        <v>834</v>
      </c>
      <c r="D19" s="295">
        <v>3</v>
      </c>
      <c r="E19" s="295">
        <v>9</v>
      </c>
      <c r="F19" s="295">
        <v>12396</v>
      </c>
      <c r="G19" s="295">
        <v>6384.5</v>
      </c>
      <c r="H19" s="296">
        <f t="shared" si="2"/>
      </c>
      <c r="I19" s="296">
        <f t="shared" si="3"/>
      </c>
      <c r="J19" s="296">
        <f t="shared" si="4"/>
      </c>
      <c r="K19" s="295">
        <v>1</v>
      </c>
      <c r="L19" s="295">
        <v>456</v>
      </c>
      <c r="M19" s="295"/>
      <c r="N19" s="295"/>
      <c r="O19" s="298"/>
      <c r="P19" s="298"/>
    </row>
    <row r="20">
      <c r="A20" s="294" t="s">
        <v>844</v>
      </c>
      <c r="B20" s="297" t="s">
        <v>841</v>
      </c>
      <c r="C20" s="295" t="s">
        <v>836</v>
      </c>
      <c r="D20" s="295">
        <v>4</v>
      </c>
      <c r="E20" s="295">
        <v>16</v>
      </c>
      <c r="F20" s="295">
        <v>24672</v>
      </c>
      <c r="G20" s="295">
        <v>15060.79</v>
      </c>
      <c r="H20" s="296">
        <f t="shared" si="2"/>
      </c>
      <c r="I20" s="296">
        <f t="shared" si="3"/>
      </c>
      <c r="J20" s="296">
        <f t="shared" si="4"/>
      </c>
      <c r="K20" s="295">
        <v>4</v>
      </c>
      <c r="L20" s="295">
        <v>3876</v>
      </c>
      <c r="M20" s="295" t="s">
        <v>837</v>
      </c>
      <c r="N20" s="295">
        <v>8</v>
      </c>
      <c r="O20" s="295" t="s">
        <v>838</v>
      </c>
      <c r="P20" s="295">
        <v>8</v>
      </c>
    </row>
    <row r="21">
      <c r="A21" s="299" t="s">
        <v>844</v>
      </c>
      <c r="B21" s="300"/>
      <c r="C21" s="300"/>
      <c r="D21" s="301">
        <f>SUM(D17:D20)</f>
      </c>
      <c r="E21" s="301">
        <f>SUM(E17:E20)</f>
      </c>
      <c r="F21" s="301">
        <f>SUM(F17:F20)</f>
      </c>
      <c r="G21" s="301">
        <f>SUM(G17:G20)</f>
      </c>
      <c r="H21" s="302">
        <f t="shared" si="2"/>
      </c>
      <c r="I21" s="302">
        <f t="shared" si="3"/>
      </c>
      <c r="J21" s="302">
        <f t="shared" si="4"/>
      </c>
      <c r="K21" s="301">
        <f>SUM(K17:K20)</f>
      </c>
      <c r="L21" s="301">
        <f>SUM(L17:L20)</f>
      </c>
      <c r="M21" s="300"/>
      <c r="N21" s="301">
        <f>SUM(N17:N20)</f>
      </c>
      <c r="O21" s="300"/>
      <c r="P21" s="303">
        <f>SUM(P17:P20)</f>
      </c>
    </row>
    <row r="22">
      <c r="A22" s="294" t="s">
        <v>845</v>
      </c>
      <c r="B22" s="295" t="s">
        <v>831</v>
      </c>
      <c r="C22" s="295" t="s">
        <v>846</v>
      </c>
      <c r="D22" s="295">
        <v>4</v>
      </c>
      <c r="E22" s="295">
        <v>15</v>
      </c>
      <c r="F22" s="295">
        <v>17719.2</v>
      </c>
      <c r="G22" s="295">
        <v>13388.38</v>
      </c>
      <c r="H22" s="296">
        <f t="shared" si="2"/>
      </c>
      <c r="I22" s="296">
        <f t="shared" si="3"/>
      </c>
      <c r="J22" s="296">
        <f t="shared" si="4"/>
      </c>
      <c r="K22" s="295">
        <v>3</v>
      </c>
      <c r="L22" s="295">
        <v>3048</v>
      </c>
      <c r="M22" s="295" t="s">
        <v>829</v>
      </c>
      <c r="N22" s="295">
        <v>8</v>
      </c>
      <c r="O22" s="295" t="s">
        <v>830</v>
      </c>
      <c r="P22" s="295">
        <v>8</v>
      </c>
    </row>
    <row r="23">
      <c r="A23" s="294" t="s">
        <v>845</v>
      </c>
      <c r="B23" s="304" t="s">
        <v>827</v>
      </c>
      <c r="C23" s="295" t="s">
        <v>847</v>
      </c>
      <c r="D23" s="295">
        <v>5</v>
      </c>
      <c r="E23" s="295">
        <v>34</v>
      </c>
      <c r="F23" s="295">
        <v>42288</v>
      </c>
      <c r="G23" s="295">
        <v>16221.439999999999</v>
      </c>
      <c r="H23" s="296">
        <f t="shared" si="2"/>
      </c>
      <c r="I23" s="296">
        <f t="shared" si="3"/>
      </c>
      <c r="J23" s="296">
        <f t="shared" si="4"/>
      </c>
      <c r="K23" s="295">
        <v>8</v>
      </c>
      <c r="L23" s="295">
        <v>8496</v>
      </c>
      <c r="M23" s="298"/>
      <c r="N23" s="298"/>
      <c r="P23" s="295"/>
    </row>
    <row r="24">
      <c r="A24" s="294" t="s">
        <v>845</v>
      </c>
      <c r="B24" s="297" t="s">
        <v>848</v>
      </c>
      <c r="C24" s="295" t="s">
        <v>834</v>
      </c>
      <c r="D24" s="295">
        <v>3</v>
      </c>
      <c r="E24" s="295">
        <v>6</v>
      </c>
      <c r="F24" s="295">
        <v>9900</v>
      </c>
      <c r="G24" s="295">
        <v>8882.82</v>
      </c>
      <c r="H24" s="296">
        <f t="shared" si="2"/>
      </c>
      <c r="I24" s="296">
        <f t="shared" si="3"/>
      </c>
      <c r="J24" s="296">
        <f t="shared" si="4"/>
      </c>
      <c r="K24" s="295">
        <v>1</v>
      </c>
      <c r="L24" s="295">
        <v>1344</v>
      </c>
      <c r="M24" s="295"/>
      <c r="N24" s="295"/>
      <c r="O24" s="298"/>
      <c r="P24" s="298"/>
    </row>
    <row r="25">
      <c r="A25" s="294" t="s">
        <v>845</v>
      </c>
      <c r="B25" s="297" t="s">
        <v>833</v>
      </c>
      <c r="C25" s="295" t="s">
        <v>836</v>
      </c>
      <c r="D25" s="295">
        <v>4</v>
      </c>
      <c r="E25" s="295">
        <v>29</v>
      </c>
      <c r="F25" s="295">
        <v>37482</v>
      </c>
      <c r="G25" s="295">
        <v>21148.48</v>
      </c>
      <c r="H25" s="296">
        <f t="shared" si="2"/>
      </c>
      <c r="I25" s="296">
        <f t="shared" si="3"/>
      </c>
      <c r="J25" s="296">
        <f t="shared" si="4"/>
      </c>
      <c r="K25" s="295">
        <v>7</v>
      </c>
      <c r="L25" s="295">
        <v>8928</v>
      </c>
      <c r="M25" s="295" t="s">
        <v>837</v>
      </c>
      <c r="N25" s="295">
        <v>8</v>
      </c>
      <c r="O25" s="295" t="s">
        <v>838</v>
      </c>
      <c r="P25" s="295">
        <v>8</v>
      </c>
    </row>
    <row r="26">
      <c r="A26" s="299" t="s">
        <v>845</v>
      </c>
      <c r="B26" s="300"/>
      <c r="C26" s="300"/>
      <c r="D26" s="301">
        <f>SUM(D22:D25)</f>
      </c>
      <c r="E26" s="301">
        <f>SUM(E22:E25)</f>
      </c>
      <c r="F26" s="301">
        <f>SUM(F22:F25)</f>
      </c>
      <c r="G26" s="301">
        <f>SUM(G22:G25)</f>
      </c>
      <c r="H26" s="302">
        <f t="shared" si="2"/>
      </c>
      <c r="I26" s="302">
        <f t="shared" si="3"/>
      </c>
      <c r="J26" s="302">
        <f t="shared" si="4"/>
      </c>
      <c r="K26" s="301">
        <f>SUM(K22:K25)</f>
      </c>
      <c r="L26" s="301">
        <f>SUM(L22:L25)</f>
      </c>
      <c r="M26" s="300"/>
      <c r="N26" s="301">
        <f>SUM(N22:N25)</f>
      </c>
      <c r="O26" s="300"/>
      <c r="P26" s="303">
        <f>SUM(P22:P25)</f>
      </c>
    </row>
    <row r="27">
      <c r="A27" s="294" t="s">
        <v>849</v>
      </c>
      <c r="B27" s="295" t="s">
        <v>827</v>
      </c>
      <c r="C27" s="295" t="s">
        <v>828</v>
      </c>
      <c r="D27" s="295">
        <v>5</v>
      </c>
      <c r="E27" s="295">
        <v>35</v>
      </c>
      <c r="F27" s="295">
        <v>51547.2</v>
      </c>
      <c r="G27" s="295">
        <v>22744.8</v>
      </c>
      <c r="H27" s="296">
        <f t="shared" si="2"/>
      </c>
      <c r="I27" s="296">
        <f t="shared" si="3"/>
      </c>
      <c r="J27" s="296">
        <f t="shared" si="4"/>
      </c>
      <c r="K27" s="295">
        <v>9</v>
      </c>
      <c r="L27" s="295">
        <v>11186.4</v>
      </c>
      <c r="M27" s="295" t="s">
        <v>829</v>
      </c>
      <c r="N27" s="295">
        <v>8</v>
      </c>
      <c r="O27" s="295" t="s">
        <v>830</v>
      </c>
      <c r="P27" s="295">
        <v>8</v>
      </c>
    </row>
    <row r="28">
      <c r="A28" s="294" t="s">
        <v>849</v>
      </c>
      <c r="B28" s="297" t="s">
        <v>841</v>
      </c>
      <c r="C28" s="295" t="s">
        <v>832</v>
      </c>
      <c r="D28" s="295">
        <v>4</v>
      </c>
      <c r="E28" s="295">
        <v>15</v>
      </c>
      <c r="F28" s="295">
        <v>16356</v>
      </c>
      <c r="G28" s="295">
        <v>8027.02</v>
      </c>
      <c r="H28" s="296">
        <f t="shared" si="2"/>
      </c>
      <c r="I28" s="296">
        <f t="shared" si="3"/>
      </c>
      <c r="J28" s="296">
        <f t="shared" si="4"/>
      </c>
      <c r="K28" s="295">
        <v>2</v>
      </c>
      <c r="L28" s="295">
        <v>768</v>
      </c>
      <c r="M28" s="298"/>
      <c r="N28" s="298"/>
      <c r="P28" s="295"/>
    </row>
    <row r="29">
      <c r="A29" s="294" t="s">
        <v>849</v>
      </c>
      <c r="B29" s="297" t="s">
        <v>833</v>
      </c>
      <c r="C29" s="295" t="s">
        <v>834</v>
      </c>
      <c r="D29" s="295">
        <v>3</v>
      </c>
      <c r="E29" s="295">
        <v>14</v>
      </c>
      <c r="F29" s="295">
        <v>20071.199999999997</v>
      </c>
      <c r="G29" s="295">
        <v>10317.66</v>
      </c>
      <c r="H29" s="296">
        <f t="shared" si="2"/>
      </c>
      <c r="I29" s="296">
        <f t="shared" si="3"/>
      </c>
      <c r="J29" s="296">
        <f t="shared" si="4"/>
      </c>
      <c r="K29" s="295">
        <v>3</v>
      </c>
      <c r="L29" s="295">
        <v>3328.800000000001</v>
      </c>
      <c r="M29" s="295"/>
      <c r="N29" s="295"/>
      <c r="O29" s="298"/>
      <c r="P29" s="298"/>
    </row>
    <row r="30">
      <c r="A30" s="294" t="s">
        <v>849</v>
      </c>
      <c r="B30" s="297" t="s">
        <v>848</v>
      </c>
      <c r="C30" s="295" t="s">
        <v>836</v>
      </c>
      <c r="D30" s="295">
        <v>4</v>
      </c>
      <c r="E30" s="295">
        <v>11</v>
      </c>
      <c r="F30" s="295">
        <v>11239.200000000012</v>
      </c>
      <c r="G30" s="295">
        <v>12446.520000000002</v>
      </c>
      <c r="H30" s="296">
        <f t="shared" si="2"/>
      </c>
      <c r="I30" s="296">
        <f t="shared" si="3"/>
      </c>
      <c r="J30" s="296">
        <f t="shared" si="4"/>
      </c>
      <c r="K30" s="295">
        <v>4</v>
      </c>
      <c r="L30" s="295">
        <v>3876</v>
      </c>
      <c r="M30" s="295" t="s">
        <v>837</v>
      </c>
      <c r="N30" s="295">
        <v>8</v>
      </c>
      <c r="O30" s="295" t="s">
        <v>838</v>
      </c>
      <c r="P30" s="295">
        <v>8</v>
      </c>
    </row>
    <row r="31">
      <c r="A31" s="299" t="s">
        <v>849</v>
      </c>
      <c r="B31" s="300"/>
      <c r="C31" s="300"/>
      <c r="D31" s="301">
        <f>SUM(D27:D30)</f>
      </c>
      <c r="E31" s="301">
        <f>SUM(E27:E30)</f>
      </c>
      <c r="F31" s="301">
        <f>SUM(F27:F30)</f>
      </c>
      <c r="G31" s="301">
        <f>SUM(G27:G30)</f>
      </c>
      <c r="H31" s="302">
        <f t="shared" si="2"/>
      </c>
      <c r="I31" s="302">
        <f t="shared" si="3"/>
      </c>
      <c r="J31" s="302">
        <f t="shared" si="4"/>
      </c>
      <c r="K31" s="301">
        <f>SUM(K27:K30)</f>
      </c>
      <c r="L31" s="301">
        <f>SUM(L27:L30)</f>
      </c>
      <c r="M31" s="300"/>
      <c r="N31" s="301">
        <f>SUM(N27:N30)</f>
      </c>
      <c r="O31" s="300"/>
      <c r="P31" s="303">
        <f>SUM(P27:P30)</f>
      </c>
    </row>
    <row r="32">
      <c r="A32" s="294" t="s">
        <v>850</v>
      </c>
      <c r="B32" s="295" t="s">
        <v>831</v>
      </c>
      <c r="C32" s="295" t="s">
        <v>851</v>
      </c>
      <c r="D32" s="295">
        <v>3.5</v>
      </c>
      <c r="E32" s="295">
        <v>8</v>
      </c>
      <c r="F32" s="295">
        <v>11152.8</v>
      </c>
      <c r="G32" s="295">
        <v>8114.26</v>
      </c>
      <c r="H32" s="296">
        <f t="shared" si="2"/>
      </c>
      <c r="I32" s="296">
        <f t="shared" si="3"/>
      </c>
      <c r="J32" s="296">
        <f t="shared" si="4"/>
      </c>
      <c r="K32" s="295">
        <v>1</v>
      </c>
      <c r="L32" s="295">
        <v>396</v>
      </c>
      <c r="M32" s="295" t="s">
        <v>852</v>
      </c>
      <c r="N32" s="295">
        <v>2.2</v>
      </c>
      <c r="O32" s="295" t="s">
        <v>830</v>
      </c>
      <c r="P32" s="295">
        <v>7.5</v>
      </c>
    </row>
    <row r="33">
      <c r="A33" s="294" t="s">
        <v>850</v>
      </c>
      <c r="B33" s="297" t="s">
        <v>841</v>
      </c>
      <c r="C33" s="295" t="s">
        <v>853</v>
      </c>
      <c r="D33" s="295">
        <v>4</v>
      </c>
      <c r="E33" s="295">
        <v>11</v>
      </c>
      <c r="F33" s="295">
        <v>14526</v>
      </c>
      <c r="G33" s="295">
        <v>9381.07</v>
      </c>
      <c r="H33" s="296">
        <f t="shared" si="2"/>
      </c>
      <c r="I33" s="296">
        <f t="shared" si="3"/>
      </c>
      <c r="J33" s="296">
        <f t="shared" si="4"/>
      </c>
      <c r="K33" s="295">
        <v>1</v>
      </c>
      <c r="L33" s="295">
        <v>360</v>
      </c>
      <c r="M33" s="298"/>
      <c r="N33" s="298"/>
      <c r="P33" s="295"/>
    </row>
    <row r="34">
      <c r="A34" s="294" t="s">
        <v>850</v>
      </c>
      <c r="B34" s="297" t="s">
        <v>827</v>
      </c>
      <c r="C34" s="295" t="s">
        <v>854</v>
      </c>
      <c r="D34" s="295">
        <v>4</v>
      </c>
      <c r="E34" s="295">
        <v>13</v>
      </c>
      <c r="F34" s="295">
        <v>20784.000000000004</v>
      </c>
      <c r="G34" s="295">
        <v>6313.99</v>
      </c>
      <c r="H34" s="296">
        <f t="shared" si="2"/>
      </c>
      <c r="I34" s="296">
        <f t="shared" si="3"/>
      </c>
      <c r="J34" s="296">
        <f t="shared" si="4"/>
      </c>
      <c r="K34" s="295">
        <v>2</v>
      </c>
      <c r="L34" s="295">
        <v>2448</v>
      </c>
      <c r="M34" s="295"/>
      <c r="N34" s="295"/>
      <c r="O34" s="298"/>
      <c r="P34" s="298"/>
    </row>
    <row r="35">
      <c r="A35" s="294" t="s">
        <v>850</v>
      </c>
      <c r="B35" s="297" t="s">
        <v>848</v>
      </c>
      <c r="C35" s="295" t="s">
        <v>836</v>
      </c>
      <c r="D35" s="295">
        <v>4</v>
      </c>
      <c r="E35" s="295">
        <v>14</v>
      </c>
      <c r="F35" s="295">
        <v>13552.199999999997</v>
      </c>
      <c r="G35" s="295">
        <v>7219.38</v>
      </c>
      <c r="H35" s="296">
        <f t="shared" si="2"/>
      </c>
      <c r="I35" s="296">
        <f t="shared" si="3"/>
      </c>
      <c r="J35" s="296">
        <f t="shared" si="4"/>
      </c>
      <c r="K35" s="295">
        <v>2</v>
      </c>
      <c r="L35" s="295">
        <v>3384</v>
      </c>
      <c r="M35" s="295" t="s">
        <v>837</v>
      </c>
      <c r="N35" s="295">
        <v>10</v>
      </c>
      <c r="O35" s="295" t="s">
        <v>838</v>
      </c>
      <c r="P35" s="295">
        <v>8</v>
      </c>
    </row>
    <row r="36">
      <c r="A36" s="299" t="s">
        <v>850</v>
      </c>
      <c r="B36" s="300"/>
      <c r="C36" s="300"/>
      <c r="D36" s="301">
        <f>SUM(D32:D35)</f>
      </c>
      <c r="E36" s="301">
        <f>SUM(E32:E35)</f>
      </c>
      <c r="F36" s="301">
        <f>SUM(F32:F35)</f>
      </c>
      <c r="G36" s="301">
        <f>SUM(G32:G35)</f>
      </c>
      <c r="H36" s="302">
        <f t="shared" si="2"/>
      </c>
      <c r="I36" s="302">
        <f t="shared" si="3"/>
      </c>
      <c r="J36" s="302">
        <f t="shared" si="4"/>
      </c>
      <c r="K36" s="301">
        <f>SUM(K32:K35)</f>
      </c>
      <c r="L36" s="301">
        <f>SUM(L32:L35)</f>
      </c>
      <c r="M36" s="300"/>
      <c r="N36" s="301">
        <f>SUM(N32:N35)</f>
      </c>
      <c r="O36" s="300"/>
      <c r="P36" s="303">
        <f>SUM(P32:P35)</f>
      </c>
    </row>
    <row r="37">
      <c r="A37" s="294" t="s">
        <v>855</v>
      </c>
      <c r="B37" s="295" t="s">
        <v>831</v>
      </c>
      <c r="C37" s="295" t="s">
        <v>846</v>
      </c>
      <c r="D37" s="295">
        <v>4</v>
      </c>
      <c r="E37" s="295">
        <v>15</v>
      </c>
      <c r="F37" s="295">
        <v>13960.8</v>
      </c>
      <c r="G37" s="295">
        <v>10551.21</v>
      </c>
      <c r="H37" s="296">
        <f t="shared" si="2"/>
      </c>
      <c r="I37" s="296">
        <f t="shared" si="3"/>
      </c>
      <c r="J37" s="296">
        <f t="shared" si="4"/>
      </c>
      <c r="K37" s="295">
        <v>10</v>
      </c>
      <c r="L37" s="295">
        <v>10012.8</v>
      </c>
      <c r="M37" s="295" t="s">
        <v>829</v>
      </c>
      <c r="N37" s="295">
        <v>8</v>
      </c>
      <c r="O37" s="295" t="s">
        <v>830</v>
      </c>
      <c r="P37" s="295">
        <v>8</v>
      </c>
    </row>
    <row r="38">
      <c r="A38" s="294" t="s">
        <v>855</v>
      </c>
      <c r="B38" s="297" t="s">
        <v>841</v>
      </c>
      <c r="C38" s="295" t="s">
        <v>853</v>
      </c>
      <c r="D38" s="295">
        <v>4</v>
      </c>
      <c r="E38" s="295">
        <v>22</v>
      </c>
      <c r="F38" s="295">
        <v>33156</v>
      </c>
      <c r="G38" s="295">
        <v>13792.169999999998</v>
      </c>
      <c r="H38" s="296">
        <f t="shared" si="2"/>
      </c>
      <c r="I38" s="296">
        <f t="shared" si="3"/>
      </c>
      <c r="J38" s="296">
        <f t="shared" si="4"/>
      </c>
      <c r="K38" s="295">
        <v>1</v>
      </c>
      <c r="L38" s="295">
        <v>2088</v>
      </c>
      <c r="M38" s="298"/>
      <c r="N38" s="298"/>
      <c r="P38" s="295"/>
    </row>
    <row r="39">
      <c r="A39" s="294" t="s">
        <v>855</v>
      </c>
      <c r="B39" s="297" t="s">
        <v>833</v>
      </c>
      <c r="C39" s="295" t="s">
        <v>856</v>
      </c>
      <c r="D39" s="295">
        <v>3</v>
      </c>
      <c r="E39" s="295">
        <v>21</v>
      </c>
      <c r="F39" s="295">
        <v>20066.399999999994</v>
      </c>
      <c r="G39" s="295">
        <v>16014.330000000002</v>
      </c>
      <c r="H39" s="296">
        <f t="shared" si="2"/>
      </c>
      <c r="I39" s="296">
        <f t="shared" si="3"/>
      </c>
      <c r="J39" s="296">
        <f t="shared" si="4"/>
      </c>
      <c r="K39" s="295">
        <v>4</v>
      </c>
      <c r="L39" s="295">
        <v>1632</v>
      </c>
      <c r="M39" s="295"/>
      <c r="N39" s="295"/>
      <c r="O39" s="298"/>
      <c r="P39" s="298"/>
    </row>
    <row r="40">
      <c r="A40" s="294" t="s">
        <v>855</v>
      </c>
      <c r="B40" s="297" t="s">
        <v>827</v>
      </c>
      <c r="C40" s="295" t="s">
        <v>857</v>
      </c>
      <c r="D40" s="295">
        <v>5</v>
      </c>
      <c r="E40" s="295">
        <v>30</v>
      </c>
      <c r="F40" s="295">
        <v>47163.600000000006</v>
      </c>
      <c r="G40" s="295">
        <v>20553.969999999998</v>
      </c>
      <c r="H40" s="296">
        <f t="shared" si="2"/>
      </c>
      <c r="I40" s="296">
        <f t="shared" si="3"/>
      </c>
      <c r="J40" s="296">
        <f t="shared" si="4"/>
      </c>
      <c r="K40" s="295">
        <v>5</v>
      </c>
      <c r="L40" s="295">
        <v>5856</v>
      </c>
      <c r="M40" s="295" t="s">
        <v>837</v>
      </c>
      <c r="N40" s="295">
        <v>8</v>
      </c>
      <c r="O40" s="295" t="s">
        <v>838</v>
      </c>
      <c r="P40" s="295">
        <v>8</v>
      </c>
    </row>
    <row r="41">
      <c r="A41" s="299" t="s">
        <v>855</v>
      </c>
      <c r="B41" s="300"/>
      <c r="C41" s="300"/>
      <c r="D41" s="301">
        <f>SUM(D37:D40)</f>
      </c>
      <c r="E41" s="301">
        <f>SUM(E37:E40)</f>
      </c>
      <c r="F41" s="301">
        <f>SUM(F37:F40)</f>
      </c>
      <c r="G41" s="301">
        <f>SUM(G37:G40)</f>
      </c>
      <c r="H41" s="302">
        <f t="shared" si="2"/>
      </c>
      <c r="I41" s="302">
        <f t="shared" si="3"/>
      </c>
      <c r="J41" s="302">
        <f t="shared" si="4"/>
      </c>
      <c r="K41" s="301">
        <f>SUM(K37:K40)</f>
      </c>
      <c r="L41" s="301">
        <f>SUM(L37:L40)</f>
      </c>
      <c r="M41" s="300"/>
      <c r="N41" s="301">
        <f>SUM(N37:N40)</f>
      </c>
      <c r="O41" s="300"/>
      <c r="P41" s="303">
        <f>SUM(P37:P40)</f>
      </c>
    </row>
    <row r="42">
      <c r="A42" s="294" t="s">
        <v>858</v>
      </c>
      <c r="B42" s="295" t="s">
        <v>841</v>
      </c>
      <c r="C42" s="295" t="s">
        <v>846</v>
      </c>
      <c r="D42" s="295">
        <v>4</v>
      </c>
      <c r="E42" s="295">
        <v>21</v>
      </c>
      <c r="F42" s="295">
        <v>24074.4</v>
      </c>
      <c r="G42" s="295">
        <v>19127.440000000002</v>
      </c>
      <c r="H42" s="296">
        <f t="shared" si="2"/>
      </c>
      <c r="I42" s="296">
        <f t="shared" si="3"/>
      </c>
      <c r="J42" s="296">
        <f t="shared" si="4"/>
      </c>
      <c r="K42" s="295">
        <v>5</v>
      </c>
      <c r="L42" s="295">
        <v>6828</v>
      </c>
      <c r="M42" s="295" t="s">
        <v>829</v>
      </c>
      <c r="N42" s="295">
        <v>8</v>
      </c>
      <c r="O42" s="295" t="s">
        <v>830</v>
      </c>
      <c r="P42" s="295">
        <v>8</v>
      </c>
    </row>
    <row r="43">
      <c r="A43" s="294" t="s">
        <v>858</v>
      </c>
      <c r="B43" s="297" t="s">
        <v>831</v>
      </c>
      <c r="C43" s="295" t="s">
        <v>853</v>
      </c>
      <c r="D43" s="295">
        <v>4</v>
      </c>
      <c r="E43" s="295">
        <v>12</v>
      </c>
      <c r="F43" s="295">
        <v>15118.8</v>
      </c>
      <c r="G43" s="295">
        <v>13224.310000000001</v>
      </c>
      <c r="H43" s="296">
        <f t="shared" si="2"/>
      </c>
      <c r="I43" s="296">
        <f t="shared" si="3"/>
      </c>
      <c r="J43" s="296">
        <f t="shared" si="4"/>
      </c>
      <c r="K43" s="295">
        <v>3</v>
      </c>
      <c r="L43" s="295">
        <v>3264</v>
      </c>
      <c r="M43" s="298"/>
      <c r="N43" s="298"/>
      <c r="P43" s="295"/>
    </row>
    <row r="44">
      <c r="A44" s="294" t="s">
        <v>858</v>
      </c>
      <c r="B44" s="297" t="s">
        <v>827</v>
      </c>
      <c r="C44" s="295" t="s">
        <v>854</v>
      </c>
      <c r="D44" s="295">
        <v>4</v>
      </c>
      <c r="E44" s="295">
        <v>14</v>
      </c>
      <c r="F44" s="295">
        <v>16922.4</v>
      </c>
      <c r="G44" s="295">
        <v>17675.41</v>
      </c>
      <c r="H44" s="296">
        <f t="shared" si="2"/>
      </c>
      <c r="I44" s="296">
        <f t="shared" si="3"/>
      </c>
      <c r="J44" s="296">
        <f t="shared" si="4"/>
      </c>
      <c r="K44" s="295">
        <v>3</v>
      </c>
      <c r="L44" s="295">
        <v>1774.7999999999993</v>
      </c>
      <c r="M44" s="295"/>
      <c r="N44" s="295"/>
      <c r="O44" s="298"/>
      <c r="P44" s="298"/>
    </row>
    <row r="45">
      <c r="A45" s="294" t="s">
        <v>858</v>
      </c>
      <c r="B45" s="297" t="s">
        <v>833</v>
      </c>
      <c r="C45" s="295" t="s">
        <v>836</v>
      </c>
      <c r="D45" s="295">
        <v>4</v>
      </c>
      <c r="E45" s="295">
        <v>15</v>
      </c>
      <c r="F45" s="295">
        <v>17052</v>
      </c>
      <c r="G45" s="295">
        <v>9874.5</v>
      </c>
      <c r="H45" s="296">
        <f t="shared" si="2"/>
      </c>
      <c r="I45" s="296">
        <f t="shared" si="3"/>
      </c>
      <c r="J45" s="296">
        <f t="shared" si="4"/>
      </c>
      <c r="K45" s="295">
        <v>0</v>
      </c>
      <c r="L45" s="295">
        <v>0</v>
      </c>
      <c r="M45" s="295" t="s">
        <v>837</v>
      </c>
      <c r="N45" s="295">
        <v>8</v>
      </c>
      <c r="O45" s="295" t="s">
        <v>838</v>
      </c>
      <c r="P45" s="295">
        <v>8</v>
      </c>
    </row>
    <row r="46">
      <c r="A46" s="299" t="s">
        <v>858</v>
      </c>
      <c r="B46" s="300"/>
      <c r="C46" s="300"/>
      <c r="D46" s="301">
        <f>SUM(D42:D45)</f>
      </c>
      <c r="E46" s="301">
        <f>SUM(E42:E45)</f>
      </c>
      <c r="F46" s="301">
        <f>SUM(F42:F45)</f>
      </c>
      <c r="G46" s="301">
        <f>SUM(G42:G45)</f>
      </c>
      <c r="H46" s="302">
        <f t="shared" si="2"/>
      </c>
      <c r="I46" s="302">
        <f t="shared" si="3"/>
      </c>
      <c r="J46" s="302">
        <f t="shared" si="4"/>
      </c>
      <c r="K46" s="301">
        <f>SUM(K42:K45)</f>
      </c>
      <c r="L46" s="301">
        <f>SUM(L42:L45)</f>
      </c>
      <c r="M46" s="300"/>
      <c r="N46" s="301">
        <f>SUM(N42:N45)</f>
      </c>
      <c r="O46" s="300"/>
      <c r="P46" s="303">
        <f>SUM(P42:P45)</f>
      </c>
    </row>
    <row r="47">
      <c r="A47" s="294" t="s">
        <v>859</v>
      </c>
      <c r="B47" s="298" t="s">
        <v>841</v>
      </c>
      <c r="C47" s="298" t="s">
        <v>846</v>
      </c>
      <c r="D47" s="298">
        <v>4</v>
      </c>
      <c r="E47" s="295">
        <v>18</v>
      </c>
      <c r="F47" s="295">
        <v>20227.8</v>
      </c>
      <c r="G47" s="295">
        <v>17477.93</v>
      </c>
      <c r="H47" s="296">
        <f t="shared" si="2"/>
      </c>
      <c r="I47" s="296">
        <f t="shared" si="3"/>
      </c>
      <c r="J47" s="296">
        <f t="shared" si="4"/>
      </c>
      <c r="K47" s="295">
        <v>1</v>
      </c>
      <c r="L47" s="298">
        <v>396</v>
      </c>
      <c r="M47" s="298" t="s">
        <v>829</v>
      </c>
      <c r="N47" s="298">
        <v>8</v>
      </c>
      <c r="O47" s="298" t="s">
        <v>830</v>
      </c>
      <c r="P47" s="298">
        <v>8</v>
      </c>
    </row>
    <row r="48">
      <c r="A48" s="294" t="s">
        <v>859</v>
      </c>
      <c r="B48" s="297" t="s">
        <v>827</v>
      </c>
      <c r="C48" s="298" t="s">
        <v>853</v>
      </c>
      <c r="D48" s="298">
        <v>4</v>
      </c>
      <c r="E48" s="295">
        <v>23</v>
      </c>
      <c r="F48" s="298">
        <v>27371.4</v>
      </c>
      <c r="G48" s="298">
        <v>15980.44</v>
      </c>
      <c r="H48" s="296">
        <f t="shared" si="2"/>
      </c>
      <c r="I48" s="296">
        <f t="shared" si="3"/>
      </c>
      <c r="J48" s="296">
        <f t="shared" si="4"/>
      </c>
      <c r="K48" s="295">
        <v>7</v>
      </c>
      <c r="L48" s="298">
        <v>11784</v>
      </c>
      <c r="M48" s="298"/>
      <c r="N48" s="298"/>
      <c r="O48" s="305"/>
      <c r="P48" s="298"/>
    </row>
    <row r="49">
      <c r="A49" s="294" t="s">
        <v>859</v>
      </c>
      <c r="B49" s="297" t="s">
        <v>833</v>
      </c>
      <c r="C49" s="298" t="s">
        <v>854</v>
      </c>
      <c r="D49" s="298">
        <v>4</v>
      </c>
      <c r="E49" s="295">
        <v>21</v>
      </c>
      <c r="F49" s="298">
        <v>27996</v>
      </c>
      <c r="G49" s="298">
        <v>20778.52</v>
      </c>
      <c r="H49" s="296">
        <f t="shared" si="2"/>
      </c>
      <c r="I49" s="296">
        <f t="shared" si="3"/>
      </c>
      <c r="J49" s="296">
        <f t="shared" si="4"/>
      </c>
      <c r="K49" s="295">
        <v>6</v>
      </c>
      <c r="L49" s="298">
        <v>7212</v>
      </c>
      <c r="M49" s="298"/>
      <c r="N49" s="298"/>
      <c r="O49" s="298"/>
      <c r="P49" s="298"/>
    </row>
    <row r="50">
      <c r="A50" s="294" t="s">
        <v>859</v>
      </c>
      <c r="B50" s="297" t="s">
        <v>831</v>
      </c>
      <c r="C50" s="298" t="s">
        <v>836</v>
      </c>
      <c r="D50" s="298">
        <v>4</v>
      </c>
      <c r="E50" s="295">
        <v>27</v>
      </c>
      <c r="F50" s="298">
        <v>33355.2</v>
      </c>
      <c r="G50" s="298">
        <v>22346.600000000002</v>
      </c>
      <c r="H50" s="296">
        <f t="shared" si="2"/>
      </c>
      <c r="I50" s="296">
        <f t="shared" si="3"/>
      </c>
      <c r="J50" s="296">
        <f t="shared" si="4"/>
      </c>
      <c r="K50" s="295">
        <v>2</v>
      </c>
      <c r="L50" s="298">
        <v>1510.7999999999993</v>
      </c>
      <c r="M50" s="298" t="s">
        <v>837</v>
      </c>
      <c r="N50" s="298">
        <v>8</v>
      </c>
      <c r="O50" s="298" t="s">
        <v>838</v>
      </c>
      <c r="P50" s="298">
        <v>8</v>
      </c>
    </row>
    <row r="51">
      <c r="A51" s="306" t="s">
        <v>859</v>
      </c>
      <c r="B51" s="300"/>
      <c r="C51" s="300"/>
      <c r="D51" s="301">
        <f>SUM(D47:D50)</f>
      </c>
      <c r="E51" s="301">
        <f>SUM(E47:E50)</f>
      </c>
      <c r="F51" s="301">
        <f>SUM(F47:F50)</f>
      </c>
      <c r="G51" s="301">
        <f>SUM(G47:G50)</f>
      </c>
      <c r="H51" s="302">
        <f t="shared" si="2"/>
      </c>
      <c r="I51" s="302">
        <f t="shared" si="3"/>
      </c>
      <c r="J51" s="302">
        <f t="shared" si="4"/>
      </c>
      <c r="K51" s="301">
        <f>SUM(K47:K50)</f>
      </c>
      <c r="L51" s="301">
        <f>SUM(L47:L50)</f>
      </c>
      <c r="M51" s="300"/>
      <c r="N51" s="301">
        <f>SUM(N47:N50)</f>
      </c>
      <c r="O51" s="300"/>
      <c r="P51" s="300">
        <f>SUM(P47:P50)</f>
      </c>
    </row>
    <row r="52">
      <c r="A52" s="294" t="s">
        <v>860</v>
      </c>
      <c r="B52" s="295" t="s">
        <v>827</v>
      </c>
      <c r="C52" s="298" t="s">
        <v>846</v>
      </c>
      <c r="D52" s="298">
        <v>4</v>
      </c>
      <c r="E52" s="295">
        <v>21</v>
      </c>
      <c r="F52" s="295">
        <v>25267.2</v>
      </c>
      <c r="G52" s="295">
        <v>17747.88</v>
      </c>
      <c r="H52" s="296">
        <f t="shared" si="2"/>
      </c>
      <c r="I52" s="296">
        <f t="shared" si="3"/>
      </c>
      <c r="J52" s="296">
        <f t="shared" si="4"/>
      </c>
      <c r="K52" s="295">
        <v>8</v>
      </c>
      <c r="L52" s="298">
        <v>5971.2</v>
      </c>
      <c r="M52" s="298" t="s">
        <v>829</v>
      </c>
      <c r="N52" s="298">
        <v>8</v>
      </c>
      <c r="O52" s="298" t="s">
        <v>830</v>
      </c>
      <c r="P52" s="298">
        <v>8</v>
      </c>
    </row>
    <row r="53">
      <c r="A53" s="294" t="s">
        <v>860</v>
      </c>
      <c r="B53" s="297" t="s">
        <v>833</v>
      </c>
      <c r="C53" s="298" t="s">
        <v>853</v>
      </c>
      <c r="D53" s="298">
        <v>4</v>
      </c>
      <c r="E53" s="295">
        <v>24</v>
      </c>
      <c r="F53" s="298">
        <v>27540</v>
      </c>
      <c r="G53" s="298">
        <v>22846.190000000002</v>
      </c>
      <c r="H53" s="296">
        <f t="shared" si="2"/>
      </c>
      <c r="I53" s="296">
        <f t="shared" si="3"/>
      </c>
      <c r="J53" s="296">
        <f t="shared" si="4"/>
      </c>
      <c r="K53" s="295">
        <v>9</v>
      </c>
      <c r="L53" s="298">
        <v>7692</v>
      </c>
      <c r="M53" s="298"/>
      <c r="N53" s="298"/>
      <c r="O53" s="305"/>
      <c r="P53" s="298"/>
    </row>
    <row r="54">
      <c r="A54" s="294" t="s">
        <v>860</v>
      </c>
      <c r="B54" s="297" t="s">
        <v>831</v>
      </c>
      <c r="C54" s="298" t="s">
        <v>854</v>
      </c>
      <c r="D54" s="298">
        <v>4</v>
      </c>
      <c r="E54" s="295">
        <v>25</v>
      </c>
      <c r="F54" s="298">
        <v>29298</v>
      </c>
      <c r="G54" s="298">
        <v>20111.989999999998</v>
      </c>
      <c r="H54" s="296">
        <f t="shared" si="2"/>
      </c>
      <c r="I54" s="296">
        <f t="shared" si="3"/>
      </c>
      <c r="J54" s="296">
        <f t="shared" si="4"/>
      </c>
      <c r="K54" s="295">
        <v>9</v>
      </c>
      <c r="L54" s="298">
        <v>10800</v>
      </c>
      <c r="M54" s="298"/>
      <c r="N54" s="298"/>
      <c r="O54" s="298"/>
      <c r="P54" s="298"/>
    </row>
    <row r="55">
      <c r="A55" s="294" t="s">
        <v>860</v>
      </c>
      <c r="B55" s="297" t="s">
        <v>841</v>
      </c>
      <c r="C55" s="298" t="s">
        <v>836</v>
      </c>
      <c r="D55" s="298">
        <v>4</v>
      </c>
      <c r="E55" s="295">
        <v>26</v>
      </c>
      <c r="F55" s="298">
        <v>31146</v>
      </c>
      <c r="G55" s="298">
        <v>18160.24</v>
      </c>
      <c r="H55" s="296">
        <f t="shared" si="2"/>
      </c>
      <c r="I55" s="296">
        <f t="shared" si="3"/>
      </c>
      <c r="J55" s="296">
        <f t="shared" si="4"/>
      </c>
      <c r="K55" s="295">
        <v>6</v>
      </c>
      <c r="L55" s="298">
        <v>4788</v>
      </c>
      <c r="M55" s="298" t="s">
        <v>837</v>
      </c>
      <c r="N55" s="298">
        <v>8</v>
      </c>
      <c r="O55" s="298" t="s">
        <v>838</v>
      </c>
      <c r="P55" s="298">
        <v>8</v>
      </c>
    </row>
    <row r="56">
      <c r="A56" s="306" t="s">
        <v>860</v>
      </c>
      <c r="B56" s="300"/>
      <c r="C56" s="300"/>
      <c r="D56" s="301">
        <f>SUM(D52:D55)</f>
      </c>
      <c r="E56" s="301">
        <f>SUM(E52:E55)</f>
      </c>
      <c r="F56" s="301">
        <f>SUM(F52:F55)</f>
      </c>
      <c r="G56" s="301">
        <f>SUM(G52:G55)</f>
      </c>
      <c r="H56" s="302">
        <f t="shared" si="2"/>
      </c>
      <c r="I56" s="302">
        <f t="shared" si="3"/>
      </c>
      <c r="J56" s="302">
        <f t="shared" si="4"/>
      </c>
      <c r="K56" s="301">
        <f>SUM(K52:K55)</f>
      </c>
      <c r="L56" s="301">
        <f>SUM(L52:L55)</f>
      </c>
      <c r="M56" s="300"/>
      <c r="N56" s="301">
        <f>SUM(N52:N55)</f>
      </c>
      <c r="O56" s="300"/>
      <c r="P56" s="300">
        <f>SUM(P52:P55)</f>
      </c>
    </row>
    <row r="57">
      <c r="A57" s="294" t="s">
        <v>861</v>
      </c>
      <c r="B57" s="295" t="s">
        <v>827</v>
      </c>
      <c r="C57" s="298" t="s">
        <v>846</v>
      </c>
      <c r="D57" s="298">
        <v>4</v>
      </c>
      <c r="E57" s="295">
        <v>35</v>
      </c>
      <c r="F57" s="295">
        <v>40878</v>
      </c>
      <c r="G57" s="295">
        <v>22587.719999999998</v>
      </c>
      <c r="H57" s="296">
        <f t="shared" si="2"/>
      </c>
      <c r="I57" s="296">
        <f t="shared" si="3"/>
      </c>
      <c r="J57" s="296">
        <f t="shared" si="4"/>
      </c>
      <c r="K57" s="295">
        <v>10</v>
      </c>
      <c r="L57" s="298">
        <v>10320</v>
      </c>
      <c r="M57" s="295" t="s">
        <v>862</v>
      </c>
      <c r="N57" s="298">
        <v>8</v>
      </c>
      <c r="O57" s="298" t="s">
        <v>830</v>
      </c>
      <c r="P57" s="298">
        <v>8</v>
      </c>
    </row>
    <row r="58">
      <c r="A58" s="294" t="s">
        <v>861</v>
      </c>
      <c r="B58" s="297" t="s">
        <v>833</v>
      </c>
      <c r="C58" s="298" t="s">
        <v>853</v>
      </c>
      <c r="D58" s="298">
        <v>4</v>
      </c>
      <c r="E58" s="295">
        <v>22</v>
      </c>
      <c r="F58" s="298">
        <v>33849.600000000006</v>
      </c>
      <c r="G58" s="298">
        <v>16243.66</v>
      </c>
      <c r="H58" s="296">
        <f t="shared" si="2"/>
      </c>
      <c r="I58" s="296">
        <f t="shared" si="3"/>
      </c>
      <c r="J58" s="296">
        <f t="shared" si="4"/>
      </c>
      <c r="K58" s="295">
        <v>4</v>
      </c>
      <c r="L58" s="298">
        <v>5508</v>
      </c>
      <c r="M58" s="298"/>
      <c r="N58" s="298"/>
      <c r="O58" s="305"/>
      <c r="P58" s="298"/>
    </row>
    <row r="59">
      <c r="A59" s="294" t="s">
        <v>861</v>
      </c>
      <c r="B59" s="297" t="s">
        <v>831</v>
      </c>
      <c r="C59" s="298" t="s">
        <v>854</v>
      </c>
      <c r="D59" s="298">
        <v>4</v>
      </c>
      <c r="E59" s="295">
        <v>20</v>
      </c>
      <c r="F59" s="298">
        <v>30144</v>
      </c>
      <c r="G59" s="298">
        <v>12689.810000000001</v>
      </c>
      <c r="H59" s="296">
        <f t="shared" si="2"/>
      </c>
      <c r="I59" s="296">
        <f t="shared" si="3"/>
      </c>
      <c r="J59" s="296">
        <f t="shared" si="4"/>
      </c>
      <c r="K59" s="295">
        <v>4</v>
      </c>
      <c r="L59" s="298">
        <v>6720</v>
      </c>
      <c r="M59" s="298"/>
      <c r="N59" s="298"/>
      <c r="O59" s="298"/>
      <c r="P59" s="298"/>
    </row>
    <row r="60">
      <c r="A60" s="294" t="s">
        <v>861</v>
      </c>
      <c r="B60" s="297" t="s">
        <v>841</v>
      </c>
      <c r="C60" s="295" t="s">
        <v>836</v>
      </c>
      <c r="D60" s="295">
        <v>4</v>
      </c>
      <c r="E60" s="295">
        <v>17</v>
      </c>
      <c r="F60" s="298">
        <v>19236</v>
      </c>
      <c r="G60" s="298">
        <v>19777.61</v>
      </c>
      <c r="H60" s="296">
        <f t="shared" si="2"/>
      </c>
      <c r="I60" s="296">
        <f t="shared" si="3"/>
      </c>
      <c r="J60" s="296">
        <f t="shared" si="4"/>
      </c>
      <c r="K60" s="295">
        <v>1</v>
      </c>
      <c r="L60" s="298">
        <v>396</v>
      </c>
      <c r="M60" s="298" t="s">
        <v>837</v>
      </c>
      <c r="N60" s="295">
        <v>8</v>
      </c>
      <c r="O60" s="298" t="s">
        <v>838</v>
      </c>
      <c r="P60" s="298">
        <v>8</v>
      </c>
    </row>
    <row r="61">
      <c r="A61" s="306" t="s">
        <v>861</v>
      </c>
      <c r="B61" s="300"/>
      <c r="C61" s="300"/>
      <c r="D61" s="301">
        <f>SUM(D57:D60)</f>
      </c>
      <c r="E61" s="301">
        <f>SUM(E57:E60)</f>
      </c>
      <c r="F61" s="301">
        <f>SUM(F57:F60)</f>
      </c>
      <c r="G61" s="301">
        <f>SUM(G57:G60)</f>
      </c>
      <c r="H61" s="302">
        <f t="shared" si="2"/>
      </c>
      <c r="I61" s="302">
        <f t="shared" si="3"/>
      </c>
      <c r="J61" s="302">
        <f t="shared" si="4"/>
      </c>
      <c r="K61" s="301">
        <f>SUM(K57:K60)</f>
      </c>
      <c r="L61" s="301">
        <f>SUM(L57:L60)</f>
      </c>
      <c r="M61" s="300"/>
      <c r="N61" s="301">
        <f>SUM(N57:N60)</f>
      </c>
      <c r="O61" s="300"/>
      <c r="P61" s="300">
        <f>SUM(P57:P60)</f>
      </c>
    </row>
    <row r="62">
      <c r="A62" s="294" t="s">
        <v>863</v>
      </c>
      <c r="B62" s="295" t="s">
        <v>827</v>
      </c>
      <c r="C62" s="298" t="s">
        <v>846</v>
      </c>
      <c r="D62" s="298">
        <v>4</v>
      </c>
      <c r="E62" s="295">
        <v>16</v>
      </c>
      <c r="F62" s="295">
        <v>23400</v>
      </c>
      <c r="G62" s="295">
        <v>18058.81</v>
      </c>
      <c r="H62" s="296">
        <f t="shared" si="2"/>
      </c>
      <c r="I62" s="296">
        <f t="shared" si="3"/>
      </c>
      <c r="J62" s="296">
        <f t="shared" si="4"/>
      </c>
      <c r="K62" s="295">
        <v>3</v>
      </c>
      <c r="L62" s="298">
        <v>4680</v>
      </c>
      <c r="M62" s="295" t="s">
        <v>829</v>
      </c>
      <c r="N62" s="298">
        <v>8</v>
      </c>
      <c r="O62" s="298" t="s">
        <v>830</v>
      </c>
      <c r="P62" s="298">
        <v>8</v>
      </c>
    </row>
    <row r="63">
      <c r="A63" s="294" t="s">
        <v>863</v>
      </c>
      <c r="B63" s="297" t="s">
        <v>841</v>
      </c>
      <c r="C63" s="298" t="s">
        <v>853</v>
      </c>
      <c r="D63" s="298">
        <v>4</v>
      </c>
      <c r="E63" s="295">
        <v>18</v>
      </c>
      <c r="F63" s="298">
        <v>25146</v>
      </c>
      <c r="G63" s="298">
        <v>12458.960000000001</v>
      </c>
      <c r="H63" s="296">
        <f t="shared" si="2"/>
      </c>
      <c r="I63" s="296">
        <f t="shared" si="3"/>
      </c>
      <c r="J63" s="296">
        <f t="shared" si="4"/>
      </c>
      <c r="K63" s="295">
        <v>5</v>
      </c>
      <c r="L63" s="298">
        <v>7956</v>
      </c>
      <c r="M63" s="298"/>
      <c r="N63" s="298"/>
      <c r="O63" s="305"/>
      <c r="P63" s="298"/>
    </row>
    <row r="64">
      <c r="A64" s="294" t="s">
        <v>863</v>
      </c>
      <c r="B64" s="297" t="s">
        <v>833</v>
      </c>
      <c r="C64" s="298" t="s">
        <v>854</v>
      </c>
      <c r="D64" s="298">
        <v>4</v>
      </c>
      <c r="E64" s="295">
        <v>14</v>
      </c>
      <c r="F64" s="298">
        <v>16848</v>
      </c>
      <c r="G64" s="298">
        <v>8321.84</v>
      </c>
      <c r="H64" s="296">
        <f t="shared" si="2"/>
      </c>
      <c r="I64" s="296">
        <f t="shared" si="3"/>
      </c>
      <c r="J64" s="296">
        <f t="shared" si="4"/>
      </c>
      <c r="K64" s="295">
        <v>3</v>
      </c>
      <c r="L64" s="298">
        <v>3432</v>
      </c>
      <c r="M64" s="298"/>
      <c r="N64" s="298"/>
      <c r="O64" s="298"/>
      <c r="P64" s="298"/>
    </row>
    <row r="65">
      <c r="A65" s="294" t="s">
        <v>863</v>
      </c>
      <c r="B65" s="297" t="s">
        <v>831</v>
      </c>
      <c r="C65" s="295" t="s">
        <v>836</v>
      </c>
      <c r="D65" s="295">
        <v>4</v>
      </c>
      <c r="E65" s="295">
        <v>10</v>
      </c>
      <c r="F65" s="298">
        <v>10716</v>
      </c>
      <c r="G65" s="298">
        <v>11150.4</v>
      </c>
      <c r="H65" s="296">
        <f t="shared" si="2"/>
      </c>
      <c r="I65" s="296">
        <f t="shared" si="3"/>
      </c>
      <c r="J65" s="296">
        <f t="shared" si="4"/>
      </c>
      <c r="K65" s="295">
        <v>0</v>
      </c>
      <c r="L65" s="298">
        <v>0</v>
      </c>
      <c r="M65" s="298" t="s">
        <v>837</v>
      </c>
      <c r="N65" s="295">
        <v>8</v>
      </c>
      <c r="O65" s="298" t="s">
        <v>838</v>
      </c>
      <c r="P65" s="298">
        <v>8</v>
      </c>
    </row>
    <row r="66">
      <c r="A66" s="306" t="s">
        <v>863</v>
      </c>
      <c r="B66" s="300"/>
      <c r="C66" s="300"/>
      <c r="D66" s="301">
        <f>SUM(D62:D65)</f>
      </c>
      <c r="E66" s="301">
        <f>SUM(E62:E65)</f>
      </c>
      <c r="F66" s="301">
        <f>SUM(F62:F65)</f>
      </c>
      <c r="G66" s="301">
        <f>SUM(G62:G65)</f>
      </c>
      <c r="H66" s="302">
        <f t="shared" si="2"/>
      </c>
      <c r="I66" s="302">
        <f t="shared" si="3"/>
      </c>
      <c r="J66" s="302">
        <f t="shared" si="4"/>
      </c>
      <c r="K66" s="301">
        <f>SUM(K62:K65)</f>
      </c>
      <c r="L66" s="301">
        <f>SUM(L62:L65)</f>
      </c>
      <c r="M66" s="300"/>
      <c r="N66" s="301">
        <f>SUM(N62:N65)</f>
      </c>
      <c r="O66" s="300"/>
      <c r="P66" s="300">
        <f>SUM(P62:P65)</f>
      </c>
    </row>
    <row r="67">
      <c r="A67" s="294" t="s">
        <v>864</v>
      </c>
      <c r="B67" s="295" t="s">
        <v>827</v>
      </c>
      <c r="C67" s="298" t="s">
        <v>846</v>
      </c>
      <c r="D67" s="298">
        <v>4</v>
      </c>
      <c r="E67" s="295">
        <v>28</v>
      </c>
      <c r="F67" s="295">
        <v>32751.6</v>
      </c>
      <c r="G67" s="298">
        <v>25713.32</v>
      </c>
      <c r="H67" s="296">
        <f t="shared" si="2"/>
      </c>
      <c r="I67" s="296">
        <f t="shared" si="3"/>
      </c>
      <c r="J67" s="296">
        <f t="shared" si="4"/>
      </c>
      <c r="K67" s="295">
        <v>6</v>
      </c>
      <c r="L67" s="298">
        <v>4380</v>
      </c>
      <c r="M67" s="295" t="s">
        <v>829</v>
      </c>
      <c r="N67" s="298">
        <v>8</v>
      </c>
      <c r="O67" s="298" t="s">
        <v>830</v>
      </c>
      <c r="P67" s="298">
        <v>8</v>
      </c>
    </row>
    <row r="68">
      <c r="A68" s="294" t="s">
        <v>864</v>
      </c>
      <c r="B68" s="297" t="s">
        <v>833</v>
      </c>
      <c r="C68" s="298" t="s">
        <v>853</v>
      </c>
      <c r="D68" s="298">
        <v>4</v>
      </c>
      <c r="E68" s="295">
        <v>12</v>
      </c>
      <c r="F68" s="298">
        <v>12780</v>
      </c>
      <c r="G68" s="298">
        <v>13624.45</v>
      </c>
      <c r="H68" s="296">
        <f t="shared" si="2"/>
      </c>
      <c r="I68" s="296">
        <f t="shared" si="3"/>
      </c>
      <c r="J68" s="296">
        <f>G67/E68</f>
      </c>
      <c r="K68" s="295">
        <v>5</v>
      </c>
      <c r="L68" s="298">
        <v>4116</v>
      </c>
      <c r="M68" s="298"/>
      <c r="N68" s="298"/>
      <c r="O68" s="305"/>
      <c r="P68" s="298"/>
    </row>
    <row r="69">
      <c r="A69" s="294" t="s">
        <v>864</v>
      </c>
      <c r="B69" s="297" t="s">
        <v>831</v>
      </c>
      <c r="C69" s="295" t="s">
        <v>865</v>
      </c>
      <c r="D69" s="298">
        <v>4</v>
      </c>
      <c r="E69" s="295">
        <v>14</v>
      </c>
      <c r="F69" s="298">
        <v>20088.000000000007</v>
      </c>
      <c r="G69" s="298">
        <v>12161.61</v>
      </c>
      <c r="H69" s="296">
        <f t="shared" si="2"/>
      </c>
      <c r="I69" s="296">
        <f t="shared" si="3"/>
      </c>
      <c r="J69" s="296">
        <f t="shared" ref="J69:J72" si="5">G69/E69</f>
      </c>
      <c r="K69" s="295">
        <v>5</v>
      </c>
      <c r="L69" s="298">
        <v>4668</v>
      </c>
      <c r="M69" s="298"/>
      <c r="N69" s="298"/>
      <c r="O69" s="298"/>
      <c r="P69" s="298"/>
    </row>
    <row r="70">
      <c r="A70" s="294" t="s">
        <v>864</v>
      </c>
      <c r="B70" s="297" t="s">
        <v>841</v>
      </c>
      <c r="C70" s="295" t="s">
        <v>866</v>
      </c>
      <c r="D70" s="295">
        <v>4</v>
      </c>
      <c r="E70" s="295">
        <v>13</v>
      </c>
      <c r="F70" s="298">
        <v>19032</v>
      </c>
      <c r="G70" s="298">
        <v>9832.29</v>
      </c>
      <c r="H70" s="296">
        <f t="shared" si="2"/>
      </c>
      <c r="I70" s="296">
        <f t="shared" si="3"/>
      </c>
      <c r="J70" s="296">
        <f t="shared" si="5"/>
      </c>
      <c r="K70" s="295">
        <v>3</v>
      </c>
      <c r="L70" s="298">
        <v>2712</v>
      </c>
      <c r="M70" s="298" t="s">
        <v>837</v>
      </c>
      <c r="N70" s="295">
        <v>8</v>
      </c>
      <c r="O70" s="298" t="s">
        <v>838</v>
      </c>
      <c r="P70" s="298">
        <v>8</v>
      </c>
    </row>
    <row r="71">
      <c r="A71" s="306" t="s">
        <v>864</v>
      </c>
      <c r="B71" s="300"/>
      <c r="C71" s="300"/>
      <c r="D71" s="301">
        <f>SUM(D67:D70)</f>
      </c>
      <c r="E71" s="301">
        <f>SUM(E67:E70)</f>
      </c>
      <c r="F71" s="301">
        <f>SUM(F67:F70)</f>
      </c>
      <c r="G71" s="301">
        <f>SUM(G67:G70)</f>
      </c>
      <c r="H71" s="302">
        <f t="shared" si="2"/>
      </c>
      <c r="I71" s="302">
        <f t="shared" si="3"/>
      </c>
      <c r="J71" s="302">
        <f t="shared" si="5"/>
      </c>
      <c r="K71" s="301">
        <f>SUM(K67:K70)</f>
      </c>
      <c r="L71" s="301">
        <f>SUM(L67:L70)</f>
      </c>
      <c r="M71" s="300"/>
      <c r="N71" s="301">
        <f>SUM(N67:N70)</f>
      </c>
      <c r="O71" s="300"/>
      <c r="P71" s="300">
        <f>SUM(P67:P70)</f>
      </c>
    </row>
    <row r="72">
      <c r="A72" s="294" t="s">
        <v>867</v>
      </c>
      <c r="B72" s="297" t="s">
        <v>831</v>
      </c>
      <c r="C72" s="298" t="s">
        <v>846</v>
      </c>
      <c r="D72" s="298">
        <v>4</v>
      </c>
      <c r="E72" s="295">
        <v>25</v>
      </c>
      <c r="F72" s="295">
        <v>25524</v>
      </c>
      <c r="G72" s="298">
        <v>21288.43</v>
      </c>
      <c r="H72" s="296">
        <f t="shared" si="2"/>
      </c>
      <c r="I72" s="296">
        <f t="shared" si="3"/>
      </c>
      <c r="J72" s="296">
        <f t="shared" si="5"/>
      </c>
      <c r="K72" s="295">
        <v>10</v>
      </c>
      <c r="L72" s="298">
        <v>11256</v>
      </c>
      <c r="M72" s="295" t="s">
        <v>829</v>
      </c>
      <c r="N72" s="298">
        <v>8</v>
      </c>
      <c r="O72" s="298" t="s">
        <v>830</v>
      </c>
      <c r="P72" s="298">
        <v>8</v>
      </c>
    </row>
    <row r="73">
      <c r="A73" s="294" t="s">
        <v>867</v>
      </c>
      <c r="B73" s="297" t="s">
        <v>833</v>
      </c>
      <c r="C73" s="298" t="s">
        <v>853</v>
      </c>
      <c r="D73" s="298">
        <v>4</v>
      </c>
      <c r="E73" s="295">
        <v>32</v>
      </c>
      <c r="F73" s="298">
        <v>40816.8</v>
      </c>
      <c r="G73" s="298">
        <v>24889.16</v>
      </c>
      <c r="H73" s="296">
        <f t="shared" si="2"/>
      </c>
      <c r="I73" s="296">
        <f t="shared" si="3"/>
      </c>
      <c r="J73" s="296">
        <f>G72/E73</f>
      </c>
      <c r="K73" s="295">
        <v>7</v>
      </c>
      <c r="L73" s="298">
        <v>8556</v>
      </c>
      <c r="M73" s="298"/>
      <c r="N73" s="298"/>
      <c r="O73" s="305"/>
      <c r="P73" s="298"/>
    </row>
    <row r="74">
      <c r="A74" s="294" t="s">
        <v>867</v>
      </c>
      <c r="B74" s="297" t="s">
        <v>841</v>
      </c>
      <c r="C74" s="298" t="s">
        <v>854</v>
      </c>
      <c r="D74" s="298">
        <v>4</v>
      </c>
      <c r="E74" s="295">
        <v>9</v>
      </c>
      <c r="F74" s="298">
        <v>10908</v>
      </c>
      <c r="G74" s="298">
        <v>12087.3</v>
      </c>
      <c r="H74" s="296">
        <f t="shared" si="2"/>
      </c>
      <c r="I74" s="296">
        <f t="shared" si="3"/>
      </c>
      <c r="J74" s="296">
        <f t="shared" ref="J74:J77" si="6">G74/E74</f>
      </c>
      <c r="K74" s="295">
        <v>3</v>
      </c>
      <c r="L74" s="298">
        <v>3396</v>
      </c>
      <c r="M74" s="298"/>
      <c r="N74" s="298"/>
      <c r="O74" s="298"/>
      <c r="P74" s="298"/>
    </row>
    <row r="75">
      <c r="A75" s="294" t="s">
        <v>867</v>
      </c>
      <c r="B75" s="297" t="s">
        <v>827</v>
      </c>
      <c r="C75" s="295" t="s">
        <v>836</v>
      </c>
      <c r="D75" s="295">
        <v>4</v>
      </c>
      <c r="E75" s="295">
        <v>8</v>
      </c>
      <c r="F75" s="298">
        <v>6522</v>
      </c>
      <c r="G75" s="298">
        <v>9276.49</v>
      </c>
      <c r="H75" s="296">
        <f t="shared" si="2"/>
      </c>
      <c r="I75" s="296">
        <f t="shared" si="3"/>
      </c>
      <c r="J75" s="296">
        <f t="shared" si="6"/>
      </c>
      <c r="K75" s="295">
        <v>0</v>
      </c>
      <c r="L75" s="298">
        <v>0</v>
      </c>
      <c r="M75" s="298" t="s">
        <v>837</v>
      </c>
      <c r="N75" s="295">
        <v>8</v>
      </c>
      <c r="O75" s="298" t="s">
        <v>838</v>
      </c>
      <c r="P75" s="298">
        <v>8</v>
      </c>
    </row>
    <row r="76">
      <c r="A76" s="306" t="s">
        <v>867</v>
      </c>
      <c r="B76" s="300"/>
      <c r="C76" s="300"/>
      <c r="D76" s="301">
        <f>SUM(D72:D75)</f>
      </c>
      <c r="E76" s="301">
        <f>SUM(E72:E75)</f>
      </c>
      <c r="F76" s="301">
        <f>SUM(F72:F75)</f>
      </c>
      <c r="G76" s="301">
        <f>SUM(G72:G75)</f>
      </c>
      <c r="H76" s="302">
        <f t="shared" si="2"/>
      </c>
      <c r="I76" s="302">
        <f t="shared" si="3"/>
      </c>
      <c r="J76" s="302">
        <f t="shared" si="6"/>
      </c>
      <c r="K76" s="301">
        <f>SUM(K72:K75)</f>
      </c>
      <c r="L76" s="301">
        <f>SUM(L72:L75)</f>
      </c>
      <c r="M76" s="300"/>
      <c r="N76" s="301">
        <f>SUM(N72:N75)</f>
      </c>
      <c r="O76" s="300"/>
      <c r="P76" s="300">
        <f>SUM(P72:P75)</f>
      </c>
    </row>
    <row r="77">
      <c r="A77" s="294" t="s">
        <v>868</v>
      </c>
      <c r="B77" s="297" t="s">
        <v>831</v>
      </c>
      <c r="C77" s="298" t="s">
        <v>846</v>
      </c>
      <c r="D77" s="298">
        <v>4</v>
      </c>
      <c r="E77" s="295">
        <v>19</v>
      </c>
      <c r="F77" s="295">
        <v>29889.2</v>
      </c>
      <c r="G77" s="298">
        <v>12605.660000000002</v>
      </c>
      <c r="H77" s="296">
        <f t="shared" si="2"/>
      </c>
      <c r="I77" s="296">
        <f t="shared" si="3"/>
      </c>
      <c r="J77" s="296">
        <f t="shared" si="6"/>
      </c>
      <c r="K77" s="295">
        <v>3</v>
      </c>
      <c r="L77" s="298">
        <v>3744</v>
      </c>
      <c r="M77" s="295" t="s">
        <v>843</v>
      </c>
      <c r="N77" s="298">
        <v>8</v>
      </c>
      <c r="O77" s="298" t="s">
        <v>830</v>
      </c>
      <c r="P77" s="298">
        <v>8</v>
      </c>
    </row>
    <row r="78">
      <c r="A78" s="294" t="s">
        <v>868</v>
      </c>
      <c r="B78" s="297" t="s">
        <v>833</v>
      </c>
      <c r="C78" s="298" t="s">
        <v>853</v>
      </c>
      <c r="D78" s="298">
        <v>4</v>
      </c>
      <c r="E78" s="295">
        <v>12</v>
      </c>
      <c r="F78" s="298">
        <v>14759.999999999996</v>
      </c>
      <c r="G78" s="298">
        <v>13258.93</v>
      </c>
      <c r="H78" s="296">
        <f t="shared" si="2"/>
      </c>
      <c r="I78" s="296">
        <f t="shared" si="3"/>
      </c>
      <c r="J78" s="296">
        <f>G77/E78</f>
      </c>
      <c r="K78" s="295">
        <v>1</v>
      </c>
      <c r="L78" s="298">
        <v>1692</v>
      </c>
      <c r="M78" s="298"/>
      <c r="N78" s="298"/>
      <c r="O78" s="305"/>
      <c r="P78" s="298"/>
    </row>
    <row r="79">
      <c r="A79" s="294" t="s">
        <v>868</v>
      </c>
      <c r="B79" s="297" t="s">
        <v>841</v>
      </c>
      <c r="C79" s="298" t="s">
        <v>854</v>
      </c>
      <c r="D79" s="298">
        <v>4</v>
      </c>
      <c r="E79" s="295">
        <v>13</v>
      </c>
      <c r="F79" s="298">
        <v>18660</v>
      </c>
      <c r="G79" s="298">
        <v>11785.01</v>
      </c>
      <c r="H79" s="296">
        <f t="shared" si="2"/>
      </c>
      <c r="I79" s="296">
        <f t="shared" si="3"/>
      </c>
      <c r="J79" s="296">
        <f t="shared" ref="J79:J82" si="7">G79/E79</f>
      </c>
      <c r="K79" s="295">
        <v>1</v>
      </c>
      <c r="L79" s="298">
        <v>1092</v>
      </c>
      <c r="M79" s="298"/>
      <c r="N79" s="298"/>
      <c r="O79" s="298"/>
      <c r="P79" s="298"/>
    </row>
    <row r="80">
      <c r="A80" s="294" t="s">
        <v>868</v>
      </c>
      <c r="B80" s="297" t="s">
        <v>827</v>
      </c>
      <c r="C80" s="295" t="s">
        <v>836</v>
      </c>
      <c r="D80" s="295">
        <v>4</v>
      </c>
      <c r="E80" s="295">
        <v>32</v>
      </c>
      <c r="F80" s="298">
        <v>36313.2</v>
      </c>
      <c r="G80" s="298">
        <v>20406.81</v>
      </c>
      <c r="H80" s="296">
        <f t="shared" si="2"/>
      </c>
      <c r="I80" s="296">
        <f t="shared" si="3"/>
      </c>
      <c r="J80" s="296">
        <f t="shared" si="7"/>
      </c>
      <c r="K80" s="295">
        <v>7</v>
      </c>
      <c r="L80" s="298">
        <v>3453.6000000000004</v>
      </c>
      <c r="M80" s="298" t="s">
        <v>837</v>
      </c>
      <c r="N80" s="295">
        <v>8</v>
      </c>
      <c r="O80" s="298" t="s">
        <v>838</v>
      </c>
      <c r="P80" s="298">
        <v>8</v>
      </c>
    </row>
    <row r="81">
      <c r="A81" s="306" t="s">
        <v>868</v>
      </c>
      <c r="B81" s="300"/>
      <c r="C81" s="300"/>
      <c r="D81" s="301">
        <f>SUM(D77:D80)</f>
      </c>
      <c r="E81" s="301">
        <f>SUM(E77:E80)</f>
      </c>
      <c r="F81" s="301">
        <f>SUM(F77:F80)</f>
      </c>
      <c r="G81" s="301">
        <f>SUM(G77:G80)</f>
      </c>
      <c r="H81" s="302">
        <f t="shared" si="2"/>
      </c>
      <c r="I81" s="302">
        <f t="shared" si="3"/>
      </c>
      <c r="J81" s="302">
        <f t="shared" si="7"/>
      </c>
      <c r="K81" s="301">
        <f>SUM(K77:K80)</f>
      </c>
      <c r="L81" s="301">
        <f>SUM(L77:L80)</f>
      </c>
      <c r="M81" s="300"/>
      <c r="N81" s="301">
        <f>SUM(N77:N80)</f>
      </c>
      <c r="O81" s="300"/>
      <c r="P81" s="300">
        <f>SUM(P77:P80)</f>
      </c>
    </row>
    <row r="82">
      <c r="A82" s="294" t="s">
        <v>869</v>
      </c>
      <c r="B82" s="297" t="s">
        <v>831</v>
      </c>
      <c r="C82" s="298" t="s">
        <v>846</v>
      </c>
      <c r="D82" s="298">
        <v>4</v>
      </c>
      <c r="E82" s="295">
        <v>14</v>
      </c>
      <c r="F82" s="295">
        <v>14808</v>
      </c>
      <c r="G82" s="295">
        <v>15643.37</v>
      </c>
      <c r="H82" s="296">
        <f t="shared" si="2"/>
      </c>
      <c r="I82" s="296">
        <f t="shared" si="3"/>
      </c>
      <c r="J82" s="296">
        <f t="shared" si="7"/>
      </c>
      <c r="K82" s="295">
        <v>2</v>
      </c>
      <c r="L82" s="298">
        <v>1464</v>
      </c>
      <c r="M82" s="295" t="s">
        <v>829</v>
      </c>
      <c r="N82" s="298">
        <v>8</v>
      </c>
      <c r="O82" s="298" t="s">
        <v>830</v>
      </c>
      <c r="P82" s="298">
        <v>8</v>
      </c>
    </row>
    <row r="83">
      <c r="A83" s="294" t="s">
        <v>869</v>
      </c>
      <c r="B83" s="297" t="s">
        <v>841</v>
      </c>
      <c r="C83" s="298" t="s">
        <v>853</v>
      </c>
      <c r="D83" s="298">
        <v>4</v>
      </c>
      <c r="E83" s="295">
        <v>7</v>
      </c>
      <c r="F83" s="298">
        <v>8028</v>
      </c>
      <c r="G83" s="298">
        <v>11434.720000000001</v>
      </c>
      <c r="H83" s="296">
        <f t="shared" si="2"/>
      </c>
      <c r="I83" s="296">
        <f t="shared" si="3"/>
      </c>
      <c r="J83" s="296">
        <f>G82/E83</f>
      </c>
      <c r="K83" s="295">
        <v>1</v>
      </c>
      <c r="L83" s="298">
        <v>1344</v>
      </c>
      <c r="M83" s="298"/>
      <c r="N83" s="298"/>
      <c r="O83" s="305"/>
      <c r="P83" s="298"/>
    </row>
    <row r="84">
      <c r="A84" s="294" t="s">
        <v>869</v>
      </c>
      <c r="B84" s="297" t="s">
        <v>870</v>
      </c>
      <c r="C84" s="295" t="s">
        <v>856</v>
      </c>
      <c r="D84" s="295">
        <v>3</v>
      </c>
      <c r="E84" s="295">
        <v>16</v>
      </c>
      <c r="F84" s="298">
        <v>19020</v>
      </c>
      <c r="G84" s="298">
        <v>9502.79</v>
      </c>
      <c r="H84" s="296">
        <f t="shared" si="2"/>
      </c>
      <c r="I84" s="296">
        <f t="shared" si="3"/>
      </c>
      <c r="J84" s="296">
        <f t="shared" ref="J84:J87" si="8">G84/E84</f>
      </c>
      <c r="K84" s="295">
        <v>7</v>
      </c>
      <c r="L84" s="298">
        <v>8196</v>
      </c>
      <c r="M84" s="298"/>
      <c r="N84" s="298"/>
      <c r="O84" s="298"/>
      <c r="P84" s="298"/>
    </row>
    <row r="85">
      <c r="A85" s="294" t="s">
        <v>869</v>
      </c>
      <c r="B85" s="297" t="s">
        <v>827</v>
      </c>
      <c r="C85" s="295" t="s">
        <v>857</v>
      </c>
      <c r="D85" s="295">
        <v>5</v>
      </c>
      <c r="E85" s="295">
        <v>42</v>
      </c>
      <c r="F85" s="298">
        <v>50613.600000000006</v>
      </c>
      <c r="G85" s="298">
        <v>26791.299999999996</v>
      </c>
      <c r="H85" s="296">
        <f t="shared" si="2"/>
      </c>
      <c r="I85" s="296">
        <f t="shared" si="3"/>
      </c>
      <c r="J85" s="296">
        <f t="shared" si="8"/>
      </c>
      <c r="K85" s="295">
        <v>8</v>
      </c>
      <c r="L85" s="298">
        <v>10404</v>
      </c>
      <c r="M85" s="298" t="s">
        <v>837</v>
      </c>
      <c r="N85" s="295">
        <v>8</v>
      </c>
      <c r="O85" s="298" t="s">
        <v>838</v>
      </c>
      <c r="P85" s="298">
        <v>8</v>
      </c>
    </row>
    <row r="86">
      <c r="A86" s="306" t="s">
        <v>869</v>
      </c>
      <c r="B86" s="300"/>
      <c r="C86" s="300"/>
      <c r="D86" s="301">
        <f>SUM(D82:D85)</f>
      </c>
      <c r="E86" s="301">
        <f>SUM(E82:E85)</f>
      </c>
      <c r="F86" s="301">
        <f>SUM(F82:F85)</f>
      </c>
      <c r="G86" s="301">
        <f>SUM(G82:G85)</f>
      </c>
      <c r="H86" s="302">
        <f t="shared" si="2"/>
      </c>
      <c r="I86" s="302">
        <f t="shared" si="3"/>
      </c>
      <c r="J86" s="302">
        <f t="shared" si="8"/>
      </c>
      <c r="K86" s="301">
        <f>SUM(K82:K85)</f>
      </c>
      <c r="L86" s="301">
        <f>SUM(L82:L85)</f>
      </c>
      <c r="M86" s="300"/>
      <c r="N86" s="301">
        <f>SUM(N82:N85)</f>
      </c>
      <c r="O86" s="300"/>
      <c r="P86" s="300">
        <f>SUM(P82:P85)</f>
      </c>
    </row>
    <row r="87">
      <c r="A87" s="294" t="s">
        <v>871</v>
      </c>
      <c r="B87" s="297" t="s">
        <v>841</v>
      </c>
      <c r="C87" s="298" t="s">
        <v>846</v>
      </c>
      <c r="D87" s="298">
        <v>4</v>
      </c>
      <c r="E87" s="295">
        <v>29</v>
      </c>
      <c r="F87" s="295">
        <v>35436</v>
      </c>
      <c r="G87" s="295">
        <v>23894.78</v>
      </c>
      <c r="H87" s="296">
        <f t="shared" si="2"/>
      </c>
      <c r="I87" s="296">
        <f t="shared" si="3"/>
      </c>
      <c r="J87" s="296">
        <f t="shared" si="8"/>
      </c>
      <c r="K87" s="295">
        <v>8</v>
      </c>
      <c r="L87" s="298">
        <v>7152</v>
      </c>
      <c r="M87" s="295" t="s">
        <v>829</v>
      </c>
      <c r="N87" s="298">
        <v>8</v>
      </c>
      <c r="O87" s="298" t="s">
        <v>830</v>
      </c>
      <c r="P87" s="298">
        <v>8</v>
      </c>
    </row>
    <row r="88">
      <c r="A88" s="294" t="s">
        <v>871</v>
      </c>
      <c r="B88" s="297" t="s">
        <v>833</v>
      </c>
      <c r="C88" s="298" t="s">
        <v>853</v>
      </c>
      <c r="D88" s="298">
        <v>4</v>
      </c>
      <c r="E88" s="295">
        <v>16</v>
      </c>
      <c r="F88" s="298">
        <v>22161.6</v>
      </c>
      <c r="G88" s="298">
        <v>16404.989999999998</v>
      </c>
      <c r="H88" s="296">
        <f t="shared" si="2"/>
      </c>
      <c r="I88" s="296">
        <f t="shared" si="3"/>
      </c>
      <c r="J88" s="296">
        <f>G87/E88</f>
      </c>
      <c r="K88" s="295">
        <v>2</v>
      </c>
      <c r="L88" s="298">
        <v>744</v>
      </c>
      <c r="M88" s="298"/>
      <c r="N88" s="298"/>
      <c r="O88" s="305"/>
      <c r="P88" s="298"/>
    </row>
    <row r="89">
      <c r="A89" s="294" t="s">
        <v>871</v>
      </c>
      <c r="B89" s="297" t="s">
        <v>831</v>
      </c>
      <c r="C89" s="295" t="s">
        <v>854</v>
      </c>
      <c r="D89" s="295">
        <v>4</v>
      </c>
      <c r="E89" s="295">
        <v>16</v>
      </c>
      <c r="F89" s="298">
        <v>17922.000000000007</v>
      </c>
      <c r="G89" s="298">
        <v>12819.310000000001</v>
      </c>
      <c r="H89" s="296">
        <f t="shared" si="2"/>
      </c>
      <c r="I89" s="296">
        <f t="shared" si="3"/>
      </c>
      <c r="J89" s="296">
        <f t="shared" ref="J89:J92" si="9">G89/E89</f>
      </c>
      <c r="K89" s="295">
        <v>3</v>
      </c>
      <c r="L89" s="298">
        <v>3804</v>
      </c>
      <c r="M89" s="298"/>
      <c r="N89" s="298"/>
      <c r="O89" s="298"/>
      <c r="P89" s="298"/>
    </row>
    <row r="90">
      <c r="A90" s="294" t="s">
        <v>871</v>
      </c>
      <c r="B90" s="297" t="s">
        <v>827</v>
      </c>
      <c r="C90" s="295" t="s">
        <v>836</v>
      </c>
      <c r="D90" s="295">
        <v>4</v>
      </c>
      <c r="E90" s="295">
        <v>24</v>
      </c>
      <c r="F90" s="298">
        <v>27067.199999999997</v>
      </c>
      <c r="G90" s="298">
        <v>12270.78</v>
      </c>
      <c r="H90" s="296">
        <f t="shared" si="2"/>
      </c>
      <c r="I90" s="296">
        <f t="shared" si="3"/>
      </c>
      <c r="J90" s="296">
        <f t="shared" si="9"/>
      </c>
      <c r="K90" s="295">
        <v>6</v>
      </c>
      <c r="L90" s="298">
        <v>6144</v>
      </c>
      <c r="M90" s="298" t="s">
        <v>837</v>
      </c>
      <c r="N90" s="295">
        <v>8</v>
      </c>
      <c r="O90" s="298" t="s">
        <v>838</v>
      </c>
      <c r="P90" s="298">
        <v>8</v>
      </c>
    </row>
    <row r="91">
      <c r="A91" s="306" t="s">
        <v>871</v>
      </c>
      <c r="B91" s="300"/>
      <c r="C91" s="300"/>
      <c r="D91" s="301">
        <f>SUM(D87:D90)</f>
      </c>
      <c r="E91" s="301">
        <f>SUM(E87:E90)</f>
      </c>
      <c r="F91" s="301">
        <f>SUM(F87:F90)</f>
      </c>
      <c r="G91" s="301">
        <f>SUM(G87:G90)</f>
      </c>
      <c r="H91" s="302">
        <f t="shared" si="2"/>
      </c>
      <c r="I91" s="302">
        <f t="shared" si="3"/>
      </c>
      <c r="J91" s="302">
        <f t="shared" si="9"/>
      </c>
      <c r="K91" s="301">
        <f>SUM(K87:K90)</f>
      </c>
      <c r="L91" s="301">
        <f>SUM(L87:L90)</f>
      </c>
      <c r="M91" s="300"/>
      <c r="N91" s="301">
        <f>SUM(N87:N90)</f>
      </c>
      <c r="O91" s="300"/>
      <c r="P91" s="300">
        <f>SUM(P87:P90)</f>
      </c>
    </row>
    <row r="92">
      <c r="A92" s="294" t="s">
        <v>872</v>
      </c>
      <c r="B92" s="297" t="s">
        <v>831</v>
      </c>
      <c r="C92" s="298" t="s">
        <v>846</v>
      </c>
      <c r="D92" s="298">
        <v>4</v>
      </c>
      <c r="E92" s="295">
        <v>15</v>
      </c>
      <c r="F92" s="295">
        <v>21278</v>
      </c>
      <c r="G92" s="295">
        <v>15178.59</v>
      </c>
      <c r="H92" s="296">
        <f t="shared" si="2"/>
      </c>
      <c r="I92" s="296">
        <f t="shared" si="3"/>
      </c>
      <c r="J92" s="296">
        <f t="shared" si="9"/>
      </c>
      <c r="K92" s="295">
        <v>5</v>
      </c>
      <c r="L92" s="298">
        <v>8160</v>
      </c>
      <c r="M92" s="295" t="s">
        <v>829</v>
      </c>
      <c r="N92" s="298">
        <v>8</v>
      </c>
      <c r="O92" s="298" t="s">
        <v>830</v>
      </c>
      <c r="P92" s="298">
        <v>8</v>
      </c>
    </row>
    <row r="93">
      <c r="A93" s="294" t="s">
        <v>872</v>
      </c>
      <c r="B93" s="297" t="s">
        <v>827</v>
      </c>
      <c r="C93" s="298" t="s">
        <v>853</v>
      </c>
      <c r="D93" s="298">
        <v>4</v>
      </c>
      <c r="E93" s="295">
        <v>24</v>
      </c>
      <c r="F93" s="298">
        <v>28262.4</v>
      </c>
      <c r="G93" s="298">
        <v>15375.59</v>
      </c>
      <c r="H93" s="296">
        <f t="shared" si="2"/>
      </c>
      <c r="I93" s="296">
        <f t="shared" si="3"/>
      </c>
      <c r="J93" s="296">
        <f>G92/E93</f>
      </c>
      <c r="K93" s="295">
        <v>7</v>
      </c>
      <c r="L93" s="298">
        <v>6696</v>
      </c>
      <c r="M93" s="298"/>
      <c r="N93" s="298"/>
      <c r="O93" s="305"/>
      <c r="P93" s="298"/>
    </row>
    <row r="94">
      <c r="A94" s="294" t="s">
        <v>872</v>
      </c>
      <c r="B94" s="297" t="s">
        <v>870</v>
      </c>
      <c r="C94" s="295" t="s">
        <v>854</v>
      </c>
      <c r="D94" s="295">
        <v>4</v>
      </c>
      <c r="E94" s="295">
        <v>13</v>
      </c>
      <c r="F94" s="298">
        <v>16840.799999999996</v>
      </c>
      <c r="G94" s="298">
        <v>14435.85</v>
      </c>
      <c r="H94" s="296">
        <f t="shared" si="2"/>
      </c>
      <c r="I94" s="296">
        <f t="shared" si="3"/>
      </c>
      <c r="J94" s="296">
        <f t="shared" ref="J94:J97" si="10">G94/E94</f>
      </c>
      <c r="K94" s="295">
        <v>4</v>
      </c>
      <c r="L94" s="298">
        <v>6339</v>
      </c>
      <c r="M94" s="298"/>
      <c r="N94" s="298"/>
      <c r="O94" s="298"/>
      <c r="P94" s="298"/>
    </row>
    <row r="95">
      <c r="A95" s="294" t="s">
        <v>872</v>
      </c>
      <c r="B95" s="297" t="s">
        <v>833</v>
      </c>
      <c r="C95" s="295" t="s">
        <v>836</v>
      </c>
      <c r="D95" s="295">
        <v>4</v>
      </c>
      <c r="E95" s="295">
        <v>27</v>
      </c>
      <c r="F95" s="298">
        <v>24349.800000000003</v>
      </c>
      <c r="G95" s="298">
        <v>13518.5</v>
      </c>
      <c r="H95" s="296">
        <f t="shared" si="2"/>
      </c>
      <c r="I95" s="296">
        <f t="shared" si="3"/>
      </c>
      <c r="J95" s="296">
        <f t="shared" si="10"/>
      </c>
      <c r="K95" s="295">
        <v>3</v>
      </c>
      <c r="L95" s="298">
        <v>3756</v>
      </c>
      <c r="M95" s="298" t="s">
        <v>837</v>
      </c>
      <c r="N95" s="295">
        <v>8</v>
      </c>
      <c r="O95" s="298" t="s">
        <v>838</v>
      </c>
      <c r="P95" s="298">
        <v>8</v>
      </c>
    </row>
    <row r="96">
      <c r="A96" s="306" t="s">
        <v>872</v>
      </c>
      <c r="B96" s="300"/>
      <c r="C96" s="300"/>
      <c r="D96" s="301">
        <f>SUM(D92:D95)</f>
      </c>
      <c r="E96" s="301">
        <f>SUM(E92:E95)</f>
      </c>
      <c r="F96" s="301">
        <f>SUM(F92:F95)</f>
      </c>
      <c r="G96" s="301">
        <f>SUM(G92:G95)</f>
      </c>
      <c r="H96" s="302">
        <f t="shared" si="2"/>
      </c>
      <c r="I96" s="302">
        <f t="shared" si="3"/>
      </c>
      <c r="J96" s="302">
        <f t="shared" si="10"/>
      </c>
      <c r="K96" s="301">
        <f>SUM(K92:K95)</f>
      </c>
      <c r="L96" s="301">
        <f>SUM(L92:L95)</f>
      </c>
      <c r="M96" s="300"/>
      <c r="N96" s="301">
        <f>SUM(N92:N95)</f>
      </c>
      <c r="O96" s="300"/>
      <c r="P96" s="300">
        <f>SUM(P92:P95)</f>
      </c>
    </row>
    <row r="97">
      <c r="A97" s="294" t="s">
        <v>873</v>
      </c>
      <c r="B97" s="297" t="s">
        <v>841</v>
      </c>
      <c r="C97" s="298" t="s">
        <v>846</v>
      </c>
      <c r="D97" s="298">
        <v>4</v>
      </c>
      <c r="E97" s="295">
        <v>31</v>
      </c>
      <c r="F97" s="295">
        <v>35604</v>
      </c>
      <c r="G97" s="295">
        <v>27766.809999999998</v>
      </c>
      <c r="H97" s="296">
        <f t="shared" si="2"/>
      </c>
      <c r="I97" s="296">
        <f t="shared" si="3"/>
      </c>
      <c r="J97" s="296">
        <f t="shared" si="10"/>
      </c>
      <c r="K97" s="295">
        <v>10</v>
      </c>
      <c r="L97" s="298">
        <v>8616</v>
      </c>
      <c r="M97" s="295" t="s">
        <v>829</v>
      </c>
      <c r="N97" s="298">
        <v>8</v>
      </c>
      <c r="O97" s="298" t="s">
        <v>830</v>
      </c>
      <c r="P97" s="298">
        <v>8</v>
      </c>
    </row>
    <row r="98">
      <c r="A98" s="294" t="s">
        <v>873</v>
      </c>
      <c r="B98" s="297" t="s">
        <v>827</v>
      </c>
      <c r="C98" s="298" t="s">
        <v>853</v>
      </c>
      <c r="D98" s="298">
        <v>4</v>
      </c>
      <c r="E98" s="295">
        <v>22</v>
      </c>
      <c r="F98" s="298">
        <v>26244</v>
      </c>
      <c r="G98" s="298">
        <v>17705.059999999998</v>
      </c>
      <c r="H98" s="296">
        <f t="shared" si="2"/>
      </c>
      <c r="I98" s="296">
        <f t="shared" si="3"/>
      </c>
      <c r="J98" s="296">
        <f>G97/E98</f>
      </c>
      <c r="K98" s="295">
        <v>2</v>
      </c>
      <c r="L98" s="298">
        <v>3180</v>
      </c>
      <c r="M98" s="298"/>
      <c r="N98" s="298"/>
      <c r="O98" s="305"/>
      <c r="P98" s="298"/>
    </row>
    <row r="99">
      <c r="A99" s="294" t="s">
        <v>873</v>
      </c>
      <c r="B99" s="297" t="s">
        <v>870</v>
      </c>
      <c r="C99" s="295" t="s">
        <v>854</v>
      </c>
      <c r="D99" s="295">
        <v>4</v>
      </c>
      <c r="E99" s="295">
        <v>16</v>
      </c>
      <c r="F99" s="298">
        <v>15290.399999999994</v>
      </c>
      <c r="G99" s="298">
        <v>15510.25</v>
      </c>
      <c r="H99" s="296">
        <f t="shared" si="2"/>
      </c>
      <c r="I99" s="296">
        <f t="shared" si="3"/>
      </c>
      <c r="J99" s="296">
        <f t="shared" ref="J99:J102" si="11">G99/E99</f>
      </c>
      <c r="K99" s="295">
        <v>4</v>
      </c>
      <c r="L99" s="298">
        <v>1536</v>
      </c>
      <c r="M99" s="298"/>
      <c r="N99" s="298"/>
      <c r="O99" s="298"/>
      <c r="P99" s="298"/>
    </row>
    <row r="100">
      <c r="A100" s="294" t="s">
        <v>873</v>
      </c>
      <c r="B100" s="297" t="s">
        <v>833</v>
      </c>
      <c r="C100" s="295" t="s">
        <v>836</v>
      </c>
      <c r="D100" s="295">
        <v>4</v>
      </c>
      <c r="E100" s="295">
        <v>15</v>
      </c>
      <c r="F100" s="298">
        <v>17458.800000000003</v>
      </c>
      <c r="G100" s="298">
        <v>9681.09</v>
      </c>
      <c r="H100" s="296">
        <f t="shared" si="2"/>
      </c>
      <c r="I100" s="296">
        <f t="shared" si="3"/>
      </c>
      <c r="J100" s="296">
        <f t="shared" si="11"/>
      </c>
      <c r="K100" s="295">
        <v>2</v>
      </c>
      <c r="L100" s="298">
        <v>1668</v>
      </c>
      <c r="M100" s="298" t="s">
        <v>837</v>
      </c>
      <c r="N100" s="295">
        <v>8</v>
      </c>
      <c r="O100" s="298" t="s">
        <v>838</v>
      </c>
      <c r="P100" s="298">
        <v>8</v>
      </c>
    </row>
    <row r="101">
      <c r="A101" s="306" t="s">
        <v>873</v>
      </c>
      <c r="B101" s="300"/>
      <c r="C101" s="300"/>
      <c r="D101" s="301">
        <f>SUM(D97:D100)</f>
      </c>
      <c r="E101" s="301">
        <f>SUM(E97:E100)</f>
      </c>
      <c r="F101" s="301">
        <f>SUM(F97:F100)</f>
      </c>
      <c r="G101" s="301">
        <f>SUM(G97:G100)</f>
      </c>
      <c r="H101" s="302">
        <f t="shared" si="2"/>
      </c>
      <c r="I101" s="302">
        <f t="shared" si="3"/>
      </c>
      <c r="J101" s="302">
        <f t="shared" si="11"/>
      </c>
      <c r="K101" s="301">
        <f>SUM(K97:K100)</f>
      </c>
      <c r="L101" s="301">
        <f>SUM(L97:L100)</f>
      </c>
      <c r="M101" s="300"/>
      <c r="N101" s="301">
        <f>SUM(N97:N100)</f>
      </c>
      <c r="O101" s="300"/>
      <c r="P101" s="300">
        <f>SUM(P97:P100)</f>
      </c>
    </row>
    <row r="102">
      <c r="A102" s="294" t="s">
        <v>874</v>
      </c>
      <c r="B102" s="297" t="s">
        <v>841</v>
      </c>
      <c r="C102" s="298" t="s">
        <v>846</v>
      </c>
      <c r="D102" s="298">
        <v>4</v>
      </c>
      <c r="E102" s="295">
        <v>24</v>
      </c>
      <c r="F102" s="295">
        <v>29185.2</v>
      </c>
      <c r="G102" s="295">
        <v>21383.45</v>
      </c>
      <c r="H102" s="296">
        <f t="shared" si="2"/>
      </c>
      <c r="I102" s="296">
        <f t="shared" si="3"/>
      </c>
      <c r="J102" s="296">
        <f t="shared" si="11"/>
      </c>
      <c r="K102" s="295">
        <v>6</v>
      </c>
      <c r="L102" s="298">
        <v>3562.8</v>
      </c>
      <c r="M102" s="295" t="s">
        <v>829</v>
      </c>
      <c r="N102" s="298">
        <v>8</v>
      </c>
      <c r="O102" s="298" t="s">
        <v>830</v>
      </c>
      <c r="P102" s="298">
        <v>8</v>
      </c>
    </row>
    <row r="103">
      <c r="A103" s="294" t="s">
        <v>874</v>
      </c>
      <c r="B103" s="297" t="s">
        <v>827</v>
      </c>
      <c r="C103" s="298" t="s">
        <v>853</v>
      </c>
      <c r="D103" s="298">
        <v>4</v>
      </c>
      <c r="E103" s="295">
        <v>27</v>
      </c>
      <c r="F103" s="298">
        <v>31067.8</v>
      </c>
      <c r="G103" s="298">
        <v>15337.24</v>
      </c>
      <c r="H103" s="296">
        <f t="shared" si="2"/>
      </c>
      <c r="I103" s="296">
        <f t="shared" si="3"/>
      </c>
      <c r="J103" s="296">
        <f>G102/E103</f>
      </c>
      <c r="K103" s="295">
        <v>6</v>
      </c>
      <c r="L103" s="298">
        <v>7990.8</v>
      </c>
      <c r="M103" s="298"/>
      <c r="N103" s="298"/>
      <c r="O103" s="305"/>
      <c r="P103" s="298"/>
    </row>
    <row r="104">
      <c r="A104" s="294" t="s">
        <v>874</v>
      </c>
      <c r="B104" s="297" t="s">
        <v>831</v>
      </c>
      <c r="C104" s="295" t="s">
        <v>854</v>
      </c>
      <c r="D104" s="295">
        <v>4</v>
      </c>
      <c r="E104" s="295">
        <v>12</v>
      </c>
      <c r="F104" s="298">
        <v>13143</v>
      </c>
      <c r="G104" s="298">
        <v>8907</v>
      </c>
      <c r="H104" s="296">
        <f t="shared" si="2"/>
      </c>
      <c r="I104" s="296">
        <f t="shared" si="3"/>
      </c>
      <c r="J104" s="296">
        <f t="shared" ref="J104:J107" si="12">G104/E104</f>
      </c>
      <c r="K104" s="295">
        <v>3</v>
      </c>
      <c r="L104" s="298">
        <v>4152</v>
      </c>
      <c r="M104" s="298"/>
      <c r="N104" s="298"/>
      <c r="O104" s="298"/>
      <c r="P104" s="298"/>
    </row>
    <row r="105">
      <c r="A105" s="294" t="s">
        <v>874</v>
      </c>
      <c r="B105" s="297" t="s">
        <v>870</v>
      </c>
      <c r="C105" s="295" t="s">
        <v>836</v>
      </c>
      <c r="D105" s="295">
        <v>4</v>
      </c>
      <c r="E105" s="295">
        <v>5</v>
      </c>
      <c r="F105" s="298">
        <v>6864</v>
      </c>
      <c r="G105" s="298">
        <v>7799.500000000001</v>
      </c>
      <c r="H105" s="296">
        <f t="shared" si="2"/>
      </c>
      <c r="I105" s="296">
        <f t="shared" si="3"/>
      </c>
      <c r="J105" s="296">
        <f t="shared" si="12"/>
      </c>
      <c r="K105" s="295">
        <v>1</v>
      </c>
      <c r="L105" s="298">
        <v>2088</v>
      </c>
      <c r="M105" s="298" t="s">
        <v>837</v>
      </c>
      <c r="N105" s="295">
        <v>8</v>
      </c>
      <c r="O105" s="298" t="s">
        <v>838</v>
      </c>
      <c r="P105" s="298">
        <v>8</v>
      </c>
    </row>
    <row r="106">
      <c r="A106" s="306" t="s">
        <v>874</v>
      </c>
      <c r="B106" s="300"/>
      <c r="C106" s="300"/>
      <c r="D106" s="301">
        <f>SUM(D102:D105)</f>
      </c>
      <c r="E106" s="301">
        <f>SUM(E102:E105)</f>
      </c>
      <c r="F106" s="301">
        <f>SUM(F102:F105)</f>
      </c>
      <c r="G106" s="301">
        <f>SUM(G102:G105)</f>
      </c>
      <c r="H106" s="302">
        <f t="shared" si="2"/>
      </c>
      <c r="I106" s="302">
        <f t="shared" si="3"/>
      </c>
      <c r="J106" s="302">
        <f t="shared" si="12"/>
      </c>
      <c r="K106" s="301">
        <f>SUM(K102:K105)</f>
      </c>
      <c r="L106" s="301">
        <f>SUM(L102:L105)</f>
      </c>
      <c r="M106" s="300"/>
      <c r="N106" s="301">
        <f>SUM(N102:N105)</f>
      </c>
      <c r="O106" s="300"/>
      <c r="P106" s="300">
        <f>SUM(P102:P105)</f>
      </c>
    </row>
    <row r="107">
      <c r="A107" s="294" t="s">
        <v>875</v>
      </c>
      <c r="B107" s="297" t="s">
        <v>827</v>
      </c>
      <c r="C107" s="295" t="s">
        <v>851</v>
      </c>
      <c r="D107" s="295">
        <v>3.5</v>
      </c>
      <c r="E107" s="295">
        <v>14</v>
      </c>
      <c r="F107" s="295">
        <v>13212</v>
      </c>
      <c r="G107" s="295">
        <v>16586.16</v>
      </c>
      <c r="H107" s="296">
        <f t="shared" si="2"/>
      </c>
      <c r="I107" s="296">
        <f t="shared" si="3"/>
      </c>
      <c r="J107" s="296">
        <f t="shared" si="12"/>
      </c>
      <c r="K107" s="295">
        <v>4</v>
      </c>
      <c r="L107" s="298">
        <v>1560</v>
      </c>
      <c r="M107" s="295" t="s">
        <v>829</v>
      </c>
      <c r="N107" s="295">
        <v>7.5</v>
      </c>
      <c r="O107" s="298" t="s">
        <v>830</v>
      </c>
      <c r="P107" s="298">
        <v>8</v>
      </c>
    </row>
    <row r="108">
      <c r="A108" s="294" t="s">
        <v>875</v>
      </c>
      <c r="B108" s="297" t="s">
        <v>841</v>
      </c>
      <c r="C108" s="298" t="s">
        <v>853</v>
      </c>
      <c r="D108" s="298">
        <v>4</v>
      </c>
      <c r="E108" s="295">
        <v>17</v>
      </c>
      <c r="F108" s="298">
        <v>15048</v>
      </c>
      <c r="G108" s="298">
        <v>14135.560000000001</v>
      </c>
      <c r="H108" s="296">
        <f t="shared" si="2"/>
      </c>
      <c r="I108" s="296">
        <f t="shared" si="3"/>
      </c>
      <c r="J108" s="296">
        <f>G107/E108</f>
      </c>
      <c r="K108" s="295">
        <v>5</v>
      </c>
      <c r="L108" s="298">
        <v>3816</v>
      </c>
      <c r="M108" s="298"/>
      <c r="N108" s="298"/>
      <c r="O108" s="305"/>
      <c r="P108" s="298"/>
    </row>
    <row r="109">
      <c r="A109" s="294" t="s">
        <v>875</v>
      </c>
      <c r="B109" s="297" t="s">
        <v>831</v>
      </c>
      <c r="C109" s="295" t="s">
        <v>856</v>
      </c>
      <c r="D109" s="295">
        <v>4</v>
      </c>
      <c r="E109" s="295">
        <v>14</v>
      </c>
      <c r="F109" s="298">
        <v>16258.800000000003</v>
      </c>
      <c r="G109" s="298">
        <v>10885.309999999998</v>
      </c>
      <c r="H109" s="296">
        <f t="shared" si="2"/>
      </c>
      <c r="I109" s="296">
        <f t="shared" si="3"/>
      </c>
      <c r="J109" s="296">
        <f t="shared" ref="J109:J112" si="13">G109/E109</f>
      </c>
      <c r="K109" s="295">
        <v>2</v>
      </c>
      <c r="L109" s="298">
        <v>958.8000000000002</v>
      </c>
      <c r="M109" s="298"/>
      <c r="N109" s="298"/>
      <c r="O109" s="298"/>
      <c r="P109" s="298"/>
    </row>
    <row r="110">
      <c r="A110" s="294" t="s">
        <v>875</v>
      </c>
      <c r="B110" s="297" t="s">
        <v>870</v>
      </c>
      <c r="C110" s="295" t="s">
        <v>857</v>
      </c>
      <c r="D110" s="295">
        <v>4</v>
      </c>
      <c r="E110" s="295">
        <v>12</v>
      </c>
      <c r="F110" s="298">
        <v>15512</v>
      </c>
      <c r="G110" s="298">
        <v>9576.26</v>
      </c>
      <c r="H110" s="296">
        <f t="shared" si="2"/>
      </c>
      <c r="I110" s="296">
        <f t="shared" si="3"/>
      </c>
      <c r="J110" s="296">
        <f t="shared" si="13"/>
      </c>
      <c r="K110" s="295">
        <v>0</v>
      </c>
      <c r="L110" s="298">
        <v>0</v>
      </c>
      <c r="M110" s="298" t="s">
        <v>837</v>
      </c>
      <c r="N110" s="295">
        <v>8</v>
      </c>
      <c r="O110" s="298" t="s">
        <v>838</v>
      </c>
      <c r="P110" s="298">
        <v>8</v>
      </c>
    </row>
    <row r="111">
      <c r="A111" s="306" t="s">
        <v>875</v>
      </c>
      <c r="B111" s="300"/>
      <c r="C111" s="300"/>
      <c r="D111" s="301">
        <f>SUM(D107:D110)</f>
      </c>
      <c r="E111" s="301">
        <f>SUM(E107:E110)</f>
      </c>
      <c r="F111" s="301">
        <f>SUM(F107:F110)</f>
      </c>
      <c r="G111" s="301">
        <f>SUM(G107:G110)</f>
      </c>
      <c r="H111" s="302">
        <f t="shared" si="2"/>
      </c>
      <c r="I111" s="302">
        <f t="shared" si="3"/>
      </c>
      <c r="J111" s="302">
        <f t="shared" si="13"/>
      </c>
      <c r="K111" s="301">
        <f>SUM(K107:K110)</f>
      </c>
      <c r="L111" s="301">
        <f>SUM(L107:L110)</f>
      </c>
      <c r="M111" s="300"/>
      <c r="N111" s="301">
        <f>SUM(N107:N110)</f>
      </c>
      <c r="O111" s="300"/>
      <c r="P111" s="300">
        <f>SUM(P107:P110)</f>
      </c>
    </row>
    <row r="112">
      <c r="A112" s="294" t="s">
        <v>876</v>
      </c>
      <c r="B112" s="297" t="s">
        <v>841</v>
      </c>
      <c r="C112" s="295" t="s">
        <v>851</v>
      </c>
      <c r="D112" s="295">
        <v>3.5</v>
      </c>
      <c r="E112" s="295">
        <v>30</v>
      </c>
      <c r="F112" s="295">
        <v>37491.6</v>
      </c>
      <c r="G112" s="295">
        <v>20369.88</v>
      </c>
      <c r="H112" s="296">
        <f t="shared" si="2"/>
      </c>
      <c r="I112" s="296">
        <f t="shared" si="3"/>
      </c>
      <c r="J112" s="296">
        <f t="shared" si="13"/>
      </c>
      <c r="K112" s="295">
        <v>6</v>
      </c>
      <c r="L112" s="298">
        <v>8160</v>
      </c>
      <c r="M112" s="295" t="s">
        <v>829</v>
      </c>
      <c r="N112" s="295">
        <v>7.5</v>
      </c>
      <c r="O112" s="298" t="s">
        <v>830</v>
      </c>
      <c r="P112" s="298">
        <v>8</v>
      </c>
    </row>
    <row r="113">
      <c r="A113" s="294" t="s">
        <v>876</v>
      </c>
      <c r="B113" s="297" t="s">
        <v>831</v>
      </c>
      <c r="C113" s="298" t="s">
        <v>853</v>
      </c>
      <c r="D113" s="298">
        <v>4</v>
      </c>
      <c r="E113" s="295">
        <v>22</v>
      </c>
      <c r="F113" s="298">
        <v>22978.8</v>
      </c>
      <c r="G113" s="298">
        <v>20790.55</v>
      </c>
      <c r="H113" s="296">
        <f t="shared" si="2"/>
      </c>
      <c r="I113" s="296">
        <f t="shared" si="3"/>
      </c>
      <c r="J113" s="296">
        <f>G112/E113</f>
      </c>
      <c r="K113" s="295">
        <v>7</v>
      </c>
      <c r="L113" s="298">
        <v>5850</v>
      </c>
      <c r="M113" s="298"/>
      <c r="N113" s="298"/>
      <c r="O113" s="305"/>
      <c r="P113" s="298"/>
    </row>
    <row r="114">
      <c r="A114" s="294" t="s">
        <v>876</v>
      </c>
      <c r="B114" s="297" t="s">
        <v>833</v>
      </c>
      <c r="C114" s="295" t="s">
        <v>856</v>
      </c>
      <c r="D114" s="295">
        <v>4</v>
      </c>
      <c r="E114" s="295">
        <v>26</v>
      </c>
      <c r="F114" s="298">
        <v>28308</v>
      </c>
      <c r="G114" s="298">
        <v>14451.41</v>
      </c>
      <c r="H114" s="296">
        <f t="shared" si="2"/>
      </c>
      <c r="I114" s="296">
        <f t="shared" si="3"/>
      </c>
      <c r="J114" s="296">
        <f t="shared" ref="J114:J117" si="14">G114/E114</f>
      </c>
      <c r="K114" s="295">
        <v>8</v>
      </c>
      <c r="L114" s="298">
        <v>7680</v>
      </c>
      <c r="M114" s="298"/>
      <c r="N114" s="298"/>
      <c r="O114" s="298"/>
      <c r="P114" s="298"/>
    </row>
    <row r="115">
      <c r="A115" s="294" t="s">
        <v>876</v>
      </c>
      <c r="B115" s="297" t="s">
        <v>848</v>
      </c>
      <c r="C115" s="295" t="s">
        <v>857</v>
      </c>
      <c r="D115" s="295">
        <v>4</v>
      </c>
      <c r="E115" s="295">
        <v>12</v>
      </c>
      <c r="F115" s="298">
        <v>11679</v>
      </c>
      <c r="G115" s="298">
        <v>12405.220000000001</v>
      </c>
      <c r="H115" s="296">
        <f t="shared" si="2"/>
      </c>
      <c r="I115" s="296">
        <f t="shared" si="3"/>
      </c>
      <c r="J115" s="296">
        <f t="shared" si="14"/>
      </c>
      <c r="K115" s="295">
        <v>2</v>
      </c>
      <c r="L115" s="298">
        <v>732</v>
      </c>
      <c r="M115" s="298" t="s">
        <v>837</v>
      </c>
      <c r="N115" s="295">
        <v>8</v>
      </c>
      <c r="O115" s="298" t="s">
        <v>838</v>
      </c>
      <c r="P115" s="298">
        <v>8</v>
      </c>
    </row>
    <row r="116">
      <c r="A116" s="306" t="s">
        <v>876</v>
      </c>
      <c r="B116" s="300"/>
      <c r="C116" s="300"/>
      <c r="D116" s="301">
        <f>SUM(D112:D115)</f>
      </c>
      <c r="E116" s="301">
        <f>SUM(E112:E115)</f>
      </c>
      <c r="F116" s="301">
        <f>SUM(F112:F115)</f>
      </c>
      <c r="G116" s="301">
        <f>SUM(G112:G115)</f>
      </c>
      <c r="H116" s="302">
        <f t="shared" si="2"/>
      </c>
      <c r="I116" s="302">
        <f t="shared" si="3"/>
      </c>
      <c r="J116" s="302">
        <f t="shared" si="14"/>
      </c>
      <c r="K116" s="301">
        <f>SUM(K112:K115)</f>
      </c>
      <c r="L116" s="301">
        <f>SUM(L112:L115)</f>
      </c>
      <c r="M116" s="300"/>
      <c r="N116" s="301">
        <f>SUM(N112:N115)</f>
      </c>
      <c r="O116" s="300"/>
      <c r="P116" s="300">
        <f>SUM(P112:P115)</f>
      </c>
    </row>
    <row r="117">
      <c r="A117" s="294" t="s">
        <v>877</v>
      </c>
      <c r="B117" s="297" t="s">
        <v>841</v>
      </c>
      <c r="C117" s="295" t="s">
        <v>846</v>
      </c>
      <c r="D117" s="295">
        <v>4</v>
      </c>
      <c r="E117" s="295">
        <v>9</v>
      </c>
      <c r="F117" s="295">
        <v>13008</v>
      </c>
      <c r="G117" s="295">
        <v>13796.66</v>
      </c>
      <c r="H117" s="296">
        <f t="shared" si="2"/>
      </c>
      <c r="I117" s="296">
        <f t="shared" si="3"/>
      </c>
      <c r="J117" s="296">
        <f t="shared" si="14"/>
      </c>
      <c r="K117" s="295">
        <v>2</v>
      </c>
      <c r="L117" s="298">
        <v>2784</v>
      </c>
      <c r="M117" s="295" t="s">
        <v>829</v>
      </c>
      <c r="N117" s="295">
        <v>8</v>
      </c>
      <c r="O117" s="298" t="s">
        <v>830</v>
      </c>
      <c r="P117" s="298">
        <v>8</v>
      </c>
    </row>
    <row r="118">
      <c r="A118" s="294" t="s">
        <v>877</v>
      </c>
      <c r="B118" s="297" t="s">
        <v>831</v>
      </c>
      <c r="C118" s="298" t="s">
        <v>853</v>
      </c>
      <c r="D118" s="298">
        <v>4</v>
      </c>
      <c r="E118" s="295">
        <v>31</v>
      </c>
      <c r="F118" s="298">
        <v>37140</v>
      </c>
      <c r="G118" s="298">
        <v>22263.170000000002</v>
      </c>
      <c r="H118" s="296">
        <f t="shared" si="2"/>
      </c>
      <c r="I118" s="296">
        <f t="shared" si="3"/>
      </c>
      <c r="J118" s="296">
        <f>G117/E118</f>
      </c>
      <c r="K118" s="295">
        <v>9</v>
      </c>
      <c r="L118" s="298">
        <v>12048</v>
      </c>
      <c r="M118" s="298"/>
      <c r="N118" s="298"/>
      <c r="O118" s="305"/>
      <c r="P118" s="298"/>
    </row>
    <row r="119">
      <c r="A119" s="294" t="s">
        <v>877</v>
      </c>
      <c r="B119" s="297" t="s">
        <v>833</v>
      </c>
      <c r="C119" s="295" t="s">
        <v>856</v>
      </c>
      <c r="D119" s="295">
        <v>4</v>
      </c>
      <c r="E119" s="295">
        <v>13</v>
      </c>
      <c r="F119" s="298">
        <v>12660</v>
      </c>
      <c r="G119" s="298">
        <v>9537.28</v>
      </c>
      <c r="H119" s="296">
        <f t="shared" si="2"/>
      </c>
      <c r="I119" s="296">
        <f t="shared" si="3"/>
      </c>
      <c r="J119" s="296">
        <f t="shared" ref="J119:J122" si="15">G119/E119</f>
      </c>
      <c r="K119" s="295">
        <v>1</v>
      </c>
      <c r="L119" s="298">
        <v>456</v>
      </c>
      <c r="M119" s="298"/>
      <c r="N119" s="298"/>
      <c r="O119" s="298"/>
      <c r="P119" s="298"/>
    </row>
    <row r="120">
      <c r="A120" s="294" t="s">
        <v>877</v>
      </c>
      <c r="B120" s="297" t="s">
        <v>848</v>
      </c>
      <c r="C120" s="295" t="s">
        <v>857</v>
      </c>
      <c r="D120" s="295">
        <v>4</v>
      </c>
      <c r="E120" s="295">
        <v>14</v>
      </c>
      <c r="F120" s="298">
        <v>21821</v>
      </c>
      <c r="G120" s="298">
        <v>11623.47</v>
      </c>
      <c r="H120" s="296">
        <f t="shared" si="2"/>
      </c>
      <c r="I120" s="296">
        <f t="shared" si="3"/>
      </c>
      <c r="J120" s="296">
        <f t="shared" si="15"/>
      </c>
      <c r="K120" s="295">
        <v>4</v>
      </c>
      <c r="L120" s="298">
        <v>6564</v>
      </c>
      <c r="M120" s="298" t="s">
        <v>837</v>
      </c>
      <c r="N120" s="295">
        <v>8</v>
      </c>
      <c r="O120" s="298" t="s">
        <v>838</v>
      </c>
      <c r="P120" s="298">
        <v>8</v>
      </c>
    </row>
    <row r="121">
      <c r="A121" s="306" t="s">
        <v>877</v>
      </c>
      <c r="B121" s="300"/>
      <c r="C121" s="300"/>
      <c r="D121" s="301">
        <f>SUM(D117:D120)</f>
      </c>
      <c r="E121" s="301">
        <f>SUM(E117:E120)</f>
      </c>
      <c r="F121" s="301">
        <f>SUM(F117:F120)</f>
      </c>
      <c r="G121" s="301">
        <f>SUM(G117:G120)</f>
      </c>
      <c r="H121" s="302">
        <f t="shared" si="2"/>
      </c>
      <c r="I121" s="302">
        <f t="shared" si="3"/>
      </c>
      <c r="J121" s="302">
        <f t="shared" si="15"/>
      </c>
      <c r="K121" s="301">
        <f>SUM(K117:K120)</f>
      </c>
      <c r="L121" s="301">
        <f>SUM(L117:L120)</f>
      </c>
      <c r="M121" s="300"/>
      <c r="N121" s="301">
        <f>SUM(N117:N120)</f>
      </c>
      <c r="O121" s="300"/>
      <c r="P121" s="300">
        <f>SUM(P117:P120)</f>
      </c>
    </row>
    <row r="122">
      <c r="A122" s="294" t="s">
        <v>878</v>
      </c>
      <c r="B122" s="297" t="s">
        <v>827</v>
      </c>
      <c r="C122" s="295" t="s">
        <v>846</v>
      </c>
      <c r="D122" s="295">
        <v>4</v>
      </c>
      <c r="E122" s="295">
        <v>44</v>
      </c>
      <c r="F122" s="295">
        <v>53691.72</v>
      </c>
      <c r="G122" s="295">
        <v>24285.73</v>
      </c>
      <c r="H122" s="296">
        <f t="shared" si="2"/>
      </c>
      <c r="I122" s="296">
        <f t="shared" si="3"/>
      </c>
      <c r="J122" s="296">
        <f t="shared" si="15"/>
      </c>
      <c r="K122" s="295">
        <v>15</v>
      </c>
      <c r="L122" s="298">
        <v>16810.8</v>
      </c>
      <c r="M122" s="295" t="s">
        <v>829</v>
      </c>
      <c r="N122" s="295">
        <v>8</v>
      </c>
      <c r="O122" s="298" t="s">
        <v>830</v>
      </c>
      <c r="P122" s="298">
        <v>8</v>
      </c>
    </row>
    <row r="123">
      <c r="A123" s="294" t="s">
        <v>878</v>
      </c>
      <c r="B123" s="297" t="s">
        <v>831</v>
      </c>
      <c r="C123" s="298" t="s">
        <v>853</v>
      </c>
      <c r="D123" s="298">
        <v>4</v>
      </c>
      <c r="E123" s="295">
        <v>17</v>
      </c>
      <c r="F123" s="298">
        <v>16851.2</v>
      </c>
      <c r="G123" s="298">
        <v>16449.04</v>
      </c>
      <c r="H123" s="296">
        <f t="shared" si="2"/>
      </c>
      <c r="I123" s="296">
        <f t="shared" si="3"/>
      </c>
      <c r="J123" s="296">
        <f>G122/E123</f>
      </c>
      <c r="K123" s="295">
        <v>3</v>
      </c>
      <c r="L123" s="298">
        <v>3792</v>
      </c>
      <c r="M123" s="298"/>
      <c r="N123" s="298"/>
      <c r="O123" s="305"/>
      <c r="P123" s="298"/>
    </row>
    <row r="124">
      <c r="A124" s="294" t="s">
        <v>878</v>
      </c>
      <c r="B124" s="297" t="s">
        <v>848</v>
      </c>
      <c r="C124" s="295" t="s">
        <v>856</v>
      </c>
      <c r="D124" s="295">
        <v>4</v>
      </c>
      <c r="E124" s="295">
        <v>7</v>
      </c>
      <c r="F124" s="298">
        <v>9636</v>
      </c>
      <c r="G124" s="298">
        <v>7762.150000000001</v>
      </c>
      <c r="H124" s="296">
        <f t="shared" si="2"/>
      </c>
      <c r="I124" s="296">
        <f t="shared" si="3"/>
      </c>
      <c r="J124" s="296">
        <f t="shared" ref="J124:J127" si="16">G124/E124</f>
      </c>
      <c r="K124" s="295">
        <v>2</v>
      </c>
      <c r="L124" s="298">
        <v>2064</v>
      </c>
      <c r="M124" s="298"/>
      <c r="N124" s="298"/>
      <c r="O124" s="298"/>
      <c r="P124" s="298"/>
    </row>
    <row r="125">
      <c r="A125" s="294" t="s">
        <v>878</v>
      </c>
      <c r="B125" s="297" t="s">
        <v>870</v>
      </c>
      <c r="C125" s="295" t="s">
        <v>857</v>
      </c>
      <c r="D125" s="295">
        <v>4</v>
      </c>
      <c r="E125" s="295">
        <v>21</v>
      </c>
      <c r="F125" s="298">
        <v>25944</v>
      </c>
      <c r="G125" s="298">
        <v>15601.45</v>
      </c>
      <c r="H125" s="296">
        <f t="shared" si="2"/>
      </c>
      <c r="I125" s="296">
        <f t="shared" si="3"/>
      </c>
      <c r="J125" s="296">
        <f t="shared" si="16"/>
      </c>
      <c r="K125" s="295">
        <v>2</v>
      </c>
      <c r="L125" s="298">
        <v>1704</v>
      </c>
      <c r="M125" s="298" t="s">
        <v>837</v>
      </c>
      <c r="N125" s="295">
        <v>8</v>
      </c>
      <c r="O125" s="298" t="s">
        <v>838</v>
      </c>
      <c r="P125" s="298">
        <v>8</v>
      </c>
    </row>
    <row r="126">
      <c r="A126" s="306" t="s">
        <v>878</v>
      </c>
      <c r="B126" s="300"/>
      <c r="C126" s="300"/>
      <c r="D126" s="301">
        <f>SUM(D122:D125)</f>
      </c>
      <c r="E126" s="301">
        <f>SUM(E122:E125)</f>
      </c>
      <c r="F126" s="301">
        <f>SUM(F122:F125)</f>
      </c>
      <c r="G126" s="301">
        <f>SUM(G122:G125)</f>
      </c>
      <c r="H126" s="302">
        <f t="shared" si="2"/>
      </c>
      <c r="I126" s="302">
        <f t="shared" si="3"/>
      </c>
      <c r="J126" s="302">
        <f t="shared" si="16"/>
      </c>
      <c r="K126" s="301">
        <f>SUM(K122:K125)</f>
      </c>
      <c r="L126" s="301">
        <f>SUM(L122:L125)</f>
      </c>
      <c r="M126" s="300"/>
      <c r="N126" s="301">
        <f>SUM(N122:N125)</f>
      </c>
      <c r="O126" s="300"/>
      <c r="P126" s="300">
        <f>SUM(P122:P125)</f>
      </c>
    </row>
    <row r="127">
      <c r="A127" s="294" t="s">
        <v>879</v>
      </c>
      <c r="B127" s="297" t="s">
        <v>827</v>
      </c>
      <c r="C127" s="295" t="s">
        <v>846</v>
      </c>
      <c r="D127" s="295">
        <v>4</v>
      </c>
      <c r="E127" s="295">
        <v>50</v>
      </c>
      <c r="F127" s="295">
        <v>54920.4</v>
      </c>
      <c r="G127" s="295">
        <v>24837.24</v>
      </c>
      <c r="H127" s="296">
        <f t="shared" si="2"/>
      </c>
      <c r="I127" s="296">
        <f t="shared" si="3"/>
      </c>
      <c r="J127" s="296">
        <f t="shared" si="16"/>
      </c>
      <c r="K127" s="295">
        <v>14</v>
      </c>
      <c r="L127" s="295">
        <v>11354.4</v>
      </c>
      <c r="M127" s="295" t="s">
        <v>880</v>
      </c>
      <c r="N127" s="295">
        <v>3.2</v>
      </c>
      <c r="O127" s="298" t="s">
        <v>830</v>
      </c>
      <c r="P127" s="298">
        <v>8</v>
      </c>
    </row>
    <row r="128">
      <c r="A128" s="294" t="s">
        <v>879</v>
      </c>
      <c r="B128" s="297" t="s">
        <v>831</v>
      </c>
      <c r="C128" s="298" t="s">
        <v>853</v>
      </c>
      <c r="D128" s="298">
        <v>4</v>
      </c>
      <c r="E128" s="295">
        <v>17</v>
      </c>
      <c r="F128" s="298">
        <v>21726.6</v>
      </c>
      <c r="G128" s="298">
        <v>16648.989999999998</v>
      </c>
      <c r="H128" s="296">
        <f t="shared" si="2"/>
      </c>
      <c r="I128" s="296">
        <f t="shared" si="3"/>
      </c>
      <c r="J128" s="296">
        <f>G127/E128</f>
      </c>
      <c r="K128" s="295">
        <v>3</v>
      </c>
      <c r="L128" s="298">
        <v>4140</v>
      </c>
      <c r="M128" s="298"/>
      <c r="N128" s="298"/>
      <c r="O128" s="305"/>
      <c r="P128" s="298"/>
    </row>
    <row r="129">
      <c r="A129" s="294" t="s">
        <v>879</v>
      </c>
      <c r="B129" s="297" t="s">
        <v>833</v>
      </c>
      <c r="C129" s="295" t="s">
        <v>854</v>
      </c>
      <c r="D129" s="295">
        <v>4</v>
      </c>
      <c r="E129" s="295">
        <v>10</v>
      </c>
      <c r="F129" s="298">
        <v>14460</v>
      </c>
      <c r="G129" s="298">
        <v>13654</v>
      </c>
      <c r="H129" s="296">
        <f t="shared" si="2"/>
      </c>
      <c r="I129" s="296">
        <f t="shared" si="3"/>
      </c>
      <c r="J129" s="296">
        <f t="shared" ref="J129:J132" si="17">G129/E129</f>
      </c>
      <c r="K129" s="295">
        <v>4</v>
      </c>
      <c r="L129" s="298">
        <v>7368.000000000002</v>
      </c>
      <c r="M129" s="298"/>
      <c r="N129" s="298"/>
      <c r="O129" s="298"/>
      <c r="P129" s="298"/>
    </row>
    <row r="130">
      <c r="A130" s="294" t="s">
        <v>879</v>
      </c>
      <c r="B130" s="297" t="s">
        <v>848</v>
      </c>
      <c r="C130" s="295" t="s">
        <v>836</v>
      </c>
      <c r="D130" s="295">
        <v>4</v>
      </c>
      <c r="E130" s="295">
        <v>12</v>
      </c>
      <c r="F130" s="298">
        <v>16026</v>
      </c>
      <c r="G130" s="298">
        <v>8662.64</v>
      </c>
      <c r="H130" s="296">
        <f t="shared" si="2"/>
      </c>
      <c r="I130" s="296">
        <f t="shared" si="3"/>
      </c>
      <c r="J130" s="296">
        <f t="shared" si="17"/>
      </c>
      <c r="K130" s="295">
        <v>1</v>
      </c>
      <c r="L130" s="298">
        <v>1344</v>
      </c>
      <c r="M130" s="298" t="s">
        <v>837</v>
      </c>
      <c r="N130" s="295">
        <v>8</v>
      </c>
      <c r="O130" s="298" t="s">
        <v>838</v>
      </c>
      <c r="P130" s="298">
        <v>8</v>
      </c>
    </row>
    <row r="131">
      <c r="A131" s="306" t="s">
        <v>879</v>
      </c>
      <c r="B131" s="300"/>
      <c r="C131" s="300"/>
      <c r="D131" s="301">
        <f>SUM(D127:D130)</f>
      </c>
      <c r="E131" s="301">
        <f>SUM(E127:E130)</f>
      </c>
      <c r="F131" s="301">
        <f>SUM(F127:F130)</f>
      </c>
      <c r="G131" s="301">
        <f>SUM(G127:G130)</f>
      </c>
      <c r="H131" s="302">
        <f t="shared" si="2"/>
      </c>
      <c r="I131" s="302">
        <f t="shared" si="3"/>
      </c>
      <c r="J131" s="302">
        <f t="shared" si="17"/>
      </c>
      <c r="K131" s="301">
        <f>SUM(K127:K130)</f>
      </c>
      <c r="L131" s="301">
        <f>SUM(L127:L130)</f>
      </c>
      <c r="M131" s="300"/>
      <c r="N131" s="301">
        <f>SUM(N127:N130)</f>
      </c>
      <c r="O131" s="300"/>
      <c r="P131" s="300">
        <f>SUM(P127:P130)</f>
      </c>
    </row>
    <row r="132">
      <c r="A132" s="294" t="s">
        <v>881</v>
      </c>
      <c r="B132" s="297" t="s">
        <v>827</v>
      </c>
      <c r="C132" s="295" t="s">
        <v>846</v>
      </c>
      <c r="D132" s="295">
        <v>4</v>
      </c>
      <c r="E132" s="295">
        <v>16</v>
      </c>
      <c r="F132" s="295">
        <v>25548</v>
      </c>
      <c r="G132" s="295">
        <v>15151.96</v>
      </c>
      <c r="H132" s="296">
        <f t="shared" si="2"/>
      </c>
      <c r="I132" s="296">
        <f t="shared" si="3"/>
      </c>
      <c r="J132" s="296">
        <f t="shared" si="17"/>
      </c>
      <c r="K132" s="295">
        <v>6</v>
      </c>
      <c r="L132" s="295">
        <v>9156</v>
      </c>
      <c r="M132" s="295" t="s">
        <v>880</v>
      </c>
      <c r="N132" s="295">
        <v>3.2</v>
      </c>
      <c r="O132" s="298" t="s">
        <v>830</v>
      </c>
      <c r="P132" s="298">
        <v>8</v>
      </c>
    </row>
    <row r="133">
      <c r="A133" s="294" t="s">
        <v>881</v>
      </c>
      <c r="B133" s="297" t="s">
        <v>833</v>
      </c>
      <c r="C133" s="298" t="s">
        <v>853</v>
      </c>
      <c r="D133" s="298">
        <v>4</v>
      </c>
      <c r="E133" s="295">
        <v>22</v>
      </c>
      <c r="F133" s="295">
        <v>17358</v>
      </c>
      <c r="G133" s="295">
        <v>18687.95</v>
      </c>
      <c r="H133" s="296">
        <f t="shared" si="2"/>
      </c>
      <c r="I133" s="296">
        <f t="shared" si="3"/>
      </c>
      <c r="J133" s="296">
        <f>G132/E133</f>
      </c>
      <c r="K133" s="295">
        <v>4</v>
      </c>
      <c r="L133" s="295">
        <v>5568</v>
      </c>
      <c r="M133" s="298"/>
      <c r="N133" s="298"/>
      <c r="O133" s="305"/>
      <c r="P133" s="298"/>
    </row>
    <row r="134">
      <c r="A134" s="294" t="s">
        <v>881</v>
      </c>
      <c r="B134" s="297" t="s">
        <v>841</v>
      </c>
      <c r="C134" s="295" t="s">
        <v>854</v>
      </c>
      <c r="D134" s="295">
        <v>4</v>
      </c>
      <c r="E134" s="295">
        <v>16</v>
      </c>
      <c r="F134" s="295">
        <v>17616</v>
      </c>
      <c r="G134" s="295">
        <v>8430.17</v>
      </c>
      <c r="H134" s="296">
        <f t="shared" si="2"/>
      </c>
      <c r="I134" s="296">
        <f t="shared" si="3"/>
      </c>
      <c r="J134" s="296">
        <f t="shared" ref="J134:J137" si="18">G134/E134</f>
      </c>
      <c r="K134" s="295">
        <v>2</v>
      </c>
      <c r="L134" s="295">
        <v>804</v>
      </c>
      <c r="M134" s="298"/>
      <c r="N134" s="298"/>
      <c r="O134" s="298"/>
      <c r="P134" s="298"/>
    </row>
    <row r="135">
      <c r="A135" s="294" t="s">
        <v>881</v>
      </c>
      <c r="B135" s="297" t="s">
        <v>870</v>
      </c>
      <c r="C135" s="295" t="s">
        <v>836</v>
      </c>
      <c r="D135" s="295">
        <v>4</v>
      </c>
      <c r="E135" s="295">
        <v>22</v>
      </c>
      <c r="F135" s="295">
        <v>25872</v>
      </c>
      <c r="G135" s="295">
        <v>13826.8</v>
      </c>
      <c r="H135" s="296">
        <f t="shared" si="2"/>
      </c>
      <c r="I135" s="296">
        <f t="shared" si="3"/>
      </c>
      <c r="J135" s="296">
        <f t="shared" si="18"/>
      </c>
      <c r="K135" s="295">
        <v>6</v>
      </c>
      <c r="L135" s="295">
        <v>5400</v>
      </c>
      <c r="M135" s="295" t="s">
        <v>829</v>
      </c>
      <c r="N135" s="295">
        <v>8</v>
      </c>
      <c r="O135" s="298" t="s">
        <v>838</v>
      </c>
      <c r="P135" s="298">
        <v>8</v>
      </c>
    </row>
    <row r="136">
      <c r="A136" s="306" t="s">
        <v>881</v>
      </c>
      <c r="B136" s="300"/>
      <c r="C136" s="300"/>
      <c r="D136" s="301">
        <f>SUM(D132:D135)</f>
      </c>
      <c r="E136" s="301">
        <f>SUM(E132:E135)</f>
      </c>
      <c r="F136" s="301">
        <f>SUM(F132:F135)</f>
      </c>
      <c r="G136" s="301">
        <f>SUM(G132:G135)</f>
      </c>
      <c r="H136" s="302">
        <f t="shared" si="2"/>
      </c>
      <c r="I136" s="302">
        <f t="shared" si="3"/>
      </c>
      <c r="J136" s="302">
        <f t="shared" si="18"/>
      </c>
      <c r="K136" s="301">
        <f>SUM(K132:K135)</f>
      </c>
      <c r="L136" s="301">
        <f>SUM(L132:L135)</f>
      </c>
      <c r="M136" s="300"/>
      <c r="N136" s="301">
        <f>SUM(N132:N135)</f>
      </c>
      <c r="O136" s="300"/>
      <c r="P136" s="300">
        <f>SUM(P132:P135)</f>
      </c>
    </row>
    <row r="137">
      <c r="A137" s="294" t="s">
        <v>882</v>
      </c>
      <c r="B137" s="297" t="s">
        <v>827</v>
      </c>
      <c r="C137" s="295" t="s">
        <v>846</v>
      </c>
      <c r="D137" s="295">
        <v>4</v>
      </c>
      <c r="E137" s="295">
        <v>26</v>
      </c>
      <c r="F137" s="295">
        <v>31471.6</v>
      </c>
      <c r="G137" s="295">
        <v>21989.27</v>
      </c>
      <c r="H137" s="296">
        <f t="shared" si="2"/>
      </c>
      <c r="I137" s="296">
        <f t="shared" si="3"/>
      </c>
      <c r="J137" s="296">
        <f t="shared" si="18"/>
      </c>
      <c r="K137" s="295">
        <v>5</v>
      </c>
      <c r="L137" s="295">
        <v>6267.6</v>
      </c>
      <c r="M137" s="295" t="s">
        <v>837</v>
      </c>
      <c r="N137" s="295">
        <v>8</v>
      </c>
      <c r="O137" s="298" t="s">
        <v>830</v>
      </c>
      <c r="P137" s="298">
        <v>8</v>
      </c>
    </row>
    <row r="138">
      <c r="A138" s="294" t="s">
        <v>882</v>
      </c>
      <c r="B138" s="297" t="s">
        <v>870</v>
      </c>
      <c r="C138" s="298" t="s">
        <v>853</v>
      </c>
      <c r="D138" s="298">
        <v>4</v>
      </c>
      <c r="E138" s="295">
        <v>37</v>
      </c>
      <c r="F138" s="295">
        <v>39220.4</v>
      </c>
      <c r="G138" s="295">
        <v>23024.1</v>
      </c>
      <c r="H138" s="296">
        <f t="shared" si="2"/>
      </c>
      <c r="I138" s="296">
        <f t="shared" si="3"/>
      </c>
      <c r="J138" s="296">
        <f>G137/E138</f>
      </c>
      <c r="K138" s="295">
        <v>9</v>
      </c>
      <c r="L138" s="295">
        <v>6732</v>
      </c>
      <c r="M138" s="298"/>
      <c r="N138" s="298"/>
      <c r="O138" s="305"/>
      <c r="P138" s="298"/>
    </row>
    <row r="139">
      <c r="A139" s="294" t="s">
        <v>882</v>
      </c>
      <c r="B139" s="297" t="s">
        <v>848</v>
      </c>
      <c r="C139" s="295" t="s">
        <v>854</v>
      </c>
      <c r="D139" s="295">
        <v>4</v>
      </c>
      <c r="E139" s="295">
        <v>19</v>
      </c>
      <c r="F139" s="295">
        <v>20892</v>
      </c>
      <c r="G139" s="295">
        <v>16328.41</v>
      </c>
      <c r="H139" s="296">
        <f t="shared" si="2"/>
      </c>
      <c r="I139" s="296">
        <f t="shared" si="3"/>
      </c>
      <c r="J139" s="296">
        <f t="shared" ref="J139:J142" si="19">G139/E139</f>
      </c>
      <c r="K139" s="295">
        <v>7</v>
      </c>
      <c r="L139" s="295">
        <v>8388</v>
      </c>
      <c r="M139" s="298"/>
      <c r="N139" s="298"/>
      <c r="O139" s="298"/>
      <c r="P139" s="298"/>
    </row>
    <row r="140">
      <c r="A140" s="294" t="s">
        <v>882</v>
      </c>
      <c r="B140" s="297" t="s">
        <v>833</v>
      </c>
      <c r="C140" s="295" t="s">
        <v>836</v>
      </c>
      <c r="D140" s="295">
        <v>4</v>
      </c>
      <c r="E140" s="295">
        <v>32</v>
      </c>
      <c r="F140" s="295">
        <v>42060</v>
      </c>
      <c r="G140" s="295">
        <v>19931.37</v>
      </c>
      <c r="H140" s="296">
        <f t="shared" si="2"/>
      </c>
      <c r="I140" s="296">
        <f t="shared" si="3"/>
      </c>
      <c r="J140" s="296">
        <f t="shared" si="19"/>
      </c>
      <c r="K140" s="295">
        <v>6</v>
      </c>
      <c r="L140" s="295">
        <v>9600</v>
      </c>
      <c r="M140" s="295" t="s">
        <v>829</v>
      </c>
      <c r="N140" s="295">
        <v>8</v>
      </c>
      <c r="O140" s="298" t="s">
        <v>838</v>
      </c>
      <c r="P140" s="298">
        <v>8</v>
      </c>
    </row>
    <row r="141">
      <c r="A141" s="306" t="s">
        <v>882</v>
      </c>
      <c r="B141" s="300"/>
      <c r="C141" s="300"/>
      <c r="D141" s="301">
        <f>SUM(D137:D140)</f>
      </c>
      <c r="E141" s="301">
        <f>SUM(E137:E140)</f>
      </c>
      <c r="F141" s="301">
        <f>SUM(F137:F140)</f>
      </c>
      <c r="G141" s="301">
        <f>SUM(G137:G140)</f>
      </c>
      <c r="H141" s="302">
        <f t="shared" si="2"/>
      </c>
      <c r="I141" s="302">
        <f t="shared" si="3"/>
      </c>
      <c r="J141" s="302">
        <f t="shared" si="19"/>
      </c>
      <c r="K141" s="301">
        <f>SUM(K137:K140)</f>
      </c>
      <c r="L141" s="301">
        <f>SUM(L137:L140)</f>
      </c>
      <c r="M141" s="300"/>
      <c r="N141" s="301">
        <f>SUM(N137:N140)</f>
      </c>
      <c r="O141" s="300"/>
      <c r="P141" s="300">
        <f>SUM(P137:P140)</f>
      </c>
    </row>
    <row r="142">
      <c r="A142" s="294" t="s">
        <v>883</v>
      </c>
      <c r="B142" s="297" t="s">
        <v>831</v>
      </c>
      <c r="C142" s="295" t="s">
        <v>846</v>
      </c>
      <c r="D142" s="295">
        <v>4</v>
      </c>
      <c r="E142" s="295">
        <v>19</v>
      </c>
      <c r="F142" s="295">
        <v>15749.8</v>
      </c>
      <c r="G142" s="295">
        <v>17877.39</v>
      </c>
      <c r="H142" s="296">
        <f t="shared" si="2"/>
      </c>
      <c r="I142" s="296">
        <f t="shared" si="3"/>
      </c>
      <c r="J142" s="296">
        <f t="shared" si="19"/>
      </c>
      <c r="K142" s="295">
        <v>5</v>
      </c>
      <c r="L142" s="295">
        <v>3672</v>
      </c>
      <c r="M142" s="295" t="s">
        <v>880</v>
      </c>
      <c r="N142" s="295">
        <v>3.2</v>
      </c>
      <c r="O142" s="298" t="s">
        <v>830</v>
      </c>
      <c r="P142" s="298">
        <v>8</v>
      </c>
    </row>
    <row r="143">
      <c r="A143" s="294" t="s">
        <v>883</v>
      </c>
      <c r="B143" s="297" t="s">
        <v>827</v>
      </c>
      <c r="C143" s="298" t="s">
        <v>853</v>
      </c>
      <c r="D143" s="298">
        <v>4</v>
      </c>
      <c r="E143" s="295">
        <v>14</v>
      </c>
      <c r="F143" s="295">
        <v>16834.8</v>
      </c>
      <c r="G143" s="295">
        <v>13640.95</v>
      </c>
      <c r="H143" s="296">
        <f t="shared" si="2"/>
      </c>
      <c r="I143" s="296">
        <f t="shared" si="3"/>
      </c>
      <c r="J143" s="296">
        <f>G142/E143</f>
      </c>
      <c r="K143" s="295">
        <v>3</v>
      </c>
      <c r="L143" s="295">
        <v>2832</v>
      </c>
      <c r="M143" s="298"/>
      <c r="N143" s="298"/>
      <c r="O143" s="305"/>
      <c r="P143" s="298"/>
    </row>
    <row r="144">
      <c r="A144" s="294" t="s">
        <v>883</v>
      </c>
      <c r="B144" s="297" t="s">
        <v>841</v>
      </c>
      <c r="C144" s="295" t="s">
        <v>854</v>
      </c>
      <c r="D144" s="295">
        <v>4</v>
      </c>
      <c r="E144" s="295">
        <v>12</v>
      </c>
      <c r="F144" s="295">
        <v>17124</v>
      </c>
      <c r="G144" s="295">
        <v>8922.24</v>
      </c>
      <c r="H144" s="296">
        <f t="shared" si="2"/>
      </c>
      <c r="I144" s="296">
        <f t="shared" si="3"/>
      </c>
      <c r="J144" s="296">
        <f t="shared" ref="J144:J147" si="20">G144/E144</f>
      </c>
      <c r="K144" s="295">
        <v>3</v>
      </c>
      <c r="L144" s="295">
        <v>3756</v>
      </c>
      <c r="M144" s="298"/>
      <c r="N144" s="298"/>
      <c r="O144" s="298"/>
      <c r="P144" s="298"/>
    </row>
    <row r="145">
      <c r="A145" s="294" t="s">
        <v>883</v>
      </c>
      <c r="B145" s="297" t="s">
        <v>870</v>
      </c>
      <c r="C145" s="295" t="s">
        <v>836</v>
      </c>
      <c r="D145" s="295">
        <v>4</v>
      </c>
      <c r="E145" s="295">
        <v>14</v>
      </c>
      <c r="F145" s="295">
        <v>15960</v>
      </c>
      <c r="G145" s="295">
        <v>10299.06</v>
      </c>
      <c r="H145" s="296">
        <f t="shared" si="2"/>
      </c>
      <c r="I145" s="296">
        <f t="shared" si="3"/>
      </c>
      <c r="J145" s="296">
        <f t="shared" si="20"/>
      </c>
      <c r="K145" s="295">
        <v>3</v>
      </c>
      <c r="L145" s="295">
        <v>3348</v>
      </c>
      <c r="M145" s="295" t="s">
        <v>829</v>
      </c>
      <c r="N145" s="295">
        <v>8</v>
      </c>
      <c r="O145" s="298" t="s">
        <v>838</v>
      </c>
      <c r="P145" s="298">
        <v>8</v>
      </c>
    </row>
    <row r="146">
      <c r="A146" s="306" t="s">
        <v>883</v>
      </c>
      <c r="B146" s="300"/>
      <c r="C146" s="300"/>
      <c r="D146" s="301">
        <f>SUM(D142:D145)</f>
      </c>
      <c r="E146" s="301">
        <f>SUM(E142:E145)</f>
      </c>
      <c r="F146" s="301">
        <f>SUM(F142:F145)</f>
      </c>
      <c r="G146" s="301">
        <f>SUM(G142:G145)</f>
      </c>
      <c r="H146" s="302">
        <f t="shared" si="2"/>
      </c>
      <c r="I146" s="302">
        <f t="shared" si="3"/>
      </c>
      <c r="J146" s="302">
        <f t="shared" si="20"/>
      </c>
      <c r="K146" s="301">
        <f>SUM(K142:K145)</f>
      </c>
      <c r="L146" s="301">
        <f>SUM(L142:L145)</f>
      </c>
      <c r="M146" s="300"/>
      <c r="N146" s="301">
        <f>SUM(N142:N145)</f>
      </c>
      <c r="O146" s="300"/>
      <c r="P146" s="300">
        <f>SUM(P142:P145)</f>
      </c>
    </row>
    <row r="147">
      <c r="A147" s="294" t="s">
        <v>884</v>
      </c>
      <c r="B147" s="297" t="s">
        <v>841</v>
      </c>
      <c r="C147" s="295" t="s">
        <v>885</v>
      </c>
      <c r="D147" s="295">
        <v>4</v>
      </c>
      <c r="E147" s="295">
        <v>40</v>
      </c>
      <c r="F147" s="295">
        <v>48626</v>
      </c>
      <c r="G147" s="295">
        <v>30041.550000000003</v>
      </c>
      <c r="H147" s="296">
        <f t="shared" si="2"/>
      </c>
      <c r="I147" s="296">
        <f t="shared" si="3"/>
      </c>
      <c r="J147" s="296">
        <f t="shared" si="20"/>
      </c>
      <c r="K147" s="295">
        <v>5</v>
      </c>
      <c r="L147" s="295">
        <v>6246</v>
      </c>
      <c r="M147" s="295" t="s">
        <v>837</v>
      </c>
      <c r="N147" s="295">
        <v>8</v>
      </c>
      <c r="O147" s="298" t="s">
        <v>830</v>
      </c>
      <c r="P147" s="298">
        <v>8</v>
      </c>
    </row>
    <row r="148">
      <c r="A148" s="294" t="s">
        <v>884</v>
      </c>
      <c r="B148" s="297" t="s">
        <v>833</v>
      </c>
      <c r="C148" s="295" t="s">
        <v>886</v>
      </c>
      <c r="D148" s="295">
        <v>4</v>
      </c>
      <c r="E148" s="295">
        <v>22</v>
      </c>
      <c r="F148" s="295">
        <v>23748</v>
      </c>
      <c r="G148" s="295">
        <v>21064.11</v>
      </c>
      <c r="H148" s="296">
        <f t="shared" si="2"/>
      </c>
      <c r="I148" s="296">
        <f t="shared" si="3"/>
      </c>
      <c r="J148" s="296">
        <f>G147/E148</f>
      </c>
      <c r="K148" s="295">
        <v>3</v>
      </c>
      <c r="L148" s="295">
        <v>1140</v>
      </c>
      <c r="M148" s="298"/>
      <c r="N148" s="298"/>
      <c r="O148" s="305"/>
      <c r="P148" s="298"/>
    </row>
    <row r="149">
      <c r="A149" s="294" t="s">
        <v>884</v>
      </c>
      <c r="B149" s="297" t="s">
        <v>831</v>
      </c>
      <c r="C149" s="295" t="s">
        <v>887</v>
      </c>
      <c r="D149" s="295">
        <v>4</v>
      </c>
      <c r="E149" s="295">
        <v>27</v>
      </c>
      <c r="F149" s="295">
        <v>33000.36</v>
      </c>
      <c r="G149" s="295">
        <v>13606.66</v>
      </c>
      <c r="H149" s="296">
        <f t="shared" si="2"/>
      </c>
      <c r="I149" s="296">
        <f t="shared" si="3"/>
      </c>
      <c r="J149" s="296">
        <f t="shared" ref="J149:J151" si="21">G149/E149</f>
      </c>
      <c r="K149" s="295">
        <v>3</v>
      </c>
      <c r="L149" s="295">
        <v>2119.2</v>
      </c>
      <c r="M149" s="298"/>
      <c r="N149" s="298"/>
      <c r="O149" s="298"/>
      <c r="P149" s="298"/>
    </row>
    <row r="150">
      <c r="A150" s="294" t="s">
        <v>884</v>
      </c>
      <c r="B150" s="297" t="s">
        <v>870</v>
      </c>
      <c r="C150" s="295" t="s">
        <v>866</v>
      </c>
      <c r="D150" s="295">
        <v>4</v>
      </c>
      <c r="E150" s="295">
        <v>17</v>
      </c>
      <c r="F150" s="295">
        <v>18326.4</v>
      </c>
      <c r="G150" s="295">
        <v>11342.52</v>
      </c>
      <c r="H150" s="296">
        <f t="shared" si="2"/>
      </c>
      <c r="I150" s="296">
        <f t="shared" si="3"/>
      </c>
      <c r="J150" s="296">
        <f t="shared" si="21"/>
      </c>
      <c r="K150" s="295">
        <v>2</v>
      </c>
      <c r="L150" s="295">
        <v>1152</v>
      </c>
      <c r="M150" s="295" t="s">
        <v>829</v>
      </c>
      <c r="N150" s="295">
        <v>8</v>
      </c>
      <c r="O150" s="298" t="s">
        <v>838</v>
      </c>
      <c r="P150" s="298">
        <v>8</v>
      </c>
    </row>
    <row r="151">
      <c r="A151" s="306" t="s">
        <v>884</v>
      </c>
      <c r="B151" s="300"/>
      <c r="C151" s="300"/>
      <c r="D151" s="301">
        <f>SUM(D147:D150)</f>
      </c>
      <c r="E151" s="301">
        <f>SUM(E147:E150)</f>
      </c>
      <c r="F151" s="301">
        <f>SUM(F147:F150)</f>
      </c>
      <c r="G151" s="301">
        <f>SUM(G147:G150)</f>
      </c>
      <c r="H151" s="302">
        <f t="shared" si="2"/>
      </c>
      <c r="I151" s="302">
        <f t="shared" si="3"/>
      </c>
      <c r="J151" s="302">
        <f t="shared" si="21"/>
      </c>
      <c r="K151" s="301">
        <f>SUM(K147:K150)</f>
      </c>
      <c r="L151" s="301">
        <f>SUM(L147:L150)</f>
      </c>
      <c r="M151" s="300"/>
      <c r="N151" s="301">
        <f>SUM(N147:N150)</f>
      </c>
      <c r="O151" s="300"/>
      <c r="P151" s="300">
        <f>SUM(P147:P150)</f>
      </c>
    </row>
    <row r="152"/>
    <row r="153"/>
    <row r="154"/>
    <row r="155"/>
    <row r="156"/>
    <row r="157">
      <c r="C157" s="307"/>
      <c r="D157" s="307"/>
      <c r="E157" s="307"/>
      <c r="F157" s="308"/>
      <c r="G157" s="308"/>
      <c r="I157" s="309"/>
      <c r="J157" s="310"/>
      <c r="K157" s="310"/>
      <c r="L157" s="310"/>
      <c r="M157" s="310"/>
      <c r="N157" s="310"/>
      <c r="O157" s="310"/>
    </row>
    <row r="158">
      <c r="B158" s="307"/>
      <c r="C158" s="307"/>
      <c r="D158" s="307"/>
      <c r="E158" s="307"/>
      <c r="F158" s="308"/>
      <c r="G158" s="308"/>
      <c r="I158" s="309"/>
      <c r="J158" s="310"/>
      <c r="K158" s="310"/>
      <c r="L158" s="310"/>
      <c r="M158" s="310"/>
      <c r="N158" s="310"/>
      <c r="O158" s="310"/>
    </row>
    <row r="159">
      <c r="C159" s="307"/>
      <c r="D159" s="307"/>
      <c r="E159" s="307"/>
      <c r="F159" s="308"/>
      <c r="G159" s="308"/>
      <c r="I159" s="309"/>
      <c r="J159" s="310"/>
      <c r="K159" s="310"/>
      <c r="L159" s="310"/>
      <c r="M159" s="310"/>
      <c r="N159" s="310"/>
      <c r="O159" s="310"/>
    </row>
    <row r="160">
      <c r="C160" s="307"/>
      <c r="D160" s="307"/>
      <c r="E160" s="307"/>
      <c r="F160" s="308"/>
      <c r="G160" s="308"/>
      <c r="I160" s="311"/>
      <c r="J160" s="310"/>
      <c r="K160" s="310"/>
      <c r="L160" s="310"/>
      <c r="M160" s="310"/>
      <c r="N160" s="310"/>
      <c r="O160" s="310"/>
    </row>
    <row r="161">
      <c r="B161" s="307"/>
      <c r="C161" s="307"/>
      <c r="D161" s="307"/>
      <c r="E161" s="307"/>
      <c r="F161" s="308"/>
      <c r="G161" s="312" t="s">
        <v>888</v>
      </c>
      <c r="H161" s="313" t="s">
        <v>818</v>
      </c>
      <c r="I161" s="309"/>
      <c r="J161" s="310"/>
      <c r="K161" s="310"/>
      <c r="L161" s="310"/>
      <c r="M161" s="310"/>
      <c r="N161" s="310"/>
      <c r="O161" s="310"/>
    </row>
    <row r="162">
      <c r="G162" s="308">
        <f t="shared" ref="G162:G170" si="0">D162/E162</f>
      </c>
      <c r="H162" s="308">
        <f t="shared" ref="H162:H170" si="1">D162/C162</f>
      </c>
      <c r="I162" s="310"/>
      <c r="J162" s="310"/>
      <c r="K162" s="310"/>
      <c r="L162" s="310"/>
      <c r="M162" s="310"/>
      <c r="N162" s="310"/>
      <c r="O162" s="310"/>
    </row>
    <row r="163">
      <c r="G163" s="308">
        <f t="shared" si="0"/>
      </c>
      <c r="H163" s="308">
        <f t="shared" si="1"/>
      </c>
    </row>
    <row r="164">
      <c r="G164" s="308">
        <f t="shared" si="0"/>
      </c>
      <c r="H164" s="308">
        <f t="shared" si="1"/>
      </c>
    </row>
    <row r="165">
      <c r="G165" s="308">
        <f t="shared" si="0"/>
      </c>
      <c r="H165" s="308">
        <f t="shared" si="1"/>
      </c>
    </row>
    <row r="166">
      <c r="G166" s="308">
        <f t="shared" si="0"/>
      </c>
      <c r="H166" s="308">
        <f t="shared" si="1"/>
      </c>
      <c r="K166" s="307"/>
      <c r="L166" s="307"/>
      <c r="M166" s="307"/>
    </row>
    <row r="167">
      <c r="G167" s="308">
        <f t="shared" si="0"/>
      </c>
      <c r="H167" s="308">
        <f t="shared" si="1"/>
      </c>
    </row>
    <row r="168">
      <c r="G168" s="308">
        <f t="shared" si="0"/>
      </c>
      <c r="H168" s="308">
        <f t="shared" si="1"/>
      </c>
    </row>
    <row r="169">
      <c r="G169" s="308">
        <f t="shared" si="0"/>
      </c>
      <c r="H169" s="308">
        <f t="shared" si="1"/>
      </c>
    </row>
    <row r="170">
      <c r="G170" s="308">
        <f t="shared" si="0"/>
      </c>
      <c r="H170" s="308">
        <f t="shared" si="1"/>
      </c>
    </row>
    <row r="171"/>
    <row r="172"/>
    <row r="173"/>
    <row r="174"/>
    <row r="175">
      <c r="I175" s="314"/>
      <c r="K175" s="314"/>
    </row>
    <row r="176"/>
    <row r="177"/>
    <row r="178"/>
    <row r="179"/>
    <row r="180"/>
    <row r="181"/>
    <row r="182">
      <c r="C182" s="315" t="s">
        <v>837</v>
      </c>
      <c r="D182" t="s">
        <v>837</v>
      </c>
    </row>
    <row r="183">
      <c r="E183" s="307"/>
      <c r="F183" s="307"/>
    </row>
    <row r="184"/>
    <row r="185">
      <c r="F185" t="s">
        <v>837</v>
      </c>
      <c r="G185" t="s">
        <v>837</v>
      </c>
    </row>
  </sheetData>
  <autoFilter ref="A1:P159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316" t="s">
        <v>889</v>
      </c>
      <c r="B1" s="316" t="s">
        <v>890</v>
      </c>
      <c r="C1" s="316" t="s">
        <v>891</v>
      </c>
      <c r="D1" s="316" t="s">
        <v>892</v>
      </c>
      <c r="E1" s="316" t="s">
        <v>893</v>
      </c>
      <c r="F1" s="317" t="s">
        <v>894</v>
      </c>
      <c r="G1" s="317" t="s">
        <v>895</v>
      </c>
      <c r="H1" s="317" t="s">
        <v>896</v>
      </c>
      <c r="I1" s="317" t="s">
        <v>897</v>
      </c>
      <c r="J1" s="317" t="s">
        <v>898</v>
      </c>
      <c r="K1" s="316" t="s">
        <v>899</v>
      </c>
      <c r="L1" s="316" t="s">
        <v>900</v>
      </c>
      <c r="M1" s="316" t="s">
        <v>901</v>
      </c>
      <c r="N1" s="316" t="s">
        <v>902</v>
      </c>
      <c r="O1" s="316" t="s">
        <v>903</v>
      </c>
      <c r="P1" s="316" t="s">
        <v>904</v>
      </c>
    </row>
    <row hidden="true" r="2">
      <c r="A2" s="318" t="s">
        <v>905</v>
      </c>
      <c r="B2" s="319" t="s">
        <v>906</v>
      </c>
      <c r="C2" s="320" t="s">
        <v>907</v>
      </c>
      <c r="D2" s="320">
        <v>5</v>
      </c>
      <c r="E2" s="320">
        <v>85</v>
      </c>
      <c r="F2" s="321">
        <v>83085.6</v>
      </c>
      <c r="G2" s="321">
        <v>51128.1</v>
      </c>
      <c r="H2" s="322">
        <f t="shared" ref="H2:H153" si="0">F2/G2</f>
      </c>
      <c r="I2" s="322">
        <f t="shared" ref="I2:I153" si="1">F2/E2</f>
      </c>
      <c r="J2" s="322">
        <f t="shared" ref="J2:J153" si="2">G2/E2</f>
      </c>
      <c r="K2" s="320">
        <v>22</v>
      </c>
      <c r="L2" s="320">
        <v>16819.2</v>
      </c>
      <c r="M2" s="320" t="s">
        <v>908</v>
      </c>
      <c r="N2" s="320">
        <v>2.4</v>
      </c>
      <c r="O2" s="321"/>
      <c r="P2" s="321"/>
    </row>
    <row hidden="true" r="3">
      <c r="A3" s="318" t="s">
        <v>905</v>
      </c>
      <c r="B3" s="323" t="s">
        <v>909</v>
      </c>
      <c r="C3" s="324" t="s">
        <v>910</v>
      </c>
      <c r="D3" s="320">
        <v>5</v>
      </c>
      <c r="E3" s="320">
        <v>76</v>
      </c>
      <c r="F3" s="320">
        <v>73104</v>
      </c>
      <c r="G3" s="320">
        <v>62653.6</v>
      </c>
      <c r="H3" s="322">
        <f t="shared" si="0"/>
      </c>
      <c r="I3" s="322">
        <f t="shared" si="1"/>
      </c>
      <c r="J3" s="322">
        <f t="shared" si="2"/>
      </c>
      <c r="K3" s="320">
        <v>20</v>
      </c>
      <c r="L3" s="320">
        <v>13068</v>
      </c>
      <c r="M3" s="321"/>
      <c r="N3" s="321"/>
      <c r="O3" s="321"/>
      <c r="P3" s="321"/>
    </row>
    <row hidden="true" r="4">
      <c r="A4" s="318" t="s">
        <v>905</v>
      </c>
      <c r="B4" s="323" t="s">
        <v>911</v>
      </c>
      <c r="C4" s="324" t="s">
        <v>912</v>
      </c>
      <c r="D4" s="320">
        <v>4</v>
      </c>
      <c r="E4" s="320">
        <v>72</v>
      </c>
      <c r="F4" s="320">
        <v>78040.8</v>
      </c>
      <c r="G4" s="320">
        <v>49937.44</v>
      </c>
      <c r="H4" s="322">
        <f t="shared" si="0"/>
      </c>
      <c r="I4" s="322">
        <f t="shared" si="1"/>
      </c>
      <c r="J4" s="322">
        <f t="shared" si="2"/>
      </c>
      <c r="K4" s="320">
        <v>18</v>
      </c>
      <c r="L4" s="320">
        <v>12840</v>
      </c>
      <c r="M4" s="320" t="s">
        <v>913</v>
      </c>
      <c r="N4" s="320">
        <v>8</v>
      </c>
      <c r="O4" s="320" t="s">
        <v>914</v>
      </c>
      <c r="P4" s="320">
        <v>14</v>
      </c>
    </row>
    <row r="5">
      <c r="A5" s="325" t="s">
        <v>905</v>
      </c>
      <c r="B5" s="326"/>
      <c r="C5" s="327"/>
      <c r="D5" s="328">
        <f>SUM(D2:D4)</f>
      </c>
      <c r="E5" s="328">
        <f>SUM(E2:E4)</f>
      </c>
      <c r="F5" s="328">
        <f>SUM(F2:F4)</f>
      </c>
      <c r="G5" s="328">
        <f>SUM(G2:G4)</f>
      </c>
      <c r="H5" s="329">
        <f t="shared" si="0"/>
      </c>
      <c r="I5" s="329">
        <f t="shared" si="1"/>
      </c>
      <c r="J5" s="329">
        <f t="shared" si="2"/>
      </c>
      <c r="K5" s="327">
        <f>SUM(K2:K4)</f>
      </c>
      <c r="L5" s="327">
        <f>SUM(L2:L4)</f>
      </c>
      <c r="M5" s="327"/>
      <c r="N5" s="328">
        <f>SUM(N2:N4)</f>
      </c>
      <c r="O5" s="327"/>
      <c r="P5" s="327"/>
    </row>
    <row hidden="true" r="6">
      <c r="A6" s="318" t="s">
        <v>915</v>
      </c>
      <c r="B6" s="319" t="s">
        <v>906</v>
      </c>
      <c r="C6" s="320" t="s">
        <v>916</v>
      </c>
      <c r="D6" s="320">
        <v>5</v>
      </c>
      <c r="E6" s="320">
        <v>82</v>
      </c>
      <c r="F6" s="321">
        <v>93408</v>
      </c>
      <c r="G6" s="321">
        <v>72780.68999999999</v>
      </c>
      <c r="H6" s="322">
        <f t="shared" si="0"/>
      </c>
      <c r="I6" s="322">
        <f t="shared" si="1"/>
      </c>
      <c r="J6" s="322">
        <f t="shared" si="2"/>
      </c>
      <c r="K6" s="320">
        <v>13</v>
      </c>
      <c r="L6" s="320">
        <v>16308</v>
      </c>
      <c r="M6" s="320" t="s">
        <v>908</v>
      </c>
      <c r="N6" s="320">
        <v>2.8</v>
      </c>
      <c r="O6" s="321"/>
      <c r="P6" s="321"/>
    </row>
    <row hidden="true" r="7">
      <c r="A7" s="318" t="s">
        <v>915</v>
      </c>
      <c r="B7" s="323" t="s">
        <v>909</v>
      </c>
      <c r="C7" s="324" t="s">
        <v>917</v>
      </c>
      <c r="D7" s="320">
        <v>5</v>
      </c>
      <c r="E7" s="320">
        <v>74</v>
      </c>
      <c r="F7" s="320">
        <v>89624.64000000001</v>
      </c>
      <c r="G7" s="320">
        <v>49311.219999999994</v>
      </c>
      <c r="H7" s="322">
        <f t="shared" si="0"/>
      </c>
      <c r="I7" s="322">
        <f t="shared" si="1"/>
      </c>
      <c r="J7" s="322">
        <f t="shared" si="2"/>
      </c>
      <c r="K7" s="320">
        <v>14</v>
      </c>
      <c r="L7" s="320">
        <v>16404</v>
      </c>
      <c r="M7" s="321"/>
      <c r="N7" s="321"/>
      <c r="O7" s="321"/>
      <c r="P7" s="321"/>
    </row>
    <row hidden="true" r="8">
      <c r="A8" s="318" t="s">
        <v>915</v>
      </c>
      <c r="B8" s="323" t="s">
        <v>911</v>
      </c>
      <c r="C8" s="324" t="s">
        <v>918</v>
      </c>
      <c r="D8" s="320">
        <v>5</v>
      </c>
      <c r="E8" s="320">
        <v>87</v>
      </c>
      <c r="F8" s="320">
        <v>101682</v>
      </c>
      <c r="G8" s="320">
        <v>48318.490000000005</v>
      </c>
      <c r="H8" s="322">
        <f t="shared" si="0"/>
      </c>
      <c r="I8" s="322">
        <f t="shared" si="1"/>
      </c>
      <c r="J8" s="322">
        <f t="shared" si="2"/>
      </c>
      <c r="K8" s="320">
        <v>16</v>
      </c>
      <c r="L8" s="320">
        <v>19284</v>
      </c>
      <c r="M8" s="320" t="s">
        <v>919</v>
      </c>
      <c r="N8" s="320">
        <v>8</v>
      </c>
      <c r="O8" s="320" t="s">
        <v>914</v>
      </c>
      <c r="P8" s="320">
        <v>14</v>
      </c>
    </row>
    <row r="9">
      <c r="A9" s="325" t="s">
        <v>915</v>
      </c>
      <c r="B9" s="326"/>
      <c r="C9" s="327"/>
      <c r="D9" s="328">
        <f>SUM(D6:D8)</f>
      </c>
      <c r="E9" s="328">
        <f>SUM(E6:E8)</f>
      </c>
      <c r="F9" s="328">
        <f>SUM(F6:F8)</f>
      </c>
      <c r="G9" s="328">
        <f>SUM(G6:G8)</f>
      </c>
      <c r="H9" s="329">
        <f t="shared" si="0"/>
      </c>
      <c r="I9" s="329">
        <f t="shared" si="1"/>
      </c>
      <c r="J9" s="329">
        <f t="shared" si="2"/>
      </c>
      <c r="K9" s="327">
        <f>SUM(K6:K8)</f>
      </c>
      <c r="L9" s="327">
        <f>SUM(L6:L8)</f>
      </c>
      <c r="M9" s="327"/>
      <c r="N9" s="328">
        <f>SUM(N6:N8)</f>
      </c>
      <c r="O9" s="327"/>
      <c r="P9" s="327"/>
    </row>
    <row hidden="true" r="10">
      <c r="A10" s="318" t="s">
        <v>920</v>
      </c>
      <c r="B10" s="319" t="s">
        <v>906</v>
      </c>
      <c r="C10" s="320" t="s">
        <v>907</v>
      </c>
      <c r="D10" s="320">
        <v>5</v>
      </c>
      <c r="E10" s="320">
        <v>105</v>
      </c>
      <c r="F10" s="321">
        <v>106472.6</v>
      </c>
      <c r="G10" s="321">
        <v>70851.92</v>
      </c>
      <c r="H10" s="322">
        <f t="shared" si="0"/>
      </c>
      <c r="I10" s="322">
        <f t="shared" si="1"/>
      </c>
      <c r="J10" s="322">
        <f t="shared" si="2"/>
      </c>
      <c r="K10" s="320">
        <v>26</v>
      </c>
      <c r="L10" s="320">
        <v>20126</v>
      </c>
      <c r="M10" s="320" t="s">
        <v>908</v>
      </c>
      <c r="N10" s="320">
        <v>2.4</v>
      </c>
      <c r="O10" s="321"/>
      <c r="P10" s="321"/>
    </row>
    <row hidden="true" r="11">
      <c r="A11" s="318" t="s">
        <v>920</v>
      </c>
      <c r="B11" s="323" t="s">
        <v>909</v>
      </c>
      <c r="C11" s="324" t="s">
        <v>910</v>
      </c>
      <c r="D11" s="320">
        <v>5</v>
      </c>
      <c r="E11" s="320">
        <v>56</v>
      </c>
      <c r="F11" s="320">
        <v>62235.2</v>
      </c>
      <c r="G11" s="320">
        <v>42114.79</v>
      </c>
      <c r="H11" s="322">
        <f t="shared" si="0"/>
      </c>
      <c r="I11" s="322">
        <f t="shared" si="1"/>
      </c>
      <c r="J11" s="322">
        <f t="shared" si="2"/>
      </c>
      <c r="K11" s="320">
        <v>18</v>
      </c>
      <c r="L11" s="320">
        <v>12549.6</v>
      </c>
      <c r="M11" s="321"/>
      <c r="N11" s="321"/>
      <c r="O11" s="321"/>
      <c r="P11" s="321"/>
    </row>
    <row hidden="true" r="12">
      <c r="A12" s="318" t="s">
        <v>920</v>
      </c>
      <c r="B12" s="323" t="s">
        <v>911</v>
      </c>
      <c r="C12" s="324" t="s">
        <v>912</v>
      </c>
      <c r="D12" s="320">
        <v>4</v>
      </c>
      <c r="E12" s="320">
        <v>67</v>
      </c>
      <c r="F12" s="320">
        <v>72376.8</v>
      </c>
      <c r="G12" s="320">
        <v>47827.95</v>
      </c>
      <c r="H12" s="322">
        <f t="shared" si="0"/>
      </c>
      <c r="I12" s="322">
        <f t="shared" si="1"/>
      </c>
      <c r="J12" s="322">
        <f t="shared" si="2"/>
      </c>
      <c r="K12" s="320">
        <v>19</v>
      </c>
      <c r="L12" s="320">
        <v>14292</v>
      </c>
      <c r="M12" s="320" t="s">
        <v>913</v>
      </c>
      <c r="N12" s="320">
        <v>8</v>
      </c>
      <c r="O12" s="320" t="s">
        <v>914</v>
      </c>
      <c r="P12" s="320">
        <v>14</v>
      </c>
    </row>
    <row r="13">
      <c r="A13" s="325" t="s">
        <v>920</v>
      </c>
      <c r="B13" s="326"/>
      <c r="C13" s="327"/>
      <c r="D13" s="328">
        <f>SUM(D10:D12)</f>
      </c>
      <c r="E13" s="328">
        <f>SUM(E10:E12)</f>
      </c>
      <c r="F13" s="328">
        <f>SUM(F10:F12)</f>
      </c>
      <c r="G13" s="328">
        <f>SUM(G10:G12)</f>
      </c>
      <c r="H13" s="329">
        <f t="shared" si="0"/>
      </c>
      <c r="I13" s="329">
        <f t="shared" si="1"/>
      </c>
      <c r="J13" s="329">
        <f t="shared" si="2"/>
      </c>
      <c r="K13" s="327">
        <f>SUM(K10:K12)</f>
      </c>
      <c r="L13" s="327">
        <f>SUM(L10:L12)</f>
      </c>
      <c r="M13" s="327"/>
      <c r="N13" s="328">
        <f>SUM(N10:N12)</f>
      </c>
      <c r="O13" s="327"/>
      <c r="P13" s="327"/>
    </row>
    <row hidden="true" r="14">
      <c r="A14" s="318" t="s">
        <v>921</v>
      </c>
      <c r="B14" s="319" t="s">
        <v>906</v>
      </c>
      <c r="C14" s="320" t="s">
        <v>916</v>
      </c>
      <c r="D14" s="320">
        <v>5</v>
      </c>
      <c r="E14" s="320">
        <v>75</v>
      </c>
      <c r="F14" s="321">
        <v>82920</v>
      </c>
      <c r="G14" s="321">
        <v>53607.18</v>
      </c>
      <c r="H14" s="322">
        <f t="shared" si="0"/>
      </c>
      <c r="I14" s="322">
        <f t="shared" si="1"/>
      </c>
      <c r="J14" s="322">
        <f t="shared" si="2"/>
      </c>
      <c r="K14" s="320">
        <v>16</v>
      </c>
      <c r="L14" s="320">
        <v>14013.6</v>
      </c>
      <c r="M14" s="320" t="s">
        <v>908</v>
      </c>
      <c r="N14" s="320">
        <v>0.4</v>
      </c>
      <c r="O14" s="321"/>
      <c r="P14" s="321"/>
    </row>
    <row hidden="true" r="15">
      <c r="A15" s="318" t="s">
        <v>921</v>
      </c>
      <c r="B15" s="323" t="s">
        <v>909</v>
      </c>
      <c r="C15" s="324" t="s">
        <v>917</v>
      </c>
      <c r="D15" s="320">
        <v>5</v>
      </c>
      <c r="E15" s="320">
        <v>71</v>
      </c>
      <c r="F15" s="320">
        <v>70610.79999999999</v>
      </c>
      <c r="G15" s="320">
        <v>55759.72</v>
      </c>
      <c r="H15" s="322">
        <f t="shared" si="0"/>
      </c>
      <c r="I15" s="322">
        <f t="shared" si="1"/>
      </c>
      <c r="J15" s="322">
        <f t="shared" si="2"/>
      </c>
      <c r="K15" s="320">
        <v>20</v>
      </c>
      <c r="L15" s="320">
        <v>14320.199999999999</v>
      </c>
      <c r="M15" s="320" t="s">
        <v>922</v>
      </c>
      <c r="N15" s="320">
        <v>8</v>
      </c>
      <c r="O15" s="321"/>
      <c r="P15" s="321"/>
    </row>
    <row hidden="true" r="16">
      <c r="A16" s="318" t="s">
        <v>921</v>
      </c>
      <c r="B16" s="323" t="s">
        <v>911</v>
      </c>
      <c r="C16" s="324" t="s">
        <v>918</v>
      </c>
      <c r="D16" s="320">
        <v>5</v>
      </c>
      <c r="E16" s="320">
        <v>74</v>
      </c>
      <c r="F16" s="320">
        <v>93044.36000000002</v>
      </c>
      <c r="G16" s="320">
        <v>52630.700000000004</v>
      </c>
      <c r="H16" s="322">
        <f t="shared" si="0"/>
      </c>
      <c r="I16" s="322">
        <f t="shared" si="1"/>
      </c>
      <c r="J16" s="322">
        <f t="shared" si="2"/>
      </c>
      <c r="K16" s="320">
        <v>11</v>
      </c>
      <c r="L16" s="320">
        <v>10524.000000000007</v>
      </c>
      <c r="M16" s="320" t="s">
        <v>923</v>
      </c>
      <c r="N16" s="320">
        <v>4.2</v>
      </c>
      <c r="O16" s="320" t="s">
        <v>914</v>
      </c>
      <c r="P16" s="320">
        <v>15</v>
      </c>
    </row>
    <row r="17">
      <c r="A17" s="325" t="s">
        <v>921</v>
      </c>
      <c r="B17" s="326"/>
      <c r="C17" s="327"/>
      <c r="D17" s="328">
        <f>SUM(D14:D16)</f>
      </c>
      <c r="E17" s="328">
        <f>SUM(E14:E16)</f>
      </c>
      <c r="F17" s="328">
        <f>SUM(F14:F16)</f>
      </c>
      <c r="G17" s="328">
        <f>SUM(G14:G16)</f>
      </c>
      <c r="H17" s="329">
        <f t="shared" si="0"/>
      </c>
      <c r="I17" s="329">
        <f t="shared" si="1"/>
      </c>
      <c r="J17" s="329">
        <f t="shared" si="2"/>
      </c>
      <c r="K17" s="327">
        <f>SUM(K14:K16)</f>
      </c>
      <c r="L17" s="327">
        <f>SUM(L14:L16)</f>
      </c>
      <c r="M17" s="327"/>
      <c r="N17" s="328">
        <f>SUM(N14:N16)</f>
      </c>
      <c r="O17" s="327"/>
      <c r="P17" s="327"/>
    </row>
    <row hidden="true" r="18">
      <c r="A18" s="318" t="s">
        <v>924</v>
      </c>
      <c r="B18" s="319" t="s">
        <v>906</v>
      </c>
      <c r="C18" s="320" t="s">
        <v>916</v>
      </c>
      <c r="D18" s="320">
        <v>5</v>
      </c>
      <c r="E18" s="320">
        <v>80</v>
      </c>
      <c r="F18" s="320">
        <v>84813</v>
      </c>
      <c r="G18" s="320">
        <v>57427.99</v>
      </c>
      <c r="H18" s="322">
        <f t="shared" si="0"/>
      </c>
      <c r="I18" s="322">
        <f t="shared" si="1"/>
      </c>
      <c r="J18" s="322">
        <f t="shared" si="2"/>
      </c>
      <c r="K18" s="320">
        <v>14</v>
      </c>
      <c r="L18" s="320">
        <v>11349.6</v>
      </c>
      <c r="M18" s="320"/>
      <c r="N18" s="320"/>
      <c r="O18" s="321"/>
      <c r="P18" s="321"/>
    </row>
    <row hidden="true" r="19">
      <c r="A19" s="318" t="s">
        <v>924</v>
      </c>
      <c r="B19" s="323" t="s">
        <v>909</v>
      </c>
      <c r="C19" s="324" t="s">
        <v>917</v>
      </c>
      <c r="D19" s="320">
        <v>5</v>
      </c>
      <c r="E19" s="320">
        <v>53</v>
      </c>
      <c r="F19" s="320">
        <v>73727.2</v>
      </c>
      <c r="G19" s="320">
        <v>41264.56</v>
      </c>
      <c r="H19" s="322">
        <f t="shared" si="0"/>
      </c>
      <c r="I19" s="322">
        <f t="shared" si="1"/>
      </c>
      <c r="J19" s="322">
        <f t="shared" si="2"/>
      </c>
      <c r="K19" s="320">
        <v>16</v>
      </c>
      <c r="L19" s="320">
        <v>21608.4</v>
      </c>
      <c r="M19" s="320" t="s">
        <v>922</v>
      </c>
      <c r="N19" s="320">
        <v>7</v>
      </c>
      <c r="O19" s="321"/>
      <c r="P19" s="321"/>
    </row>
    <row hidden="true" r="20">
      <c r="A20" s="318" t="s">
        <v>924</v>
      </c>
      <c r="B20" s="323" t="s">
        <v>911</v>
      </c>
      <c r="C20" s="324" t="s">
        <v>918</v>
      </c>
      <c r="D20" s="320">
        <v>5</v>
      </c>
      <c r="E20" s="320">
        <v>58</v>
      </c>
      <c r="F20" s="320">
        <v>76848</v>
      </c>
      <c r="G20" s="320">
        <v>42702.83</v>
      </c>
      <c r="H20" s="322">
        <f t="shared" si="0"/>
      </c>
      <c r="I20" s="322">
        <f t="shared" si="1"/>
      </c>
      <c r="J20" s="322">
        <f t="shared" si="2"/>
      </c>
      <c r="K20" s="320">
        <v>12</v>
      </c>
      <c r="L20" s="320">
        <v>15009.6</v>
      </c>
      <c r="M20" s="320" t="s">
        <v>913</v>
      </c>
      <c r="N20" s="320">
        <v>8</v>
      </c>
      <c r="O20" s="320" t="s">
        <v>914</v>
      </c>
      <c r="P20" s="320">
        <v>15</v>
      </c>
    </row>
    <row r="21">
      <c r="A21" s="330" t="s">
        <v>924</v>
      </c>
      <c r="B21" s="326"/>
      <c r="C21" s="327"/>
      <c r="D21" s="328">
        <f>SUM(D18:D20)</f>
      </c>
      <c r="E21" s="328">
        <f>SUM(E18:E20)</f>
      </c>
      <c r="F21" s="328">
        <f>SUM(F18:F20)</f>
      </c>
      <c r="G21" s="328">
        <f>SUM(G18:G20)</f>
      </c>
      <c r="H21" s="329">
        <f t="shared" si="0"/>
      </c>
      <c r="I21" s="329">
        <f t="shared" si="1"/>
      </c>
      <c r="J21" s="329">
        <f t="shared" si="2"/>
      </c>
      <c r="K21" s="327">
        <f>SUM(K18:K20)</f>
      </c>
      <c r="L21" s="327">
        <f>SUM(L18:L20)</f>
      </c>
      <c r="M21" s="327"/>
      <c r="N21" s="328">
        <f>SUM(N18:N20)</f>
      </c>
      <c r="O21" s="327"/>
      <c r="P21" s="327"/>
    </row>
    <row hidden="true" r="22">
      <c r="A22" s="331" t="s">
        <v>925</v>
      </c>
      <c r="B22" s="332" t="s">
        <v>906</v>
      </c>
      <c r="C22" s="320" t="s">
        <v>926</v>
      </c>
      <c r="D22" s="321">
        <v>5</v>
      </c>
      <c r="E22" s="320">
        <v>126</v>
      </c>
      <c r="F22" s="320">
        <v>143262.84</v>
      </c>
      <c r="G22" s="320">
        <v>95197.78</v>
      </c>
      <c r="H22" s="322">
        <f t="shared" si="0"/>
      </c>
      <c r="I22" s="322">
        <f t="shared" si="1"/>
      </c>
      <c r="J22" s="322">
        <f t="shared" si="2"/>
      </c>
      <c r="K22" s="321">
        <v>23</v>
      </c>
      <c r="L22" s="321">
        <v>26016</v>
      </c>
      <c r="M22" s="320" t="s">
        <v>908</v>
      </c>
      <c r="N22" s="320">
        <v>0.4</v>
      </c>
      <c r="O22" s="321"/>
      <c r="P22" s="321"/>
    </row>
    <row hidden="true" r="23">
      <c r="A23" s="331" t="s">
        <v>925</v>
      </c>
      <c r="B23" s="332" t="s">
        <v>927</v>
      </c>
      <c r="C23" s="320" t="s">
        <v>928</v>
      </c>
      <c r="D23" s="320">
        <v>4</v>
      </c>
      <c r="E23" s="320">
        <v>40</v>
      </c>
      <c r="F23" s="320">
        <v>45303.84</v>
      </c>
      <c r="G23" s="320">
        <v>33889.55</v>
      </c>
      <c r="H23" s="322">
        <f t="shared" si="0"/>
      </c>
      <c r="I23" s="322">
        <f t="shared" si="1"/>
      </c>
      <c r="J23" s="322">
        <f t="shared" si="2"/>
      </c>
      <c r="K23" s="321">
        <v>10</v>
      </c>
      <c r="L23" s="321">
        <v>12852</v>
      </c>
      <c r="M23" s="321"/>
      <c r="N23" s="321"/>
      <c r="O23" s="321"/>
      <c r="P23" s="321"/>
    </row>
    <row hidden="true" r="24">
      <c r="A24" s="331" t="s">
        <v>925</v>
      </c>
      <c r="B24" s="332" t="s">
        <v>909</v>
      </c>
      <c r="C24" s="320" t="s">
        <v>929</v>
      </c>
      <c r="D24" s="320">
        <v>4</v>
      </c>
      <c r="E24" s="320">
        <v>30</v>
      </c>
      <c r="F24" s="320">
        <v>33091</v>
      </c>
      <c r="G24" s="320">
        <v>22725.3</v>
      </c>
      <c r="H24" s="322">
        <f t="shared" si="0"/>
      </c>
      <c r="I24" s="322">
        <f t="shared" si="1"/>
      </c>
      <c r="J24" s="322">
        <f t="shared" si="2"/>
      </c>
      <c r="K24" s="321">
        <v>5</v>
      </c>
      <c r="L24" s="321">
        <v>6852</v>
      </c>
      <c r="M24" s="320" t="s">
        <v>922</v>
      </c>
      <c r="N24" s="320">
        <v>8</v>
      </c>
      <c r="O24" s="321"/>
      <c r="P24" s="321"/>
    </row>
    <row hidden="true" r="25">
      <c r="A25" s="331" t="s">
        <v>925</v>
      </c>
      <c r="B25" s="320" t="s">
        <v>911</v>
      </c>
      <c r="C25" s="320" t="s">
        <v>930</v>
      </c>
      <c r="D25" s="321">
        <v>5</v>
      </c>
      <c r="E25" s="320">
        <v>38</v>
      </c>
      <c r="F25" s="320">
        <v>48693.6</v>
      </c>
      <c r="G25" s="320">
        <v>23448.33</v>
      </c>
      <c r="H25" s="322">
        <f t="shared" si="0"/>
      </c>
      <c r="I25" s="322">
        <f t="shared" si="1"/>
      </c>
      <c r="J25" s="322">
        <f t="shared" si="2"/>
      </c>
      <c r="K25" s="321">
        <v>5</v>
      </c>
      <c r="L25" s="321">
        <v>5397.6</v>
      </c>
      <c r="M25" s="320" t="s">
        <v>913</v>
      </c>
      <c r="N25" s="320">
        <v>9</v>
      </c>
      <c r="O25" s="320" t="s">
        <v>914</v>
      </c>
      <c r="P25" s="320">
        <v>18</v>
      </c>
    </row>
    <row r="26">
      <c r="A26" s="325" t="s">
        <v>925</v>
      </c>
      <c r="B26" s="327"/>
      <c r="C26" s="327"/>
      <c r="D26" s="328">
        <f>SUM(D22:D25)</f>
      </c>
      <c r="E26" s="328">
        <f>SUM(E22:E25)</f>
      </c>
      <c r="F26" s="328">
        <f>SUM(F22:F25)</f>
      </c>
      <c r="G26" s="328">
        <f>SUM(G22:G25)</f>
      </c>
      <c r="H26" s="329">
        <f t="shared" si="0"/>
      </c>
      <c r="I26" s="329">
        <f t="shared" si="1"/>
      </c>
      <c r="J26" s="329">
        <f t="shared" si="2"/>
      </c>
      <c r="K26" s="328">
        <f>SUM(K22:K25)</f>
      </c>
      <c r="L26" s="328">
        <f>SUM(L22:L25)</f>
      </c>
      <c r="M26" s="327"/>
      <c r="N26" s="328">
        <f>SUM(N22:N25)</f>
      </c>
      <c r="O26" s="327"/>
      <c r="P26" s="327"/>
    </row>
    <row hidden="true" r="27">
      <c r="A27" s="318" t="s">
        <v>931</v>
      </c>
      <c r="B27" s="332" t="s">
        <v>906</v>
      </c>
      <c r="C27" s="320" t="s">
        <v>926</v>
      </c>
      <c r="D27" s="321">
        <v>5</v>
      </c>
      <c r="E27" s="320">
        <v>73</v>
      </c>
      <c r="F27" s="320">
        <v>83348.8</v>
      </c>
      <c r="G27" s="320">
        <v>54624.47</v>
      </c>
      <c r="H27" s="322">
        <f t="shared" si="0"/>
      </c>
      <c r="I27" s="322">
        <f t="shared" si="1"/>
      </c>
      <c r="J27" s="322">
        <f t="shared" si="2"/>
      </c>
      <c r="K27" s="321">
        <v>23</v>
      </c>
      <c r="L27" s="321">
        <v>23628</v>
      </c>
      <c r="M27" s="320"/>
      <c r="N27" s="320"/>
      <c r="O27" s="321"/>
      <c r="P27" s="321"/>
    </row>
    <row hidden="true" r="28">
      <c r="A28" s="318" t="s">
        <v>931</v>
      </c>
      <c r="B28" s="332" t="s">
        <v>927</v>
      </c>
      <c r="C28" s="320" t="s">
        <v>928</v>
      </c>
      <c r="D28" s="320">
        <v>4</v>
      </c>
      <c r="E28" s="320">
        <v>62</v>
      </c>
      <c r="F28" s="320">
        <v>79754.1</v>
      </c>
      <c r="G28" s="320">
        <v>53665.5</v>
      </c>
      <c r="H28" s="322">
        <f t="shared" si="0"/>
      </c>
      <c r="I28" s="322">
        <f t="shared" si="1"/>
      </c>
      <c r="J28" s="322">
        <f t="shared" si="2"/>
      </c>
      <c r="K28" s="321">
        <v>17</v>
      </c>
      <c r="L28" s="321">
        <v>25692</v>
      </c>
      <c r="M28" s="321"/>
      <c r="N28" s="321"/>
      <c r="O28" s="321"/>
      <c r="P28" s="321"/>
    </row>
    <row hidden="true" r="29">
      <c r="A29" s="318" t="s">
        <v>931</v>
      </c>
      <c r="B29" s="332" t="s">
        <v>909</v>
      </c>
      <c r="C29" s="320" t="s">
        <v>929</v>
      </c>
      <c r="D29" s="320">
        <v>4</v>
      </c>
      <c r="E29" s="320">
        <v>24</v>
      </c>
      <c r="F29" s="320">
        <v>28513.2</v>
      </c>
      <c r="G29" s="320">
        <v>23819.61</v>
      </c>
      <c r="H29" s="322">
        <f t="shared" si="0"/>
      </c>
      <c r="I29" s="322">
        <f t="shared" si="1"/>
      </c>
      <c r="J29" s="322">
        <f t="shared" si="2"/>
      </c>
      <c r="K29" s="321">
        <v>5</v>
      </c>
      <c r="L29" s="321">
        <v>5136</v>
      </c>
      <c r="M29" s="320" t="s">
        <v>922</v>
      </c>
      <c r="N29" s="320">
        <v>3.6</v>
      </c>
      <c r="O29" s="321"/>
      <c r="P29" s="321"/>
    </row>
    <row hidden="true" r="30">
      <c r="A30" s="318" t="s">
        <v>931</v>
      </c>
      <c r="B30" s="320" t="s">
        <v>911</v>
      </c>
      <c r="C30" s="320" t="s">
        <v>930</v>
      </c>
      <c r="D30" s="321">
        <v>5</v>
      </c>
      <c r="E30" s="320">
        <v>18</v>
      </c>
      <c r="F30" s="320">
        <v>24938.4</v>
      </c>
      <c r="G30" s="320">
        <v>30412.73</v>
      </c>
      <c r="H30" s="322">
        <f t="shared" si="0"/>
      </c>
      <c r="I30" s="322">
        <f t="shared" si="1"/>
      </c>
      <c r="J30" s="322">
        <f t="shared" si="2"/>
      </c>
      <c r="K30" s="321">
        <v>1</v>
      </c>
      <c r="L30" s="321">
        <v>444</v>
      </c>
      <c r="M30" s="320" t="s">
        <v>913</v>
      </c>
      <c r="N30" s="320">
        <v>9</v>
      </c>
      <c r="O30" s="320" t="s">
        <v>914</v>
      </c>
      <c r="P30" s="320">
        <v>18</v>
      </c>
    </row>
    <row r="31">
      <c r="A31" s="330" t="s">
        <v>931</v>
      </c>
      <c r="B31" s="327"/>
      <c r="C31" s="327"/>
      <c r="D31" s="328">
        <f>SUM(D27:D30)</f>
      </c>
      <c r="E31" s="328">
        <f>SUM(E27:E30)</f>
      </c>
      <c r="F31" s="328">
        <f>SUM(F27:F30)</f>
      </c>
      <c r="G31" s="328">
        <f>SUM(G27:G30)</f>
      </c>
      <c r="H31" s="329">
        <f t="shared" si="0"/>
      </c>
      <c r="I31" s="329">
        <f t="shared" si="1"/>
      </c>
      <c r="J31" s="329">
        <f t="shared" si="2"/>
      </c>
      <c r="K31" s="328">
        <f>SUM(K27:K30)</f>
      </c>
      <c r="L31" s="328">
        <f>SUM(L27:L30)</f>
      </c>
      <c r="M31" s="327"/>
      <c r="N31" s="328">
        <f>SUM(N27:N30)</f>
      </c>
      <c r="O31" s="327"/>
      <c r="P31" s="327"/>
    </row>
    <row hidden="true" r="32">
      <c r="A32" s="318" t="s">
        <v>932</v>
      </c>
      <c r="B32" s="332" t="s">
        <v>906</v>
      </c>
      <c r="C32" s="320" t="s">
        <v>926</v>
      </c>
      <c r="D32" s="321">
        <v>5</v>
      </c>
      <c r="E32" s="320">
        <v>30</v>
      </c>
      <c r="F32" s="320">
        <v>36859.2</v>
      </c>
      <c r="G32" s="320">
        <v>25294.199999999997</v>
      </c>
      <c r="H32" s="322">
        <f t="shared" si="0"/>
      </c>
      <c r="I32" s="322">
        <f t="shared" si="1"/>
      </c>
      <c r="J32" s="322">
        <f t="shared" si="2"/>
      </c>
      <c r="K32" s="321">
        <v>7</v>
      </c>
      <c r="L32" s="321">
        <v>6576</v>
      </c>
      <c r="M32" s="320" t="s">
        <v>908</v>
      </c>
      <c r="N32" s="320">
        <v>3.6</v>
      </c>
      <c r="O32" s="321"/>
      <c r="P32" s="321"/>
    </row>
    <row hidden="true" r="33">
      <c r="A33" s="318" t="s">
        <v>932</v>
      </c>
      <c r="B33" s="332" t="s">
        <v>927</v>
      </c>
      <c r="C33" s="320" t="s">
        <v>928</v>
      </c>
      <c r="D33" s="320">
        <v>4</v>
      </c>
      <c r="E33" s="320">
        <v>39</v>
      </c>
      <c r="F33" s="320">
        <v>42115.2</v>
      </c>
      <c r="G33" s="320">
        <v>34891.2</v>
      </c>
      <c r="H33" s="322">
        <f t="shared" si="0"/>
      </c>
      <c r="I33" s="322">
        <f t="shared" si="1"/>
      </c>
      <c r="J33" s="322">
        <f t="shared" si="2"/>
      </c>
      <c r="K33" s="321">
        <v>11</v>
      </c>
      <c r="L33" s="321">
        <v>10116</v>
      </c>
      <c r="M33" s="321"/>
      <c r="N33" s="321"/>
      <c r="O33" s="321"/>
      <c r="P33" s="321"/>
    </row>
    <row hidden="true" r="34">
      <c r="A34" s="318" t="s">
        <v>932</v>
      </c>
      <c r="B34" s="332" t="s">
        <v>909</v>
      </c>
      <c r="C34" s="320" t="s">
        <v>933</v>
      </c>
      <c r="D34" s="320">
        <v>5</v>
      </c>
      <c r="E34" s="320">
        <v>31</v>
      </c>
      <c r="F34" s="320">
        <v>48840</v>
      </c>
      <c r="G34" s="320">
        <v>30255.31</v>
      </c>
      <c r="H34" s="322">
        <f t="shared" si="0"/>
      </c>
      <c r="I34" s="322">
        <f t="shared" si="1"/>
      </c>
      <c r="J34" s="322">
        <f t="shared" si="2"/>
      </c>
      <c r="K34" s="321">
        <v>7</v>
      </c>
      <c r="L34" s="321">
        <v>8520</v>
      </c>
      <c r="M34" s="320"/>
      <c r="N34" s="320"/>
      <c r="O34" s="321"/>
      <c r="P34" s="321"/>
    </row>
    <row hidden="true" r="35">
      <c r="A35" s="318" t="s">
        <v>932</v>
      </c>
      <c r="B35" s="320" t="s">
        <v>911</v>
      </c>
      <c r="C35" s="320" t="s">
        <v>934</v>
      </c>
      <c r="D35" s="320">
        <v>4</v>
      </c>
      <c r="E35" s="320">
        <v>29</v>
      </c>
      <c r="F35" s="320">
        <v>39912</v>
      </c>
      <c r="G35" s="320">
        <v>19329.18</v>
      </c>
      <c r="H35" s="322">
        <f t="shared" si="0"/>
      </c>
      <c r="I35" s="322">
        <f t="shared" si="1"/>
      </c>
      <c r="J35" s="322">
        <f t="shared" si="2"/>
      </c>
      <c r="K35" s="321">
        <v>2</v>
      </c>
      <c r="L35" s="321">
        <v>1740</v>
      </c>
      <c r="M35" s="320" t="s">
        <v>913</v>
      </c>
      <c r="N35" s="320">
        <v>9</v>
      </c>
      <c r="O35" s="320" t="s">
        <v>914</v>
      </c>
      <c r="P35" s="320">
        <v>18</v>
      </c>
    </row>
    <row r="36">
      <c r="A36" s="330" t="s">
        <v>932</v>
      </c>
      <c r="B36" s="327"/>
      <c r="C36" s="327"/>
      <c r="D36" s="328">
        <f>SUM(D32:D35)</f>
      </c>
      <c r="E36" s="328">
        <f>SUM(E32:E35)</f>
      </c>
      <c r="F36" s="328">
        <f>SUM(F32:F35)</f>
      </c>
      <c r="G36" s="328">
        <f>SUM(G32:G35)</f>
      </c>
      <c r="H36" s="329">
        <f t="shared" si="0"/>
      </c>
      <c r="I36" s="329">
        <f t="shared" si="1"/>
      </c>
      <c r="J36" s="329">
        <f t="shared" si="2"/>
      </c>
      <c r="K36" s="328">
        <f>SUM(K32:K35)</f>
      </c>
      <c r="L36" s="328">
        <f>SUM(L32:L35)</f>
      </c>
      <c r="M36" s="327"/>
      <c r="N36" s="328">
        <f>SUM(N32:N35)</f>
      </c>
      <c r="O36" s="327"/>
      <c r="P36" s="327"/>
    </row>
    <row hidden="true" r="37">
      <c r="A37" s="318" t="s">
        <v>935</v>
      </c>
      <c r="B37" s="332" t="s">
        <v>906</v>
      </c>
      <c r="C37" s="320" t="s">
        <v>936</v>
      </c>
      <c r="D37" s="320">
        <v>4</v>
      </c>
      <c r="E37" s="320">
        <v>24</v>
      </c>
      <c r="F37" s="320">
        <v>32416.8</v>
      </c>
      <c r="G37" s="320">
        <v>19555.09</v>
      </c>
      <c r="H37" s="322">
        <f t="shared" si="0"/>
      </c>
      <c r="I37" s="322">
        <f t="shared" si="1"/>
      </c>
      <c r="J37" s="322">
        <f t="shared" si="2"/>
      </c>
      <c r="K37" s="320">
        <v>4</v>
      </c>
      <c r="L37" s="320">
        <v>6072</v>
      </c>
      <c r="M37" s="320" t="s">
        <v>937</v>
      </c>
      <c r="N37" s="320">
        <v>3.6</v>
      </c>
      <c r="O37" s="321"/>
      <c r="P37" s="321"/>
    </row>
    <row customHeight="true" hidden="true" ht="16.071428571428573" r="38">
      <c r="A38" s="318" t="s">
        <v>935</v>
      </c>
      <c r="B38" s="332" t="s">
        <v>938</v>
      </c>
      <c r="C38" s="320" t="s">
        <v>939</v>
      </c>
      <c r="D38" s="320">
        <v>2</v>
      </c>
      <c r="E38" s="320">
        <v>18</v>
      </c>
      <c r="F38" s="320">
        <v>21735.6</v>
      </c>
      <c r="G38" s="320">
        <v>10118.71</v>
      </c>
      <c r="H38" s="322">
        <f t="shared" si="0"/>
      </c>
      <c r="I38" s="322">
        <f t="shared" si="1"/>
      </c>
      <c r="J38" s="322">
        <f t="shared" si="2"/>
      </c>
      <c r="K38" s="320">
        <v>5</v>
      </c>
      <c r="L38" s="321">
        <v>5241.6</v>
      </c>
      <c r="M38" s="320"/>
      <c r="N38" s="320"/>
      <c r="O38" s="321"/>
      <c r="P38" s="321"/>
    </row>
    <row hidden="true" r="39">
      <c r="A39" s="318" t="s">
        <v>935</v>
      </c>
      <c r="B39" s="332" t="s">
        <v>927</v>
      </c>
      <c r="C39" s="320" t="s">
        <v>940</v>
      </c>
      <c r="D39" s="320">
        <v>4</v>
      </c>
      <c r="E39" s="320">
        <v>30</v>
      </c>
      <c r="F39" s="320">
        <v>35251</v>
      </c>
      <c r="G39" s="320">
        <v>24180.480000000003</v>
      </c>
      <c r="H39" s="322">
        <f t="shared" si="0"/>
      </c>
      <c r="I39" s="322">
        <f t="shared" si="1"/>
      </c>
      <c r="J39" s="322">
        <f t="shared" si="2"/>
      </c>
      <c r="K39" s="320">
        <v>6</v>
      </c>
      <c r="L39" s="321">
        <v>6924</v>
      </c>
      <c r="M39" s="321"/>
      <c r="N39" s="321"/>
      <c r="O39" s="321"/>
      <c r="P39" s="321"/>
    </row>
    <row hidden="true" r="40">
      <c r="A40" s="318" t="s">
        <v>935</v>
      </c>
      <c r="B40" s="332" t="s">
        <v>909</v>
      </c>
      <c r="C40" s="320" t="s">
        <v>941</v>
      </c>
      <c r="D40" s="320">
        <v>4</v>
      </c>
      <c r="E40" s="320">
        <v>66</v>
      </c>
      <c r="F40" s="320">
        <v>92061.6</v>
      </c>
      <c r="G40" s="320">
        <v>46185.69</v>
      </c>
      <c r="H40" s="322">
        <f t="shared" si="0"/>
      </c>
      <c r="I40" s="322">
        <f t="shared" si="1"/>
      </c>
      <c r="J40" s="322">
        <f t="shared" si="2"/>
      </c>
      <c r="K40" s="320">
        <v>12</v>
      </c>
      <c r="L40" s="321">
        <v>10365.6</v>
      </c>
      <c r="M40" s="320"/>
      <c r="N40" s="320"/>
      <c r="O40" s="321"/>
      <c r="P40" s="321"/>
    </row>
    <row hidden="true" r="41">
      <c r="A41" s="318" t="s">
        <v>935</v>
      </c>
      <c r="B41" s="320" t="s">
        <v>911</v>
      </c>
      <c r="C41" s="320" t="s">
        <v>934</v>
      </c>
      <c r="D41" s="320">
        <v>4</v>
      </c>
      <c r="E41" s="320">
        <v>95</v>
      </c>
      <c r="F41" s="320">
        <v>119214</v>
      </c>
      <c r="G41" s="320">
        <v>84478.98000000001</v>
      </c>
      <c r="H41" s="322">
        <f t="shared" si="0"/>
      </c>
      <c r="I41" s="322">
        <f t="shared" si="1"/>
      </c>
      <c r="J41" s="322">
        <f t="shared" si="2"/>
      </c>
      <c r="K41" s="320">
        <v>15</v>
      </c>
      <c r="L41" s="321">
        <v>19294.8</v>
      </c>
      <c r="M41" s="320" t="s">
        <v>942</v>
      </c>
      <c r="N41" s="320">
        <v>9</v>
      </c>
      <c r="O41" s="320" t="s">
        <v>914</v>
      </c>
      <c r="P41" s="320">
        <v>18</v>
      </c>
    </row>
    <row r="42">
      <c r="A42" s="330" t="s">
        <v>935</v>
      </c>
      <c r="B42" s="327"/>
      <c r="C42" s="327"/>
      <c r="D42" s="328">
        <f>SUM(D37:D41)</f>
      </c>
      <c r="E42" s="328">
        <f>SUM(E37:E41)</f>
      </c>
      <c r="F42" s="328">
        <f>SUM(F37:F41)</f>
      </c>
      <c r="G42" s="328">
        <f>SUM(G37:G41)</f>
      </c>
      <c r="H42" s="329">
        <f t="shared" si="0"/>
      </c>
      <c r="I42" s="329">
        <f t="shared" si="1"/>
      </c>
      <c r="J42" s="329">
        <f t="shared" si="2"/>
      </c>
      <c r="K42" s="328">
        <f>SUM(K37:K41)</f>
      </c>
      <c r="L42" s="328">
        <f>SUM(L37:L41)</f>
      </c>
      <c r="M42" s="327"/>
      <c r="N42" s="328">
        <f>SUM(N37:N41)</f>
      </c>
      <c r="O42" s="327"/>
      <c r="P42" s="327"/>
    </row>
    <row hidden="true" r="43">
      <c r="A43" s="318" t="s">
        <v>943</v>
      </c>
      <c r="B43" s="332" t="s">
        <v>906</v>
      </c>
      <c r="C43" s="320" t="s">
        <v>936</v>
      </c>
      <c r="D43" s="320">
        <v>4</v>
      </c>
      <c r="E43" s="320">
        <v>24</v>
      </c>
      <c r="F43" s="320">
        <v>30985.2</v>
      </c>
      <c r="G43" s="320">
        <v>22452.31</v>
      </c>
      <c r="H43" s="322">
        <f t="shared" si="0"/>
      </c>
      <c r="I43" s="322">
        <f t="shared" si="1"/>
      </c>
      <c r="J43" s="322">
        <f t="shared" si="2"/>
      </c>
      <c r="K43" s="320">
        <v>4</v>
      </c>
      <c r="L43" s="320">
        <v>4680</v>
      </c>
      <c r="M43" s="320" t="s">
        <v>937</v>
      </c>
      <c r="N43" s="320">
        <v>3.6</v>
      </c>
      <c r="O43" s="321"/>
      <c r="P43" s="321"/>
    </row>
    <row hidden="true" r="44">
      <c r="A44" s="318" t="s">
        <v>943</v>
      </c>
      <c r="B44" s="332" t="s">
        <v>938</v>
      </c>
      <c r="C44" s="320" t="s">
        <v>939</v>
      </c>
      <c r="D44" s="320">
        <v>2</v>
      </c>
      <c r="E44" s="320">
        <v>12</v>
      </c>
      <c r="F44" s="320">
        <v>16272</v>
      </c>
      <c r="G44" s="320">
        <v>13824.560000000001</v>
      </c>
      <c r="H44" s="322">
        <f t="shared" si="0"/>
      </c>
      <c r="I44" s="322">
        <f t="shared" si="1"/>
      </c>
      <c r="J44" s="322">
        <f t="shared" si="2"/>
      </c>
      <c r="K44" s="320">
        <v>3</v>
      </c>
      <c r="L44" s="320">
        <v>2484</v>
      </c>
      <c r="M44" s="320"/>
      <c r="N44" s="320"/>
      <c r="O44" s="321"/>
      <c r="P44" s="321"/>
    </row>
    <row hidden="true" r="45">
      <c r="A45" s="318" t="s">
        <v>943</v>
      </c>
      <c r="B45" s="332" t="s">
        <v>911</v>
      </c>
      <c r="C45" s="320" t="s">
        <v>940</v>
      </c>
      <c r="D45" s="320">
        <v>4</v>
      </c>
      <c r="E45" s="320">
        <v>45</v>
      </c>
      <c r="F45" s="320">
        <v>59323.2</v>
      </c>
      <c r="G45" s="320">
        <v>33460.42</v>
      </c>
      <c r="H45" s="322">
        <f t="shared" si="0"/>
      </c>
      <c r="I45" s="322">
        <f t="shared" si="1"/>
      </c>
      <c r="J45" s="322">
        <f t="shared" si="2"/>
      </c>
      <c r="K45" s="320">
        <v>11</v>
      </c>
      <c r="L45" s="320">
        <v>14155.2</v>
      </c>
      <c r="M45" s="321"/>
      <c r="N45" s="321"/>
      <c r="O45" s="321"/>
      <c r="P45" s="321"/>
    </row>
    <row hidden="true" r="46">
      <c r="A46" s="318" t="s">
        <v>943</v>
      </c>
      <c r="B46" s="332" t="s">
        <v>927</v>
      </c>
      <c r="C46" s="320" t="s">
        <v>941</v>
      </c>
      <c r="D46" s="320">
        <v>4</v>
      </c>
      <c r="E46" s="320">
        <v>40</v>
      </c>
      <c r="F46" s="320">
        <v>48210</v>
      </c>
      <c r="G46" s="320">
        <v>34824.7</v>
      </c>
      <c r="H46" s="322">
        <f t="shared" si="0"/>
      </c>
      <c r="I46" s="322">
        <f t="shared" si="1"/>
      </c>
      <c r="J46" s="322">
        <f t="shared" si="2"/>
      </c>
      <c r="K46" s="320">
        <v>2</v>
      </c>
      <c r="L46" s="320">
        <v>2136</v>
      </c>
      <c r="M46" s="320"/>
      <c r="N46" s="320"/>
      <c r="O46" s="321"/>
      <c r="P46" s="321"/>
    </row>
    <row hidden="true" r="47">
      <c r="A47" s="318" t="s">
        <v>943</v>
      </c>
      <c r="B47" s="320" t="s">
        <v>909</v>
      </c>
      <c r="C47" s="320" t="s">
        <v>934</v>
      </c>
      <c r="D47" s="320">
        <v>4</v>
      </c>
      <c r="E47" s="320">
        <v>44</v>
      </c>
      <c r="F47" s="320">
        <v>62366.4</v>
      </c>
      <c r="G47" s="320">
        <v>33064.16</v>
      </c>
      <c r="H47" s="322">
        <f t="shared" si="0"/>
      </c>
      <c r="I47" s="322">
        <f t="shared" si="1"/>
      </c>
      <c r="J47" s="322">
        <f t="shared" si="2"/>
      </c>
      <c r="K47" s="320">
        <v>7</v>
      </c>
      <c r="L47" s="320">
        <v>8558.4</v>
      </c>
      <c r="M47" s="320" t="s">
        <v>944</v>
      </c>
      <c r="N47" s="320">
        <v>3.6</v>
      </c>
      <c r="O47" s="320" t="s">
        <v>914</v>
      </c>
      <c r="P47" s="320">
        <v>18</v>
      </c>
    </row>
    <row r="48">
      <c r="A48" s="330" t="s">
        <v>943</v>
      </c>
      <c r="B48" s="327"/>
      <c r="C48" s="327"/>
      <c r="D48" s="328">
        <f>SUM(D43:D47)</f>
      </c>
      <c r="E48" s="328">
        <f>SUM(E43:E47)</f>
      </c>
      <c r="F48" s="328">
        <f>SUM(F43:F47)</f>
      </c>
      <c r="G48" s="328">
        <f>SUM(G43:G47)</f>
      </c>
      <c r="H48" s="329">
        <f t="shared" si="0"/>
      </c>
      <c r="I48" s="329">
        <f t="shared" si="1"/>
      </c>
      <c r="J48" s="329">
        <f t="shared" si="2"/>
      </c>
      <c r="K48" s="328">
        <f>SUM(K43:K47)</f>
      </c>
      <c r="L48" s="328">
        <f>SUM(L43:L47)</f>
      </c>
      <c r="M48" s="327"/>
      <c r="N48" s="328">
        <f>SUM(N43:N47)</f>
      </c>
      <c r="O48" s="327"/>
      <c r="P48" s="327"/>
    </row>
    <row hidden="true" r="49">
      <c r="A49" s="318" t="s">
        <v>945</v>
      </c>
      <c r="B49" s="332" t="s">
        <v>906</v>
      </c>
      <c r="C49" s="320" t="s">
        <v>946</v>
      </c>
      <c r="D49" s="320">
        <v>2</v>
      </c>
      <c r="E49" s="320">
        <v>23</v>
      </c>
      <c r="F49" s="320">
        <v>26042.4</v>
      </c>
      <c r="G49" s="320">
        <v>20094.629999999997</v>
      </c>
      <c r="H49" s="322">
        <f t="shared" si="0"/>
      </c>
      <c r="I49" s="322">
        <f t="shared" si="1"/>
      </c>
      <c r="J49" s="322">
        <f t="shared" si="2"/>
      </c>
      <c r="K49" s="320">
        <v>5</v>
      </c>
      <c r="L49" s="320">
        <v>3816</v>
      </c>
      <c r="M49" s="320" t="s">
        <v>947</v>
      </c>
      <c r="N49" s="320">
        <v>7</v>
      </c>
      <c r="O49" s="321"/>
      <c r="P49" s="321"/>
    </row>
    <row hidden="true" r="50">
      <c r="A50" s="318" t="s">
        <v>945</v>
      </c>
      <c r="B50" s="332" t="s">
        <v>938</v>
      </c>
      <c r="C50" s="320" t="s">
        <v>939</v>
      </c>
      <c r="D50" s="320">
        <v>2</v>
      </c>
      <c r="E50" s="320">
        <v>23</v>
      </c>
      <c r="F50" s="320">
        <v>31761.6</v>
      </c>
      <c r="G50" s="320">
        <v>23362.539999999997</v>
      </c>
      <c r="H50" s="322">
        <f t="shared" si="0"/>
      </c>
      <c r="I50" s="322">
        <f t="shared" si="1"/>
      </c>
      <c r="J50" s="322">
        <f t="shared" si="2"/>
      </c>
      <c r="K50" s="320">
        <v>3</v>
      </c>
      <c r="L50" s="320">
        <v>4308</v>
      </c>
      <c r="M50" s="320"/>
      <c r="N50" s="320"/>
      <c r="O50" s="321"/>
      <c r="P50" s="321"/>
    </row>
    <row hidden="true" r="51">
      <c r="A51" s="318" t="s">
        <v>945</v>
      </c>
      <c r="B51" s="332" t="s">
        <v>911</v>
      </c>
      <c r="C51" s="320" t="s">
        <v>940</v>
      </c>
      <c r="D51" s="320">
        <v>4</v>
      </c>
      <c r="E51" s="320">
        <v>33</v>
      </c>
      <c r="F51" s="320">
        <v>44013.6</v>
      </c>
      <c r="G51" s="320">
        <v>32522.37</v>
      </c>
      <c r="H51" s="322">
        <f t="shared" si="0"/>
      </c>
      <c r="I51" s="322">
        <f t="shared" si="1"/>
      </c>
      <c r="J51" s="322">
        <f t="shared" si="2"/>
      </c>
      <c r="K51" s="320">
        <v>5</v>
      </c>
      <c r="L51" s="320">
        <v>5628</v>
      </c>
      <c r="M51" s="321"/>
      <c r="N51" s="321"/>
      <c r="O51" s="321"/>
      <c r="P51" s="321"/>
    </row>
    <row hidden="true" r="52">
      <c r="A52" s="318" t="s">
        <v>945</v>
      </c>
      <c r="B52" s="332" t="s">
        <v>927</v>
      </c>
      <c r="C52" s="320" t="s">
        <v>941</v>
      </c>
      <c r="D52" s="320">
        <v>4</v>
      </c>
      <c r="E52" s="320">
        <v>44</v>
      </c>
      <c r="F52" s="320">
        <v>48367.2</v>
      </c>
      <c r="G52" s="320">
        <v>45487.51</v>
      </c>
      <c r="H52" s="322">
        <f t="shared" si="0"/>
      </c>
      <c r="I52" s="322">
        <f t="shared" si="1"/>
      </c>
      <c r="J52" s="322">
        <f t="shared" si="2"/>
      </c>
      <c r="K52" s="320">
        <v>8</v>
      </c>
      <c r="L52" s="320">
        <v>8004</v>
      </c>
      <c r="M52" s="320"/>
      <c r="N52" s="320"/>
      <c r="O52" s="321"/>
      <c r="P52" s="321"/>
    </row>
    <row hidden="true" r="53">
      <c r="A53" s="318" t="s">
        <v>945</v>
      </c>
      <c r="B53" s="320" t="s">
        <v>909</v>
      </c>
      <c r="C53" s="320" t="s">
        <v>934</v>
      </c>
      <c r="D53" s="320">
        <v>4</v>
      </c>
      <c r="E53" s="320">
        <v>22</v>
      </c>
      <c r="F53" s="320">
        <v>32986.8</v>
      </c>
      <c r="G53" s="320">
        <v>19078.3</v>
      </c>
      <c r="H53" s="322">
        <f t="shared" si="0"/>
      </c>
      <c r="I53" s="322">
        <f t="shared" si="1"/>
      </c>
      <c r="J53" s="322">
        <f t="shared" si="2"/>
      </c>
      <c r="K53" s="320">
        <v>4</v>
      </c>
      <c r="L53" s="320">
        <v>7320</v>
      </c>
      <c r="M53" s="320" t="s">
        <v>944</v>
      </c>
      <c r="N53" s="320">
        <v>3.6</v>
      </c>
      <c r="O53" s="320" t="s">
        <v>914</v>
      </c>
      <c r="P53" s="320">
        <v>18</v>
      </c>
    </row>
    <row r="54">
      <c r="A54" s="330" t="s">
        <v>945</v>
      </c>
      <c r="B54" s="327"/>
      <c r="C54" s="327"/>
      <c r="D54" s="328">
        <f>SUM(D49:D53)</f>
      </c>
      <c r="E54" s="328">
        <f>SUM(E49:E53)</f>
      </c>
      <c r="F54" s="328">
        <f>SUM(F49:F53)</f>
      </c>
      <c r="G54" s="328">
        <f>SUM(G49:G53)</f>
      </c>
      <c r="H54" s="329">
        <f t="shared" si="0"/>
      </c>
      <c r="I54" s="329">
        <f t="shared" si="1"/>
      </c>
      <c r="J54" s="329">
        <f t="shared" si="2"/>
      </c>
      <c r="K54" s="328">
        <f>SUM(K49:K53)</f>
      </c>
      <c r="L54" s="328">
        <f>SUM(L49:L53)</f>
      </c>
      <c r="M54" s="327"/>
      <c r="N54" s="328">
        <f>SUM(N49:N53)</f>
      </c>
      <c r="O54" s="327"/>
      <c r="P54" s="333">
        <f>SUM(P50:P53)</f>
      </c>
    </row>
    <row hidden="true" r="55">
      <c r="A55" s="318" t="s">
        <v>948</v>
      </c>
      <c r="B55" s="320" t="s">
        <v>911</v>
      </c>
      <c r="C55" s="320" t="s">
        <v>936</v>
      </c>
      <c r="D55" s="320">
        <v>4</v>
      </c>
      <c r="E55" s="320">
        <v>16</v>
      </c>
      <c r="F55" s="320">
        <v>28248</v>
      </c>
      <c r="G55" s="320">
        <v>17675.42</v>
      </c>
      <c r="H55" s="322">
        <f t="shared" si="0"/>
      </c>
      <c r="I55" s="322">
        <f t="shared" si="1"/>
      </c>
      <c r="J55" s="322">
        <f t="shared" si="2"/>
      </c>
      <c r="K55" s="320">
        <v>3</v>
      </c>
      <c r="L55" s="320">
        <v>4032</v>
      </c>
      <c r="M55" s="320" t="s">
        <v>908</v>
      </c>
      <c r="N55" s="320">
        <v>0.8</v>
      </c>
      <c r="O55" s="321"/>
      <c r="P55" s="321"/>
    </row>
    <row hidden="true" r="56">
      <c r="A56" s="318" t="s">
        <v>948</v>
      </c>
      <c r="B56" s="332" t="s">
        <v>927</v>
      </c>
      <c r="C56" s="320" t="s">
        <v>949</v>
      </c>
      <c r="D56" s="320">
        <v>5</v>
      </c>
      <c r="E56" s="320">
        <v>56</v>
      </c>
      <c r="F56" s="320">
        <v>56454</v>
      </c>
      <c r="G56" s="320">
        <v>35923.03</v>
      </c>
      <c r="H56" s="322">
        <f t="shared" si="0"/>
      </c>
      <c r="I56" s="322">
        <f t="shared" si="1"/>
      </c>
      <c r="J56" s="322">
        <f t="shared" si="2"/>
      </c>
      <c r="K56" s="320">
        <v>16</v>
      </c>
      <c r="L56" s="320">
        <v>17907.6</v>
      </c>
      <c r="M56" s="321"/>
      <c r="N56" s="321"/>
      <c r="O56" s="321"/>
      <c r="P56" s="321"/>
    </row>
    <row hidden="true" r="57">
      <c r="A57" s="318" t="s">
        <v>948</v>
      </c>
      <c r="B57" s="332" t="s">
        <v>938</v>
      </c>
      <c r="C57" s="320" t="s">
        <v>929</v>
      </c>
      <c r="D57" s="320">
        <v>4</v>
      </c>
      <c r="E57" s="320">
        <v>22</v>
      </c>
      <c r="F57" s="320">
        <v>28143.4</v>
      </c>
      <c r="G57" s="320">
        <v>20131.84</v>
      </c>
      <c r="H57" s="322">
        <f t="shared" si="0"/>
      </c>
      <c r="I57" s="322">
        <f t="shared" si="1"/>
      </c>
      <c r="J57" s="322">
        <f t="shared" si="2"/>
      </c>
      <c r="K57" s="320">
        <v>8</v>
      </c>
      <c r="L57" s="320">
        <v>7778.2</v>
      </c>
      <c r="M57" s="320" t="s">
        <v>937</v>
      </c>
      <c r="N57" s="320">
        <v>2.8</v>
      </c>
      <c r="O57" s="321"/>
      <c r="P57" s="321"/>
    </row>
    <row hidden="true" r="58">
      <c r="A58" s="318" t="s">
        <v>948</v>
      </c>
      <c r="B58" s="320" t="s">
        <v>909</v>
      </c>
      <c r="C58" s="320" t="s">
        <v>930</v>
      </c>
      <c r="D58" s="321">
        <v>5</v>
      </c>
      <c r="E58" s="320">
        <v>32</v>
      </c>
      <c r="F58" s="320">
        <v>42836.4</v>
      </c>
      <c r="G58" s="320">
        <v>24864.390000000003</v>
      </c>
      <c r="H58" s="322">
        <f t="shared" si="0"/>
      </c>
      <c r="I58" s="322">
        <f t="shared" si="1"/>
      </c>
      <c r="J58" s="322">
        <f t="shared" si="2"/>
      </c>
      <c r="K58" s="320">
        <v>5</v>
      </c>
      <c r="L58" s="320">
        <v>4974</v>
      </c>
      <c r="M58" s="320" t="s">
        <v>950</v>
      </c>
      <c r="N58" s="320">
        <v>9</v>
      </c>
      <c r="O58" s="320" t="s">
        <v>914</v>
      </c>
      <c r="P58" s="320">
        <v>18</v>
      </c>
    </row>
    <row r="59">
      <c r="A59" s="330" t="s">
        <v>948</v>
      </c>
      <c r="B59" s="327"/>
      <c r="C59" s="327"/>
      <c r="D59" s="328">
        <f>SUM(D55:D58)</f>
      </c>
      <c r="E59" s="328">
        <f>SUM(E55:E58)</f>
      </c>
      <c r="F59" s="328">
        <f>SUM(F55:F58)</f>
      </c>
      <c r="G59" s="328">
        <f>SUM(G55:G58)</f>
      </c>
      <c r="H59" s="329">
        <f t="shared" si="0"/>
      </c>
      <c r="I59" s="329">
        <f t="shared" si="1"/>
      </c>
      <c r="J59" s="329">
        <f t="shared" si="2"/>
      </c>
      <c r="K59" s="328">
        <f>SUM(K55:K58)</f>
      </c>
      <c r="L59" s="328">
        <f>SUM(L55:L58)</f>
      </c>
      <c r="M59" s="327"/>
      <c r="N59" s="328">
        <f>SUM(N55:N58)</f>
      </c>
      <c r="O59" s="327"/>
      <c r="P59" s="327"/>
    </row>
    <row hidden="true" r="60">
      <c r="A60" s="318" t="s">
        <v>951</v>
      </c>
      <c r="B60" s="320" t="s">
        <v>911</v>
      </c>
      <c r="C60" s="320" t="s">
        <v>952</v>
      </c>
      <c r="D60" s="320">
        <v>2</v>
      </c>
      <c r="E60" s="320">
        <v>18</v>
      </c>
      <c r="F60" s="320">
        <v>17835.6</v>
      </c>
      <c r="G60" s="320">
        <v>13305.77</v>
      </c>
      <c r="H60" s="322">
        <f t="shared" si="0"/>
      </c>
      <c r="I60" s="322">
        <f t="shared" si="1"/>
      </c>
      <c r="J60" s="322">
        <f t="shared" si="2"/>
      </c>
      <c r="K60" s="320">
        <v>3</v>
      </c>
      <c r="L60" s="320">
        <v>3756</v>
      </c>
      <c r="M60" s="320" t="s">
        <v>937</v>
      </c>
      <c r="N60" s="320">
        <v>2.8</v>
      </c>
      <c r="O60" s="321"/>
      <c r="P60" s="321"/>
    </row>
    <row hidden="true" r="61">
      <c r="A61" s="318" t="s">
        <v>951</v>
      </c>
      <c r="B61" s="332" t="s">
        <v>938</v>
      </c>
      <c r="C61" s="320" t="s">
        <v>939</v>
      </c>
      <c r="D61" s="320">
        <v>2</v>
      </c>
      <c r="E61" s="320">
        <v>20</v>
      </c>
      <c r="F61" s="320">
        <v>24039.4</v>
      </c>
      <c r="G61" s="320">
        <v>23537.410000000003</v>
      </c>
      <c r="H61" s="322">
        <f t="shared" si="0"/>
      </c>
      <c r="I61" s="322">
        <f t="shared" si="1"/>
      </c>
      <c r="J61" s="322">
        <f t="shared" si="2"/>
      </c>
      <c r="K61" s="320">
        <v>4</v>
      </c>
      <c r="L61" s="320">
        <v>5916</v>
      </c>
      <c r="M61" s="320"/>
      <c r="N61" s="320"/>
      <c r="O61" s="321"/>
      <c r="P61" s="321"/>
    </row>
    <row hidden="true" r="62">
      <c r="A62" s="318" t="s">
        <v>951</v>
      </c>
      <c r="B62" s="332" t="s">
        <v>927</v>
      </c>
      <c r="C62" s="320" t="s">
        <v>940</v>
      </c>
      <c r="D62" s="320">
        <v>4</v>
      </c>
      <c r="E62" s="320">
        <v>29</v>
      </c>
      <c r="F62" s="320">
        <v>34028.4</v>
      </c>
      <c r="G62" s="320">
        <v>27635.38</v>
      </c>
      <c r="H62" s="322">
        <f t="shared" si="0"/>
      </c>
      <c r="I62" s="322">
        <f t="shared" si="1"/>
      </c>
      <c r="J62" s="322">
        <f t="shared" si="2"/>
      </c>
      <c r="K62" s="320">
        <v>13</v>
      </c>
      <c r="L62" s="320">
        <v>12861.599999999999</v>
      </c>
      <c r="M62" s="321"/>
      <c r="N62" s="321"/>
      <c r="O62" s="321"/>
      <c r="P62" s="321"/>
    </row>
    <row hidden="true" r="63">
      <c r="A63" s="318" t="s">
        <v>951</v>
      </c>
      <c r="B63" s="332" t="s">
        <v>906</v>
      </c>
      <c r="C63" s="320" t="s">
        <v>941</v>
      </c>
      <c r="D63" s="320">
        <v>4</v>
      </c>
      <c r="E63" s="320">
        <v>25</v>
      </c>
      <c r="F63" s="320">
        <v>35184</v>
      </c>
      <c r="G63" s="320">
        <v>15946.14</v>
      </c>
      <c r="H63" s="322">
        <f t="shared" si="0"/>
      </c>
      <c r="I63" s="322">
        <f t="shared" si="1"/>
      </c>
      <c r="J63" s="322">
        <f t="shared" si="2"/>
      </c>
      <c r="K63" s="320">
        <v>3</v>
      </c>
      <c r="L63" s="320">
        <v>2892</v>
      </c>
      <c r="M63" s="320"/>
      <c r="N63" s="320"/>
      <c r="O63" s="321"/>
      <c r="P63" s="321"/>
    </row>
    <row hidden="true" r="64">
      <c r="A64" s="318" t="s">
        <v>951</v>
      </c>
      <c r="B64" s="320" t="s">
        <v>909</v>
      </c>
      <c r="C64" s="320" t="s">
        <v>934</v>
      </c>
      <c r="D64" s="320">
        <v>4</v>
      </c>
      <c r="E64" s="320">
        <v>19</v>
      </c>
      <c r="F64" s="320">
        <v>27636</v>
      </c>
      <c r="G64" s="320">
        <v>19268.33</v>
      </c>
      <c r="H64" s="322">
        <f t="shared" si="0"/>
      </c>
      <c r="I64" s="322">
        <f t="shared" si="1"/>
      </c>
      <c r="J64" s="322">
        <f t="shared" si="2"/>
      </c>
      <c r="K64" s="320">
        <v>1</v>
      </c>
      <c r="L64" s="320">
        <v>1344</v>
      </c>
      <c r="M64" s="320" t="s">
        <v>913</v>
      </c>
      <c r="N64" s="320">
        <v>9</v>
      </c>
      <c r="O64" s="320" t="s">
        <v>914</v>
      </c>
      <c r="P64" s="320">
        <v>16</v>
      </c>
    </row>
    <row r="65">
      <c r="A65" s="330" t="s">
        <v>951</v>
      </c>
      <c r="B65" s="327"/>
      <c r="C65" s="327"/>
      <c r="D65" s="328">
        <f>SUM(D60:D64)</f>
      </c>
      <c r="E65" s="328">
        <f>SUM(E60:E64)</f>
      </c>
      <c r="F65" s="328">
        <f>SUM(F60:F64)</f>
      </c>
      <c r="G65" s="328">
        <f>SUM(G60:G64)</f>
      </c>
      <c r="H65" s="329">
        <f t="shared" si="0"/>
      </c>
      <c r="I65" s="329">
        <f t="shared" si="1"/>
      </c>
      <c r="J65" s="329">
        <f t="shared" si="2"/>
      </c>
      <c r="K65" s="328">
        <f>SUM(K60:K64)</f>
      </c>
      <c r="L65" s="328">
        <f>SUM(L60:L64)</f>
      </c>
      <c r="M65" s="327"/>
      <c r="N65" s="328">
        <f>SUM(N60:N64)</f>
      </c>
      <c r="O65" s="327"/>
      <c r="P65" s="333">
        <f>SUM(P61:P64)</f>
      </c>
    </row>
    <row hidden="true" r="66">
      <c r="A66" s="318" t="s">
        <v>953</v>
      </c>
      <c r="B66" s="320" t="s">
        <v>911</v>
      </c>
      <c r="C66" s="320" t="s">
        <v>954</v>
      </c>
      <c r="D66" s="320">
        <v>4</v>
      </c>
      <c r="E66" s="320">
        <v>23</v>
      </c>
      <c r="F66" s="320">
        <v>26280</v>
      </c>
      <c r="G66" s="320">
        <v>20038.14</v>
      </c>
      <c r="H66" s="322">
        <f t="shared" si="0"/>
      </c>
      <c r="I66" s="322">
        <f t="shared" si="1"/>
      </c>
      <c r="J66" s="322">
        <f t="shared" si="2"/>
      </c>
      <c r="K66" s="320">
        <v>1</v>
      </c>
      <c r="L66" s="320">
        <v>1092</v>
      </c>
      <c r="M66" s="320" t="s">
        <v>937</v>
      </c>
      <c r="N66" s="320">
        <v>3.2</v>
      </c>
      <c r="O66" s="321"/>
      <c r="P66" s="321"/>
    </row>
    <row hidden="true" r="67">
      <c r="A67" s="318" t="s">
        <v>953</v>
      </c>
      <c r="B67" s="332" t="s">
        <v>938</v>
      </c>
      <c r="C67" s="320" t="s">
        <v>939</v>
      </c>
      <c r="D67" s="320">
        <v>2</v>
      </c>
      <c r="E67" s="320">
        <v>11</v>
      </c>
      <c r="F67" s="320">
        <v>13081.2</v>
      </c>
      <c r="G67" s="320">
        <v>12776.51</v>
      </c>
      <c r="H67" s="322">
        <f t="shared" si="0"/>
      </c>
      <c r="I67" s="322">
        <f t="shared" si="1"/>
      </c>
      <c r="J67" s="322">
        <f t="shared" si="2"/>
      </c>
      <c r="K67" s="320">
        <v>2</v>
      </c>
      <c r="L67" s="320">
        <v>2235.6</v>
      </c>
      <c r="M67" s="320"/>
      <c r="N67" s="320"/>
      <c r="O67" s="321"/>
      <c r="P67" s="321"/>
    </row>
    <row hidden="true" r="68">
      <c r="A68" s="318" t="s">
        <v>953</v>
      </c>
      <c r="B68" s="320" t="s">
        <v>909</v>
      </c>
      <c r="C68" s="320" t="s">
        <v>940</v>
      </c>
      <c r="D68" s="320">
        <v>4</v>
      </c>
      <c r="E68" s="320">
        <v>14</v>
      </c>
      <c r="F68" s="320">
        <v>22680</v>
      </c>
      <c r="G68" s="320">
        <v>14076.8</v>
      </c>
      <c r="H68" s="322">
        <f t="shared" si="0"/>
      </c>
      <c r="I68" s="322">
        <f t="shared" si="1"/>
      </c>
      <c r="J68" s="322">
        <f t="shared" si="2"/>
      </c>
      <c r="K68" s="320">
        <v>3</v>
      </c>
      <c r="L68" s="320">
        <v>3828.0000000000005</v>
      </c>
      <c r="M68" s="320" t="s">
        <v>908</v>
      </c>
      <c r="N68" s="320">
        <v>0.4</v>
      </c>
      <c r="O68" s="321"/>
      <c r="P68" s="321"/>
    </row>
    <row hidden="true" r="69">
      <c r="A69" s="318" t="s">
        <v>953</v>
      </c>
      <c r="B69" s="332" t="s">
        <v>906</v>
      </c>
      <c r="C69" s="320" t="s">
        <v>941</v>
      </c>
      <c r="D69" s="320">
        <v>4</v>
      </c>
      <c r="E69" s="320">
        <v>14</v>
      </c>
      <c r="F69" s="320">
        <v>17712</v>
      </c>
      <c r="G69" s="320">
        <v>17156.95</v>
      </c>
      <c r="H69" s="322">
        <f t="shared" si="0"/>
      </c>
      <c r="I69" s="322">
        <f t="shared" si="1"/>
      </c>
      <c r="J69" s="322">
        <f t="shared" si="2"/>
      </c>
      <c r="K69" s="320">
        <v>3</v>
      </c>
      <c r="L69" s="320">
        <v>4236</v>
      </c>
      <c r="M69" s="320"/>
      <c r="N69" s="320"/>
      <c r="O69" s="321"/>
      <c r="P69" s="321"/>
    </row>
    <row hidden="true" r="70">
      <c r="A70" s="318" t="s">
        <v>953</v>
      </c>
      <c r="B70" s="332" t="s">
        <v>927</v>
      </c>
      <c r="C70" s="320" t="s">
        <v>934</v>
      </c>
      <c r="D70" s="320">
        <v>4</v>
      </c>
      <c r="E70" s="320">
        <v>18</v>
      </c>
      <c r="F70" s="320">
        <v>21580.6</v>
      </c>
      <c r="G70" s="320">
        <v>12435.21</v>
      </c>
      <c r="H70" s="322">
        <f t="shared" si="0"/>
      </c>
      <c r="I70" s="322">
        <f t="shared" si="1"/>
      </c>
      <c r="J70" s="322">
        <f t="shared" si="2"/>
      </c>
      <c r="K70" s="320">
        <v>5</v>
      </c>
      <c r="L70" s="320">
        <v>5496</v>
      </c>
      <c r="M70" s="320" t="s">
        <v>913</v>
      </c>
      <c r="N70" s="320">
        <v>9</v>
      </c>
      <c r="O70" s="320" t="s">
        <v>914</v>
      </c>
      <c r="P70" s="320">
        <v>18</v>
      </c>
    </row>
    <row r="71">
      <c r="A71" s="330" t="s">
        <v>953</v>
      </c>
      <c r="B71" s="327"/>
      <c r="C71" s="327"/>
      <c r="D71" s="328">
        <f>SUM(D66:D70)</f>
      </c>
      <c r="E71" s="328">
        <f>SUM(E66:E70)</f>
      </c>
      <c r="F71" s="328">
        <f>SUM(F66:F70)</f>
      </c>
      <c r="G71" s="328">
        <f>SUM(G66:G70)</f>
      </c>
      <c r="H71" s="329">
        <f t="shared" si="0"/>
      </c>
      <c r="I71" s="329">
        <f t="shared" si="1"/>
      </c>
      <c r="J71" s="329">
        <f t="shared" si="2"/>
      </c>
      <c r="K71" s="328">
        <f>SUM(K66:K70)</f>
      </c>
      <c r="L71" s="328">
        <f>SUM(L66:L70)</f>
      </c>
      <c r="M71" s="327"/>
      <c r="N71" s="328">
        <f>SUM(N66:N70)</f>
      </c>
      <c r="O71" s="327"/>
      <c r="P71" s="333">
        <f>SUM(P67:P70)</f>
      </c>
    </row>
    <row hidden="true" r="72">
      <c r="A72" s="318" t="s">
        <v>955</v>
      </c>
      <c r="B72" s="320" t="s">
        <v>909</v>
      </c>
      <c r="C72" s="320" t="s">
        <v>936</v>
      </c>
      <c r="D72" s="320">
        <v>4</v>
      </c>
      <c r="E72" s="320">
        <v>22</v>
      </c>
      <c r="F72" s="320">
        <v>30006</v>
      </c>
      <c r="G72" s="320">
        <v>19096.52</v>
      </c>
      <c r="H72" s="322">
        <f t="shared" si="0"/>
      </c>
      <c r="I72" s="322">
        <f t="shared" si="1"/>
      </c>
      <c r="J72" s="322">
        <f t="shared" si="2"/>
      </c>
      <c r="K72" s="320">
        <v>4</v>
      </c>
      <c r="L72" s="320">
        <v>4836</v>
      </c>
      <c r="M72" s="320" t="s">
        <v>908</v>
      </c>
      <c r="N72" s="320">
        <v>3.6</v>
      </c>
      <c r="O72" s="321"/>
      <c r="P72" s="321"/>
    </row>
    <row hidden="true" r="73">
      <c r="A73" s="318" t="s">
        <v>955</v>
      </c>
      <c r="B73" s="332" t="s">
        <v>911</v>
      </c>
      <c r="C73" s="320" t="s">
        <v>956</v>
      </c>
      <c r="D73" s="320">
        <v>4</v>
      </c>
      <c r="E73" s="320">
        <v>7</v>
      </c>
      <c r="F73" s="320">
        <v>10224</v>
      </c>
      <c r="G73" s="320">
        <v>10752.27</v>
      </c>
      <c r="H73" s="322">
        <f t="shared" si="0"/>
      </c>
      <c r="I73" s="322">
        <f t="shared" si="1"/>
      </c>
      <c r="J73" s="322">
        <f t="shared" si="2"/>
      </c>
      <c r="K73" s="320">
        <v>2</v>
      </c>
      <c r="L73" s="320">
        <v>2448</v>
      </c>
      <c r="M73" s="321"/>
      <c r="N73" s="321"/>
      <c r="O73" s="321"/>
      <c r="P73" s="321"/>
    </row>
    <row hidden="true" r="74">
      <c r="A74" s="318" t="s">
        <v>955</v>
      </c>
      <c r="B74" s="332" t="s">
        <v>906</v>
      </c>
      <c r="C74" s="320" t="s">
        <v>910</v>
      </c>
      <c r="D74" s="320">
        <v>5</v>
      </c>
      <c r="E74" s="320">
        <v>24</v>
      </c>
      <c r="F74" s="320">
        <v>22966.6</v>
      </c>
      <c r="G74" s="320">
        <v>11597.01</v>
      </c>
      <c r="H74" s="322">
        <f t="shared" si="0"/>
      </c>
      <c r="I74" s="322">
        <f t="shared" si="1"/>
      </c>
      <c r="J74" s="322">
        <f t="shared" si="2"/>
      </c>
      <c r="K74" s="320">
        <v>11</v>
      </c>
      <c r="L74" s="320">
        <v>8515</v>
      </c>
      <c r="M74" s="320"/>
      <c r="N74" s="320"/>
      <c r="O74" s="321"/>
      <c r="P74" s="321"/>
    </row>
    <row hidden="true" r="75">
      <c r="A75" s="318" t="s">
        <v>955</v>
      </c>
      <c r="B75" s="320" t="s">
        <v>927</v>
      </c>
      <c r="C75" s="320" t="s">
        <v>930</v>
      </c>
      <c r="D75" s="321">
        <v>5</v>
      </c>
      <c r="E75" s="320">
        <v>38</v>
      </c>
      <c r="F75" s="320">
        <v>48774</v>
      </c>
      <c r="G75" s="320">
        <v>24197.189999999995</v>
      </c>
      <c r="H75" s="322">
        <f t="shared" si="0"/>
      </c>
      <c r="I75" s="322">
        <f t="shared" si="1"/>
      </c>
      <c r="J75" s="322">
        <f t="shared" si="2"/>
      </c>
      <c r="K75" s="320">
        <v>4</v>
      </c>
      <c r="L75" s="320">
        <v>3696</v>
      </c>
      <c r="M75" s="320" t="s">
        <v>950</v>
      </c>
      <c r="N75" s="320">
        <v>9</v>
      </c>
      <c r="O75" s="320" t="s">
        <v>914</v>
      </c>
      <c r="P75" s="320">
        <v>18</v>
      </c>
    </row>
    <row r="76">
      <c r="A76" s="330" t="s">
        <v>955</v>
      </c>
      <c r="B76" s="327"/>
      <c r="C76" s="327"/>
      <c r="D76" s="328">
        <f>SUM(D72:D75)</f>
      </c>
      <c r="E76" s="328">
        <f>SUM(E72:E75)</f>
      </c>
      <c r="F76" s="328">
        <f>SUM(F72:F75)</f>
      </c>
      <c r="G76" s="328">
        <f>SUM(G72:G75)</f>
      </c>
      <c r="H76" s="329">
        <f t="shared" si="0"/>
      </c>
      <c r="I76" s="329">
        <f t="shared" si="1"/>
      </c>
      <c r="J76" s="329">
        <f t="shared" si="2"/>
      </c>
      <c r="K76" s="328">
        <f>SUM(K72:K75)</f>
      </c>
      <c r="L76" s="328">
        <f>SUM(L72:L75)</f>
      </c>
      <c r="M76" s="327"/>
      <c r="N76" s="328">
        <f>SUM(N72:N75)</f>
      </c>
      <c r="O76" s="327"/>
      <c r="P76" s="333">
        <f>SUM(P72:P75)</f>
      </c>
    </row>
    <row hidden="true" r="77">
      <c r="A77" s="318" t="s">
        <v>957</v>
      </c>
      <c r="B77" s="320" t="s">
        <v>906</v>
      </c>
      <c r="C77" s="320" t="s">
        <v>926</v>
      </c>
      <c r="D77" s="320">
        <v>5</v>
      </c>
      <c r="E77" s="320">
        <v>44</v>
      </c>
      <c r="F77" s="320">
        <v>51852</v>
      </c>
      <c r="G77" s="320">
        <v>35697.98</v>
      </c>
      <c r="H77" s="322">
        <f t="shared" si="0"/>
      </c>
      <c r="I77" s="322">
        <f t="shared" si="1"/>
      </c>
      <c r="J77" s="322">
        <f t="shared" si="2"/>
      </c>
      <c r="K77" s="320">
        <v>6</v>
      </c>
      <c r="L77" s="320">
        <v>6888</v>
      </c>
      <c r="M77" s="320" t="s">
        <v>908</v>
      </c>
      <c r="N77" s="320">
        <v>3.6</v>
      </c>
      <c r="O77" s="321"/>
      <c r="P77" s="321"/>
    </row>
    <row hidden="true" r="78">
      <c r="A78" s="318" t="s">
        <v>957</v>
      </c>
      <c r="B78" s="332" t="s">
        <v>958</v>
      </c>
      <c r="C78" s="320" t="s">
        <v>959</v>
      </c>
      <c r="D78" s="320">
        <v>5</v>
      </c>
      <c r="E78" s="320">
        <v>21</v>
      </c>
      <c r="F78" s="320">
        <v>19978.8</v>
      </c>
      <c r="G78" s="320">
        <v>19271.9</v>
      </c>
      <c r="H78" s="322">
        <f t="shared" si="0"/>
      </c>
      <c r="I78" s="322">
        <f t="shared" si="1"/>
      </c>
      <c r="J78" s="322">
        <f t="shared" si="2"/>
      </c>
      <c r="K78" s="320">
        <v>7</v>
      </c>
      <c r="L78" s="320">
        <v>5388</v>
      </c>
      <c r="M78" s="321"/>
      <c r="N78" s="321"/>
      <c r="O78" s="321"/>
      <c r="P78" s="321"/>
    </row>
    <row hidden="true" r="79">
      <c r="A79" s="318" t="s">
        <v>957</v>
      </c>
      <c r="B79" s="332" t="s">
        <v>911</v>
      </c>
      <c r="C79" s="320" t="s">
        <v>941</v>
      </c>
      <c r="D79" s="320">
        <v>4</v>
      </c>
      <c r="E79" s="320">
        <v>34</v>
      </c>
      <c r="F79" s="320">
        <v>39423.6</v>
      </c>
      <c r="G79" s="320">
        <v>24671.61</v>
      </c>
      <c r="H79" s="322">
        <f t="shared" si="0"/>
      </c>
      <c r="I79" s="322">
        <f t="shared" si="1"/>
      </c>
      <c r="J79" s="322">
        <f t="shared" si="2"/>
      </c>
      <c r="K79" s="320">
        <v>9</v>
      </c>
      <c r="L79" s="320">
        <v>9254.4</v>
      </c>
      <c r="M79" s="320"/>
      <c r="N79" s="320"/>
      <c r="O79" s="321"/>
      <c r="P79" s="321"/>
    </row>
    <row hidden="true" r="80">
      <c r="A80" s="318" t="s">
        <v>957</v>
      </c>
      <c r="B80" s="320" t="s">
        <v>927</v>
      </c>
      <c r="C80" s="320" t="s">
        <v>934</v>
      </c>
      <c r="D80" s="320">
        <v>4</v>
      </c>
      <c r="E80" s="320">
        <v>61</v>
      </c>
      <c r="F80" s="320">
        <v>78330</v>
      </c>
      <c r="G80" s="320">
        <v>31624.39</v>
      </c>
      <c r="H80" s="322">
        <f t="shared" si="0"/>
      </c>
      <c r="I80" s="322">
        <f t="shared" si="1"/>
      </c>
      <c r="J80" s="322">
        <f t="shared" si="2"/>
      </c>
      <c r="K80" s="320">
        <v>4</v>
      </c>
      <c r="L80" s="320">
        <v>2834.4</v>
      </c>
      <c r="M80" s="320" t="s">
        <v>950</v>
      </c>
      <c r="N80" s="320">
        <v>9</v>
      </c>
      <c r="O80" s="320" t="s">
        <v>914</v>
      </c>
      <c r="P80" s="320">
        <v>18</v>
      </c>
    </row>
    <row r="81">
      <c r="A81" s="330" t="s">
        <v>957</v>
      </c>
      <c r="B81" s="327"/>
      <c r="C81" s="327"/>
      <c r="D81" s="328">
        <f>SUM(D77:D80)</f>
      </c>
      <c r="E81" s="328">
        <f>SUM(E77:E80)</f>
      </c>
      <c r="F81" s="328">
        <f>SUM(F77:F80)</f>
      </c>
      <c r="G81" s="328">
        <f>SUM(G77:G80)</f>
      </c>
      <c r="H81" s="329">
        <f t="shared" si="0"/>
      </c>
      <c r="I81" s="329">
        <f t="shared" si="1"/>
      </c>
      <c r="J81" s="329">
        <f t="shared" si="2"/>
      </c>
      <c r="K81" s="328">
        <f>SUM(K77:K80)</f>
      </c>
      <c r="L81" s="328">
        <f>SUM(L77:L80)</f>
      </c>
      <c r="M81" s="327"/>
      <c r="N81" s="328">
        <f>SUM(N77:N80)</f>
      </c>
      <c r="O81" s="327"/>
      <c r="P81" s="333">
        <f>SUM(P77:P80)</f>
      </c>
    </row>
    <row hidden="true" r="82">
      <c r="A82" s="318" t="s">
        <v>960</v>
      </c>
      <c r="B82" s="332" t="s">
        <v>958</v>
      </c>
      <c r="C82" s="320" t="s">
        <v>936</v>
      </c>
      <c r="D82" s="320">
        <v>4</v>
      </c>
      <c r="E82" s="320">
        <v>45</v>
      </c>
      <c r="F82" s="320">
        <v>52884</v>
      </c>
      <c r="G82" s="320">
        <v>43538.61</v>
      </c>
      <c r="H82" s="322">
        <f t="shared" si="0"/>
      </c>
      <c r="I82" s="322">
        <f t="shared" si="1"/>
      </c>
      <c r="J82" s="322">
        <f t="shared" si="2"/>
      </c>
      <c r="K82" s="320">
        <v>13</v>
      </c>
      <c r="L82" s="320">
        <v>10519.2</v>
      </c>
      <c r="M82" s="320" t="s">
        <v>908</v>
      </c>
      <c r="N82" s="320">
        <v>1.6</v>
      </c>
      <c r="O82" s="321"/>
      <c r="P82" s="321"/>
    </row>
    <row hidden="true" r="83">
      <c r="A83" s="318" t="s">
        <v>960</v>
      </c>
      <c r="B83" s="320" t="s">
        <v>909</v>
      </c>
      <c r="C83" s="320" t="s">
        <v>956</v>
      </c>
      <c r="D83" s="320">
        <v>4</v>
      </c>
      <c r="E83" s="320">
        <v>22</v>
      </c>
      <c r="F83" s="320">
        <v>28713.6</v>
      </c>
      <c r="G83" s="320">
        <v>21236.43</v>
      </c>
      <c r="H83" s="322">
        <f t="shared" si="0"/>
      </c>
      <c r="I83" s="322">
        <f t="shared" si="1"/>
      </c>
      <c r="J83" s="322">
        <f t="shared" si="2"/>
      </c>
      <c r="K83" s="320">
        <v>3</v>
      </c>
      <c r="L83" s="320">
        <v>4728</v>
      </c>
      <c r="M83" s="320"/>
      <c r="N83" s="320"/>
      <c r="O83" s="321"/>
      <c r="P83" s="321"/>
    </row>
    <row hidden="true" r="84">
      <c r="A84" s="318" t="s">
        <v>960</v>
      </c>
      <c r="B84" s="332" t="s">
        <v>938</v>
      </c>
      <c r="C84" s="320" t="s">
        <v>961</v>
      </c>
      <c r="D84" s="320">
        <v>4</v>
      </c>
      <c r="E84" s="320">
        <v>25</v>
      </c>
      <c r="F84" s="320">
        <v>25677.6</v>
      </c>
      <c r="G84" s="320">
        <v>22168.95</v>
      </c>
      <c r="H84" s="322">
        <f t="shared" si="0"/>
      </c>
      <c r="I84" s="322">
        <f t="shared" si="1"/>
      </c>
      <c r="J84" s="322">
        <f t="shared" si="2"/>
      </c>
      <c r="K84" s="320">
        <v>8</v>
      </c>
      <c r="L84" s="320">
        <v>8060.4</v>
      </c>
      <c r="M84" s="320" t="s">
        <v>922</v>
      </c>
      <c r="N84" s="320">
        <v>4</v>
      </c>
      <c r="O84" s="321"/>
      <c r="P84" s="321"/>
    </row>
    <row hidden="true" r="85">
      <c r="A85" s="318" t="s">
        <v>960</v>
      </c>
      <c r="B85" s="332" t="s">
        <v>927</v>
      </c>
      <c r="C85" s="320" t="s">
        <v>934</v>
      </c>
      <c r="D85" s="320">
        <v>5</v>
      </c>
      <c r="E85" s="320">
        <v>59</v>
      </c>
      <c r="F85" s="320">
        <v>80427.6</v>
      </c>
      <c r="G85" s="320">
        <v>43593.920000000006</v>
      </c>
      <c r="H85" s="322">
        <f t="shared" si="0"/>
      </c>
      <c r="I85" s="322">
        <f t="shared" si="1"/>
      </c>
      <c r="J85" s="322">
        <f t="shared" si="2"/>
      </c>
      <c r="K85" s="320">
        <v>11</v>
      </c>
      <c r="L85" s="320">
        <v>12261.6</v>
      </c>
      <c r="M85" s="320" t="s">
        <v>950</v>
      </c>
      <c r="N85" s="320">
        <v>8</v>
      </c>
      <c r="O85" s="320" t="s">
        <v>914</v>
      </c>
      <c r="P85" s="320">
        <v>18</v>
      </c>
    </row>
    <row r="86">
      <c r="A86" s="330" t="s">
        <v>960</v>
      </c>
      <c r="B86" s="327"/>
      <c r="C86" s="327"/>
      <c r="D86" s="328">
        <f>SUM(D82:D85)</f>
      </c>
      <c r="E86" s="328">
        <f>SUM(E82:E85)</f>
      </c>
      <c r="F86" s="328">
        <f>SUM(F82:F85)</f>
      </c>
      <c r="G86" s="328">
        <f>SUM(G82:G85)</f>
      </c>
      <c r="H86" s="329">
        <f t="shared" si="0"/>
      </c>
      <c r="I86" s="329">
        <f t="shared" si="1"/>
      </c>
      <c r="J86" s="329">
        <f t="shared" si="2"/>
      </c>
      <c r="K86" s="328">
        <f>SUM(K82:K85)</f>
      </c>
      <c r="L86" s="328">
        <f>SUM(L82:L85)</f>
      </c>
      <c r="M86" s="327"/>
      <c r="N86" s="328">
        <f>SUM(N82:N85)</f>
      </c>
      <c r="O86" s="327"/>
      <c r="P86" s="333">
        <f>SUM(P82:P85)</f>
      </c>
    </row>
    <row hidden="true" r="87">
      <c r="A87" s="318" t="s">
        <v>962</v>
      </c>
      <c r="B87" s="332" t="s">
        <v>958</v>
      </c>
      <c r="C87" s="320" t="s">
        <v>936</v>
      </c>
      <c r="D87" s="320">
        <v>4</v>
      </c>
      <c r="E87" s="320">
        <v>41</v>
      </c>
      <c r="F87" s="320">
        <v>38850</v>
      </c>
      <c r="G87" s="320">
        <v>40595.89</v>
      </c>
      <c r="H87" s="322">
        <f t="shared" si="0"/>
      </c>
      <c r="I87" s="322">
        <f t="shared" si="1"/>
      </c>
      <c r="J87" s="322">
        <f t="shared" si="2"/>
      </c>
      <c r="K87" s="320">
        <v>13</v>
      </c>
      <c r="L87" s="320">
        <v>12459.6</v>
      </c>
      <c r="M87" s="320" t="s">
        <v>922</v>
      </c>
      <c r="N87" s="320">
        <v>9</v>
      </c>
      <c r="O87" s="321"/>
      <c r="P87" s="321"/>
    </row>
    <row hidden="true" r="88">
      <c r="A88" s="318" t="s">
        <v>962</v>
      </c>
      <c r="B88" s="332" t="s">
        <v>938</v>
      </c>
      <c r="C88" s="320" t="s">
        <v>939</v>
      </c>
      <c r="D88" s="320">
        <v>2</v>
      </c>
      <c r="E88" s="320">
        <v>18</v>
      </c>
      <c r="F88" s="320">
        <v>26256</v>
      </c>
      <c r="G88" s="320">
        <v>13593.869999999999</v>
      </c>
      <c r="H88" s="322">
        <f t="shared" si="0"/>
      </c>
      <c r="I88" s="322">
        <f t="shared" si="1"/>
      </c>
      <c r="J88" s="322">
        <f t="shared" si="2"/>
      </c>
      <c r="K88" s="320">
        <v>2</v>
      </c>
      <c r="L88" s="320">
        <v>2064</v>
      </c>
      <c r="M88" s="320"/>
      <c r="N88" s="320"/>
      <c r="O88" s="321"/>
      <c r="P88" s="321"/>
    </row>
    <row hidden="true" r="89">
      <c r="A89" s="318" t="s">
        <v>962</v>
      </c>
      <c r="B89" s="320" t="s">
        <v>909</v>
      </c>
      <c r="C89" s="320" t="s">
        <v>940</v>
      </c>
      <c r="D89" s="320">
        <v>4</v>
      </c>
      <c r="E89" s="320">
        <v>43</v>
      </c>
      <c r="F89" s="320">
        <v>58137.6</v>
      </c>
      <c r="G89" s="320">
        <v>30741.730000000003</v>
      </c>
      <c r="H89" s="322">
        <f t="shared" si="0"/>
      </c>
      <c r="I89" s="322">
        <f t="shared" si="1"/>
      </c>
      <c r="J89" s="322">
        <f t="shared" si="2"/>
      </c>
      <c r="K89" s="320">
        <v>8</v>
      </c>
      <c r="L89" s="320">
        <v>10149.6</v>
      </c>
      <c r="M89" s="321"/>
      <c r="N89" s="321"/>
      <c r="O89" s="321"/>
      <c r="P89" s="321"/>
    </row>
    <row hidden="true" r="90">
      <c r="A90" s="318" t="s">
        <v>962</v>
      </c>
      <c r="B90" s="320" t="s">
        <v>906</v>
      </c>
      <c r="C90" s="320" t="s">
        <v>941</v>
      </c>
      <c r="D90" s="320">
        <v>4</v>
      </c>
      <c r="E90" s="320">
        <v>28</v>
      </c>
      <c r="F90" s="320">
        <v>34594.8</v>
      </c>
      <c r="G90" s="320">
        <v>22035.809999999998</v>
      </c>
      <c r="H90" s="322">
        <f t="shared" si="0"/>
      </c>
      <c r="I90" s="322">
        <f t="shared" si="1"/>
      </c>
      <c r="J90" s="322">
        <f t="shared" si="2"/>
      </c>
      <c r="K90" s="320">
        <v>5</v>
      </c>
      <c r="L90" s="320">
        <v>5048.4</v>
      </c>
      <c r="M90" s="320"/>
      <c r="N90" s="320"/>
      <c r="O90" s="321"/>
      <c r="P90" s="321"/>
    </row>
    <row hidden="true" r="91">
      <c r="A91" s="318" t="s">
        <v>962</v>
      </c>
      <c r="B91" s="320" t="s">
        <v>927</v>
      </c>
      <c r="C91" s="320" t="s">
        <v>934</v>
      </c>
      <c r="D91" s="320">
        <v>4</v>
      </c>
      <c r="E91" s="320">
        <v>46</v>
      </c>
      <c r="F91" s="320">
        <v>51958.8</v>
      </c>
      <c r="G91" s="320">
        <v>40280.52</v>
      </c>
      <c r="H91" s="322">
        <f t="shared" si="0"/>
      </c>
      <c r="I91" s="322">
        <f t="shared" si="1"/>
      </c>
      <c r="J91" s="322">
        <f t="shared" si="2"/>
      </c>
      <c r="K91" s="320">
        <v>8</v>
      </c>
      <c r="L91" s="320">
        <v>6744</v>
      </c>
      <c r="M91" s="320" t="s">
        <v>950</v>
      </c>
      <c r="N91" s="320">
        <v>9</v>
      </c>
      <c r="O91" s="320" t="s">
        <v>914</v>
      </c>
      <c r="P91" s="320">
        <v>18</v>
      </c>
    </row>
    <row r="92">
      <c r="A92" s="330" t="s">
        <v>962</v>
      </c>
      <c r="B92" s="327"/>
      <c r="C92" s="327"/>
      <c r="D92" s="328">
        <f>SUM(D87:D91)</f>
      </c>
      <c r="E92" s="328">
        <f>SUM(E87:E91)</f>
      </c>
      <c r="F92" s="328">
        <f>SUM(F87:F91)</f>
      </c>
      <c r="G92" s="328">
        <f>SUM(G87:G91)</f>
      </c>
      <c r="H92" s="329">
        <f t="shared" si="0"/>
      </c>
      <c r="I92" s="329">
        <f t="shared" si="1"/>
      </c>
      <c r="J92" s="329">
        <f t="shared" si="2"/>
      </c>
      <c r="K92" s="328">
        <f>SUM(K87:K91)</f>
      </c>
      <c r="L92" s="328">
        <f>SUM(L87:L91)</f>
      </c>
      <c r="M92" s="327"/>
      <c r="N92" s="328">
        <f>SUM(N87:N91)</f>
      </c>
      <c r="O92" s="327"/>
      <c r="P92" s="333">
        <f>SUM(P88:P91)</f>
      </c>
    </row>
    <row hidden="true" r="93">
      <c r="A93" s="318" t="s">
        <v>963</v>
      </c>
      <c r="B93" s="332" t="s">
        <v>906</v>
      </c>
      <c r="C93" s="320" t="s">
        <v>936</v>
      </c>
      <c r="D93" s="320">
        <v>4</v>
      </c>
      <c r="E93" s="320">
        <v>36</v>
      </c>
      <c r="F93" s="320">
        <v>41311.2</v>
      </c>
      <c r="G93" s="320">
        <v>34022.670000000006</v>
      </c>
      <c r="H93" s="322">
        <f t="shared" si="0"/>
      </c>
      <c r="I93" s="322">
        <f t="shared" si="1"/>
      </c>
      <c r="J93" s="322">
        <f t="shared" si="2"/>
      </c>
      <c r="K93" s="320">
        <v>3</v>
      </c>
      <c r="L93" s="320">
        <v>4401.6</v>
      </c>
      <c r="M93" s="320" t="s">
        <v>964</v>
      </c>
      <c r="N93" s="320">
        <v>9</v>
      </c>
      <c r="O93" s="321"/>
      <c r="P93" s="321"/>
    </row>
    <row hidden="true" r="94">
      <c r="A94" s="318" t="s">
        <v>963</v>
      </c>
      <c r="B94" s="332" t="s">
        <v>958</v>
      </c>
      <c r="C94" s="320" t="s">
        <v>956</v>
      </c>
      <c r="D94" s="334">
        <v>3.5</v>
      </c>
      <c r="E94" s="320">
        <v>26</v>
      </c>
      <c r="F94" s="320">
        <v>32234.40000000001</v>
      </c>
      <c r="G94" s="320">
        <v>25772.950000000004</v>
      </c>
      <c r="H94" s="322">
        <f t="shared" si="0"/>
      </c>
      <c r="I94" s="322">
        <f t="shared" si="1"/>
      </c>
      <c r="J94" s="322">
        <f t="shared" si="2"/>
      </c>
      <c r="K94" s="320">
        <v>3</v>
      </c>
      <c r="L94" s="320">
        <v>3780</v>
      </c>
      <c r="M94" s="320"/>
      <c r="N94" s="320"/>
      <c r="O94" s="321"/>
      <c r="P94" s="321"/>
    </row>
    <row hidden="true" r="95">
      <c r="A95" s="318" t="s">
        <v>963</v>
      </c>
      <c r="B95" s="320" t="s">
        <v>938</v>
      </c>
      <c r="C95" s="320" t="s">
        <v>961</v>
      </c>
      <c r="D95" s="320">
        <v>2</v>
      </c>
      <c r="E95" s="320">
        <v>5</v>
      </c>
      <c r="F95" s="320">
        <v>5484</v>
      </c>
      <c r="G95" s="320">
        <v>7192.13</v>
      </c>
      <c r="H95" s="322">
        <f t="shared" si="0"/>
      </c>
      <c r="I95" s="322">
        <f t="shared" si="1"/>
      </c>
      <c r="J95" s="322">
        <f t="shared" si="2"/>
      </c>
      <c r="K95" s="320">
        <v>1</v>
      </c>
      <c r="L95" s="320">
        <v>1344</v>
      </c>
      <c r="M95" s="321"/>
      <c r="N95" s="321"/>
      <c r="O95" s="321"/>
      <c r="P95" s="321"/>
    </row>
    <row hidden="true" r="96">
      <c r="A96" s="318" t="s">
        <v>963</v>
      </c>
      <c r="B96" s="320" t="s">
        <v>909</v>
      </c>
      <c r="C96" s="320" t="s">
        <v>941</v>
      </c>
      <c r="D96" s="320">
        <v>4</v>
      </c>
      <c r="E96" s="320">
        <v>12</v>
      </c>
      <c r="F96" s="320">
        <v>15736</v>
      </c>
      <c r="G96" s="320">
        <v>12871.78</v>
      </c>
      <c r="H96" s="322">
        <f t="shared" si="0"/>
      </c>
      <c r="I96" s="322">
        <f t="shared" si="1"/>
      </c>
      <c r="J96" s="322">
        <f t="shared" si="2"/>
      </c>
      <c r="K96" s="320">
        <v>0</v>
      </c>
      <c r="L96" s="320">
        <v>0</v>
      </c>
      <c r="M96" s="320"/>
      <c r="N96" s="320"/>
      <c r="O96" s="321"/>
      <c r="P96" s="321"/>
    </row>
    <row hidden="true" r="97">
      <c r="A97" s="318" t="s">
        <v>963</v>
      </c>
      <c r="B97" s="320" t="s">
        <v>927</v>
      </c>
      <c r="C97" s="320" t="s">
        <v>934</v>
      </c>
      <c r="D97" s="320">
        <v>4</v>
      </c>
      <c r="E97" s="320">
        <v>32</v>
      </c>
      <c r="F97" s="320">
        <v>34262.4</v>
      </c>
      <c r="G97" s="320">
        <v>24984.6</v>
      </c>
      <c r="H97" s="322">
        <f t="shared" si="0"/>
      </c>
      <c r="I97" s="322">
        <f t="shared" si="1"/>
      </c>
      <c r="J97" s="322">
        <f t="shared" si="2"/>
      </c>
      <c r="K97" s="320">
        <v>9</v>
      </c>
      <c r="L97" s="320">
        <v>8284.8</v>
      </c>
      <c r="M97" s="320" t="s">
        <v>950</v>
      </c>
      <c r="N97" s="320">
        <v>9</v>
      </c>
      <c r="O97" s="320" t="s">
        <v>914</v>
      </c>
      <c r="P97" s="320">
        <v>18</v>
      </c>
    </row>
    <row r="98">
      <c r="A98" s="330" t="s">
        <v>963</v>
      </c>
      <c r="B98" s="327"/>
      <c r="C98" s="327"/>
      <c r="D98" s="328">
        <f>SUM(D93:D97)</f>
      </c>
      <c r="E98" s="328">
        <f>SUM(E93:E97)</f>
      </c>
      <c r="F98" s="328">
        <f>SUM(F93:F97)</f>
      </c>
      <c r="G98" s="328">
        <f>SUM(G93:G97)</f>
      </c>
      <c r="H98" s="329">
        <f t="shared" si="0"/>
      </c>
      <c r="I98" s="329">
        <f t="shared" si="1"/>
      </c>
      <c r="J98" s="329">
        <f t="shared" si="2"/>
      </c>
      <c r="K98" s="328">
        <f>SUM(K93:K97)</f>
      </c>
      <c r="L98" s="328">
        <f>SUM(L93:L97)</f>
      </c>
      <c r="M98" s="327"/>
      <c r="N98" s="328">
        <f>SUM(N93:N97)</f>
      </c>
      <c r="O98" s="327"/>
      <c r="P98" s="333">
        <f>SUM(P94:P97)</f>
      </c>
    </row>
    <row hidden="true" r="99">
      <c r="A99" s="318" t="s">
        <v>965</v>
      </c>
      <c r="B99" s="320" t="s">
        <v>909</v>
      </c>
      <c r="C99" s="320" t="s">
        <v>926</v>
      </c>
      <c r="D99" s="320">
        <v>5</v>
      </c>
      <c r="E99" s="320">
        <v>34</v>
      </c>
      <c r="F99" s="320">
        <v>48056.4</v>
      </c>
      <c r="G99" s="320">
        <v>28426.439999999995</v>
      </c>
      <c r="H99" s="322">
        <f t="shared" si="0"/>
      </c>
      <c r="I99" s="322">
        <f t="shared" si="1"/>
      </c>
      <c r="J99" s="322">
        <f t="shared" si="2"/>
      </c>
      <c r="K99" s="320">
        <v>9</v>
      </c>
      <c r="L99" s="320">
        <v>9044.4</v>
      </c>
      <c r="M99" s="320" t="s">
        <v>964</v>
      </c>
      <c r="N99" s="320">
        <v>8</v>
      </c>
      <c r="O99" s="321"/>
      <c r="P99" s="321"/>
    </row>
    <row hidden="true" r="100">
      <c r="A100" s="318" t="s">
        <v>965</v>
      </c>
      <c r="B100" s="332" t="s">
        <v>927</v>
      </c>
      <c r="C100" s="320" t="s">
        <v>959</v>
      </c>
      <c r="D100" s="320">
        <v>5</v>
      </c>
      <c r="E100" s="320">
        <v>66</v>
      </c>
      <c r="F100" s="320">
        <v>81457.2</v>
      </c>
      <c r="G100" s="320">
        <v>48689.83</v>
      </c>
      <c r="H100" s="322">
        <f t="shared" si="0"/>
      </c>
      <c r="I100" s="322">
        <f t="shared" si="1"/>
      </c>
      <c r="J100" s="322">
        <f t="shared" si="2"/>
      </c>
      <c r="K100" s="320">
        <v>21</v>
      </c>
      <c r="L100" s="320">
        <v>25453.2</v>
      </c>
      <c r="M100" s="321"/>
      <c r="N100" s="321"/>
      <c r="O100" s="321"/>
      <c r="P100" s="321"/>
    </row>
    <row hidden="true" r="101">
      <c r="A101" s="318" t="s">
        <v>965</v>
      </c>
      <c r="B101" s="332" t="s">
        <v>938</v>
      </c>
      <c r="C101" s="320" t="s">
        <v>941</v>
      </c>
      <c r="D101" s="320">
        <v>4</v>
      </c>
      <c r="E101" s="320">
        <v>34</v>
      </c>
      <c r="F101" s="320">
        <v>33907.2</v>
      </c>
      <c r="G101" s="320">
        <v>23856.45</v>
      </c>
      <c r="H101" s="322">
        <f t="shared" si="0"/>
      </c>
      <c r="I101" s="322">
        <f t="shared" si="1"/>
      </c>
      <c r="J101" s="322">
        <f t="shared" si="2"/>
      </c>
      <c r="K101" s="320">
        <v>5</v>
      </c>
      <c r="L101" s="320">
        <v>4881.6</v>
      </c>
      <c r="M101" s="320"/>
      <c r="N101" s="320"/>
      <c r="O101" s="321"/>
      <c r="P101" s="321"/>
    </row>
    <row hidden="true" r="102">
      <c r="A102" s="318" t="s">
        <v>965</v>
      </c>
      <c r="B102" s="320" t="s">
        <v>911</v>
      </c>
      <c r="C102" s="320" t="s">
        <v>934</v>
      </c>
      <c r="D102" s="320">
        <v>4</v>
      </c>
      <c r="E102" s="320">
        <v>31</v>
      </c>
      <c r="F102" s="320">
        <v>34611.6</v>
      </c>
      <c r="G102" s="320">
        <v>32284.64</v>
      </c>
      <c r="H102" s="322">
        <f t="shared" si="0"/>
      </c>
      <c r="I102" s="322">
        <f t="shared" si="1"/>
      </c>
      <c r="J102" s="322">
        <f t="shared" si="2"/>
      </c>
      <c r="K102" s="320">
        <v>9</v>
      </c>
      <c r="L102" s="320">
        <v>7476</v>
      </c>
      <c r="M102" s="320" t="s">
        <v>950</v>
      </c>
      <c r="N102" s="320">
        <v>10</v>
      </c>
      <c r="O102" s="320" t="s">
        <v>914</v>
      </c>
      <c r="P102" s="320">
        <v>18</v>
      </c>
    </row>
    <row r="103">
      <c r="A103" s="330" t="s">
        <v>965</v>
      </c>
      <c r="B103" s="327"/>
      <c r="C103" s="327"/>
      <c r="D103" s="328">
        <f>SUM(D99:D102)</f>
      </c>
      <c r="E103" s="328">
        <f>SUM(E99:E102)</f>
      </c>
      <c r="F103" s="328">
        <f>SUM(F99:F102)</f>
      </c>
      <c r="G103" s="328">
        <f>SUM(G99:G102)</f>
      </c>
      <c r="H103" s="329">
        <f t="shared" si="0"/>
      </c>
      <c r="I103" s="329">
        <f t="shared" si="1"/>
      </c>
      <c r="J103" s="329">
        <f t="shared" si="2"/>
      </c>
      <c r="K103" s="328">
        <f>SUM(K99:K102)</f>
      </c>
      <c r="L103" s="328">
        <f>SUM(L99:L102)</f>
      </c>
      <c r="M103" s="327"/>
      <c r="N103" s="328">
        <f>SUM(N99:N102)</f>
      </c>
      <c r="O103" s="327"/>
      <c r="P103" s="333">
        <f>SUM(P99:P102)</f>
      </c>
    </row>
    <row hidden="true" r="104">
      <c r="A104" s="318" t="s">
        <v>966</v>
      </c>
      <c r="B104" s="320" t="s">
        <v>909</v>
      </c>
      <c r="C104" s="320" t="s">
        <v>967</v>
      </c>
      <c r="D104" s="320">
        <v>2</v>
      </c>
      <c r="E104" s="320">
        <v>19</v>
      </c>
      <c r="F104" s="320">
        <v>24823.2</v>
      </c>
      <c r="G104" s="320">
        <v>14459.09</v>
      </c>
      <c r="H104" s="322">
        <f t="shared" si="0"/>
      </c>
      <c r="I104" s="322">
        <f t="shared" si="1"/>
      </c>
      <c r="J104" s="322">
        <f t="shared" si="2"/>
      </c>
      <c r="K104" s="320">
        <v>5</v>
      </c>
      <c r="L104" s="320">
        <v>7584</v>
      </c>
      <c r="M104" s="320" t="s">
        <v>964</v>
      </c>
      <c r="N104" s="320">
        <v>6.5</v>
      </c>
      <c r="O104" s="321"/>
      <c r="P104" s="321"/>
    </row>
    <row hidden="true" r="105">
      <c r="A105" s="318" t="s">
        <v>966</v>
      </c>
      <c r="B105" s="332" t="s">
        <v>911</v>
      </c>
      <c r="C105" s="320" t="s">
        <v>928</v>
      </c>
      <c r="D105" s="320">
        <v>4</v>
      </c>
      <c r="E105" s="320">
        <v>32</v>
      </c>
      <c r="F105" s="320">
        <v>38040</v>
      </c>
      <c r="G105" s="320">
        <v>34550.62</v>
      </c>
      <c r="H105" s="322">
        <f t="shared" si="0"/>
      </c>
      <c r="I105" s="322">
        <f t="shared" si="1"/>
      </c>
      <c r="J105" s="322">
        <f t="shared" si="2"/>
      </c>
      <c r="K105" s="320">
        <v>7</v>
      </c>
      <c r="L105" s="320">
        <v>10524</v>
      </c>
      <c r="M105" s="321"/>
      <c r="N105" s="321"/>
      <c r="O105" s="321"/>
      <c r="P105" s="321"/>
    </row>
    <row hidden="true" r="106">
      <c r="A106" s="318" t="s">
        <v>966</v>
      </c>
      <c r="B106" s="332" t="s">
        <v>938</v>
      </c>
      <c r="C106" s="320" t="s">
        <v>929</v>
      </c>
      <c r="D106" s="320">
        <v>4</v>
      </c>
      <c r="E106" s="320">
        <v>21</v>
      </c>
      <c r="F106" s="320">
        <v>23464.8</v>
      </c>
      <c r="G106" s="320">
        <v>18150.67</v>
      </c>
      <c r="H106" s="322">
        <f t="shared" si="0"/>
      </c>
      <c r="I106" s="322">
        <f t="shared" si="1"/>
      </c>
      <c r="J106" s="322">
        <f t="shared" si="2"/>
      </c>
      <c r="K106" s="320">
        <v>8</v>
      </c>
      <c r="L106" s="320">
        <v>8469.6</v>
      </c>
      <c r="M106" s="320"/>
      <c r="N106" s="320"/>
      <c r="O106" s="321"/>
      <c r="P106" s="321"/>
    </row>
    <row hidden="true" r="107">
      <c r="A107" s="318" t="s">
        <v>966</v>
      </c>
      <c r="B107" s="320" t="s">
        <v>927</v>
      </c>
      <c r="C107" s="320" t="s">
        <v>930</v>
      </c>
      <c r="D107" s="320">
        <v>5</v>
      </c>
      <c r="E107" s="320">
        <v>44</v>
      </c>
      <c r="F107" s="320">
        <v>58239.8</v>
      </c>
      <c r="G107" s="320">
        <v>25728.730000000003</v>
      </c>
      <c r="H107" s="322">
        <f t="shared" si="0"/>
      </c>
      <c r="I107" s="322">
        <f t="shared" si="1"/>
      </c>
      <c r="J107" s="322">
        <f t="shared" si="2"/>
      </c>
      <c r="K107" s="320">
        <v>5</v>
      </c>
      <c r="L107" s="320">
        <v>4853</v>
      </c>
      <c r="M107" s="320" t="s">
        <v>950</v>
      </c>
      <c r="N107" s="320">
        <v>10</v>
      </c>
      <c r="O107" s="320" t="s">
        <v>914</v>
      </c>
      <c r="P107" s="320">
        <v>18</v>
      </c>
    </row>
    <row r="108">
      <c r="A108" s="330" t="s">
        <v>966</v>
      </c>
      <c r="B108" s="327"/>
      <c r="C108" s="327"/>
      <c r="D108" s="328">
        <f>SUM(D104:D107)</f>
      </c>
      <c r="E108" s="328">
        <f>SUM(E104:E107)</f>
      </c>
      <c r="F108" s="328">
        <f>SUM(F104:F107)</f>
      </c>
      <c r="G108" s="328">
        <f>SUM(G104:G107)</f>
      </c>
      <c r="H108" s="329">
        <f t="shared" si="0"/>
      </c>
      <c r="I108" s="329">
        <f t="shared" si="1"/>
      </c>
      <c r="J108" s="329">
        <f t="shared" si="2"/>
      </c>
      <c r="K108" s="328">
        <f>SUM(K104:K107)</f>
      </c>
      <c r="L108" s="328">
        <f>SUM(L104:L107)</f>
      </c>
      <c r="M108" s="327"/>
      <c r="N108" s="328">
        <f>SUM(N104:N107)</f>
      </c>
      <c r="O108" s="327"/>
      <c r="P108" s="333">
        <f>SUM(P104:P107)</f>
      </c>
    </row>
    <row hidden="true" r="109">
      <c r="A109" s="318" t="s">
        <v>968</v>
      </c>
      <c r="B109" s="320" t="s">
        <v>911</v>
      </c>
      <c r="C109" s="320" t="s">
        <v>936</v>
      </c>
      <c r="D109" s="320">
        <v>4</v>
      </c>
      <c r="E109" s="320">
        <v>32</v>
      </c>
      <c r="F109" s="320">
        <v>33610.8</v>
      </c>
      <c r="G109" s="320">
        <v>28281.390000000003</v>
      </c>
      <c r="H109" s="322">
        <f t="shared" si="0"/>
      </c>
      <c r="I109" s="322">
        <f t="shared" si="1"/>
      </c>
      <c r="J109" s="322">
        <f t="shared" si="2"/>
      </c>
      <c r="K109" s="320">
        <v>7</v>
      </c>
      <c r="L109" s="320">
        <v>6076.8</v>
      </c>
      <c r="M109" s="320" t="s">
        <v>964</v>
      </c>
      <c r="N109" s="320">
        <v>8</v>
      </c>
      <c r="O109" s="321"/>
      <c r="P109" s="321"/>
    </row>
    <row hidden="true" r="110">
      <c r="A110" s="318" t="s">
        <v>968</v>
      </c>
      <c r="B110" s="332" t="s">
        <v>938</v>
      </c>
      <c r="C110" s="320" t="s">
        <v>956</v>
      </c>
      <c r="D110" s="320">
        <v>4</v>
      </c>
      <c r="E110" s="320">
        <v>13</v>
      </c>
      <c r="F110" s="320">
        <v>9616.2</v>
      </c>
      <c r="G110" s="320">
        <v>15392.92</v>
      </c>
      <c r="H110" s="322">
        <f t="shared" si="0"/>
      </c>
      <c r="I110" s="322">
        <f t="shared" si="1"/>
      </c>
      <c r="J110" s="322">
        <f t="shared" si="2"/>
      </c>
      <c r="K110" s="320">
        <v>5</v>
      </c>
      <c r="L110" s="320">
        <v>4152</v>
      </c>
      <c r="M110" s="321"/>
      <c r="N110" s="321"/>
      <c r="O110" s="321"/>
      <c r="P110" s="321"/>
    </row>
    <row hidden="true" r="111">
      <c r="A111" s="318" t="s">
        <v>968</v>
      </c>
      <c r="B111" s="320" t="s">
        <v>909</v>
      </c>
      <c r="C111" s="320" t="s">
        <v>910</v>
      </c>
      <c r="D111" s="320">
        <v>5</v>
      </c>
      <c r="E111" s="320">
        <v>44</v>
      </c>
      <c r="F111" s="320">
        <v>53469.76</v>
      </c>
      <c r="G111" s="320">
        <v>25357.12</v>
      </c>
      <c r="H111" s="322">
        <f t="shared" si="0"/>
      </c>
      <c r="I111" s="322">
        <f t="shared" si="1"/>
      </c>
      <c r="J111" s="322">
        <f t="shared" si="2"/>
      </c>
      <c r="K111" s="320">
        <v>14</v>
      </c>
      <c r="L111" s="320">
        <v>21263.8</v>
      </c>
      <c r="M111" s="320"/>
      <c r="N111" s="320"/>
      <c r="O111" s="321"/>
      <c r="P111" s="321"/>
    </row>
    <row hidden="true" r="112">
      <c r="A112" s="318" t="s">
        <v>968</v>
      </c>
      <c r="B112" s="320" t="s">
        <v>927</v>
      </c>
      <c r="C112" s="320" t="s">
        <v>930</v>
      </c>
      <c r="D112" s="320">
        <v>5</v>
      </c>
      <c r="E112" s="320">
        <v>44</v>
      </c>
      <c r="F112" s="320">
        <v>58333.2</v>
      </c>
      <c r="G112" s="320">
        <v>28685.39</v>
      </c>
      <c r="H112" s="322">
        <f t="shared" si="0"/>
      </c>
      <c r="I112" s="322">
        <f t="shared" si="1"/>
      </c>
      <c r="J112" s="322">
        <f t="shared" si="2"/>
      </c>
      <c r="K112" s="320">
        <v>4</v>
      </c>
      <c r="L112" s="320">
        <v>4116</v>
      </c>
      <c r="M112" s="320" t="s">
        <v>950</v>
      </c>
      <c r="N112" s="320">
        <v>10</v>
      </c>
      <c r="O112" s="320" t="s">
        <v>914</v>
      </c>
      <c r="P112" s="320">
        <v>18</v>
      </c>
    </row>
    <row r="113">
      <c r="A113" s="330" t="s">
        <v>968</v>
      </c>
      <c r="B113" s="327"/>
      <c r="C113" s="327"/>
      <c r="D113" s="328">
        <f>SUM(D109:D112)</f>
      </c>
      <c r="E113" s="328">
        <f>SUM(E109:E112)</f>
      </c>
      <c r="F113" s="328">
        <f>SUM(F109:F112)</f>
      </c>
      <c r="G113" s="328">
        <f>SUM(G109:G112)</f>
      </c>
      <c r="H113" s="329">
        <f t="shared" si="0"/>
      </c>
      <c r="I113" s="329">
        <f t="shared" si="1"/>
      </c>
      <c r="J113" s="329">
        <f t="shared" si="2"/>
      </c>
      <c r="K113" s="328">
        <f>SUM(K109:K112)</f>
      </c>
      <c r="L113" s="328">
        <f>SUM(L109:L112)</f>
      </c>
      <c r="M113" s="327"/>
      <c r="N113" s="328">
        <f>SUM(N109:N112)</f>
      </c>
      <c r="O113" s="327"/>
      <c r="P113" s="333">
        <f>SUM(P109:P112)</f>
      </c>
    </row>
    <row hidden="true" r="114">
      <c r="A114" s="318" t="s">
        <v>969</v>
      </c>
      <c r="B114" s="320" t="s">
        <v>911</v>
      </c>
      <c r="C114" s="320" t="s">
        <v>936</v>
      </c>
      <c r="D114" s="320">
        <v>4</v>
      </c>
      <c r="E114" s="320">
        <v>19</v>
      </c>
      <c r="F114" s="320">
        <v>28320</v>
      </c>
      <c r="G114" s="320">
        <v>21926.45</v>
      </c>
      <c r="H114" s="322">
        <f t="shared" si="0"/>
      </c>
      <c r="I114" s="322">
        <f t="shared" si="1"/>
      </c>
      <c r="J114" s="322">
        <f t="shared" si="2"/>
      </c>
      <c r="K114" s="320">
        <v>6</v>
      </c>
      <c r="L114" s="320">
        <v>4980</v>
      </c>
      <c r="M114" s="320" t="s">
        <v>964</v>
      </c>
      <c r="N114" s="320">
        <v>8</v>
      </c>
      <c r="O114" s="321"/>
      <c r="P114" s="321"/>
    </row>
    <row hidden="true" r="115">
      <c r="A115" s="318" t="s">
        <v>969</v>
      </c>
      <c r="B115" s="332" t="s">
        <v>938</v>
      </c>
      <c r="C115" s="320" t="s">
        <v>956</v>
      </c>
      <c r="D115" s="320">
        <v>4</v>
      </c>
      <c r="E115" s="320">
        <v>24</v>
      </c>
      <c r="F115" s="320">
        <v>23300.4</v>
      </c>
      <c r="G115" s="320">
        <v>22311.41</v>
      </c>
      <c r="H115" s="322">
        <f t="shared" si="0"/>
      </c>
      <c r="I115" s="322">
        <f t="shared" si="1"/>
      </c>
      <c r="J115" s="322">
        <f t="shared" si="2"/>
      </c>
      <c r="K115" s="320">
        <v>6</v>
      </c>
      <c r="L115" s="320">
        <v>5460</v>
      </c>
      <c r="M115" s="321"/>
      <c r="N115" s="321"/>
      <c r="O115" s="321"/>
      <c r="P115" s="321"/>
    </row>
    <row hidden="true" r="116">
      <c r="A116" s="318" t="s">
        <v>969</v>
      </c>
      <c r="B116" s="320" t="s">
        <v>927</v>
      </c>
      <c r="C116" s="320" t="s">
        <v>910</v>
      </c>
      <c r="D116" s="320">
        <v>5</v>
      </c>
      <c r="E116" s="320">
        <v>30</v>
      </c>
      <c r="F116" s="320">
        <v>35536.8</v>
      </c>
      <c r="G116" s="320">
        <v>17902.13</v>
      </c>
      <c r="H116" s="322">
        <f t="shared" si="0"/>
      </c>
      <c r="I116" s="322">
        <f t="shared" si="1"/>
      </c>
      <c r="J116" s="322">
        <f t="shared" si="2"/>
      </c>
      <c r="K116" s="320">
        <v>8</v>
      </c>
      <c r="L116" s="320">
        <v>8196</v>
      </c>
      <c r="M116" s="320"/>
      <c r="N116" s="320"/>
      <c r="O116" s="321"/>
      <c r="P116" s="321"/>
    </row>
    <row hidden="true" r="117">
      <c r="A117" s="318" t="s">
        <v>969</v>
      </c>
      <c r="B117" s="320" t="s">
        <v>909</v>
      </c>
      <c r="C117" s="320" t="s">
        <v>930</v>
      </c>
      <c r="D117" s="320">
        <v>5</v>
      </c>
      <c r="E117" s="320">
        <v>35</v>
      </c>
      <c r="F117" s="320">
        <v>44739.6</v>
      </c>
      <c r="G117" s="320">
        <v>30470.35</v>
      </c>
      <c r="H117" s="322">
        <f t="shared" si="0"/>
      </c>
      <c r="I117" s="322">
        <f t="shared" si="1"/>
      </c>
      <c r="J117" s="322">
        <f t="shared" si="2"/>
      </c>
      <c r="K117" s="320">
        <v>7</v>
      </c>
      <c r="L117" s="320">
        <v>8640</v>
      </c>
      <c r="M117" s="320" t="s">
        <v>950</v>
      </c>
      <c r="N117" s="320">
        <v>10</v>
      </c>
      <c r="O117" s="320" t="s">
        <v>914</v>
      </c>
      <c r="P117" s="320">
        <v>18</v>
      </c>
    </row>
    <row r="118">
      <c r="A118" s="330" t="s">
        <v>969</v>
      </c>
      <c r="B118" s="327"/>
      <c r="C118" s="327"/>
      <c r="D118" s="328">
        <f>SUM(D114:D117)</f>
      </c>
      <c r="E118" s="328">
        <f>SUM(E114:E117)</f>
      </c>
      <c r="F118" s="328">
        <f>SUM(F114:F117)</f>
      </c>
      <c r="G118" s="328">
        <f>SUM(G114:G117)</f>
      </c>
      <c r="H118" s="329">
        <f t="shared" si="0"/>
      </c>
      <c r="I118" s="329">
        <f t="shared" si="1"/>
      </c>
      <c r="J118" s="329">
        <f t="shared" si="2"/>
      </c>
      <c r="K118" s="328">
        <f>SUM(K114:K117)</f>
      </c>
      <c r="L118" s="328">
        <f>SUM(L114:L117)</f>
      </c>
      <c r="M118" s="327"/>
      <c r="N118" s="328">
        <f>SUM(N114:N117)</f>
      </c>
      <c r="O118" s="327"/>
      <c r="P118" s="333">
        <f>SUM(P114:P117)</f>
      </c>
    </row>
    <row hidden="true" r="119">
      <c r="A119" s="318" t="s">
        <v>970</v>
      </c>
      <c r="B119" s="320" t="s">
        <v>906</v>
      </c>
      <c r="C119" s="320" t="s">
        <v>936</v>
      </c>
      <c r="D119" s="320">
        <v>4</v>
      </c>
      <c r="E119" s="320">
        <v>30</v>
      </c>
      <c r="F119" s="320">
        <v>32484</v>
      </c>
      <c r="G119" s="320">
        <v>30024.329999999998</v>
      </c>
      <c r="H119" s="322">
        <f t="shared" si="0"/>
      </c>
      <c r="I119" s="322">
        <f t="shared" si="1"/>
      </c>
      <c r="J119" s="322">
        <f t="shared" si="2"/>
      </c>
      <c r="K119" s="320">
        <v>8</v>
      </c>
      <c r="L119" s="320">
        <v>10320</v>
      </c>
      <c r="M119" s="320" t="s">
        <v>964</v>
      </c>
      <c r="N119" s="320">
        <v>8</v>
      </c>
      <c r="O119" s="321"/>
      <c r="P119" s="321"/>
    </row>
    <row hidden="true" r="120">
      <c r="A120" s="318" t="s">
        <v>970</v>
      </c>
      <c r="B120" s="332" t="s">
        <v>927</v>
      </c>
      <c r="C120" s="320" t="s">
        <v>949</v>
      </c>
      <c r="D120" s="320">
        <v>5</v>
      </c>
      <c r="E120" s="320">
        <v>69</v>
      </c>
      <c r="F120" s="320">
        <v>91573.2</v>
      </c>
      <c r="G120" s="320">
        <v>46813.35</v>
      </c>
      <c r="H120" s="322">
        <f t="shared" si="0"/>
      </c>
      <c r="I120" s="322">
        <f t="shared" si="1"/>
      </c>
      <c r="J120" s="322">
        <f t="shared" si="2"/>
      </c>
      <c r="K120" s="320">
        <v>19</v>
      </c>
      <c r="L120" s="320">
        <v>22368</v>
      </c>
      <c r="M120" s="321"/>
      <c r="N120" s="321"/>
      <c r="O120" s="321"/>
      <c r="P120" s="321"/>
    </row>
    <row hidden="true" r="121">
      <c r="A121" s="318" t="s">
        <v>970</v>
      </c>
      <c r="B121" s="320" t="s">
        <v>909</v>
      </c>
      <c r="C121" s="320" t="s">
        <v>933</v>
      </c>
      <c r="D121" s="320">
        <v>5</v>
      </c>
      <c r="E121" s="320">
        <v>56</v>
      </c>
      <c r="F121" s="320">
        <v>66469.4</v>
      </c>
      <c r="G121" s="320">
        <v>35831.27</v>
      </c>
      <c r="H121" s="322">
        <f t="shared" si="0"/>
      </c>
      <c r="I121" s="322">
        <f t="shared" si="1"/>
      </c>
      <c r="J121" s="322">
        <f t="shared" si="2"/>
      </c>
      <c r="K121" s="320">
        <v>9</v>
      </c>
      <c r="L121" s="320">
        <v>11064</v>
      </c>
      <c r="M121" s="320"/>
      <c r="N121" s="320"/>
      <c r="O121" s="321"/>
      <c r="P121" s="321"/>
    </row>
    <row hidden="true" r="122">
      <c r="A122" s="318" t="s">
        <v>970</v>
      </c>
      <c r="B122" s="320" t="s">
        <v>911</v>
      </c>
      <c r="C122" s="320" t="s">
        <v>934</v>
      </c>
      <c r="D122" s="320">
        <v>4</v>
      </c>
      <c r="E122" s="320">
        <v>46</v>
      </c>
      <c r="F122" s="320">
        <v>49066.8</v>
      </c>
      <c r="G122" s="320">
        <v>35937.15</v>
      </c>
      <c r="H122" s="322">
        <f t="shared" si="0"/>
      </c>
      <c r="I122" s="322">
        <f t="shared" si="1"/>
      </c>
      <c r="J122" s="322">
        <f t="shared" si="2"/>
      </c>
      <c r="K122" s="320">
        <v>6</v>
      </c>
      <c r="L122" s="320">
        <v>6960</v>
      </c>
      <c r="M122" s="320" t="s">
        <v>950</v>
      </c>
      <c r="N122" s="320">
        <v>10</v>
      </c>
      <c r="O122" s="320" t="s">
        <v>914</v>
      </c>
      <c r="P122" s="320">
        <v>18</v>
      </c>
    </row>
    <row r="123">
      <c r="A123" s="330" t="s">
        <v>970</v>
      </c>
      <c r="B123" s="327"/>
      <c r="C123" s="327"/>
      <c r="D123" s="328">
        <f>SUM(D119:D122)</f>
      </c>
      <c r="E123" s="328">
        <f>SUM(E119:E122)</f>
      </c>
      <c r="F123" s="328">
        <f>SUM(F119:F122)</f>
      </c>
      <c r="G123" s="328">
        <f>SUM(G119:G122)</f>
      </c>
      <c r="H123" s="329">
        <f t="shared" si="0"/>
      </c>
      <c r="I123" s="329">
        <f t="shared" si="1"/>
      </c>
      <c r="J123" s="329">
        <f t="shared" si="2"/>
      </c>
      <c r="K123" s="328">
        <f>SUM(K119:K122)</f>
      </c>
      <c r="L123" s="328">
        <f>SUM(L119:L122)</f>
      </c>
      <c r="M123" s="327"/>
      <c r="N123" s="328">
        <f>SUM(N119:N122)</f>
      </c>
      <c r="O123" s="327"/>
      <c r="P123" s="333">
        <f>SUM(P119:P122)</f>
      </c>
    </row>
    <row hidden="true" r="124">
      <c r="A124" s="318" t="s">
        <v>971</v>
      </c>
      <c r="B124" s="320" t="s">
        <v>906</v>
      </c>
      <c r="C124" s="320" t="s">
        <v>926</v>
      </c>
      <c r="D124" s="334">
        <v>4.5</v>
      </c>
      <c r="E124" s="320">
        <v>34</v>
      </c>
      <c r="F124" s="320">
        <v>41024.4</v>
      </c>
      <c r="G124" s="320">
        <v>32868.99</v>
      </c>
      <c r="H124" s="322">
        <f t="shared" si="0"/>
      </c>
      <c r="I124" s="322">
        <f t="shared" si="1"/>
      </c>
      <c r="J124" s="322">
        <f t="shared" si="2"/>
      </c>
      <c r="K124" s="320">
        <v>10</v>
      </c>
      <c r="L124" s="320">
        <v>15720</v>
      </c>
      <c r="M124" s="320" t="s">
        <v>964</v>
      </c>
      <c r="N124" s="320">
        <v>8</v>
      </c>
      <c r="O124" s="321"/>
      <c r="P124" s="321"/>
    </row>
    <row hidden="true" r="125">
      <c r="A125" s="318" t="s">
        <v>971</v>
      </c>
      <c r="B125" s="332" t="s">
        <v>911</v>
      </c>
      <c r="C125" s="320" t="s">
        <v>928</v>
      </c>
      <c r="D125" s="320">
        <v>4</v>
      </c>
      <c r="E125" s="320">
        <v>35</v>
      </c>
      <c r="F125" s="320">
        <v>41138.4</v>
      </c>
      <c r="G125" s="320">
        <v>27245.45</v>
      </c>
      <c r="H125" s="322">
        <f t="shared" si="0"/>
      </c>
      <c r="I125" s="322">
        <f t="shared" si="1"/>
      </c>
      <c r="J125" s="322">
        <f t="shared" si="2"/>
      </c>
      <c r="K125" s="320">
        <v>9</v>
      </c>
      <c r="L125" s="320">
        <v>13262.4</v>
      </c>
      <c r="M125" s="321"/>
      <c r="N125" s="321"/>
      <c r="O125" s="321"/>
      <c r="P125" s="321"/>
    </row>
    <row hidden="true" r="126">
      <c r="A126" s="318" t="s">
        <v>971</v>
      </c>
      <c r="B126" s="320" t="s">
        <v>909</v>
      </c>
      <c r="C126" s="320" t="s">
        <v>929</v>
      </c>
      <c r="D126" s="320">
        <v>4</v>
      </c>
      <c r="E126" s="320">
        <v>20</v>
      </c>
      <c r="F126" s="320">
        <v>22887.6</v>
      </c>
      <c r="G126" s="320">
        <v>17562.59</v>
      </c>
      <c r="H126" s="322">
        <f t="shared" si="0"/>
      </c>
      <c r="I126" s="322">
        <f t="shared" si="1"/>
      </c>
      <c r="J126" s="322">
        <f t="shared" si="2"/>
      </c>
      <c r="K126" s="320">
        <v>3</v>
      </c>
      <c r="L126" s="320">
        <v>1896</v>
      </c>
      <c r="M126" s="320"/>
      <c r="N126" s="320"/>
      <c r="O126" s="321"/>
      <c r="P126" s="321"/>
    </row>
    <row hidden="true" r="127">
      <c r="A127" s="318" t="s">
        <v>971</v>
      </c>
      <c r="B127" s="320" t="s">
        <v>927</v>
      </c>
      <c r="C127" s="320" t="s">
        <v>930</v>
      </c>
      <c r="D127" s="320">
        <v>5</v>
      </c>
      <c r="E127" s="320">
        <v>70</v>
      </c>
      <c r="F127" s="320">
        <v>91892.2</v>
      </c>
      <c r="G127" s="320">
        <v>32786.62</v>
      </c>
      <c r="H127" s="322">
        <f t="shared" si="0"/>
      </c>
      <c r="I127" s="322">
        <f t="shared" si="1"/>
      </c>
      <c r="J127" s="322">
        <f t="shared" si="2"/>
      </c>
      <c r="K127" s="320">
        <v>9</v>
      </c>
      <c r="L127" s="320">
        <v>7382.4</v>
      </c>
      <c r="M127" s="320" t="s">
        <v>950</v>
      </c>
      <c r="N127" s="320">
        <v>10</v>
      </c>
      <c r="O127" s="320" t="s">
        <v>914</v>
      </c>
      <c r="P127" s="320">
        <v>18</v>
      </c>
    </row>
    <row r="128">
      <c r="A128" s="330" t="s">
        <v>971</v>
      </c>
      <c r="B128" s="327"/>
      <c r="C128" s="327"/>
      <c r="D128" s="328">
        <f>SUM(D124:D127)</f>
      </c>
      <c r="E128" s="328">
        <f>SUM(E124:E127)</f>
      </c>
      <c r="F128" s="328">
        <f>SUM(F124:F127)</f>
      </c>
      <c r="G128" s="328">
        <f>SUM(G124:G127)</f>
      </c>
      <c r="H128" s="329">
        <f t="shared" si="0"/>
      </c>
      <c r="I128" s="329">
        <f t="shared" si="1"/>
      </c>
      <c r="J128" s="329">
        <f t="shared" si="2"/>
      </c>
      <c r="K128" s="328">
        <f>SUM(K124:K127)</f>
      </c>
      <c r="L128" s="328">
        <f>SUM(L124:L127)</f>
      </c>
      <c r="M128" s="327"/>
      <c r="N128" s="328">
        <f>SUM(N124:N127)</f>
      </c>
      <c r="O128" s="327"/>
      <c r="P128" s="333">
        <f>SUM(P124:P127)</f>
      </c>
    </row>
    <row hidden="true" r="129">
      <c r="A129" s="318" t="s">
        <v>972</v>
      </c>
      <c r="B129" s="320" t="s">
        <v>911</v>
      </c>
      <c r="C129" s="320" t="s">
        <v>936</v>
      </c>
      <c r="D129" s="320">
        <v>4</v>
      </c>
      <c r="E129" s="320">
        <v>45</v>
      </c>
      <c r="F129" s="320">
        <v>56472</v>
      </c>
      <c r="G129" s="320">
        <v>37952.799999999996</v>
      </c>
      <c r="H129" s="322">
        <f t="shared" si="0"/>
      </c>
      <c r="I129" s="322">
        <f t="shared" si="1"/>
      </c>
      <c r="J129" s="322">
        <f t="shared" si="2"/>
      </c>
      <c r="K129" s="320">
        <v>7</v>
      </c>
      <c r="L129" s="320">
        <v>8424</v>
      </c>
      <c r="M129" s="320" t="s">
        <v>964</v>
      </c>
      <c r="N129" s="320">
        <v>8</v>
      </c>
      <c r="O129" s="321"/>
      <c r="P129" s="321"/>
    </row>
    <row hidden="true" r="130">
      <c r="A130" s="318" t="s">
        <v>972</v>
      </c>
      <c r="B130" s="332" t="s">
        <v>927</v>
      </c>
      <c r="C130" s="320" t="s">
        <v>949</v>
      </c>
      <c r="D130" s="320">
        <v>5</v>
      </c>
      <c r="E130" s="320">
        <v>46</v>
      </c>
      <c r="F130" s="320">
        <v>58779.6</v>
      </c>
      <c r="G130" s="320">
        <v>40076.25</v>
      </c>
      <c r="H130" s="322">
        <f t="shared" si="0"/>
      </c>
      <c r="I130" s="322">
        <f t="shared" si="1"/>
      </c>
      <c r="J130" s="322">
        <f t="shared" si="2"/>
      </c>
      <c r="K130" s="320">
        <v>14</v>
      </c>
      <c r="L130" s="320">
        <v>12984</v>
      </c>
      <c r="M130" s="321"/>
      <c r="N130" s="321"/>
      <c r="O130" s="321"/>
      <c r="P130" s="321"/>
    </row>
    <row hidden="true" r="131">
      <c r="A131" s="318" t="s">
        <v>972</v>
      </c>
      <c r="B131" s="320" t="s">
        <v>909</v>
      </c>
      <c r="C131" s="320" t="s">
        <v>933</v>
      </c>
      <c r="D131" s="320">
        <v>5</v>
      </c>
      <c r="E131" s="320">
        <v>47</v>
      </c>
      <c r="F131" s="320">
        <v>56472</v>
      </c>
      <c r="G131" s="320">
        <v>35480.59</v>
      </c>
      <c r="H131" s="322">
        <f t="shared" si="0"/>
      </c>
      <c r="I131" s="322">
        <f t="shared" si="1"/>
      </c>
      <c r="J131" s="322">
        <f t="shared" si="2"/>
      </c>
      <c r="K131" s="320">
        <v>8</v>
      </c>
      <c r="L131" s="320">
        <v>8964</v>
      </c>
      <c r="M131" s="320"/>
      <c r="N131" s="320"/>
      <c r="O131" s="321"/>
      <c r="P131" s="321"/>
    </row>
    <row hidden="true" r="132">
      <c r="A132" s="318" t="s">
        <v>972</v>
      </c>
      <c r="B132" s="320" t="s">
        <v>938</v>
      </c>
      <c r="C132" s="320" t="s">
        <v>934</v>
      </c>
      <c r="D132" s="320">
        <v>4</v>
      </c>
      <c r="E132" s="320">
        <v>31</v>
      </c>
      <c r="F132" s="320">
        <v>34538.4</v>
      </c>
      <c r="G132" s="320">
        <v>25552.37</v>
      </c>
      <c r="H132" s="322">
        <f t="shared" si="0"/>
      </c>
      <c r="I132" s="322">
        <f t="shared" si="1"/>
      </c>
      <c r="J132" s="322">
        <f t="shared" si="2"/>
      </c>
      <c r="K132" s="320">
        <v>8</v>
      </c>
      <c r="L132" s="320">
        <v>6360</v>
      </c>
      <c r="M132" s="320" t="s">
        <v>950</v>
      </c>
      <c r="N132" s="320">
        <v>10</v>
      </c>
      <c r="O132" s="320" t="s">
        <v>914</v>
      </c>
      <c r="P132" s="320">
        <v>18</v>
      </c>
    </row>
    <row r="133">
      <c r="A133" s="330" t="s">
        <v>972</v>
      </c>
      <c r="B133" s="327"/>
      <c r="C133" s="327"/>
      <c r="D133" s="328">
        <f>SUM(D129:D132)</f>
      </c>
      <c r="E133" s="328">
        <f>SUM(E129:E132)</f>
      </c>
      <c r="F133" s="328">
        <f>SUM(F129:F132)</f>
      </c>
      <c r="G133" s="328">
        <f>SUM(G129:G132)</f>
      </c>
      <c r="H133" s="329">
        <f t="shared" si="0"/>
      </c>
      <c r="I133" s="329">
        <f t="shared" si="1"/>
      </c>
      <c r="J133" s="329">
        <f t="shared" si="2"/>
      </c>
      <c r="K133" s="328">
        <f>SUM(K129:K132)</f>
      </c>
      <c r="L133" s="328">
        <f>SUM(L129:L132)</f>
      </c>
      <c r="M133" s="327"/>
      <c r="N133" s="328">
        <f>SUM(N129:N132)</f>
      </c>
      <c r="O133" s="327"/>
      <c r="P133" s="327"/>
    </row>
    <row hidden="true" r="134">
      <c r="A134" s="318" t="s">
        <v>973</v>
      </c>
      <c r="B134" s="320" t="s">
        <v>911</v>
      </c>
      <c r="C134" s="320" t="s">
        <v>974</v>
      </c>
      <c r="D134" s="320">
        <v>4</v>
      </c>
      <c r="E134" s="320">
        <v>14</v>
      </c>
      <c r="F134" s="320">
        <v>19269.6</v>
      </c>
      <c r="G134" s="320">
        <v>17194.3</v>
      </c>
      <c r="H134" s="322">
        <f t="shared" si="0"/>
      </c>
      <c r="I134" s="322">
        <f t="shared" si="1"/>
      </c>
      <c r="J134" s="322">
        <f t="shared" si="2"/>
      </c>
      <c r="K134" s="320">
        <v>1</v>
      </c>
      <c r="L134" s="320">
        <v>2088</v>
      </c>
      <c r="M134" s="320" t="s">
        <v>964</v>
      </c>
      <c r="N134" s="320">
        <v>7</v>
      </c>
      <c r="O134" s="321"/>
      <c r="P134" s="321"/>
    </row>
    <row hidden="true" r="135">
      <c r="A135" s="318" t="s">
        <v>973</v>
      </c>
      <c r="B135" s="332" t="s">
        <v>975</v>
      </c>
      <c r="C135" s="320" t="s">
        <v>976</v>
      </c>
      <c r="D135" s="320">
        <v>3</v>
      </c>
      <c r="E135" s="320">
        <v>10</v>
      </c>
      <c r="F135" s="320">
        <v>7084.8</v>
      </c>
      <c r="G135" s="320">
        <v>10533.56</v>
      </c>
      <c r="H135" s="322">
        <f t="shared" si="0"/>
      </c>
      <c r="I135" s="322">
        <f t="shared" si="1"/>
      </c>
      <c r="J135" s="322">
        <f t="shared" si="2"/>
      </c>
      <c r="K135" s="320">
        <v>0</v>
      </c>
      <c r="L135" s="320">
        <v>0</v>
      </c>
      <c r="M135" s="321"/>
      <c r="N135" s="321"/>
      <c r="O135" s="321"/>
      <c r="P135" s="321"/>
    </row>
    <row hidden="true" r="136">
      <c r="A136" s="318" t="s">
        <v>973</v>
      </c>
      <c r="B136" s="332" t="s">
        <v>927</v>
      </c>
      <c r="C136" s="320" t="s">
        <v>910</v>
      </c>
      <c r="D136" s="320">
        <v>5</v>
      </c>
      <c r="E136" s="320">
        <v>13</v>
      </c>
      <c r="F136" s="320">
        <v>16332</v>
      </c>
      <c r="G136" s="320">
        <v>13134.61</v>
      </c>
      <c r="H136" s="322">
        <f t="shared" si="0"/>
      </c>
      <c r="I136" s="322">
        <f t="shared" si="1"/>
      </c>
      <c r="J136" s="322">
        <f t="shared" si="2"/>
      </c>
      <c r="K136" s="320">
        <v>1</v>
      </c>
      <c r="L136" s="320">
        <v>456</v>
      </c>
      <c r="M136" s="320"/>
      <c r="N136" s="320"/>
      <c r="O136" s="321"/>
      <c r="P136" s="321"/>
    </row>
    <row hidden="true" r="137">
      <c r="A137" s="318" t="s">
        <v>973</v>
      </c>
      <c r="B137" s="320" t="s">
        <v>938</v>
      </c>
      <c r="C137" s="320" t="s">
        <v>912</v>
      </c>
      <c r="D137" s="320">
        <v>4</v>
      </c>
      <c r="E137" s="320">
        <v>27</v>
      </c>
      <c r="F137" s="320">
        <v>26745.6</v>
      </c>
      <c r="G137" s="320">
        <v>16968.48</v>
      </c>
      <c r="H137" s="322">
        <f t="shared" si="0"/>
      </c>
      <c r="I137" s="322">
        <f t="shared" si="1"/>
      </c>
      <c r="J137" s="322">
        <f t="shared" si="2"/>
      </c>
      <c r="K137" s="320">
        <v>3</v>
      </c>
      <c r="L137" s="320">
        <v>4152</v>
      </c>
      <c r="M137" s="320" t="s">
        <v>950</v>
      </c>
      <c r="N137" s="320">
        <v>9</v>
      </c>
      <c r="O137" s="320" t="s">
        <v>914</v>
      </c>
      <c r="P137" s="320">
        <v>15</v>
      </c>
    </row>
    <row r="138">
      <c r="A138" s="330" t="s">
        <v>973</v>
      </c>
      <c r="B138" s="327"/>
      <c r="C138" s="327"/>
      <c r="D138" s="328">
        <f>SUM(D134:D137)</f>
      </c>
      <c r="E138" s="328">
        <f>SUM(E134:E137)</f>
      </c>
      <c r="F138" s="328">
        <f>SUM(F134:F137)</f>
      </c>
      <c r="G138" s="328">
        <f>SUM(G134:G137)</f>
      </c>
      <c r="H138" s="329">
        <f t="shared" si="0"/>
      </c>
      <c r="I138" s="329">
        <f t="shared" si="1"/>
      </c>
      <c r="J138" s="329">
        <f t="shared" si="2"/>
      </c>
      <c r="K138" s="328">
        <f>SUM(K134:K137)</f>
      </c>
      <c r="L138" s="328">
        <f>SUM(L134:L137)</f>
      </c>
      <c r="M138" s="327"/>
      <c r="N138" s="328">
        <f>SUM(N134:N137)</f>
      </c>
      <c r="O138" s="327"/>
      <c r="P138" s="333">
        <f>SUM(P134:P137)</f>
      </c>
    </row>
    <row hidden="true" r="139">
      <c r="A139" s="318" t="s">
        <v>977</v>
      </c>
      <c r="B139" s="320" t="s">
        <v>927</v>
      </c>
      <c r="C139" s="320" t="s">
        <v>978</v>
      </c>
      <c r="D139" s="320">
        <v>5</v>
      </c>
      <c r="E139" s="320">
        <v>30</v>
      </c>
      <c r="F139" s="320">
        <v>36034.8</v>
      </c>
      <c r="G139" s="320">
        <v>20968.19</v>
      </c>
      <c r="H139" s="322">
        <f t="shared" si="0"/>
      </c>
      <c r="I139" s="322">
        <f t="shared" si="1"/>
      </c>
      <c r="J139" s="322">
        <f t="shared" si="2"/>
      </c>
      <c r="K139" s="320">
        <v>13</v>
      </c>
      <c r="L139" s="320">
        <v>16752</v>
      </c>
      <c r="M139" s="320" t="s">
        <v>964</v>
      </c>
      <c r="N139" s="320">
        <v>8</v>
      </c>
      <c r="O139" s="321"/>
      <c r="P139" s="321"/>
    </row>
    <row hidden="true" r="140">
      <c r="A140" s="318" t="s">
        <v>977</v>
      </c>
      <c r="B140" s="332" t="s">
        <v>909</v>
      </c>
      <c r="C140" s="320" t="s">
        <v>940</v>
      </c>
      <c r="D140" s="320">
        <v>4</v>
      </c>
      <c r="E140" s="320">
        <v>19</v>
      </c>
      <c r="F140" s="320">
        <v>25327.2</v>
      </c>
      <c r="G140" s="320">
        <v>17551.3</v>
      </c>
      <c r="H140" s="322">
        <f t="shared" si="0"/>
      </c>
      <c r="I140" s="322">
        <f t="shared" si="1"/>
      </c>
      <c r="J140" s="322">
        <f t="shared" si="2"/>
      </c>
      <c r="K140" s="320">
        <v>3</v>
      </c>
      <c r="L140" s="320">
        <v>3408</v>
      </c>
      <c r="M140" s="321"/>
      <c r="N140" s="321"/>
      <c r="O140" s="321"/>
      <c r="P140" s="321"/>
    </row>
    <row hidden="true" r="141">
      <c r="A141" s="318" t="s">
        <v>977</v>
      </c>
      <c r="B141" s="332" t="s">
        <v>938</v>
      </c>
      <c r="C141" s="320" t="s">
        <v>979</v>
      </c>
      <c r="D141" s="320">
        <v>3</v>
      </c>
      <c r="E141" s="320">
        <v>13</v>
      </c>
      <c r="F141" s="320">
        <v>16910.4</v>
      </c>
      <c r="G141" s="320">
        <v>11599.54</v>
      </c>
      <c r="H141" s="322">
        <f t="shared" si="0"/>
      </c>
      <c r="I141" s="322">
        <f t="shared" si="1"/>
      </c>
      <c r="J141" s="322">
        <f t="shared" si="2"/>
      </c>
      <c r="K141" s="320">
        <v>2</v>
      </c>
      <c r="L141" s="320">
        <v>2688</v>
      </c>
      <c r="M141" s="320"/>
      <c r="N141" s="320"/>
      <c r="O141" s="321"/>
      <c r="P141" s="321"/>
    </row>
    <row hidden="true" r="142">
      <c r="A142" s="318" t="s">
        <v>977</v>
      </c>
      <c r="B142" s="320" t="s">
        <v>911</v>
      </c>
      <c r="C142" s="320" t="s">
        <v>912</v>
      </c>
      <c r="D142" s="320">
        <v>4</v>
      </c>
      <c r="E142" s="320">
        <v>20</v>
      </c>
      <c r="F142" s="320">
        <v>22371.6</v>
      </c>
      <c r="G142" s="320">
        <v>14847.86</v>
      </c>
      <c r="H142" s="322">
        <f t="shared" si="0"/>
      </c>
      <c r="I142" s="322">
        <f t="shared" si="1"/>
      </c>
      <c r="J142" s="322">
        <f t="shared" si="2"/>
      </c>
      <c r="K142" s="320">
        <v>2</v>
      </c>
      <c r="L142" s="320">
        <v>1716</v>
      </c>
      <c r="M142" s="320" t="s">
        <v>950</v>
      </c>
      <c r="N142" s="320">
        <v>8</v>
      </c>
      <c r="O142" s="320" t="s">
        <v>914</v>
      </c>
      <c r="P142" s="320">
        <v>16</v>
      </c>
    </row>
    <row r="143">
      <c r="A143" s="335" t="s">
        <v>977</v>
      </c>
      <c r="B143" s="327"/>
      <c r="C143" s="327"/>
      <c r="D143" s="328">
        <f>SUM(D139:D142)</f>
      </c>
      <c r="E143" s="328">
        <f>SUM(E139:E142)</f>
      </c>
      <c r="F143" s="328">
        <f>SUM(F139:F142)</f>
      </c>
      <c r="G143" s="328">
        <f>SUM(G139:G142)</f>
      </c>
      <c r="H143" s="329">
        <f t="shared" si="0"/>
      </c>
      <c r="I143" s="329">
        <f t="shared" si="1"/>
      </c>
      <c r="J143" s="329">
        <f t="shared" si="2"/>
      </c>
      <c r="K143" s="328">
        <f>SUM(K139:K142)</f>
      </c>
      <c r="L143" s="328">
        <f>SUM(L139:L142)</f>
      </c>
      <c r="M143" s="327"/>
      <c r="N143" s="328">
        <f>SUM(N139:N142)</f>
      </c>
      <c r="O143" s="327"/>
      <c r="P143" s="333">
        <f>SUM(P139:P142)</f>
      </c>
    </row>
    <row hidden="true" r="144">
      <c r="A144" s="318" t="s">
        <v>980</v>
      </c>
      <c r="B144" s="320" t="s">
        <v>927</v>
      </c>
      <c r="C144" s="320" t="s">
        <v>978</v>
      </c>
      <c r="D144" s="320">
        <v>5</v>
      </c>
      <c r="E144" s="320">
        <v>22</v>
      </c>
      <c r="F144" s="320">
        <v>30318</v>
      </c>
      <c r="G144" s="320">
        <v>17629.67</v>
      </c>
      <c r="H144" s="322">
        <f t="shared" si="0"/>
      </c>
      <c r="I144" s="322">
        <f t="shared" si="1"/>
      </c>
      <c r="J144" s="322">
        <f t="shared" si="2"/>
      </c>
      <c r="K144" s="320">
        <v>6</v>
      </c>
      <c r="L144" s="320">
        <v>7788</v>
      </c>
      <c r="M144" s="320" t="s">
        <v>964</v>
      </c>
      <c r="N144" s="320">
        <v>8</v>
      </c>
      <c r="O144" s="321"/>
      <c r="P144" s="321"/>
    </row>
    <row hidden="true" r="145">
      <c r="A145" s="318" t="s">
        <v>980</v>
      </c>
      <c r="B145" s="332" t="s">
        <v>909</v>
      </c>
      <c r="C145" s="320" t="s">
        <v>940</v>
      </c>
      <c r="D145" s="334">
        <v>3.5</v>
      </c>
      <c r="E145" s="320">
        <v>24</v>
      </c>
      <c r="F145" s="320">
        <v>25545.6</v>
      </c>
      <c r="G145" s="320">
        <v>12024.84</v>
      </c>
      <c r="H145" s="322">
        <f t="shared" si="0"/>
      </c>
      <c r="I145" s="322">
        <f t="shared" si="1"/>
      </c>
      <c r="J145" s="322">
        <f t="shared" si="2"/>
      </c>
      <c r="K145" s="320">
        <v>3</v>
      </c>
      <c r="L145" s="320">
        <v>3804</v>
      </c>
      <c r="M145" s="321"/>
      <c r="N145" s="321"/>
      <c r="O145" s="321"/>
      <c r="P145" s="321"/>
    </row>
    <row hidden="true" r="146">
      <c r="A146" s="318" t="s">
        <v>980</v>
      </c>
      <c r="B146" s="332" t="s">
        <v>938</v>
      </c>
      <c r="C146" s="320" t="s">
        <v>979</v>
      </c>
      <c r="D146" s="320">
        <v>3</v>
      </c>
      <c r="E146" s="320">
        <v>8</v>
      </c>
      <c r="F146" s="320">
        <v>10110</v>
      </c>
      <c r="G146" s="320">
        <v>8431.73</v>
      </c>
      <c r="H146" s="322">
        <f t="shared" si="0"/>
      </c>
      <c r="I146" s="322">
        <f t="shared" si="1"/>
      </c>
      <c r="J146" s="322">
        <f t="shared" si="2"/>
      </c>
      <c r="K146" s="320">
        <v>2</v>
      </c>
      <c r="L146" s="320">
        <v>2484</v>
      </c>
      <c r="M146" s="320"/>
      <c r="N146" s="320"/>
      <c r="O146" s="321"/>
      <c r="P146" s="321"/>
    </row>
    <row hidden="true" r="147">
      <c r="A147" s="318" t="s">
        <v>980</v>
      </c>
      <c r="B147" s="320" t="s">
        <v>911</v>
      </c>
      <c r="C147" s="320" t="s">
        <v>912</v>
      </c>
      <c r="D147" s="320">
        <v>4</v>
      </c>
      <c r="E147" s="320">
        <v>15</v>
      </c>
      <c r="F147" s="320">
        <v>13341.91</v>
      </c>
      <c r="G147" s="320">
        <v>12535.17</v>
      </c>
      <c r="H147" s="322">
        <f t="shared" si="0"/>
      </c>
      <c r="I147" s="322">
        <f t="shared" si="1"/>
      </c>
      <c r="J147" s="322">
        <f t="shared" si="2"/>
      </c>
      <c r="K147" s="320">
        <v>2</v>
      </c>
      <c r="L147" s="320">
        <v>2688</v>
      </c>
      <c r="M147" s="320" t="s">
        <v>950</v>
      </c>
      <c r="N147" s="320">
        <v>8</v>
      </c>
      <c r="O147" s="320" t="s">
        <v>914</v>
      </c>
      <c r="P147" s="320">
        <v>16</v>
      </c>
    </row>
    <row r="148">
      <c r="A148" s="335" t="s">
        <v>980</v>
      </c>
      <c r="B148" s="327"/>
      <c r="C148" s="327"/>
      <c r="D148" s="328">
        <f>SUM(D144:D147)</f>
      </c>
      <c r="E148" s="328">
        <f>SUM(E144:E147)</f>
      </c>
      <c r="F148" s="328">
        <f>SUM(F144:F147)</f>
      </c>
      <c r="G148" s="328">
        <f>SUM(G144:G147)</f>
      </c>
      <c r="H148" s="329">
        <f t="shared" si="0"/>
      </c>
      <c r="I148" s="329">
        <f t="shared" si="1"/>
      </c>
      <c r="J148" s="329">
        <f t="shared" si="2"/>
      </c>
      <c r="K148" s="328">
        <f>SUM(K144:K147)</f>
      </c>
      <c r="L148" s="328">
        <f>SUM(L144:L147)</f>
      </c>
      <c r="M148" s="327"/>
      <c r="N148" s="328">
        <f>SUM(N144:N147)</f>
      </c>
      <c r="O148" s="327"/>
      <c r="P148" s="333">
        <f>SUM(P144:P147)</f>
      </c>
    </row>
    <row hidden="true" r="149">
      <c r="A149" s="318" t="s">
        <v>981</v>
      </c>
      <c r="B149" s="320" t="s">
        <v>927</v>
      </c>
      <c r="C149" s="320" t="s">
        <v>978</v>
      </c>
      <c r="D149" s="334">
        <v>4.5</v>
      </c>
      <c r="E149" s="320">
        <v>13</v>
      </c>
      <c r="F149" s="320">
        <v>17328</v>
      </c>
      <c r="G149" s="320">
        <v>10691.15</v>
      </c>
      <c r="H149" s="322">
        <f t="shared" si="0"/>
      </c>
      <c r="I149" s="322">
        <f t="shared" si="1"/>
      </c>
      <c r="J149" s="322">
        <f t="shared" si="2"/>
      </c>
      <c r="K149" s="320">
        <v>2</v>
      </c>
      <c r="L149" s="320">
        <v>2688</v>
      </c>
      <c r="M149" s="320" t="s">
        <v>950</v>
      </c>
      <c r="N149" s="320">
        <v>8</v>
      </c>
      <c r="O149" s="321"/>
      <c r="P149" s="321"/>
    </row>
    <row hidden="true" r="150">
      <c r="A150" s="318" t="s">
        <v>981</v>
      </c>
      <c r="B150" s="332" t="s">
        <v>909</v>
      </c>
      <c r="C150" s="320" t="s">
        <v>940</v>
      </c>
      <c r="D150" s="320">
        <v>4</v>
      </c>
      <c r="E150" s="320">
        <v>12</v>
      </c>
      <c r="F150" s="320">
        <v>14462.4</v>
      </c>
      <c r="G150" s="320">
        <v>7856.07</v>
      </c>
      <c r="H150" s="322">
        <f t="shared" si="0"/>
      </c>
      <c r="I150" s="322">
        <f t="shared" si="1"/>
      </c>
      <c r="J150" s="322">
        <f t="shared" si="2"/>
      </c>
      <c r="K150" s="320">
        <v>2</v>
      </c>
      <c r="L150" s="320">
        <v>1704</v>
      </c>
      <c r="M150" s="321"/>
      <c r="N150" s="321"/>
      <c r="O150" s="320" t="s">
        <v>914</v>
      </c>
      <c r="P150" s="320">
        <v>8</v>
      </c>
    </row>
    <row hidden="true" r="151">
      <c r="A151" s="318" t="s">
        <v>981</v>
      </c>
      <c r="B151" s="332" t="s">
        <v>975</v>
      </c>
      <c r="C151" s="320" t="s">
        <v>979</v>
      </c>
      <c r="D151" s="320">
        <v>3</v>
      </c>
      <c r="E151" s="320">
        <v>8</v>
      </c>
      <c r="F151" s="320">
        <v>9240</v>
      </c>
      <c r="G151" s="320">
        <v>6144.18</v>
      </c>
      <c r="H151" s="322">
        <f t="shared" si="0"/>
      </c>
      <c r="I151" s="322">
        <f t="shared" si="1"/>
      </c>
      <c r="J151" s="322">
        <f t="shared" si="2"/>
      </c>
      <c r="K151" s="320">
        <v>3</v>
      </c>
      <c r="L151" s="320">
        <v>2832</v>
      </c>
      <c r="M151" s="320"/>
      <c r="N151" s="320"/>
      <c r="O151" s="321"/>
      <c r="P151" s="321"/>
    </row>
    <row hidden="true" r="152">
      <c r="A152" s="318" t="s">
        <v>981</v>
      </c>
      <c r="B152" s="332" t="s">
        <v>938</v>
      </c>
      <c r="C152" s="320" t="s">
        <v>912</v>
      </c>
      <c r="D152" s="334">
        <v>3.5</v>
      </c>
      <c r="E152" s="320">
        <v>24</v>
      </c>
      <c r="F152" s="320">
        <v>23354.879999999997</v>
      </c>
      <c r="G152" s="320">
        <v>19587</v>
      </c>
      <c r="H152" s="322">
        <f t="shared" si="0"/>
      </c>
      <c r="I152" s="322">
        <f t="shared" si="1"/>
      </c>
      <c r="J152" s="322">
        <f t="shared" si="2"/>
      </c>
      <c r="K152" s="320">
        <v>1</v>
      </c>
      <c r="L152" s="320">
        <v>439.1999999999998</v>
      </c>
      <c r="M152" s="320" t="s">
        <v>947</v>
      </c>
      <c r="N152" s="320">
        <v>8</v>
      </c>
      <c r="O152" s="336" t="s">
        <v>982</v>
      </c>
      <c r="P152" s="320">
        <v>8</v>
      </c>
    </row>
    <row r="153">
      <c r="A153" s="335" t="s">
        <v>981</v>
      </c>
      <c r="B153" s="327"/>
      <c r="C153" s="327"/>
      <c r="D153" s="328">
        <f>SUM(D149:D152)</f>
      </c>
      <c r="E153" s="328">
        <f>SUM(E149:E152)</f>
      </c>
      <c r="F153" s="328">
        <f>SUM(F149:F152)</f>
      </c>
      <c r="G153" s="328">
        <f>SUM(G149:G152)</f>
      </c>
      <c r="H153" s="329">
        <f t="shared" si="0"/>
      </c>
      <c r="I153" s="329">
        <f t="shared" si="1"/>
      </c>
      <c r="J153" s="329">
        <f t="shared" si="2"/>
      </c>
      <c r="K153" s="328">
        <f>SUM(K149:K152)</f>
      </c>
      <c r="L153" s="328">
        <f>SUM(L149:L152)</f>
      </c>
      <c r="M153" s="327"/>
      <c r="N153" s="328">
        <f>SUM(N149:N152)</f>
      </c>
      <c r="O153" s="327"/>
      <c r="P153" s="333">
        <f>SUM(P149:P152)</f>
      </c>
    </row>
    <row r="154"/>
    <row customHeight="true" ht="16.071428571428573" r="155"/>
    <row customHeight="true" ht="16.071428571428573" r="156"/>
    <row customHeight="true" ht="16.071428571428573" r="157"/>
    <row customHeight="true" ht="16.071428571428573" r="158"/>
    <row customHeight="true" ht="16.071428571428573" r="159"/>
    <row r="160"/>
    <row r="161">
      <c r="H161">
        <f>MAX(F153,F148,F143,F138,F138,F133,F128,F123,F128,F118,F113,F108,F103,F98,F92,F86,F81,F76,F71,F65,F59,F54,F48,F42,F36,F31,F26,F21,F17,F13,F9,F5)</f>
      </c>
    </row>
    <row r="162"/>
    <row r="163"/>
    <row r="164"/>
    <row r="165"/>
    <row r="166"/>
    <row r="167"/>
    <row r="168"/>
    <row r="169"/>
    <row r="170"/>
    <row r="171"/>
    <row r="172"/>
    <row r="173"/>
    <row r="174"/>
    <row r="175">
      <c r="C175" s="337"/>
      <c r="D175" s="337"/>
    </row>
    <row r="176"/>
    <row r="177"/>
    <row r="178"/>
    <row r="179"/>
    <row r="180"/>
    <row r="181"/>
    <row r="182"/>
    <row r="183"/>
    <row r="184"/>
    <row r="185">
      <c r="E185" s="337"/>
    </row>
  </sheetData>
  <autoFilter ref="A1:P153">
    <filterColumn colId="1">
      <filters blank="true"/>
    </filterColumn>
  </autoFilter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8" min="8" style="0" width="11.211267605633802"/>
  </cols>
  <sheetData>
    <row customHeight="true" ht="16.071428571428573" r="1">
      <c r="A1" s="338" t="s">
        <v>983</v>
      </c>
      <c r="B1" s="338" t="s">
        <v>984</v>
      </c>
      <c r="C1" s="338" t="s">
        <v>985</v>
      </c>
      <c r="D1" s="338" t="s">
        <v>986</v>
      </c>
      <c r="E1" s="338" t="s">
        <v>987</v>
      </c>
      <c r="F1" s="339" t="s">
        <v>988</v>
      </c>
      <c r="G1" s="340" t="s">
        <v>989</v>
      </c>
      <c r="H1" s="340" t="s">
        <v>990</v>
      </c>
      <c r="I1" s="340" t="s">
        <v>991</v>
      </c>
      <c r="J1" s="340" t="s">
        <v>992</v>
      </c>
      <c r="K1" s="340" t="s">
        <v>993</v>
      </c>
      <c r="L1" s="338" t="s">
        <v>994</v>
      </c>
      <c r="M1" s="338" t="s">
        <v>995</v>
      </c>
      <c r="N1" s="338" t="s">
        <v>996</v>
      </c>
      <c r="O1" s="338" t="s">
        <v>997</v>
      </c>
      <c r="P1" s="338" t="s">
        <v>998</v>
      </c>
      <c r="Q1" s="338" t="s">
        <v>999</v>
      </c>
    </row>
    <row r="2">
      <c r="A2" s="341" t="s">
        <v>1000</v>
      </c>
      <c r="B2" s="342" t="s">
        <v>1001</v>
      </c>
      <c r="C2" s="343" t="s">
        <v>1002</v>
      </c>
      <c r="D2" s="343">
        <v>4</v>
      </c>
      <c r="E2" s="343">
        <v>0</v>
      </c>
      <c r="F2" s="343">
        <v>0</v>
      </c>
      <c r="G2" s="343">
        <v>0</v>
      </c>
      <c r="H2" s="343">
        <v>334.74</v>
      </c>
      <c r="I2" s="344">
        <f t="shared" ref="I2:I32" si="0">G2/H2</f>
      </c>
      <c r="J2" s="344">
        <f t="shared" ref="J2:J32" si="1">G2/E2</f>
      </c>
      <c r="K2" s="344">
        <f t="shared" ref="K2:K32" si="2">H2/E2</f>
      </c>
      <c r="L2" s="345">
        <v>0</v>
      </c>
      <c r="M2" s="345">
        <v>0</v>
      </c>
      <c r="N2" s="343"/>
      <c r="O2" s="343"/>
      <c r="P2" s="346"/>
      <c r="Q2" s="346"/>
    </row>
    <row r="3">
      <c r="A3" s="341" t="s">
        <v>1000</v>
      </c>
      <c r="B3" s="347" t="s">
        <v>1003</v>
      </c>
      <c r="C3" s="343" t="s">
        <v>1004</v>
      </c>
      <c r="D3" s="343">
        <v>4</v>
      </c>
      <c r="E3" s="343">
        <v>11</v>
      </c>
      <c r="F3" s="343">
        <v>3</v>
      </c>
      <c r="G3" s="343">
        <v>11859.6</v>
      </c>
      <c r="H3" s="343">
        <v>8181.410000000001</v>
      </c>
      <c r="I3" s="344">
        <f t="shared" si="0"/>
      </c>
      <c r="J3" s="344">
        <f t="shared" si="1"/>
      </c>
      <c r="K3" s="344">
        <f t="shared" si="2"/>
      </c>
      <c r="L3" s="345">
        <v>0</v>
      </c>
      <c r="M3" s="345">
        <v>0</v>
      </c>
      <c r="N3" s="343" t="s">
        <v>1005</v>
      </c>
      <c r="O3" s="343">
        <v>8</v>
      </c>
      <c r="P3" s="343" t="s">
        <v>1006</v>
      </c>
      <c r="Q3" s="343">
        <v>8</v>
      </c>
    </row>
    <row r="4">
      <c r="A4" s="348" t="s">
        <v>1000</v>
      </c>
      <c r="B4" s="349"/>
      <c r="C4" s="349"/>
      <c r="D4" s="350">
        <f>SUM(D2:D3)</f>
      </c>
      <c r="E4" s="350">
        <f>SUM(E2:E3)</f>
      </c>
      <c r="F4" s="350">
        <f>SUM(F2:F3)</f>
      </c>
      <c r="G4" s="350">
        <f>SUM(G2:G3)</f>
      </c>
      <c r="H4" s="350">
        <f>SUM(H2:H3)</f>
      </c>
      <c r="I4" s="351">
        <f t="shared" si="0"/>
      </c>
      <c r="J4" s="351">
        <f t="shared" si="1"/>
      </c>
      <c r="K4" s="351">
        <f t="shared" si="2"/>
      </c>
      <c r="L4" s="350">
        <f>SUM(L2:L3)</f>
      </c>
      <c r="M4" s="350">
        <f>SUM(M2:M3)</f>
      </c>
      <c r="N4" s="349"/>
      <c r="O4" s="350">
        <f>SUM(O2:O3)</f>
      </c>
      <c r="P4" s="349"/>
      <c r="Q4" s="349"/>
    </row>
    <row r="5">
      <c r="A5" s="341" t="s">
        <v>1007</v>
      </c>
      <c r="B5" s="342" t="s">
        <v>1003</v>
      </c>
      <c r="C5" s="343" t="s">
        <v>1002</v>
      </c>
      <c r="D5" s="343">
        <v>4</v>
      </c>
      <c r="E5" s="343">
        <v>4</v>
      </c>
      <c r="F5" s="343">
        <v>3</v>
      </c>
      <c r="G5" s="343">
        <v>3538.8</v>
      </c>
      <c r="H5" s="343">
        <v>6366.459999999999</v>
      </c>
      <c r="I5" s="344">
        <f t="shared" si="0"/>
      </c>
      <c r="J5" s="344">
        <f t="shared" si="1"/>
      </c>
      <c r="K5" s="344">
        <f t="shared" si="2"/>
      </c>
      <c r="L5" s="345">
        <v>0</v>
      </c>
      <c r="M5" s="345">
        <v>0</v>
      </c>
      <c r="N5" s="343"/>
      <c r="O5" s="343"/>
      <c r="P5" s="346"/>
      <c r="Q5" s="346"/>
    </row>
    <row r="6">
      <c r="A6" s="341" t="s">
        <v>1007</v>
      </c>
      <c r="B6" s="347" t="s">
        <v>1008</v>
      </c>
      <c r="C6" s="343" t="s">
        <v>1004</v>
      </c>
      <c r="D6" s="343">
        <v>4</v>
      </c>
      <c r="E6" s="343">
        <v>14</v>
      </c>
      <c r="F6" s="343">
        <v>12</v>
      </c>
      <c r="G6" s="343">
        <v>18444</v>
      </c>
      <c r="H6" s="343">
        <v>13969.529999999999</v>
      </c>
      <c r="I6" s="344">
        <f t="shared" si="0"/>
      </c>
      <c r="J6" s="344">
        <f t="shared" si="1"/>
      </c>
      <c r="K6" s="344">
        <f t="shared" si="2"/>
      </c>
      <c r="L6" s="345">
        <v>1</v>
      </c>
      <c r="M6" s="345">
        <v>360</v>
      </c>
      <c r="N6" s="343" t="s">
        <v>1005</v>
      </c>
      <c r="O6" s="343">
        <v>8</v>
      </c>
      <c r="P6" s="343" t="s">
        <v>1006</v>
      </c>
      <c r="Q6" s="343">
        <v>8</v>
      </c>
    </row>
    <row r="7">
      <c r="A7" s="348" t="s">
        <v>1007</v>
      </c>
      <c r="B7" s="349"/>
      <c r="C7" s="349"/>
      <c r="D7" s="350">
        <f>SUM(D5:D6)</f>
      </c>
      <c r="E7" s="350">
        <f>SUM(E5:E6)</f>
      </c>
      <c r="F7" s="350">
        <f>SUM(F5:F6)</f>
      </c>
      <c r="G7" s="350">
        <f>SUM(G5:G6)</f>
      </c>
      <c r="H7" s="350">
        <f>SUM(H5:H6)</f>
      </c>
      <c r="I7" s="351">
        <f t="shared" si="0"/>
      </c>
      <c r="J7" s="351">
        <f t="shared" si="1"/>
      </c>
      <c r="K7" s="351">
        <f t="shared" si="2"/>
      </c>
      <c r="L7" s="350">
        <f>SUM(L5:L6)</f>
      </c>
      <c r="M7" s="350">
        <f>SUM(M5:M6)</f>
      </c>
      <c r="N7" s="349"/>
      <c r="O7" s="350">
        <f>SUM(O5:O6)</f>
      </c>
      <c r="P7" s="349"/>
      <c r="Q7" s="349"/>
    </row>
    <row r="8">
      <c r="A8" s="341" t="s">
        <v>1009</v>
      </c>
      <c r="B8" s="342" t="s">
        <v>1003</v>
      </c>
      <c r="C8" s="343" t="s">
        <v>1002</v>
      </c>
      <c r="D8" s="343">
        <v>4</v>
      </c>
      <c r="E8" s="343">
        <v>9</v>
      </c>
      <c r="F8" s="343">
        <v>9</v>
      </c>
      <c r="G8" s="343">
        <v>7308</v>
      </c>
      <c r="H8" s="343">
        <v>10436.79</v>
      </c>
      <c r="I8" s="344">
        <f t="shared" si="0"/>
      </c>
      <c r="J8" s="344">
        <f t="shared" si="1"/>
      </c>
      <c r="K8" s="344">
        <f t="shared" si="2"/>
      </c>
      <c r="L8" s="345">
        <v>1</v>
      </c>
      <c r="M8" s="345">
        <v>360</v>
      </c>
      <c r="N8" s="343"/>
      <c r="O8" s="343"/>
      <c r="P8" s="346"/>
      <c r="Q8" s="346"/>
    </row>
    <row r="9">
      <c r="A9" s="341" t="s">
        <v>1009</v>
      </c>
      <c r="B9" s="347" t="s">
        <v>1008</v>
      </c>
      <c r="C9" s="343" t="s">
        <v>1004</v>
      </c>
      <c r="D9" s="343">
        <v>4</v>
      </c>
      <c r="E9" s="343">
        <v>3</v>
      </c>
      <c r="F9" s="343">
        <v>3</v>
      </c>
      <c r="G9" s="343">
        <v>3612</v>
      </c>
      <c r="H9" s="343">
        <v>8831.82</v>
      </c>
      <c r="I9" s="344">
        <f t="shared" si="0"/>
      </c>
      <c r="J9" s="344">
        <f t="shared" si="1"/>
      </c>
      <c r="K9" s="344">
        <f t="shared" si="2"/>
      </c>
      <c r="L9" s="345">
        <v>0</v>
      </c>
      <c r="M9" s="345">
        <v>0</v>
      </c>
      <c r="N9" s="343" t="s">
        <v>1005</v>
      </c>
      <c r="O9" s="343">
        <v>8</v>
      </c>
      <c r="P9" s="343" t="s">
        <v>1006</v>
      </c>
      <c r="Q9" s="343">
        <v>8</v>
      </c>
    </row>
    <row r="10">
      <c r="A10" s="348" t="s">
        <v>1009</v>
      </c>
      <c r="B10" s="349"/>
      <c r="C10" s="349"/>
      <c r="D10" s="350">
        <f>SUM(D8:D9)</f>
      </c>
      <c r="E10" s="350">
        <f>SUM(E8:E9)</f>
      </c>
      <c r="F10" s="350">
        <f>SUM(F8:F9)</f>
      </c>
      <c r="G10" s="350">
        <f>SUM(G8:G9)</f>
      </c>
      <c r="H10" s="350">
        <f>SUM(H8:H9)</f>
      </c>
      <c r="I10" s="351">
        <f t="shared" si="0"/>
      </c>
      <c r="J10" s="351">
        <f t="shared" si="1"/>
      </c>
      <c r="K10" s="351">
        <f t="shared" si="2"/>
      </c>
      <c r="L10" s="350">
        <f>SUM(L8:L9)</f>
      </c>
      <c r="M10" s="350">
        <f>SUM(M8:M9)</f>
      </c>
      <c r="N10" s="349"/>
      <c r="O10" s="350">
        <f>SUM(O8:O9)</f>
      </c>
      <c r="P10" s="349"/>
      <c r="Q10" s="349"/>
    </row>
    <row r="11">
      <c r="A11" s="341" t="s">
        <v>1010</v>
      </c>
      <c r="B11" s="352" t="s">
        <v>1001</v>
      </c>
      <c r="C11" s="346" t="s">
        <v>1011</v>
      </c>
      <c r="D11" s="343">
        <v>5</v>
      </c>
      <c r="E11" s="343">
        <v>9</v>
      </c>
      <c r="F11" s="343">
        <v>9</v>
      </c>
      <c r="G11" s="346">
        <v>9612</v>
      </c>
      <c r="H11" s="346">
        <v>8796.130000000001</v>
      </c>
      <c r="I11" s="344">
        <f t="shared" si="0"/>
      </c>
      <c r="J11" s="344">
        <f t="shared" si="1"/>
      </c>
      <c r="K11" s="344">
        <f t="shared" si="2"/>
      </c>
      <c r="L11" s="343">
        <v>3</v>
      </c>
      <c r="M11" s="346">
        <v>2856</v>
      </c>
      <c r="N11" s="343" t="s">
        <v>1012</v>
      </c>
      <c r="O11" s="343">
        <v>2</v>
      </c>
      <c r="P11" s="346"/>
      <c r="Q11" s="346"/>
    </row>
    <row r="12">
      <c r="A12" s="353" t="s">
        <v>1010</v>
      </c>
      <c r="B12" s="354" t="s">
        <v>1008</v>
      </c>
      <c r="C12" s="355" t="s">
        <v>1013</v>
      </c>
      <c r="D12" s="343">
        <v>5</v>
      </c>
      <c r="E12" s="343">
        <v>9</v>
      </c>
      <c r="F12" s="343">
        <v>6</v>
      </c>
      <c r="G12" s="346">
        <v>11256</v>
      </c>
      <c r="H12" s="346">
        <v>5888.3</v>
      </c>
      <c r="I12" s="344">
        <f t="shared" si="0"/>
      </c>
      <c r="J12" s="344">
        <f t="shared" si="1"/>
      </c>
      <c r="K12" s="344">
        <f t="shared" si="2"/>
      </c>
      <c r="L12" s="343">
        <v>2</v>
      </c>
      <c r="M12" s="346">
        <v>2664</v>
      </c>
      <c r="N12" s="346"/>
      <c r="O12" s="346"/>
      <c r="P12" s="346"/>
      <c r="Q12" s="346"/>
    </row>
    <row r="13">
      <c r="A13" s="353" t="s">
        <v>1010</v>
      </c>
      <c r="B13" s="354" t="s">
        <v>1003</v>
      </c>
      <c r="C13" s="355" t="s">
        <v>1014</v>
      </c>
      <c r="D13" s="346">
        <v>5</v>
      </c>
      <c r="E13" s="343">
        <v>5</v>
      </c>
      <c r="F13" s="343">
        <v>4</v>
      </c>
      <c r="G13" s="346">
        <v>6544.799999999999</v>
      </c>
      <c r="H13" s="346">
        <v>7870.33</v>
      </c>
      <c r="I13" s="344">
        <f t="shared" si="0"/>
      </c>
      <c r="J13" s="344">
        <f t="shared" si="1"/>
      </c>
      <c r="K13" s="344">
        <f t="shared" si="2"/>
      </c>
      <c r="L13" s="343">
        <v>0</v>
      </c>
      <c r="M13" s="343">
        <v>0</v>
      </c>
      <c r="N13" s="343" t="s">
        <v>1005</v>
      </c>
      <c r="O13" s="343">
        <v>10</v>
      </c>
      <c r="P13" s="343" t="s">
        <v>1006</v>
      </c>
      <c r="Q13" s="343">
        <v>15</v>
      </c>
    </row>
    <row r="14">
      <c r="A14" s="356" t="s">
        <v>1010</v>
      </c>
      <c r="B14" s="357"/>
      <c r="C14" s="349"/>
      <c r="D14" s="350">
        <f>SUM(D11:D13)</f>
      </c>
      <c r="E14" s="350">
        <f>SUM(E11:E13)</f>
      </c>
      <c r="F14" s="350">
        <f>SUM(F11:F13)</f>
      </c>
      <c r="G14" s="350">
        <f>SUM(G11:G13)</f>
      </c>
      <c r="H14" s="350">
        <f>SUM(H11:H13)</f>
      </c>
      <c r="I14" s="351">
        <f t="shared" si="0"/>
      </c>
      <c r="J14" s="351">
        <f t="shared" si="1"/>
      </c>
      <c r="K14" s="351">
        <f t="shared" si="2"/>
      </c>
      <c r="L14" s="349">
        <f>SUM(L11:L13)</f>
      </c>
      <c r="M14" s="349">
        <f>SUM(M11:M13)</f>
      </c>
      <c r="N14" s="349"/>
      <c r="O14" s="350">
        <f>SUM(O11:O13)</f>
      </c>
      <c r="P14" s="349"/>
      <c r="Q14" s="349"/>
    </row>
    <row r="15">
      <c r="A15" s="341" t="s">
        <v>1015</v>
      </c>
      <c r="B15" s="352" t="s">
        <v>1001</v>
      </c>
      <c r="C15" s="346" t="s">
        <v>1011</v>
      </c>
      <c r="D15" s="343">
        <v>5</v>
      </c>
      <c r="E15" s="343">
        <v>9</v>
      </c>
      <c r="F15" s="343">
        <v>7</v>
      </c>
      <c r="G15" s="346">
        <v>11574</v>
      </c>
      <c r="H15" s="346">
        <v>8573.14</v>
      </c>
      <c r="I15" s="344">
        <f t="shared" si="0"/>
      </c>
      <c r="J15" s="344">
        <f t="shared" si="1"/>
      </c>
      <c r="K15" s="344">
        <f t="shared" si="2"/>
      </c>
      <c r="L15" s="343">
        <v>1</v>
      </c>
      <c r="M15" s="343">
        <v>2088</v>
      </c>
      <c r="N15" s="343" t="s">
        <v>1005</v>
      </c>
      <c r="O15" s="343">
        <v>8</v>
      </c>
      <c r="P15" s="346"/>
      <c r="Q15" s="346"/>
    </row>
    <row r="16">
      <c r="A16" s="353" t="s">
        <v>1015</v>
      </c>
      <c r="B16" s="354" t="s">
        <v>1003</v>
      </c>
      <c r="C16" s="355" t="s">
        <v>1013</v>
      </c>
      <c r="D16" s="343">
        <v>5</v>
      </c>
      <c r="E16" s="343">
        <v>18</v>
      </c>
      <c r="F16" s="343">
        <v>18</v>
      </c>
      <c r="G16" s="343">
        <v>27000</v>
      </c>
      <c r="H16" s="343">
        <v>17645.58</v>
      </c>
      <c r="I16" s="344">
        <f t="shared" si="0"/>
      </c>
      <c r="J16" s="344">
        <f t="shared" si="1"/>
      </c>
      <c r="K16" s="344">
        <f t="shared" si="2"/>
      </c>
      <c r="L16" s="343">
        <v>4</v>
      </c>
      <c r="M16" s="343">
        <v>6468</v>
      </c>
      <c r="N16" s="346"/>
      <c r="O16" s="346"/>
      <c r="P16" s="346"/>
      <c r="Q16" s="346"/>
    </row>
    <row r="17">
      <c r="A17" s="353" t="s">
        <v>1015</v>
      </c>
      <c r="B17" s="354" t="s">
        <v>1008</v>
      </c>
      <c r="C17" s="355" t="s">
        <v>1014</v>
      </c>
      <c r="D17" s="343">
        <v>4</v>
      </c>
      <c r="E17" s="343">
        <v>7</v>
      </c>
      <c r="F17" s="343">
        <v>7</v>
      </c>
      <c r="G17" s="343">
        <v>11880</v>
      </c>
      <c r="H17" s="343">
        <v>7767.74</v>
      </c>
      <c r="I17" s="344">
        <f t="shared" si="0"/>
      </c>
      <c r="J17" s="344">
        <f t="shared" si="1"/>
      </c>
      <c r="K17" s="344">
        <f t="shared" si="2"/>
      </c>
      <c r="L17" s="343">
        <v>0</v>
      </c>
      <c r="M17" s="343">
        <v>0</v>
      </c>
      <c r="N17" s="343" t="s">
        <v>1016</v>
      </c>
      <c r="O17" s="343">
        <v>6</v>
      </c>
      <c r="P17" s="343" t="s">
        <v>1006</v>
      </c>
      <c r="Q17" s="343">
        <v>14</v>
      </c>
    </row>
    <row r="18">
      <c r="A18" s="356" t="s">
        <v>1015</v>
      </c>
      <c r="B18" s="357"/>
      <c r="C18" s="349"/>
      <c r="D18" s="350">
        <f>SUM(D15:D17)</f>
      </c>
      <c r="E18" s="350">
        <f>SUM(E15:E17)</f>
      </c>
      <c r="F18" s="350">
        <f>SUM(F15:F17)</f>
      </c>
      <c r="G18" s="350">
        <f>SUM(G15:G17)</f>
      </c>
      <c r="H18" s="350">
        <f>SUM(H15:H17)</f>
      </c>
      <c r="I18" s="351">
        <f t="shared" si="0"/>
      </c>
      <c r="J18" s="351">
        <f t="shared" si="1"/>
      </c>
      <c r="K18" s="351">
        <f t="shared" si="2"/>
      </c>
      <c r="L18" s="349">
        <f>SUM(L15:L17)</f>
      </c>
      <c r="M18" s="349">
        <f>SUM(M15:M17)</f>
      </c>
      <c r="N18" s="349"/>
      <c r="O18" s="350">
        <f>SUM(O15:O17)</f>
      </c>
      <c r="P18" s="349"/>
      <c r="Q18" s="349"/>
    </row>
    <row r="19">
      <c r="A19" s="341" t="s">
        <v>1017</v>
      </c>
      <c r="B19" s="354" t="s">
        <v>1003</v>
      </c>
      <c r="C19" s="343" t="s">
        <v>1018</v>
      </c>
      <c r="D19" s="346">
        <v>4</v>
      </c>
      <c r="E19" s="343">
        <v>10</v>
      </c>
      <c r="F19" s="343">
        <v>6</v>
      </c>
      <c r="G19" s="346">
        <v>10018.8</v>
      </c>
      <c r="H19" s="346">
        <v>8647.71</v>
      </c>
      <c r="I19" s="344">
        <f t="shared" si="0"/>
      </c>
      <c r="J19" s="344">
        <f t="shared" si="1"/>
      </c>
      <c r="K19" s="344">
        <f t="shared" si="2"/>
      </c>
      <c r="L19" s="343">
        <v>2</v>
      </c>
      <c r="M19" s="343">
        <v>3684</v>
      </c>
      <c r="N19" s="346" t="s">
        <v>1005</v>
      </c>
      <c r="O19" s="346">
        <v>8</v>
      </c>
      <c r="P19" s="346"/>
      <c r="Q19" s="346"/>
    </row>
    <row r="20">
      <c r="A20" s="341" t="s">
        <v>1017</v>
      </c>
      <c r="B20" s="352" t="s">
        <v>1001</v>
      </c>
      <c r="C20" s="343" t="s">
        <v>1019</v>
      </c>
      <c r="D20" s="346">
        <v>4</v>
      </c>
      <c r="E20" s="343">
        <v>4</v>
      </c>
      <c r="F20" s="343">
        <v>2</v>
      </c>
      <c r="G20" s="343">
        <v>5568</v>
      </c>
      <c r="H20" s="343">
        <v>5801.24</v>
      </c>
      <c r="I20" s="344">
        <f t="shared" si="0"/>
      </c>
      <c r="J20" s="344">
        <f t="shared" si="1"/>
      </c>
      <c r="K20" s="344">
        <f t="shared" si="2"/>
      </c>
      <c r="L20" s="343">
        <v>0</v>
      </c>
      <c r="M20" s="343">
        <v>0</v>
      </c>
      <c r="N20" s="346"/>
      <c r="O20" s="346"/>
      <c r="P20" s="346"/>
      <c r="Q20" s="346"/>
    </row>
    <row r="21">
      <c r="A21" s="341" t="s">
        <v>1017</v>
      </c>
      <c r="B21" s="354" t="s">
        <v>1008</v>
      </c>
      <c r="C21" s="343" t="s">
        <v>1020</v>
      </c>
      <c r="D21" s="346">
        <v>4</v>
      </c>
      <c r="E21" s="343">
        <v>4</v>
      </c>
      <c r="F21" s="343">
        <v>2</v>
      </c>
      <c r="G21" s="343">
        <v>5244</v>
      </c>
      <c r="H21" s="343">
        <v>4923.84</v>
      </c>
      <c r="I21" s="344">
        <f t="shared" si="0"/>
      </c>
      <c r="J21" s="344">
        <f t="shared" si="1"/>
      </c>
      <c r="K21" s="344">
        <f t="shared" si="2"/>
      </c>
      <c r="L21" s="343">
        <v>1</v>
      </c>
      <c r="M21" s="343">
        <v>1092</v>
      </c>
      <c r="N21" s="346"/>
      <c r="O21" s="346"/>
      <c r="P21" s="346"/>
      <c r="Q21" s="346"/>
    </row>
    <row r="22">
      <c r="A22" s="341" t="s">
        <v>1017</v>
      </c>
      <c r="B22" s="358" t="s">
        <v>1021</v>
      </c>
      <c r="C22" s="346" t="s">
        <v>1022</v>
      </c>
      <c r="D22" s="346">
        <v>4</v>
      </c>
      <c r="E22" s="343">
        <v>13</v>
      </c>
      <c r="F22" s="343">
        <v>11</v>
      </c>
      <c r="G22" s="343">
        <v>15984</v>
      </c>
      <c r="H22" s="343">
        <v>10505.02</v>
      </c>
      <c r="I22" s="344">
        <f t="shared" si="0"/>
      </c>
      <c r="J22" s="344">
        <f t="shared" si="1"/>
      </c>
      <c r="K22" s="344">
        <f t="shared" si="2"/>
      </c>
      <c r="L22" s="343">
        <v>0</v>
      </c>
      <c r="M22" s="343">
        <v>0</v>
      </c>
      <c r="N22" s="343" t="s">
        <v>1023</v>
      </c>
      <c r="O22" s="346">
        <v>8</v>
      </c>
      <c r="P22" s="343" t="s">
        <v>1006</v>
      </c>
      <c r="Q22" s="343">
        <v>14</v>
      </c>
    </row>
    <row r="23">
      <c r="A23" s="356" t="s">
        <v>1017</v>
      </c>
      <c r="B23" s="359"/>
      <c r="C23" s="349"/>
      <c r="D23" s="350">
        <f>SUM(D19:D22)</f>
      </c>
      <c r="E23" s="350">
        <f>SUM(E19:E22)</f>
      </c>
      <c r="F23" s="350">
        <f>SUM(F19:F22)</f>
      </c>
      <c r="G23" s="350">
        <f>SUM(G19:G22)</f>
      </c>
      <c r="H23" s="350">
        <f>SUM(H19:H22)</f>
      </c>
      <c r="I23" s="351">
        <f t="shared" si="0"/>
      </c>
      <c r="J23" s="351">
        <f t="shared" si="1"/>
      </c>
      <c r="K23" s="351">
        <f t="shared" si="2"/>
      </c>
      <c r="L23" s="350">
        <f>SUM(L19:L22)</f>
      </c>
      <c r="M23" s="350">
        <f>SUM(M19:M22)</f>
      </c>
      <c r="N23" s="349"/>
      <c r="O23" s="350">
        <f>SUM(O19:O22)</f>
      </c>
      <c r="P23" s="349"/>
      <c r="Q23" s="349"/>
    </row>
    <row r="24">
      <c r="A24" s="353" t="s">
        <v>1024</v>
      </c>
      <c r="B24" s="354" t="s">
        <v>1003</v>
      </c>
      <c r="C24" s="360" t="s">
        <v>1025</v>
      </c>
      <c r="D24" s="343">
        <v>5</v>
      </c>
      <c r="E24" s="343">
        <v>15</v>
      </c>
      <c r="F24" s="343">
        <v>13</v>
      </c>
      <c r="G24" s="346">
        <v>14316</v>
      </c>
      <c r="H24" s="346">
        <v>14777.11</v>
      </c>
      <c r="I24" s="344">
        <f t="shared" si="0"/>
      </c>
      <c r="J24" s="344">
        <f t="shared" si="1"/>
      </c>
      <c r="K24" s="344">
        <f t="shared" si="2"/>
      </c>
      <c r="L24" s="343">
        <v>4</v>
      </c>
      <c r="M24" s="343">
        <v>3348</v>
      </c>
      <c r="N24" s="346" t="s">
        <v>1005</v>
      </c>
      <c r="O24" s="343">
        <v>9</v>
      </c>
      <c r="P24" s="346"/>
      <c r="Q24" s="346"/>
    </row>
    <row r="25">
      <c r="A25" s="353" t="s">
        <v>1024</v>
      </c>
      <c r="B25" s="354" t="s">
        <v>1008</v>
      </c>
      <c r="C25" s="360" t="s">
        <v>1019</v>
      </c>
      <c r="D25" s="346">
        <v>4</v>
      </c>
      <c r="E25" s="343">
        <v>19</v>
      </c>
      <c r="F25" s="343">
        <v>17</v>
      </c>
      <c r="G25" s="343">
        <v>19952.4</v>
      </c>
      <c r="H25" s="343">
        <v>16049.89</v>
      </c>
      <c r="I25" s="344">
        <f t="shared" si="0"/>
      </c>
      <c r="J25" s="344">
        <f t="shared" si="1"/>
      </c>
      <c r="K25" s="344">
        <f t="shared" si="2"/>
      </c>
      <c r="L25" s="343">
        <v>6</v>
      </c>
      <c r="M25" s="343">
        <v>5856</v>
      </c>
      <c r="N25" s="346"/>
      <c r="O25" s="346"/>
      <c r="P25" s="346"/>
      <c r="Q25" s="346"/>
    </row>
    <row r="26">
      <c r="A26" s="353" t="s">
        <v>1024</v>
      </c>
      <c r="B26" s="361" t="s">
        <v>1001</v>
      </c>
      <c r="C26" s="360" t="s">
        <v>1020</v>
      </c>
      <c r="D26" s="346">
        <v>4</v>
      </c>
      <c r="E26" s="343">
        <v>33</v>
      </c>
      <c r="F26" s="343">
        <v>26</v>
      </c>
      <c r="G26" s="343">
        <v>36481.2</v>
      </c>
      <c r="H26" s="343">
        <v>24688.98</v>
      </c>
      <c r="I26" s="344">
        <f t="shared" si="0"/>
      </c>
      <c r="J26" s="344">
        <f t="shared" si="1"/>
      </c>
      <c r="K26" s="344">
        <f t="shared" si="2"/>
      </c>
      <c r="L26" s="343">
        <v>7</v>
      </c>
      <c r="M26" s="343">
        <v>5688</v>
      </c>
      <c r="N26" s="346"/>
      <c r="O26" s="346"/>
      <c r="P26" s="346"/>
      <c r="Q26" s="346"/>
    </row>
    <row r="27">
      <c r="A27" s="353" t="s">
        <v>1024</v>
      </c>
      <c r="B27" s="361" t="s">
        <v>1021</v>
      </c>
      <c r="C27" s="360" t="s">
        <v>1026</v>
      </c>
      <c r="D27" s="343">
        <v>5</v>
      </c>
      <c r="E27" s="343">
        <v>49</v>
      </c>
      <c r="F27" s="343">
        <v>42</v>
      </c>
      <c r="G27" s="343">
        <v>55901.88</v>
      </c>
      <c r="H27" s="343">
        <v>42706.07</v>
      </c>
      <c r="I27" s="344">
        <f t="shared" si="0"/>
      </c>
      <c r="J27" s="344">
        <f t="shared" si="1"/>
      </c>
      <c r="K27" s="344">
        <f t="shared" si="2"/>
      </c>
      <c r="L27" s="343">
        <v>7</v>
      </c>
      <c r="M27" s="343">
        <v>6408</v>
      </c>
      <c r="N27" s="343" t="s">
        <v>1023</v>
      </c>
      <c r="O27" s="343">
        <v>9</v>
      </c>
      <c r="P27" s="343" t="s">
        <v>1006</v>
      </c>
      <c r="Q27" s="343">
        <v>18</v>
      </c>
    </row>
    <row r="28">
      <c r="A28" s="356" t="s">
        <v>1024</v>
      </c>
      <c r="B28" s="357"/>
      <c r="C28" s="349"/>
      <c r="D28" s="350">
        <f>SUM(D24:D27)</f>
      </c>
      <c r="E28" s="350">
        <f>SUM(E24:E27)</f>
      </c>
      <c r="F28" s="350">
        <f>SUM(F24:F27)</f>
      </c>
      <c r="G28" s="350">
        <f>SUM(G24:G27)</f>
      </c>
      <c r="H28" s="350">
        <f>SUM(H24:H27)</f>
      </c>
      <c r="I28" s="351">
        <f t="shared" si="0"/>
      </c>
      <c r="J28" s="351">
        <f t="shared" si="1"/>
      </c>
      <c r="K28" s="351">
        <f t="shared" si="2"/>
      </c>
      <c r="L28" s="350">
        <f>SUM(L24:L27)</f>
      </c>
      <c r="M28" s="350">
        <f>SUM(M24:M27)</f>
      </c>
      <c r="N28" s="349"/>
      <c r="O28" s="350">
        <f>SUM(O24:O27)</f>
      </c>
      <c r="P28" s="349"/>
      <c r="Q28" s="349"/>
    </row>
    <row r="29">
      <c r="A29" s="341" t="s">
        <v>1027</v>
      </c>
      <c r="B29" s="352" t="s">
        <v>1001</v>
      </c>
      <c r="C29" s="343" t="s">
        <v>1028</v>
      </c>
      <c r="D29" s="343">
        <v>5</v>
      </c>
      <c r="E29" s="343">
        <v>54</v>
      </c>
      <c r="F29" s="343">
        <v>44</v>
      </c>
      <c r="G29" s="346">
        <v>59514.1</v>
      </c>
      <c r="H29" s="346">
        <v>41250.75000000001</v>
      </c>
      <c r="I29" s="344">
        <f t="shared" si="0"/>
      </c>
      <c r="J29" s="344">
        <f t="shared" si="1"/>
      </c>
      <c r="K29" s="344">
        <f t="shared" si="2"/>
      </c>
      <c r="L29" s="343">
        <v>18</v>
      </c>
      <c r="M29" s="343">
        <v>16992</v>
      </c>
      <c r="N29" s="343" t="s">
        <v>1029</v>
      </c>
      <c r="O29" s="343">
        <v>2.4</v>
      </c>
      <c r="P29" s="346"/>
      <c r="Q29" s="346"/>
    </row>
    <row r="30">
      <c r="A30" s="341" t="s">
        <v>1027</v>
      </c>
      <c r="B30" s="354" t="s">
        <v>1003</v>
      </c>
      <c r="C30" s="360" t="s">
        <v>1030</v>
      </c>
      <c r="D30" s="343">
        <v>5</v>
      </c>
      <c r="E30" s="343">
        <v>53</v>
      </c>
      <c r="F30" s="343">
        <v>48</v>
      </c>
      <c r="G30" s="343">
        <v>58342.8</v>
      </c>
      <c r="H30" s="343">
        <v>42870.7</v>
      </c>
      <c r="I30" s="344">
        <f t="shared" si="0"/>
      </c>
      <c r="J30" s="344">
        <f t="shared" si="1"/>
      </c>
      <c r="K30" s="344">
        <f t="shared" si="2"/>
      </c>
      <c r="L30" s="343">
        <v>12</v>
      </c>
      <c r="M30" s="343">
        <v>13056</v>
      </c>
      <c r="N30" s="346"/>
      <c r="O30" s="346"/>
      <c r="P30" s="346"/>
      <c r="Q30" s="346"/>
    </row>
    <row r="31">
      <c r="A31" s="341" t="s">
        <v>1027</v>
      </c>
      <c r="B31" s="354" t="s">
        <v>1008</v>
      </c>
      <c r="C31" s="360" t="s">
        <v>1022</v>
      </c>
      <c r="D31" s="343">
        <v>4</v>
      </c>
      <c r="E31" s="343">
        <v>53</v>
      </c>
      <c r="F31" s="343">
        <v>45</v>
      </c>
      <c r="G31" s="343">
        <v>59785.7</v>
      </c>
      <c r="H31" s="343">
        <v>37156.35</v>
      </c>
      <c r="I31" s="344">
        <f t="shared" si="0"/>
      </c>
      <c r="J31" s="344">
        <f t="shared" si="1"/>
      </c>
      <c r="K31" s="344">
        <f t="shared" si="2"/>
      </c>
      <c r="L31" s="343">
        <v>9</v>
      </c>
      <c r="M31" s="343">
        <v>7164</v>
      </c>
      <c r="N31" s="343" t="s">
        <v>1031</v>
      </c>
      <c r="O31" s="343">
        <v>8</v>
      </c>
      <c r="P31" s="343" t="s">
        <v>1006</v>
      </c>
      <c r="Q31" s="343">
        <v>14</v>
      </c>
    </row>
    <row r="32">
      <c r="A32" s="356" t="s">
        <v>1027</v>
      </c>
      <c r="B32" s="357"/>
      <c r="C32" s="349"/>
      <c r="D32" s="350">
        <f>SUM(D29:D31)</f>
      </c>
      <c r="E32" s="350">
        <f>SUM(E29:E31)</f>
      </c>
      <c r="F32" s="350">
        <f>SUM(F29:F31)</f>
      </c>
      <c r="G32" s="350">
        <f>SUM(G29:G31)</f>
      </c>
      <c r="H32" s="350">
        <f>SUM(H29:H31)</f>
      </c>
      <c r="I32" s="351">
        <f t="shared" si="0"/>
      </c>
      <c r="J32" s="351">
        <f t="shared" si="1"/>
      </c>
      <c r="K32" s="351">
        <f t="shared" si="2"/>
      </c>
      <c r="L32" s="349">
        <f>SUM(L29:L31)</f>
      </c>
      <c r="M32" s="349">
        <f>SUM(M29:M31)</f>
      </c>
      <c r="N32" s="349"/>
      <c r="O32" s="350">
        <f>SUM(O29:O31)</f>
      </c>
      <c r="P32" s="349"/>
      <c r="Q32" s="349"/>
    </row>
    <row r="33"/>
    <row r="34"/>
    <row r="35"/>
    <row r="36"/>
    <row r="37">
      <c r="I37" s="362">
        <v>8</v>
      </c>
    </row>
  </sheetData>
  <autoFilter ref="A1:Q32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15.04225352112676"/>
    <col collapsed="false" customWidth="true" hidden="false" max="8" min="8" style="0" width="16.356807511737085"/>
    <col collapsed="false" customWidth="true" hidden="false" max="9" min="9" style="0" width="16.544600938967154"/>
  </cols>
  <sheetData>
    <row r="1">
      <c r="A1" s="363" t="s">
        <v>1032</v>
      </c>
      <c r="B1" s="363" t="s">
        <v>1033</v>
      </c>
      <c r="C1" s="363" t="s">
        <v>1034</v>
      </c>
      <c r="D1" s="363" t="s">
        <v>1035</v>
      </c>
      <c r="E1" s="363" t="s">
        <v>1036</v>
      </c>
      <c r="F1" s="363" t="s">
        <v>1037</v>
      </c>
      <c r="G1" s="363" t="s">
        <v>1038</v>
      </c>
      <c r="H1" s="363" t="s">
        <v>1039</v>
      </c>
      <c r="I1" s="364" t="s">
        <v>1040</v>
      </c>
      <c r="J1" s="365" t="s">
        <v>1041</v>
      </c>
      <c r="K1" s="363" t="s">
        <v>1042</v>
      </c>
      <c r="L1" s="365" t="s">
        <v>1043</v>
      </c>
      <c r="M1" s="363" t="s">
        <v>1044</v>
      </c>
      <c r="N1" s="366" t="s">
        <v>1045</v>
      </c>
      <c r="O1" s="363" t="s">
        <v>1046</v>
      </c>
      <c r="P1" s="366" t="s">
        <v>1047</v>
      </c>
      <c r="Q1" s="364" t="s">
        <v>1048</v>
      </c>
      <c r="R1" s="367" t="s">
        <v>1049</v>
      </c>
      <c r="S1" s="368" t="s">
        <v>1050</v>
      </c>
      <c r="T1" s="367" t="s">
        <v>1051</v>
      </c>
      <c r="U1" s="369" t="s">
        <v>1052</v>
      </c>
      <c r="V1" s="370" t="s">
        <v>1053</v>
      </c>
      <c r="W1" s="370" t="s">
        <v>1054</v>
      </c>
      <c r="X1" s="370" t="s">
        <v>1055</v>
      </c>
      <c r="Y1" s="368" t="s">
        <v>1056</v>
      </c>
      <c r="Z1" s="370" t="s">
        <v>1057</v>
      </c>
      <c r="AA1" s="370" t="s">
        <v>1058</v>
      </c>
      <c r="AB1" s="370" t="s">
        <v>1059</v>
      </c>
      <c r="AC1" s="367" t="s">
        <v>1060</v>
      </c>
      <c r="AD1" s="368" t="s">
        <v>1061</v>
      </c>
      <c r="AE1" s="370" t="s">
        <v>1062</v>
      </c>
      <c r="AF1" s="370" t="s">
        <v>1063</v>
      </c>
    </row>
    <row r="2">
      <c r="A2" s="371" t="s">
        <v>1064</v>
      </c>
      <c r="B2" s="372" t="s">
        <v>1065</v>
      </c>
      <c r="C2" s="373" t="s">
        <v>1066</v>
      </c>
      <c r="D2" s="374" t="s">
        <v>1067</v>
      </c>
      <c r="E2" s="375">
        <v>679.31</v>
      </c>
      <c r="F2" s="376">
        <f>E2+E3+E4</f>
      </c>
      <c r="G2" s="377">
        <v>4710</v>
      </c>
      <c r="H2" s="377">
        <v>709</v>
      </c>
      <c r="I2" s="378">
        <f t="shared" ref="I2:I31" si="38">H2/G2</f>
      </c>
      <c r="J2" s="379">
        <f t="shared" ref="J2:J31" si="77">(E2/G2)*1000</f>
      </c>
      <c r="K2" s="377">
        <v>13</v>
      </c>
      <c r="L2" s="379">
        <f t="shared" ref="L2:L31" si="0">E2/K2</f>
      </c>
      <c r="M2" s="377">
        <v>1</v>
      </c>
      <c r="N2" s="380">
        <f t="shared" ref="N2:N31" si="19">E2/M2</f>
      </c>
      <c r="O2" s="377">
        <v>2</v>
      </c>
      <c r="P2" s="380">
        <f t="shared" ref="P2:P31" si="57">E2/O2</f>
      </c>
      <c r="Q2" s="381">
        <f>(M2+M4+M3)/(O2+O4+O3)</f>
      </c>
      <c r="R2" s="377">
        <v>5</v>
      </c>
      <c r="S2" s="381">
        <f>(O2+O4)/(K2+K4)</f>
      </c>
      <c r="T2" s="377">
        <v>2</v>
      </c>
      <c r="U2" s="382">
        <f>F2/T2</f>
      </c>
      <c r="V2" s="383">
        <f>(F2+4*500)/T2</f>
      </c>
      <c r="W2" s="377">
        <v>2882.4</v>
      </c>
      <c r="X2" s="383">
        <f>W2/T2</f>
      </c>
      <c r="Y2" s="381">
        <f>T2/R2</f>
      </c>
      <c r="Z2" s="383">
        <f>W2/F2</f>
      </c>
      <c r="AA2" s="383">
        <f>W2/(F2+500)</f>
      </c>
      <c r="AB2" s="377">
        <v>1</v>
      </c>
      <c r="AC2" s="377">
        <v>2467.2</v>
      </c>
      <c r="AD2" s="381">
        <f>AB2/T2</f>
      </c>
      <c r="AE2" s="383">
        <f>(W2-AC2)/(F2+500)</f>
      </c>
      <c r="AF2" s="383" t="s">
        <v>1068</v>
      </c>
    </row>
    <row r="3">
      <c r="A3" s="371"/>
      <c r="B3" s="372"/>
      <c r="C3" s="373"/>
      <c r="D3" s="374" t="s">
        <v>1069</v>
      </c>
      <c r="E3" s="384">
        <v>372.79</v>
      </c>
      <c r="F3" s="376"/>
      <c r="G3" s="377">
        <v>2460</v>
      </c>
      <c r="H3" s="377">
        <v>203</v>
      </c>
      <c r="I3" s="378">
        <f t="shared" si="38"/>
      </c>
      <c r="J3" s="379">
        <f t="shared" si="77"/>
      </c>
      <c r="K3" s="377">
        <v>8</v>
      </c>
      <c r="L3" s="379">
        <f t="shared" si="0"/>
      </c>
      <c r="M3" s="377">
        <v>1</v>
      </c>
      <c r="N3" s="380">
        <f t="shared" si="19"/>
      </c>
      <c r="O3" s="377">
        <v>1</v>
      </c>
      <c r="P3" s="380">
        <f t="shared" si="57"/>
      </c>
      <c r="Q3" s="381"/>
      <c r="R3" s="377"/>
      <c r="S3" s="381"/>
      <c r="T3" s="377"/>
      <c r="U3" s="382"/>
      <c r="V3" s="383"/>
      <c r="W3" s="377"/>
      <c r="X3" s="383"/>
      <c r="Y3" s="381"/>
      <c r="Z3" s="383"/>
      <c r="AA3" s="383"/>
      <c r="AB3" s="377"/>
      <c r="AC3" s="377"/>
      <c r="AD3" s="381"/>
      <c r="AE3" s="383"/>
      <c r="AF3" s="383" t="s">
        <v>1070</v>
      </c>
    </row>
    <row r="4">
      <c r="A4" s="371"/>
      <c r="B4" s="372"/>
      <c r="C4" s="373"/>
      <c r="D4" s="374" t="s">
        <v>1071</v>
      </c>
      <c r="E4" s="377">
        <v>6.24</v>
      </c>
      <c r="F4" s="376"/>
      <c r="G4" s="377">
        <v>151</v>
      </c>
      <c r="H4" s="377">
        <v>23</v>
      </c>
      <c r="I4" s="378">
        <f t="shared" si="38"/>
      </c>
      <c r="J4" s="379">
        <f t="shared" si="77"/>
      </c>
      <c r="K4" s="377">
        <v>0</v>
      </c>
      <c r="L4" s="379">
        <f t="shared" si="0"/>
      </c>
      <c r="M4" s="377">
        <v>0</v>
      </c>
      <c r="N4" s="380">
        <f t="shared" si="19"/>
      </c>
      <c r="O4" s="377">
        <v>0</v>
      </c>
      <c r="P4" s="380">
        <f t="shared" si="57"/>
      </c>
      <c r="Q4" s="381"/>
      <c r="R4" s="377"/>
      <c r="S4" s="381"/>
      <c r="T4" s="377"/>
      <c r="U4" s="382"/>
      <c r="V4" s="383"/>
      <c r="W4" s="377"/>
      <c r="X4" s="383"/>
      <c r="Y4" s="381"/>
      <c r="Z4" s="383"/>
      <c r="AA4" s="383"/>
      <c r="AB4" s="377"/>
      <c r="AC4" s="377"/>
      <c r="AD4" s="381"/>
      <c r="AE4" s="383"/>
      <c r="AF4" s="383"/>
    </row>
    <row r="5">
      <c r="A5" s="371"/>
      <c r="B5" s="372" t="s">
        <v>1072</v>
      </c>
      <c r="C5" s="373" t="s">
        <v>1066</v>
      </c>
      <c r="D5" s="374" t="s">
        <v>1067</v>
      </c>
      <c r="E5" s="375">
        <v>873.38</v>
      </c>
      <c r="F5" s="376">
        <f>E5+E6+E7</f>
      </c>
      <c r="G5" s="377">
        <v>7003</v>
      </c>
      <c r="H5" s="377">
        <v>682</v>
      </c>
      <c r="I5" s="378">
        <f t="shared" si="38"/>
      </c>
      <c r="J5" s="379">
        <f t="shared" si="77"/>
      </c>
      <c r="K5" s="377">
        <v>12</v>
      </c>
      <c r="L5" s="379">
        <f t="shared" si="0"/>
      </c>
      <c r="M5" s="377">
        <v>0</v>
      </c>
      <c r="N5" s="380">
        <f t="shared" si="19"/>
      </c>
      <c r="O5" s="377">
        <v>2</v>
      </c>
      <c r="P5" s="380">
        <f t="shared" si="57"/>
      </c>
      <c r="Q5" s="381">
        <f>(M5+M7+M6)/(O5+O7+O6)</f>
      </c>
      <c r="R5" s="377">
        <v>3</v>
      </c>
      <c r="S5" s="381">
        <f>(O5+O7)/(K5+K7)</f>
      </c>
      <c r="T5" s="377">
        <v>0</v>
      </c>
      <c r="U5" s="382">
        <f>F5/T5</f>
      </c>
      <c r="V5" s="383">
        <f>(F5+4*500)/T5</f>
      </c>
      <c r="W5" s="377">
        <v>0</v>
      </c>
      <c r="X5" s="383">
        <f>W5/T5</f>
      </c>
      <c r="Y5" s="381">
        <f>T5/R5</f>
      </c>
      <c r="Z5" s="383">
        <f>W5/F5</f>
      </c>
      <c r="AA5" s="383">
        <f>W5/(F5+500)</f>
      </c>
      <c r="AB5" s="377">
        <v>0</v>
      </c>
      <c r="AC5" s="377">
        <v>0</v>
      </c>
      <c r="AD5" s="381">
        <f>AB5/T5</f>
      </c>
      <c r="AE5" s="383">
        <f>(W5-AC5)/(F5+500)</f>
      </c>
      <c r="AF5" s="383" t="s">
        <v>1068</v>
      </c>
    </row>
    <row r="6">
      <c r="A6" s="371"/>
      <c r="B6" s="372"/>
      <c r="C6" s="373"/>
      <c r="D6" s="374" t="s">
        <v>1069</v>
      </c>
      <c r="E6" s="384">
        <v>698.87</v>
      </c>
      <c r="F6" s="376"/>
      <c r="G6" s="377">
        <v>4986</v>
      </c>
      <c r="H6" s="377">
        <v>261</v>
      </c>
      <c r="I6" s="378">
        <f t="shared" si="38"/>
      </c>
      <c r="J6" s="379">
        <f t="shared" si="77"/>
      </c>
      <c r="K6" s="377">
        <v>23</v>
      </c>
      <c r="L6" s="379">
        <f t="shared" si="0"/>
      </c>
      <c r="M6" s="377">
        <v>0</v>
      </c>
      <c r="N6" s="380">
        <f t="shared" si="19"/>
      </c>
      <c r="O6" s="377">
        <v>1</v>
      </c>
      <c r="P6" s="380">
        <f t="shared" si="57"/>
      </c>
      <c r="Q6" s="381"/>
      <c r="R6" s="377"/>
      <c r="S6" s="381"/>
      <c r="T6" s="377"/>
      <c r="U6" s="382"/>
      <c r="V6" s="383"/>
      <c r="W6" s="377"/>
      <c r="X6" s="383"/>
      <c r="Y6" s="381"/>
      <c r="Z6" s="383"/>
      <c r="AA6" s="383"/>
      <c r="AB6" s="377"/>
      <c r="AC6" s="377"/>
      <c r="AD6" s="381"/>
      <c r="AE6" s="383"/>
      <c r="AF6" s="383" t="s">
        <v>1070</v>
      </c>
    </row>
    <row r="7">
      <c r="A7" s="371"/>
      <c r="B7" s="372"/>
      <c r="C7" s="373"/>
      <c r="D7" s="374" t="s">
        <v>1071</v>
      </c>
      <c r="E7" s="377">
        <v>7.78</v>
      </c>
      <c r="F7" s="376"/>
      <c r="G7" s="377">
        <v>319</v>
      </c>
      <c r="H7" s="377">
        <v>42</v>
      </c>
      <c r="I7" s="378">
        <f t="shared" si="38"/>
      </c>
      <c r="J7" s="379">
        <f t="shared" si="77"/>
      </c>
      <c r="K7" s="377">
        <v>1</v>
      </c>
      <c r="L7" s="379">
        <f t="shared" si="0"/>
      </c>
      <c r="M7" s="377">
        <v>0</v>
      </c>
      <c r="N7" s="380">
        <f t="shared" si="19"/>
      </c>
      <c r="O7" s="377">
        <v>0</v>
      </c>
      <c r="P7" s="380">
        <f t="shared" si="57"/>
      </c>
      <c r="Q7" s="381"/>
      <c r="R7" s="377"/>
      <c r="S7" s="381"/>
      <c r="T7" s="377"/>
      <c r="U7" s="382"/>
      <c r="V7" s="383"/>
      <c r="W7" s="377"/>
      <c r="X7" s="383"/>
      <c r="Y7" s="381"/>
      <c r="Z7" s="383"/>
      <c r="AA7" s="383"/>
      <c r="AB7" s="377"/>
      <c r="AC7" s="377"/>
      <c r="AD7" s="381"/>
      <c r="AE7" s="383"/>
      <c r="AF7" s="383"/>
    </row>
    <row r="8">
      <c r="A8" s="371"/>
      <c r="B8" s="372" t="s">
        <v>1073</v>
      </c>
      <c r="C8" s="373" t="s">
        <v>1066</v>
      </c>
      <c r="D8" s="374" t="s">
        <v>1067</v>
      </c>
      <c r="E8" s="375">
        <v>722.76</v>
      </c>
      <c r="F8" s="376">
        <f>E8+E9+E10</f>
      </c>
      <c r="G8" s="377">
        <v>5999</v>
      </c>
      <c r="H8" s="377">
        <v>385</v>
      </c>
      <c r="I8" s="378">
        <f t="shared" si="38"/>
      </c>
      <c r="J8" s="379">
        <f t="shared" si="77"/>
      </c>
      <c r="K8" s="377">
        <v>17</v>
      </c>
      <c r="L8" s="379">
        <f t="shared" si="0"/>
      </c>
      <c r="M8" s="377">
        <v>1</v>
      </c>
      <c r="N8" s="380">
        <f t="shared" si="19"/>
      </c>
      <c r="O8" s="377">
        <v>2</v>
      </c>
      <c r="P8" s="380">
        <f t="shared" si="57"/>
      </c>
      <c r="Q8" s="381">
        <f>(M8+M10+M9)/(O8+O10+O9)</f>
      </c>
      <c r="R8" s="377">
        <v>5</v>
      </c>
      <c r="S8" s="381">
        <f>(O8+O10)/(K8+K10)</f>
      </c>
      <c r="T8" s="377">
        <v>4</v>
      </c>
      <c r="U8" s="382">
        <f>F8/T8</f>
      </c>
      <c r="V8" s="383">
        <f>(F8+4*500)/T8</f>
      </c>
      <c r="W8" s="377">
        <v>1791.96</v>
      </c>
      <c r="X8" s="383">
        <f>W8/T8</f>
      </c>
      <c r="Y8" s="381">
        <f>T8/R8</f>
      </c>
      <c r="Z8" s="383">
        <f>W8/F8</f>
      </c>
      <c r="AA8" s="383">
        <f>W8/(F8+500)</f>
      </c>
      <c r="AB8" s="377">
        <v>0</v>
      </c>
      <c r="AC8" s="377">
        <v>0</v>
      </c>
      <c r="AD8" s="381">
        <f>AB8/T8</f>
      </c>
      <c r="AE8" s="383">
        <f>(W8-AC8)/(F8+500)</f>
      </c>
      <c r="AF8" s="383" t="s">
        <v>1068</v>
      </c>
    </row>
    <row r="9">
      <c r="A9" s="371"/>
      <c r="B9" s="372"/>
      <c r="C9" s="373"/>
      <c r="D9" s="374" t="s">
        <v>1069</v>
      </c>
      <c r="E9" s="384">
        <v>478.83</v>
      </c>
      <c r="F9" s="376"/>
      <c r="G9" s="377">
        <v>3300</v>
      </c>
      <c r="H9" s="377">
        <v>151</v>
      </c>
      <c r="I9" s="378">
        <f t="shared" si="38"/>
      </c>
      <c r="J9" s="379">
        <f t="shared" si="77"/>
      </c>
      <c r="K9" s="377">
        <v>6</v>
      </c>
      <c r="L9" s="379">
        <f t="shared" si="0"/>
      </c>
      <c r="M9" s="377">
        <v>0</v>
      </c>
      <c r="N9" s="380">
        <f t="shared" si="19"/>
      </c>
      <c r="O9" s="377">
        <v>1</v>
      </c>
      <c r="P9" s="380">
        <f t="shared" si="57"/>
      </c>
      <c r="Q9" s="381"/>
      <c r="R9" s="377"/>
      <c r="S9" s="381"/>
      <c r="T9" s="377"/>
      <c r="U9" s="382"/>
      <c r="V9" s="383"/>
      <c r="W9" s="377"/>
      <c r="X9" s="383"/>
      <c r="Y9" s="381"/>
      <c r="Z9" s="383"/>
      <c r="AA9" s="383"/>
      <c r="AB9" s="377"/>
      <c r="AC9" s="377"/>
      <c r="AD9" s="381"/>
      <c r="AE9" s="383"/>
      <c r="AF9" s="383" t="s">
        <v>1070</v>
      </c>
    </row>
    <row r="10">
      <c r="A10" s="371"/>
      <c r="B10" s="372"/>
      <c r="C10" s="373"/>
      <c r="D10" s="374" t="s">
        <v>1071</v>
      </c>
      <c r="E10" s="377">
        <v>3.16</v>
      </c>
      <c r="F10" s="376"/>
      <c r="G10" s="377">
        <v>204</v>
      </c>
      <c r="H10" s="377">
        <v>21</v>
      </c>
      <c r="I10" s="378">
        <f t="shared" si="38"/>
      </c>
      <c r="J10" s="379">
        <f t="shared" si="77"/>
      </c>
      <c r="K10" s="377">
        <v>0</v>
      </c>
      <c r="L10" s="379">
        <f t="shared" si="0"/>
      </c>
      <c r="M10" s="377">
        <v>0</v>
      </c>
      <c r="N10" s="380">
        <f t="shared" si="19"/>
      </c>
      <c r="O10" s="377">
        <v>0</v>
      </c>
      <c r="P10" s="380">
        <f t="shared" si="57"/>
      </c>
      <c r="Q10" s="381"/>
      <c r="R10" s="377"/>
      <c r="S10" s="381"/>
      <c r="T10" s="377"/>
      <c r="U10" s="382"/>
      <c r="V10" s="383"/>
      <c r="W10" s="377"/>
      <c r="X10" s="383"/>
      <c r="Y10" s="381"/>
      <c r="Z10" s="383"/>
      <c r="AA10" s="383"/>
      <c r="AB10" s="377"/>
      <c r="AC10" s="377"/>
      <c r="AD10" s="381"/>
      <c r="AE10" s="383"/>
      <c r="AF10" s="383"/>
    </row>
    <row r="11">
      <c r="A11" s="371"/>
      <c r="B11" s="372" t="s">
        <v>1074</v>
      </c>
      <c r="C11" s="373" t="s">
        <v>1066</v>
      </c>
      <c r="D11" s="374" t="s">
        <v>1067</v>
      </c>
      <c r="E11" s="375">
        <v>683.64</v>
      </c>
      <c r="F11" s="376">
        <f>E11+E12+E13</f>
      </c>
      <c r="G11" s="377">
        <v>6514</v>
      </c>
      <c r="H11" s="377">
        <v>882</v>
      </c>
      <c r="I11" s="378">
        <f t="shared" si="38"/>
      </c>
      <c r="J11" s="379">
        <f t="shared" si="77"/>
      </c>
      <c r="K11" s="377">
        <v>14</v>
      </c>
      <c r="L11" s="379">
        <f t="shared" si="0"/>
      </c>
      <c r="M11" s="377">
        <v>0</v>
      </c>
      <c r="N11" s="380">
        <f t="shared" si="19"/>
      </c>
      <c r="O11" s="377">
        <v>3</v>
      </c>
      <c r="P11" s="380">
        <f t="shared" si="57"/>
      </c>
      <c r="Q11" s="381">
        <f>(M11+M13+M12)/(O11+O13+O12)</f>
      </c>
      <c r="R11" s="377">
        <v>4</v>
      </c>
      <c r="S11" s="381">
        <f>(O11+O13)/(K11+K13)</f>
      </c>
      <c r="T11" s="377">
        <v>1</v>
      </c>
      <c r="U11" s="382">
        <f>F11/T11</f>
      </c>
      <c r="V11" s="383">
        <f>(F11+4*500)/T11</f>
      </c>
      <c r="W11" s="377">
        <v>1152</v>
      </c>
      <c r="X11" s="383">
        <f>W11/T11</f>
      </c>
      <c r="Y11" s="381">
        <f>T11/R11</f>
      </c>
      <c r="Z11" s="383">
        <f>W11/F11</f>
      </c>
      <c r="AA11" s="383">
        <f>W11/(F11+500)</f>
      </c>
      <c r="AB11" s="377">
        <v>0</v>
      </c>
      <c r="AC11" s="377">
        <v>0</v>
      </c>
      <c r="AD11" s="381">
        <f>AB11/T11</f>
      </c>
      <c r="AE11" s="383">
        <f>(W11-AC11)/(F11+500)</f>
      </c>
      <c r="AF11" s="383" t="s">
        <v>1068</v>
      </c>
    </row>
    <row r="12">
      <c r="A12" s="371"/>
      <c r="B12" s="372"/>
      <c r="C12" s="373"/>
      <c r="D12" s="374" t="s">
        <v>1069</v>
      </c>
      <c r="E12" s="384">
        <v>309.01</v>
      </c>
      <c r="F12" s="376"/>
      <c r="G12" s="377">
        <v>2392</v>
      </c>
      <c r="H12" s="377">
        <v>102</v>
      </c>
      <c r="I12" s="378">
        <f t="shared" si="38"/>
      </c>
      <c r="J12" s="379">
        <f t="shared" si="77"/>
      </c>
      <c r="K12" s="377">
        <v>9</v>
      </c>
      <c r="L12" s="379">
        <f t="shared" si="0"/>
      </c>
      <c r="M12" s="377">
        <v>1</v>
      </c>
      <c r="N12" s="380">
        <f t="shared" si="19"/>
      </c>
      <c r="O12" s="377">
        <v>1</v>
      </c>
      <c r="P12" s="380">
        <f t="shared" si="57"/>
      </c>
      <c r="Q12" s="381"/>
      <c r="R12" s="377"/>
      <c r="S12" s="381"/>
      <c r="T12" s="377"/>
      <c r="U12" s="382"/>
      <c r="V12" s="383"/>
      <c r="W12" s="377"/>
      <c r="X12" s="383"/>
      <c r="Y12" s="381"/>
      <c r="Z12" s="383"/>
      <c r="AA12" s="383"/>
      <c r="AB12" s="377"/>
      <c r="AC12" s="377"/>
      <c r="AD12" s="381"/>
      <c r="AE12" s="383"/>
      <c r="AF12" s="383" t="s">
        <v>1070</v>
      </c>
    </row>
    <row r="13">
      <c r="A13" s="371"/>
      <c r="B13" s="372"/>
      <c r="C13" s="373"/>
      <c r="D13" s="374" t="s">
        <v>1071</v>
      </c>
      <c r="E13" s="377">
        <v>2.47</v>
      </c>
      <c r="F13" s="376"/>
      <c r="G13" s="377">
        <v>137</v>
      </c>
      <c r="H13" s="377">
        <v>7</v>
      </c>
      <c r="I13" s="378">
        <f t="shared" si="38"/>
      </c>
      <c r="J13" s="379">
        <f t="shared" si="77"/>
      </c>
      <c r="K13" s="377">
        <v>0</v>
      </c>
      <c r="L13" s="379">
        <f t="shared" si="0"/>
      </c>
      <c r="M13" s="377">
        <v>0</v>
      </c>
      <c r="N13" s="380">
        <f t="shared" si="19"/>
      </c>
      <c r="O13" s="377">
        <v>0</v>
      </c>
      <c r="P13" s="380">
        <f t="shared" si="57"/>
      </c>
      <c r="Q13" s="381"/>
      <c r="R13" s="377"/>
      <c r="S13" s="381"/>
      <c r="T13" s="377"/>
      <c r="U13" s="382"/>
      <c r="V13" s="383"/>
      <c r="W13" s="377"/>
      <c r="X13" s="383"/>
      <c r="Y13" s="381"/>
      <c r="Z13" s="383"/>
      <c r="AA13" s="383"/>
      <c r="AB13" s="377"/>
      <c r="AC13" s="377"/>
      <c r="AD13" s="381"/>
      <c r="AE13" s="383"/>
      <c r="AF13" s="383"/>
    </row>
    <row r="14">
      <c r="A14" s="371"/>
      <c r="B14" s="372" t="s">
        <v>1075</v>
      </c>
      <c r="C14" s="373" t="s">
        <v>1076</v>
      </c>
      <c r="D14" s="374" t="s">
        <v>1067</v>
      </c>
      <c r="E14" s="375">
        <v>373.82</v>
      </c>
      <c r="F14" s="376">
        <f>E14+E15+E16</f>
      </c>
      <c r="G14" s="377">
        <v>3112</v>
      </c>
      <c r="H14" s="377">
        <v>150</v>
      </c>
      <c r="I14" s="378">
        <f t="shared" si="38"/>
      </c>
      <c r="J14" s="379">
        <f t="shared" si="77"/>
      </c>
      <c r="K14" s="377">
        <v>6</v>
      </c>
      <c r="L14" s="379">
        <f t="shared" si="0"/>
      </c>
      <c r="M14" s="377">
        <v>0</v>
      </c>
      <c r="N14" s="380">
        <f t="shared" si="19"/>
      </c>
      <c r="O14" s="377">
        <v>0</v>
      </c>
      <c r="P14" s="380">
        <f t="shared" si="57"/>
      </c>
      <c r="Q14" s="381">
        <f>(M14+M16+M15)/(O14+O16+O15)</f>
      </c>
      <c r="R14" s="377">
        <v>3</v>
      </c>
      <c r="S14" s="381">
        <f>(O14+O16)/(K14+K16)</f>
      </c>
      <c r="T14" s="377">
        <v>1</v>
      </c>
      <c r="U14" s="382">
        <f>F14/T14</f>
      </c>
      <c r="V14" s="383">
        <f>(F14+4*500)/T14</f>
      </c>
      <c r="W14" s="377">
        <v>1723.2</v>
      </c>
      <c r="X14" s="383">
        <f>W14/T14</f>
      </c>
      <c r="Y14" s="381">
        <f>T14/R14</f>
      </c>
      <c r="Z14" s="383">
        <f>W14/F14</f>
      </c>
      <c r="AA14" s="383">
        <f>W14/(F14+500)</f>
      </c>
      <c r="AB14" s="377">
        <v>0</v>
      </c>
      <c r="AC14" s="377">
        <v>0</v>
      </c>
      <c r="AD14" s="381">
        <f>AB14/T14</f>
      </c>
      <c r="AE14" s="383">
        <f>(W14-AC14)/(F14+500)</f>
      </c>
      <c r="AF14" s="383" t="s">
        <v>1068</v>
      </c>
    </row>
    <row r="15">
      <c r="A15" s="371"/>
      <c r="B15" s="372"/>
      <c r="C15" s="373"/>
      <c r="D15" s="374" t="s">
        <v>1069</v>
      </c>
      <c r="E15" s="384">
        <v>479.31</v>
      </c>
      <c r="F15" s="376"/>
      <c r="G15" s="377">
        <v>3386</v>
      </c>
      <c r="H15" s="377">
        <v>172</v>
      </c>
      <c r="I15" s="378">
        <f t="shared" si="38"/>
      </c>
      <c r="J15" s="379">
        <f t="shared" si="77"/>
      </c>
      <c r="K15" s="377">
        <v>8</v>
      </c>
      <c r="L15" s="379">
        <f t="shared" si="0"/>
      </c>
      <c r="M15" s="377">
        <v>1</v>
      </c>
      <c r="N15" s="380">
        <f t="shared" si="19"/>
      </c>
      <c r="O15" s="377">
        <v>1</v>
      </c>
      <c r="P15" s="380">
        <f t="shared" si="57"/>
      </c>
      <c r="Q15" s="381"/>
      <c r="R15" s="377"/>
      <c r="S15" s="381"/>
      <c r="T15" s="377"/>
      <c r="U15" s="382"/>
      <c r="V15" s="383"/>
      <c r="W15" s="377"/>
      <c r="X15" s="383"/>
      <c r="Y15" s="381"/>
      <c r="Z15" s="383"/>
      <c r="AA15" s="383"/>
      <c r="AB15" s="377"/>
      <c r="AC15" s="377"/>
      <c r="AD15" s="381"/>
      <c r="AE15" s="383"/>
      <c r="AF15" s="383" t="s">
        <v>1070</v>
      </c>
    </row>
    <row r="16">
      <c r="A16" s="371"/>
      <c r="B16" s="372"/>
      <c r="C16" s="373"/>
      <c r="D16" s="374" t="s">
        <v>1071</v>
      </c>
      <c r="E16" s="377">
        <v>1.33</v>
      </c>
      <c r="F16" s="376"/>
      <c r="G16" s="377">
        <v>107</v>
      </c>
      <c r="H16" s="377">
        <v>10</v>
      </c>
      <c r="I16" s="378">
        <f t="shared" si="38"/>
      </c>
      <c r="J16" s="379">
        <f t="shared" si="77"/>
      </c>
      <c r="K16" s="377">
        <v>0</v>
      </c>
      <c r="L16" s="379">
        <f t="shared" si="0"/>
      </c>
      <c r="M16" s="377">
        <v>0</v>
      </c>
      <c r="N16" s="380">
        <f t="shared" si="19"/>
      </c>
      <c r="O16" s="377">
        <v>0</v>
      </c>
      <c r="P16" s="380">
        <f t="shared" si="57"/>
      </c>
      <c r="Q16" s="381"/>
      <c r="R16" s="377"/>
      <c r="S16" s="381"/>
      <c r="T16" s="377"/>
      <c r="U16" s="382"/>
      <c r="V16" s="383"/>
      <c r="W16" s="377"/>
      <c r="X16" s="383"/>
      <c r="Y16" s="381"/>
      <c r="Z16" s="383"/>
      <c r="AA16" s="383"/>
      <c r="AB16" s="377"/>
      <c r="AC16" s="377"/>
      <c r="AD16" s="381"/>
      <c r="AE16" s="383"/>
      <c r="AF16" s="383"/>
    </row>
    <row r="17">
      <c r="A17" s="371"/>
      <c r="B17" s="372" t="s">
        <v>1077</v>
      </c>
      <c r="C17" s="373" t="s">
        <v>1076</v>
      </c>
      <c r="D17" s="374" t="s">
        <v>1067</v>
      </c>
      <c r="E17" s="375">
        <v>225.48</v>
      </c>
      <c r="F17" s="376">
        <f>E17+E18+E19</f>
      </c>
      <c r="G17" s="377">
        <v>2060</v>
      </c>
      <c r="H17" s="377">
        <v>47</v>
      </c>
      <c r="I17" s="378">
        <f t="shared" si="38"/>
      </c>
      <c r="J17" s="379">
        <f t="shared" si="77"/>
      </c>
      <c r="K17" s="377">
        <v>5</v>
      </c>
      <c r="L17" s="379">
        <f t="shared" si="0"/>
      </c>
      <c r="M17" s="377">
        <v>0</v>
      </c>
      <c r="N17" s="380">
        <f t="shared" si="19"/>
      </c>
      <c r="O17" s="377">
        <v>0</v>
      </c>
      <c r="P17" s="380">
        <f t="shared" si="57"/>
      </c>
      <c r="Q17" s="381">
        <f>(M17+M19+M18)/(O17+O19+O18)</f>
      </c>
      <c r="R17" s="377">
        <v>3</v>
      </c>
      <c r="S17" s="381">
        <f>(O17+O19)/(K17+K19)</f>
      </c>
      <c r="T17" s="377">
        <v>0</v>
      </c>
      <c r="U17" s="382">
        <f>F17/T17</f>
      </c>
      <c r="V17" s="383">
        <f>(F17+4*500)/T17</f>
      </c>
      <c r="W17" s="377">
        <v>0</v>
      </c>
      <c r="X17" s="383">
        <f>W17/T17</f>
      </c>
      <c r="Y17" s="381">
        <f>T17/R17</f>
      </c>
      <c r="Z17" s="383">
        <f>W17/F17</f>
      </c>
      <c r="AA17" s="383">
        <f>W17/(F17+500)</f>
      </c>
      <c r="AB17" s="377">
        <v>0</v>
      </c>
      <c r="AC17" s="377">
        <v>0</v>
      </c>
      <c r="AD17" s="381">
        <f>AB17/T17</f>
      </c>
      <c r="AE17" s="383">
        <f>(W17-AC17)/(F17+500)</f>
      </c>
      <c r="AF17" s="383" t="s">
        <v>1068</v>
      </c>
    </row>
    <row r="18">
      <c r="A18" s="371"/>
      <c r="B18" s="372"/>
      <c r="C18" s="373"/>
      <c r="D18" s="374" t="s">
        <v>1069</v>
      </c>
      <c r="E18" s="384">
        <v>726.6</v>
      </c>
      <c r="F18" s="376"/>
      <c r="G18" s="377">
        <v>3466</v>
      </c>
      <c r="H18" s="377">
        <v>163</v>
      </c>
      <c r="I18" s="378">
        <f t="shared" si="38"/>
      </c>
      <c r="J18" s="379">
        <f t="shared" si="77"/>
      </c>
      <c r="K18" s="377">
        <v>7</v>
      </c>
      <c r="L18" s="379">
        <f t="shared" si="0"/>
      </c>
      <c r="M18" s="377">
        <v>0</v>
      </c>
      <c r="N18" s="380">
        <f t="shared" si="19"/>
      </c>
      <c r="O18" s="377">
        <v>1</v>
      </c>
      <c r="P18" s="380">
        <f t="shared" si="57"/>
      </c>
      <c r="Q18" s="381"/>
      <c r="R18" s="377"/>
      <c r="S18" s="381"/>
      <c r="T18" s="377"/>
      <c r="U18" s="382"/>
      <c r="V18" s="383"/>
      <c r="W18" s="377"/>
      <c r="X18" s="383"/>
      <c r="Y18" s="381"/>
      <c r="Z18" s="383"/>
      <c r="AA18" s="383"/>
      <c r="AB18" s="377"/>
      <c r="AC18" s="377"/>
      <c r="AD18" s="381"/>
      <c r="AE18" s="383"/>
      <c r="AF18" s="383" t="s">
        <v>1070</v>
      </c>
    </row>
    <row r="19">
      <c r="A19" s="371"/>
      <c r="B19" s="372"/>
      <c r="C19" s="373"/>
      <c r="D19" s="374" t="s">
        <v>1071</v>
      </c>
      <c r="E19" s="377">
        <v>1.08</v>
      </c>
      <c r="F19" s="376"/>
      <c r="G19" s="377">
        <v>83</v>
      </c>
      <c r="H19" s="377">
        <v>4</v>
      </c>
      <c r="I19" s="378">
        <f t="shared" si="38"/>
      </c>
      <c r="J19" s="379">
        <f t="shared" si="77"/>
      </c>
      <c r="K19" s="377">
        <v>0</v>
      </c>
      <c r="L19" s="379">
        <f t="shared" si="0"/>
      </c>
      <c r="M19" s="377">
        <v>0</v>
      </c>
      <c r="N19" s="380">
        <f t="shared" si="19"/>
      </c>
      <c r="O19" s="377">
        <v>0</v>
      </c>
      <c r="P19" s="380">
        <f t="shared" si="57"/>
      </c>
      <c r="Q19" s="381"/>
      <c r="R19" s="377"/>
      <c r="S19" s="381"/>
      <c r="T19" s="377"/>
      <c r="U19" s="382"/>
      <c r="V19" s="383"/>
      <c r="W19" s="377"/>
      <c r="X19" s="383"/>
      <c r="Y19" s="381"/>
      <c r="Z19" s="383"/>
      <c r="AA19" s="383"/>
      <c r="AB19" s="377"/>
      <c r="AC19" s="377"/>
      <c r="AD19" s="381"/>
      <c r="AE19" s="383"/>
      <c r="AF19" s="383"/>
    </row>
    <row r="20">
      <c r="A20" s="371"/>
      <c r="B20" s="385" t="s">
        <v>1078</v>
      </c>
      <c r="C20" s="373" t="s">
        <v>1076</v>
      </c>
      <c r="D20" s="374" t="s">
        <v>1067</v>
      </c>
      <c r="E20" s="375">
        <v>336.77</v>
      </c>
      <c r="F20" s="376">
        <f>E20+E21+E22</f>
      </c>
      <c r="G20" s="377">
        <v>2277</v>
      </c>
      <c r="H20" s="377">
        <v>40</v>
      </c>
      <c r="I20" s="378">
        <f t="shared" si="38"/>
      </c>
      <c r="J20" s="379">
        <f t="shared" si="77"/>
      </c>
      <c r="K20" s="377">
        <v>5</v>
      </c>
      <c r="L20" s="379">
        <f t="shared" si="0"/>
      </c>
      <c r="M20" s="377">
        <v>1</v>
      </c>
      <c r="N20" s="380">
        <f t="shared" si="19"/>
      </c>
      <c r="O20" s="377">
        <v>2</v>
      </c>
      <c r="P20" s="380">
        <f t="shared" si="57"/>
      </c>
      <c r="Q20" s="381">
        <f>(M20+M22+M21)/(O20+O22+O21)</f>
      </c>
      <c r="R20" s="377">
        <v>1</v>
      </c>
      <c r="S20" s="381">
        <f>(O20+O22)/(K20+K22)</f>
      </c>
      <c r="T20" s="377">
        <v>1</v>
      </c>
      <c r="U20" s="382">
        <f>F20/T20</f>
      </c>
      <c r="V20" s="383">
        <f>(F20+4*500)/T20</f>
      </c>
      <c r="W20" s="377">
        <v>1723.2</v>
      </c>
      <c r="X20" s="383">
        <f>W20/T20</f>
      </c>
      <c r="Y20" s="381">
        <f>T20/R20</f>
      </c>
      <c r="Z20" s="383">
        <f>W20/F20</f>
      </c>
      <c r="AA20" s="383">
        <f>W20/(F20+500)</f>
      </c>
      <c r="AB20" s="377">
        <v>0</v>
      </c>
      <c r="AC20" s="377">
        <v>0</v>
      </c>
      <c r="AD20" s="381">
        <f>AB20/T20</f>
      </c>
      <c r="AE20" s="383">
        <f>(W20-AC20)/(F20+500)</f>
      </c>
      <c r="AF20" s="383" t="s">
        <v>1068</v>
      </c>
    </row>
    <row r="21">
      <c r="A21" s="371"/>
      <c r="B21" s="385"/>
      <c r="C21" s="373"/>
      <c r="D21" s="374" t="s">
        <v>1069</v>
      </c>
      <c r="E21" s="384">
        <v>490.48</v>
      </c>
      <c r="F21" s="376"/>
      <c r="G21" s="377">
        <v>3262</v>
      </c>
      <c r="H21" s="377">
        <v>174</v>
      </c>
      <c r="I21" s="378">
        <f t="shared" si="38"/>
      </c>
      <c r="J21" s="379">
        <f t="shared" si="77"/>
      </c>
      <c r="K21" s="377">
        <v>7</v>
      </c>
      <c r="L21" s="379">
        <f t="shared" si="0"/>
      </c>
      <c r="M21" s="377">
        <v>0</v>
      </c>
      <c r="N21" s="380">
        <f t="shared" si="19"/>
      </c>
      <c r="O21" s="377">
        <v>0</v>
      </c>
      <c r="P21" s="380">
        <f t="shared" si="57"/>
      </c>
      <c r="Q21" s="381"/>
      <c r="R21" s="377"/>
      <c r="S21" s="381"/>
      <c r="T21" s="377"/>
      <c r="U21" s="382"/>
      <c r="V21" s="383"/>
      <c r="W21" s="377"/>
      <c r="X21" s="383"/>
      <c r="Y21" s="381"/>
      <c r="Z21" s="383"/>
      <c r="AA21" s="383"/>
      <c r="AB21" s="377"/>
      <c r="AC21" s="377"/>
      <c r="AD21" s="381"/>
      <c r="AE21" s="383"/>
      <c r="AF21" s="383" t="s">
        <v>1070</v>
      </c>
    </row>
    <row r="22">
      <c r="A22" s="371"/>
      <c r="B22" s="385"/>
      <c r="C22" s="373"/>
      <c r="D22" s="374" t="s">
        <v>1071</v>
      </c>
      <c r="E22" s="377">
        <v>0.54</v>
      </c>
      <c r="F22" s="376"/>
      <c r="G22" s="377">
        <v>58</v>
      </c>
      <c r="H22" s="377">
        <v>4</v>
      </c>
      <c r="I22" s="378">
        <f t="shared" si="38"/>
      </c>
      <c r="J22" s="379">
        <f t="shared" si="77"/>
      </c>
      <c r="K22" s="377">
        <v>0</v>
      </c>
      <c r="L22" s="379">
        <f t="shared" si="0"/>
      </c>
      <c r="M22" s="377">
        <v>0</v>
      </c>
      <c r="N22" s="380">
        <f t="shared" si="19"/>
      </c>
      <c r="O22" s="377">
        <v>0</v>
      </c>
      <c r="P22" s="380">
        <f t="shared" si="57"/>
      </c>
      <c r="Q22" s="381"/>
      <c r="R22" s="377"/>
      <c r="S22" s="381"/>
      <c r="T22" s="377"/>
      <c r="U22" s="382"/>
      <c r="V22" s="383"/>
      <c r="W22" s="377"/>
      <c r="X22" s="383"/>
      <c r="Y22" s="381"/>
      <c r="Z22" s="383"/>
      <c r="AA22" s="383"/>
      <c r="AB22" s="377"/>
      <c r="AC22" s="377"/>
      <c r="AD22" s="381"/>
      <c r="AE22" s="383"/>
      <c r="AF22" s="383"/>
    </row>
    <row r="23">
      <c r="A23" s="371"/>
      <c r="B23" s="372" t="s">
        <v>1079</v>
      </c>
      <c r="C23" s="373" t="s">
        <v>1076</v>
      </c>
      <c r="D23" s="374" t="s">
        <v>1067</v>
      </c>
      <c r="E23" s="375">
        <v>491.54</v>
      </c>
      <c r="F23" s="376">
        <f>E23+E24+E25</f>
      </c>
      <c r="G23" s="377">
        <v>4460</v>
      </c>
      <c r="H23" s="377">
        <v>65</v>
      </c>
      <c r="I23" s="378">
        <f t="shared" si="38"/>
      </c>
      <c r="J23" s="379">
        <f t="shared" si="77"/>
      </c>
      <c r="K23" s="377">
        <v>12</v>
      </c>
      <c r="L23" s="379">
        <f t="shared" si="0"/>
      </c>
      <c r="M23" s="377">
        <v>1</v>
      </c>
      <c r="N23" s="380">
        <f t="shared" si="19"/>
      </c>
      <c r="O23" s="377">
        <v>1</v>
      </c>
      <c r="P23" s="380">
        <f t="shared" si="57"/>
      </c>
      <c r="Q23" s="381">
        <f>(M23+M25+M24)/(O23+O25+O24)</f>
      </c>
      <c r="R23" s="377">
        <v>6</v>
      </c>
      <c r="S23" s="381">
        <f>(O23+O25)/(K23+K25)</f>
      </c>
      <c r="T23" s="377">
        <v>2</v>
      </c>
      <c r="U23" s="382">
        <f>F23/T23</f>
      </c>
      <c r="V23" s="383">
        <f>(F23+4*500)/T23</f>
      </c>
      <c r="W23" s="377">
        <v>1267</v>
      </c>
      <c r="X23" s="383">
        <f>W23/T23</f>
      </c>
      <c r="Y23" s="381">
        <f>T23/R23</f>
      </c>
      <c r="Z23" s="383">
        <f>W23/F23</f>
      </c>
      <c r="AA23" s="383">
        <f>W23/(F23+500)</f>
      </c>
      <c r="AB23" s="377">
        <v>1</v>
      </c>
      <c r="AC23" s="377">
        <v>563.8000000000002</v>
      </c>
      <c r="AD23" s="381">
        <f>AB23/T23</f>
      </c>
      <c r="AE23" s="383">
        <f>(W23-AC23)/(F23+500)</f>
      </c>
      <c r="AF23" s="383" t="s">
        <v>1068</v>
      </c>
    </row>
    <row r="24">
      <c r="A24" s="371"/>
      <c r="B24" s="372"/>
      <c r="C24" s="373"/>
      <c r="D24" s="374" t="s">
        <v>1069</v>
      </c>
      <c r="E24" s="384">
        <v>328.43</v>
      </c>
      <c r="F24" s="376"/>
      <c r="G24" s="377">
        <v>3469</v>
      </c>
      <c r="H24" s="377">
        <v>199</v>
      </c>
      <c r="I24" s="378">
        <f t="shared" si="38"/>
      </c>
      <c r="J24" s="379">
        <f t="shared" si="77"/>
      </c>
      <c r="K24" s="377">
        <v>8</v>
      </c>
      <c r="L24" s="379">
        <f t="shared" si="0"/>
      </c>
      <c r="M24" s="377">
        <v>0</v>
      </c>
      <c r="N24" s="380">
        <f t="shared" si="19"/>
      </c>
      <c r="O24" s="377">
        <v>2</v>
      </c>
      <c r="P24" s="380">
        <f t="shared" si="57"/>
      </c>
      <c r="Q24" s="381"/>
      <c r="R24" s="377"/>
      <c r="S24" s="381"/>
      <c r="T24" s="377"/>
      <c r="U24" s="382"/>
      <c r="V24" s="383"/>
      <c r="W24" s="377"/>
      <c r="X24" s="383"/>
      <c r="Y24" s="381"/>
      <c r="Z24" s="383"/>
      <c r="AA24" s="383"/>
      <c r="AB24" s="377"/>
      <c r="AC24" s="377"/>
      <c r="AD24" s="381"/>
      <c r="AE24" s="383"/>
      <c r="AF24" s="383" t="s">
        <v>1070</v>
      </c>
    </row>
    <row r="25">
      <c r="A25" s="371"/>
      <c r="B25" s="372"/>
      <c r="C25" s="373"/>
      <c r="D25" s="374" t="s">
        <v>1071</v>
      </c>
      <c r="E25" s="377">
        <v>0.55</v>
      </c>
      <c r="F25" s="376"/>
      <c r="G25" s="377">
        <v>57</v>
      </c>
      <c r="H25" s="377">
        <v>6</v>
      </c>
      <c r="I25" s="378">
        <f t="shared" si="38"/>
      </c>
      <c r="J25" s="379">
        <f t="shared" si="77"/>
      </c>
      <c r="K25" s="377">
        <v>0</v>
      </c>
      <c r="L25" s="379">
        <f t="shared" si="0"/>
      </c>
      <c r="M25" s="377">
        <v>0</v>
      </c>
      <c r="N25" s="380">
        <f t="shared" si="19"/>
      </c>
      <c r="O25" s="377">
        <v>0</v>
      </c>
      <c r="P25" s="380">
        <f t="shared" si="57"/>
      </c>
      <c r="Q25" s="381"/>
      <c r="R25" s="377"/>
      <c r="S25" s="381"/>
      <c r="T25" s="377"/>
      <c r="U25" s="382"/>
      <c r="V25" s="383"/>
      <c r="W25" s="377"/>
      <c r="X25" s="383"/>
      <c r="Y25" s="381"/>
      <c r="Z25" s="383"/>
      <c r="AA25" s="383"/>
      <c r="AB25" s="377"/>
      <c r="AC25" s="377"/>
      <c r="AD25" s="381"/>
      <c r="AE25" s="383"/>
      <c r="AF25" s="383"/>
    </row>
    <row r="26">
      <c r="A26" s="371"/>
      <c r="B26" s="372" t="s">
        <v>1080</v>
      </c>
      <c r="C26" s="373" t="s">
        <v>1081</v>
      </c>
      <c r="D26" s="374" t="s">
        <v>1067</v>
      </c>
      <c r="E26" s="375">
        <v>994.89</v>
      </c>
      <c r="F26" s="376">
        <f>E26+E27+E28</f>
      </c>
      <c r="G26" s="377">
        <v>8594</v>
      </c>
      <c r="H26" s="377">
        <v>85</v>
      </c>
      <c r="I26" s="378">
        <f t="shared" si="38"/>
      </c>
      <c r="J26" s="379">
        <f t="shared" si="77"/>
      </c>
      <c r="K26" s="377">
        <v>13</v>
      </c>
      <c r="L26" s="379">
        <f t="shared" si="0"/>
      </c>
      <c r="M26" s="377">
        <v>1</v>
      </c>
      <c r="N26" s="380">
        <f t="shared" si="19"/>
      </c>
      <c r="O26" s="377">
        <v>2</v>
      </c>
      <c r="P26" s="380">
        <f t="shared" si="57"/>
      </c>
      <c r="Q26" s="381">
        <f>(M26+M28+M27)/(O26+O28+O27)</f>
      </c>
      <c r="R26" s="377">
        <v>3</v>
      </c>
      <c r="S26" s="381">
        <f>(O26+O28)/(K26+K28)</f>
      </c>
      <c r="T26" s="377">
        <v>1</v>
      </c>
      <c r="U26" s="382">
        <f>F26/T26</f>
      </c>
      <c r="V26" s="383">
        <f>(F26+4*500)/T26</f>
      </c>
      <c r="W26" s="377">
        <v>2652</v>
      </c>
      <c r="X26" s="383">
        <f>W26/T26</f>
      </c>
      <c r="Y26" s="381">
        <f>T26/R26</f>
      </c>
      <c r="Z26" s="383">
        <f>W26/F26</f>
      </c>
      <c r="AA26" s="383">
        <f>W26/(F26+500)</f>
      </c>
      <c r="AB26" s="377">
        <v>1</v>
      </c>
      <c r="AC26" s="377">
        <v>2652</v>
      </c>
      <c r="AD26" s="381">
        <f>AB26/T26</f>
      </c>
      <c r="AE26" s="383">
        <f>(W26-AC26)/(F26+500)</f>
      </c>
      <c r="AF26" s="383" t="s">
        <v>1068</v>
      </c>
    </row>
    <row r="27">
      <c r="A27" s="371"/>
      <c r="B27" s="372"/>
      <c r="C27" s="373"/>
      <c r="D27" s="374" t="s">
        <v>1069</v>
      </c>
      <c r="E27" s="384">
        <v>356.96</v>
      </c>
      <c r="F27" s="376"/>
      <c r="G27" s="377">
        <v>3044</v>
      </c>
      <c r="H27" s="377">
        <v>162</v>
      </c>
      <c r="I27" s="378">
        <f t="shared" si="38"/>
      </c>
      <c r="J27" s="379">
        <f t="shared" si="77"/>
      </c>
      <c r="K27" s="377">
        <v>5</v>
      </c>
      <c r="L27" s="379">
        <f t="shared" si="0"/>
      </c>
      <c r="M27" s="377">
        <v>0</v>
      </c>
      <c r="N27" s="380">
        <f t="shared" si="19"/>
      </c>
      <c r="O27" s="377">
        <v>0</v>
      </c>
      <c r="P27" s="380">
        <f t="shared" si="57"/>
      </c>
      <c r="Q27" s="381"/>
      <c r="R27" s="377"/>
      <c r="S27" s="381"/>
      <c r="T27" s="377"/>
      <c r="U27" s="382"/>
      <c r="V27" s="383"/>
      <c r="W27" s="377"/>
      <c r="X27" s="383"/>
      <c r="Y27" s="381"/>
      <c r="Z27" s="383"/>
      <c r="AA27" s="383"/>
      <c r="AB27" s="377"/>
      <c r="AC27" s="377"/>
      <c r="AD27" s="381"/>
      <c r="AE27" s="383"/>
      <c r="AF27" s="383" t="s">
        <v>1070</v>
      </c>
    </row>
    <row r="28">
      <c r="A28" s="371"/>
      <c r="B28" s="372"/>
      <c r="C28" s="373"/>
      <c r="D28" s="374" t="s">
        <v>1071</v>
      </c>
      <c r="E28" s="377">
        <v>0.62</v>
      </c>
      <c r="F28" s="376"/>
      <c r="G28" s="377">
        <v>53</v>
      </c>
      <c r="H28" s="377">
        <v>2</v>
      </c>
      <c r="I28" s="378">
        <f t="shared" si="38"/>
      </c>
      <c r="J28" s="379">
        <f t="shared" si="77"/>
      </c>
      <c r="K28" s="377">
        <v>0</v>
      </c>
      <c r="L28" s="379">
        <f t="shared" si="0"/>
      </c>
      <c r="M28" s="377">
        <v>0</v>
      </c>
      <c r="N28" s="380">
        <f t="shared" si="19"/>
      </c>
      <c r="O28" s="377">
        <v>0</v>
      </c>
      <c r="P28" s="380">
        <f t="shared" si="57"/>
      </c>
      <c r="Q28" s="381"/>
      <c r="R28" s="377"/>
      <c r="S28" s="381"/>
      <c r="T28" s="377"/>
      <c r="U28" s="382"/>
      <c r="V28" s="383"/>
      <c r="W28" s="377"/>
      <c r="X28" s="383"/>
      <c r="Y28" s="381"/>
      <c r="Z28" s="383"/>
      <c r="AA28" s="383"/>
      <c r="AB28" s="377"/>
      <c r="AC28" s="377"/>
      <c r="AD28" s="381"/>
      <c r="AE28" s="383"/>
      <c r="AF28" s="383"/>
    </row>
    <row r="29">
      <c r="A29" s="371"/>
      <c r="B29" s="372" t="s">
        <v>1082</v>
      </c>
      <c r="C29" s="373" t="s">
        <v>1081</v>
      </c>
      <c r="D29" s="374" t="s">
        <v>1067</v>
      </c>
      <c r="E29" s="375">
        <v>1054.74</v>
      </c>
      <c r="F29" s="376">
        <f>E29+E30+E31</f>
      </c>
      <c r="G29" s="377">
        <v>10417</v>
      </c>
      <c r="H29" s="377">
        <v>124</v>
      </c>
      <c r="I29" s="378">
        <f t="shared" si="38"/>
      </c>
      <c r="J29" s="379">
        <f t="shared" si="77"/>
      </c>
      <c r="K29" s="377">
        <v>20</v>
      </c>
      <c r="L29" s="379">
        <f t="shared" si="0"/>
      </c>
      <c r="M29" s="377">
        <v>1</v>
      </c>
      <c r="N29" s="380">
        <f t="shared" si="19"/>
      </c>
      <c r="O29" s="377">
        <v>4</v>
      </c>
      <c r="P29" s="380">
        <f t="shared" si="57"/>
      </c>
      <c r="Q29" s="381">
        <f>(M29+M31+M30)/(O29+O31+O30)</f>
      </c>
      <c r="R29" s="377">
        <v>6</v>
      </c>
      <c r="S29" s="381">
        <f>(O29+O31)/(K29+K31)</f>
      </c>
      <c r="T29" s="377">
        <v>1</v>
      </c>
      <c r="U29" s="382">
        <f>F29/T29</f>
      </c>
      <c r="V29" s="383">
        <f>(F29+4*500)/T29</f>
      </c>
      <c r="W29" s="377">
        <v>1752</v>
      </c>
      <c r="X29" s="383">
        <f>W29/T29</f>
      </c>
      <c r="Y29" s="381">
        <f>T29/R29</f>
      </c>
      <c r="Z29" s="383">
        <f>W29/F29</f>
      </c>
      <c r="AA29" s="383">
        <f>W29/(F29+500)</f>
      </c>
      <c r="AB29" s="377">
        <v>1</v>
      </c>
      <c r="AC29" s="377">
        <v>1752</v>
      </c>
      <c r="AD29" s="381">
        <f>AB29/T29</f>
      </c>
      <c r="AE29" s="383">
        <f>(W29-AC29)/(F29+500)</f>
      </c>
      <c r="AF29" s="383" t="s">
        <v>1068</v>
      </c>
    </row>
    <row r="30">
      <c r="A30" s="371"/>
      <c r="B30" s="372"/>
      <c r="C30" s="373"/>
      <c r="D30" s="374" t="s">
        <v>1069</v>
      </c>
      <c r="E30" s="384">
        <v>325.71</v>
      </c>
      <c r="F30" s="376"/>
      <c r="G30" s="377">
        <v>2188</v>
      </c>
      <c r="H30" s="377">
        <v>101</v>
      </c>
      <c r="I30" s="378">
        <f t="shared" si="38"/>
      </c>
      <c r="J30" s="379">
        <f t="shared" si="77"/>
      </c>
      <c r="K30" s="377">
        <v>2</v>
      </c>
      <c r="L30" s="379">
        <f t="shared" si="0"/>
      </c>
      <c r="M30" s="377">
        <v>0</v>
      </c>
      <c r="N30" s="380">
        <f t="shared" si="19"/>
      </c>
      <c r="O30" s="377">
        <v>0</v>
      </c>
      <c r="P30" s="380">
        <f t="shared" si="57"/>
      </c>
      <c r="Q30" s="381"/>
      <c r="R30" s="377"/>
      <c r="S30" s="381"/>
      <c r="T30" s="377"/>
      <c r="U30" s="382"/>
      <c r="V30" s="383"/>
      <c r="W30" s="377"/>
      <c r="X30" s="383"/>
      <c r="Y30" s="381"/>
      <c r="Z30" s="383"/>
      <c r="AA30" s="383"/>
      <c r="AB30" s="377"/>
      <c r="AC30" s="377"/>
      <c r="AD30" s="381"/>
      <c r="AE30" s="383"/>
      <c r="AF30" s="383" t="s">
        <v>1070</v>
      </c>
    </row>
    <row r="31">
      <c r="A31" s="371"/>
      <c r="B31" s="372"/>
      <c r="C31" s="373"/>
      <c r="D31" s="374" t="s">
        <v>1071</v>
      </c>
      <c r="E31" s="377">
        <v>1.19</v>
      </c>
      <c r="F31" s="376"/>
      <c r="G31" s="377">
        <v>52</v>
      </c>
      <c r="H31" s="377">
        <v>7</v>
      </c>
      <c r="I31" s="378">
        <f t="shared" si="38"/>
      </c>
      <c r="J31" s="379">
        <f t="shared" si="77"/>
      </c>
      <c r="K31" s="377">
        <v>0</v>
      </c>
      <c r="L31" s="379">
        <f t="shared" si="0"/>
      </c>
      <c r="M31" s="377">
        <v>0</v>
      </c>
      <c r="N31" s="380">
        <f t="shared" si="19"/>
      </c>
      <c r="O31" s="377">
        <v>0</v>
      </c>
      <c r="P31" s="380">
        <f t="shared" si="57"/>
      </c>
      <c r="Q31" s="381"/>
      <c r="R31" s="377"/>
      <c r="S31" s="381"/>
      <c r="T31" s="377"/>
      <c r="U31" s="382"/>
      <c r="V31" s="383"/>
      <c r="W31" s="377"/>
      <c r="X31" s="383"/>
      <c r="Y31" s="381"/>
      <c r="Z31" s="383"/>
      <c r="AA31" s="383"/>
      <c r="AB31" s="377"/>
      <c r="AC31" s="377"/>
      <c r="AD31" s="381"/>
      <c r="AE31" s="383"/>
      <c r="AF31" s="383"/>
    </row>
    <row customHeight="true" ht="20.238095238095237" r="32">
      <c r="A32" s="371"/>
      <c r="B32" s="372"/>
      <c r="C32" s="373"/>
      <c r="D32" s="374"/>
      <c r="E32" s="377">
        <f>SUM(E2:E31)</f>
      </c>
      <c r="F32" s="377">
        <f>SUM(F2:F31)</f>
      </c>
      <c r="G32" s="377"/>
      <c r="H32" s="377"/>
      <c r="I32" s="378"/>
      <c r="J32" s="379"/>
      <c r="K32" s="377"/>
      <c r="L32" s="379"/>
      <c r="M32" s="377"/>
      <c r="N32" s="380"/>
      <c r="O32" s="377"/>
      <c r="P32" s="380"/>
      <c r="Q32" s="381"/>
      <c r="R32" s="377"/>
      <c r="S32" s="381"/>
      <c r="T32" s="377">
        <f>SUM(T2:T31)</f>
      </c>
      <c r="U32" s="382"/>
      <c r="V32" s="383"/>
      <c r="W32" s="377">
        <f>SUM(W2:W31)</f>
      </c>
      <c r="X32" s="383"/>
      <c r="Y32" s="381"/>
      <c r="Z32" s="383"/>
      <c r="AA32" s="383"/>
      <c r="AB32" s="377"/>
      <c r="AC32" s="377"/>
      <c r="AD32" s="381"/>
      <c r="AE32" s="383"/>
      <c r="AF32" s="383"/>
    </row>
    <row r="33">
      <c r="A33" s="371" t="s">
        <v>1083</v>
      </c>
      <c r="B33" s="372" t="s">
        <v>1065</v>
      </c>
      <c r="C33" s="373" t="s">
        <v>1076</v>
      </c>
      <c r="D33" s="374" t="s">
        <v>1067</v>
      </c>
      <c r="E33" s="375">
        <v>1421.71</v>
      </c>
      <c r="F33" s="376">
        <f>E33+E34+E35</f>
      </c>
      <c r="G33" s="377">
        <v>11442</v>
      </c>
      <c r="H33" s="377">
        <v>239</v>
      </c>
      <c r="I33" s="378">
        <f t="shared" ref="I33:I62" si="39">H33/G33</f>
      </c>
      <c r="J33" s="379">
        <f t="shared" ref="J33:J62" si="78">(E33/G33)*1000</f>
      </c>
      <c r="K33" s="377">
        <v>24</v>
      </c>
      <c r="L33" s="379">
        <f t="shared" ref="L33:L62" si="1">E33/K33</f>
      </c>
      <c r="M33" s="377">
        <v>0</v>
      </c>
      <c r="N33" s="380">
        <f t="shared" ref="N33:N62" si="20">E33/M33</f>
      </c>
      <c r="O33" s="377">
        <v>3</v>
      </c>
      <c r="P33" s="380">
        <f t="shared" ref="P33:P62" si="58">E33/O33</f>
      </c>
      <c r="Q33" s="381">
        <f>(M33+M35+M34)/(O33+O35+O34)</f>
      </c>
      <c r="R33" s="377">
        <v>6</v>
      </c>
      <c r="S33" s="381">
        <f>(O33+O35)/(K33+K35)</f>
      </c>
      <c r="T33" s="377">
        <v>0</v>
      </c>
      <c r="U33" s="382">
        <f>F33/T33</f>
      </c>
      <c r="V33" s="383">
        <f>(F33+4*500)/T33</f>
      </c>
      <c r="W33" s="377">
        <v>0</v>
      </c>
      <c r="X33" s="383">
        <f>W33/T33</f>
      </c>
      <c r="Y33" s="381">
        <f>T33/R33</f>
      </c>
      <c r="Z33" s="383">
        <f>W33/F33</f>
      </c>
      <c r="AA33" s="383">
        <f>W33/(F33+500)</f>
      </c>
      <c r="AB33" s="377">
        <v>0</v>
      </c>
      <c r="AC33" s="377">
        <v>0</v>
      </c>
      <c r="AD33" s="381">
        <f>AB33/T33</f>
      </c>
      <c r="AE33" s="383">
        <f>(W33-AC33)/(F33+500)</f>
      </c>
      <c r="AF33" s="383" t="s">
        <v>1068</v>
      </c>
    </row>
    <row r="34">
      <c r="A34" s="371"/>
      <c r="B34" s="372"/>
      <c r="C34" s="373"/>
      <c r="D34" s="374" t="s">
        <v>1069</v>
      </c>
      <c r="E34" s="384">
        <v>145.3</v>
      </c>
      <c r="F34" s="376"/>
      <c r="G34" s="377">
        <v>1140</v>
      </c>
      <c r="H34" s="377">
        <v>84</v>
      </c>
      <c r="I34" s="378">
        <f t="shared" si="39"/>
      </c>
      <c r="J34" s="379">
        <f t="shared" si="78"/>
      </c>
      <c r="K34" s="377">
        <v>6</v>
      </c>
      <c r="L34" s="379">
        <f t="shared" si="1"/>
      </c>
      <c r="M34" s="377">
        <v>0</v>
      </c>
      <c r="N34" s="380">
        <f t="shared" si="20"/>
      </c>
      <c r="O34" s="377">
        <v>0</v>
      </c>
      <c r="P34" s="380">
        <f t="shared" si="58"/>
      </c>
      <c r="Q34" s="381"/>
      <c r="R34" s="377"/>
      <c r="S34" s="381"/>
      <c r="T34" s="377"/>
      <c r="U34" s="382"/>
      <c r="V34" s="383"/>
      <c r="W34" s="377"/>
      <c r="X34" s="383"/>
      <c r="Y34" s="381"/>
      <c r="Z34" s="383"/>
      <c r="AA34" s="383"/>
      <c r="AB34" s="377"/>
      <c r="AC34" s="377"/>
      <c r="AD34" s="381"/>
      <c r="AE34" s="383"/>
      <c r="AF34" s="383" t="s">
        <v>1070</v>
      </c>
    </row>
    <row r="35">
      <c r="A35" s="371"/>
      <c r="B35" s="372"/>
      <c r="C35" s="373"/>
      <c r="D35" s="374" t="s">
        <v>1071</v>
      </c>
      <c r="E35" s="377">
        <v>34.26</v>
      </c>
      <c r="F35" s="376"/>
      <c r="G35" s="377">
        <v>70</v>
      </c>
      <c r="H35" s="377">
        <v>19</v>
      </c>
      <c r="I35" s="378">
        <f t="shared" si="39"/>
      </c>
      <c r="J35" s="379">
        <f t="shared" si="78"/>
      </c>
      <c r="K35" s="377">
        <v>0</v>
      </c>
      <c r="L35" s="379">
        <f t="shared" si="1"/>
      </c>
      <c r="M35" s="377">
        <v>0</v>
      </c>
      <c r="N35" s="380">
        <f t="shared" si="20"/>
      </c>
      <c r="O35" s="377">
        <v>0</v>
      </c>
      <c r="P35" s="380">
        <f t="shared" si="58"/>
      </c>
      <c r="Q35" s="381"/>
      <c r="R35" s="377"/>
      <c r="S35" s="381"/>
      <c r="T35" s="377"/>
      <c r="U35" s="382"/>
      <c r="V35" s="383"/>
      <c r="W35" s="377"/>
      <c r="X35" s="383"/>
      <c r="Y35" s="381"/>
      <c r="Z35" s="383"/>
      <c r="AA35" s="383"/>
      <c r="AB35" s="377"/>
      <c r="AC35" s="377"/>
      <c r="AD35" s="381"/>
      <c r="AE35" s="383"/>
      <c r="AF35" s="383"/>
    </row>
    <row r="36">
      <c r="A36" s="371"/>
      <c r="B36" s="372" t="s">
        <v>1072</v>
      </c>
      <c r="C36" s="373" t="s">
        <v>1076</v>
      </c>
      <c r="D36" s="374" t="s">
        <v>1067</v>
      </c>
      <c r="E36" s="375">
        <v>2675.58</v>
      </c>
      <c r="F36" s="376">
        <f>E36+E37+E38</f>
      </c>
      <c r="G36" s="377">
        <v>24852</v>
      </c>
      <c r="H36" s="377">
        <v>320</v>
      </c>
      <c r="I36" s="378">
        <f t="shared" si="39"/>
      </c>
      <c r="J36" s="379">
        <f t="shared" si="78"/>
      </c>
      <c r="K36" s="377">
        <v>49</v>
      </c>
      <c r="L36" s="379">
        <f t="shared" si="1"/>
      </c>
      <c r="M36" s="377">
        <v>3</v>
      </c>
      <c r="N36" s="380">
        <f t="shared" si="20"/>
      </c>
      <c r="O36" s="377">
        <v>5</v>
      </c>
      <c r="P36" s="380">
        <f t="shared" si="58"/>
      </c>
      <c r="Q36" s="381">
        <f>(M36+M38+M37)/(O36+O38+O37)</f>
      </c>
      <c r="R36" s="377">
        <v>10</v>
      </c>
      <c r="S36" s="381">
        <f>(O36+O38)/(K36+K38)</f>
      </c>
      <c r="T36" s="377">
        <v>3</v>
      </c>
      <c r="U36" s="382">
        <f>F36/T36</f>
      </c>
      <c r="V36" s="383">
        <f>(F36+4*500)/T36</f>
      </c>
      <c r="W36" s="377">
        <v>4046.4</v>
      </c>
      <c r="X36" s="383">
        <f>W36/T36</f>
      </c>
      <c r="Y36" s="381">
        <f>T36/R36</f>
      </c>
      <c r="Z36" s="383">
        <f>W36/F36</f>
      </c>
      <c r="AA36" s="383">
        <f>W36/(F36+500)</f>
      </c>
      <c r="AB36" s="377">
        <v>1</v>
      </c>
      <c r="AC36" s="377">
        <v>1404</v>
      </c>
      <c r="AD36" s="381">
        <f>AB36/T36</f>
      </c>
      <c r="AE36" s="383">
        <f>(W36-AC36)/(F36+500)</f>
      </c>
      <c r="AF36" s="383" t="s">
        <v>1068</v>
      </c>
    </row>
    <row r="37">
      <c r="A37" s="371"/>
      <c r="B37" s="372"/>
      <c r="C37" s="373"/>
      <c r="D37" s="374" t="s">
        <v>1069</v>
      </c>
      <c r="E37" s="384">
        <v>369.28</v>
      </c>
      <c r="F37" s="376"/>
      <c r="G37" s="377">
        <v>1183</v>
      </c>
      <c r="H37" s="377">
        <v>78</v>
      </c>
      <c r="I37" s="378">
        <f t="shared" si="39"/>
      </c>
      <c r="J37" s="379">
        <f t="shared" si="78"/>
      </c>
      <c r="K37" s="377">
        <v>2</v>
      </c>
      <c r="L37" s="379">
        <f t="shared" si="1"/>
      </c>
      <c r="M37" s="377">
        <v>0</v>
      </c>
      <c r="N37" s="380">
        <f t="shared" si="20"/>
      </c>
      <c r="O37" s="377">
        <v>0</v>
      </c>
      <c r="P37" s="380">
        <f t="shared" si="58"/>
      </c>
      <c r="Q37" s="381"/>
      <c r="R37" s="377"/>
      <c r="S37" s="381"/>
      <c r="T37" s="377"/>
      <c r="U37" s="382"/>
      <c r="V37" s="383"/>
      <c r="W37" s="377"/>
      <c r="X37" s="383"/>
      <c r="Y37" s="381"/>
      <c r="Z37" s="383"/>
      <c r="AA37" s="383"/>
      <c r="AB37" s="377"/>
      <c r="AC37" s="377"/>
      <c r="AD37" s="381"/>
      <c r="AE37" s="383"/>
      <c r="AF37" s="383" t="s">
        <v>1070</v>
      </c>
    </row>
    <row r="38">
      <c r="A38" s="371"/>
      <c r="B38" s="372"/>
      <c r="C38" s="373"/>
      <c r="D38" s="374" t="s">
        <v>1071</v>
      </c>
      <c r="E38" s="377">
        <v>8.89</v>
      </c>
      <c r="F38" s="376"/>
      <c r="G38" s="377">
        <v>233</v>
      </c>
      <c r="H38" s="377">
        <v>30</v>
      </c>
      <c r="I38" s="378">
        <f t="shared" si="39"/>
      </c>
      <c r="J38" s="379">
        <f t="shared" si="78"/>
      </c>
      <c r="K38" s="377">
        <v>0</v>
      </c>
      <c r="L38" s="379">
        <f t="shared" si="1"/>
      </c>
      <c r="M38" s="377">
        <v>0</v>
      </c>
      <c r="N38" s="380">
        <f t="shared" si="20"/>
      </c>
      <c r="O38" s="377">
        <v>0</v>
      </c>
      <c r="P38" s="380">
        <f t="shared" si="58"/>
      </c>
      <c r="Q38" s="381"/>
      <c r="R38" s="377"/>
      <c r="S38" s="381"/>
      <c r="T38" s="377"/>
      <c r="U38" s="382"/>
      <c r="V38" s="383"/>
      <c r="W38" s="377"/>
      <c r="X38" s="383"/>
      <c r="Y38" s="381"/>
      <c r="Z38" s="383"/>
      <c r="AA38" s="383"/>
      <c r="AB38" s="377"/>
      <c r="AC38" s="377"/>
      <c r="AD38" s="381"/>
      <c r="AE38" s="383"/>
      <c r="AF38" s="383"/>
    </row>
    <row r="39">
      <c r="A39" s="371"/>
      <c r="B39" s="372" t="s">
        <v>1073</v>
      </c>
      <c r="C39" s="373" t="s">
        <v>1076</v>
      </c>
      <c r="D39" s="374" t="s">
        <v>1067</v>
      </c>
      <c r="E39" s="375">
        <v>4263.72</v>
      </c>
      <c r="F39" s="376">
        <f>E39+E40+E41</f>
      </c>
      <c r="G39" s="377">
        <v>37480</v>
      </c>
      <c r="H39" s="377">
        <v>394</v>
      </c>
      <c r="I39" s="378">
        <f t="shared" si="39"/>
      </c>
      <c r="J39" s="379">
        <f t="shared" si="78"/>
      </c>
      <c r="K39" s="377">
        <v>57</v>
      </c>
      <c r="L39" s="379">
        <f t="shared" si="1"/>
      </c>
      <c r="M39" s="377">
        <v>4</v>
      </c>
      <c r="N39" s="380">
        <f t="shared" si="20"/>
      </c>
      <c r="O39" s="377">
        <v>10</v>
      </c>
      <c r="P39" s="380">
        <f t="shared" si="58"/>
      </c>
      <c r="Q39" s="381">
        <f>(M39+M41+M40)/(O39+O41+O40)</f>
      </c>
      <c r="R39" s="377">
        <v>16</v>
      </c>
      <c r="S39" s="381">
        <f>(O39+O41)/(K39+K41)</f>
      </c>
      <c r="T39" s="377">
        <v>5</v>
      </c>
      <c r="U39" s="382">
        <f>F39/T39</f>
      </c>
      <c r="V39" s="383">
        <f>(F39+4*500)/T39</f>
      </c>
      <c r="W39" s="377">
        <v>5915.4</v>
      </c>
      <c r="X39" s="383">
        <f>W39/T39</f>
      </c>
      <c r="Y39" s="381">
        <f>T39/R39</f>
      </c>
      <c r="Z39" s="383">
        <f>W39/F39</f>
      </c>
      <c r="AA39" s="383">
        <f>W39/(F39+500)</f>
      </c>
      <c r="AB39" s="377">
        <v>2</v>
      </c>
      <c r="AC39" s="377">
        <v>1267</v>
      </c>
      <c r="AD39" s="381">
        <f>AB39/T39</f>
      </c>
      <c r="AE39" s="383">
        <f>(W39-AC39)/(F39+500)</f>
      </c>
      <c r="AF39" s="383" t="s">
        <v>1068</v>
      </c>
    </row>
    <row r="40">
      <c r="A40" s="371"/>
      <c r="B40" s="372"/>
      <c r="C40" s="373"/>
      <c r="D40" s="374" t="s">
        <v>1069</v>
      </c>
      <c r="E40" s="384">
        <v>148.14</v>
      </c>
      <c r="F40" s="376"/>
      <c r="G40" s="377">
        <v>982</v>
      </c>
      <c r="H40" s="377">
        <v>53</v>
      </c>
      <c r="I40" s="378">
        <f t="shared" si="39"/>
      </c>
      <c r="J40" s="379">
        <f t="shared" si="78"/>
      </c>
      <c r="K40" s="377">
        <v>1</v>
      </c>
      <c r="L40" s="379">
        <f t="shared" si="1"/>
      </c>
      <c r="M40" s="377">
        <v>0</v>
      </c>
      <c r="N40" s="380">
        <f t="shared" si="20"/>
      </c>
      <c r="O40" s="377">
        <v>0</v>
      </c>
      <c r="P40" s="380">
        <f t="shared" si="58"/>
      </c>
      <c r="Q40" s="381"/>
      <c r="R40" s="377"/>
      <c r="S40" s="381"/>
      <c r="T40" s="377"/>
      <c r="U40" s="382"/>
      <c r="V40" s="383"/>
      <c r="W40" s="377"/>
      <c r="X40" s="383"/>
      <c r="Y40" s="381"/>
      <c r="Z40" s="383"/>
      <c r="AA40" s="383"/>
      <c r="AB40" s="377"/>
      <c r="AC40" s="377"/>
      <c r="AD40" s="381"/>
      <c r="AE40" s="383"/>
      <c r="AF40" s="383" t="s">
        <v>1070</v>
      </c>
    </row>
    <row r="41">
      <c r="A41" s="371"/>
      <c r="B41" s="372"/>
      <c r="C41" s="373"/>
      <c r="D41" s="374" t="s">
        <v>1071</v>
      </c>
      <c r="E41" s="377">
        <v>5.08</v>
      </c>
      <c r="F41" s="376"/>
      <c r="G41" s="377">
        <v>243</v>
      </c>
      <c r="H41" s="377">
        <v>13</v>
      </c>
      <c r="I41" s="378">
        <f t="shared" si="39"/>
      </c>
      <c r="J41" s="379">
        <f t="shared" si="78"/>
      </c>
      <c r="K41" s="377">
        <v>1</v>
      </c>
      <c r="L41" s="379">
        <f t="shared" si="1"/>
      </c>
      <c r="M41" s="377">
        <v>0</v>
      </c>
      <c r="N41" s="380">
        <f t="shared" si="20"/>
      </c>
      <c r="O41" s="377">
        <v>0</v>
      </c>
      <c r="P41" s="380">
        <f t="shared" si="58"/>
      </c>
      <c r="Q41" s="381"/>
      <c r="R41" s="377"/>
      <c r="S41" s="381"/>
      <c r="T41" s="377"/>
      <c r="U41" s="382"/>
      <c r="V41" s="383"/>
      <c r="W41" s="377"/>
      <c r="X41" s="383"/>
      <c r="Y41" s="381"/>
      <c r="Z41" s="383"/>
      <c r="AA41" s="383"/>
      <c r="AB41" s="377"/>
      <c r="AC41" s="377"/>
      <c r="AD41" s="381"/>
      <c r="AE41" s="383"/>
      <c r="AF41" s="383"/>
    </row>
    <row r="42">
      <c r="A42" s="371"/>
      <c r="B42" s="372" t="s">
        <v>1074</v>
      </c>
      <c r="C42" s="373" t="s">
        <v>1076</v>
      </c>
      <c r="D42" s="374" t="s">
        <v>1067</v>
      </c>
      <c r="E42" s="375">
        <v>1554.62</v>
      </c>
      <c r="F42" s="376">
        <f>E42+E43+E44</f>
      </c>
      <c r="G42" s="377">
        <v>15129</v>
      </c>
      <c r="H42" s="377">
        <v>181</v>
      </c>
      <c r="I42" s="378">
        <f t="shared" si="39"/>
      </c>
      <c r="J42" s="379">
        <f t="shared" si="78"/>
      </c>
      <c r="K42" s="377">
        <v>20</v>
      </c>
      <c r="L42" s="379">
        <f t="shared" si="1"/>
      </c>
      <c r="M42" s="377">
        <v>1</v>
      </c>
      <c r="N42" s="380">
        <f t="shared" si="20"/>
      </c>
      <c r="O42" s="377">
        <v>3</v>
      </c>
      <c r="P42" s="380">
        <f t="shared" si="58"/>
      </c>
      <c r="Q42" s="381">
        <f>(M42+M44+M43)/(O42+O44+O43)</f>
      </c>
      <c r="R42" s="377">
        <v>5</v>
      </c>
      <c r="S42" s="381">
        <f>(O42+O44)/(K42+K44)</f>
      </c>
      <c r="T42" s="377">
        <v>4</v>
      </c>
      <c r="U42" s="382">
        <f>F42/T42</f>
      </c>
      <c r="V42" s="383">
        <f>(F42+4*500)/T42</f>
      </c>
      <c r="W42" s="377">
        <v>2207</v>
      </c>
      <c r="X42" s="383">
        <f>W42/T42</f>
      </c>
      <c r="Y42" s="381">
        <f>T42/R42</f>
      </c>
      <c r="Z42" s="383">
        <f>W42/F42</f>
      </c>
      <c r="AA42" s="383">
        <f>W42/(F42+500)</f>
      </c>
      <c r="AB42" s="377">
        <v>1</v>
      </c>
      <c r="AC42" s="377">
        <v>449</v>
      </c>
      <c r="AD42" s="381">
        <f>AB42/T42</f>
      </c>
      <c r="AE42" s="383">
        <f>(W42-AC42)/(F42+500)</f>
      </c>
      <c r="AF42" s="383" t="s">
        <v>1068</v>
      </c>
    </row>
    <row r="43">
      <c r="A43" s="371"/>
      <c r="B43" s="372"/>
      <c r="C43" s="373"/>
      <c r="D43" s="374" t="s">
        <v>1069</v>
      </c>
      <c r="E43" s="384">
        <v>636.42</v>
      </c>
      <c r="F43" s="376"/>
      <c r="G43" s="377">
        <v>943</v>
      </c>
      <c r="H43" s="377">
        <v>51</v>
      </c>
      <c r="I43" s="378">
        <f t="shared" si="39"/>
      </c>
      <c r="J43" s="379">
        <f t="shared" si="78"/>
      </c>
      <c r="K43" s="377">
        <v>8</v>
      </c>
      <c r="L43" s="379">
        <f t="shared" si="1"/>
      </c>
      <c r="M43" s="377">
        <v>0</v>
      </c>
      <c r="N43" s="380">
        <f t="shared" si="20"/>
      </c>
      <c r="O43" s="377">
        <v>0</v>
      </c>
      <c r="P43" s="380">
        <f t="shared" si="58"/>
      </c>
      <c r="Q43" s="381"/>
      <c r="R43" s="377"/>
      <c r="S43" s="381"/>
      <c r="T43" s="377"/>
      <c r="U43" s="382"/>
      <c r="V43" s="383"/>
      <c r="W43" s="377"/>
      <c r="X43" s="383"/>
      <c r="Y43" s="381"/>
      <c r="Z43" s="383"/>
      <c r="AA43" s="383"/>
      <c r="AB43" s="377"/>
      <c r="AC43" s="377"/>
      <c r="AD43" s="381"/>
      <c r="AE43" s="383"/>
      <c r="AF43" s="383" t="s">
        <v>1070</v>
      </c>
    </row>
    <row r="44">
      <c r="A44" s="371"/>
      <c r="B44" s="372"/>
      <c r="C44" s="373"/>
      <c r="D44" s="374" t="s">
        <v>1071</v>
      </c>
      <c r="E44" s="377">
        <v>6.8</v>
      </c>
      <c r="F44" s="376"/>
      <c r="G44" s="377">
        <v>111</v>
      </c>
      <c r="H44" s="377">
        <v>4</v>
      </c>
      <c r="I44" s="378">
        <f t="shared" si="39"/>
      </c>
      <c r="J44" s="379">
        <f t="shared" si="78"/>
      </c>
      <c r="K44" s="377">
        <v>0</v>
      </c>
      <c r="L44" s="379">
        <f t="shared" si="1"/>
      </c>
      <c r="M44" s="377">
        <v>0</v>
      </c>
      <c r="N44" s="380">
        <f t="shared" si="20"/>
      </c>
      <c r="O44" s="377">
        <v>0</v>
      </c>
      <c r="P44" s="380">
        <f t="shared" si="58"/>
      </c>
      <c r="Q44" s="381"/>
      <c r="R44" s="377"/>
      <c r="S44" s="381"/>
      <c r="T44" s="377"/>
      <c r="U44" s="382"/>
      <c r="V44" s="383"/>
      <c r="W44" s="377"/>
      <c r="X44" s="383"/>
      <c r="Y44" s="381"/>
      <c r="Z44" s="383"/>
      <c r="AA44" s="383"/>
      <c r="AB44" s="377"/>
      <c r="AC44" s="377"/>
      <c r="AD44" s="381"/>
      <c r="AE44" s="383"/>
      <c r="AF44" s="383"/>
    </row>
    <row r="45">
      <c r="A45" s="371"/>
      <c r="B45" s="372" t="s">
        <v>1075</v>
      </c>
      <c r="C45" s="373" t="s">
        <v>1081</v>
      </c>
      <c r="D45" s="374" t="s">
        <v>1067</v>
      </c>
      <c r="E45" s="375">
        <v>1671.32</v>
      </c>
      <c r="F45" s="376">
        <f>E45+E46+E47</f>
      </c>
      <c r="G45" s="377">
        <v>13160</v>
      </c>
      <c r="H45" s="377">
        <v>165</v>
      </c>
      <c r="I45" s="378">
        <f t="shared" si="39"/>
      </c>
      <c r="J45" s="379">
        <f t="shared" si="78"/>
      </c>
      <c r="K45" s="377">
        <v>16</v>
      </c>
      <c r="L45" s="379">
        <f t="shared" si="1"/>
      </c>
      <c r="M45" s="377">
        <v>2</v>
      </c>
      <c r="N45" s="380">
        <f t="shared" si="20"/>
      </c>
      <c r="O45" s="377">
        <v>4</v>
      </c>
      <c r="P45" s="380">
        <f t="shared" si="58"/>
      </c>
      <c r="Q45" s="381">
        <f>(M45+M47+M46)/(O45+O47+O46)</f>
      </c>
      <c r="R45" s="377">
        <v>8</v>
      </c>
      <c r="S45" s="381">
        <f>(O45+O47)/(K45+K47)</f>
      </c>
      <c r="T45" s="377">
        <v>4</v>
      </c>
      <c r="U45" s="382">
        <f>F45/T45</f>
      </c>
      <c r="V45" s="383">
        <f>(F45+4*500)/T45</f>
      </c>
      <c r="W45" s="377">
        <v>3883.2</v>
      </c>
      <c r="X45" s="383">
        <f>W45/T45</f>
      </c>
      <c r="Y45" s="381">
        <f>T45/R45</f>
      </c>
      <c r="Z45" s="383">
        <f>W45/F45</f>
      </c>
      <c r="AA45" s="383">
        <f>W45/(F45+500)</f>
      </c>
      <c r="AB45" s="377">
        <v>3</v>
      </c>
      <c r="AC45" s="377">
        <v>3213.5999999999985</v>
      </c>
      <c r="AD45" s="381">
        <f>AB45/T45</f>
      </c>
      <c r="AE45" s="383">
        <f>(W45-AC45)/(F45+500)</f>
      </c>
      <c r="AF45" s="383" t="s">
        <v>1068</v>
      </c>
    </row>
    <row r="46">
      <c r="A46" s="371"/>
      <c r="B46" s="372"/>
      <c r="C46" s="373"/>
      <c r="D46" s="374" t="s">
        <v>1069</v>
      </c>
      <c r="E46" s="384">
        <v>870.44</v>
      </c>
      <c r="F46" s="376"/>
      <c r="G46" s="377">
        <v>884</v>
      </c>
      <c r="H46" s="377">
        <v>69</v>
      </c>
      <c r="I46" s="378">
        <f t="shared" si="39"/>
      </c>
      <c r="J46" s="379">
        <f t="shared" si="78"/>
      </c>
      <c r="K46" s="377">
        <v>5</v>
      </c>
      <c r="L46" s="379">
        <f t="shared" si="1"/>
      </c>
      <c r="M46" s="377">
        <v>1</v>
      </c>
      <c r="N46" s="380">
        <f t="shared" si="20"/>
      </c>
      <c r="O46" s="377">
        <v>1</v>
      </c>
      <c r="P46" s="380">
        <f t="shared" si="58"/>
      </c>
      <c r="Q46" s="381"/>
      <c r="R46" s="377"/>
      <c r="S46" s="381"/>
      <c r="T46" s="377"/>
      <c r="U46" s="382"/>
      <c r="V46" s="383"/>
      <c r="W46" s="377"/>
      <c r="X46" s="383"/>
      <c r="Y46" s="381"/>
      <c r="Z46" s="383"/>
      <c r="AA46" s="383"/>
      <c r="AB46" s="377"/>
      <c r="AC46" s="377"/>
      <c r="AD46" s="381"/>
      <c r="AE46" s="383"/>
      <c r="AF46" s="383" t="s">
        <v>1070</v>
      </c>
    </row>
    <row r="47">
      <c r="A47" s="371"/>
      <c r="B47" s="372"/>
      <c r="C47" s="373"/>
      <c r="D47" s="374" t="s">
        <v>1071</v>
      </c>
      <c r="E47" s="377">
        <v>7.09</v>
      </c>
      <c r="F47" s="376"/>
      <c r="G47" s="377">
        <v>94</v>
      </c>
      <c r="H47" s="377">
        <v>12</v>
      </c>
      <c r="I47" s="378">
        <f t="shared" si="39"/>
      </c>
      <c r="J47" s="379">
        <f t="shared" si="78"/>
      </c>
      <c r="K47" s="377">
        <v>0</v>
      </c>
      <c r="L47" s="379">
        <f t="shared" si="1"/>
      </c>
      <c r="M47" s="377">
        <v>0</v>
      </c>
      <c r="N47" s="380">
        <f t="shared" si="20"/>
      </c>
      <c r="O47" s="377">
        <v>0</v>
      </c>
      <c r="P47" s="380">
        <f t="shared" si="58"/>
      </c>
      <c r="Q47" s="381"/>
      <c r="R47" s="377"/>
      <c r="S47" s="381"/>
      <c r="T47" s="377"/>
      <c r="U47" s="382"/>
      <c r="V47" s="383"/>
      <c r="W47" s="377"/>
      <c r="X47" s="383"/>
      <c r="Y47" s="381"/>
      <c r="Z47" s="383"/>
      <c r="AA47" s="383"/>
      <c r="AB47" s="377"/>
      <c r="AC47" s="377"/>
      <c r="AD47" s="381"/>
      <c r="AE47" s="383"/>
      <c r="AF47" s="383"/>
    </row>
    <row r="48">
      <c r="A48" s="371"/>
      <c r="B48" s="372" t="s">
        <v>1077</v>
      </c>
      <c r="C48" s="373" t="s">
        <v>1081</v>
      </c>
      <c r="D48" s="374" t="s">
        <v>1067</v>
      </c>
      <c r="E48" s="375">
        <v>2868.64</v>
      </c>
      <c r="F48" s="376">
        <f>E48+E49+E50</f>
      </c>
      <c r="G48" s="377">
        <v>24653</v>
      </c>
      <c r="H48" s="377">
        <v>245</v>
      </c>
      <c r="I48" s="378">
        <f t="shared" si="39"/>
      </c>
      <c r="J48" s="379">
        <f t="shared" si="78"/>
      </c>
      <c r="K48" s="377">
        <v>33</v>
      </c>
      <c r="L48" s="379">
        <f t="shared" si="1"/>
      </c>
      <c r="M48" s="377">
        <v>2</v>
      </c>
      <c r="N48" s="380">
        <f t="shared" si="20"/>
      </c>
      <c r="O48" s="377">
        <v>3</v>
      </c>
      <c r="P48" s="380">
        <f t="shared" si="58"/>
      </c>
      <c r="Q48" s="381">
        <f>(M48+M50+M49)/(O48+O50+O49)</f>
      </c>
      <c r="R48" s="377">
        <v>9</v>
      </c>
      <c r="S48" s="381">
        <f>(O48+O50)/(K48+K50)</f>
      </c>
      <c r="T48" s="377">
        <v>4</v>
      </c>
      <c r="U48" s="382">
        <f>F48/T48</f>
      </c>
      <c r="V48" s="383">
        <f>(F48+4*500)/T48</f>
      </c>
      <c r="W48" s="377">
        <v>3051.6</v>
      </c>
      <c r="X48" s="383">
        <f>W48/T48</f>
      </c>
      <c r="Y48" s="381">
        <f>T48/R48</f>
      </c>
      <c r="Z48" s="383">
        <f>W48/F48</f>
      </c>
      <c r="AA48" s="383">
        <f>W48/(F48+500)</f>
      </c>
      <c r="AB48" s="377">
        <v>0</v>
      </c>
      <c r="AC48" s="377">
        <v>0</v>
      </c>
      <c r="AD48" s="381">
        <f>AB48/T48</f>
      </c>
      <c r="AE48" s="383">
        <f>(W48-AC48)/(F48+500)</f>
      </c>
      <c r="AF48" s="383" t="s">
        <v>1068</v>
      </c>
    </row>
    <row r="49">
      <c r="A49" s="371"/>
      <c r="B49" s="372"/>
      <c r="C49" s="373"/>
      <c r="D49" s="374" t="s">
        <v>1069</v>
      </c>
      <c r="E49" s="384">
        <v>471.34</v>
      </c>
      <c r="F49" s="376"/>
      <c r="G49" s="377">
        <v>721</v>
      </c>
      <c r="H49" s="377">
        <v>52</v>
      </c>
      <c r="I49" s="378">
        <f t="shared" si="39"/>
      </c>
      <c r="J49" s="379">
        <f t="shared" si="78"/>
      </c>
      <c r="K49" s="377">
        <v>4</v>
      </c>
      <c r="L49" s="379">
        <f t="shared" si="1"/>
      </c>
      <c r="M49" s="377">
        <v>0</v>
      </c>
      <c r="N49" s="380">
        <f t="shared" si="20"/>
      </c>
      <c r="O49" s="377">
        <v>0</v>
      </c>
      <c r="P49" s="380">
        <f t="shared" si="58"/>
      </c>
      <c r="Q49" s="381"/>
      <c r="R49" s="377"/>
      <c r="S49" s="381"/>
      <c r="T49" s="377"/>
      <c r="U49" s="382"/>
      <c r="V49" s="383"/>
      <c r="W49" s="377"/>
      <c r="X49" s="383"/>
      <c r="Y49" s="381"/>
      <c r="Z49" s="383"/>
      <c r="AA49" s="383"/>
      <c r="AB49" s="377"/>
      <c r="AC49" s="377"/>
      <c r="AD49" s="381"/>
      <c r="AE49" s="383"/>
      <c r="AF49" s="383" t="s">
        <v>1070</v>
      </c>
    </row>
    <row r="50">
      <c r="A50" s="371"/>
      <c r="B50" s="372"/>
      <c r="C50" s="373"/>
      <c r="D50" s="374" t="s">
        <v>1071</v>
      </c>
      <c r="E50" s="377">
        <v>2.73</v>
      </c>
      <c r="F50" s="376"/>
      <c r="G50" s="377">
        <v>105</v>
      </c>
      <c r="H50" s="377">
        <v>7</v>
      </c>
      <c r="I50" s="378">
        <f t="shared" si="39"/>
      </c>
      <c r="J50" s="379">
        <f t="shared" si="78"/>
      </c>
      <c r="K50" s="377">
        <v>0</v>
      </c>
      <c r="L50" s="379">
        <f t="shared" si="1"/>
      </c>
      <c r="M50" s="377">
        <v>0</v>
      </c>
      <c r="N50" s="380">
        <f t="shared" si="20"/>
      </c>
      <c r="O50" s="377">
        <v>0</v>
      </c>
      <c r="P50" s="380">
        <f t="shared" si="58"/>
      </c>
      <c r="Q50" s="381"/>
      <c r="R50" s="377"/>
      <c r="S50" s="381"/>
      <c r="T50" s="377"/>
      <c r="U50" s="382"/>
      <c r="V50" s="383"/>
      <c r="W50" s="377"/>
      <c r="X50" s="383"/>
      <c r="Y50" s="381"/>
      <c r="Z50" s="383"/>
      <c r="AA50" s="383"/>
      <c r="AB50" s="377"/>
      <c r="AC50" s="377"/>
      <c r="AD50" s="381"/>
      <c r="AE50" s="383"/>
      <c r="AF50" s="383"/>
    </row>
    <row r="51">
      <c r="A51" s="371"/>
      <c r="B51" s="385" t="s">
        <v>1078</v>
      </c>
      <c r="C51" s="373" t="s">
        <v>1081</v>
      </c>
      <c r="D51" s="374" t="s">
        <v>1067</v>
      </c>
      <c r="E51" s="375">
        <v>3052.6</v>
      </c>
      <c r="F51" s="376">
        <f>E51+E52+E53</f>
      </c>
      <c r="G51" s="377">
        <v>28599</v>
      </c>
      <c r="H51" s="377">
        <v>241</v>
      </c>
      <c r="I51" s="378">
        <f t="shared" si="39"/>
      </c>
      <c r="J51" s="379">
        <f t="shared" si="78"/>
      </c>
      <c r="K51" s="377">
        <v>40</v>
      </c>
      <c r="L51" s="379">
        <f t="shared" si="1"/>
      </c>
      <c r="M51" s="377">
        <v>2</v>
      </c>
      <c r="N51" s="380">
        <f t="shared" si="20"/>
      </c>
      <c r="O51" s="377">
        <v>5</v>
      </c>
      <c r="P51" s="380">
        <f t="shared" si="58"/>
      </c>
      <c r="Q51" s="381">
        <f>(M51+M53+M52)/(O51+O53+O52)</f>
      </c>
      <c r="R51" s="377">
        <v>7</v>
      </c>
      <c r="S51" s="381">
        <f>(O51+O53)/(K51+K53)</f>
      </c>
      <c r="T51" s="377">
        <v>4</v>
      </c>
      <c r="U51" s="382">
        <f>F51/T51</f>
      </c>
      <c r="V51" s="383">
        <f>(F51+4*500)/T51</f>
      </c>
      <c r="W51" s="377">
        <v>7173.4</v>
      </c>
      <c r="X51" s="383">
        <f>W51/T51</f>
      </c>
      <c r="Y51" s="381">
        <f>T51/R51</f>
      </c>
      <c r="Z51" s="383">
        <f>W51/F51</f>
      </c>
      <c r="AA51" s="383">
        <f>W51/(F51+500)</f>
      </c>
      <c r="AB51" s="377">
        <v>0</v>
      </c>
      <c r="AC51" s="377">
        <v>0</v>
      </c>
      <c r="AD51" s="381">
        <f>AB51/T51</f>
      </c>
      <c r="AE51" s="383">
        <f>(W51-AC51)/(F51+500)</f>
      </c>
      <c r="AF51" s="383" t="s">
        <v>1068</v>
      </c>
    </row>
    <row r="52">
      <c r="A52" s="371"/>
      <c r="B52" s="385"/>
      <c r="C52" s="373"/>
      <c r="D52" s="374" t="s">
        <v>1069</v>
      </c>
      <c r="E52" s="384">
        <v>337.3</v>
      </c>
      <c r="F52" s="376"/>
      <c r="G52" s="377">
        <v>571</v>
      </c>
      <c r="H52" s="377">
        <v>38</v>
      </c>
      <c r="I52" s="378">
        <f t="shared" si="39"/>
      </c>
      <c r="J52" s="379">
        <f t="shared" si="78"/>
      </c>
      <c r="K52" s="377">
        <v>3</v>
      </c>
      <c r="L52" s="379">
        <f t="shared" si="1"/>
      </c>
      <c r="M52" s="377">
        <v>0</v>
      </c>
      <c r="N52" s="380">
        <f t="shared" si="20"/>
      </c>
      <c r="O52" s="377">
        <v>0</v>
      </c>
      <c r="P52" s="380">
        <f t="shared" si="58"/>
      </c>
      <c r="Q52" s="381"/>
      <c r="R52" s="377"/>
      <c r="S52" s="381"/>
      <c r="T52" s="377"/>
      <c r="U52" s="382"/>
      <c r="V52" s="383"/>
      <c r="W52" s="377"/>
      <c r="X52" s="383"/>
      <c r="Y52" s="381"/>
      <c r="Z52" s="383"/>
      <c r="AA52" s="383"/>
      <c r="AB52" s="377"/>
      <c r="AC52" s="377"/>
      <c r="AD52" s="381"/>
      <c r="AE52" s="383"/>
      <c r="AF52" s="383" t="s">
        <v>1070</v>
      </c>
    </row>
    <row r="53">
      <c r="A53" s="371"/>
      <c r="B53" s="385"/>
      <c r="C53" s="373"/>
      <c r="D53" s="374" t="s">
        <v>1071</v>
      </c>
      <c r="E53" s="377">
        <v>1.68</v>
      </c>
      <c r="F53" s="376"/>
      <c r="G53" s="377">
        <v>77</v>
      </c>
      <c r="H53" s="377">
        <v>8</v>
      </c>
      <c r="I53" s="378">
        <f t="shared" si="39"/>
      </c>
      <c r="J53" s="379">
        <f t="shared" si="78"/>
      </c>
      <c r="K53" s="377">
        <v>1</v>
      </c>
      <c r="L53" s="379">
        <f t="shared" si="1"/>
      </c>
      <c r="M53" s="377">
        <v>0</v>
      </c>
      <c r="N53" s="380">
        <f t="shared" si="20"/>
      </c>
      <c r="O53" s="377">
        <v>0</v>
      </c>
      <c r="P53" s="380">
        <f t="shared" si="58"/>
      </c>
      <c r="Q53" s="381"/>
      <c r="R53" s="377"/>
      <c r="S53" s="381"/>
      <c r="T53" s="377"/>
      <c r="U53" s="382"/>
      <c r="V53" s="383"/>
      <c r="W53" s="377"/>
      <c r="X53" s="383"/>
      <c r="Y53" s="381"/>
      <c r="Z53" s="383"/>
      <c r="AA53" s="383"/>
      <c r="AB53" s="377"/>
      <c r="AC53" s="377"/>
      <c r="AD53" s="381"/>
      <c r="AE53" s="383"/>
      <c r="AF53" s="383"/>
    </row>
    <row r="54">
      <c r="A54" s="371"/>
      <c r="B54" s="372" t="s">
        <v>1079</v>
      </c>
      <c r="C54" s="373" t="s">
        <v>1081</v>
      </c>
      <c r="D54" s="374" t="s">
        <v>1067</v>
      </c>
      <c r="E54" s="375">
        <v>4636.86</v>
      </c>
      <c r="F54" s="376">
        <f>E54+E55+E56</f>
      </c>
      <c r="G54" s="377">
        <v>45718</v>
      </c>
      <c r="H54" s="377">
        <v>386</v>
      </c>
      <c r="I54" s="378">
        <f t="shared" si="39"/>
      </c>
      <c r="J54" s="379">
        <f t="shared" si="78"/>
      </c>
      <c r="K54" s="377">
        <v>58</v>
      </c>
      <c r="L54" s="379">
        <f t="shared" si="1"/>
      </c>
      <c r="M54" s="377">
        <v>6</v>
      </c>
      <c r="N54" s="380">
        <f t="shared" si="20"/>
      </c>
      <c r="O54" s="377">
        <v>11</v>
      </c>
      <c r="P54" s="380">
        <f t="shared" si="58"/>
      </c>
      <c r="Q54" s="381">
        <f>(M54+M56+M55)/(O54+O56+O55)</f>
      </c>
      <c r="R54" s="377">
        <v>26</v>
      </c>
      <c r="S54" s="381">
        <f>(O54+O56)/(K54+K56)</f>
      </c>
      <c r="T54" s="377">
        <v>7</v>
      </c>
      <c r="U54" s="382">
        <f>F54/T54</f>
      </c>
      <c r="V54" s="383">
        <f>(F54+4*500)/T54</f>
      </c>
      <c r="W54" s="377">
        <v>7455.6</v>
      </c>
      <c r="X54" s="383">
        <f>W54/T54</f>
      </c>
      <c r="Y54" s="381">
        <f>T54/R54</f>
      </c>
      <c r="Z54" s="383">
        <f>W54/F54</f>
      </c>
      <c r="AA54" s="383">
        <f>W54/(F54+500)</f>
      </c>
      <c r="AB54" s="377">
        <v>3</v>
      </c>
      <c r="AC54" s="377">
        <v>2275.2000000000007</v>
      </c>
      <c r="AD54" s="381">
        <f>AB54/T54</f>
      </c>
      <c r="AE54" s="383">
        <f>(W54-AC54)/(F54+500)</f>
      </c>
      <c r="AF54" s="383" t="s">
        <v>1068</v>
      </c>
    </row>
    <row r="55">
      <c r="A55" s="371"/>
      <c r="B55" s="372"/>
      <c r="C55" s="373"/>
      <c r="D55" s="374" t="s">
        <v>1069</v>
      </c>
      <c r="E55" s="384">
        <v>289.92</v>
      </c>
      <c r="F55" s="376"/>
      <c r="G55" s="377">
        <v>515</v>
      </c>
      <c r="H55" s="377">
        <v>42</v>
      </c>
      <c r="I55" s="378">
        <f t="shared" si="39"/>
      </c>
      <c r="J55" s="379">
        <f t="shared" si="78"/>
      </c>
      <c r="K55" s="377">
        <v>2</v>
      </c>
      <c r="L55" s="379">
        <f t="shared" si="1"/>
      </c>
      <c r="M55" s="377">
        <v>1</v>
      </c>
      <c r="N55" s="380">
        <f t="shared" si="20"/>
      </c>
      <c r="O55" s="377">
        <v>2</v>
      </c>
      <c r="P55" s="380">
        <f t="shared" si="58"/>
      </c>
      <c r="Q55" s="381"/>
      <c r="R55" s="377"/>
      <c r="S55" s="381"/>
      <c r="T55" s="377"/>
      <c r="U55" s="382"/>
      <c r="V55" s="383"/>
      <c r="W55" s="377"/>
      <c r="X55" s="383"/>
      <c r="Y55" s="381"/>
      <c r="Z55" s="383"/>
      <c r="AA55" s="383"/>
      <c r="AB55" s="377"/>
      <c r="AC55" s="377"/>
      <c r="AD55" s="381"/>
      <c r="AE55" s="383"/>
      <c r="AF55" s="383" t="s">
        <v>1070</v>
      </c>
    </row>
    <row r="56">
      <c r="A56" s="371"/>
      <c r="B56" s="372"/>
      <c r="C56" s="373"/>
      <c r="D56" s="374" t="s">
        <v>1071</v>
      </c>
      <c r="E56" s="377">
        <v>4.92</v>
      </c>
      <c r="F56" s="376"/>
      <c r="G56" s="377">
        <v>56</v>
      </c>
      <c r="H56" s="377">
        <v>5</v>
      </c>
      <c r="I56" s="378">
        <f t="shared" si="39"/>
      </c>
      <c r="J56" s="379">
        <f t="shared" si="78"/>
      </c>
      <c r="K56" s="377">
        <v>0</v>
      </c>
      <c r="L56" s="379">
        <f t="shared" si="1"/>
      </c>
      <c r="M56" s="377">
        <v>0</v>
      </c>
      <c r="N56" s="380">
        <f t="shared" si="20"/>
      </c>
      <c r="O56" s="377">
        <v>0</v>
      </c>
      <c r="P56" s="380">
        <f t="shared" si="58"/>
      </c>
      <c r="Q56" s="381"/>
      <c r="R56" s="377"/>
      <c r="S56" s="381"/>
      <c r="T56" s="377"/>
      <c r="U56" s="382"/>
      <c r="V56" s="383"/>
      <c r="W56" s="377"/>
      <c r="X56" s="383"/>
      <c r="Y56" s="381"/>
      <c r="Z56" s="383"/>
      <c r="AA56" s="383"/>
      <c r="AB56" s="377"/>
      <c r="AC56" s="377"/>
      <c r="AD56" s="381"/>
      <c r="AE56" s="383"/>
      <c r="AF56" s="383"/>
    </row>
    <row r="57">
      <c r="A57" s="371"/>
      <c r="B57" s="372" t="s">
        <v>1080</v>
      </c>
      <c r="C57" s="373" t="s">
        <v>1084</v>
      </c>
      <c r="D57" s="374" t="s">
        <v>1067</v>
      </c>
      <c r="E57" s="375">
        <v>3828.72</v>
      </c>
      <c r="F57" s="376">
        <f>E57+E58+E59</f>
      </c>
      <c r="G57" s="377">
        <v>43364</v>
      </c>
      <c r="H57" s="377">
        <v>342</v>
      </c>
      <c r="I57" s="378">
        <f t="shared" si="39"/>
      </c>
      <c r="J57" s="379">
        <f t="shared" si="78"/>
      </c>
      <c r="K57" s="377">
        <v>44</v>
      </c>
      <c r="L57" s="379">
        <f t="shared" si="1"/>
      </c>
      <c r="M57" s="377">
        <v>2</v>
      </c>
      <c r="N57" s="380">
        <f t="shared" si="20"/>
      </c>
      <c r="O57" s="377">
        <v>6</v>
      </c>
      <c r="P57" s="380">
        <f t="shared" si="58"/>
      </c>
      <c r="Q57" s="381">
        <f>(M57+M59+M58)/(O57+O59+O58)</f>
      </c>
      <c r="R57" s="377">
        <v>8</v>
      </c>
      <c r="S57" s="381">
        <f>(O57+O59)/(K57+K59)</f>
      </c>
      <c r="T57" s="377">
        <v>2</v>
      </c>
      <c r="U57" s="382">
        <f>F57/T57</f>
      </c>
      <c r="V57" s="383">
        <f>(F57+4*500)/T57</f>
      </c>
      <c r="W57" s="377">
        <v>2232</v>
      </c>
      <c r="X57" s="383">
        <f>W57/T57</f>
      </c>
      <c r="Y57" s="381">
        <f>T57/R57</f>
      </c>
      <c r="Z57" s="383">
        <f>W57/F57</f>
      </c>
      <c r="AA57" s="383">
        <f>W57/(F57+500)</f>
      </c>
      <c r="AB57" s="377">
        <v>1</v>
      </c>
      <c r="AC57" s="377">
        <v>480</v>
      </c>
      <c r="AD57" s="381">
        <f>AB57/T57</f>
      </c>
      <c r="AE57" s="383">
        <f>(W57-AC57)/(F57+500)</f>
      </c>
      <c r="AF57" s="383" t="s">
        <v>1068</v>
      </c>
    </row>
    <row r="58">
      <c r="A58" s="371"/>
      <c r="B58" s="372"/>
      <c r="C58" s="373"/>
      <c r="D58" s="374" t="s">
        <v>1069</v>
      </c>
      <c r="E58" s="384">
        <v>176.49</v>
      </c>
      <c r="F58" s="376"/>
      <c r="G58" s="377">
        <v>940</v>
      </c>
      <c r="H58" s="377">
        <v>51</v>
      </c>
      <c r="I58" s="378">
        <f t="shared" si="39"/>
      </c>
      <c r="J58" s="379">
        <f t="shared" si="78"/>
      </c>
      <c r="K58" s="377">
        <v>2</v>
      </c>
      <c r="L58" s="379">
        <f t="shared" si="1"/>
      </c>
      <c r="M58" s="377">
        <v>0</v>
      </c>
      <c r="N58" s="380">
        <f t="shared" si="20"/>
      </c>
      <c r="O58" s="377">
        <v>0</v>
      </c>
      <c r="P58" s="380">
        <f t="shared" si="58"/>
      </c>
      <c r="Q58" s="381"/>
      <c r="R58" s="377"/>
      <c r="S58" s="381"/>
      <c r="T58" s="377"/>
      <c r="U58" s="382"/>
      <c r="V58" s="383"/>
      <c r="W58" s="377"/>
      <c r="X58" s="383"/>
      <c r="Y58" s="381"/>
      <c r="Z58" s="383"/>
      <c r="AA58" s="383"/>
      <c r="AB58" s="377"/>
      <c r="AC58" s="377"/>
      <c r="AD58" s="381"/>
      <c r="AE58" s="383"/>
      <c r="AF58" s="383" t="s">
        <v>1070</v>
      </c>
    </row>
    <row r="59">
      <c r="A59" s="371"/>
      <c r="B59" s="372"/>
      <c r="C59" s="373"/>
      <c r="D59" s="374" t="s">
        <v>1071</v>
      </c>
      <c r="E59" s="377">
        <v>6.97</v>
      </c>
      <c r="F59" s="376"/>
      <c r="G59" s="377">
        <v>41</v>
      </c>
      <c r="H59" s="377">
        <v>4</v>
      </c>
      <c r="I59" s="378">
        <f t="shared" si="39"/>
      </c>
      <c r="J59" s="379">
        <f t="shared" si="78"/>
      </c>
      <c r="K59" s="377">
        <v>0</v>
      </c>
      <c r="L59" s="379">
        <f t="shared" si="1"/>
      </c>
      <c r="M59" s="377">
        <v>0</v>
      </c>
      <c r="N59" s="380">
        <f t="shared" si="20"/>
      </c>
      <c r="O59" s="377">
        <v>0</v>
      </c>
      <c r="P59" s="380">
        <f t="shared" si="58"/>
      </c>
      <c r="Q59" s="381"/>
      <c r="R59" s="377"/>
      <c r="S59" s="381"/>
      <c r="T59" s="377"/>
      <c r="U59" s="382"/>
      <c r="V59" s="383"/>
      <c r="W59" s="377"/>
      <c r="X59" s="383"/>
      <c r="Y59" s="381"/>
      <c r="Z59" s="383"/>
      <c r="AA59" s="383"/>
      <c r="AB59" s="377"/>
      <c r="AC59" s="377"/>
      <c r="AD59" s="381"/>
      <c r="AE59" s="383"/>
      <c r="AF59" s="383"/>
    </row>
    <row r="60">
      <c r="A60" s="371"/>
      <c r="B60" s="372" t="s">
        <v>1082</v>
      </c>
      <c r="C60" s="373" t="s">
        <v>1084</v>
      </c>
      <c r="D60" s="374" t="s">
        <v>1067</v>
      </c>
      <c r="E60" s="375">
        <v>4025.65</v>
      </c>
      <c r="F60" s="376">
        <f>E60+E61+E62</f>
      </c>
      <c r="G60" s="377">
        <v>41359</v>
      </c>
      <c r="H60" s="377">
        <v>409</v>
      </c>
      <c r="I60" s="378">
        <f t="shared" si="39"/>
      </c>
      <c r="J60" s="379">
        <f t="shared" si="78"/>
      </c>
      <c r="K60" s="377">
        <v>36</v>
      </c>
      <c r="L60" s="379">
        <f t="shared" si="1"/>
      </c>
      <c r="M60" s="377">
        <v>2</v>
      </c>
      <c r="N60" s="380">
        <f t="shared" si="20"/>
      </c>
      <c r="O60" s="377">
        <v>3</v>
      </c>
      <c r="P60" s="380">
        <f t="shared" si="58"/>
      </c>
      <c r="Q60" s="381">
        <f>(M60+M62+M61)/(O60+O62+O61)</f>
      </c>
      <c r="R60" s="377">
        <v>7</v>
      </c>
      <c r="S60" s="381">
        <f>(O60+O62)/(K60+K62)</f>
      </c>
      <c r="T60" s="377">
        <v>3</v>
      </c>
      <c r="U60" s="382">
        <f>F60/T60</f>
      </c>
      <c r="V60" s="383">
        <f>(F60+4*500)/T60</f>
      </c>
      <c r="W60" s="377">
        <v>6187.200000000004</v>
      </c>
      <c r="X60" s="383">
        <f>W60/T60</f>
      </c>
      <c r="Y60" s="381">
        <f>T60/R60</f>
      </c>
      <c r="Z60" s="383">
        <f>W60/F60</f>
      </c>
      <c r="AA60" s="383">
        <f>W60/(F60+500)</f>
      </c>
      <c r="AB60" s="377">
        <v>0</v>
      </c>
      <c r="AC60" s="377">
        <v>0</v>
      </c>
      <c r="AD60" s="381">
        <f>AB60/T60</f>
      </c>
      <c r="AE60" s="383">
        <f>(W60-AC60)/(F60+500)</f>
      </c>
      <c r="AF60" s="383" t="s">
        <v>1068</v>
      </c>
    </row>
    <row r="61">
      <c r="A61" s="371"/>
      <c r="B61" s="372"/>
      <c r="C61" s="373"/>
      <c r="D61" s="374" t="s">
        <v>1069</v>
      </c>
      <c r="E61" s="384">
        <v>181.46</v>
      </c>
      <c r="F61" s="376"/>
      <c r="G61" s="377">
        <v>1452</v>
      </c>
      <c r="H61" s="377">
        <v>68</v>
      </c>
      <c r="I61" s="378">
        <f t="shared" si="39"/>
      </c>
      <c r="J61" s="379">
        <f t="shared" si="78"/>
      </c>
      <c r="K61" s="377">
        <v>3</v>
      </c>
      <c r="L61" s="379">
        <f t="shared" si="1"/>
      </c>
      <c r="M61" s="377">
        <v>0</v>
      </c>
      <c r="N61" s="380">
        <f t="shared" si="20"/>
      </c>
      <c r="O61" s="377">
        <v>0</v>
      </c>
      <c r="P61" s="380">
        <f t="shared" si="58"/>
      </c>
      <c r="Q61" s="381"/>
      <c r="R61" s="377"/>
      <c r="S61" s="381"/>
      <c r="T61" s="377"/>
      <c r="U61" s="382"/>
      <c r="V61" s="383"/>
      <c r="W61" s="377"/>
      <c r="X61" s="383"/>
      <c r="Y61" s="381"/>
      <c r="Z61" s="383"/>
      <c r="AA61" s="383"/>
      <c r="AB61" s="377"/>
      <c r="AC61" s="377"/>
      <c r="AD61" s="381"/>
      <c r="AE61" s="383"/>
      <c r="AF61" s="383" t="s">
        <v>1070</v>
      </c>
    </row>
    <row r="62">
      <c r="A62" s="371"/>
      <c r="B62" s="372"/>
      <c r="C62" s="373"/>
      <c r="D62" s="374" t="s">
        <v>1071</v>
      </c>
      <c r="E62" s="377">
        <v>1.88</v>
      </c>
      <c r="F62" s="376"/>
      <c r="G62" s="377">
        <v>44</v>
      </c>
      <c r="H62" s="377">
        <v>3</v>
      </c>
      <c r="I62" s="378">
        <f t="shared" si="39"/>
      </c>
      <c r="J62" s="379">
        <f t="shared" si="78"/>
      </c>
      <c r="K62" s="377">
        <v>0</v>
      </c>
      <c r="L62" s="379">
        <f t="shared" si="1"/>
      </c>
      <c r="M62" s="377">
        <v>0</v>
      </c>
      <c r="N62" s="380">
        <f t="shared" si="20"/>
      </c>
      <c r="O62" s="377">
        <v>0</v>
      </c>
      <c r="P62" s="380">
        <f t="shared" si="58"/>
      </c>
      <c r="Q62" s="381"/>
      <c r="R62" s="377"/>
      <c r="S62" s="381"/>
      <c r="T62" s="377"/>
      <c r="U62" s="382"/>
      <c r="V62" s="383"/>
      <c r="W62" s="377"/>
      <c r="X62" s="383"/>
      <c r="Y62" s="381"/>
      <c r="Z62" s="383"/>
      <c r="AA62" s="383"/>
      <c r="AB62" s="377"/>
      <c r="AC62" s="377"/>
      <c r="AD62" s="381"/>
      <c r="AE62" s="383"/>
      <c r="AF62" s="383"/>
    </row>
    <row customHeight="true" ht="20.238095238095237" r="63">
      <c r="A63" s="371"/>
      <c r="B63" s="372"/>
      <c r="C63" s="373"/>
      <c r="D63" s="374"/>
      <c r="E63" s="377">
        <f>SUM(E33:E62)</f>
      </c>
      <c r="F63" s="377">
        <f>SUM(F33:F62)</f>
      </c>
      <c r="G63" s="377"/>
      <c r="H63" s="377"/>
      <c r="I63" s="378"/>
      <c r="J63" s="379"/>
      <c r="K63" s="377"/>
      <c r="L63" s="379"/>
      <c r="M63" s="377"/>
      <c r="N63" s="380"/>
      <c r="O63" s="377"/>
      <c r="P63" s="380"/>
      <c r="Q63" s="381"/>
      <c r="R63" s="377"/>
      <c r="S63" s="381"/>
      <c r="T63" s="377">
        <f>SUM(T33:T62)</f>
      </c>
      <c r="U63" s="382"/>
      <c r="V63" s="383"/>
      <c r="W63" s="377">
        <f>SUM(W33:W62)</f>
      </c>
      <c r="X63" s="383"/>
      <c r="Y63" s="381"/>
      <c r="Z63" s="383"/>
      <c r="AA63" s="383"/>
      <c r="AB63" s="377"/>
      <c r="AC63" s="377"/>
      <c r="AD63" s="381"/>
      <c r="AE63" s="383"/>
      <c r="AF63" s="383"/>
    </row>
    <row r="64">
      <c r="A64" s="371" t="s">
        <v>1085</v>
      </c>
      <c r="B64" s="372" t="s">
        <v>1065</v>
      </c>
      <c r="C64" s="373" t="s">
        <v>1076</v>
      </c>
      <c r="D64" s="374" t="s">
        <v>1067</v>
      </c>
      <c r="E64" s="375">
        <v>654.54</v>
      </c>
      <c r="F64" s="376">
        <f>E64+E65+E66</f>
      </c>
      <c r="G64" s="377">
        <v>5613</v>
      </c>
      <c r="H64" s="377">
        <v>329</v>
      </c>
      <c r="I64" s="378">
        <f t="shared" ref="I64:I93" si="40">H64/G64</f>
      </c>
      <c r="J64" s="379">
        <f t="shared" ref="J64:J93" si="79">(E64/G64)*1000</f>
      </c>
      <c r="K64" s="377">
        <v>7</v>
      </c>
      <c r="L64" s="379">
        <f t="shared" ref="L64:L93" si="2">E64/K64</f>
      </c>
      <c r="M64" s="377">
        <v>0</v>
      </c>
      <c r="N64" s="380">
        <f t="shared" ref="N64:N93" si="21">E64/M64</f>
      </c>
      <c r="O64" s="377">
        <v>0</v>
      </c>
      <c r="P64" s="380">
        <f t="shared" ref="P64:P93" si="59">E64/O64</f>
      </c>
      <c r="Q64" s="381">
        <f>(M64+M66+M65)/(O64+O66+O65)</f>
      </c>
      <c r="R64" s="377">
        <v>2</v>
      </c>
      <c r="S64" s="381">
        <f>(O64+O66)/(K64+K66)</f>
      </c>
      <c r="T64" s="377">
        <v>0</v>
      </c>
      <c r="U64" s="382">
        <f>F64/T64</f>
      </c>
      <c r="V64" s="383">
        <f>(F64+4*500)/T64</f>
      </c>
      <c r="W64" s="377">
        <v>0</v>
      </c>
      <c r="X64" s="383">
        <f>W64/T64</f>
      </c>
      <c r="Y64" s="381">
        <f>T64/R64</f>
      </c>
      <c r="Z64" s="383">
        <f>W64/F64</f>
      </c>
      <c r="AA64" s="383">
        <f>W64/(F64+500)</f>
      </c>
      <c r="AB64" s="377">
        <v>0</v>
      </c>
      <c r="AC64" s="377">
        <v>0</v>
      </c>
      <c r="AD64" s="381">
        <f>AB64/T64</f>
      </c>
      <c r="AE64" s="383">
        <f>(W64-AC64)/(F64+500)</f>
      </c>
      <c r="AF64" s="383" t="s">
        <v>1068</v>
      </c>
    </row>
    <row r="65">
      <c r="A65" s="371"/>
      <c r="B65" s="372"/>
      <c r="C65" s="373"/>
      <c r="D65" s="374" t="s">
        <v>1069</v>
      </c>
      <c r="E65" s="384">
        <v>352.21</v>
      </c>
      <c r="F65" s="376"/>
      <c r="G65" s="377">
        <v>1876</v>
      </c>
      <c r="H65" s="377">
        <v>99</v>
      </c>
      <c r="I65" s="378">
        <f t="shared" si="40"/>
      </c>
      <c r="J65" s="379">
        <f t="shared" si="79"/>
      </c>
      <c r="K65" s="377">
        <v>6</v>
      </c>
      <c r="L65" s="379">
        <f t="shared" si="2"/>
      </c>
      <c r="M65" s="377">
        <v>0</v>
      </c>
      <c r="N65" s="380">
        <f t="shared" si="21"/>
      </c>
      <c r="O65" s="377">
        <v>1</v>
      </c>
      <c r="P65" s="380">
        <f t="shared" si="59"/>
      </c>
      <c r="Q65" s="381"/>
      <c r="R65" s="377"/>
      <c r="S65" s="381"/>
      <c r="T65" s="377"/>
      <c r="U65" s="382"/>
      <c r="V65" s="383"/>
      <c r="W65" s="377"/>
      <c r="X65" s="383"/>
      <c r="Y65" s="381"/>
      <c r="Z65" s="383"/>
      <c r="AA65" s="383"/>
      <c r="AB65" s="377"/>
      <c r="AC65" s="377"/>
      <c r="AD65" s="381"/>
      <c r="AE65" s="383"/>
      <c r="AF65" s="383" t="s">
        <v>1070</v>
      </c>
    </row>
    <row r="66">
      <c r="A66" s="371"/>
      <c r="B66" s="372"/>
      <c r="C66" s="373"/>
      <c r="D66" s="374" t="s">
        <v>1071</v>
      </c>
      <c r="E66" s="377">
        <v>1.73</v>
      </c>
      <c r="F66" s="376"/>
      <c r="G66" s="377">
        <v>29</v>
      </c>
      <c r="H66" s="377">
        <v>5</v>
      </c>
      <c r="I66" s="378">
        <f t="shared" si="40"/>
      </c>
      <c r="J66" s="379">
        <f t="shared" si="79"/>
      </c>
      <c r="K66" s="377">
        <v>0</v>
      </c>
      <c r="L66" s="379">
        <f t="shared" si="2"/>
      </c>
      <c r="M66" s="377">
        <v>0</v>
      </c>
      <c r="N66" s="380">
        <f t="shared" si="21"/>
      </c>
      <c r="O66" s="377">
        <v>0</v>
      </c>
      <c r="P66" s="380">
        <f t="shared" si="59"/>
      </c>
      <c r="Q66" s="381"/>
      <c r="R66" s="377"/>
      <c r="S66" s="381"/>
      <c r="T66" s="377"/>
      <c r="U66" s="382"/>
      <c r="V66" s="383"/>
      <c r="W66" s="377"/>
      <c r="X66" s="383"/>
      <c r="Y66" s="381"/>
      <c r="Z66" s="383"/>
      <c r="AA66" s="383"/>
      <c r="AB66" s="377"/>
      <c r="AC66" s="377"/>
      <c r="AD66" s="381"/>
      <c r="AE66" s="383"/>
      <c r="AF66" s="383"/>
    </row>
    <row r="67">
      <c r="A67" s="371"/>
      <c r="B67" s="372" t="s">
        <v>1072</v>
      </c>
      <c r="C67" s="373" t="s">
        <v>1076</v>
      </c>
      <c r="D67" s="374" t="s">
        <v>1067</v>
      </c>
      <c r="E67" s="375">
        <v>612.35</v>
      </c>
      <c r="F67" s="376">
        <f>E67+E68+E69</f>
      </c>
      <c r="G67" s="377">
        <v>6854</v>
      </c>
      <c r="H67" s="377">
        <v>373</v>
      </c>
      <c r="I67" s="378">
        <f t="shared" si="40"/>
      </c>
      <c r="J67" s="379">
        <f t="shared" si="79"/>
      </c>
      <c r="K67" s="377">
        <v>16</v>
      </c>
      <c r="L67" s="379">
        <f t="shared" si="2"/>
      </c>
      <c r="M67" s="377">
        <v>1</v>
      </c>
      <c r="N67" s="380">
        <f t="shared" si="21"/>
      </c>
      <c r="O67" s="377">
        <v>3</v>
      </c>
      <c r="P67" s="380">
        <f t="shared" si="59"/>
      </c>
      <c r="Q67" s="381">
        <f>(M67+M69+M68)/(O67+O69+O68)</f>
      </c>
      <c r="R67" s="377">
        <v>13</v>
      </c>
      <c r="S67" s="381">
        <f>(O67+O69)/(K67+K69)</f>
      </c>
      <c r="T67" s="377">
        <v>3</v>
      </c>
      <c r="U67" s="382">
        <f>F67/T67</f>
      </c>
      <c r="V67" s="383">
        <f>(F67+4*500)/T67</f>
      </c>
      <c r="W67" s="377">
        <v>3117.6</v>
      </c>
      <c r="X67" s="383">
        <f>W67/T67</f>
      </c>
      <c r="Y67" s="381">
        <f>T67/R67</f>
      </c>
      <c r="Z67" s="383">
        <f>W67/F67</f>
      </c>
      <c r="AA67" s="383">
        <f>W67/(F67+500)</f>
      </c>
      <c r="AB67" s="377">
        <v>1</v>
      </c>
      <c r="AC67" s="377">
        <v>620.4</v>
      </c>
      <c r="AD67" s="381">
        <f>AB67/T67</f>
      </c>
      <c r="AE67" s="383">
        <f>(W67-AC67)/(F67+500)</f>
      </c>
      <c r="AF67" s="383" t="s">
        <v>1068</v>
      </c>
    </row>
    <row r="68">
      <c r="A68" s="371"/>
      <c r="B68" s="372"/>
      <c r="C68" s="373"/>
      <c r="D68" s="374" t="s">
        <v>1069</v>
      </c>
      <c r="E68" s="384">
        <v>497.54</v>
      </c>
      <c r="F68" s="376"/>
      <c r="G68" s="377">
        <v>2064</v>
      </c>
      <c r="H68" s="377">
        <v>77</v>
      </c>
      <c r="I68" s="378">
        <f t="shared" si="40"/>
      </c>
      <c r="J68" s="379">
        <f t="shared" si="79"/>
      </c>
      <c r="K68" s="377">
        <v>3</v>
      </c>
      <c r="L68" s="379">
        <f t="shared" si="2"/>
      </c>
      <c r="M68" s="377">
        <v>1</v>
      </c>
      <c r="N68" s="380">
        <f t="shared" si="21"/>
      </c>
      <c r="O68" s="377">
        <v>1</v>
      </c>
      <c r="P68" s="380">
        <f t="shared" si="59"/>
      </c>
      <c r="Q68" s="381"/>
      <c r="R68" s="377"/>
      <c r="S68" s="381"/>
      <c r="T68" s="377"/>
      <c r="U68" s="382"/>
      <c r="V68" s="383"/>
      <c r="W68" s="377"/>
      <c r="X68" s="383"/>
      <c r="Y68" s="381"/>
      <c r="Z68" s="383"/>
      <c r="AA68" s="383"/>
      <c r="AB68" s="377"/>
      <c r="AC68" s="377"/>
      <c r="AD68" s="381"/>
      <c r="AE68" s="383"/>
      <c r="AF68" s="383" t="s">
        <v>1070</v>
      </c>
    </row>
    <row r="69">
      <c r="A69" s="371"/>
      <c r="B69" s="372"/>
      <c r="C69" s="373"/>
      <c r="D69" s="374" t="s">
        <v>1071</v>
      </c>
      <c r="E69" s="377">
        <v>35.68</v>
      </c>
      <c r="F69" s="376"/>
      <c r="G69" s="377">
        <v>286</v>
      </c>
      <c r="H69" s="377">
        <v>24</v>
      </c>
      <c r="I69" s="378">
        <f t="shared" si="40"/>
      </c>
      <c r="J69" s="379">
        <f t="shared" si="79"/>
      </c>
      <c r="K69" s="377">
        <v>0</v>
      </c>
      <c r="L69" s="379">
        <f t="shared" si="2"/>
      </c>
      <c r="M69" s="377">
        <v>0</v>
      </c>
      <c r="N69" s="380">
        <f t="shared" si="21"/>
      </c>
      <c r="O69" s="377">
        <v>0</v>
      </c>
      <c r="P69" s="380">
        <f t="shared" si="59"/>
      </c>
      <c r="Q69" s="381"/>
      <c r="R69" s="377"/>
      <c r="S69" s="381"/>
      <c r="T69" s="377"/>
      <c r="U69" s="382"/>
      <c r="V69" s="383"/>
      <c r="W69" s="377"/>
      <c r="X69" s="383"/>
      <c r="Y69" s="381"/>
      <c r="Z69" s="383"/>
      <c r="AA69" s="383"/>
      <c r="AB69" s="377"/>
      <c r="AC69" s="377"/>
      <c r="AD69" s="381"/>
      <c r="AE69" s="383"/>
      <c r="AF69" s="383"/>
    </row>
    <row r="70">
      <c r="A70" s="371"/>
      <c r="B70" s="372" t="s">
        <v>1073</v>
      </c>
      <c r="C70" s="373" t="s">
        <v>1076</v>
      </c>
      <c r="D70" s="374" t="s">
        <v>1067</v>
      </c>
      <c r="E70" s="375">
        <v>689.52</v>
      </c>
      <c r="F70" s="376">
        <f>E70+E71+E72</f>
      </c>
      <c r="G70" s="377">
        <v>6662</v>
      </c>
      <c r="H70" s="377">
        <v>439</v>
      </c>
      <c r="I70" s="378">
        <f t="shared" si="40"/>
      </c>
      <c r="J70" s="379">
        <f t="shared" si="79"/>
      </c>
      <c r="K70" s="377">
        <v>14</v>
      </c>
      <c r="L70" s="379">
        <f t="shared" si="2"/>
      </c>
      <c r="M70" s="377">
        <v>0</v>
      </c>
      <c r="N70" s="380">
        <f t="shared" si="21"/>
      </c>
      <c r="O70" s="377">
        <v>0</v>
      </c>
      <c r="P70" s="380">
        <f t="shared" si="59"/>
      </c>
      <c r="Q70" s="381">
        <f>(M70+M72+M71)/(O70+O72+O71)</f>
      </c>
      <c r="R70" s="377">
        <v>3</v>
      </c>
      <c r="S70" s="381">
        <f>(O70+O72)/(K70+K72)</f>
      </c>
      <c r="T70" s="377">
        <v>2</v>
      </c>
      <c r="U70" s="382">
        <f>F70/T70</f>
      </c>
      <c r="V70" s="383">
        <f>(F70+4*500)/T70</f>
      </c>
      <c r="W70" s="377">
        <v>1426.8</v>
      </c>
      <c r="X70" s="383">
        <f>W70/T70</f>
      </c>
      <c r="Y70" s="381">
        <f>T70/R70</f>
      </c>
      <c r="Z70" s="383">
        <f>W70/F70</f>
      </c>
      <c r="AA70" s="383">
        <f>W70/(F70+500)</f>
      </c>
      <c r="AB70" s="377">
        <v>2</v>
      </c>
      <c r="AC70" s="377">
        <v>1426.8</v>
      </c>
      <c r="AD70" s="381">
        <f>AB70/T70</f>
      </c>
      <c r="AE70" s="383">
        <f>(W70-AC70)/(F70+500)</f>
      </c>
      <c r="AF70" s="383" t="s">
        <v>1068</v>
      </c>
    </row>
    <row r="71">
      <c r="A71" s="371"/>
      <c r="B71" s="372"/>
      <c r="C71" s="373"/>
      <c r="D71" s="374" t="s">
        <v>1069</v>
      </c>
      <c r="E71" s="384">
        <v>557.36</v>
      </c>
      <c r="F71" s="376"/>
      <c r="G71" s="377">
        <v>2393</v>
      </c>
      <c r="H71" s="377">
        <v>73</v>
      </c>
      <c r="I71" s="378">
        <f t="shared" si="40"/>
      </c>
      <c r="J71" s="379">
        <f t="shared" si="79"/>
      </c>
      <c r="K71" s="377">
        <v>11</v>
      </c>
      <c r="L71" s="379">
        <f t="shared" si="2"/>
      </c>
      <c r="M71" s="377">
        <v>1</v>
      </c>
      <c r="N71" s="380">
        <f t="shared" si="21"/>
      </c>
      <c r="O71" s="377">
        <v>1</v>
      </c>
      <c r="P71" s="380">
        <f t="shared" si="59"/>
      </c>
      <c r="Q71" s="381"/>
      <c r="R71" s="377"/>
      <c r="S71" s="381"/>
      <c r="T71" s="377"/>
      <c r="U71" s="382"/>
      <c r="V71" s="383"/>
      <c r="W71" s="377"/>
      <c r="X71" s="383"/>
      <c r="Y71" s="381"/>
      <c r="Z71" s="383"/>
      <c r="AA71" s="383"/>
      <c r="AB71" s="377"/>
      <c r="AC71" s="377"/>
      <c r="AD71" s="381"/>
      <c r="AE71" s="383"/>
      <c r="AF71" s="383" t="s">
        <v>1070</v>
      </c>
    </row>
    <row r="72">
      <c r="A72" s="371"/>
      <c r="B72" s="372"/>
      <c r="C72" s="373"/>
      <c r="D72" s="374" t="s">
        <v>1071</v>
      </c>
      <c r="E72" s="377">
        <v>61.55</v>
      </c>
      <c r="F72" s="376"/>
      <c r="G72" s="377">
        <v>286</v>
      </c>
      <c r="H72" s="377">
        <v>24</v>
      </c>
      <c r="I72" s="378">
        <f t="shared" si="40"/>
      </c>
      <c r="J72" s="379">
        <f t="shared" si="79"/>
      </c>
      <c r="K72" s="377">
        <v>0</v>
      </c>
      <c r="L72" s="379">
        <f t="shared" si="2"/>
      </c>
      <c r="M72" s="377">
        <v>0</v>
      </c>
      <c r="N72" s="380">
        <f t="shared" si="21"/>
      </c>
      <c r="O72" s="377">
        <v>0</v>
      </c>
      <c r="P72" s="380">
        <f t="shared" si="59"/>
      </c>
      <c r="Q72" s="381"/>
      <c r="R72" s="377"/>
      <c r="S72" s="381"/>
      <c r="T72" s="377"/>
      <c r="U72" s="382"/>
      <c r="V72" s="383"/>
      <c r="W72" s="377"/>
      <c r="X72" s="383"/>
      <c r="Y72" s="381"/>
      <c r="Z72" s="383"/>
      <c r="AA72" s="383"/>
      <c r="AB72" s="377"/>
      <c r="AC72" s="377"/>
      <c r="AD72" s="381"/>
      <c r="AE72" s="383"/>
      <c r="AF72" s="383"/>
    </row>
    <row r="73">
      <c r="A73" s="371"/>
      <c r="B73" s="372" t="s">
        <v>1074</v>
      </c>
      <c r="C73" s="373" t="s">
        <v>1076</v>
      </c>
      <c r="D73" s="374" t="s">
        <v>1067</v>
      </c>
      <c r="E73" s="375">
        <v>630.92</v>
      </c>
      <c r="F73" s="376">
        <f>E73+E74+E75</f>
      </c>
      <c r="G73" s="377">
        <v>4546</v>
      </c>
      <c r="H73" s="377">
        <v>154</v>
      </c>
      <c r="I73" s="378">
        <f t="shared" si="40"/>
      </c>
      <c r="J73" s="379">
        <f t="shared" si="79"/>
      </c>
      <c r="K73" s="377">
        <v>10</v>
      </c>
      <c r="L73" s="379">
        <f t="shared" si="2"/>
      </c>
      <c r="M73" s="377">
        <v>0</v>
      </c>
      <c r="N73" s="380">
        <f t="shared" si="21"/>
      </c>
      <c r="O73" s="377">
        <v>2</v>
      </c>
      <c r="P73" s="380">
        <f t="shared" si="59"/>
      </c>
      <c r="Q73" s="381">
        <f>(M73+M75+M74)/(O73+O75+O74)</f>
      </c>
      <c r="R73" s="377">
        <v>9</v>
      </c>
      <c r="S73" s="381">
        <f>(O73+O75)/(K73+K75)</f>
      </c>
      <c r="T73" s="377">
        <v>2</v>
      </c>
      <c r="U73" s="382">
        <f>F73/T73</f>
      </c>
      <c r="V73" s="383">
        <f>(F73+4*500)/T73</f>
      </c>
      <c r="W73" s="377">
        <v>2510.4</v>
      </c>
      <c r="X73" s="383">
        <f>W73/T73</f>
      </c>
      <c r="Y73" s="381">
        <f>T73/R73</f>
      </c>
      <c r="Z73" s="383">
        <f>W73/F73</f>
      </c>
      <c r="AA73" s="383">
        <f>W73/(F73+500)</f>
      </c>
      <c r="AB73" s="377">
        <v>0</v>
      </c>
      <c r="AC73" s="377">
        <v>0</v>
      </c>
      <c r="AD73" s="381">
        <f>AB73/T73</f>
      </c>
      <c r="AE73" s="383">
        <f>(W73-AC73)/(F73+500)</f>
      </c>
      <c r="AF73" s="383" t="s">
        <v>1068</v>
      </c>
    </row>
    <row r="74">
      <c r="A74" s="371"/>
      <c r="B74" s="372"/>
      <c r="C74" s="373"/>
      <c r="D74" s="374" t="s">
        <v>1069</v>
      </c>
      <c r="E74" s="384">
        <v>530.53</v>
      </c>
      <c r="F74" s="376"/>
      <c r="G74" s="377">
        <v>1430</v>
      </c>
      <c r="H74" s="377">
        <v>41</v>
      </c>
      <c r="I74" s="378">
        <f t="shared" si="40"/>
      </c>
      <c r="J74" s="379">
        <f t="shared" si="79"/>
      </c>
      <c r="K74" s="377">
        <v>8</v>
      </c>
      <c r="L74" s="379">
        <f t="shared" si="2"/>
      </c>
      <c r="M74" s="377">
        <v>1</v>
      </c>
      <c r="N74" s="380">
        <f t="shared" si="21"/>
      </c>
      <c r="O74" s="377">
        <v>2</v>
      </c>
      <c r="P74" s="380">
        <f t="shared" si="59"/>
      </c>
      <c r="Q74" s="381"/>
      <c r="R74" s="377"/>
      <c r="S74" s="381"/>
      <c r="T74" s="377"/>
      <c r="U74" s="382"/>
      <c r="V74" s="383"/>
      <c r="W74" s="377"/>
      <c r="X74" s="383"/>
      <c r="Y74" s="381"/>
      <c r="Z74" s="383"/>
      <c r="AA74" s="383"/>
      <c r="AB74" s="377"/>
      <c r="AC74" s="377"/>
      <c r="AD74" s="381"/>
      <c r="AE74" s="383"/>
      <c r="AF74" s="383" t="s">
        <v>1070</v>
      </c>
    </row>
    <row r="75">
      <c r="A75" s="371"/>
      <c r="B75" s="372"/>
      <c r="C75" s="373"/>
      <c r="D75" s="374" t="s">
        <v>1071</v>
      </c>
      <c r="E75" s="377">
        <v>798.88</v>
      </c>
      <c r="F75" s="376"/>
      <c r="G75" s="377">
        <v>921</v>
      </c>
      <c r="H75" s="377">
        <v>64</v>
      </c>
      <c r="I75" s="378">
        <f t="shared" si="40"/>
      </c>
      <c r="J75" s="379">
        <f t="shared" si="79"/>
      </c>
      <c r="K75" s="377">
        <v>6</v>
      </c>
      <c r="L75" s="379">
        <f t="shared" si="2"/>
      </c>
      <c r="M75" s="377">
        <v>0</v>
      </c>
      <c r="N75" s="380">
        <f t="shared" si="21"/>
      </c>
      <c r="O75" s="377">
        <v>1</v>
      </c>
      <c r="P75" s="380">
        <f t="shared" si="59"/>
      </c>
      <c r="Q75" s="381"/>
      <c r="R75" s="377"/>
      <c r="S75" s="381"/>
      <c r="T75" s="377"/>
      <c r="U75" s="382"/>
      <c r="V75" s="383"/>
      <c r="W75" s="377"/>
      <c r="X75" s="383"/>
      <c r="Y75" s="381"/>
      <c r="Z75" s="383"/>
      <c r="AA75" s="383"/>
      <c r="AB75" s="377"/>
      <c r="AC75" s="377"/>
      <c r="AD75" s="381"/>
      <c r="AE75" s="383"/>
      <c r="AF75" s="383"/>
    </row>
    <row r="76">
      <c r="A76" s="371"/>
      <c r="B76" s="372" t="s">
        <v>1075</v>
      </c>
      <c r="C76" s="373" t="s">
        <v>1081</v>
      </c>
      <c r="D76" s="374" t="s">
        <v>1067</v>
      </c>
      <c r="E76" s="375">
        <v>410.75</v>
      </c>
      <c r="F76" s="376">
        <f>E76+E77+E78</f>
      </c>
      <c r="G76" s="377">
        <v>3496</v>
      </c>
      <c r="H76" s="377">
        <v>71</v>
      </c>
      <c r="I76" s="378">
        <f t="shared" si="40"/>
      </c>
      <c r="J76" s="379">
        <f t="shared" si="79"/>
      </c>
      <c r="K76" s="377">
        <v>6</v>
      </c>
      <c r="L76" s="379">
        <f t="shared" si="2"/>
      </c>
      <c r="M76" s="377">
        <v>1</v>
      </c>
      <c r="N76" s="380">
        <f t="shared" si="21"/>
      </c>
      <c r="O76" s="377">
        <v>2</v>
      </c>
      <c r="P76" s="380">
        <f t="shared" si="59"/>
      </c>
      <c r="Q76" s="381">
        <f>(M76+M78+M77)/(O76+O78+O77)</f>
      </c>
      <c r="R76" s="377">
        <v>5</v>
      </c>
      <c r="S76" s="381">
        <f>(O76+O78)/(K76+K78)</f>
      </c>
      <c r="T76" s="377">
        <v>1</v>
      </c>
      <c r="U76" s="382">
        <f>F76/T76</f>
      </c>
      <c r="V76" s="383">
        <f>(F76+4*500)/T76</f>
      </c>
      <c r="W76" s="377">
        <v>1404</v>
      </c>
      <c r="X76" s="383">
        <f>W76/T76</f>
      </c>
      <c r="Y76" s="381">
        <f>T76/R76</f>
      </c>
      <c r="Z76" s="383">
        <f>W76/F76</f>
      </c>
      <c r="AA76" s="383">
        <f>W76/(F76+500)</f>
      </c>
      <c r="AB76" s="377">
        <v>1</v>
      </c>
      <c r="AC76" s="377">
        <v>1404</v>
      </c>
      <c r="AD76" s="381">
        <f>AB76/T76</f>
      </c>
      <c r="AE76" s="383">
        <f>(W76-AC76)/(F76+500)</f>
      </c>
      <c r="AF76" s="383" t="s">
        <v>1068</v>
      </c>
    </row>
    <row r="77">
      <c r="A77" s="371"/>
      <c r="B77" s="372"/>
      <c r="C77" s="373"/>
      <c r="D77" s="374" t="s">
        <v>1069</v>
      </c>
      <c r="E77" s="384">
        <v>595.25</v>
      </c>
      <c r="F77" s="376"/>
      <c r="G77" s="377">
        <v>1642</v>
      </c>
      <c r="H77" s="377">
        <v>51</v>
      </c>
      <c r="I77" s="378">
        <f t="shared" si="40"/>
      </c>
      <c r="J77" s="379">
        <f t="shared" si="79"/>
      </c>
      <c r="K77" s="377">
        <v>6</v>
      </c>
      <c r="L77" s="379">
        <f t="shared" si="2"/>
      </c>
      <c r="M77" s="377">
        <v>0</v>
      </c>
      <c r="N77" s="380">
        <f t="shared" si="21"/>
      </c>
      <c r="O77" s="377">
        <v>0</v>
      </c>
      <c r="P77" s="380">
        <f t="shared" si="59"/>
      </c>
      <c r="Q77" s="381"/>
      <c r="R77" s="377"/>
      <c r="S77" s="381"/>
      <c r="T77" s="377"/>
      <c r="U77" s="382"/>
      <c r="V77" s="383"/>
      <c r="W77" s="377"/>
      <c r="X77" s="383"/>
      <c r="Y77" s="381"/>
      <c r="Z77" s="383"/>
      <c r="AA77" s="383"/>
      <c r="AB77" s="377"/>
      <c r="AC77" s="377"/>
      <c r="AD77" s="381"/>
      <c r="AE77" s="383"/>
      <c r="AF77" s="383" t="s">
        <v>1070</v>
      </c>
    </row>
    <row r="78">
      <c r="A78" s="371"/>
      <c r="B78" s="372"/>
      <c r="C78" s="373"/>
      <c r="D78" s="374" t="s">
        <v>1071</v>
      </c>
      <c r="E78" s="377">
        <v>569.74</v>
      </c>
      <c r="F78" s="376"/>
      <c r="G78" s="377">
        <v>574</v>
      </c>
      <c r="H78" s="377">
        <v>39</v>
      </c>
      <c r="I78" s="378">
        <f t="shared" si="40"/>
      </c>
      <c r="J78" s="379">
        <f t="shared" si="79"/>
      </c>
      <c r="K78" s="377">
        <v>7</v>
      </c>
      <c r="L78" s="379">
        <f t="shared" si="2"/>
      </c>
      <c r="M78" s="377">
        <v>0</v>
      </c>
      <c r="N78" s="380">
        <f t="shared" si="21"/>
      </c>
      <c r="O78" s="377">
        <v>1</v>
      </c>
      <c r="P78" s="380">
        <f t="shared" si="59"/>
      </c>
      <c r="Q78" s="381"/>
      <c r="R78" s="377"/>
      <c r="S78" s="381"/>
      <c r="T78" s="377"/>
      <c r="U78" s="382"/>
      <c r="V78" s="383"/>
      <c r="W78" s="377"/>
      <c r="X78" s="383"/>
      <c r="Y78" s="381"/>
      <c r="Z78" s="383"/>
      <c r="AA78" s="383"/>
      <c r="AB78" s="377"/>
      <c r="AC78" s="377"/>
      <c r="AD78" s="381"/>
      <c r="AE78" s="383"/>
      <c r="AF78" s="383"/>
    </row>
    <row r="79">
      <c r="A79" s="371"/>
      <c r="B79" s="372" t="s">
        <v>1077</v>
      </c>
      <c r="C79" s="373" t="s">
        <v>1081</v>
      </c>
      <c r="D79" s="374" t="s">
        <v>1067</v>
      </c>
      <c r="E79" s="375">
        <v>693.86</v>
      </c>
      <c r="F79" s="376">
        <f>E79+E80+E81</f>
      </c>
      <c r="G79" s="377">
        <v>6907</v>
      </c>
      <c r="H79" s="377">
        <v>166</v>
      </c>
      <c r="I79" s="378">
        <f t="shared" si="40"/>
      </c>
      <c r="J79" s="379">
        <f t="shared" si="79"/>
      </c>
      <c r="K79" s="377">
        <v>11</v>
      </c>
      <c r="L79" s="379">
        <f t="shared" si="2"/>
      </c>
      <c r="M79" s="377">
        <v>1</v>
      </c>
      <c r="N79" s="380">
        <f t="shared" si="21"/>
      </c>
      <c r="O79" s="377">
        <v>1</v>
      </c>
      <c r="P79" s="380">
        <f t="shared" si="59"/>
      </c>
      <c r="Q79" s="381">
        <f>(M79+M81+M80)/(O79+O81+O80)</f>
      </c>
      <c r="R79" s="377">
        <v>4</v>
      </c>
      <c r="S79" s="381">
        <f>(O79+O81)/(K79+K81)</f>
      </c>
      <c r="T79" s="377">
        <v>1</v>
      </c>
      <c r="U79" s="382">
        <f>F79/T79</f>
      </c>
      <c r="V79" s="383">
        <f>(F79+4*500)/T79</f>
      </c>
      <c r="W79" s="377">
        <v>382.8</v>
      </c>
      <c r="X79" s="383">
        <f>W79/T79</f>
      </c>
      <c r="Y79" s="381">
        <f>T79/R79</f>
      </c>
      <c r="Z79" s="383">
        <f>W79/F79</f>
      </c>
      <c r="AA79" s="383">
        <f>W79/(F79+500)</f>
      </c>
      <c r="AB79" s="377">
        <v>0</v>
      </c>
      <c r="AC79" s="377">
        <v>0</v>
      </c>
      <c r="AD79" s="381">
        <f>AB79/T79</f>
      </c>
      <c r="AE79" s="383">
        <f>(W79-AC79)/(F79+500)</f>
      </c>
      <c r="AF79" s="383" t="s">
        <v>1068</v>
      </c>
    </row>
    <row r="80">
      <c r="A80" s="371"/>
      <c r="B80" s="372"/>
      <c r="C80" s="373"/>
      <c r="D80" s="374" t="s">
        <v>1069</v>
      </c>
      <c r="E80" s="384">
        <v>291.71</v>
      </c>
      <c r="F80" s="376"/>
      <c r="G80" s="377">
        <v>1726</v>
      </c>
      <c r="H80" s="377">
        <v>40</v>
      </c>
      <c r="I80" s="378">
        <f t="shared" si="40"/>
      </c>
      <c r="J80" s="379">
        <f t="shared" si="79"/>
      </c>
      <c r="K80" s="377">
        <v>6</v>
      </c>
      <c r="L80" s="379">
        <f t="shared" si="2"/>
      </c>
      <c r="M80" s="377">
        <v>0</v>
      </c>
      <c r="N80" s="380">
        <f t="shared" si="21"/>
      </c>
      <c r="O80" s="377">
        <v>0</v>
      </c>
      <c r="P80" s="380">
        <f t="shared" si="59"/>
      </c>
      <c r="Q80" s="381"/>
      <c r="R80" s="377"/>
      <c r="S80" s="381"/>
      <c r="T80" s="377"/>
      <c r="U80" s="382"/>
      <c r="V80" s="383"/>
      <c r="W80" s="377"/>
      <c r="X80" s="383"/>
      <c r="Y80" s="381"/>
      <c r="Z80" s="383"/>
      <c r="AA80" s="383"/>
      <c r="AB80" s="377"/>
      <c r="AC80" s="377"/>
      <c r="AD80" s="381"/>
      <c r="AE80" s="383"/>
      <c r="AF80" s="383" t="s">
        <v>1070</v>
      </c>
    </row>
    <row r="81">
      <c r="A81" s="371"/>
      <c r="B81" s="372"/>
      <c r="C81" s="373"/>
      <c r="D81" s="374" t="s">
        <v>1071</v>
      </c>
      <c r="E81" s="377">
        <v>1.64</v>
      </c>
      <c r="F81" s="376"/>
      <c r="G81" s="377">
        <v>89</v>
      </c>
      <c r="H81" s="377">
        <v>1</v>
      </c>
      <c r="I81" s="378">
        <f t="shared" si="40"/>
      </c>
      <c r="J81" s="379">
        <f t="shared" si="79"/>
      </c>
      <c r="K81" s="377">
        <v>0</v>
      </c>
      <c r="L81" s="379">
        <f t="shared" si="2"/>
      </c>
      <c r="M81" s="377">
        <v>0</v>
      </c>
      <c r="N81" s="380">
        <f t="shared" si="21"/>
      </c>
      <c r="O81" s="377">
        <v>0</v>
      </c>
      <c r="P81" s="380">
        <f t="shared" si="59"/>
      </c>
      <c r="Q81" s="381"/>
      <c r="R81" s="377"/>
      <c r="S81" s="381"/>
      <c r="T81" s="377"/>
      <c r="U81" s="382"/>
      <c r="V81" s="383"/>
      <c r="W81" s="377"/>
      <c r="X81" s="383"/>
      <c r="Y81" s="381"/>
      <c r="Z81" s="383"/>
      <c r="AA81" s="383"/>
      <c r="AB81" s="377"/>
      <c r="AC81" s="377"/>
      <c r="AD81" s="381"/>
      <c r="AE81" s="383"/>
      <c r="AF81" s="383"/>
    </row>
    <row r="82">
      <c r="A82" s="371"/>
      <c r="B82" s="385" t="s">
        <v>1078</v>
      </c>
      <c r="C82" s="373" t="s">
        <v>1081</v>
      </c>
      <c r="D82" s="374" t="s">
        <v>1067</v>
      </c>
      <c r="E82" s="375">
        <v>756.54</v>
      </c>
      <c r="F82" s="376">
        <f>E82+E83+E84</f>
      </c>
      <c r="G82" s="377">
        <v>6338</v>
      </c>
      <c r="H82" s="377">
        <v>140</v>
      </c>
      <c r="I82" s="378">
        <f t="shared" si="40"/>
      </c>
      <c r="J82" s="379">
        <f t="shared" si="79"/>
      </c>
      <c r="K82" s="377">
        <v>10</v>
      </c>
      <c r="L82" s="379">
        <f t="shared" si="2"/>
      </c>
      <c r="M82" s="377">
        <v>1</v>
      </c>
      <c r="N82" s="380">
        <f t="shared" si="21"/>
      </c>
      <c r="O82" s="377">
        <v>5</v>
      </c>
      <c r="P82" s="380">
        <f t="shared" si="59"/>
      </c>
      <c r="Q82" s="381">
        <f>(M82+M84+M83)/(O82+O84+O83)</f>
      </c>
      <c r="R82" s="377">
        <v>9</v>
      </c>
      <c r="S82" s="381">
        <f>(O82+O84)/(K82+K84)</f>
      </c>
      <c r="T82" s="377">
        <v>1</v>
      </c>
      <c r="U82" s="382">
        <f>F82/T82</f>
      </c>
      <c r="V82" s="383">
        <f>(F82+4*500)/T82</f>
      </c>
      <c r="W82" s="377">
        <v>1404</v>
      </c>
      <c r="X82" s="383">
        <f>W82/T82</f>
      </c>
      <c r="Y82" s="381">
        <f>T82/R82</f>
      </c>
      <c r="Z82" s="383">
        <f>W82/F82</f>
      </c>
      <c r="AA82" s="383">
        <f>W82/(F82+500)</f>
      </c>
      <c r="AB82" s="377">
        <v>0</v>
      </c>
      <c r="AC82" s="377">
        <v>0</v>
      </c>
      <c r="AD82" s="381">
        <f>AB82/T82</f>
      </c>
      <c r="AE82" s="383">
        <f>(W82-AC82)/(F82+500)</f>
      </c>
      <c r="AF82" s="383" t="s">
        <v>1068</v>
      </c>
    </row>
    <row r="83">
      <c r="A83" s="371"/>
      <c r="B83" s="385"/>
      <c r="C83" s="373"/>
      <c r="D83" s="374" t="s">
        <v>1069</v>
      </c>
      <c r="E83" s="384">
        <v>509.93</v>
      </c>
      <c r="F83" s="376"/>
      <c r="G83" s="377">
        <v>1419</v>
      </c>
      <c r="H83" s="377">
        <v>49</v>
      </c>
      <c r="I83" s="378">
        <f t="shared" si="40"/>
      </c>
      <c r="J83" s="379">
        <f t="shared" si="79"/>
      </c>
      <c r="K83" s="377">
        <v>6</v>
      </c>
      <c r="L83" s="379">
        <f t="shared" si="2"/>
      </c>
      <c r="M83" s="377">
        <v>0</v>
      </c>
      <c r="N83" s="380">
        <f t="shared" si="21"/>
      </c>
      <c r="O83" s="377">
        <v>1</v>
      </c>
      <c r="P83" s="380">
        <f t="shared" si="59"/>
      </c>
      <c r="Q83" s="381"/>
      <c r="R83" s="377"/>
      <c r="S83" s="381"/>
      <c r="T83" s="377"/>
      <c r="U83" s="382"/>
      <c r="V83" s="383"/>
      <c r="W83" s="377"/>
      <c r="X83" s="383"/>
      <c r="Y83" s="381"/>
      <c r="Z83" s="383"/>
      <c r="AA83" s="383"/>
      <c r="AB83" s="377"/>
      <c r="AC83" s="377"/>
      <c r="AD83" s="381"/>
      <c r="AE83" s="383"/>
      <c r="AF83" s="383" t="s">
        <v>1070</v>
      </c>
    </row>
    <row r="84">
      <c r="A84" s="371"/>
      <c r="B84" s="385"/>
      <c r="C84" s="373"/>
      <c r="D84" s="374" t="s">
        <v>1071</v>
      </c>
      <c r="E84" s="377">
        <v>1.12</v>
      </c>
      <c r="F84" s="376"/>
      <c r="G84" s="377">
        <v>71</v>
      </c>
      <c r="H84" s="377">
        <v>3</v>
      </c>
      <c r="I84" s="378">
        <f t="shared" si="40"/>
      </c>
      <c r="J84" s="379">
        <f t="shared" si="79"/>
      </c>
      <c r="K84" s="377">
        <v>0</v>
      </c>
      <c r="L84" s="379">
        <f t="shared" si="2"/>
      </c>
      <c r="M84" s="377">
        <v>0</v>
      </c>
      <c r="N84" s="380">
        <f t="shared" si="21"/>
      </c>
      <c r="O84" s="377">
        <v>0</v>
      </c>
      <c r="P84" s="380">
        <f t="shared" si="59"/>
      </c>
      <c r="Q84" s="381"/>
      <c r="R84" s="377"/>
      <c r="S84" s="381"/>
      <c r="T84" s="377"/>
      <c r="U84" s="382"/>
      <c r="V84" s="383"/>
      <c r="W84" s="377"/>
      <c r="X84" s="383"/>
      <c r="Y84" s="381"/>
      <c r="Z84" s="383"/>
      <c r="AA84" s="383"/>
      <c r="AB84" s="377"/>
      <c r="AC84" s="377"/>
      <c r="AD84" s="381"/>
      <c r="AE84" s="383"/>
      <c r="AF84" s="383"/>
    </row>
    <row r="85">
      <c r="A85" s="371"/>
      <c r="B85" s="372" t="s">
        <v>1079</v>
      </c>
      <c r="C85" s="373" t="s">
        <v>1081</v>
      </c>
      <c r="D85" s="374" t="s">
        <v>1067</v>
      </c>
      <c r="E85" s="375">
        <v>1583.96</v>
      </c>
      <c r="F85" s="376">
        <f>E85+E86+E87</f>
      </c>
      <c r="G85" s="377">
        <v>11977</v>
      </c>
      <c r="H85" s="377">
        <v>192</v>
      </c>
      <c r="I85" s="378">
        <f t="shared" si="40"/>
      </c>
      <c r="J85" s="379">
        <f t="shared" si="79"/>
      </c>
      <c r="K85" s="377">
        <v>24</v>
      </c>
      <c r="L85" s="379">
        <f t="shared" si="2"/>
      </c>
      <c r="M85" s="377">
        <v>2</v>
      </c>
      <c r="N85" s="380">
        <f t="shared" si="21"/>
      </c>
      <c r="O85" s="377">
        <v>4</v>
      </c>
      <c r="P85" s="380">
        <f t="shared" si="59"/>
      </c>
      <c r="Q85" s="381">
        <f>(M85+M87+M86)/(O85+O87+O86)</f>
      </c>
      <c r="R85" s="377">
        <v>9</v>
      </c>
      <c r="S85" s="381">
        <f>(O85+O87)/(K85+K87)</f>
      </c>
      <c r="T85" s="377">
        <v>4</v>
      </c>
      <c r="U85" s="382">
        <f>F85/T85</f>
      </c>
      <c r="V85" s="383">
        <f>(F85+4*500)/T85</f>
      </c>
      <c r="W85" s="377">
        <v>3913.2</v>
      </c>
      <c r="X85" s="383">
        <f>W85/T85</f>
      </c>
      <c r="Y85" s="381">
        <f>T85/R85</f>
      </c>
      <c r="Z85" s="383">
        <f>W85/F85</f>
      </c>
      <c r="AA85" s="383">
        <f>W85/(F85+500)</f>
      </c>
      <c r="AB85" s="377">
        <v>2</v>
      </c>
      <c r="AC85" s="377">
        <v>2808</v>
      </c>
      <c r="AD85" s="381">
        <f>AB85/T85</f>
      </c>
      <c r="AE85" s="383">
        <f>(W85-AC85)/(F85+500)</f>
      </c>
      <c r="AF85" s="383" t="s">
        <v>1068</v>
      </c>
    </row>
    <row r="86">
      <c r="A86" s="371"/>
      <c r="B86" s="372"/>
      <c r="C86" s="373"/>
      <c r="D86" s="374" t="s">
        <v>1069</v>
      </c>
      <c r="E86" s="384">
        <v>834.59</v>
      </c>
      <c r="F86" s="376"/>
      <c r="G86" s="377">
        <v>1358</v>
      </c>
      <c r="H86" s="377">
        <v>55</v>
      </c>
      <c r="I86" s="378">
        <f t="shared" si="40"/>
      </c>
      <c r="J86" s="379">
        <f t="shared" si="79"/>
      </c>
      <c r="K86" s="377">
        <v>5</v>
      </c>
      <c r="L86" s="379">
        <f t="shared" si="2"/>
      </c>
      <c r="M86" s="377">
        <v>1</v>
      </c>
      <c r="N86" s="380">
        <f t="shared" si="21"/>
      </c>
      <c r="O86" s="377">
        <v>1</v>
      </c>
      <c r="P86" s="380">
        <f t="shared" si="59"/>
      </c>
      <c r="Q86" s="381"/>
      <c r="R86" s="377"/>
      <c r="S86" s="381"/>
      <c r="T86" s="377"/>
      <c r="U86" s="382"/>
      <c r="V86" s="383"/>
      <c r="W86" s="377"/>
      <c r="X86" s="383"/>
      <c r="Y86" s="381"/>
      <c r="Z86" s="383"/>
      <c r="AA86" s="383"/>
      <c r="AB86" s="377"/>
      <c r="AC86" s="377"/>
      <c r="AD86" s="381"/>
      <c r="AE86" s="383"/>
      <c r="AF86" s="383" t="s">
        <v>1070</v>
      </c>
    </row>
    <row r="87">
      <c r="A87" s="371"/>
      <c r="B87" s="372"/>
      <c r="C87" s="373"/>
      <c r="D87" s="374" t="s">
        <v>1071</v>
      </c>
      <c r="E87" s="377">
        <v>7.43</v>
      </c>
      <c r="F87" s="376"/>
      <c r="G87" s="377">
        <v>58</v>
      </c>
      <c r="H87" s="377">
        <v>4</v>
      </c>
      <c r="I87" s="378">
        <f t="shared" si="40"/>
      </c>
      <c r="J87" s="379">
        <f t="shared" si="79"/>
      </c>
      <c r="K87" s="377">
        <v>0</v>
      </c>
      <c r="L87" s="379">
        <f t="shared" si="2"/>
      </c>
      <c r="M87" s="377">
        <v>0</v>
      </c>
      <c r="N87" s="380">
        <f t="shared" si="21"/>
      </c>
      <c r="O87" s="377">
        <v>0</v>
      </c>
      <c r="P87" s="380">
        <f t="shared" si="59"/>
      </c>
      <c r="Q87" s="381"/>
      <c r="R87" s="377"/>
      <c r="S87" s="381"/>
      <c r="T87" s="377"/>
      <c r="U87" s="382"/>
      <c r="V87" s="383"/>
      <c r="W87" s="377"/>
      <c r="X87" s="383"/>
      <c r="Y87" s="381"/>
      <c r="Z87" s="383"/>
      <c r="AA87" s="383"/>
      <c r="AB87" s="377"/>
      <c r="AC87" s="377"/>
      <c r="AD87" s="381"/>
      <c r="AE87" s="383"/>
      <c r="AF87" s="383"/>
    </row>
    <row r="88">
      <c r="A88" s="371"/>
      <c r="B88" s="372" t="s">
        <v>1080</v>
      </c>
      <c r="C88" s="373" t="s">
        <v>1084</v>
      </c>
      <c r="D88" s="374" t="s">
        <v>1067</v>
      </c>
      <c r="E88" s="375">
        <v>2346.69</v>
      </c>
      <c r="F88" s="376">
        <f>E88+E89+E90</f>
      </c>
      <c r="G88" s="377">
        <v>20432</v>
      </c>
      <c r="H88" s="377">
        <v>230</v>
      </c>
      <c r="I88" s="378">
        <f t="shared" si="40"/>
      </c>
      <c r="J88" s="379">
        <f t="shared" si="79"/>
      </c>
      <c r="K88" s="377">
        <v>28</v>
      </c>
      <c r="L88" s="379">
        <f t="shared" si="2"/>
      </c>
      <c r="M88" s="377">
        <v>2</v>
      </c>
      <c r="N88" s="380">
        <f t="shared" si="21"/>
      </c>
      <c r="O88" s="377">
        <v>6</v>
      </c>
      <c r="P88" s="380">
        <f t="shared" si="59"/>
      </c>
      <c r="Q88" s="381">
        <f>(M88+M90+M89)/(O88+O90+O89)</f>
      </c>
      <c r="R88" s="377">
        <v>11</v>
      </c>
      <c r="S88" s="381">
        <f>(O88+O90)/(K88+K90)</f>
      </c>
      <c r="T88" s="377">
        <v>3</v>
      </c>
      <c r="U88" s="382">
        <f>F88/T88</f>
      </c>
      <c r="V88" s="383">
        <f>(F88+4*500)/T88</f>
      </c>
      <c r="W88" s="377">
        <v>6290.4</v>
      </c>
      <c r="X88" s="383">
        <f>W88/T88</f>
      </c>
      <c r="Y88" s="381">
        <f>T88/R88</f>
      </c>
      <c r="Z88" s="383">
        <f>W88/F88</f>
      </c>
      <c r="AA88" s="383">
        <f>W88/(F88+500)</f>
      </c>
      <c r="AB88" s="377">
        <v>1</v>
      </c>
      <c r="AC88" s="377">
        <v>1752</v>
      </c>
      <c r="AD88" s="381">
        <f>AB88/T88</f>
      </c>
      <c r="AE88" s="383">
        <f>(W88-AC88)/(F88+500)</f>
      </c>
      <c r="AF88" s="383" t="s">
        <v>1068</v>
      </c>
    </row>
    <row r="89">
      <c r="A89" s="371"/>
      <c r="B89" s="372"/>
      <c r="C89" s="373"/>
      <c r="D89" s="374" t="s">
        <v>1069</v>
      </c>
      <c r="E89" s="384">
        <v>888.04</v>
      </c>
      <c r="F89" s="376"/>
      <c r="G89" s="377">
        <v>1272</v>
      </c>
      <c r="H89" s="377">
        <v>44</v>
      </c>
      <c r="I89" s="378">
        <f t="shared" si="40"/>
      </c>
      <c r="J89" s="379">
        <f t="shared" si="79"/>
      </c>
      <c r="K89" s="377">
        <v>9</v>
      </c>
      <c r="L89" s="379">
        <f t="shared" si="2"/>
      </c>
      <c r="M89" s="377">
        <v>1</v>
      </c>
      <c r="N89" s="380">
        <f t="shared" si="21"/>
      </c>
      <c r="O89" s="377">
        <v>2</v>
      </c>
      <c r="P89" s="380">
        <f t="shared" si="59"/>
      </c>
      <c r="Q89" s="381"/>
      <c r="R89" s="377"/>
      <c r="S89" s="381"/>
      <c r="T89" s="377"/>
      <c r="U89" s="382"/>
      <c r="V89" s="383"/>
      <c r="W89" s="377"/>
      <c r="X89" s="383"/>
      <c r="Y89" s="381"/>
      <c r="Z89" s="383"/>
      <c r="AA89" s="383"/>
      <c r="AB89" s="377"/>
      <c r="AC89" s="377"/>
      <c r="AD89" s="381"/>
      <c r="AE89" s="383"/>
      <c r="AF89" s="383" t="s">
        <v>1070</v>
      </c>
    </row>
    <row r="90">
      <c r="A90" s="371"/>
      <c r="B90" s="372"/>
      <c r="C90" s="373"/>
      <c r="D90" s="374" t="s">
        <v>1071</v>
      </c>
      <c r="E90" s="377">
        <v>0.37</v>
      </c>
      <c r="F90" s="376"/>
      <c r="G90" s="377">
        <v>39</v>
      </c>
      <c r="H90" s="377">
        <v>3</v>
      </c>
      <c r="I90" s="378">
        <f t="shared" si="40"/>
      </c>
      <c r="J90" s="379">
        <f t="shared" si="79"/>
      </c>
      <c r="K90" s="377">
        <v>0</v>
      </c>
      <c r="L90" s="379">
        <f t="shared" si="2"/>
      </c>
      <c r="M90" s="377">
        <v>0</v>
      </c>
      <c r="N90" s="380">
        <f t="shared" si="21"/>
      </c>
      <c r="O90" s="377">
        <v>0</v>
      </c>
      <c r="P90" s="380">
        <f t="shared" si="59"/>
      </c>
      <c r="Q90" s="381"/>
      <c r="R90" s="377"/>
      <c r="S90" s="381"/>
      <c r="T90" s="377"/>
      <c r="U90" s="382"/>
      <c r="V90" s="383"/>
      <c r="W90" s="377"/>
      <c r="X90" s="383"/>
      <c r="Y90" s="381"/>
      <c r="Z90" s="383"/>
      <c r="AA90" s="383"/>
      <c r="AB90" s="377"/>
      <c r="AC90" s="377"/>
      <c r="AD90" s="381"/>
      <c r="AE90" s="383"/>
      <c r="AF90" s="383"/>
    </row>
    <row r="91">
      <c r="A91" s="371"/>
      <c r="B91" s="372" t="s">
        <v>1082</v>
      </c>
      <c r="C91" s="373" t="s">
        <v>1084</v>
      </c>
      <c r="D91" s="374" t="s">
        <v>1067</v>
      </c>
      <c r="E91" s="375">
        <v>1250.31</v>
      </c>
      <c r="F91" s="376">
        <f>E91+E92+E93</f>
      </c>
      <c r="G91" s="377">
        <v>13479</v>
      </c>
      <c r="H91" s="377">
        <v>156</v>
      </c>
      <c r="I91" s="378">
        <f t="shared" si="40"/>
      </c>
      <c r="J91" s="379">
        <f t="shared" si="79"/>
      </c>
      <c r="K91" s="377">
        <v>18</v>
      </c>
      <c r="L91" s="379">
        <f t="shared" si="2"/>
      </c>
      <c r="M91" s="377">
        <v>0</v>
      </c>
      <c r="N91" s="380">
        <f t="shared" si="21"/>
      </c>
      <c r="O91" s="377">
        <v>1</v>
      </c>
      <c r="P91" s="380">
        <f t="shared" si="59"/>
      </c>
      <c r="Q91" s="381">
        <f>(M91+M93+M92)/(O91+O93+O92)</f>
      </c>
      <c r="R91" s="377">
        <v>6</v>
      </c>
      <c r="S91" s="381">
        <f>(O91+O93)/(K91+K93)</f>
      </c>
      <c r="T91" s="377">
        <v>0</v>
      </c>
      <c r="U91" s="382">
        <f>F91/T91</f>
      </c>
      <c r="V91" s="383">
        <f>(F91+4*500)/T91</f>
      </c>
      <c r="W91" s="377">
        <v>0</v>
      </c>
      <c r="X91" s="383">
        <f>W91/T91</f>
      </c>
      <c r="Y91" s="381">
        <f>T91/R91</f>
      </c>
      <c r="Z91" s="383">
        <f>W91/F91</f>
      </c>
      <c r="AA91" s="383">
        <f>W91/(F91+500)</f>
      </c>
      <c r="AB91" s="377">
        <v>0</v>
      </c>
      <c r="AC91" s="377">
        <v>0</v>
      </c>
      <c r="AD91" s="381">
        <f>AB91/T91</f>
      </c>
      <c r="AE91" s="383">
        <f>(W91-AC91)/(F91+500)</f>
      </c>
      <c r="AF91" s="383" t="s">
        <v>1068</v>
      </c>
    </row>
    <row r="92">
      <c r="A92" s="371"/>
      <c r="B92" s="372"/>
      <c r="C92" s="373"/>
      <c r="D92" s="374" t="s">
        <v>1069</v>
      </c>
      <c r="E92" s="384">
        <v>1282.71</v>
      </c>
      <c r="F92" s="376"/>
      <c r="G92" s="377">
        <v>829</v>
      </c>
      <c r="H92" s="377">
        <v>41</v>
      </c>
      <c r="I92" s="378">
        <f t="shared" si="40"/>
      </c>
      <c r="J92" s="379">
        <f t="shared" si="79"/>
      </c>
      <c r="K92" s="377">
        <v>8</v>
      </c>
      <c r="L92" s="379">
        <f t="shared" si="2"/>
      </c>
      <c r="M92" s="377">
        <v>0</v>
      </c>
      <c r="N92" s="380">
        <f t="shared" si="21"/>
      </c>
      <c r="O92" s="377">
        <v>1</v>
      </c>
      <c r="P92" s="380">
        <f t="shared" si="59"/>
      </c>
      <c r="Q92" s="381"/>
      <c r="R92" s="377"/>
      <c r="S92" s="381"/>
      <c r="T92" s="377"/>
      <c r="U92" s="382"/>
      <c r="V92" s="383"/>
      <c r="W92" s="377"/>
      <c r="X92" s="383"/>
      <c r="Y92" s="381"/>
      <c r="Z92" s="383"/>
      <c r="AA92" s="383"/>
      <c r="AB92" s="377"/>
      <c r="AC92" s="377"/>
      <c r="AD92" s="381"/>
      <c r="AE92" s="383"/>
      <c r="AF92" s="383" t="s">
        <v>1070</v>
      </c>
    </row>
    <row r="93">
      <c r="A93" s="371"/>
      <c r="B93" s="372"/>
      <c r="C93" s="373"/>
      <c r="D93" s="374" t="s">
        <v>1071</v>
      </c>
      <c r="E93" s="377">
        <v>60.24</v>
      </c>
      <c r="F93" s="376"/>
      <c r="G93" s="377">
        <v>79</v>
      </c>
      <c r="H93" s="377">
        <v>3</v>
      </c>
      <c r="I93" s="378">
        <f t="shared" si="40"/>
      </c>
      <c r="J93" s="379">
        <f t="shared" si="79"/>
      </c>
      <c r="K93" s="377">
        <v>1</v>
      </c>
      <c r="L93" s="379">
        <f t="shared" si="2"/>
      </c>
      <c r="M93" s="377">
        <v>0</v>
      </c>
      <c r="N93" s="380">
        <f t="shared" si="21"/>
      </c>
      <c r="O93" s="377">
        <v>0</v>
      </c>
      <c r="P93" s="380">
        <f t="shared" si="59"/>
      </c>
      <c r="Q93" s="381"/>
      <c r="R93" s="377"/>
      <c r="S93" s="381"/>
      <c r="T93" s="377"/>
      <c r="U93" s="382"/>
      <c r="V93" s="383"/>
      <c r="W93" s="377"/>
      <c r="X93" s="383"/>
      <c r="Y93" s="381"/>
      <c r="Z93" s="383"/>
      <c r="AA93" s="383"/>
      <c r="AB93" s="377"/>
      <c r="AC93" s="377"/>
      <c r="AD93" s="381"/>
      <c r="AE93" s="383"/>
      <c r="AF93" s="383"/>
    </row>
    <row customHeight="true" ht="20.238095238095237" r="94">
      <c r="A94" s="371"/>
      <c r="B94" s="372"/>
      <c r="C94" s="373"/>
      <c r="D94" s="374"/>
      <c r="E94" s="377">
        <f>SUM(E64:E93)</f>
      </c>
      <c r="F94" s="377">
        <f>SUM(F64:F93)</f>
      </c>
      <c r="G94" s="377"/>
      <c r="H94" s="377"/>
      <c r="I94" s="378"/>
      <c r="J94" s="379"/>
      <c r="K94" s="377"/>
      <c r="L94" s="379"/>
      <c r="M94" s="377"/>
      <c r="N94" s="380"/>
      <c r="O94" s="377"/>
      <c r="P94" s="380"/>
      <c r="Q94" s="381"/>
      <c r="R94" s="377"/>
      <c r="S94" s="381"/>
      <c r="T94" s="377">
        <f>SUM(T64:T93)</f>
      </c>
      <c r="U94" s="382"/>
      <c r="V94" s="383"/>
      <c r="W94" s="377">
        <f>SUM(W64:W93)</f>
      </c>
      <c r="X94" s="383"/>
      <c r="Y94" s="381"/>
      <c r="Z94" s="383"/>
      <c r="AA94" s="383"/>
      <c r="AB94" s="377"/>
      <c r="AC94" s="377"/>
      <c r="AD94" s="381"/>
      <c r="AE94" s="383"/>
      <c r="AF94" s="383"/>
    </row>
    <row r="95">
      <c r="A95" s="371" t="s">
        <v>1086</v>
      </c>
      <c r="B95" s="372" t="s">
        <v>1065</v>
      </c>
      <c r="C95" s="373" t="s">
        <v>1081</v>
      </c>
      <c r="D95" s="374" t="s">
        <v>1067</v>
      </c>
      <c r="E95" s="375">
        <v>835.15</v>
      </c>
      <c r="F95" s="376">
        <f>E95+E96+E97</f>
      </c>
      <c r="G95" s="377">
        <v>6910</v>
      </c>
      <c r="H95" s="377">
        <v>874</v>
      </c>
      <c r="I95" s="378">
        <f t="shared" ref="I95:I124" si="41">H95/G95</f>
      </c>
      <c r="J95" s="379">
        <f t="shared" ref="J95:J124" si="80">(E95/G95)*1000</f>
      </c>
      <c r="K95" s="377">
        <v>8</v>
      </c>
      <c r="L95" s="379">
        <f t="shared" ref="L95:L124" si="3">E95/K95</f>
      </c>
      <c r="M95" s="377">
        <v>2</v>
      </c>
      <c r="N95" s="380">
        <f t="shared" ref="N95:N124" si="22">E95/M95</f>
      </c>
      <c r="O95" s="377">
        <v>2</v>
      </c>
      <c r="P95" s="380">
        <f t="shared" ref="P95:P124" si="60">E95/O95</f>
      </c>
      <c r="Q95" s="381">
        <f>(M95+M97+M96)/(O95+O97+O96)</f>
      </c>
      <c r="R95" s="377">
        <v>2</v>
      </c>
      <c r="S95" s="381">
        <f>(O95+O97)/(K95+K97)</f>
      </c>
      <c r="T95" s="377">
        <v>3</v>
      </c>
      <c r="U95" s="382">
        <f>F95/T95</f>
      </c>
      <c r="V95" s="383">
        <f>(F95+4*500)/T95</f>
      </c>
      <c r="W95" s="377">
        <v>3495.4</v>
      </c>
      <c r="X95" s="383">
        <f>W95/T95</f>
      </c>
      <c r="Y95" s="381">
        <f>T95/R95</f>
      </c>
      <c r="Z95" s="383">
        <f>W95/F95</f>
      </c>
      <c r="AA95" s="383">
        <f>W95/(F95+500)</f>
      </c>
      <c r="AB95" s="377">
        <v>2</v>
      </c>
      <c r="AC95" s="377">
        <v>1028.2</v>
      </c>
      <c r="AD95" s="381">
        <f>AB95/T95</f>
      </c>
      <c r="AE95" s="383">
        <f>(W95-AC95)/(F95+500)</f>
      </c>
      <c r="AF95" s="383" t="s">
        <v>1068</v>
      </c>
    </row>
    <row r="96">
      <c r="A96" s="371"/>
      <c r="B96" s="372"/>
      <c r="C96" s="373"/>
      <c r="D96" s="374" t="s">
        <v>1069</v>
      </c>
      <c r="E96" s="384">
        <v>132.2</v>
      </c>
      <c r="F96" s="376"/>
      <c r="G96" s="377">
        <v>1701</v>
      </c>
      <c r="H96" s="377">
        <v>92</v>
      </c>
      <c r="I96" s="378">
        <f t="shared" si="41"/>
      </c>
      <c r="J96" s="379">
        <f t="shared" si="80"/>
      </c>
      <c r="K96" s="377">
        <v>0</v>
      </c>
      <c r="L96" s="379">
        <f t="shared" si="3"/>
      </c>
      <c r="M96" s="377">
        <v>0</v>
      </c>
      <c r="N96" s="380">
        <f t="shared" si="22"/>
      </c>
      <c r="O96" s="377">
        <v>0</v>
      </c>
      <c r="P96" s="380">
        <f t="shared" si="60"/>
      </c>
      <c r="Q96" s="381"/>
      <c r="R96" s="377"/>
      <c r="S96" s="381"/>
      <c r="T96" s="377"/>
      <c r="U96" s="382"/>
      <c r="V96" s="383"/>
      <c r="W96" s="377"/>
      <c r="X96" s="383"/>
      <c r="Y96" s="381"/>
      <c r="Z96" s="383"/>
      <c r="AA96" s="383"/>
      <c r="AB96" s="377"/>
      <c r="AC96" s="377"/>
      <c r="AD96" s="381"/>
      <c r="AE96" s="383"/>
      <c r="AF96" s="383" t="s">
        <v>1070</v>
      </c>
    </row>
    <row r="97">
      <c r="A97" s="371"/>
      <c r="B97" s="372"/>
      <c r="C97" s="373"/>
      <c r="D97" s="374" t="s">
        <v>1071</v>
      </c>
      <c r="E97" s="377">
        <v>2.15</v>
      </c>
      <c r="F97" s="376"/>
      <c r="G97" s="377">
        <v>45</v>
      </c>
      <c r="H97" s="377">
        <v>6</v>
      </c>
      <c r="I97" s="378">
        <f t="shared" si="41"/>
      </c>
      <c r="J97" s="379">
        <f t="shared" si="80"/>
      </c>
      <c r="K97" s="377">
        <v>0</v>
      </c>
      <c r="L97" s="379">
        <f t="shared" si="3"/>
      </c>
      <c r="M97" s="377">
        <v>0</v>
      </c>
      <c r="N97" s="380">
        <f t="shared" si="22"/>
      </c>
      <c r="O97" s="377">
        <v>0</v>
      </c>
      <c r="P97" s="380">
        <f t="shared" si="60"/>
      </c>
      <c r="Q97" s="381"/>
      <c r="R97" s="377"/>
      <c r="S97" s="381"/>
      <c r="T97" s="377"/>
      <c r="U97" s="382"/>
      <c r="V97" s="383"/>
      <c r="W97" s="377"/>
      <c r="X97" s="383"/>
      <c r="Y97" s="381"/>
      <c r="Z97" s="383"/>
      <c r="AA97" s="383"/>
      <c r="AB97" s="377"/>
      <c r="AC97" s="377"/>
      <c r="AD97" s="381"/>
      <c r="AE97" s="383"/>
      <c r="AF97" s="383"/>
    </row>
    <row r="98">
      <c r="A98" s="371"/>
      <c r="B98" s="372" t="s">
        <v>1072</v>
      </c>
      <c r="C98" s="373" t="s">
        <v>1081</v>
      </c>
      <c r="D98" s="374" t="s">
        <v>1067</v>
      </c>
      <c r="E98" s="375">
        <v>2015.56</v>
      </c>
      <c r="F98" s="376">
        <f>E98+E99+E100</f>
      </c>
      <c r="G98" s="377">
        <v>17225</v>
      </c>
      <c r="H98" s="377">
        <v>857</v>
      </c>
      <c r="I98" s="378">
        <f t="shared" si="41"/>
      </c>
      <c r="J98" s="379">
        <f t="shared" si="80"/>
      </c>
      <c r="K98" s="377">
        <v>34</v>
      </c>
      <c r="L98" s="379">
        <f t="shared" si="3"/>
      </c>
      <c r="M98" s="377">
        <v>1</v>
      </c>
      <c r="N98" s="380">
        <f t="shared" si="22"/>
      </c>
      <c r="O98" s="377">
        <v>3</v>
      </c>
      <c r="P98" s="380">
        <f t="shared" si="60"/>
      </c>
      <c r="Q98" s="381">
        <f>(M98+M100+M99)/(O98+O100+O99)</f>
      </c>
      <c r="R98" s="377">
        <v>8</v>
      </c>
      <c r="S98" s="381">
        <f>(O98+O100)/(K98+K100)</f>
      </c>
      <c r="T98" s="377">
        <v>2</v>
      </c>
      <c r="U98" s="382">
        <f>F98/T98</f>
      </c>
      <c r="V98" s="383">
        <f>(F98+4*500)/T98</f>
      </c>
      <c r="W98" s="377">
        <v>1200</v>
      </c>
      <c r="X98" s="383">
        <f>W98/T98</f>
      </c>
      <c r="Y98" s="381">
        <f>T98/R98</f>
      </c>
      <c r="Z98" s="383">
        <f>W98/F98</f>
      </c>
      <c r="AA98" s="383">
        <f>W98/(F98+500)</f>
      </c>
      <c r="AB98" s="377">
        <v>1</v>
      </c>
      <c r="AC98" s="377">
        <v>600</v>
      </c>
      <c r="AD98" s="381">
        <f>AB98/T98</f>
      </c>
      <c r="AE98" s="383">
        <f>(W98-AC98)/(F98+500)</f>
      </c>
      <c r="AF98" s="383" t="s">
        <v>1068</v>
      </c>
    </row>
    <row r="99">
      <c r="A99" s="371"/>
      <c r="B99" s="372"/>
      <c r="C99" s="373"/>
      <c r="D99" s="374" t="s">
        <v>1069</v>
      </c>
      <c r="E99" s="384">
        <v>222.09</v>
      </c>
      <c r="F99" s="376"/>
      <c r="G99" s="377">
        <v>1231</v>
      </c>
      <c r="H99" s="377">
        <v>58</v>
      </c>
      <c r="I99" s="378">
        <f t="shared" si="41"/>
      </c>
      <c r="J99" s="379">
        <f t="shared" si="80"/>
      </c>
      <c r="K99" s="377">
        <v>4</v>
      </c>
      <c r="L99" s="379">
        <f t="shared" si="3"/>
      </c>
      <c r="M99" s="377">
        <v>0</v>
      </c>
      <c r="N99" s="380">
        <f t="shared" si="22"/>
      </c>
      <c r="O99" s="377">
        <v>0</v>
      </c>
      <c r="P99" s="380">
        <f t="shared" si="60"/>
      </c>
      <c r="Q99" s="381"/>
      <c r="R99" s="377"/>
      <c r="S99" s="381"/>
      <c r="T99" s="377"/>
      <c r="U99" s="382"/>
      <c r="V99" s="383"/>
      <c r="W99" s="377"/>
      <c r="X99" s="383"/>
      <c r="Y99" s="381"/>
      <c r="Z99" s="383"/>
      <c r="AA99" s="383"/>
      <c r="AB99" s="377"/>
      <c r="AC99" s="377"/>
      <c r="AD99" s="381"/>
      <c r="AE99" s="383"/>
      <c r="AF99" s="383" t="s">
        <v>1070</v>
      </c>
    </row>
    <row r="100">
      <c r="A100" s="371"/>
      <c r="B100" s="372"/>
      <c r="C100" s="373"/>
      <c r="D100" s="374" t="s">
        <v>1071</v>
      </c>
      <c r="E100" s="377">
        <v>8.39</v>
      </c>
      <c r="F100" s="376"/>
      <c r="G100" s="377">
        <v>271</v>
      </c>
      <c r="H100" s="377">
        <v>16</v>
      </c>
      <c r="I100" s="378">
        <f t="shared" si="41"/>
      </c>
      <c r="J100" s="379">
        <f t="shared" si="80"/>
      </c>
      <c r="K100" s="377">
        <v>2</v>
      </c>
      <c r="L100" s="379">
        <f t="shared" si="3"/>
      </c>
      <c r="M100" s="377">
        <v>0</v>
      </c>
      <c r="N100" s="380">
        <f t="shared" si="22"/>
      </c>
      <c r="O100" s="377">
        <v>0</v>
      </c>
      <c r="P100" s="380">
        <f t="shared" si="60"/>
      </c>
      <c r="Q100" s="381"/>
      <c r="R100" s="377"/>
      <c r="S100" s="381"/>
      <c r="T100" s="377"/>
      <c r="U100" s="382"/>
      <c r="V100" s="383"/>
      <c r="W100" s="377"/>
      <c r="X100" s="383"/>
      <c r="Y100" s="381"/>
      <c r="Z100" s="383"/>
      <c r="AA100" s="383"/>
      <c r="AB100" s="377"/>
      <c r="AC100" s="377"/>
      <c r="AD100" s="381"/>
      <c r="AE100" s="383"/>
      <c r="AF100" s="383"/>
    </row>
    <row r="101">
      <c r="A101" s="371"/>
      <c r="B101" s="372" t="s">
        <v>1073</v>
      </c>
      <c r="C101" s="373" t="s">
        <v>1081</v>
      </c>
      <c r="D101" s="374" t="s">
        <v>1067</v>
      </c>
      <c r="E101" s="375">
        <v>1150.54</v>
      </c>
      <c r="F101" s="376">
        <f>E101+E102+E103</f>
      </c>
      <c r="G101" s="377">
        <v>11565</v>
      </c>
      <c r="H101" s="377">
        <v>595</v>
      </c>
      <c r="I101" s="378">
        <f t="shared" si="41"/>
      </c>
      <c r="J101" s="379">
        <f t="shared" si="80"/>
      </c>
      <c r="K101" s="377">
        <v>14</v>
      </c>
      <c r="L101" s="379">
        <f t="shared" si="3"/>
      </c>
      <c r="M101" s="377">
        <v>0</v>
      </c>
      <c r="N101" s="380">
        <f t="shared" si="22"/>
      </c>
      <c r="O101" s="377">
        <v>3</v>
      </c>
      <c r="P101" s="380">
        <f t="shared" si="60"/>
      </c>
      <c r="Q101" s="381">
        <f>(M101+M103+M102)/(O101+O103+O102)</f>
      </c>
      <c r="R101" s="377">
        <v>5</v>
      </c>
      <c r="S101" s="381">
        <f>(O101+O103)/(K101+K103)</f>
      </c>
      <c r="T101" s="377">
        <v>0</v>
      </c>
      <c r="U101" s="382">
        <f>F101/T101</f>
      </c>
      <c r="V101" s="383">
        <f>(F101+4*500)/T101</f>
      </c>
      <c r="W101" s="377">
        <v>0</v>
      </c>
      <c r="X101" s="383">
        <f>W101/T101</f>
      </c>
      <c r="Y101" s="381">
        <f>T101/R101</f>
      </c>
      <c r="Z101" s="383">
        <f>W101/F101</f>
      </c>
      <c r="AA101" s="383">
        <f>W101/(F101+500)</f>
      </c>
      <c r="AB101" s="377">
        <v>0</v>
      </c>
      <c r="AC101" s="377">
        <v>0</v>
      </c>
      <c r="AD101" s="381">
        <f>AB101/T101</f>
      </c>
      <c r="AE101" s="383">
        <f>(W101-AC101)/(F101+500)</f>
      </c>
      <c r="AF101" s="383" t="s">
        <v>1068</v>
      </c>
    </row>
    <row r="102">
      <c r="A102" s="371"/>
      <c r="B102" s="372"/>
      <c r="C102" s="373"/>
      <c r="D102" s="374" t="s">
        <v>1069</v>
      </c>
      <c r="E102" s="384">
        <v>249.47</v>
      </c>
      <c r="F102" s="376"/>
      <c r="G102" s="377">
        <v>1231</v>
      </c>
      <c r="H102" s="377">
        <v>54</v>
      </c>
      <c r="I102" s="378">
        <f t="shared" si="41"/>
      </c>
      <c r="J102" s="379">
        <f t="shared" si="80"/>
      </c>
      <c r="K102" s="377">
        <v>4</v>
      </c>
      <c r="L102" s="379">
        <f t="shared" si="3"/>
      </c>
      <c r="M102" s="377">
        <v>0</v>
      </c>
      <c r="N102" s="380">
        <f t="shared" si="22"/>
      </c>
      <c r="O102" s="377">
        <v>0</v>
      </c>
      <c r="P102" s="380">
        <f t="shared" si="60"/>
      </c>
      <c r="Q102" s="381"/>
      <c r="R102" s="377"/>
      <c r="S102" s="381"/>
      <c r="T102" s="377"/>
      <c r="U102" s="382"/>
      <c r="V102" s="383"/>
      <c r="W102" s="377"/>
      <c r="X102" s="383"/>
      <c r="Y102" s="381"/>
      <c r="Z102" s="383"/>
      <c r="AA102" s="383"/>
      <c r="AB102" s="377"/>
      <c r="AC102" s="377"/>
      <c r="AD102" s="381"/>
      <c r="AE102" s="383"/>
      <c r="AF102" s="383" t="s">
        <v>1070</v>
      </c>
    </row>
    <row r="103">
      <c r="A103" s="371"/>
      <c r="B103" s="372"/>
      <c r="C103" s="373"/>
      <c r="D103" s="374" t="s">
        <v>1071</v>
      </c>
      <c r="E103" s="377">
        <v>236.06</v>
      </c>
      <c r="F103" s="376"/>
      <c r="G103" s="377">
        <v>586</v>
      </c>
      <c r="H103" s="377">
        <v>28</v>
      </c>
      <c r="I103" s="378">
        <f t="shared" si="41"/>
      </c>
      <c r="J103" s="379">
        <f t="shared" si="80"/>
      </c>
      <c r="K103" s="377">
        <v>3</v>
      </c>
      <c r="L103" s="379">
        <f t="shared" si="3"/>
      </c>
      <c r="M103" s="377">
        <v>0</v>
      </c>
      <c r="N103" s="380">
        <f t="shared" si="22"/>
      </c>
      <c r="O103" s="377">
        <v>0</v>
      </c>
      <c r="P103" s="380">
        <f t="shared" si="60"/>
      </c>
      <c r="Q103" s="381"/>
      <c r="R103" s="377"/>
      <c r="S103" s="381"/>
      <c r="T103" s="377"/>
      <c r="U103" s="382"/>
      <c r="V103" s="383"/>
      <c r="W103" s="377"/>
      <c r="X103" s="383"/>
      <c r="Y103" s="381"/>
      <c r="Z103" s="383"/>
      <c r="AA103" s="383"/>
      <c r="AB103" s="377"/>
      <c r="AC103" s="377"/>
      <c r="AD103" s="381"/>
      <c r="AE103" s="383"/>
      <c r="AF103" s="383"/>
    </row>
    <row r="104">
      <c r="A104" s="371"/>
      <c r="B104" s="372" t="s">
        <v>1074</v>
      </c>
      <c r="C104" s="373" t="s">
        <v>1081</v>
      </c>
      <c r="D104" s="374" t="s">
        <v>1067</v>
      </c>
      <c r="E104" s="375">
        <v>640.39</v>
      </c>
      <c r="F104" s="376">
        <f>E104+E105+E106</f>
      </c>
      <c r="G104" s="377">
        <v>5958</v>
      </c>
      <c r="H104" s="377">
        <v>237</v>
      </c>
      <c r="I104" s="378">
        <f t="shared" si="41"/>
      </c>
      <c r="J104" s="379">
        <f t="shared" si="80"/>
      </c>
      <c r="K104" s="377">
        <v>7</v>
      </c>
      <c r="L104" s="379">
        <f t="shared" si="3"/>
      </c>
      <c r="M104" s="377">
        <v>0</v>
      </c>
      <c r="N104" s="380">
        <f t="shared" si="22"/>
      </c>
      <c r="O104" s="377">
        <v>2</v>
      </c>
      <c r="P104" s="380">
        <f t="shared" si="60"/>
      </c>
      <c r="Q104" s="381">
        <f>(M104+M106+M105)/(O104+O106+O105)</f>
      </c>
      <c r="R104" s="377">
        <v>3</v>
      </c>
      <c r="S104" s="381">
        <f>(O104+O106)/(K104+K106)</f>
      </c>
      <c r="T104" s="377">
        <v>1</v>
      </c>
      <c r="U104" s="382">
        <f>F104/T104</f>
      </c>
      <c r="V104" s="383">
        <f>(F104+4*500)/T104</f>
      </c>
      <c r="W104" s="377">
        <v>2467.2</v>
      </c>
      <c r="X104" s="383">
        <f>W104/T104</f>
      </c>
      <c r="Y104" s="381">
        <f>T104/R104</f>
      </c>
      <c r="Z104" s="383">
        <f>W104/F104</f>
      </c>
      <c r="AA104" s="383">
        <f>W104/(F104+500)</f>
      </c>
      <c r="AB104" s="377">
        <v>0</v>
      </c>
      <c r="AC104" s="377">
        <v>0</v>
      </c>
      <c r="AD104" s="381">
        <f>AB104/T104</f>
      </c>
      <c r="AE104" s="383">
        <f>(W104-AC104)/(F104+500)</f>
      </c>
      <c r="AF104" s="383" t="s">
        <v>1068</v>
      </c>
    </row>
    <row r="105">
      <c r="A105" s="371"/>
      <c r="B105" s="372"/>
      <c r="C105" s="373"/>
      <c r="D105" s="374" t="s">
        <v>1069</v>
      </c>
      <c r="E105" s="384">
        <v>236.43</v>
      </c>
      <c r="F105" s="376"/>
      <c r="G105" s="377">
        <v>970</v>
      </c>
      <c r="H105" s="377">
        <v>55</v>
      </c>
      <c r="I105" s="378">
        <f t="shared" si="41"/>
      </c>
      <c r="J105" s="379">
        <f t="shared" si="80"/>
      </c>
      <c r="K105" s="377">
        <v>3</v>
      </c>
      <c r="L105" s="379">
        <f t="shared" si="3"/>
      </c>
      <c r="M105" s="377">
        <v>0</v>
      </c>
      <c r="N105" s="380">
        <f t="shared" si="22"/>
      </c>
      <c r="O105" s="377">
        <v>0</v>
      </c>
      <c r="P105" s="380">
        <f t="shared" si="60"/>
      </c>
      <c r="Q105" s="381"/>
      <c r="R105" s="377"/>
      <c r="S105" s="381"/>
      <c r="T105" s="377"/>
      <c r="U105" s="382"/>
      <c r="V105" s="383"/>
      <c r="W105" s="377"/>
      <c r="X105" s="383"/>
      <c r="Y105" s="381"/>
      <c r="Z105" s="383"/>
      <c r="AA105" s="383"/>
      <c r="AB105" s="377"/>
      <c r="AC105" s="377"/>
      <c r="AD105" s="381"/>
      <c r="AE105" s="383"/>
      <c r="AF105" s="383" t="s">
        <v>1070</v>
      </c>
    </row>
    <row r="106">
      <c r="A106" s="371"/>
      <c r="B106" s="372"/>
      <c r="C106" s="373"/>
      <c r="D106" s="374" t="s">
        <v>1071</v>
      </c>
      <c r="E106" s="377">
        <v>81.42</v>
      </c>
      <c r="F106" s="376"/>
      <c r="G106" s="377">
        <v>260</v>
      </c>
      <c r="H106" s="377">
        <v>5</v>
      </c>
      <c r="I106" s="378">
        <f t="shared" si="41"/>
      </c>
      <c r="J106" s="379">
        <f t="shared" si="80"/>
      </c>
      <c r="K106" s="377">
        <v>0</v>
      </c>
      <c r="L106" s="379">
        <f t="shared" si="3"/>
      </c>
      <c r="M106" s="377">
        <v>0</v>
      </c>
      <c r="N106" s="380">
        <f t="shared" si="22"/>
      </c>
      <c r="O106" s="377">
        <v>0</v>
      </c>
      <c r="P106" s="380">
        <f t="shared" si="60"/>
      </c>
      <c r="Q106" s="381"/>
      <c r="R106" s="377"/>
      <c r="S106" s="381"/>
      <c r="T106" s="377"/>
      <c r="U106" s="382"/>
      <c r="V106" s="383"/>
      <c r="W106" s="377"/>
      <c r="X106" s="383"/>
      <c r="Y106" s="381"/>
      <c r="Z106" s="383"/>
      <c r="AA106" s="383"/>
      <c r="AB106" s="377"/>
      <c r="AC106" s="377"/>
      <c r="AD106" s="381"/>
      <c r="AE106" s="383"/>
      <c r="AF106" s="383"/>
    </row>
    <row r="107">
      <c r="A107" s="371"/>
      <c r="B107" s="372" t="s">
        <v>1075</v>
      </c>
      <c r="C107" s="373" t="s">
        <v>1084</v>
      </c>
      <c r="D107" s="374" t="s">
        <v>1067</v>
      </c>
      <c r="E107" s="375">
        <v>1404.17</v>
      </c>
      <c r="F107" s="376">
        <f>E107+E108+E109</f>
      </c>
      <c r="G107" s="377">
        <v>10012</v>
      </c>
      <c r="H107" s="377">
        <v>174</v>
      </c>
      <c r="I107" s="378">
        <f t="shared" si="41"/>
      </c>
      <c r="J107" s="379">
        <f t="shared" si="80"/>
      </c>
      <c r="K107" s="377">
        <v>13</v>
      </c>
      <c r="L107" s="379">
        <f t="shared" si="3"/>
      </c>
      <c r="M107" s="377">
        <v>5</v>
      </c>
      <c r="N107" s="380">
        <f t="shared" si="22"/>
      </c>
      <c r="O107" s="377">
        <v>4</v>
      </c>
      <c r="P107" s="380">
        <f t="shared" si="60"/>
      </c>
      <c r="Q107" s="381">
        <f>(M107+M109+M108)/(O107+O109+O108)</f>
      </c>
      <c r="R107" s="377">
        <v>4</v>
      </c>
      <c r="S107" s="381">
        <f>(O107+O109)/(K107+K109)</f>
      </c>
      <c r="T107" s="377">
        <v>4</v>
      </c>
      <c r="U107" s="382">
        <f>F107/T107</f>
      </c>
      <c r="V107" s="383">
        <f>(F107+4*500)/T107</f>
      </c>
      <c r="W107" s="377">
        <v>3370.8</v>
      </c>
      <c r="X107" s="383">
        <f>W107/T107</f>
      </c>
      <c r="Y107" s="381">
        <f>T107/R107</f>
      </c>
      <c r="Z107" s="383">
        <f>W107/F107</f>
      </c>
      <c r="AA107" s="383">
        <f>W107/(F107+500)</f>
      </c>
      <c r="AB107" s="377">
        <v>2</v>
      </c>
      <c r="AC107" s="377">
        <v>802.8</v>
      </c>
      <c r="AD107" s="381">
        <f>AB107/T107</f>
      </c>
      <c r="AE107" s="383">
        <f>(W107-AC107)/(F107+500)</f>
      </c>
      <c r="AF107" s="383" t="s">
        <v>1068</v>
      </c>
    </row>
    <row r="108">
      <c r="A108" s="371"/>
      <c r="B108" s="372"/>
      <c r="C108" s="373"/>
      <c r="D108" s="374" t="s">
        <v>1069</v>
      </c>
      <c r="E108" s="384">
        <v>53.64</v>
      </c>
      <c r="F108" s="376"/>
      <c r="G108" s="377">
        <v>975</v>
      </c>
      <c r="H108" s="377">
        <v>52</v>
      </c>
      <c r="I108" s="378">
        <f t="shared" si="41"/>
      </c>
      <c r="J108" s="379">
        <f t="shared" si="80"/>
      </c>
      <c r="K108" s="377">
        <v>1</v>
      </c>
      <c r="L108" s="379">
        <f t="shared" si="3"/>
      </c>
      <c r="M108" s="377">
        <v>0</v>
      </c>
      <c r="N108" s="380">
        <f t="shared" si="22"/>
      </c>
      <c r="O108" s="377">
        <v>0</v>
      </c>
      <c r="P108" s="380">
        <f t="shared" si="60"/>
      </c>
      <c r="Q108" s="381"/>
      <c r="R108" s="377"/>
      <c r="S108" s="381"/>
      <c r="T108" s="377"/>
      <c r="U108" s="382"/>
      <c r="V108" s="383"/>
      <c r="W108" s="377"/>
      <c r="X108" s="383"/>
      <c r="Y108" s="381"/>
      <c r="Z108" s="383"/>
      <c r="AA108" s="383"/>
      <c r="AB108" s="377"/>
      <c r="AC108" s="377"/>
      <c r="AD108" s="381"/>
      <c r="AE108" s="383"/>
      <c r="AF108" s="383" t="s">
        <v>1070</v>
      </c>
    </row>
    <row r="109">
      <c r="A109" s="371"/>
      <c r="B109" s="372"/>
      <c r="C109" s="373"/>
      <c r="D109" s="374" t="s">
        <v>1071</v>
      </c>
      <c r="E109" s="377">
        <v>0.94</v>
      </c>
      <c r="F109" s="376"/>
      <c r="G109" s="377">
        <v>150</v>
      </c>
      <c r="H109" s="377">
        <v>2</v>
      </c>
      <c r="I109" s="378">
        <f t="shared" si="41"/>
      </c>
      <c r="J109" s="379">
        <f t="shared" si="80"/>
      </c>
      <c r="K109" s="377">
        <v>0</v>
      </c>
      <c r="L109" s="379">
        <f t="shared" si="3"/>
      </c>
      <c r="M109" s="377">
        <v>0</v>
      </c>
      <c r="N109" s="380">
        <f t="shared" si="22"/>
      </c>
      <c r="O109" s="377">
        <v>0</v>
      </c>
      <c r="P109" s="380">
        <f t="shared" si="60"/>
      </c>
      <c r="Q109" s="381"/>
      <c r="R109" s="377"/>
      <c r="S109" s="381"/>
      <c r="T109" s="377"/>
      <c r="U109" s="382"/>
      <c r="V109" s="383"/>
      <c r="W109" s="377"/>
      <c r="X109" s="383"/>
      <c r="Y109" s="381"/>
      <c r="Z109" s="383"/>
      <c r="AA109" s="383"/>
      <c r="AB109" s="377"/>
      <c r="AC109" s="377"/>
      <c r="AD109" s="381"/>
      <c r="AE109" s="383"/>
      <c r="AF109" s="383"/>
    </row>
    <row r="110">
      <c r="A110" s="371"/>
      <c r="B110" s="372" t="s">
        <v>1077</v>
      </c>
      <c r="C110" s="373" t="s">
        <v>1084</v>
      </c>
      <c r="D110" s="374" t="s">
        <v>1067</v>
      </c>
      <c r="E110" s="375">
        <v>3376.45</v>
      </c>
      <c r="F110" s="376">
        <f>E110+E111+E112</f>
      </c>
      <c r="G110" s="377">
        <v>32694</v>
      </c>
      <c r="H110" s="377">
        <v>458</v>
      </c>
      <c r="I110" s="378">
        <f t="shared" si="41"/>
      </c>
      <c r="J110" s="379">
        <f t="shared" si="80"/>
      </c>
      <c r="K110" s="377">
        <v>34</v>
      </c>
      <c r="L110" s="379">
        <f t="shared" si="3"/>
      </c>
      <c r="M110" s="377">
        <v>0</v>
      </c>
      <c r="N110" s="380">
        <f t="shared" si="22"/>
      </c>
      <c r="O110" s="377">
        <v>1</v>
      </c>
      <c r="P110" s="380">
        <f t="shared" si="60"/>
      </c>
      <c r="Q110" s="381">
        <f>(M110+M112+M111)/(O110+O112+O111)</f>
      </c>
      <c r="R110" s="377">
        <v>2</v>
      </c>
      <c r="S110" s="381">
        <f>(O110+O112)/(K110+K112)</f>
      </c>
      <c r="T110" s="377">
        <v>0</v>
      </c>
      <c r="U110" s="382">
        <f>F110/T110</f>
      </c>
      <c r="V110" s="383">
        <f>(F110+4*500)/T110</f>
      </c>
      <c r="W110" s="377">
        <v>0</v>
      </c>
      <c r="X110" s="383">
        <f>W110/T110</f>
      </c>
      <c r="Y110" s="381">
        <f>T110/R110</f>
      </c>
      <c r="Z110" s="383">
        <f>W110/F110</f>
      </c>
      <c r="AA110" s="383">
        <f>W110/(F110+500)</f>
      </c>
      <c r="AB110" s="377">
        <v>0</v>
      </c>
      <c r="AC110" s="377">
        <v>0</v>
      </c>
      <c r="AD110" s="381">
        <f>AB110/T110</f>
      </c>
      <c r="AE110" s="383">
        <f>(W110-AC110)/(F110+500)</f>
      </c>
      <c r="AF110" s="383" t="s">
        <v>1068</v>
      </c>
    </row>
    <row r="111">
      <c r="A111" s="371"/>
      <c r="B111" s="372"/>
      <c r="C111" s="373"/>
      <c r="D111" s="374" t="s">
        <v>1069</v>
      </c>
      <c r="E111" s="384">
        <v>40.77</v>
      </c>
      <c r="F111" s="376"/>
      <c r="G111" s="377">
        <v>691</v>
      </c>
      <c r="H111" s="377">
        <v>29</v>
      </c>
      <c r="I111" s="378">
        <f t="shared" si="41"/>
      </c>
      <c r="J111" s="379">
        <f t="shared" si="80"/>
      </c>
      <c r="K111" s="377">
        <v>0</v>
      </c>
      <c r="L111" s="379">
        <f t="shared" si="3"/>
      </c>
      <c r="M111" s="377">
        <v>0</v>
      </c>
      <c r="N111" s="380">
        <f t="shared" si="22"/>
      </c>
      <c r="O111" s="377">
        <v>0</v>
      </c>
      <c r="P111" s="380">
        <f t="shared" si="60"/>
      </c>
      <c r="Q111" s="381"/>
      <c r="R111" s="377"/>
      <c r="S111" s="381"/>
      <c r="T111" s="377"/>
      <c r="U111" s="382"/>
      <c r="V111" s="383"/>
      <c r="W111" s="377"/>
      <c r="X111" s="383"/>
      <c r="Y111" s="381"/>
      <c r="Z111" s="383"/>
      <c r="AA111" s="383"/>
      <c r="AB111" s="377"/>
      <c r="AC111" s="377"/>
      <c r="AD111" s="381"/>
      <c r="AE111" s="383"/>
      <c r="AF111" s="383" t="s">
        <v>1070</v>
      </c>
    </row>
    <row r="112">
      <c r="A112" s="371"/>
      <c r="B112" s="372"/>
      <c r="C112" s="373"/>
      <c r="D112" s="374" t="s">
        <v>1071</v>
      </c>
      <c r="E112" s="377">
        <v>34.59</v>
      </c>
      <c r="F112" s="376"/>
      <c r="G112" s="377">
        <v>117</v>
      </c>
      <c r="H112" s="377">
        <v>2</v>
      </c>
      <c r="I112" s="378">
        <f t="shared" si="41"/>
      </c>
      <c r="J112" s="379">
        <f t="shared" si="80"/>
      </c>
      <c r="K112" s="377">
        <v>1</v>
      </c>
      <c r="L112" s="379">
        <f t="shared" si="3"/>
      </c>
      <c r="M112" s="377">
        <v>0</v>
      </c>
      <c r="N112" s="380">
        <f t="shared" si="22"/>
      </c>
      <c r="O112" s="377">
        <v>0</v>
      </c>
      <c r="P112" s="380">
        <f t="shared" si="60"/>
      </c>
      <c r="Q112" s="381"/>
      <c r="R112" s="377"/>
      <c r="S112" s="381"/>
      <c r="T112" s="377"/>
      <c r="U112" s="382"/>
      <c r="V112" s="383"/>
      <c r="W112" s="377"/>
      <c r="X112" s="383"/>
      <c r="Y112" s="381"/>
      <c r="Z112" s="383"/>
      <c r="AA112" s="383"/>
      <c r="AB112" s="377"/>
      <c r="AC112" s="377"/>
      <c r="AD112" s="381"/>
      <c r="AE112" s="383"/>
      <c r="AF112" s="383"/>
    </row>
    <row r="113">
      <c r="A113" s="371"/>
      <c r="B113" s="385" t="s">
        <v>1078</v>
      </c>
      <c r="C113" s="373" t="s">
        <v>1084</v>
      </c>
      <c r="D113" s="374" t="s">
        <v>1067</v>
      </c>
      <c r="E113" s="375">
        <v>2025.41</v>
      </c>
      <c r="F113" s="376">
        <f>E113+E114+E115</f>
      </c>
      <c r="G113" s="377">
        <v>23521</v>
      </c>
      <c r="H113" s="377">
        <v>300</v>
      </c>
      <c r="I113" s="378">
        <f t="shared" si="41"/>
      </c>
      <c r="J113" s="379">
        <f t="shared" si="80"/>
      </c>
      <c r="K113" s="377">
        <v>9</v>
      </c>
      <c r="L113" s="379">
        <f t="shared" si="3"/>
      </c>
      <c r="M113" s="377">
        <v>1</v>
      </c>
      <c r="N113" s="380">
        <f t="shared" si="22"/>
      </c>
      <c r="O113" s="377">
        <v>4</v>
      </c>
      <c r="P113" s="380">
        <f t="shared" si="60"/>
      </c>
      <c r="Q113" s="381">
        <f>(M113+M115+M114)/(O113+O115+O114)</f>
      </c>
      <c r="R113" s="377">
        <v>4</v>
      </c>
      <c r="S113" s="381">
        <f>(O113+O115)/(K113+K115)</f>
      </c>
      <c r="T113" s="377">
        <v>1</v>
      </c>
      <c r="U113" s="382">
        <f>F113/T113</f>
      </c>
      <c r="V113" s="383">
        <f>(F113+4*500)/T113</f>
      </c>
      <c r="W113" s="377">
        <v>182.4</v>
      </c>
      <c r="X113" s="383">
        <f>W113/T113</f>
      </c>
      <c r="Y113" s="381">
        <f>T113/R113</f>
      </c>
      <c r="Z113" s="383">
        <f>W113/F113</f>
      </c>
      <c r="AA113" s="383">
        <f>W113/(F113+500)</f>
      </c>
      <c r="AB113" s="377">
        <v>0</v>
      </c>
      <c r="AC113" s="377">
        <v>0</v>
      </c>
      <c r="AD113" s="381">
        <f>AB113/T113</f>
      </c>
      <c r="AE113" s="383">
        <f>(W113-AC113)/(F113+500)</f>
      </c>
      <c r="AF113" s="383" t="s">
        <v>1068</v>
      </c>
    </row>
    <row r="114">
      <c r="A114" s="371"/>
      <c r="B114" s="385"/>
      <c r="C114" s="373"/>
      <c r="D114" s="374" t="s">
        <v>1069</v>
      </c>
      <c r="E114" s="384">
        <v>167.36</v>
      </c>
      <c r="F114" s="376"/>
      <c r="G114" s="377">
        <v>999</v>
      </c>
      <c r="H114" s="377">
        <v>33</v>
      </c>
      <c r="I114" s="378">
        <f t="shared" si="41"/>
      </c>
      <c r="J114" s="379">
        <f t="shared" si="80"/>
      </c>
      <c r="K114" s="377">
        <v>0</v>
      </c>
      <c r="L114" s="379">
        <f t="shared" si="3"/>
      </c>
      <c r="M114" s="377">
        <v>0</v>
      </c>
      <c r="N114" s="380">
        <f t="shared" si="22"/>
      </c>
      <c r="O114" s="377">
        <v>0</v>
      </c>
      <c r="P114" s="380">
        <f t="shared" si="60"/>
      </c>
      <c r="Q114" s="381"/>
      <c r="R114" s="377"/>
      <c r="S114" s="381"/>
      <c r="T114" s="377"/>
      <c r="U114" s="382"/>
      <c r="V114" s="383"/>
      <c r="W114" s="377"/>
      <c r="X114" s="383"/>
      <c r="Y114" s="381"/>
      <c r="Z114" s="383"/>
      <c r="AA114" s="383"/>
      <c r="AB114" s="377"/>
      <c r="AC114" s="377"/>
      <c r="AD114" s="381"/>
      <c r="AE114" s="383"/>
      <c r="AF114" s="383" t="s">
        <v>1070</v>
      </c>
    </row>
    <row r="115">
      <c r="A115" s="371"/>
      <c r="B115" s="385"/>
      <c r="C115" s="373"/>
      <c r="D115" s="374" t="s">
        <v>1071</v>
      </c>
      <c r="E115" s="377">
        <v>0.42</v>
      </c>
      <c r="F115" s="376"/>
      <c r="G115" s="377">
        <v>42</v>
      </c>
      <c r="H115" s="377">
        <v>1</v>
      </c>
      <c r="I115" s="378">
        <f t="shared" si="41"/>
      </c>
      <c r="J115" s="379">
        <f t="shared" si="80"/>
      </c>
      <c r="K115" s="377">
        <v>0</v>
      </c>
      <c r="L115" s="379">
        <f t="shared" si="3"/>
      </c>
      <c r="M115" s="377">
        <v>0</v>
      </c>
      <c r="N115" s="380">
        <f t="shared" si="22"/>
      </c>
      <c r="O115" s="377">
        <v>0</v>
      </c>
      <c r="P115" s="380">
        <f t="shared" si="60"/>
      </c>
      <c r="Q115" s="381"/>
      <c r="R115" s="377"/>
      <c r="S115" s="381"/>
      <c r="T115" s="377"/>
      <c r="U115" s="382"/>
      <c r="V115" s="383"/>
      <c r="W115" s="377"/>
      <c r="X115" s="383"/>
      <c r="Y115" s="381"/>
      <c r="Z115" s="383"/>
      <c r="AA115" s="383"/>
      <c r="AB115" s="377"/>
      <c r="AC115" s="377"/>
      <c r="AD115" s="381"/>
      <c r="AE115" s="383"/>
      <c r="AF115" s="383"/>
    </row>
    <row r="116">
      <c r="A116" s="371"/>
      <c r="B116" s="372" t="s">
        <v>1079</v>
      </c>
      <c r="C116" s="373" t="s">
        <v>1084</v>
      </c>
      <c r="D116" s="374" t="s">
        <v>1067</v>
      </c>
      <c r="E116" s="375">
        <v>1416.89</v>
      </c>
      <c r="F116" s="376">
        <f>E116+E117+E118</f>
      </c>
      <c r="G116" s="377">
        <v>13716</v>
      </c>
      <c r="H116" s="377">
        <v>230</v>
      </c>
      <c r="I116" s="378">
        <f t="shared" si="41"/>
      </c>
      <c r="J116" s="379">
        <f t="shared" si="80"/>
      </c>
      <c r="K116" s="377">
        <v>16</v>
      </c>
      <c r="L116" s="379">
        <f t="shared" si="3"/>
      </c>
      <c r="M116" s="377">
        <v>0</v>
      </c>
      <c r="N116" s="380">
        <f t="shared" si="22"/>
      </c>
      <c r="O116" s="377">
        <v>2</v>
      </c>
      <c r="P116" s="380">
        <f t="shared" si="60"/>
      </c>
      <c r="Q116" s="381">
        <f>(M116+M118+M117)/(O116+O118+O117)</f>
      </c>
      <c r="R116" s="377">
        <v>5</v>
      </c>
      <c r="S116" s="381">
        <f>(O116+O118)/(K116+K118)</f>
      </c>
      <c r="T116" s="377">
        <v>2</v>
      </c>
      <c r="U116" s="382">
        <f>F116/T116</f>
      </c>
      <c r="V116" s="383">
        <f>(F116+4*500)/T116</f>
      </c>
      <c r="W116" s="377">
        <v>2847.2</v>
      </c>
      <c r="X116" s="383">
        <f>W116/T116</f>
      </c>
      <c r="Y116" s="381">
        <f>T116/R116</f>
      </c>
      <c r="Z116" s="383">
        <f>W116/F116</f>
      </c>
      <c r="AA116" s="383">
        <f>W116/(F116+500)</f>
      </c>
      <c r="AB116" s="377">
        <v>0</v>
      </c>
      <c r="AC116" s="377">
        <v>0</v>
      </c>
      <c r="AD116" s="381">
        <f>AB116/T116</f>
      </c>
      <c r="AE116" s="383">
        <f>(W116-AC116)/(F116+500)</f>
      </c>
      <c r="AF116" s="383" t="s">
        <v>1068</v>
      </c>
    </row>
    <row r="117">
      <c r="A117" s="371"/>
      <c r="B117" s="372"/>
      <c r="C117" s="373"/>
      <c r="D117" s="374" t="s">
        <v>1069</v>
      </c>
      <c r="E117" s="384">
        <v>776.02</v>
      </c>
      <c r="F117" s="376"/>
      <c r="G117" s="377">
        <v>798</v>
      </c>
      <c r="H117" s="377">
        <v>39</v>
      </c>
      <c r="I117" s="378">
        <f t="shared" si="41"/>
      </c>
      <c r="J117" s="379">
        <f t="shared" si="80"/>
      </c>
      <c r="K117" s="377">
        <v>4</v>
      </c>
      <c r="L117" s="379">
        <f t="shared" si="3"/>
      </c>
      <c r="M117" s="377">
        <v>1</v>
      </c>
      <c r="N117" s="380">
        <f t="shared" si="22"/>
      </c>
      <c r="O117" s="377">
        <v>1</v>
      </c>
      <c r="P117" s="380">
        <f t="shared" si="60"/>
      </c>
      <c r="Q117" s="381"/>
      <c r="R117" s="377"/>
      <c r="S117" s="381"/>
      <c r="T117" s="377"/>
      <c r="U117" s="382"/>
      <c r="V117" s="383"/>
      <c r="W117" s="377"/>
      <c r="X117" s="383"/>
      <c r="Y117" s="381"/>
      <c r="Z117" s="383"/>
      <c r="AA117" s="383"/>
      <c r="AB117" s="377"/>
      <c r="AC117" s="377"/>
      <c r="AD117" s="381"/>
      <c r="AE117" s="383"/>
      <c r="AF117" s="383" t="s">
        <v>1070</v>
      </c>
    </row>
    <row r="118">
      <c r="A118" s="371"/>
      <c r="B118" s="372"/>
      <c r="C118" s="373"/>
      <c r="D118" s="374" t="s">
        <v>1071</v>
      </c>
      <c r="E118" s="377">
        <v>1.29</v>
      </c>
      <c r="F118" s="376"/>
      <c r="G118" s="377">
        <v>37</v>
      </c>
      <c r="H118" s="377">
        <v>4</v>
      </c>
      <c r="I118" s="378">
        <f t="shared" si="41"/>
      </c>
      <c r="J118" s="379">
        <f t="shared" si="80"/>
      </c>
      <c r="K118" s="377">
        <v>0</v>
      </c>
      <c r="L118" s="379">
        <f t="shared" si="3"/>
      </c>
      <c r="M118" s="377">
        <v>0</v>
      </c>
      <c r="N118" s="380">
        <f t="shared" si="22"/>
      </c>
      <c r="O118" s="377">
        <v>0</v>
      </c>
      <c r="P118" s="380">
        <f t="shared" si="60"/>
      </c>
      <c r="Q118" s="381"/>
      <c r="R118" s="377"/>
      <c r="S118" s="381"/>
      <c r="T118" s="377"/>
      <c r="U118" s="382"/>
      <c r="V118" s="383"/>
      <c r="W118" s="377"/>
      <c r="X118" s="383"/>
      <c r="Y118" s="381"/>
      <c r="Z118" s="383"/>
      <c r="AA118" s="383"/>
      <c r="AB118" s="377"/>
      <c r="AC118" s="377"/>
      <c r="AD118" s="381"/>
      <c r="AE118" s="383"/>
      <c r="AF118" s="383"/>
    </row>
    <row r="119">
      <c r="A119" s="371"/>
      <c r="B119" s="372" t="s">
        <v>1080</v>
      </c>
      <c r="C119" s="373" t="s">
        <v>1087</v>
      </c>
      <c r="D119" s="374" t="s">
        <v>1067</v>
      </c>
      <c r="E119" s="375">
        <v>742.23</v>
      </c>
      <c r="F119" s="376">
        <f>E119+E120+E121</f>
      </c>
      <c r="G119" s="377">
        <v>6324</v>
      </c>
      <c r="H119" s="377">
        <v>243</v>
      </c>
      <c r="I119" s="378">
        <f t="shared" si="41"/>
      </c>
      <c r="J119" s="379">
        <f t="shared" si="80"/>
      </c>
      <c r="K119" s="377">
        <v>10</v>
      </c>
      <c r="L119" s="379">
        <f t="shared" si="3"/>
      </c>
      <c r="M119" s="377">
        <v>1</v>
      </c>
      <c r="N119" s="380">
        <f t="shared" si="22"/>
      </c>
      <c r="O119" s="377">
        <v>1</v>
      </c>
      <c r="P119" s="380">
        <f t="shared" si="60"/>
      </c>
      <c r="Q119" s="381">
        <f>(M119+M121+M120)/(O119+O121+O120)</f>
      </c>
      <c r="R119" s="377">
        <v>4</v>
      </c>
      <c r="S119" s="381">
        <f>(O119+O121)/(K119+K121)</f>
      </c>
      <c r="T119" s="377">
        <v>2</v>
      </c>
      <c r="U119" s="382">
        <f>F119/T119</f>
      </c>
      <c r="V119" s="383">
        <f>(F119+4*500)/T119</f>
      </c>
      <c r="W119" s="377">
        <v>2055.6</v>
      </c>
      <c r="X119" s="383">
        <f>W119/T119</f>
      </c>
      <c r="Y119" s="381">
        <f>T119/R119</f>
      </c>
      <c r="Z119" s="383">
        <f>W119/F119</f>
      </c>
      <c r="AA119" s="383">
        <f>W119/(F119+500)</f>
      </c>
      <c r="AB119" s="377">
        <v>0</v>
      </c>
      <c r="AC119" s="377">
        <v>0</v>
      </c>
      <c r="AD119" s="381">
        <f>AB119/T119</f>
      </c>
      <c r="AE119" s="383">
        <f>(W119-AC119)/(F119+500)</f>
      </c>
      <c r="AF119" s="383" t="s">
        <v>1068</v>
      </c>
    </row>
    <row r="120">
      <c r="A120" s="371"/>
      <c r="B120" s="372"/>
      <c r="C120" s="373"/>
      <c r="D120" s="374" t="s">
        <v>1069</v>
      </c>
      <c r="E120" s="384">
        <v>119.02</v>
      </c>
      <c r="F120" s="376"/>
      <c r="G120" s="377">
        <v>484</v>
      </c>
      <c r="H120" s="377">
        <v>31</v>
      </c>
      <c r="I120" s="378">
        <f t="shared" si="41"/>
      </c>
      <c r="J120" s="379">
        <f t="shared" si="80"/>
      </c>
      <c r="K120" s="377">
        <v>1</v>
      </c>
      <c r="L120" s="379">
        <f t="shared" si="3"/>
      </c>
      <c r="M120" s="377">
        <v>0</v>
      </c>
      <c r="N120" s="380">
        <f t="shared" si="22"/>
      </c>
      <c r="O120" s="377">
        <v>1</v>
      </c>
      <c r="P120" s="380">
        <f t="shared" si="60"/>
      </c>
      <c r="Q120" s="381"/>
      <c r="R120" s="377"/>
      <c r="S120" s="381"/>
      <c r="T120" s="377"/>
      <c r="U120" s="382"/>
      <c r="V120" s="383"/>
      <c r="W120" s="377"/>
      <c r="X120" s="383"/>
      <c r="Y120" s="381"/>
      <c r="Z120" s="383"/>
      <c r="AA120" s="383"/>
      <c r="AB120" s="377"/>
      <c r="AC120" s="377"/>
      <c r="AD120" s="381"/>
      <c r="AE120" s="383"/>
      <c r="AF120" s="383" t="s">
        <v>1070</v>
      </c>
    </row>
    <row r="121">
      <c r="A121" s="371"/>
      <c r="B121" s="372"/>
      <c r="C121" s="373"/>
      <c r="D121" s="374" t="s">
        <v>1071</v>
      </c>
      <c r="E121" s="377">
        <v>0.73</v>
      </c>
      <c r="F121" s="376"/>
      <c r="G121" s="377">
        <v>72</v>
      </c>
      <c r="H121" s="377">
        <v>0</v>
      </c>
      <c r="I121" s="378">
        <f t="shared" si="41"/>
      </c>
      <c r="J121" s="379">
        <f t="shared" si="80"/>
      </c>
      <c r="K121" s="377">
        <v>0</v>
      </c>
      <c r="L121" s="379">
        <f t="shared" si="3"/>
      </c>
      <c r="M121" s="377">
        <v>0</v>
      </c>
      <c r="N121" s="380">
        <f t="shared" si="22"/>
      </c>
      <c r="O121" s="377">
        <v>0</v>
      </c>
      <c r="P121" s="380">
        <f t="shared" si="60"/>
      </c>
      <c r="Q121" s="381"/>
      <c r="R121" s="377"/>
      <c r="S121" s="381"/>
      <c r="T121" s="377"/>
      <c r="U121" s="382"/>
      <c r="V121" s="383"/>
      <c r="W121" s="377"/>
      <c r="X121" s="383"/>
      <c r="Y121" s="381"/>
      <c r="Z121" s="383"/>
      <c r="AA121" s="383"/>
      <c r="AB121" s="377"/>
      <c r="AC121" s="377"/>
      <c r="AD121" s="381"/>
      <c r="AE121" s="383"/>
      <c r="AF121" s="383"/>
    </row>
    <row r="122">
      <c r="A122" s="371"/>
      <c r="B122" s="372" t="s">
        <v>1082</v>
      </c>
      <c r="C122" s="373" t="s">
        <v>1087</v>
      </c>
      <c r="D122" s="374" t="s">
        <v>1067</v>
      </c>
      <c r="E122" s="375">
        <v>357.07</v>
      </c>
      <c r="F122" s="376">
        <f>E122+E123+E124</f>
      </c>
      <c r="G122" s="377">
        <v>4764</v>
      </c>
      <c r="H122" s="377">
        <v>193</v>
      </c>
      <c r="I122" s="378">
        <f t="shared" si="41"/>
      </c>
      <c r="J122" s="379">
        <f t="shared" si="80"/>
      </c>
      <c r="K122" s="377">
        <v>7</v>
      </c>
      <c r="L122" s="379">
        <f t="shared" si="3"/>
      </c>
      <c r="M122" s="377">
        <v>0</v>
      </c>
      <c r="N122" s="380">
        <f t="shared" si="22"/>
      </c>
      <c r="O122" s="377">
        <v>1</v>
      </c>
      <c r="P122" s="380">
        <f t="shared" si="60"/>
      </c>
      <c r="Q122" s="381">
        <f>(M122+M124+M123)/(O122+O124+O123)</f>
      </c>
      <c r="R122" s="377">
        <v>1</v>
      </c>
      <c r="S122" s="381">
        <f>(O122+O124)/(K122+K124)</f>
      </c>
      <c r="T122" s="377">
        <v>0</v>
      </c>
      <c r="U122" s="382">
        <f>F122/T122</f>
      </c>
      <c r="V122" s="383">
        <f>(F122+4*500)/T122</f>
      </c>
      <c r="W122" s="377">
        <v>0</v>
      </c>
      <c r="X122" s="383">
        <f>W122/T122</f>
      </c>
      <c r="Y122" s="381">
        <f>T122/R122</f>
      </c>
      <c r="Z122" s="383">
        <f>W122/F122</f>
      </c>
      <c r="AA122" s="383">
        <f>W122/(F122+500)</f>
      </c>
      <c r="AB122" s="377">
        <v>0</v>
      </c>
      <c r="AC122" s="377">
        <v>0</v>
      </c>
      <c r="AD122" s="381">
        <f>AB122/T122</f>
      </c>
      <c r="AE122" s="383">
        <f>(W122-AC122)/(F122+500)</f>
      </c>
      <c r="AF122" s="383" t="s">
        <v>1068</v>
      </c>
    </row>
    <row r="123">
      <c r="A123" s="371"/>
      <c r="B123" s="372"/>
      <c r="C123" s="373"/>
      <c r="D123" s="374" t="s">
        <v>1069</v>
      </c>
      <c r="E123" s="384">
        <v>25.8</v>
      </c>
      <c r="F123" s="376"/>
      <c r="G123" s="377">
        <v>401</v>
      </c>
      <c r="H123" s="377">
        <v>18</v>
      </c>
      <c r="I123" s="378">
        <f t="shared" si="41"/>
      </c>
      <c r="J123" s="379">
        <f t="shared" si="80"/>
      </c>
      <c r="K123" s="377">
        <v>1</v>
      </c>
      <c r="L123" s="379">
        <f t="shared" si="3"/>
      </c>
      <c r="M123" s="377">
        <v>0</v>
      </c>
      <c r="N123" s="380">
        <f t="shared" si="22"/>
      </c>
      <c r="O123" s="377">
        <v>0</v>
      </c>
      <c r="P123" s="380">
        <f t="shared" si="60"/>
      </c>
      <c r="Q123" s="381"/>
      <c r="R123" s="377"/>
      <c r="S123" s="381"/>
      <c r="T123" s="377"/>
      <c r="U123" s="382"/>
      <c r="V123" s="383"/>
      <c r="W123" s="377"/>
      <c r="X123" s="383"/>
      <c r="Y123" s="381"/>
      <c r="Z123" s="383"/>
      <c r="AA123" s="383"/>
      <c r="AB123" s="377"/>
      <c r="AC123" s="377"/>
      <c r="AD123" s="381"/>
      <c r="AE123" s="383"/>
      <c r="AF123" s="383" t="s">
        <v>1070</v>
      </c>
    </row>
    <row r="124">
      <c r="A124" s="371"/>
      <c r="B124" s="372"/>
      <c r="C124" s="373"/>
      <c r="D124" s="374" t="s">
        <v>1071</v>
      </c>
      <c r="E124" s="377">
        <v>9.02</v>
      </c>
      <c r="F124" s="376"/>
      <c r="G124" s="377">
        <v>199</v>
      </c>
      <c r="H124" s="377">
        <v>9</v>
      </c>
      <c r="I124" s="378">
        <f t="shared" si="41"/>
      </c>
      <c r="J124" s="379">
        <f t="shared" si="80"/>
      </c>
      <c r="K124" s="377">
        <v>0</v>
      </c>
      <c r="L124" s="379">
        <f t="shared" si="3"/>
      </c>
      <c r="M124" s="377">
        <v>0</v>
      </c>
      <c r="N124" s="380">
        <f t="shared" si="22"/>
      </c>
      <c r="O124" s="377">
        <v>0</v>
      </c>
      <c r="P124" s="380">
        <f t="shared" si="60"/>
      </c>
      <c r="Q124" s="381"/>
      <c r="R124" s="377"/>
      <c r="S124" s="381"/>
      <c r="T124" s="377"/>
      <c r="U124" s="382"/>
      <c r="V124" s="383"/>
      <c r="W124" s="377"/>
      <c r="X124" s="383"/>
      <c r="Y124" s="381"/>
      <c r="Z124" s="383"/>
      <c r="AA124" s="383"/>
      <c r="AB124" s="377"/>
      <c r="AC124" s="377"/>
      <c r="AD124" s="381"/>
      <c r="AE124" s="383"/>
      <c r="AF124" s="383"/>
    </row>
    <row customHeight="true" ht="20.238095238095237" r="125">
      <c r="A125" s="371"/>
      <c r="B125" s="372"/>
      <c r="C125" s="373"/>
      <c r="D125" s="374"/>
      <c r="E125" s="377">
        <f>SUM(E95:E124)</f>
      </c>
      <c r="F125" s="377">
        <f>SUM(F95:F124)</f>
      </c>
      <c r="G125" s="377"/>
      <c r="H125" s="377"/>
      <c r="I125" s="378"/>
      <c r="J125" s="379"/>
      <c r="K125" s="377"/>
      <c r="L125" s="379"/>
      <c r="M125" s="377"/>
      <c r="N125" s="380"/>
      <c r="O125" s="377"/>
      <c r="P125" s="380"/>
      <c r="Q125" s="381"/>
      <c r="R125" s="377"/>
      <c r="S125" s="381"/>
      <c r="T125" s="377">
        <f>SUM(T95:T124)</f>
      </c>
      <c r="U125" s="382"/>
      <c r="V125" s="383"/>
      <c r="W125" s="377">
        <f>SUM(W95:W124)</f>
      </c>
      <c r="X125" s="383"/>
      <c r="Y125" s="381"/>
      <c r="Z125" s="383"/>
      <c r="AA125" s="383"/>
      <c r="AB125" s="377"/>
      <c r="AC125" s="377"/>
      <c r="AD125" s="381"/>
      <c r="AE125" s="383"/>
      <c r="AF125" s="383"/>
    </row>
    <row r="126">
      <c r="A126" s="371" t="s">
        <v>1088</v>
      </c>
      <c r="B126" s="372" t="s">
        <v>1065</v>
      </c>
      <c r="C126" s="373" t="s">
        <v>1081</v>
      </c>
      <c r="D126" s="374" t="s">
        <v>1067</v>
      </c>
      <c r="E126" s="375">
        <v>467.59</v>
      </c>
      <c r="F126" s="376">
        <f>E126+E127+E128</f>
      </c>
      <c r="G126" s="377">
        <v>4015</v>
      </c>
      <c r="H126" s="377">
        <v>173</v>
      </c>
      <c r="I126" s="378">
        <f t="shared" ref="I126:I155" si="42">H126/G126</f>
      </c>
      <c r="J126" s="379">
        <f t="shared" ref="J126:J155" si="81">(E126/G126)*1000</f>
      </c>
      <c r="K126" s="377">
        <v>12</v>
      </c>
      <c r="L126" s="379">
        <f t="shared" ref="L126:L155" si="4">E126/K126</f>
      </c>
      <c r="M126" s="377">
        <v>1</v>
      </c>
      <c r="N126" s="380">
        <f t="shared" ref="N126:N155" si="23">E126/M126</f>
      </c>
      <c r="O126" s="377">
        <v>2</v>
      </c>
      <c r="P126" s="380">
        <f t="shared" ref="P126:P155" si="61">E126/O126</f>
      </c>
      <c r="Q126" s="381">
        <f>(M126+M128+M127)/(O126+O128+O127)</f>
      </c>
      <c r="R126" s="377">
        <v>3</v>
      </c>
      <c r="S126" s="381">
        <f>(O126+O128)/(K126+K128)</f>
      </c>
      <c r="T126" s="377">
        <v>1</v>
      </c>
      <c r="U126" s="382">
        <f>F126/T126</f>
      </c>
      <c r="V126" s="383">
        <f>(F126+4*500)/T126</f>
      </c>
      <c r="W126" s="377">
        <v>776</v>
      </c>
      <c r="X126" s="383">
        <f>W126/T126</f>
      </c>
      <c r="Y126" s="381">
        <f>T126/R126</f>
      </c>
      <c r="Z126" s="383">
        <f>W126/F126</f>
      </c>
      <c r="AA126" s="383">
        <f>W126/(F126+500)</f>
      </c>
      <c r="AB126" s="377">
        <v>0</v>
      </c>
      <c r="AC126" s="377">
        <v>0</v>
      </c>
      <c r="AD126" s="381">
        <f>AB126/T126</f>
      </c>
      <c r="AE126" s="383">
        <f>(W126-AC126)/(F126+500)</f>
      </c>
      <c r="AF126" s="383" t="s">
        <v>1068</v>
      </c>
    </row>
    <row r="127">
      <c r="A127" s="371"/>
      <c r="B127" s="372"/>
      <c r="C127" s="373"/>
      <c r="D127" s="374" t="s">
        <v>1069</v>
      </c>
      <c r="E127" s="384">
        <v>119.11</v>
      </c>
      <c r="F127" s="376"/>
      <c r="G127" s="377">
        <v>1397</v>
      </c>
      <c r="H127" s="377">
        <v>74</v>
      </c>
      <c r="I127" s="378">
        <f t="shared" si="42"/>
      </c>
      <c r="J127" s="379">
        <f t="shared" si="81"/>
      </c>
      <c r="K127" s="377">
        <v>2</v>
      </c>
      <c r="L127" s="379">
        <f t="shared" si="4"/>
      </c>
      <c r="M127" s="377">
        <v>0</v>
      </c>
      <c r="N127" s="380">
        <f t="shared" si="23"/>
      </c>
      <c r="O127" s="377">
        <v>0</v>
      </c>
      <c r="P127" s="380">
        <f t="shared" si="61"/>
      </c>
      <c r="Q127" s="381"/>
      <c r="R127" s="377"/>
      <c r="S127" s="381"/>
      <c r="T127" s="377"/>
      <c r="U127" s="382"/>
      <c r="V127" s="383"/>
      <c r="W127" s="377"/>
      <c r="X127" s="383"/>
      <c r="Y127" s="381"/>
      <c r="Z127" s="383"/>
      <c r="AA127" s="383"/>
      <c r="AB127" s="377"/>
      <c r="AC127" s="377"/>
      <c r="AD127" s="381"/>
      <c r="AE127" s="383"/>
      <c r="AF127" s="383" t="s">
        <v>1070</v>
      </c>
    </row>
    <row r="128">
      <c r="A128" s="371"/>
      <c r="B128" s="372"/>
      <c r="C128" s="373"/>
      <c r="D128" s="374" t="s">
        <v>1071</v>
      </c>
      <c r="E128" s="377">
        <v>2.28</v>
      </c>
      <c r="F128" s="376"/>
      <c r="G128" s="377">
        <v>137</v>
      </c>
      <c r="H128" s="377">
        <v>13</v>
      </c>
      <c r="I128" s="378">
        <f t="shared" si="42"/>
      </c>
      <c r="J128" s="379">
        <f t="shared" si="81"/>
      </c>
      <c r="K128" s="377">
        <v>0</v>
      </c>
      <c r="L128" s="379">
        <f t="shared" si="4"/>
      </c>
      <c r="M128" s="377">
        <v>0</v>
      </c>
      <c r="N128" s="380">
        <f t="shared" si="23"/>
      </c>
      <c r="O128" s="377">
        <v>0</v>
      </c>
      <c r="P128" s="380">
        <f t="shared" si="61"/>
      </c>
      <c r="Q128" s="381"/>
      <c r="R128" s="377"/>
      <c r="S128" s="381"/>
      <c r="T128" s="377"/>
      <c r="U128" s="382"/>
      <c r="V128" s="383"/>
      <c r="W128" s="377"/>
      <c r="X128" s="383"/>
      <c r="Y128" s="381"/>
      <c r="Z128" s="383"/>
      <c r="AA128" s="383"/>
      <c r="AB128" s="377"/>
      <c r="AC128" s="377"/>
      <c r="AD128" s="381"/>
      <c r="AE128" s="383"/>
      <c r="AF128" s="383"/>
    </row>
    <row r="129">
      <c r="A129" s="371"/>
      <c r="B129" s="372" t="s">
        <v>1072</v>
      </c>
      <c r="C129" s="373" t="s">
        <v>1081</v>
      </c>
      <c r="D129" s="374" t="s">
        <v>1067</v>
      </c>
      <c r="E129" s="375">
        <v>1921.68</v>
      </c>
      <c r="F129" s="376">
        <f>E129+E130+E131</f>
      </c>
      <c r="G129" s="377">
        <v>18426</v>
      </c>
      <c r="H129" s="377">
        <v>232</v>
      </c>
      <c r="I129" s="378">
        <f t="shared" si="42"/>
      </c>
      <c r="J129" s="379">
        <f t="shared" si="81"/>
      </c>
      <c r="K129" s="377">
        <v>28</v>
      </c>
      <c r="L129" s="379">
        <f t="shared" si="4"/>
      </c>
      <c r="M129" s="377">
        <v>3</v>
      </c>
      <c r="N129" s="380">
        <f t="shared" si="23"/>
      </c>
      <c r="O129" s="377">
        <v>3</v>
      </c>
      <c r="P129" s="380">
        <f t="shared" si="61"/>
      </c>
      <c r="Q129" s="381">
        <f>(M129+M131+M130)/(O129+O131+O130)</f>
      </c>
      <c r="R129" s="377">
        <v>17</v>
      </c>
      <c r="S129" s="381">
        <f>(O129+O131)/(K129+K131)</f>
      </c>
      <c r="T129" s="377">
        <v>6</v>
      </c>
      <c r="U129" s="382">
        <f>F129/T129</f>
      </c>
      <c r="V129" s="383">
        <f>(F129+4*500)/T129</f>
      </c>
      <c r="W129" s="377">
        <v>7359.6</v>
      </c>
      <c r="X129" s="383">
        <f>W129/T129</f>
      </c>
      <c r="Y129" s="381">
        <f>T129/R129</f>
      </c>
      <c r="Z129" s="383">
        <f>W129/F129</f>
      </c>
      <c r="AA129" s="383">
        <f>W129/(F129+500)</f>
      </c>
      <c r="AB129" s="377">
        <v>0</v>
      </c>
      <c r="AC129" s="377">
        <v>0</v>
      </c>
      <c r="AD129" s="381">
        <f>AB129/T129</f>
      </c>
      <c r="AE129" s="383">
        <f>(W129-AC129)/(F129+500)</f>
      </c>
      <c r="AF129" s="383" t="s">
        <v>1068</v>
      </c>
    </row>
    <row r="130">
      <c r="A130" s="371"/>
      <c r="B130" s="372"/>
      <c r="C130" s="373"/>
      <c r="D130" s="374" t="s">
        <v>1069</v>
      </c>
      <c r="E130" s="384">
        <v>125.2</v>
      </c>
      <c r="F130" s="376"/>
      <c r="G130" s="377">
        <v>1514</v>
      </c>
      <c r="H130" s="377">
        <v>49</v>
      </c>
      <c r="I130" s="378">
        <f t="shared" si="42"/>
      </c>
      <c r="J130" s="379">
        <f t="shared" si="81"/>
      </c>
      <c r="K130" s="377">
        <v>5</v>
      </c>
      <c r="L130" s="379">
        <f t="shared" si="4"/>
      </c>
      <c r="M130" s="377">
        <v>0</v>
      </c>
      <c r="N130" s="380">
        <f t="shared" si="23"/>
      </c>
      <c r="O130" s="377">
        <v>0</v>
      </c>
      <c r="P130" s="380">
        <f t="shared" si="61"/>
      </c>
      <c r="Q130" s="381"/>
      <c r="R130" s="377"/>
      <c r="S130" s="381"/>
      <c r="T130" s="377"/>
      <c r="U130" s="382"/>
      <c r="V130" s="383"/>
      <c r="W130" s="377"/>
      <c r="X130" s="383"/>
      <c r="Y130" s="381"/>
      <c r="Z130" s="383"/>
      <c r="AA130" s="383"/>
      <c r="AB130" s="377"/>
      <c r="AC130" s="377"/>
      <c r="AD130" s="381"/>
      <c r="AE130" s="383"/>
      <c r="AF130" s="383" t="s">
        <v>1070</v>
      </c>
    </row>
    <row r="131">
      <c r="A131" s="371"/>
      <c r="B131" s="372"/>
      <c r="C131" s="373"/>
      <c r="D131" s="374" t="s">
        <v>1071</v>
      </c>
      <c r="E131" s="377">
        <v>61.47</v>
      </c>
      <c r="F131" s="376"/>
      <c r="G131" s="377">
        <v>179</v>
      </c>
      <c r="H131" s="377">
        <v>6</v>
      </c>
      <c r="I131" s="378">
        <f t="shared" si="42"/>
      </c>
      <c r="J131" s="379">
        <f t="shared" si="81"/>
      </c>
      <c r="K131" s="377">
        <v>0</v>
      </c>
      <c r="L131" s="379">
        <f t="shared" si="4"/>
      </c>
      <c r="M131" s="377">
        <v>0</v>
      </c>
      <c r="N131" s="380">
        <f t="shared" si="23"/>
      </c>
      <c r="O131" s="377">
        <v>0</v>
      </c>
      <c r="P131" s="380">
        <f t="shared" si="61"/>
      </c>
      <c r="Q131" s="381"/>
      <c r="R131" s="377"/>
      <c r="S131" s="381"/>
      <c r="T131" s="377"/>
      <c r="U131" s="382"/>
      <c r="V131" s="383"/>
      <c r="W131" s="377"/>
      <c r="X131" s="383"/>
      <c r="Y131" s="381"/>
      <c r="Z131" s="383"/>
      <c r="AA131" s="383"/>
      <c r="AB131" s="377"/>
      <c r="AC131" s="377"/>
      <c r="AD131" s="381"/>
      <c r="AE131" s="383"/>
      <c r="AF131" s="383"/>
    </row>
    <row r="132">
      <c r="A132" s="371"/>
      <c r="B132" s="372" t="s">
        <v>1073</v>
      </c>
      <c r="C132" s="373" t="s">
        <v>1081</v>
      </c>
      <c r="D132" s="374" t="s">
        <v>1067</v>
      </c>
      <c r="E132" s="375">
        <v>1664.7</v>
      </c>
      <c r="F132" s="376">
        <f>E132+E133+E134</f>
      </c>
      <c r="G132" s="377">
        <v>18136</v>
      </c>
      <c r="H132" s="377">
        <v>186</v>
      </c>
      <c r="I132" s="378">
        <f t="shared" si="42"/>
      </c>
      <c r="J132" s="379">
        <f t="shared" si="81"/>
      </c>
      <c r="K132" s="377">
        <v>21</v>
      </c>
      <c r="L132" s="379">
        <f t="shared" si="4"/>
      </c>
      <c r="M132" s="377">
        <v>0</v>
      </c>
      <c r="N132" s="380">
        <f t="shared" si="23"/>
      </c>
      <c r="O132" s="377">
        <v>0</v>
      </c>
      <c r="P132" s="380">
        <f t="shared" si="61"/>
      </c>
      <c r="Q132" s="381">
        <f>(M132+M134+M133)/(O132+O134+O133)</f>
      </c>
      <c r="R132" s="377">
        <v>1</v>
      </c>
      <c r="S132" s="381">
        <f>(O132+O134)/(K132+K134)</f>
      </c>
      <c r="T132" s="377">
        <v>0</v>
      </c>
      <c r="U132" s="382">
        <f>F132/T132</f>
      </c>
      <c r="V132" s="383">
        <f>(F132+4*500)/T132</f>
      </c>
      <c r="W132" s="377">
        <v>0</v>
      </c>
      <c r="X132" s="383">
        <f>W132/T132</f>
      </c>
      <c r="Y132" s="381">
        <f>T132/R132</f>
      </c>
      <c r="Z132" s="383">
        <f>W132/F132</f>
      </c>
      <c r="AA132" s="383">
        <f>W132/(F132+500)</f>
      </c>
      <c r="AB132" s="377">
        <v>0</v>
      </c>
      <c r="AC132" s="377">
        <v>0</v>
      </c>
      <c r="AD132" s="381">
        <f>AB132/T132</f>
      </c>
      <c r="AE132" s="383">
        <f>(W132-AC132)/(F132+500)</f>
      </c>
      <c r="AF132" s="383" t="s">
        <v>1068</v>
      </c>
    </row>
    <row r="133">
      <c r="A133" s="371"/>
      <c r="B133" s="372"/>
      <c r="C133" s="373"/>
      <c r="D133" s="374" t="s">
        <v>1069</v>
      </c>
      <c r="E133" s="384">
        <v>92.69</v>
      </c>
      <c r="F133" s="376"/>
      <c r="G133" s="377">
        <v>1601</v>
      </c>
      <c r="H133" s="377">
        <v>39</v>
      </c>
      <c r="I133" s="378">
        <f t="shared" si="42"/>
      </c>
      <c r="J133" s="379">
        <f t="shared" si="81"/>
      </c>
      <c r="K133" s="377">
        <v>2</v>
      </c>
      <c r="L133" s="379">
        <f t="shared" si="4"/>
      </c>
      <c r="M133" s="377">
        <v>0</v>
      </c>
      <c r="N133" s="380">
        <f t="shared" si="23"/>
      </c>
      <c r="O133" s="377">
        <v>0</v>
      </c>
      <c r="P133" s="380">
        <f t="shared" si="61"/>
      </c>
      <c r="Q133" s="381"/>
      <c r="R133" s="377"/>
      <c r="S133" s="381"/>
      <c r="T133" s="377"/>
      <c r="U133" s="382"/>
      <c r="V133" s="383"/>
      <c r="W133" s="377"/>
      <c r="X133" s="383"/>
      <c r="Y133" s="381"/>
      <c r="Z133" s="383"/>
      <c r="AA133" s="383"/>
      <c r="AB133" s="377"/>
      <c r="AC133" s="377"/>
      <c r="AD133" s="381"/>
      <c r="AE133" s="383"/>
      <c r="AF133" s="383" t="s">
        <v>1070</v>
      </c>
    </row>
    <row r="134">
      <c r="A134" s="371"/>
      <c r="B134" s="372"/>
      <c r="C134" s="373"/>
      <c r="D134" s="374" t="s">
        <v>1071</v>
      </c>
      <c r="E134" s="377">
        <v>4.62</v>
      </c>
      <c r="F134" s="376"/>
      <c r="G134" s="377">
        <v>349</v>
      </c>
      <c r="H134" s="377">
        <v>6</v>
      </c>
      <c r="I134" s="378">
        <f t="shared" si="42"/>
      </c>
      <c r="J134" s="379">
        <f t="shared" si="81"/>
      </c>
      <c r="K134" s="377">
        <v>0</v>
      </c>
      <c r="L134" s="379">
        <f t="shared" si="4"/>
      </c>
      <c r="M134" s="377">
        <v>0</v>
      </c>
      <c r="N134" s="380">
        <f t="shared" si="23"/>
      </c>
      <c r="O134" s="377">
        <v>0</v>
      </c>
      <c r="P134" s="380">
        <f t="shared" si="61"/>
      </c>
      <c r="Q134" s="381"/>
      <c r="R134" s="377"/>
      <c r="S134" s="381"/>
      <c r="T134" s="377"/>
      <c r="U134" s="382"/>
      <c r="V134" s="383"/>
      <c r="W134" s="377"/>
      <c r="X134" s="383"/>
      <c r="Y134" s="381"/>
      <c r="Z134" s="383"/>
      <c r="AA134" s="383"/>
      <c r="AB134" s="377"/>
      <c r="AC134" s="377"/>
      <c r="AD134" s="381"/>
      <c r="AE134" s="383"/>
      <c r="AF134" s="383"/>
    </row>
    <row r="135">
      <c r="A135" s="371"/>
      <c r="B135" s="372" t="s">
        <v>1074</v>
      </c>
      <c r="C135" s="373" t="s">
        <v>1081</v>
      </c>
      <c r="D135" s="374" t="s">
        <v>1067</v>
      </c>
      <c r="E135" s="375">
        <v>1678.34</v>
      </c>
      <c r="F135" s="376">
        <f>E135+E136+E137</f>
      </c>
      <c r="G135" s="377">
        <v>15254</v>
      </c>
      <c r="H135" s="377">
        <v>146</v>
      </c>
      <c r="I135" s="378">
        <f t="shared" si="42"/>
      </c>
      <c r="J135" s="379">
        <f t="shared" si="81"/>
      </c>
      <c r="K135" s="377">
        <v>10</v>
      </c>
      <c r="L135" s="379">
        <f t="shared" si="4"/>
      </c>
      <c r="M135" s="377">
        <v>2</v>
      </c>
      <c r="N135" s="380">
        <f t="shared" si="23"/>
      </c>
      <c r="O135" s="377">
        <v>3</v>
      </c>
      <c r="P135" s="380">
        <f t="shared" si="61"/>
      </c>
      <c r="Q135" s="381">
        <f>(M135+M137+M136)/(O135+O137+O136)</f>
      </c>
      <c r="R135" s="377">
        <v>4</v>
      </c>
      <c r="S135" s="381">
        <f>(O135+O137)/(K135+K137)</f>
      </c>
      <c r="T135" s="377">
        <v>2</v>
      </c>
      <c r="U135" s="382">
        <f>F135/T135</f>
      </c>
      <c r="V135" s="383">
        <f>(F135+4*500)/T135</f>
      </c>
      <c r="W135" s="377">
        <v>4034.4</v>
      </c>
      <c r="X135" s="383">
        <f>W135/T135</f>
      </c>
      <c r="Y135" s="381">
        <f>T135/R135</f>
      </c>
      <c r="Z135" s="383">
        <f>W135/F135</f>
      </c>
      <c r="AA135" s="383">
        <f>W135/(F135+500)</f>
      </c>
      <c r="AB135" s="377">
        <v>1</v>
      </c>
      <c r="AC135" s="377">
        <v>1567.2</v>
      </c>
      <c r="AD135" s="381">
        <f>AB135/T135</f>
      </c>
      <c r="AE135" s="383">
        <f>(W135-AC135)/(F135+500)</f>
      </c>
      <c r="AF135" s="383" t="s">
        <v>1068</v>
      </c>
    </row>
    <row r="136">
      <c r="A136" s="371"/>
      <c r="B136" s="372"/>
      <c r="C136" s="373"/>
      <c r="D136" s="374" t="s">
        <v>1069</v>
      </c>
      <c r="E136" s="384">
        <v>110.77</v>
      </c>
      <c r="F136" s="376"/>
      <c r="G136" s="377">
        <v>1240</v>
      </c>
      <c r="H136" s="377">
        <v>27</v>
      </c>
      <c r="I136" s="378">
        <f t="shared" si="42"/>
      </c>
      <c r="J136" s="379">
        <f t="shared" si="81"/>
      </c>
      <c r="K136" s="377">
        <v>4</v>
      </c>
      <c r="L136" s="379">
        <f t="shared" si="4"/>
      </c>
      <c r="M136" s="377">
        <v>0</v>
      </c>
      <c r="N136" s="380">
        <f t="shared" si="23"/>
      </c>
      <c r="O136" s="377">
        <v>0</v>
      </c>
      <c r="P136" s="380">
        <f t="shared" si="61"/>
      </c>
      <c r="Q136" s="381"/>
      <c r="R136" s="377"/>
      <c r="S136" s="381"/>
      <c r="T136" s="377"/>
      <c r="U136" s="382"/>
      <c r="V136" s="383"/>
      <c r="W136" s="377"/>
      <c r="X136" s="383"/>
      <c r="Y136" s="381"/>
      <c r="Z136" s="383"/>
      <c r="AA136" s="383"/>
      <c r="AB136" s="377"/>
      <c r="AC136" s="377"/>
      <c r="AD136" s="381"/>
      <c r="AE136" s="383"/>
      <c r="AF136" s="383" t="s">
        <v>1070</v>
      </c>
    </row>
    <row r="137">
      <c r="A137" s="371"/>
      <c r="B137" s="372"/>
      <c r="C137" s="373"/>
      <c r="D137" s="374" t="s">
        <v>1071</v>
      </c>
      <c r="E137" s="377">
        <v>4.37</v>
      </c>
      <c r="F137" s="376"/>
      <c r="G137" s="377">
        <v>220</v>
      </c>
      <c r="H137" s="377">
        <v>4</v>
      </c>
      <c r="I137" s="378">
        <f t="shared" si="42"/>
      </c>
      <c r="J137" s="379">
        <f t="shared" si="81"/>
      </c>
      <c r="K137" s="377">
        <v>0</v>
      </c>
      <c r="L137" s="379">
        <f t="shared" si="4"/>
      </c>
      <c r="M137" s="377">
        <v>0</v>
      </c>
      <c r="N137" s="380">
        <f t="shared" si="23"/>
      </c>
      <c r="O137" s="377">
        <v>0</v>
      </c>
      <c r="P137" s="380">
        <f t="shared" si="61"/>
      </c>
      <c r="Q137" s="381"/>
      <c r="R137" s="377"/>
      <c r="S137" s="381"/>
      <c r="T137" s="377"/>
      <c r="U137" s="382"/>
      <c r="V137" s="383"/>
      <c r="W137" s="377"/>
      <c r="X137" s="383"/>
      <c r="Y137" s="381"/>
      <c r="Z137" s="383"/>
      <c r="AA137" s="383"/>
      <c r="AB137" s="377"/>
      <c r="AC137" s="377"/>
      <c r="AD137" s="381"/>
      <c r="AE137" s="383"/>
      <c r="AF137" s="383"/>
    </row>
    <row r="138">
      <c r="A138" s="371"/>
      <c r="B138" s="372" t="s">
        <v>1075</v>
      </c>
      <c r="C138" s="373" t="s">
        <v>1084</v>
      </c>
      <c r="D138" s="374" t="s">
        <v>1067</v>
      </c>
      <c r="E138" s="375">
        <v>1501.51</v>
      </c>
      <c r="F138" s="376">
        <f>E138+E139+E140</f>
      </c>
      <c r="G138" s="377">
        <v>15447</v>
      </c>
      <c r="H138" s="377">
        <v>128</v>
      </c>
      <c r="I138" s="378">
        <f t="shared" si="42"/>
      </c>
      <c r="J138" s="379">
        <f t="shared" si="81"/>
      </c>
      <c r="K138" s="377">
        <v>19</v>
      </c>
      <c r="L138" s="379">
        <f t="shared" si="4"/>
      </c>
      <c r="M138" s="377">
        <v>0</v>
      </c>
      <c r="N138" s="380">
        <f t="shared" si="23"/>
      </c>
      <c r="O138" s="377">
        <v>0</v>
      </c>
      <c r="P138" s="380">
        <f t="shared" si="61"/>
      </c>
      <c r="Q138" s="381">
        <f>(M138+M140+M139)/(O138+O140+O139)</f>
      </c>
      <c r="R138" s="377">
        <v>3</v>
      </c>
      <c r="S138" s="381">
        <f>(O138+O140)/(K138+K140)</f>
      </c>
      <c r="T138" s="377">
        <v>0</v>
      </c>
      <c r="U138" s="382">
        <f>F138/T138</f>
      </c>
      <c r="V138" s="383">
        <f>(F138+4*500)/T138</f>
      </c>
      <c r="W138" s="377">
        <v>0</v>
      </c>
      <c r="X138" s="383">
        <f>W138/T138</f>
      </c>
      <c r="Y138" s="381">
        <f>T138/R138</f>
      </c>
      <c r="Z138" s="383">
        <f>W138/F138</f>
      </c>
      <c r="AA138" s="383">
        <f>W138/(F138+500)</f>
      </c>
      <c r="AB138" s="377">
        <v>0</v>
      </c>
      <c r="AC138" s="377">
        <v>0</v>
      </c>
      <c r="AD138" s="381">
        <f>AB138/T138</f>
      </c>
      <c r="AE138" s="383">
        <f>(W138-AC138)/(F138+500)</f>
      </c>
      <c r="AF138" s="383" t="s">
        <v>1068</v>
      </c>
    </row>
    <row r="139">
      <c r="A139" s="371"/>
      <c r="B139" s="372"/>
      <c r="C139" s="373"/>
      <c r="D139" s="374" t="s">
        <v>1069</v>
      </c>
      <c r="E139" s="384">
        <v>88.16</v>
      </c>
      <c r="F139" s="376"/>
      <c r="G139" s="377">
        <v>1094</v>
      </c>
      <c r="H139" s="377">
        <v>37</v>
      </c>
      <c r="I139" s="378">
        <f t="shared" si="42"/>
      </c>
      <c r="J139" s="379">
        <f t="shared" si="81"/>
      </c>
      <c r="K139" s="377">
        <v>2</v>
      </c>
      <c r="L139" s="379">
        <f t="shared" si="4"/>
      </c>
      <c r="M139" s="377">
        <v>0</v>
      </c>
      <c r="N139" s="380">
        <f t="shared" si="23"/>
      </c>
      <c r="O139" s="377">
        <v>0</v>
      </c>
      <c r="P139" s="380">
        <f t="shared" si="61"/>
      </c>
      <c r="Q139" s="381"/>
      <c r="R139" s="377"/>
      <c r="S139" s="381"/>
      <c r="T139" s="377"/>
      <c r="U139" s="382"/>
      <c r="V139" s="383"/>
      <c r="W139" s="377"/>
      <c r="X139" s="383"/>
      <c r="Y139" s="381"/>
      <c r="Z139" s="383"/>
      <c r="AA139" s="383"/>
      <c r="AB139" s="377"/>
      <c r="AC139" s="377"/>
      <c r="AD139" s="381"/>
      <c r="AE139" s="383"/>
      <c r="AF139" s="383" t="s">
        <v>1070</v>
      </c>
    </row>
    <row r="140">
      <c r="A140" s="371"/>
      <c r="B140" s="372"/>
      <c r="C140" s="373"/>
      <c r="D140" s="374" t="s">
        <v>1071</v>
      </c>
      <c r="E140" s="377">
        <v>4.19</v>
      </c>
      <c r="F140" s="376"/>
      <c r="G140" s="377">
        <v>169</v>
      </c>
      <c r="H140" s="377">
        <v>6</v>
      </c>
      <c r="I140" s="378">
        <f t="shared" si="42"/>
      </c>
      <c r="J140" s="379">
        <f t="shared" si="81"/>
      </c>
      <c r="K140" s="377">
        <v>0</v>
      </c>
      <c r="L140" s="379">
        <f t="shared" si="4"/>
      </c>
      <c r="M140" s="377">
        <v>0</v>
      </c>
      <c r="N140" s="380">
        <f t="shared" si="23"/>
      </c>
      <c r="O140" s="377">
        <v>0</v>
      </c>
      <c r="P140" s="380">
        <f t="shared" si="61"/>
      </c>
      <c r="Q140" s="381"/>
      <c r="R140" s="377"/>
      <c r="S140" s="381"/>
      <c r="T140" s="377"/>
      <c r="U140" s="382"/>
      <c r="V140" s="383"/>
      <c r="W140" s="377"/>
      <c r="X140" s="383"/>
      <c r="Y140" s="381"/>
      <c r="Z140" s="383"/>
      <c r="AA140" s="383"/>
      <c r="AB140" s="377"/>
      <c r="AC140" s="377"/>
      <c r="AD140" s="381"/>
      <c r="AE140" s="383"/>
      <c r="AF140" s="383"/>
    </row>
    <row r="141">
      <c r="A141" s="371"/>
      <c r="B141" s="372" t="s">
        <v>1077</v>
      </c>
      <c r="C141" s="373" t="s">
        <v>1084</v>
      </c>
      <c r="D141" s="374" t="s">
        <v>1067</v>
      </c>
      <c r="E141" s="375">
        <v>501.46</v>
      </c>
      <c r="F141" s="376">
        <f>E141+E142+E143</f>
      </c>
      <c r="G141" s="377">
        <v>5963</v>
      </c>
      <c r="H141" s="377">
        <v>63</v>
      </c>
      <c r="I141" s="378">
        <f t="shared" si="42"/>
      </c>
      <c r="J141" s="379">
        <f t="shared" si="81"/>
      </c>
      <c r="K141" s="377">
        <v>13</v>
      </c>
      <c r="L141" s="379">
        <f t="shared" si="4"/>
      </c>
      <c r="M141" s="377">
        <v>0</v>
      </c>
      <c r="N141" s="380">
        <f t="shared" si="23"/>
      </c>
      <c r="O141" s="377">
        <v>0</v>
      </c>
      <c r="P141" s="380">
        <f t="shared" si="61"/>
      </c>
      <c r="Q141" s="381">
        <f>(M141+M143+M142)/(O141+O143+O142)</f>
      </c>
      <c r="R141" s="377">
        <v>0</v>
      </c>
      <c r="S141" s="381">
        <f>(O141+O143)/(K141+K143)</f>
      </c>
      <c r="T141" s="377">
        <v>0</v>
      </c>
      <c r="U141" s="382">
        <f>F141/T141</f>
      </c>
      <c r="V141" s="383">
        <f>(F141+4*500)/T141</f>
      </c>
      <c r="W141" s="377">
        <v>0</v>
      </c>
      <c r="X141" s="383">
        <f>W141/T141</f>
      </c>
      <c r="Y141" s="381">
        <f>T141/R141</f>
      </c>
      <c r="Z141" s="383">
        <f>W141/F141</f>
      </c>
      <c r="AA141" s="383">
        <f>W141/(F141+500)</f>
      </c>
      <c r="AB141" s="377">
        <v>0</v>
      </c>
      <c r="AC141" s="377">
        <v>0</v>
      </c>
      <c r="AD141" s="381">
        <f>AB141/T141</f>
      </c>
      <c r="AE141" s="383">
        <f>(W141-AC141)/(F141+500)</f>
      </c>
      <c r="AF141" s="383" t="s">
        <v>1068</v>
      </c>
    </row>
    <row r="142">
      <c r="A142" s="371"/>
      <c r="B142" s="372"/>
      <c r="C142" s="373"/>
      <c r="D142" s="374" t="s">
        <v>1069</v>
      </c>
      <c r="E142" s="384">
        <v>292.78</v>
      </c>
      <c r="F142" s="376"/>
      <c r="G142" s="377">
        <v>958</v>
      </c>
      <c r="H142" s="377">
        <v>21</v>
      </c>
      <c r="I142" s="378">
        <f t="shared" si="42"/>
      </c>
      <c r="J142" s="379">
        <f t="shared" si="81"/>
      </c>
      <c r="K142" s="377">
        <v>3</v>
      </c>
      <c r="L142" s="379">
        <f t="shared" si="4"/>
      </c>
      <c r="M142" s="377">
        <v>0</v>
      </c>
      <c r="N142" s="380">
        <f t="shared" si="23"/>
      </c>
      <c r="O142" s="377">
        <v>0</v>
      </c>
      <c r="P142" s="380">
        <f t="shared" si="61"/>
      </c>
      <c r="Q142" s="381"/>
      <c r="R142" s="377"/>
      <c r="S142" s="381"/>
      <c r="T142" s="377"/>
      <c r="U142" s="382"/>
      <c r="V142" s="383"/>
      <c r="W142" s="377"/>
      <c r="X142" s="383"/>
      <c r="Y142" s="381"/>
      <c r="Z142" s="383"/>
      <c r="AA142" s="383"/>
      <c r="AB142" s="377"/>
      <c r="AC142" s="377"/>
      <c r="AD142" s="381"/>
      <c r="AE142" s="383"/>
      <c r="AF142" s="383" t="s">
        <v>1070</v>
      </c>
    </row>
    <row r="143">
      <c r="A143" s="371"/>
      <c r="B143" s="372"/>
      <c r="C143" s="373"/>
      <c r="D143" s="374" t="s">
        <v>1071</v>
      </c>
      <c r="E143" s="377">
        <v>19</v>
      </c>
      <c r="F143" s="376"/>
      <c r="G143" s="377">
        <v>158</v>
      </c>
      <c r="H143" s="377">
        <v>2</v>
      </c>
      <c r="I143" s="378">
        <f t="shared" si="42"/>
      </c>
      <c r="J143" s="379">
        <f t="shared" si="81"/>
      </c>
      <c r="K143" s="377">
        <v>1</v>
      </c>
      <c r="L143" s="379">
        <f t="shared" si="4"/>
      </c>
      <c r="M143" s="377">
        <v>0</v>
      </c>
      <c r="N143" s="380">
        <f t="shared" si="23"/>
      </c>
      <c r="O143" s="377">
        <v>0</v>
      </c>
      <c r="P143" s="380">
        <f t="shared" si="61"/>
      </c>
      <c r="Q143" s="381"/>
      <c r="R143" s="377"/>
      <c r="S143" s="381"/>
      <c r="T143" s="377"/>
      <c r="U143" s="382"/>
      <c r="V143" s="383"/>
      <c r="W143" s="377"/>
      <c r="X143" s="383"/>
      <c r="Y143" s="381"/>
      <c r="Z143" s="383"/>
      <c r="AA143" s="383"/>
      <c r="AB143" s="377"/>
      <c r="AC143" s="377"/>
      <c r="AD143" s="381"/>
      <c r="AE143" s="383"/>
      <c r="AF143" s="383"/>
    </row>
    <row r="144">
      <c r="A144" s="371"/>
      <c r="B144" s="385" t="s">
        <v>1078</v>
      </c>
      <c r="C144" s="373" t="s">
        <v>1084</v>
      </c>
      <c r="D144" s="374" t="s">
        <v>1067</v>
      </c>
      <c r="E144" s="375">
        <v>196.94</v>
      </c>
      <c r="F144" s="376">
        <f>E144+E145+E146</f>
      </c>
      <c r="G144" s="377">
        <v>2402</v>
      </c>
      <c r="H144" s="377">
        <v>16</v>
      </c>
      <c r="I144" s="378">
        <f t="shared" si="42"/>
      </c>
      <c r="J144" s="379">
        <f t="shared" si="81"/>
      </c>
      <c r="K144" s="377">
        <v>5</v>
      </c>
      <c r="L144" s="379">
        <f t="shared" si="4"/>
      </c>
      <c r="M144" s="377">
        <v>0</v>
      </c>
      <c r="N144" s="380">
        <f t="shared" si="23"/>
      </c>
      <c r="O144" s="377">
        <v>0</v>
      </c>
      <c r="P144" s="380">
        <f t="shared" si="61"/>
      </c>
      <c r="Q144" s="381">
        <f>(M144+M146+M145)/(O144+O146+O145)</f>
      </c>
      <c r="R144" s="377">
        <v>0</v>
      </c>
      <c r="S144" s="381">
        <f>(O144+O146)/(K144+K146)</f>
      </c>
      <c r="T144" s="377">
        <v>0</v>
      </c>
      <c r="U144" s="382">
        <f>F144/T144</f>
      </c>
      <c r="V144" s="383">
        <f>(F144+4*500)/T144</f>
      </c>
      <c r="W144" s="377">
        <v>0</v>
      </c>
      <c r="X144" s="383">
        <f>W144/T144</f>
      </c>
      <c r="Y144" s="381">
        <f>T144/R144</f>
      </c>
      <c r="Z144" s="383">
        <f>W144/F144</f>
      </c>
      <c r="AA144" s="383">
        <f>W144/(F144+500)</f>
      </c>
      <c r="AB144" s="377">
        <v>0</v>
      </c>
      <c r="AC144" s="377">
        <v>0</v>
      </c>
      <c r="AD144" s="381">
        <f>AB144/T144</f>
      </c>
      <c r="AE144" s="383">
        <f>(W144-AC144)/(F144+500)</f>
      </c>
      <c r="AF144" s="383" t="s">
        <v>1068</v>
      </c>
    </row>
    <row r="145">
      <c r="A145" s="371"/>
      <c r="B145" s="385"/>
      <c r="C145" s="373"/>
      <c r="D145" s="374" t="s">
        <v>1069</v>
      </c>
      <c r="E145" s="384">
        <v>98.34</v>
      </c>
      <c r="F145" s="376"/>
      <c r="G145" s="377">
        <v>1297</v>
      </c>
      <c r="H145" s="377">
        <v>43</v>
      </c>
      <c r="I145" s="378">
        <f t="shared" si="42"/>
      </c>
      <c r="J145" s="379">
        <f t="shared" si="81"/>
      </c>
      <c r="K145" s="377">
        <v>0</v>
      </c>
      <c r="L145" s="379">
        <f t="shared" si="4"/>
      </c>
      <c r="M145" s="377">
        <v>0</v>
      </c>
      <c r="N145" s="380">
        <f t="shared" si="23"/>
      </c>
      <c r="O145" s="377">
        <v>0</v>
      </c>
      <c r="P145" s="380">
        <f t="shared" si="61"/>
      </c>
      <c r="Q145" s="381"/>
      <c r="R145" s="377"/>
      <c r="S145" s="381"/>
      <c r="T145" s="377"/>
      <c r="U145" s="382"/>
      <c r="V145" s="383"/>
      <c r="W145" s="377"/>
      <c r="X145" s="383"/>
      <c r="Y145" s="381"/>
      <c r="Z145" s="383"/>
      <c r="AA145" s="383"/>
      <c r="AB145" s="377"/>
      <c r="AC145" s="377"/>
      <c r="AD145" s="381"/>
      <c r="AE145" s="383"/>
      <c r="AF145" s="383" t="s">
        <v>1070</v>
      </c>
    </row>
    <row r="146">
      <c r="A146" s="371"/>
      <c r="B146" s="385"/>
      <c r="C146" s="373"/>
      <c r="D146" s="374" t="s">
        <v>1071</v>
      </c>
      <c r="E146" s="377">
        <v>32.07</v>
      </c>
      <c r="F146" s="376"/>
      <c r="G146" s="377">
        <v>327</v>
      </c>
      <c r="H146" s="377">
        <v>22</v>
      </c>
      <c r="I146" s="378">
        <f t="shared" si="42"/>
      </c>
      <c r="J146" s="379">
        <f t="shared" si="81"/>
      </c>
      <c r="K146" s="377">
        <v>0</v>
      </c>
      <c r="L146" s="379">
        <f t="shared" si="4"/>
      </c>
      <c r="M146" s="377">
        <v>0</v>
      </c>
      <c r="N146" s="380">
        <f t="shared" si="23"/>
      </c>
      <c r="O146" s="377">
        <v>0</v>
      </c>
      <c r="P146" s="380">
        <f t="shared" si="61"/>
      </c>
      <c r="Q146" s="381"/>
      <c r="R146" s="377"/>
      <c r="S146" s="381"/>
      <c r="T146" s="377"/>
      <c r="U146" s="382"/>
      <c r="V146" s="383"/>
      <c r="W146" s="377"/>
      <c r="X146" s="383"/>
      <c r="Y146" s="381"/>
      <c r="Z146" s="383"/>
      <c r="AA146" s="383"/>
      <c r="AB146" s="377"/>
      <c r="AC146" s="377"/>
      <c r="AD146" s="381"/>
      <c r="AE146" s="383"/>
      <c r="AF146" s="383"/>
    </row>
    <row r="147">
      <c r="A147" s="371"/>
      <c r="B147" s="372" t="s">
        <v>1079</v>
      </c>
      <c r="C147" s="373" t="s">
        <v>1084</v>
      </c>
      <c r="D147" s="374" t="s">
        <v>1067</v>
      </c>
      <c r="E147" s="375">
        <v>411.4</v>
      </c>
      <c r="F147" s="376">
        <f>E147+E148+E149</f>
      </c>
      <c r="G147" s="377">
        <v>3202</v>
      </c>
      <c r="H147" s="377">
        <v>43</v>
      </c>
      <c r="I147" s="378">
        <f t="shared" si="42"/>
      </c>
      <c r="J147" s="379">
        <f t="shared" si="81"/>
      </c>
      <c r="K147" s="377">
        <v>6</v>
      </c>
      <c r="L147" s="379">
        <f t="shared" si="4"/>
      </c>
      <c r="M147" s="377">
        <v>0</v>
      </c>
      <c r="N147" s="380">
        <f t="shared" si="23"/>
      </c>
      <c r="O147" s="377">
        <v>0</v>
      </c>
      <c r="P147" s="380">
        <f t="shared" si="61"/>
      </c>
      <c r="Q147" s="381">
        <f>(M147+M149+M148)/(O147+O149+O148)</f>
      </c>
      <c r="R147" s="377">
        <v>5</v>
      </c>
      <c r="S147" s="381">
        <f>(O147+O149)/(K147+K149)</f>
      </c>
      <c r="T147" s="377">
        <v>0</v>
      </c>
      <c r="U147" s="382">
        <f>F147/T147</f>
      </c>
      <c r="V147" s="383">
        <f>(F147+4*500)/T147</f>
      </c>
      <c r="W147" s="377">
        <v>0</v>
      </c>
      <c r="X147" s="383">
        <f>W147/T147</f>
      </c>
      <c r="Y147" s="381">
        <f>T147/R147</f>
      </c>
      <c r="Z147" s="383">
        <f>W147/F147</f>
      </c>
      <c r="AA147" s="383">
        <f>W147/(F147+500)</f>
      </c>
      <c r="AB147" s="377">
        <v>0</v>
      </c>
      <c r="AC147" s="377">
        <v>0</v>
      </c>
      <c r="AD147" s="381">
        <f>AB147/T147</f>
      </c>
      <c r="AE147" s="383">
        <f>(W147-AC147)/(F147+500)</f>
      </c>
      <c r="AF147" s="383" t="s">
        <v>1068</v>
      </c>
    </row>
    <row r="148">
      <c r="A148" s="371"/>
      <c r="B148" s="372"/>
      <c r="C148" s="373"/>
      <c r="D148" s="374" t="s">
        <v>1069</v>
      </c>
      <c r="E148" s="384">
        <v>86.99</v>
      </c>
      <c r="F148" s="376"/>
      <c r="G148" s="377">
        <v>1088</v>
      </c>
      <c r="H148" s="377">
        <v>32</v>
      </c>
      <c r="I148" s="378">
        <f t="shared" si="42"/>
      </c>
      <c r="J148" s="379">
        <f t="shared" si="81"/>
      </c>
      <c r="K148" s="377">
        <v>1</v>
      </c>
      <c r="L148" s="379">
        <f t="shared" si="4"/>
      </c>
      <c r="M148" s="377">
        <v>0</v>
      </c>
      <c r="N148" s="380">
        <f t="shared" si="23"/>
      </c>
      <c r="O148" s="377">
        <v>0</v>
      </c>
      <c r="P148" s="380">
        <f t="shared" si="61"/>
      </c>
      <c r="Q148" s="381"/>
      <c r="R148" s="377"/>
      <c r="S148" s="381"/>
      <c r="T148" s="377"/>
      <c r="U148" s="382"/>
      <c r="V148" s="383"/>
      <c r="W148" s="377"/>
      <c r="X148" s="383"/>
      <c r="Y148" s="381"/>
      <c r="Z148" s="383"/>
      <c r="AA148" s="383"/>
      <c r="AB148" s="377"/>
      <c r="AC148" s="377"/>
      <c r="AD148" s="381"/>
      <c r="AE148" s="383"/>
      <c r="AF148" s="383" t="s">
        <v>1070</v>
      </c>
    </row>
    <row r="149">
      <c r="A149" s="371"/>
      <c r="B149" s="372"/>
      <c r="C149" s="373"/>
      <c r="D149" s="374" t="s">
        <v>1071</v>
      </c>
      <c r="E149" s="377">
        <v>273.61</v>
      </c>
      <c r="F149" s="376"/>
      <c r="G149" s="377">
        <v>341</v>
      </c>
      <c r="H149" s="377">
        <v>20</v>
      </c>
      <c r="I149" s="378">
        <f t="shared" si="42"/>
      </c>
      <c r="J149" s="379">
        <f t="shared" si="81"/>
      </c>
      <c r="K149" s="377">
        <v>3</v>
      </c>
      <c r="L149" s="379">
        <f t="shared" si="4"/>
      </c>
      <c r="M149" s="377">
        <v>0</v>
      </c>
      <c r="N149" s="380">
        <f t="shared" si="23"/>
      </c>
      <c r="O149" s="377">
        <v>0</v>
      </c>
      <c r="P149" s="380">
        <f t="shared" si="61"/>
      </c>
      <c r="Q149" s="381"/>
      <c r="R149" s="377"/>
      <c r="S149" s="381"/>
      <c r="T149" s="377"/>
      <c r="U149" s="382"/>
      <c r="V149" s="383"/>
      <c r="W149" s="377"/>
      <c r="X149" s="383"/>
      <c r="Y149" s="381"/>
      <c r="Z149" s="383"/>
      <c r="AA149" s="383"/>
      <c r="AB149" s="377"/>
      <c r="AC149" s="377"/>
      <c r="AD149" s="381"/>
      <c r="AE149" s="383"/>
      <c r="AF149" s="383"/>
    </row>
    <row r="150">
      <c r="A150" s="371"/>
      <c r="B150" s="372" t="s">
        <v>1080</v>
      </c>
      <c r="C150" s="373" t="s">
        <v>1087</v>
      </c>
      <c r="D150" s="374" t="s">
        <v>1067</v>
      </c>
      <c r="E150" s="375">
        <v>186.66</v>
      </c>
      <c r="F150" s="376">
        <f>E150+E151+E152</f>
      </c>
      <c r="G150" s="377">
        <v>1429</v>
      </c>
      <c r="H150" s="377">
        <v>36</v>
      </c>
      <c r="I150" s="378">
        <f t="shared" si="42"/>
      </c>
      <c r="J150" s="379">
        <f t="shared" si="81"/>
      </c>
      <c r="K150" s="377">
        <v>2</v>
      </c>
      <c r="L150" s="379">
        <f t="shared" si="4"/>
      </c>
      <c r="M150" s="377">
        <v>0</v>
      </c>
      <c r="N150" s="380">
        <f t="shared" si="23"/>
      </c>
      <c r="O150" s="377">
        <v>0</v>
      </c>
      <c r="P150" s="380">
        <f t="shared" si="61"/>
      </c>
      <c r="Q150" s="381">
        <f>(M150+M152+M151)/(O150+O152+O151)</f>
      </c>
      <c r="R150" s="377">
        <v>0</v>
      </c>
      <c r="S150" s="381">
        <f>(O150+O152)/(K150+K152)</f>
      </c>
      <c r="T150" s="377">
        <v>0</v>
      </c>
      <c r="U150" s="382">
        <f>F150/T150</f>
      </c>
      <c r="V150" s="383">
        <f>(F150+4*500)/T150</f>
      </c>
      <c r="W150" s="377">
        <v>0</v>
      </c>
      <c r="X150" s="383">
        <f>W150/T150</f>
      </c>
      <c r="Y150" s="381">
        <f>T150/R150</f>
      </c>
      <c r="Z150" s="383">
        <f>W150/F150</f>
      </c>
      <c r="AA150" s="383">
        <f>W150/(F150+500)</f>
      </c>
      <c r="AB150" s="377">
        <v>0</v>
      </c>
      <c r="AC150" s="377">
        <v>0</v>
      </c>
      <c r="AD150" s="381">
        <f>AB150/T150</f>
      </c>
      <c r="AE150" s="383">
        <f>(W150-AC150)/(F150+500)</f>
      </c>
      <c r="AF150" s="383" t="s">
        <v>1068</v>
      </c>
    </row>
    <row r="151">
      <c r="A151" s="371"/>
      <c r="B151" s="372"/>
      <c r="C151" s="373"/>
      <c r="D151" s="374" t="s">
        <v>1069</v>
      </c>
      <c r="E151" s="384">
        <v>197.39</v>
      </c>
      <c r="F151" s="376"/>
      <c r="G151" s="377">
        <v>1229</v>
      </c>
      <c r="H151" s="377">
        <v>39</v>
      </c>
      <c r="I151" s="378">
        <f t="shared" si="42"/>
      </c>
      <c r="J151" s="379">
        <f t="shared" si="81"/>
      </c>
      <c r="K151" s="377">
        <v>1</v>
      </c>
      <c r="L151" s="379">
        <f t="shared" si="4"/>
      </c>
      <c r="M151" s="377">
        <v>0</v>
      </c>
      <c r="N151" s="380">
        <f t="shared" si="23"/>
      </c>
      <c r="O151" s="377">
        <v>0</v>
      </c>
      <c r="P151" s="380">
        <f t="shared" si="61"/>
      </c>
      <c r="Q151" s="381"/>
      <c r="R151" s="377"/>
      <c r="S151" s="381"/>
      <c r="T151" s="377"/>
      <c r="U151" s="382"/>
      <c r="V151" s="383"/>
      <c r="W151" s="377"/>
      <c r="X151" s="383"/>
      <c r="Y151" s="381"/>
      <c r="Z151" s="383"/>
      <c r="AA151" s="383"/>
      <c r="AB151" s="377"/>
      <c r="AC151" s="377"/>
      <c r="AD151" s="381"/>
      <c r="AE151" s="383"/>
      <c r="AF151" s="383" t="s">
        <v>1070</v>
      </c>
    </row>
    <row r="152">
      <c r="A152" s="371"/>
      <c r="B152" s="372"/>
      <c r="C152" s="373"/>
      <c r="D152" s="374" t="s">
        <v>1071</v>
      </c>
      <c r="E152" s="377">
        <v>100.04</v>
      </c>
      <c r="F152" s="376"/>
      <c r="G152" s="377">
        <v>143</v>
      </c>
      <c r="H152" s="377">
        <v>10</v>
      </c>
      <c r="I152" s="378">
        <f t="shared" si="42"/>
      </c>
      <c r="J152" s="379">
        <f t="shared" si="81"/>
      </c>
      <c r="K152" s="377">
        <v>0</v>
      </c>
      <c r="L152" s="379">
        <f t="shared" si="4"/>
      </c>
      <c r="M152" s="377">
        <v>0</v>
      </c>
      <c r="N152" s="380">
        <f t="shared" si="23"/>
      </c>
      <c r="O152" s="377">
        <v>0</v>
      </c>
      <c r="P152" s="380">
        <f t="shared" si="61"/>
      </c>
      <c r="Q152" s="381"/>
      <c r="R152" s="377"/>
      <c r="S152" s="381"/>
      <c r="T152" s="377"/>
      <c r="U152" s="382"/>
      <c r="V152" s="383"/>
      <c r="W152" s="377"/>
      <c r="X152" s="383"/>
      <c r="Y152" s="381"/>
      <c r="Z152" s="383"/>
      <c r="AA152" s="383"/>
      <c r="AB152" s="377"/>
      <c r="AC152" s="377"/>
      <c r="AD152" s="381"/>
      <c r="AE152" s="383"/>
      <c r="AF152" s="383"/>
    </row>
    <row r="153">
      <c r="A153" s="371"/>
      <c r="B153" s="372" t="s">
        <v>1082</v>
      </c>
      <c r="C153" s="373" t="s">
        <v>1087</v>
      </c>
      <c r="D153" s="374" t="s">
        <v>1067</v>
      </c>
      <c r="E153" s="375">
        <v>340.35</v>
      </c>
      <c r="F153" s="376">
        <f>E153+E154+E155</f>
      </c>
      <c r="G153" s="377">
        <v>2873</v>
      </c>
      <c r="H153" s="377">
        <v>45</v>
      </c>
      <c r="I153" s="378">
        <f t="shared" si="42"/>
      </c>
      <c r="J153" s="379">
        <f t="shared" si="81"/>
      </c>
      <c r="K153" s="377">
        <v>2</v>
      </c>
      <c r="L153" s="379">
        <f t="shared" si="4"/>
      </c>
      <c r="M153" s="377">
        <v>0</v>
      </c>
      <c r="N153" s="380">
        <f t="shared" si="23"/>
      </c>
      <c r="O153" s="377">
        <v>0</v>
      </c>
      <c r="P153" s="380">
        <f t="shared" si="61"/>
      </c>
      <c r="Q153" s="381">
        <f>(M153+M155+M154)/(O153+O155+O154)</f>
      </c>
      <c r="R153" s="377">
        <v>0</v>
      </c>
      <c r="S153" s="381">
        <f>(O153+O155)/(K153+K155)</f>
      </c>
      <c r="T153" s="377">
        <v>0</v>
      </c>
      <c r="U153" s="382">
        <f>F153/T153</f>
      </c>
      <c r="V153" s="383">
        <f>(F153+4*500)/T153</f>
      </c>
      <c r="W153" s="377">
        <v>0</v>
      </c>
      <c r="X153" s="383">
        <f>W153/T153</f>
      </c>
      <c r="Y153" s="381">
        <f>T153/R153</f>
      </c>
      <c r="Z153" s="383">
        <f>W153/F153</f>
      </c>
      <c r="AA153" s="383">
        <f>W153/(F153+500)</f>
      </c>
      <c r="AB153" s="377">
        <v>0</v>
      </c>
      <c r="AC153" s="377">
        <v>0</v>
      </c>
      <c r="AD153" s="381">
        <f>AB153/T153</f>
      </c>
      <c r="AE153" s="383">
        <f>(W153-AC153)/(F153+500)</f>
      </c>
      <c r="AF153" s="383" t="s">
        <v>1068</v>
      </c>
    </row>
    <row r="154">
      <c r="A154" s="371"/>
      <c r="B154" s="372"/>
      <c r="C154" s="373"/>
      <c r="D154" s="374" t="s">
        <v>1069</v>
      </c>
      <c r="E154" s="384">
        <v>306.87</v>
      </c>
      <c r="F154" s="376"/>
      <c r="G154" s="377">
        <v>1556</v>
      </c>
      <c r="H154" s="377">
        <v>84</v>
      </c>
      <c r="I154" s="378">
        <f t="shared" si="42"/>
      </c>
      <c r="J154" s="379">
        <f t="shared" si="81"/>
      </c>
      <c r="K154" s="377">
        <v>5</v>
      </c>
      <c r="L154" s="379">
        <f t="shared" si="4"/>
      </c>
      <c r="M154" s="377">
        <v>0</v>
      </c>
      <c r="N154" s="380">
        <f t="shared" si="23"/>
      </c>
      <c r="O154" s="377">
        <v>0</v>
      </c>
      <c r="P154" s="380">
        <f t="shared" si="61"/>
      </c>
      <c r="Q154" s="381"/>
      <c r="R154" s="377"/>
      <c r="S154" s="381"/>
      <c r="T154" s="377"/>
      <c r="U154" s="382"/>
      <c r="V154" s="383"/>
      <c r="W154" s="377"/>
      <c r="X154" s="383"/>
      <c r="Y154" s="381"/>
      <c r="Z154" s="383"/>
      <c r="AA154" s="383"/>
      <c r="AB154" s="377"/>
      <c r="AC154" s="377"/>
      <c r="AD154" s="381"/>
      <c r="AE154" s="383"/>
      <c r="AF154" s="383" t="s">
        <v>1070</v>
      </c>
    </row>
    <row r="155">
      <c r="A155" s="371"/>
      <c r="B155" s="372"/>
      <c r="C155" s="373"/>
      <c r="D155" s="374" t="s">
        <v>1071</v>
      </c>
      <c r="E155" s="377">
        <v>151.07</v>
      </c>
      <c r="F155" s="376"/>
      <c r="G155" s="377">
        <v>55</v>
      </c>
      <c r="H155" s="377">
        <v>3</v>
      </c>
      <c r="I155" s="378">
        <f t="shared" si="42"/>
      </c>
      <c r="J155" s="379">
        <f t="shared" si="81"/>
      </c>
      <c r="K155" s="377">
        <v>1</v>
      </c>
      <c r="L155" s="379">
        <f t="shared" si="4"/>
      </c>
      <c r="M155" s="377">
        <v>0</v>
      </c>
      <c r="N155" s="380">
        <f t="shared" si="23"/>
      </c>
      <c r="O155" s="377">
        <v>0</v>
      </c>
      <c r="P155" s="380">
        <f t="shared" si="61"/>
      </c>
      <c r="Q155" s="381"/>
      <c r="R155" s="377"/>
      <c r="S155" s="381"/>
      <c r="T155" s="377"/>
      <c r="U155" s="382"/>
      <c r="V155" s="383"/>
      <c r="W155" s="377"/>
      <c r="X155" s="383"/>
      <c r="Y155" s="381"/>
      <c r="Z155" s="383"/>
      <c r="AA155" s="383"/>
      <c r="AB155" s="377"/>
      <c r="AC155" s="377"/>
      <c r="AD155" s="381"/>
      <c r="AE155" s="383"/>
      <c r="AF155" s="383"/>
    </row>
    <row customHeight="true" ht="20.238095238095237" r="156">
      <c r="A156" s="371"/>
      <c r="B156" s="372"/>
      <c r="C156" s="373"/>
      <c r="D156" s="374"/>
      <c r="E156" s="377">
        <f>SUM(E126:E155)</f>
      </c>
      <c r="F156" s="377">
        <f>SUM(F126:F155)</f>
      </c>
      <c r="G156" s="377"/>
      <c r="H156" s="377"/>
      <c r="I156" s="378"/>
      <c r="J156" s="379"/>
      <c r="K156" s="377"/>
      <c r="L156" s="379"/>
      <c r="M156" s="377"/>
      <c r="N156" s="380"/>
      <c r="O156" s="377"/>
      <c r="P156" s="380"/>
      <c r="Q156" s="381"/>
      <c r="R156" s="377"/>
      <c r="S156" s="381"/>
      <c r="T156" s="377">
        <f>SUM(T126:T155)</f>
      </c>
      <c r="U156" s="382"/>
      <c r="V156" s="383"/>
      <c r="W156" s="377">
        <f>SUM(W126:W155)</f>
      </c>
      <c r="X156" s="383"/>
      <c r="Y156" s="381"/>
      <c r="Z156" s="383"/>
      <c r="AA156" s="383"/>
      <c r="AB156" s="377"/>
      <c r="AC156" s="377"/>
      <c r="AD156" s="381"/>
      <c r="AE156" s="383"/>
      <c r="AF156" s="383"/>
    </row>
    <row r="157">
      <c r="A157" s="371" t="s">
        <v>1089</v>
      </c>
      <c r="B157" s="372" t="s">
        <v>1065</v>
      </c>
      <c r="C157" s="373" t="s">
        <v>1084</v>
      </c>
      <c r="D157" s="374" t="s">
        <v>1067</v>
      </c>
      <c r="E157" s="375">
        <v>766.94</v>
      </c>
      <c r="F157" s="376">
        <f>E157+E158+E159</f>
      </c>
      <c r="G157" s="377">
        <v>6076</v>
      </c>
      <c r="H157" s="377">
        <v>483</v>
      </c>
      <c r="I157" s="378">
        <f t="shared" ref="I157:I186" si="43">H157/G157</f>
      </c>
      <c r="J157" s="379">
        <f t="shared" ref="J157:J186" si="82">(E157/G157)*1000</f>
      </c>
      <c r="K157" s="377">
        <v>10</v>
      </c>
      <c r="L157" s="379">
        <f t="shared" ref="L157:L186" si="5">E157/K157</f>
      </c>
      <c r="M157" s="377">
        <v>1</v>
      </c>
      <c r="N157" s="380">
        <f t="shared" ref="N157:N186" si="24">E157/M157</f>
      </c>
      <c r="O157" s="377">
        <v>2</v>
      </c>
      <c r="P157" s="380">
        <f t="shared" ref="P157:P186" si="62">E157/O157</f>
      </c>
      <c r="Q157" s="381">
        <f>(M157+M159+M158)/(O157+O159+O158)</f>
      </c>
      <c r="R157" s="377">
        <v>3</v>
      </c>
      <c r="S157" s="381">
        <f>(O157+O159)/(K157+K159)</f>
      </c>
      <c r="T157" s="377">
        <v>1</v>
      </c>
      <c r="U157" s="382">
        <f>F157/T157</f>
      </c>
      <c r="V157" s="383">
        <f>(F157+4*500)/T157</f>
      </c>
      <c r="W157" s="377">
        <v>2467.2</v>
      </c>
      <c r="X157" s="383">
        <f>W157/T157</f>
      </c>
      <c r="Y157" s="381">
        <f>T157/R157</f>
      </c>
      <c r="Z157" s="383">
        <f>W157/F157</f>
      </c>
      <c r="AA157" s="383">
        <f>W157/(F157+500)</f>
      </c>
      <c r="AB157" s="377">
        <v>0</v>
      </c>
      <c r="AC157" s="377">
        <v>0</v>
      </c>
      <c r="AD157" s="381">
        <f>AB157/T157</f>
      </c>
      <c r="AE157" s="383">
        <f>(W157-AC157)/(F157+500)</f>
      </c>
      <c r="AF157" s="383" t="s">
        <v>1068</v>
      </c>
    </row>
    <row r="158">
      <c r="A158" s="371"/>
      <c r="B158" s="372"/>
      <c r="C158" s="373"/>
      <c r="D158" s="374" t="s">
        <v>1069</v>
      </c>
      <c r="E158" s="384">
        <v>103.59</v>
      </c>
      <c r="F158" s="376"/>
      <c r="G158" s="377">
        <v>1078</v>
      </c>
      <c r="H158" s="377">
        <v>81</v>
      </c>
      <c r="I158" s="378">
        <f t="shared" si="43"/>
      </c>
      <c r="J158" s="379">
        <f t="shared" si="82"/>
      </c>
      <c r="K158" s="377">
        <v>7</v>
      </c>
      <c r="L158" s="379">
        <f t="shared" si="5"/>
      </c>
      <c r="M158" s="377">
        <v>0</v>
      </c>
      <c r="N158" s="380">
        <f t="shared" si="24"/>
      </c>
      <c r="O158" s="377">
        <v>0</v>
      </c>
      <c r="P158" s="380">
        <f t="shared" si="62"/>
      </c>
      <c r="Q158" s="381"/>
      <c r="R158" s="377"/>
      <c r="S158" s="381"/>
      <c r="T158" s="377"/>
      <c r="U158" s="382"/>
      <c r="V158" s="383"/>
      <c r="W158" s="377"/>
      <c r="X158" s="383"/>
      <c r="Y158" s="381"/>
      <c r="Z158" s="383"/>
      <c r="AA158" s="383"/>
      <c r="AB158" s="377"/>
      <c r="AC158" s="377"/>
      <c r="AD158" s="381"/>
      <c r="AE158" s="383"/>
      <c r="AF158" s="383" t="s">
        <v>1070</v>
      </c>
    </row>
    <row r="159">
      <c r="A159" s="371"/>
      <c r="B159" s="372"/>
      <c r="C159" s="373"/>
      <c r="D159" s="374" t="s">
        <v>1071</v>
      </c>
      <c r="E159" s="377">
        <v>7.45</v>
      </c>
      <c r="F159" s="376"/>
      <c r="G159" s="377">
        <v>18</v>
      </c>
      <c r="H159" s="377">
        <v>0</v>
      </c>
      <c r="I159" s="378">
        <f t="shared" si="43"/>
      </c>
      <c r="J159" s="379">
        <f t="shared" si="82"/>
      </c>
      <c r="K159" s="377">
        <v>0</v>
      </c>
      <c r="L159" s="379">
        <f t="shared" si="5"/>
      </c>
      <c r="M159" s="377">
        <v>0</v>
      </c>
      <c r="N159" s="380">
        <f t="shared" si="24"/>
      </c>
      <c r="O159" s="377">
        <v>0</v>
      </c>
      <c r="P159" s="380">
        <f t="shared" si="62"/>
      </c>
      <c r="Q159" s="381"/>
      <c r="R159" s="377"/>
      <c r="S159" s="381"/>
      <c r="T159" s="377"/>
      <c r="U159" s="382"/>
      <c r="V159" s="383"/>
      <c r="W159" s="377"/>
      <c r="X159" s="383"/>
      <c r="Y159" s="381"/>
      <c r="Z159" s="383"/>
      <c r="AA159" s="383"/>
      <c r="AB159" s="377"/>
      <c r="AC159" s="377"/>
      <c r="AD159" s="381"/>
      <c r="AE159" s="383"/>
      <c r="AF159" s="383"/>
    </row>
    <row r="160">
      <c r="A160" s="371"/>
      <c r="B160" s="372" t="s">
        <v>1072</v>
      </c>
      <c r="C160" s="373" t="s">
        <v>1084</v>
      </c>
      <c r="D160" s="374" t="s">
        <v>1067</v>
      </c>
      <c r="E160" s="375">
        <v>930.51</v>
      </c>
      <c r="F160" s="376">
        <f>E160+E161+E162</f>
      </c>
      <c r="G160" s="377">
        <v>8292</v>
      </c>
      <c r="H160" s="377">
        <v>471</v>
      </c>
      <c r="I160" s="378">
        <f t="shared" si="43"/>
      </c>
      <c r="J160" s="379">
        <f t="shared" si="82"/>
      </c>
      <c r="K160" s="377">
        <v>25</v>
      </c>
      <c r="L160" s="379">
        <f t="shared" si="5"/>
      </c>
      <c r="M160" s="377">
        <v>0</v>
      </c>
      <c r="N160" s="380">
        <f t="shared" si="24"/>
      </c>
      <c r="O160" s="377">
        <v>2</v>
      </c>
      <c r="P160" s="380">
        <f t="shared" si="62"/>
      </c>
      <c r="Q160" s="381">
        <f>(M160+M162+M161)/(O160+O162+O161)</f>
      </c>
      <c r="R160" s="377">
        <v>4</v>
      </c>
      <c r="S160" s="381">
        <f>(O160+O162)/(K160+K162)</f>
      </c>
      <c r="T160" s="377">
        <v>0</v>
      </c>
      <c r="U160" s="382">
        <f>F160/T160</f>
      </c>
      <c r="V160" s="383">
        <f>(F160+4*500)/T160</f>
      </c>
      <c r="W160" s="377">
        <v>0</v>
      </c>
      <c r="X160" s="383">
        <f>W160/T160</f>
      </c>
      <c r="Y160" s="381">
        <f>T160/R160</f>
      </c>
      <c r="Z160" s="383">
        <f>W160/F160</f>
      </c>
      <c r="AA160" s="383">
        <f>W160/(F160+500)</f>
      </c>
      <c r="AB160" s="377">
        <v>0</v>
      </c>
      <c r="AC160" s="377">
        <v>0</v>
      </c>
      <c r="AD160" s="381">
        <f>AB160/T160</f>
      </c>
      <c r="AE160" s="383">
        <f>(W160-AC160)/(F160+500)</f>
      </c>
      <c r="AF160" s="383" t="s">
        <v>1068</v>
      </c>
    </row>
    <row r="161">
      <c r="A161" s="371"/>
      <c r="B161" s="372"/>
      <c r="C161" s="373"/>
      <c r="D161" s="374" t="s">
        <v>1069</v>
      </c>
      <c r="E161" s="384">
        <v>80.06</v>
      </c>
      <c r="F161" s="376"/>
      <c r="G161" s="377">
        <v>696</v>
      </c>
      <c r="H161" s="377">
        <v>39</v>
      </c>
      <c r="I161" s="378">
        <f t="shared" si="43"/>
      </c>
      <c r="J161" s="379">
        <f t="shared" si="82"/>
      </c>
      <c r="K161" s="377">
        <v>0</v>
      </c>
      <c r="L161" s="379">
        <f t="shared" si="5"/>
      </c>
      <c r="M161" s="377">
        <v>0</v>
      </c>
      <c r="N161" s="380">
        <f t="shared" si="24"/>
      </c>
      <c r="O161" s="377">
        <v>0</v>
      </c>
      <c r="P161" s="380">
        <f t="shared" si="62"/>
      </c>
      <c r="Q161" s="381"/>
      <c r="R161" s="377"/>
      <c r="S161" s="381"/>
      <c r="T161" s="377"/>
      <c r="U161" s="382"/>
      <c r="V161" s="383"/>
      <c r="W161" s="377"/>
      <c r="X161" s="383"/>
      <c r="Y161" s="381"/>
      <c r="Z161" s="383"/>
      <c r="AA161" s="383"/>
      <c r="AB161" s="377"/>
      <c r="AC161" s="377"/>
      <c r="AD161" s="381"/>
      <c r="AE161" s="383"/>
      <c r="AF161" s="383" t="s">
        <v>1070</v>
      </c>
    </row>
    <row r="162">
      <c r="A162" s="371"/>
      <c r="B162" s="372"/>
      <c r="C162" s="373"/>
      <c r="D162" s="374" t="s">
        <v>1071</v>
      </c>
      <c r="E162" s="377">
        <v>3.02</v>
      </c>
      <c r="F162" s="376"/>
      <c r="G162" s="377">
        <v>49</v>
      </c>
      <c r="H162" s="377">
        <v>3</v>
      </c>
      <c r="I162" s="378">
        <f t="shared" si="43"/>
      </c>
      <c r="J162" s="379">
        <f t="shared" si="82"/>
      </c>
      <c r="K162" s="377">
        <v>0</v>
      </c>
      <c r="L162" s="379">
        <f t="shared" si="5"/>
      </c>
      <c r="M162" s="377">
        <v>0</v>
      </c>
      <c r="N162" s="380">
        <f t="shared" si="24"/>
      </c>
      <c r="O162" s="377">
        <v>0</v>
      </c>
      <c r="P162" s="380">
        <f t="shared" si="62"/>
      </c>
      <c r="Q162" s="381"/>
      <c r="R162" s="377"/>
      <c r="S162" s="381"/>
      <c r="T162" s="377"/>
      <c r="U162" s="382"/>
      <c r="V162" s="383"/>
      <c r="W162" s="377"/>
      <c r="X162" s="383"/>
      <c r="Y162" s="381"/>
      <c r="Z162" s="383"/>
      <c r="AA162" s="383"/>
      <c r="AB162" s="377"/>
      <c r="AC162" s="377"/>
      <c r="AD162" s="381"/>
      <c r="AE162" s="383"/>
      <c r="AF162" s="383"/>
    </row>
    <row r="163">
      <c r="A163" s="371"/>
      <c r="B163" s="372" t="s">
        <v>1073</v>
      </c>
      <c r="C163" s="373" t="s">
        <v>1084</v>
      </c>
      <c r="D163" s="374" t="s">
        <v>1067</v>
      </c>
      <c r="E163" s="375">
        <v>319.17</v>
      </c>
      <c r="F163" s="376">
        <f>E163+E164+E165</f>
      </c>
      <c r="G163" s="377">
        <v>3514</v>
      </c>
      <c r="H163" s="377">
        <v>86</v>
      </c>
      <c r="I163" s="378">
        <f t="shared" si="43"/>
      </c>
      <c r="J163" s="379">
        <f t="shared" si="82"/>
      </c>
      <c r="K163" s="377">
        <v>8</v>
      </c>
      <c r="L163" s="379">
        <f t="shared" si="5"/>
      </c>
      <c r="M163" s="377">
        <v>0</v>
      </c>
      <c r="N163" s="380">
        <f t="shared" si="24"/>
      </c>
      <c r="O163" s="377">
        <v>1</v>
      </c>
      <c r="P163" s="380">
        <f t="shared" si="62"/>
      </c>
      <c r="Q163" s="381">
        <f>(M163+M165+M164)/(O163+O165+O164)</f>
      </c>
      <c r="R163" s="377">
        <v>1</v>
      </c>
      <c r="S163" s="381">
        <f>(O163+O165)/(K163+K165)</f>
      </c>
      <c r="T163" s="377">
        <v>0</v>
      </c>
      <c r="U163" s="382">
        <f>F163/T163</f>
      </c>
      <c r="V163" s="383">
        <f>(F163+4*500)/T163</f>
      </c>
      <c r="W163" s="377">
        <v>0</v>
      </c>
      <c r="X163" s="383">
        <f>W163/T163</f>
      </c>
      <c r="Y163" s="381">
        <f>T163/R163</f>
      </c>
      <c r="Z163" s="383">
        <f>W163/F163</f>
      </c>
      <c r="AA163" s="383">
        <f>W163/(F163+500)</f>
      </c>
      <c r="AB163" s="377">
        <v>0</v>
      </c>
      <c r="AC163" s="377">
        <v>0</v>
      </c>
      <c r="AD163" s="381">
        <f>AB163/T163</f>
      </c>
      <c r="AE163" s="383">
        <f>(W163-AC163)/(F163+500)</f>
      </c>
      <c r="AF163" s="383" t="s">
        <v>1068</v>
      </c>
    </row>
    <row r="164">
      <c r="A164" s="371"/>
      <c r="B164" s="372"/>
      <c r="C164" s="373"/>
      <c r="D164" s="374" t="s">
        <v>1069</v>
      </c>
      <c r="E164" s="384">
        <v>189.98</v>
      </c>
      <c r="F164" s="376"/>
      <c r="G164" s="377">
        <v>716</v>
      </c>
      <c r="H164" s="377">
        <v>52</v>
      </c>
      <c r="I164" s="378">
        <f t="shared" si="43"/>
      </c>
      <c r="J164" s="379">
        <f t="shared" si="82"/>
      </c>
      <c r="K164" s="377">
        <v>1</v>
      </c>
      <c r="L164" s="379">
        <f t="shared" si="5"/>
      </c>
      <c r="M164" s="377">
        <v>0</v>
      </c>
      <c r="N164" s="380">
        <f t="shared" si="24"/>
      </c>
      <c r="O164" s="377">
        <v>0</v>
      </c>
      <c r="P164" s="380">
        <f t="shared" si="62"/>
      </c>
      <c r="Q164" s="381"/>
      <c r="R164" s="377"/>
      <c r="S164" s="381"/>
      <c r="T164" s="377"/>
      <c r="U164" s="382"/>
      <c r="V164" s="383"/>
      <c r="W164" s="377"/>
      <c r="X164" s="383"/>
      <c r="Y164" s="381"/>
      <c r="Z164" s="383"/>
      <c r="AA164" s="383"/>
      <c r="AB164" s="377"/>
      <c r="AC164" s="377"/>
      <c r="AD164" s="381"/>
      <c r="AE164" s="383"/>
      <c r="AF164" s="383" t="s">
        <v>1070</v>
      </c>
    </row>
    <row r="165">
      <c r="A165" s="371"/>
      <c r="B165" s="372"/>
      <c r="C165" s="373"/>
      <c r="D165" s="374" t="s">
        <v>1071</v>
      </c>
      <c r="E165" s="377">
        <v>0.61</v>
      </c>
      <c r="F165" s="376"/>
      <c r="G165" s="377">
        <v>77</v>
      </c>
      <c r="H165" s="377">
        <v>4</v>
      </c>
      <c r="I165" s="378">
        <f t="shared" si="43"/>
      </c>
      <c r="J165" s="379">
        <f t="shared" si="82"/>
      </c>
      <c r="K165" s="377">
        <v>0</v>
      </c>
      <c r="L165" s="379">
        <f t="shared" si="5"/>
      </c>
      <c r="M165" s="377">
        <v>0</v>
      </c>
      <c r="N165" s="380">
        <f t="shared" si="24"/>
      </c>
      <c r="O165" s="377">
        <v>0</v>
      </c>
      <c r="P165" s="380">
        <f t="shared" si="62"/>
      </c>
      <c r="Q165" s="381"/>
      <c r="R165" s="377"/>
      <c r="S165" s="381"/>
      <c r="T165" s="377"/>
      <c r="U165" s="382"/>
      <c r="V165" s="383"/>
      <c r="W165" s="377"/>
      <c r="X165" s="383"/>
      <c r="Y165" s="381"/>
      <c r="Z165" s="383"/>
      <c r="AA165" s="383"/>
      <c r="AB165" s="377"/>
      <c r="AC165" s="377"/>
      <c r="AD165" s="381"/>
      <c r="AE165" s="383"/>
      <c r="AF165" s="383"/>
    </row>
    <row r="166">
      <c r="A166" s="371"/>
      <c r="B166" s="372" t="s">
        <v>1074</v>
      </c>
      <c r="C166" s="373" t="s">
        <v>1084</v>
      </c>
      <c r="D166" s="374" t="s">
        <v>1067</v>
      </c>
      <c r="E166" s="375">
        <v>268.51</v>
      </c>
      <c r="F166" s="376">
        <f>E166+E167+E168</f>
      </c>
      <c r="G166" s="377">
        <v>2388</v>
      </c>
      <c r="H166" s="377">
        <v>63</v>
      </c>
      <c r="I166" s="378">
        <f t="shared" si="43"/>
      </c>
      <c r="J166" s="379">
        <f t="shared" si="82"/>
      </c>
      <c r="K166" s="377">
        <v>8</v>
      </c>
      <c r="L166" s="379">
        <f t="shared" si="5"/>
      </c>
      <c r="M166" s="377">
        <v>1</v>
      </c>
      <c r="N166" s="380">
        <f t="shared" si="24"/>
      </c>
      <c r="O166" s="377">
        <v>1</v>
      </c>
      <c r="P166" s="380">
        <f t="shared" si="62"/>
      </c>
      <c r="Q166" s="381">
        <f>(M166+M168+M167)/(O166+O168+O167)</f>
      </c>
      <c r="R166" s="377">
        <v>1</v>
      </c>
      <c r="S166" s="381">
        <f>(O166+O168)/(K166+K168)</f>
      </c>
      <c r="T166" s="377">
        <v>1</v>
      </c>
      <c r="U166" s="382">
        <f>F166/T166</f>
      </c>
      <c r="V166" s="383">
        <f>(F166+4*500)/T166</f>
      </c>
      <c r="W166" s="377">
        <v>384</v>
      </c>
      <c r="X166" s="383">
        <f>W166/T166</f>
      </c>
      <c r="Y166" s="381">
        <f>T166/R166</f>
      </c>
      <c r="Z166" s="383">
        <f>W166/F166</f>
      </c>
      <c r="AA166" s="383">
        <f>W166/(F166+500)</f>
      </c>
      <c r="AB166" s="377">
        <v>0</v>
      </c>
      <c r="AC166" s="377">
        <v>0</v>
      </c>
      <c r="AD166" s="381">
        <f>AB166/T166</f>
      </c>
      <c r="AE166" s="383">
        <f>(W166-AC166)/(F166+500)</f>
      </c>
      <c r="AF166" s="383" t="s">
        <v>1068</v>
      </c>
    </row>
    <row r="167">
      <c r="A167" s="371"/>
      <c r="B167" s="372"/>
      <c r="C167" s="373"/>
      <c r="D167" s="374" t="s">
        <v>1069</v>
      </c>
      <c r="E167" s="384">
        <v>141.28</v>
      </c>
      <c r="F167" s="376"/>
      <c r="G167" s="377">
        <v>587</v>
      </c>
      <c r="H167" s="377">
        <v>32</v>
      </c>
      <c r="I167" s="378">
        <f t="shared" si="43"/>
      </c>
      <c r="J167" s="379">
        <f t="shared" si="82"/>
      </c>
      <c r="K167" s="377">
        <v>0</v>
      </c>
      <c r="L167" s="379">
        <f t="shared" si="5"/>
      </c>
      <c r="M167" s="377">
        <v>0</v>
      </c>
      <c r="N167" s="380">
        <f t="shared" si="24"/>
      </c>
      <c r="O167" s="377">
        <v>0</v>
      </c>
      <c r="P167" s="380">
        <f t="shared" si="62"/>
      </c>
      <c r="Q167" s="381"/>
      <c r="R167" s="377"/>
      <c r="S167" s="381"/>
      <c r="T167" s="377"/>
      <c r="U167" s="382"/>
      <c r="V167" s="383"/>
      <c r="W167" s="377"/>
      <c r="X167" s="383"/>
      <c r="Y167" s="381"/>
      <c r="Z167" s="383"/>
      <c r="AA167" s="383"/>
      <c r="AB167" s="377"/>
      <c r="AC167" s="377"/>
      <c r="AD167" s="381"/>
      <c r="AE167" s="383"/>
      <c r="AF167" s="383" t="s">
        <v>1070</v>
      </c>
    </row>
    <row r="168">
      <c r="A168" s="371"/>
      <c r="B168" s="372"/>
      <c r="C168" s="373"/>
      <c r="D168" s="374" t="s">
        <v>1071</v>
      </c>
      <c r="E168" s="377">
        <v>2.29</v>
      </c>
      <c r="F168" s="376"/>
      <c r="G168" s="377">
        <v>63</v>
      </c>
      <c r="H168" s="377">
        <v>3</v>
      </c>
      <c r="I168" s="378">
        <f t="shared" si="43"/>
      </c>
      <c r="J168" s="379">
        <f t="shared" si="82"/>
      </c>
      <c r="K168" s="377">
        <v>0</v>
      </c>
      <c r="L168" s="379">
        <f t="shared" si="5"/>
      </c>
      <c r="M168" s="377">
        <v>0</v>
      </c>
      <c r="N168" s="380">
        <f t="shared" si="24"/>
      </c>
      <c r="O168" s="377">
        <v>0</v>
      </c>
      <c r="P168" s="380">
        <f t="shared" si="62"/>
      </c>
      <c r="Q168" s="381"/>
      <c r="R168" s="377"/>
      <c r="S168" s="381"/>
      <c r="T168" s="377"/>
      <c r="U168" s="382"/>
      <c r="V168" s="383"/>
      <c r="W168" s="377"/>
      <c r="X168" s="383"/>
      <c r="Y168" s="381"/>
      <c r="Z168" s="383"/>
      <c r="AA168" s="383"/>
      <c r="AB168" s="377"/>
      <c r="AC168" s="377"/>
      <c r="AD168" s="381"/>
      <c r="AE168" s="383"/>
      <c r="AF168" s="383"/>
    </row>
    <row r="169">
      <c r="A169" s="371"/>
      <c r="B169" s="372" t="s">
        <v>1075</v>
      </c>
      <c r="C169" s="373" t="s">
        <v>1087</v>
      </c>
      <c r="D169" s="374" t="s">
        <v>1067</v>
      </c>
      <c r="E169" s="375">
        <v>175.04</v>
      </c>
      <c r="F169" s="376">
        <f>E169+E170+E171</f>
      </c>
      <c r="G169" s="377">
        <v>1620</v>
      </c>
      <c r="H169" s="377">
        <v>107</v>
      </c>
      <c r="I169" s="378">
        <f t="shared" si="43"/>
      </c>
      <c r="J169" s="379">
        <f t="shared" si="82"/>
      </c>
      <c r="K169" s="377">
        <v>2</v>
      </c>
      <c r="L169" s="379">
        <f t="shared" si="5"/>
      </c>
      <c r="M169" s="377">
        <v>1</v>
      </c>
      <c r="N169" s="380">
        <f t="shared" si="24"/>
      </c>
      <c r="O169" s="377">
        <v>1</v>
      </c>
      <c r="P169" s="380">
        <f t="shared" si="62"/>
      </c>
      <c r="Q169" s="381">
        <f>(M169+M171+M170)/(O169+O171+O170)</f>
      </c>
      <c r="R169" s="377">
        <v>1</v>
      </c>
      <c r="S169" s="381">
        <f>(O169+O171)/(K169+K171)</f>
      </c>
      <c r="T169" s="377">
        <v>1</v>
      </c>
      <c r="U169" s="382">
        <f>F169/T169</f>
      </c>
      <c r="V169" s="383">
        <f>(F169+4*500)/T169</f>
      </c>
      <c r="W169" s="377">
        <v>1723.2</v>
      </c>
      <c r="X169" s="383">
        <f>W169/T169</f>
      </c>
      <c r="Y169" s="381">
        <f>T169/R169</f>
      </c>
      <c r="Z169" s="383">
        <f>W169/F169</f>
      </c>
      <c r="AA169" s="383">
        <f>W169/(F169+500)</f>
      </c>
      <c r="AB169" s="377">
        <v>0</v>
      </c>
      <c r="AC169" s="377">
        <v>0</v>
      </c>
      <c r="AD169" s="381">
        <f>AB169/T169</f>
      </c>
      <c r="AE169" s="383">
        <f>(W169-AC169)/(F169+500)</f>
      </c>
      <c r="AF169" s="383" t="s">
        <v>1068</v>
      </c>
    </row>
    <row r="170">
      <c r="A170" s="371"/>
      <c r="B170" s="372"/>
      <c r="C170" s="373"/>
      <c r="D170" s="374" t="s">
        <v>1069</v>
      </c>
      <c r="E170" s="384">
        <v>128.39</v>
      </c>
      <c r="F170" s="376"/>
      <c r="G170" s="377">
        <v>759</v>
      </c>
      <c r="H170" s="377">
        <v>61</v>
      </c>
      <c r="I170" s="378">
        <f t="shared" si="43"/>
      </c>
      <c r="J170" s="379">
        <f t="shared" si="82"/>
      </c>
      <c r="K170" s="377">
        <v>2</v>
      </c>
      <c r="L170" s="379">
        <f t="shared" si="5"/>
      </c>
      <c r="M170" s="377">
        <v>0</v>
      </c>
      <c r="N170" s="380">
        <f t="shared" si="24"/>
      </c>
      <c r="O170" s="377">
        <v>0</v>
      </c>
      <c r="P170" s="380">
        <f t="shared" si="62"/>
      </c>
      <c r="Q170" s="381"/>
      <c r="R170" s="377"/>
      <c r="S170" s="381"/>
      <c r="T170" s="377"/>
      <c r="U170" s="382"/>
      <c r="V170" s="383"/>
      <c r="W170" s="377"/>
      <c r="X170" s="383"/>
      <c r="Y170" s="381"/>
      <c r="Z170" s="383"/>
      <c r="AA170" s="383"/>
      <c r="AB170" s="377"/>
      <c r="AC170" s="377"/>
      <c r="AD170" s="381"/>
      <c r="AE170" s="383"/>
      <c r="AF170" s="383" t="s">
        <v>1070</v>
      </c>
    </row>
    <row r="171">
      <c r="A171" s="371"/>
      <c r="B171" s="372"/>
      <c r="C171" s="373"/>
      <c r="D171" s="374" t="s">
        <v>1071</v>
      </c>
      <c r="E171" s="377">
        <v>45.56</v>
      </c>
      <c r="F171" s="376"/>
      <c r="G171" s="377">
        <v>72</v>
      </c>
      <c r="H171" s="377">
        <v>3</v>
      </c>
      <c r="I171" s="378">
        <f t="shared" si="43"/>
      </c>
      <c r="J171" s="379">
        <f t="shared" si="82"/>
      </c>
      <c r="K171" s="377">
        <v>0</v>
      </c>
      <c r="L171" s="379">
        <f t="shared" si="5"/>
      </c>
      <c r="M171" s="377">
        <v>0</v>
      </c>
      <c r="N171" s="380">
        <f t="shared" si="24"/>
      </c>
      <c r="O171" s="377">
        <v>0</v>
      </c>
      <c r="P171" s="380">
        <f t="shared" si="62"/>
      </c>
      <c r="Q171" s="381"/>
      <c r="R171" s="377"/>
      <c r="S171" s="381"/>
      <c r="T171" s="377"/>
      <c r="U171" s="382"/>
      <c r="V171" s="383"/>
      <c r="W171" s="377"/>
      <c r="X171" s="383"/>
      <c r="Y171" s="381"/>
      <c r="Z171" s="383"/>
      <c r="AA171" s="383"/>
      <c r="AB171" s="377"/>
      <c r="AC171" s="377"/>
      <c r="AD171" s="381"/>
      <c r="AE171" s="383"/>
      <c r="AF171" s="383"/>
    </row>
    <row r="172">
      <c r="A172" s="371"/>
      <c r="B172" s="372" t="s">
        <v>1077</v>
      </c>
      <c r="C172" s="373" t="s">
        <v>1087</v>
      </c>
      <c r="D172" s="374" t="s">
        <v>1067</v>
      </c>
      <c r="E172" s="375">
        <v>315.79</v>
      </c>
      <c r="F172" s="376">
        <f>E172+E173+E174</f>
      </c>
      <c r="G172" s="377">
        <v>2771</v>
      </c>
      <c r="H172" s="377">
        <v>127</v>
      </c>
      <c r="I172" s="378">
        <f t="shared" si="43"/>
      </c>
      <c r="J172" s="379">
        <f t="shared" si="82"/>
      </c>
      <c r="K172" s="377">
        <v>6</v>
      </c>
      <c r="L172" s="379">
        <f t="shared" si="5"/>
      </c>
      <c r="M172" s="377">
        <v>0</v>
      </c>
      <c r="N172" s="380">
        <f t="shared" si="24"/>
      </c>
      <c r="O172" s="377">
        <v>0</v>
      </c>
      <c r="P172" s="380">
        <f t="shared" si="62"/>
      </c>
      <c r="Q172" s="381">
        <f>(M172+M174+M173)/(O172+O174+O173)</f>
      </c>
      <c r="R172" s="377">
        <v>2</v>
      </c>
      <c r="S172" s="381">
        <f>(O172+O174)/(K172+K174)</f>
      </c>
      <c r="T172" s="377">
        <v>0</v>
      </c>
      <c r="U172" s="382">
        <f>F172/T172</f>
      </c>
      <c r="V172" s="383">
        <f>(F172+4*500)/T172</f>
      </c>
      <c r="W172" s="377">
        <v>0</v>
      </c>
      <c r="X172" s="383">
        <f>W172/T172</f>
      </c>
      <c r="Y172" s="381">
        <f>T172/R172</f>
      </c>
      <c r="Z172" s="383">
        <f>W172/F172</f>
      </c>
      <c r="AA172" s="383">
        <f>W172/(F172+500)</f>
      </c>
      <c r="AB172" s="377">
        <v>0</v>
      </c>
      <c r="AC172" s="377">
        <v>0</v>
      </c>
      <c r="AD172" s="381">
        <f>AB172/T172</f>
      </c>
      <c r="AE172" s="383">
        <f>(W172-AC172)/(F172+500)</f>
      </c>
      <c r="AF172" s="383" t="s">
        <v>1068</v>
      </c>
    </row>
    <row r="173">
      <c r="A173" s="371"/>
      <c r="B173" s="372"/>
      <c r="C173" s="373"/>
      <c r="D173" s="374" t="s">
        <v>1069</v>
      </c>
      <c r="E173" s="384">
        <v>171.47</v>
      </c>
      <c r="F173" s="376"/>
      <c r="G173" s="377">
        <v>952</v>
      </c>
      <c r="H173" s="377">
        <v>67</v>
      </c>
      <c r="I173" s="378">
        <f t="shared" si="43"/>
      </c>
      <c r="J173" s="379">
        <f t="shared" si="82"/>
      </c>
      <c r="K173" s="377">
        <v>2</v>
      </c>
      <c r="L173" s="379">
        <f t="shared" si="5"/>
      </c>
      <c r="M173" s="377">
        <v>0</v>
      </c>
      <c r="N173" s="380">
        <f t="shared" si="24"/>
      </c>
      <c r="O173" s="377">
        <v>0</v>
      </c>
      <c r="P173" s="380">
        <f t="shared" si="62"/>
      </c>
      <c r="Q173" s="381"/>
      <c r="R173" s="377"/>
      <c r="S173" s="381"/>
      <c r="T173" s="377"/>
      <c r="U173" s="382"/>
      <c r="V173" s="383"/>
      <c r="W173" s="377"/>
      <c r="X173" s="383"/>
      <c r="Y173" s="381"/>
      <c r="Z173" s="383"/>
      <c r="AA173" s="383"/>
      <c r="AB173" s="377"/>
      <c r="AC173" s="377"/>
      <c r="AD173" s="381"/>
      <c r="AE173" s="383"/>
      <c r="AF173" s="383" t="s">
        <v>1070</v>
      </c>
    </row>
    <row r="174">
      <c r="A174" s="371"/>
      <c r="B174" s="372"/>
      <c r="C174" s="373"/>
      <c r="D174" s="374" t="s">
        <v>1071</v>
      </c>
      <c r="E174" s="377">
        <v>5.76</v>
      </c>
      <c r="F174" s="376"/>
      <c r="G174" s="377">
        <v>119</v>
      </c>
      <c r="H174" s="377">
        <v>9</v>
      </c>
      <c r="I174" s="378">
        <f t="shared" si="43"/>
      </c>
      <c r="J174" s="379">
        <f t="shared" si="82"/>
      </c>
      <c r="K174" s="377">
        <v>1</v>
      </c>
      <c r="L174" s="379">
        <f t="shared" si="5"/>
      </c>
      <c r="M174" s="377">
        <v>0</v>
      </c>
      <c r="N174" s="380">
        <f t="shared" si="24"/>
      </c>
      <c r="O174" s="377">
        <v>0</v>
      </c>
      <c r="P174" s="380">
        <f t="shared" si="62"/>
      </c>
      <c r="Q174" s="381"/>
      <c r="R174" s="377"/>
      <c r="S174" s="381"/>
      <c r="T174" s="377"/>
      <c r="U174" s="382"/>
      <c r="V174" s="383"/>
      <c r="W174" s="377"/>
      <c r="X174" s="383"/>
      <c r="Y174" s="381"/>
      <c r="Z174" s="383"/>
      <c r="AA174" s="383"/>
      <c r="AB174" s="377"/>
      <c r="AC174" s="377"/>
      <c r="AD174" s="381"/>
      <c r="AE174" s="383"/>
      <c r="AF174" s="383"/>
    </row>
    <row r="175">
      <c r="A175" s="371"/>
      <c r="B175" s="385" t="s">
        <v>1078</v>
      </c>
      <c r="C175" s="373" t="s">
        <v>1087</v>
      </c>
      <c r="D175" s="374" t="s">
        <v>1067</v>
      </c>
      <c r="E175" s="375">
        <v>779.35</v>
      </c>
      <c r="F175" s="376">
        <f>E175+E176+E177</f>
      </c>
      <c r="G175" s="377">
        <v>7143</v>
      </c>
      <c r="H175" s="377">
        <v>214</v>
      </c>
      <c r="I175" s="378">
        <f t="shared" si="43"/>
      </c>
      <c r="J175" s="379">
        <f t="shared" si="82"/>
      </c>
      <c r="K175" s="377">
        <v>7</v>
      </c>
      <c r="L175" s="379">
        <f t="shared" si="5"/>
      </c>
      <c r="M175" s="377">
        <v>0</v>
      </c>
      <c r="N175" s="380">
        <f t="shared" si="24"/>
      </c>
      <c r="O175" s="377">
        <v>3</v>
      </c>
      <c r="P175" s="380">
        <f t="shared" si="62"/>
      </c>
      <c r="Q175" s="381">
        <f>(M175+M177+M176)/(O175+O177+O176)</f>
      </c>
      <c r="R175" s="377">
        <v>2</v>
      </c>
      <c r="S175" s="381">
        <f>(O175+O177)/(K175+K177)</f>
      </c>
      <c r="T175" s="377">
        <v>0</v>
      </c>
      <c r="U175" s="382">
        <f>F175/T175</f>
      </c>
      <c r="V175" s="383">
        <f>(F175+4*500)/T175</f>
      </c>
      <c r="W175" s="377">
        <v>0</v>
      </c>
      <c r="X175" s="383">
        <f>W175/T175</f>
      </c>
      <c r="Y175" s="381">
        <f>T175/R175</f>
      </c>
      <c r="Z175" s="383">
        <f>W175/F175</f>
      </c>
      <c r="AA175" s="383">
        <f>W175/(F175+500)</f>
      </c>
      <c r="AB175" s="377">
        <v>0</v>
      </c>
      <c r="AC175" s="377">
        <v>0</v>
      </c>
      <c r="AD175" s="381">
        <f>AB175/T175</f>
      </c>
      <c r="AE175" s="383">
        <f>(W175-AC175)/(F175+500)</f>
      </c>
      <c r="AF175" s="383" t="s">
        <v>1068</v>
      </c>
    </row>
    <row r="176">
      <c r="A176" s="371"/>
      <c r="B176" s="385"/>
      <c r="C176" s="373"/>
      <c r="D176" s="374" t="s">
        <v>1069</v>
      </c>
      <c r="E176" s="384">
        <v>401.29</v>
      </c>
      <c r="F176" s="376"/>
      <c r="G176" s="377">
        <v>1359</v>
      </c>
      <c r="H176" s="377">
        <v>70</v>
      </c>
      <c r="I176" s="378">
        <f t="shared" si="43"/>
      </c>
      <c r="J176" s="379">
        <f t="shared" si="82"/>
      </c>
      <c r="K176" s="377">
        <v>0</v>
      </c>
      <c r="L176" s="379">
        <f t="shared" si="5"/>
      </c>
      <c r="M176" s="377">
        <v>0</v>
      </c>
      <c r="N176" s="380">
        <f t="shared" si="24"/>
      </c>
      <c r="O176" s="377">
        <v>0</v>
      </c>
      <c r="P176" s="380">
        <f t="shared" si="62"/>
      </c>
      <c r="Q176" s="381"/>
      <c r="R176" s="377"/>
      <c r="S176" s="381"/>
      <c r="T176" s="377"/>
      <c r="U176" s="382"/>
      <c r="V176" s="383"/>
      <c r="W176" s="377"/>
      <c r="X176" s="383"/>
      <c r="Y176" s="381"/>
      <c r="Z176" s="383"/>
      <c r="AA176" s="383"/>
      <c r="AB176" s="377"/>
      <c r="AC176" s="377"/>
      <c r="AD176" s="381"/>
      <c r="AE176" s="383"/>
      <c r="AF176" s="383" t="s">
        <v>1070</v>
      </c>
    </row>
    <row r="177">
      <c r="A177" s="371"/>
      <c r="B177" s="385"/>
      <c r="C177" s="373"/>
      <c r="D177" s="374" t="s">
        <v>1071</v>
      </c>
      <c r="E177" s="377">
        <v>21.34</v>
      </c>
      <c r="F177" s="376"/>
      <c r="G177" s="377">
        <v>195</v>
      </c>
      <c r="H177" s="377">
        <v>8</v>
      </c>
      <c r="I177" s="378">
        <f t="shared" si="43"/>
      </c>
      <c r="J177" s="379">
        <f t="shared" si="82"/>
      </c>
      <c r="K177" s="377">
        <v>0</v>
      </c>
      <c r="L177" s="379">
        <f t="shared" si="5"/>
      </c>
      <c r="M177" s="377">
        <v>0</v>
      </c>
      <c r="N177" s="380">
        <f t="shared" si="24"/>
      </c>
      <c r="O177" s="377">
        <v>0</v>
      </c>
      <c r="P177" s="380">
        <f t="shared" si="62"/>
      </c>
      <c r="Q177" s="381"/>
      <c r="R177" s="377"/>
      <c r="S177" s="381"/>
      <c r="T177" s="377"/>
      <c r="U177" s="382"/>
      <c r="V177" s="383"/>
      <c r="W177" s="377"/>
      <c r="X177" s="383"/>
      <c r="Y177" s="381"/>
      <c r="Z177" s="383"/>
      <c r="AA177" s="383"/>
      <c r="AB177" s="377"/>
      <c r="AC177" s="377"/>
      <c r="AD177" s="381"/>
      <c r="AE177" s="383"/>
      <c r="AF177" s="383"/>
    </row>
    <row r="178">
      <c r="A178" s="371"/>
      <c r="B178" s="372" t="s">
        <v>1079</v>
      </c>
      <c r="C178" s="373" t="s">
        <v>1087</v>
      </c>
      <c r="D178" s="374" t="s">
        <v>1067</v>
      </c>
      <c r="E178" s="375">
        <v>570.56</v>
      </c>
      <c r="F178" s="376">
        <f>E178+E179+E180</f>
      </c>
      <c r="G178" s="377">
        <v>5613</v>
      </c>
      <c r="H178" s="377">
        <v>161</v>
      </c>
      <c r="I178" s="378">
        <f t="shared" si="43"/>
      </c>
      <c r="J178" s="379">
        <f t="shared" si="82"/>
      </c>
      <c r="K178" s="377">
        <v>8</v>
      </c>
      <c r="L178" s="379">
        <f t="shared" si="5"/>
      </c>
      <c r="M178" s="377">
        <v>0</v>
      </c>
      <c r="N178" s="380">
        <f t="shared" si="24"/>
      </c>
      <c r="O178" s="377">
        <v>0</v>
      </c>
      <c r="P178" s="380">
        <f t="shared" si="62"/>
      </c>
      <c r="Q178" s="381">
        <f>(M178+M180+M179)/(O178+O180+O179)</f>
      </c>
      <c r="R178" s="377">
        <v>1</v>
      </c>
      <c r="S178" s="381">
        <f>(O178+O180)/(K178+K180)</f>
      </c>
      <c r="T178" s="377">
        <v>1</v>
      </c>
      <c r="U178" s="382">
        <f>F178/T178</f>
      </c>
      <c r="V178" s="383">
        <f>(F178+4*500)/T178</f>
      </c>
      <c r="W178" s="377">
        <v>1752</v>
      </c>
      <c r="X178" s="383">
        <f>W178/T178</f>
      </c>
      <c r="Y178" s="381">
        <f>T178/R178</f>
      </c>
      <c r="Z178" s="383">
        <f>W178/F178</f>
      </c>
      <c r="AA178" s="383">
        <f>W178/(F178+500)</f>
      </c>
      <c r="AB178" s="377">
        <v>0</v>
      </c>
      <c r="AC178" s="377">
        <v>0</v>
      </c>
      <c r="AD178" s="381">
        <f>AB178/T178</f>
      </c>
      <c r="AE178" s="383">
        <f>(W178-AC178)/(F178+500)</f>
      </c>
      <c r="AF178" s="383" t="s">
        <v>1068</v>
      </c>
    </row>
    <row r="179">
      <c r="A179" s="371"/>
      <c r="B179" s="372"/>
      <c r="C179" s="373"/>
      <c r="D179" s="374" t="s">
        <v>1069</v>
      </c>
      <c r="E179" s="384">
        <v>367.42</v>
      </c>
      <c r="F179" s="376"/>
      <c r="G179" s="377">
        <v>1279</v>
      </c>
      <c r="H179" s="377">
        <v>87</v>
      </c>
      <c r="I179" s="378">
        <f t="shared" si="43"/>
      </c>
      <c r="J179" s="379">
        <f t="shared" si="82"/>
      </c>
      <c r="K179" s="377">
        <v>5</v>
      </c>
      <c r="L179" s="379">
        <f t="shared" si="5"/>
      </c>
      <c r="M179" s="377">
        <v>0</v>
      </c>
      <c r="N179" s="380">
        <f t="shared" si="24"/>
      </c>
      <c r="O179" s="377">
        <v>0</v>
      </c>
      <c r="P179" s="380">
        <f t="shared" si="62"/>
      </c>
      <c r="Q179" s="381"/>
      <c r="R179" s="377"/>
      <c r="S179" s="381"/>
      <c r="T179" s="377"/>
      <c r="U179" s="382"/>
      <c r="V179" s="383"/>
      <c r="W179" s="377"/>
      <c r="X179" s="383"/>
      <c r="Y179" s="381"/>
      <c r="Z179" s="383"/>
      <c r="AA179" s="383"/>
      <c r="AB179" s="377"/>
      <c r="AC179" s="377"/>
      <c r="AD179" s="381"/>
      <c r="AE179" s="383"/>
      <c r="AF179" s="383" t="s">
        <v>1070</v>
      </c>
    </row>
    <row r="180">
      <c r="A180" s="371"/>
      <c r="B180" s="372"/>
      <c r="C180" s="373"/>
      <c r="D180" s="374" t="s">
        <v>1071</v>
      </c>
      <c r="E180" s="377">
        <v>29.92</v>
      </c>
      <c r="F180" s="376"/>
      <c r="G180" s="377">
        <v>215</v>
      </c>
      <c r="H180" s="377">
        <v>12</v>
      </c>
      <c r="I180" s="378">
        <f t="shared" si="43"/>
      </c>
      <c r="J180" s="379">
        <f t="shared" si="82"/>
      </c>
      <c r="K180" s="377">
        <v>1</v>
      </c>
      <c r="L180" s="379">
        <f t="shared" si="5"/>
      </c>
      <c r="M180" s="377">
        <v>0</v>
      </c>
      <c r="N180" s="380">
        <f t="shared" si="24"/>
      </c>
      <c r="O180" s="377">
        <v>0</v>
      </c>
      <c r="P180" s="380">
        <f t="shared" si="62"/>
      </c>
      <c r="Q180" s="381"/>
      <c r="R180" s="377"/>
      <c r="S180" s="381"/>
      <c r="T180" s="377"/>
      <c r="U180" s="382"/>
      <c r="V180" s="383"/>
      <c r="W180" s="377"/>
      <c r="X180" s="383"/>
      <c r="Y180" s="381"/>
      <c r="Z180" s="383"/>
      <c r="AA180" s="383"/>
      <c r="AB180" s="377"/>
      <c r="AC180" s="377"/>
      <c r="AD180" s="381"/>
      <c r="AE180" s="383"/>
      <c r="AF180" s="383"/>
    </row>
    <row r="181">
      <c r="A181" s="371"/>
      <c r="B181" s="372" t="s">
        <v>1080</v>
      </c>
      <c r="C181" s="373" t="s">
        <v>1090</v>
      </c>
      <c r="D181" s="374" t="s">
        <v>1067</v>
      </c>
      <c r="E181" s="375">
        <v>756.54</v>
      </c>
      <c r="F181" s="376">
        <f>E181+E182+E183</f>
      </c>
      <c r="G181" s="377">
        <v>7210</v>
      </c>
      <c r="H181" s="377">
        <v>188</v>
      </c>
      <c r="I181" s="378">
        <f t="shared" si="43"/>
      </c>
      <c r="J181" s="379">
        <f t="shared" si="82"/>
      </c>
      <c r="K181" s="377">
        <v>8</v>
      </c>
      <c r="L181" s="379">
        <f t="shared" si="5"/>
      </c>
      <c r="M181" s="377">
        <v>2</v>
      </c>
      <c r="N181" s="380">
        <f t="shared" si="24"/>
      </c>
      <c r="O181" s="377">
        <v>2</v>
      </c>
      <c r="P181" s="380">
        <f t="shared" si="62"/>
      </c>
      <c r="Q181" s="381">
        <f>(M181+M183+M182)/(O181+O183+O182)</f>
      </c>
      <c r="R181" s="377">
        <v>7</v>
      </c>
      <c r="S181" s="381">
        <f>(O181+O183)/(K181+K183)</f>
      </c>
      <c r="T181" s="377">
        <v>2</v>
      </c>
      <c r="U181" s="382">
        <f>F181/T181</f>
      </c>
      <c r="V181" s="383">
        <f>(F181+4*500)/T181</f>
      </c>
      <c r="W181" s="377">
        <v>982.8</v>
      </c>
      <c r="X181" s="383">
        <f>W181/T181</f>
      </c>
      <c r="Y181" s="381">
        <f>T181/R181</f>
      </c>
      <c r="Z181" s="383">
        <f>W181/F181</f>
      </c>
      <c r="AA181" s="383">
        <f>W181/(F181+500)</f>
      </c>
      <c r="AB181" s="377">
        <v>2</v>
      </c>
      <c r="AC181" s="377">
        <v>982.8</v>
      </c>
      <c r="AD181" s="381">
        <f>AB181/T181</f>
      </c>
      <c r="AE181" s="383">
        <f>(W181-AC181)/(F181+500)</f>
      </c>
      <c r="AF181" s="383" t="s">
        <v>1068</v>
      </c>
    </row>
    <row r="182">
      <c r="A182" s="371"/>
      <c r="B182" s="372"/>
      <c r="C182" s="373"/>
      <c r="D182" s="374" t="s">
        <v>1069</v>
      </c>
      <c r="E182" s="384">
        <v>215.27</v>
      </c>
      <c r="F182" s="376"/>
      <c r="G182" s="377">
        <v>1322</v>
      </c>
      <c r="H182" s="377">
        <v>53</v>
      </c>
      <c r="I182" s="378">
        <f t="shared" si="43"/>
      </c>
      <c r="J182" s="379">
        <f t="shared" si="82"/>
      </c>
      <c r="K182" s="377">
        <v>2</v>
      </c>
      <c r="L182" s="379">
        <f t="shared" si="5"/>
      </c>
      <c r="M182" s="377">
        <v>0</v>
      </c>
      <c r="N182" s="380">
        <f t="shared" si="24"/>
      </c>
      <c r="O182" s="377">
        <v>0</v>
      </c>
      <c r="P182" s="380">
        <f t="shared" si="62"/>
      </c>
      <c r="Q182" s="381"/>
      <c r="R182" s="377"/>
      <c r="S182" s="381"/>
      <c r="T182" s="377"/>
      <c r="U182" s="382"/>
      <c r="V182" s="383"/>
      <c r="W182" s="377"/>
      <c r="X182" s="383"/>
      <c r="Y182" s="381"/>
      <c r="Z182" s="383"/>
      <c r="AA182" s="383"/>
      <c r="AB182" s="377"/>
      <c r="AC182" s="377"/>
      <c r="AD182" s="381"/>
      <c r="AE182" s="383"/>
      <c r="AF182" s="383" t="s">
        <v>1070</v>
      </c>
    </row>
    <row r="183">
      <c r="A183" s="371"/>
      <c r="B183" s="372"/>
      <c r="C183" s="373"/>
      <c r="D183" s="374" t="s">
        <v>1071</v>
      </c>
      <c r="E183" s="377">
        <v>143.06</v>
      </c>
      <c r="F183" s="376"/>
      <c r="G183" s="377">
        <v>348</v>
      </c>
      <c r="H183" s="377">
        <v>15</v>
      </c>
      <c r="I183" s="378">
        <f t="shared" si="43"/>
      </c>
      <c r="J183" s="379">
        <f t="shared" si="82"/>
      </c>
      <c r="K183" s="377">
        <v>1</v>
      </c>
      <c r="L183" s="379">
        <f t="shared" si="5"/>
      </c>
      <c r="M183" s="377">
        <v>0</v>
      </c>
      <c r="N183" s="380">
        <f t="shared" si="24"/>
      </c>
      <c r="O183" s="377">
        <v>1</v>
      </c>
      <c r="P183" s="380">
        <f t="shared" si="62"/>
      </c>
      <c r="Q183" s="381"/>
      <c r="R183" s="377"/>
      <c r="S183" s="381"/>
      <c r="T183" s="377"/>
      <c r="U183" s="382"/>
      <c r="V183" s="383"/>
      <c r="W183" s="377"/>
      <c r="X183" s="383"/>
      <c r="Y183" s="381"/>
      <c r="Z183" s="383"/>
      <c r="AA183" s="383"/>
      <c r="AB183" s="377"/>
      <c r="AC183" s="377"/>
      <c r="AD183" s="381"/>
      <c r="AE183" s="383"/>
      <c r="AF183" s="383"/>
    </row>
    <row r="184">
      <c r="A184" s="371"/>
      <c r="B184" s="372" t="s">
        <v>1082</v>
      </c>
      <c r="C184" s="373" t="s">
        <v>1090</v>
      </c>
      <c r="D184" s="374" t="s">
        <v>1067</v>
      </c>
      <c r="E184" s="375">
        <v>564.15</v>
      </c>
      <c r="F184" s="376">
        <f>E184+E185+E186</f>
      </c>
      <c r="G184" s="377">
        <v>6330</v>
      </c>
      <c r="H184" s="377">
        <v>130</v>
      </c>
      <c r="I184" s="378">
        <f t="shared" si="43"/>
      </c>
      <c r="J184" s="379">
        <f t="shared" si="82"/>
      </c>
      <c r="K184" s="377">
        <v>13</v>
      </c>
      <c r="L184" s="379">
        <f t="shared" si="5"/>
      </c>
      <c r="M184" s="377">
        <v>0</v>
      </c>
      <c r="N184" s="380">
        <f t="shared" si="24"/>
      </c>
      <c r="O184" s="377">
        <v>1</v>
      </c>
      <c r="P184" s="380">
        <f t="shared" si="62"/>
      </c>
      <c r="Q184" s="381">
        <f>(M184+M186+M185)/(O184+O186+O185)</f>
      </c>
      <c r="R184" s="377">
        <v>2</v>
      </c>
      <c r="S184" s="381">
        <f>(O184+O186)/(K184+K186)</f>
      </c>
      <c r="T184" s="377">
        <v>0</v>
      </c>
      <c r="U184" s="382">
        <f>F184/T184</f>
      </c>
      <c r="V184" s="383">
        <f>(F184+4*500)/T184</f>
      </c>
      <c r="W184" s="377">
        <v>0</v>
      </c>
      <c r="X184" s="383">
        <f>W184/T184</f>
      </c>
      <c r="Y184" s="381">
        <f>T184/R184</f>
      </c>
      <c r="Z184" s="383">
        <f>W184/F184</f>
      </c>
      <c r="AA184" s="383">
        <f>W184/(F184+500)</f>
      </c>
      <c r="AB184" s="377">
        <v>0</v>
      </c>
      <c r="AC184" s="377">
        <v>0</v>
      </c>
      <c r="AD184" s="381">
        <f>AB184/T184</f>
      </c>
      <c r="AE184" s="383">
        <f>(W184-AC184)/(F184+500)</f>
      </c>
      <c r="AF184" s="383" t="s">
        <v>1068</v>
      </c>
    </row>
    <row r="185">
      <c r="A185" s="371"/>
      <c r="B185" s="372"/>
      <c r="C185" s="373"/>
      <c r="D185" s="374" t="s">
        <v>1069</v>
      </c>
      <c r="E185" s="384">
        <v>154.5</v>
      </c>
      <c r="F185" s="376"/>
      <c r="G185" s="377">
        <v>1014</v>
      </c>
      <c r="H185" s="377">
        <v>53</v>
      </c>
      <c r="I185" s="378">
        <f t="shared" si="43"/>
      </c>
      <c r="J185" s="379">
        <f t="shared" si="82"/>
      </c>
      <c r="K185" s="377">
        <v>4</v>
      </c>
      <c r="L185" s="379">
        <f t="shared" si="5"/>
      </c>
      <c r="M185" s="377">
        <v>0</v>
      </c>
      <c r="N185" s="380">
        <f t="shared" si="24"/>
      </c>
      <c r="O185" s="377">
        <v>1</v>
      </c>
      <c r="P185" s="380">
        <f t="shared" si="62"/>
      </c>
      <c r="Q185" s="381"/>
      <c r="R185" s="377"/>
      <c r="S185" s="381"/>
      <c r="T185" s="377"/>
      <c r="U185" s="382"/>
      <c r="V185" s="383"/>
      <c r="W185" s="377"/>
      <c r="X185" s="383"/>
      <c r="Y185" s="381"/>
      <c r="Z185" s="383"/>
      <c r="AA185" s="383"/>
      <c r="AB185" s="377"/>
      <c r="AC185" s="377"/>
      <c r="AD185" s="381"/>
      <c r="AE185" s="383"/>
      <c r="AF185" s="383" t="s">
        <v>1070</v>
      </c>
    </row>
    <row r="186">
      <c r="A186" s="371"/>
      <c r="B186" s="372"/>
      <c r="C186" s="373"/>
      <c r="D186" s="374" t="s">
        <v>1071</v>
      </c>
      <c r="E186" s="377">
        <v>173.78</v>
      </c>
      <c r="F186" s="376"/>
      <c r="G186" s="377">
        <v>260</v>
      </c>
      <c r="H186" s="377">
        <v>10</v>
      </c>
      <c r="I186" s="378">
        <f t="shared" si="43"/>
      </c>
      <c r="J186" s="379">
        <f t="shared" si="82"/>
      </c>
      <c r="K186" s="377">
        <v>1</v>
      </c>
      <c r="L186" s="379">
        <f t="shared" si="5"/>
      </c>
      <c r="M186" s="377">
        <v>0</v>
      </c>
      <c r="N186" s="380">
        <f t="shared" si="24"/>
      </c>
      <c r="O186" s="377">
        <v>0</v>
      </c>
      <c r="P186" s="380">
        <f t="shared" si="62"/>
      </c>
      <c r="Q186" s="381"/>
      <c r="R186" s="377"/>
      <c r="S186" s="381"/>
      <c r="T186" s="377"/>
      <c r="U186" s="382"/>
      <c r="V186" s="383"/>
      <c r="W186" s="377"/>
      <c r="X186" s="383"/>
      <c r="Y186" s="381"/>
      <c r="Z186" s="383"/>
      <c r="AA186" s="383"/>
      <c r="AB186" s="377"/>
      <c r="AC186" s="377"/>
      <c r="AD186" s="381"/>
      <c r="AE186" s="383"/>
      <c r="AF186" s="383"/>
    </row>
    <row customHeight="true" ht="20.238095238095237" r="187">
      <c r="A187" s="371"/>
      <c r="B187" s="372"/>
      <c r="C187" s="373"/>
      <c r="D187" s="374"/>
      <c r="E187" s="377">
        <f>SUM(E157:E186)</f>
      </c>
      <c r="F187" s="377">
        <f>SUM(F157:F186)</f>
      </c>
      <c r="G187" s="377"/>
      <c r="H187" s="377"/>
      <c r="I187" s="378"/>
      <c r="J187" s="379"/>
      <c r="K187" s="377"/>
      <c r="L187" s="379"/>
      <c r="M187" s="377"/>
      <c r="N187" s="380"/>
      <c r="O187" s="377"/>
      <c r="P187" s="380"/>
      <c r="Q187" s="381"/>
      <c r="R187" s="377"/>
      <c r="S187" s="381"/>
      <c r="T187" s="377">
        <f>SUM(T157:T186)</f>
      </c>
      <c r="U187" s="382"/>
      <c r="V187" s="383"/>
      <c r="W187" s="377">
        <f>SUM(W157:W186)</f>
      </c>
      <c r="X187" s="383"/>
      <c r="Y187" s="381"/>
      <c r="Z187" s="383"/>
      <c r="AA187" s="383"/>
      <c r="AB187" s="377"/>
      <c r="AC187" s="377"/>
      <c r="AD187" s="381"/>
      <c r="AE187" s="383"/>
      <c r="AF187" s="383"/>
    </row>
    <row r="188">
      <c r="A188" s="371" t="s">
        <v>1091</v>
      </c>
      <c r="B188" s="372" t="s">
        <v>1065</v>
      </c>
      <c r="C188" s="373" t="s">
        <v>1084</v>
      </c>
      <c r="D188" s="374" t="s">
        <v>1067</v>
      </c>
      <c r="E188" s="375">
        <v>481.71</v>
      </c>
      <c r="F188" s="376">
        <f>E188+E189+E190</f>
      </c>
      <c r="G188" s="377">
        <v>2866</v>
      </c>
      <c r="H188" s="377">
        <v>768</v>
      </c>
      <c r="I188" s="378">
        <f t="shared" ref="I188:I217" si="44">H188/G188</f>
      </c>
      <c r="J188" s="379">
        <f t="shared" ref="J188:J217" si="83">(E188/G188)*1000</f>
      </c>
      <c r="K188" s="377">
        <v>10</v>
      </c>
      <c r="L188" s="379">
        <f t="shared" ref="L188:L217" si="6">E188/K188</f>
      </c>
      <c r="M188" s="377">
        <v>0</v>
      </c>
      <c r="N188" s="380">
        <f t="shared" ref="N188:N217" si="25">E188/M188</f>
      </c>
      <c r="O188" s="377">
        <v>0</v>
      </c>
      <c r="P188" s="380">
        <f t="shared" ref="P188:P217" si="63">E188/O188</f>
      </c>
      <c r="Q188" s="381">
        <f>(M188+M190+M189)/(O188+O190+O189)</f>
      </c>
      <c r="R188" s="377">
        <v>0</v>
      </c>
      <c r="S188" s="381">
        <f>(O188+O190)/(K188+K190)</f>
      </c>
      <c r="T188" s="377">
        <v>0</v>
      </c>
      <c r="U188" s="382">
        <f>F188/T188</f>
      </c>
      <c r="V188" s="383">
        <f>(F188+4*500)/T188</f>
      </c>
      <c r="W188" s="377">
        <v>0</v>
      </c>
      <c r="X188" s="383">
        <f>W188/T188</f>
      </c>
      <c r="Y188" s="381">
        <f>T188/R188</f>
      </c>
      <c r="Z188" s="383">
        <f>W188/F188</f>
      </c>
      <c r="AA188" s="383">
        <f>W188/(F188+500)</f>
      </c>
      <c r="AB188" s="377">
        <v>0</v>
      </c>
      <c r="AC188" s="377">
        <v>0</v>
      </c>
      <c r="AD188" s="381">
        <f>AB188/T188</f>
      </c>
      <c r="AE188" s="383">
        <f>(W188-AC188)/(F188+500)</f>
      </c>
      <c r="AF188" s="383" t="s">
        <v>1092</v>
      </c>
    </row>
    <row r="189">
      <c r="A189" s="371"/>
      <c r="B189" s="372"/>
      <c r="C189" s="373"/>
      <c r="D189" s="374" t="s">
        <v>1069</v>
      </c>
      <c r="E189" s="384">
        <v>233.86</v>
      </c>
      <c r="F189" s="376"/>
      <c r="G189" s="377">
        <v>1891</v>
      </c>
      <c r="H189" s="377">
        <v>102</v>
      </c>
      <c r="I189" s="378">
        <f t="shared" si="44"/>
      </c>
      <c r="J189" s="379">
        <f t="shared" si="83"/>
      </c>
      <c r="K189" s="377">
        <v>2</v>
      </c>
      <c r="L189" s="379">
        <f t="shared" si="6"/>
      </c>
      <c r="M189" s="377">
        <v>0</v>
      </c>
      <c r="N189" s="380">
        <f t="shared" si="25"/>
      </c>
      <c r="O189" s="377">
        <v>0</v>
      </c>
      <c r="P189" s="380">
        <f t="shared" si="63"/>
      </c>
      <c r="Q189" s="381"/>
      <c r="R189" s="377"/>
      <c r="S189" s="381"/>
      <c r="T189" s="377"/>
      <c r="U189" s="382"/>
      <c r="V189" s="383"/>
      <c r="W189" s="377"/>
      <c r="X189" s="383"/>
      <c r="Y189" s="381"/>
      <c r="Z189" s="383"/>
      <c r="AA189" s="383"/>
      <c r="AB189" s="377"/>
      <c r="AC189" s="377"/>
      <c r="AD189" s="381"/>
      <c r="AE189" s="383"/>
      <c r="AF189" s="383" t="s">
        <v>1070</v>
      </c>
    </row>
    <row r="190">
      <c r="A190" s="371"/>
      <c r="B190" s="372"/>
      <c r="C190" s="373"/>
      <c r="D190" s="374" t="s">
        <v>1071</v>
      </c>
      <c r="E190" s="377">
        <v>5.44</v>
      </c>
      <c r="F190" s="376"/>
      <c r="G190" s="377">
        <v>29</v>
      </c>
      <c r="H190" s="377">
        <v>4</v>
      </c>
      <c r="I190" s="378">
        <f t="shared" si="44"/>
      </c>
      <c r="J190" s="379">
        <f t="shared" si="83"/>
      </c>
      <c r="K190" s="377">
        <v>0</v>
      </c>
      <c r="L190" s="379">
        <f t="shared" si="6"/>
      </c>
      <c r="M190" s="377">
        <v>0</v>
      </c>
      <c r="N190" s="380">
        <f t="shared" si="25"/>
      </c>
      <c r="O190" s="377">
        <v>0</v>
      </c>
      <c r="P190" s="380">
        <f t="shared" si="63"/>
      </c>
      <c r="Q190" s="381"/>
      <c r="R190" s="377"/>
      <c r="S190" s="381"/>
      <c r="T190" s="377"/>
      <c r="U190" s="382"/>
      <c r="V190" s="383"/>
      <c r="W190" s="377"/>
      <c r="X190" s="383"/>
      <c r="Y190" s="381"/>
      <c r="Z190" s="383"/>
      <c r="AA190" s="383"/>
      <c r="AB190" s="377"/>
      <c r="AC190" s="377"/>
      <c r="AD190" s="381"/>
      <c r="AE190" s="383"/>
      <c r="AF190" s="383"/>
    </row>
    <row r="191">
      <c r="A191" s="371"/>
      <c r="B191" s="372" t="s">
        <v>1072</v>
      </c>
      <c r="C191" s="373" t="s">
        <v>1084</v>
      </c>
      <c r="D191" s="374" t="s">
        <v>1067</v>
      </c>
      <c r="E191" s="375">
        <v>189.24</v>
      </c>
      <c r="F191" s="376">
        <f>E191+E192+E193</f>
      </c>
      <c r="G191" s="377">
        <v>1592</v>
      </c>
      <c r="H191" s="377">
        <v>448</v>
      </c>
      <c r="I191" s="378">
        <f t="shared" si="44"/>
      </c>
      <c r="J191" s="379">
        <f t="shared" si="83"/>
      </c>
      <c r="K191" s="377">
        <v>8</v>
      </c>
      <c r="L191" s="379">
        <f t="shared" si="6"/>
      </c>
      <c r="M191" s="377">
        <v>0</v>
      </c>
      <c r="N191" s="380">
        <f t="shared" si="25"/>
      </c>
      <c r="O191" s="377">
        <v>0</v>
      </c>
      <c r="P191" s="380">
        <f t="shared" si="63"/>
      </c>
      <c r="Q191" s="381">
        <f>(M191+M193+M192)/(O191+O193+O192)</f>
      </c>
      <c r="R191" s="377">
        <v>0</v>
      </c>
      <c r="S191" s="381">
        <f>(O191+O193)/(K191+K193)</f>
      </c>
      <c r="T191" s="377">
        <v>0</v>
      </c>
      <c r="U191" s="382">
        <f>F191/T191</f>
      </c>
      <c r="V191" s="383">
        <f>(F191+4*500)/T191</f>
      </c>
      <c r="W191" s="377">
        <v>0</v>
      </c>
      <c r="X191" s="383">
        <f>W191/T191</f>
      </c>
      <c r="Y191" s="381">
        <f>T191/R191</f>
      </c>
      <c r="Z191" s="383">
        <f>W191/F191</f>
      </c>
      <c r="AA191" s="383">
        <f>W191/(F191+500)</f>
      </c>
      <c r="AB191" s="377">
        <v>0</v>
      </c>
      <c r="AC191" s="377">
        <v>0</v>
      </c>
      <c r="AD191" s="381">
        <f>AB191/T191</f>
      </c>
      <c r="AE191" s="383">
        <f>(W191-AC191)/(F191+500)</f>
      </c>
      <c r="AF191" s="383" t="s">
        <v>1092</v>
      </c>
    </row>
    <row r="192">
      <c r="A192" s="371"/>
      <c r="B192" s="372"/>
      <c r="C192" s="373"/>
      <c r="D192" s="374" t="s">
        <v>1069</v>
      </c>
      <c r="E192" s="384">
        <v>273.47</v>
      </c>
      <c r="F192" s="376"/>
      <c r="G192" s="377">
        <v>2167</v>
      </c>
      <c r="H192" s="377">
        <v>118</v>
      </c>
      <c r="I192" s="378">
        <f t="shared" si="44"/>
      </c>
      <c r="J192" s="379">
        <f t="shared" si="83"/>
      </c>
      <c r="K192" s="377">
        <v>2</v>
      </c>
      <c r="L192" s="379">
        <f t="shared" si="6"/>
      </c>
      <c r="M192" s="377">
        <v>0</v>
      </c>
      <c r="N192" s="380">
        <f t="shared" si="25"/>
      </c>
      <c r="O192" s="377">
        <v>0</v>
      </c>
      <c r="P192" s="380">
        <f t="shared" si="63"/>
      </c>
      <c r="Q192" s="381"/>
      <c r="R192" s="377"/>
      <c r="S192" s="381"/>
      <c r="T192" s="377"/>
      <c r="U192" s="382"/>
      <c r="V192" s="383"/>
      <c r="W192" s="377"/>
      <c r="X192" s="383"/>
      <c r="Y192" s="381"/>
      <c r="Z192" s="383"/>
      <c r="AA192" s="383"/>
      <c r="AB192" s="377"/>
      <c r="AC192" s="377"/>
      <c r="AD192" s="381"/>
      <c r="AE192" s="383"/>
      <c r="AF192" s="383" t="s">
        <v>1070</v>
      </c>
    </row>
    <row r="193">
      <c r="A193" s="371"/>
      <c r="B193" s="372"/>
      <c r="C193" s="373"/>
      <c r="D193" s="374" t="s">
        <v>1071</v>
      </c>
      <c r="E193" s="377">
        <v>6.73</v>
      </c>
      <c r="F193" s="376"/>
      <c r="G193" s="377">
        <v>123</v>
      </c>
      <c r="H193" s="377">
        <v>3</v>
      </c>
      <c r="I193" s="378">
        <f t="shared" si="44"/>
      </c>
      <c r="J193" s="379">
        <f t="shared" si="83"/>
      </c>
      <c r="K193" s="377">
        <v>0</v>
      </c>
      <c r="L193" s="379">
        <f t="shared" si="6"/>
      </c>
      <c r="M193" s="377">
        <v>0</v>
      </c>
      <c r="N193" s="380">
        <f t="shared" si="25"/>
      </c>
      <c r="O193" s="377">
        <v>0</v>
      </c>
      <c r="P193" s="380">
        <f t="shared" si="63"/>
      </c>
      <c r="Q193" s="381"/>
      <c r="R193" s="377"/>
      <c r="S193" s="381"/>
      <c r="T193" s="377"/>
      <c r="U193" s="382"/>
      <c r="V193" s="383"/>
      <c r="W193" s="377"/>
      <c r="X193" s="383"/>
      <c r="Y193" s="381"/>
      <c r="Z193" s="383"/>
      <c r="AA193" s="383"/>
      <c r="AB193" s="377"/>
      <c r="AC193" s="377"/>
      <c r="AD193" s="381"/>
      <c r="AE193" s="383"/>
      <c r="AF193" s="383"/>
    </row>
    <row r="194">
      <c r="A194" s="371"/>
      <c r="B194" s="372" t="s">
        <v>1073</v>
      </c>
      <c r="C194" s="373" t="s">
        <v>1084</v>
      </c>
      <c r="D194" s="374" t="s">
        <v>1067</v>
      </c>
      <c r="E194" s="375">
        <v>110.58</v>
      </c>
      <c r="F194" s="376">
        <f>E194+E195+E196</f>
      </c>
      <c r="G194" s="377">
        <v>924</v>
      </c>
      <c r="H194" s="377">
        <v>48</v>
      </c>
      <c r="I194" s="378">
        <f t="shared" si="44"/>
      </c>
      <c r="J194" s="379">
        <f t="shared" si="83"/>
      </c>
      <c r="K194" s="377">
        <v>1</v>
      </c>
      <c r="L194" s="379">
        <f t="shared" si="6"/>
      </c>
      <c r="M194" s="377">
        <v>0</v>
      </c>
      <c r="N194" s="380">
        <f t="shared" si="25"/>
      </c>
      <c r="O194" s="377">
        <v>0</v>
      </c>
      <c r="P194" s="380">
        <f t="shared" si="63"/>
      </c>
      <c r="Q194" s="381">
        <f>(M194+M196+M195)/(O194+O196+O195)</f>
      </c>
      <c r="R194" s="377">
        <v>0</v>
      </c>
      <c r="S194" s="381">
        <f>(O194+O196)/(K194+K196)</f>
      </c>
      <c r="T194" s="377">
        <v>0</v>
      </c>
      <c r="U194" s="382">
        <f>F194/T194</f>
      </c>
      <c r="V194" s="383">
        <f>(F194+4*500)/T194</f>
      </c>
      <c r="W194" s="377">
        <v>0</v>
      </c>
      <c r="X194" s="383">
        <f>W194/T194</f>
      </c>
      <c r="Y194" s="381">
        <f>T194/R194</f>
      </c>
      <c r="Z194" s="383">
        <f>W194/F194</f>
      </c>
      <c r="AA194" s="383">
        <f>W194/(F194+500)</f>
      </c>
      <c r="AB194" s="377">
        <v>0</v>
      </c>
      <c r="AC194" s="377">
        <v>0</v>
      </c>
      <c r="AD194" s="381">
        <f>AB194/T194</f>
      </c>
      <c r="AE194" s="383">
        <f>(W194-AC194)/(F194+500)</f>
      </c>
      <c r="AF194" s="383" t="s">
        <v>1092</v>
      </c>
    </row>
    <row r="195">
      <c r="A195" s="371"/>
      <c r="B195" s="372"/>
      <c r="C195" s="373"/>
      <c r="D195" s="374" t="s">
        <v>1069</v>
      </c>
      <c r="E195" s="384">
        <v>248.3</v>
      </c>
      <c r="F195" s="376"/>
      <c r="G195" s="377">
        <v>2223</v>
      </c>
      <c r="H195" s="377">
        <v>96</v>
      </c>
      <c r="I195" s="378">
        <f t="shared" si="44"/>
      </c>
      <c r="J195" s="379">
        <f t="shared" si="83"/>
      </c>
      <c r="K195" s="377">
        <v>1</v>
      </c>
      <c r="L195" s="379">
        <f t="shared" si="6"/>
      </c>
      <c r="M195" s="377">
        <v>0</v>
      </c>
      <c r="N195" s="380">
        <f t="shared" si="25"/>
      </c>
      <c r="O195" s="377">
        <v>0</v>
      </c>
      <c r="P195" s="380">
        <f t="shared" si="63"/>
      </c>
      <c r="Q195" s="381"/>
      <c r="R195" s="377"/>
      <c r="S195" s="381"/>
      <c r="T195" s="377"/>
      <c r="U195" s="382"/>
      <c r="V195" s="383"/>
      <c r="W195" s="377"/>
      <c r="X195" s="383"/>
      <c r="Y195" s="381"/>
      <c r="Z195" s="383"/>
      <c r="AA195" s="383"/>
      <c r="AB195" s="377"/>
      <c r="AC195" s="377"/>
      <c r="AD195" s="381"/>
      <c r="AE195" s="383"/>
      <c r="AF195" s="383" t="s">
        <v>1070</v>
      </c>
    </row>
    <row r="196">
      <c r="A196" s="371"/>
      <c r="B196" s="372"/>
      <c r="C196" s="373"/>
      <c r="D196" s="374" t="s">
        <v>1071</v>
      </c>
      <c r="E196" s="377">
        <v>220.4</v>
      </c>
      <c r="F196" s="376"/>
      <c r="G196" s="377">
        <v>162</v>
      </c>
      <c r="H196" s="377">
        <v>7</v>
      </c>
      <c r="I196" s="378">
        <f t="shared" si="44"/>
      </c>
      <c r="J196" s="379">
        <f t="shared" si="83"/>
      </c>
      <c r="K196" s="377">
        <v>0</v>
      </c>
      <c r="L196" s="379">
        <f t="shared" si="6"/>
      </c>
      <c r="M196" s="377">
        <v>0</v>
      </c>
      <c r="N196" s="380">
        <f t="shared" si="25"/>
      </c>
      <c r="O196" s="377">
        <v>0</v>
      </c>
      <c r="P196" s="380">
        <f t="shared" si="63"/>
      </c>
      <c r="Q196" s="381"/>
      <c r="R196" s="377"/>
      <c r="S196" s="381"/>
      <c r="T196" s="377"/>
      <c r="U196" s="382"/>
      <c r="V196" s="383"/>
      <c r="W196" s="377"/>
      <c r="X196" s="383"/>
      <c r="Y196" s="381"/>
      <c r="Z196" s="383"/>
      <c r="AA196" s="383"/>
      <c r="AB196" s="377"/>
      <c r="AC196" s="377"/>
      <c r="AD196" s="381"/>
      <c r="AE196" s="383"/>
      <c r="AF196" s="383"/>
    </row>
    <row r="197">
      <c r="A197" s="371"/>
      <c r="B197" s="372" t="s">
        <v>1074</v>
      </c>
      <c r="C197" s="373" t="s">
        <v>1084</v>
      </c>
      <c r="D197" s="374" t="s">
        <v>1067</v>
      </c>
      <c r="E197" s="375">
        <v>138.7</v>
      </c>
      <c r="F197" s="376">
        <f>E197+E198+E199</f>
      </c>
      <c r="G197" s="377">
        <v>1158</v>
      </c>
      <c r="H197" s="377">
        <v>41</v>
      </c>
      <c r="I197" s="378">
        <f t="shared" si="44"/>
      </c>
      <c r="J197" s="379">
        <f t="shared" si="83"/>
      </c>
      <c r="K197" s="377">
        <v>3</v>
      </c>
      <c r="L197" s="379">
        <f t="shared" si="6"/>
      </c>
      <c r="M197" s="377">
        <v>1</v>
      </c>
      <c r="N197" s="380">
        <f t="shared" si="25"/>
      </c>
      <c r="O197" s="377">
        <v>1</v>
      </c>
      <c r="P197" s="380">
        <f t="shared" si="63"/>
      </c>
      <c r="Q197" s="381">
        <f>(M197+M199+M198)/(O197+O199+O198)</f>
      </c>
      <c r="R197" s="377">
        <v>2</v>
      </c>
      <c r="S197" s="381">
        <f>(O197+O199)/(K197+K199)</f>
      </c>
      <c r="T197" s="377">
        <v>1</v>
      </c>
      <c r="U197" s="382">
        <f>F197/T197</f>
      </c>
      <c r="V197" s="383">
        <f>(F197+4*500)/T197</f>
      </c>
      <c r="W197" s="377">
        <v>1471.2</v>
      </c>
      <c r="X197" s="383">
        <f>W197/T197</f>
      </c>
      <c r="Y197" s="381">
        <f>T197/R197</f>
      </c>
      <c r="Z197" s="383">
        <f>W197/F197</f>
      </c>
      <c r="AA197" s="383">
        <f>W197/(F197+500)</f>
      </c>
      <c r="AB197" s="377">
        <v>0</v>
      </c>
      <c r="AC197" s="377">
        <v>0</v>
      </c>
      <c r="AD197" s="381">
        <f>AB197/T197</f>
      </c>
      <c r="AE197" s="383">
        <f>(W197-AC197)/(F197+500)</f>
      </c>
      <c r="AF197" s="383" t="s">
        <v>1092</v>
      </c>
    </row>
    <row r="198">
      <c r="A198" s="371"/>
      <c r="B198" s="372"/>
      <c r="C198" s="373"/>
      <c r="D198" s="374" t="s">
        <v>1069</v>
      </c>
      <c r="E198" s="384">
        <v>567.88</v>
      </c>
      <c r="F198" s="376"/>
      <c r="G198" s="377">
        <v>1923</v>
      </c>
      <c r="H198" s="377">
        <v>93</v>
      </c>
      <c r="I198" s="378">
        <f t="shared" si="44"/>
      </c>
      <c r="J198" s="379">
        <f t="shared" si="83"/>
      </c>
      <c r="K198" s="377">
        <v>6</v>
      </c>
      <c r="L198" s="379">
        <f t="shared" si="6"/>
      </c>
      <c r="M198" s="377">
        <v>0</v>
      </c>
      <c r="N198" s="380">
        <f t="shared" si="25"/>
      </c>
      <c r="O198" s="377">
        <v>0</v>
      </c>
      <c r="P198" s="380">
        <f t="shared" si="63"/>
      </c>
      <c r="Q198" s="381"/>
      <c r="R198" s="377"/>
      <c r="S198" s="381"/>
      <c r="T198" s="377"/>
      <c r="U198" s="382"/>
      <c r="V198" s="383"/>
      <c r="W198" s="377"/>
      <c r="X198" s="383"/>
      <c r="Y198" s="381"/>
      <c r="Z198" s="383"/>
      <c r="AA198" s="383"/>
      <c r="AB198" s="377"/>
      <c r="AC198" s="377"/>
      <c r="AD198" s="381"/>
      <c r="AE198" s="383"/>
      <c r="AF198" s="383" t="s">
        <v>1070</v>
      </c>
    </row>
    <row r="199">
      <c r="A199" s="371"/>
      <c r="B199" s="372"/>
      <c r="C199" s="373"/>
      <c r="D199" s="374" t="s">
        <v>1071</v>
      </c>
      <c r="E199" s="377">
        <v>45.33</v>
      </c>
      <c r="F199" s="376"/>
      <c r="G199" s="377">
        <v>172</v>
      </c>
      <c r="H199" s="377">
        <v>7</v>
      </c>
      <c r="I199" s="378">
        <f t="shared" si="44"/>
      </c>
      <c r="J199" s="379">
        <f t="shared" si="83"/>
      </c>
      <c r="K199" s="377">
        <v>2</v>
      </c>
      <c r="L199" s="379">
        <f t="shared" si="6"/>
      </c>
      <c r="M199" s="377">
        <v>0</v>
      </c>
      <c r="N199" s="380">
        <f t="shared" si="25"/>
      </c>
      <c r="O199" s="377">
        <v>0</v>
      </c>
      <c r="P199" s="380">
        <f t="shared" si="63"/>
      </c>
      <c r="Q199" s="381"/>
      <c r="R199" s="377"/>
      <c r="S199" s="381"/>
      <c r="T199" s="377"/>
      <c r="U199" s="382"/>
      <c r="V199" s="383"/>
      <c r="W199" s="377"/>
      <c r="X199" s="383"/>
      <c r="Y199" s="381"/>
      <c r="Z199" s="383"/>
      <c r="AA199" s="383"/>
      <c r="AB199" s="377"/>
      <c r="AC199" s="377"/>
      <c r="AD199" s="381"/>
      <c r="AE199" s="383"/>
      <c r="AF199" s="383"/>
    </row>
    <row r="200">
      <c r="A200" s="371"/>
      <c r="B200" s="372" t="s">
        <v>1075</v>
      </c>
      <c r="C200" s="373" t="s">
        <v>1087</v>
      </c>
      <c r="D200" s="374" t="s">
        <v>1067</v>
      </c>
      <c r="E200" s="375">
        <v>371.1</v>
      </c>
      <c r="F200" s="376">
        <f>E200+E201+E202</f>
      </c>
      <c r="G200" s="377">
        <v>2280</v>
      </c>
      <c r="H200" s="377">
        <v>82</v>
      </c>
      <c r="I200" s="378">
        <f t="shared" si="44"/>
      </c>
      <c r="J200" s="379">
        <f t="shared" si="83"/>
      </c>
      <c r="K200" s="377">
        <v>6</v>
      </c>
      <c r="L200" s="379">
        <f t="shared" si="6"/>
      </c>
      <c r="M200" s="377">
        <v>2</v>
      </c>
      <c r="N200" s="380">
        <f t="shared" si="25"/>
      </c>
      <c r="O200" s="377">
        <v>2</v>
      </c>
      <c r="P200" s="380">
        <f t="shared" si="63"/>
      </c>
      <c r="Q200" s="381">
        <f>(M200+M202+M201)/(O200+O202+O201)</f>
      </c>
      <c r="R200" s="377">
        <v>5</v>
      </c>
      <c r="S200" s="381">
        <f>(O200+O202)/(K200+K202)</f>
      </c>
      <c r="T200" s="377">
        <v>3</v>
      </c>
      <c r="U200" s="382">
        <f>F200/T200</f>
      </c>
      <c r="V200" s="383">
        <f>(F200+4*500)/T200</f>
      </c>
      <c r="W200" s="377">
        <v>5517.6</v>
      </c>
      <c r="X200" s="383">
        <f>W200/T200</f>
      </c>
      <c r="Y200" s="381">
        <f>T200/R200</f>
      </c>
      <c r="Z200" s="383">
        <f>W200/F200</f>
      </c>
      <c r="AA200" s="383">
        <f>W200/(F200+500)</f>
      </c>
      <c r="AB200" s="377">
        <v>0</v>
      </c>
      <c r="AC200" s="377">
        <v>0</v>
      </c>
      <c r="AD200" s="381">
        <f>AB200/T200</f>
      </c>
      <c r="AE200" s="383">
        <f>(W200-AC200)/(F200+500)</f>
      </c>
      <c r="AF200" s="383" t="s">
        <v>1092</v>
      </c>
    </row>
    <row r="201">
      <c r="A201" s="371"/>
      <c r="B201" s="372"/>
      <c r="C201" s="373"/>
      <c r="D201" s="374" t="s">
        <v>1069</v>
      </c>
      <c r="E201" s="384">
        <v>195.6</v>
      </c>
      <c r="F201" s="376"/>
      <c r="G201" s="377">
        <v>1329</v>
      </c>
      <c r="H201" s="377">
        <v>62</v>
      </c>
      <c r="I201" s="378">
        <f t="shared" si="44"/>
      </c>
      <c r="J201" s="379">
        <f t="shared" si="83"/>
      </c>
      <c r="K201" s="377">
        <v>2</v>
      </c>
      <c r="L201" s="379">
        <f t="shared" si="6"/>
      </c>
      <c r="M201" s="377">
        <v>0</v>
      </c>
      <c r="N201" s="380">
        <f t="shared" si="25"/>
      </c>
      <c r="O201" s="377">
        <v>0</v>
      </c>
      <c r="P201" s="380">
        <f t="shared" si="63"/>
      </c>
      <c r="Q201" s="381"/>
      <c r="R201" s="377"/>
      <c r="S201" s="381"/>
      <c r="T201" s="377"/>
      <c r="U201" s="382"/>
      <c r="V201" s="383"/>
      <c r="W201" s="377"/>
      <c r="X201" s="383"/>
      <c r="Y201" s="381"/>
      <c r="Z201" s="383"/>
      <c r="AA201" s="383"/>
      <c r="AB201" s="377"/>
      <c r="AC201" s="377"/>
      <c r="AD201" s="381"/>
      <c r="AE201" s="383"/>
      <c r="AF201" s="383" t="s">
        <v>1070</v>
      </c>
    </row>
    <row r="202">
      <c r="A202" s="371"/>
      <c r="B202" s="372"/>
      <c r="C202" s="373"/>
      <c r="D202" s="374" t="s">
        <v>1071</v>
      </c>
      <c r="E202" s="377">
        <v>293.02</v>
      </c>
      <c r="F202" s="376"/>
      <c r="G202" s="377">
        <v>378</v>
      </c>
      <c r="H202" s="377">
        <v>11</v>
      </c>
      <c r="I202" s="378">
        <f t="shared" si="44"/>
      </c>
      <c r="J202" s="379">
        <f t="shared" si="83"/>
      </c>
      <c r="K202" s="377">
        <v>2</v>
      </c>
      <c r="L202" s="379">
        <f t="shared" si="6"/>
      </c>
      <c r="M202" s="377">
        <v>0</v>
      </c>
      <c r="N202" s="380">
        <f t="shared" si="25"/>
      </c>
      <c r="O202" s="377">
        <v>1</v>
      </c>
      <c r="P202" s="380">
        <f t="shared" si="63"/>
      </c>
      <c r="Q202" s="381"/>
      <c r="R202" s="377"/>
      <c r="S202" s="381"/>
      <c r="T202" s="377"/>
      <c r="U202" s="382"/>
      <c r="V202" s="383"/>
      <c r="W202" s="377"/>
      <c r="X202" s="383"/>
      <c r="Y202" s="381"/>
      <c r="Z202" s="383"/>
      <c r="AA202" s="383"/>
      <c r="AB202" s="377"/>
      <c r="AC202" s="377"/>
      <c r="AD202" s="381"/>
      <c r="AE202" s="383"/>
      <c r="AF202" s="383"/>
    </row>
    <row r="203">
      <c r="A203" s="371"/>
      <c r="B203" s="372" t="s">
        <v>1077</v>
      </c>
      <c r="C203" s="373" t="s">
        <v>1087</v>
      </c>
      <c r="D203" s="374" t="s">
        <v>1067</v>
      </c>
      <c r="E203" s="375">
        <v>1116.98</v>
      </c>
      <c r="F203" s="376">
        <f>E203+E204+E205</f>
      </c>
      <c r="G203" s="377">
        <v>6906</v>
      </c>
      <c r="H203" s="377">
        <v>101</v>
      </c>
      <c r="I203" s="378">
        <f t="shared" si="44"/>
      </c>
      <c r="J203" s="379">
        <f t="shared" si="83"/>
      </c>
      <c r="K203" s="377">
        <v>11</v>
      </c>
      <c r="L203" s="379">
        <f t="shared" si="6"/>
      </c>
      <c r="M203" s="377">
        <v>0</v>
      </c>
      <c r="N203" s="380">
        <f t="shared" si="25"/>
      </c>
      <c r="O203" s="377">
        <v>0</v>
      </c>
      <c r="P203" s="380">
        <f t="shared" si="63"/>
      </c>
      <c r="Q203" s="381">
        <f>(M203+M205+M204)/(O203+O205+O204)</f>
      </c>
      <c r="R203" s="377">
        <v>2</v>
      </c>
      <c r="S203" s="381">
        <f>(O203+O205)/(K203+K205)</f>
      </c>
      <c r="T203" s="377">
        <v>0</v>
      </c>
      <c r="U203" s="382">
        <f>F203/T203</f>
      </c>
      <c r="V203" s="383">
        <f>(F203+4*500)/T203</f>
      </c>
      <c r="W203" s="377">
        <v>0</v>
      </c>
      <c r="X203" s="383">
        <f>W203/T203</f>
      </c>
      <c r="Y203" s="381">
        <f>T203/R203</f>
      </c>
      <c r="Z203" s="383">
        <f>W203/F203</f>
      </c>
      <c r="AA203" s="383">
        <f>W203/(F203+500)</f>
      </c>
      <c r="AB203" s="377">
        <v>0</v>
      </c>
      <c r="AC203" s="377">
        <v>0</v>
      </c>
      <c r="AD203" s="381">
        <f>AB203/T203</f>
      </c>
      <c r="AE203" s="383">
        <f>(W203-AC203)/(F203+500)</f>
      </c>
      <c r="AF203" s="383" t="s">
        <v>1092</v>
      </c>
    </row>
    <row r="204">
      <c r="A204" s="371"/>
      <c r="B204" s="372"/>
      <c r="C204" s="373"/>
      <c r="D204" s="374" t="s">
        <v>1069</v>
      </c>
      <c r="E204" s="384">
        <v>173.37</v>
      </c>
      <c r="F204" s="376"/>
      <c r="G204" s="377">
        <v>1196</v>
      </c>
      <c r="H204" s="377">
        <v>52</v>
      </c>
      <c r="I204" s="378">
        <f t="shared" si="44"/>
      </c>
      <c r="J204" s="379">
        <f t="shared" si="83"/>
      </c>
      <c r="K204" s="377">
        <v>1</v>
      </c>
      <c r="L204" s="379">
        <f t="shared" si="6"/>
      </c>
      <c r="M204" s="377">
        <v>0</v>
      </c>
      <c r="N204" s="380">
        <f t="shared" si="25"/>
      </c>
      <c r="O204" s="377">
        <v>0</v>
      </c>
      <c r="P204" s="380">
        <f t="shared" si="63"/>
      </c>
      <c r="Q204" s="381"/>
      <c r="R204" s="377"/>
      <c r="S204" s="381"/>
      <c r="T204" s="377"/>
      <c r="U204" s="382"/>
      <c r="V204" s="383"/>
      <c r="W204" s="377"/>
      <c r="X204" s="383"/>
      <c r="Y204" s="381"/>
      <c r="Z204" s="383"/>
      <c r="AA204" s="383"/>
      <c r="AB204" s="377"/>
      <c r="AC204" s="377"/>
      <c r="AD204" s="381"/>
      <c r="AE204" s="383"/>
      <c r="AF204" s="383" t="s">
        <v>1070</v>
      </c>
    </row>
    <row r="205">
      <c r="A205" s="371"/>
      <c r="B205" s="372"/>
      <c r="C205" s="373"/>
      <c r="D205" s="374" t="s">
        <v>1071</v>
      </c>
      <c r="E205" s="377">
        <v>617.3</v>
      </c>
      <c r="F205" s="376"/>
      <c r="G205" s="377">
        <v>543</v>
      </c>
      <c r="H205" s="377">
        <v>20</v>
      </c>
      <c r="I205" s="378">
        <f t="shared" si="44"/>
      </c>
      <c r="J205" s="379">
        <f t="shared" si="83"/>
      </c>
      <c r="K205" s="377">
        <v>3</v>
      </c>
      <c r="L205" s="379">
        <f t="shared" si="6"/>
      </c>
      <c r="M205" s="377">
        <v>0</v>
      </c>
      <c r="N205" s="380">
        <f t="shared" si="25"/>
      </c>
      <c r="O205" s="377">
        <v>0</v>
      </c>
      <c r="P205" s="380">
        <f t="shared" si="63"/>
      </c>
      <c r="Q205" s="381"/>
      <c r="R205" s="377"/>
      <c r="S205" s="381"/>
      <c r="T205" s="377"/>
      <c r="U205" s="382"/>
      <c r="V205" s="383"/>
      <c r="W205" s="377"/>
      <c r="X205" s="383"/>
      <c r="Y205" s="381"/>
      <c r="Z205" s="383"/>
      <c r="AA205" s="383"/>
      <c r="AB205" s="377"/>
      <c r="AC205" s="377"/>
      <c r="AD205" s="381"/>
      <c r="AE205" s="383"/>
      <c r="AF205" s="383"/>
    </row>
    <row r="206">
      <c r="A206" s="371"/>
      <c r="B206" s="385" t="s">
        <v>1078</v>
      </c>
      <c r="C206" s="373" t="s">
        <v>1087</v>
      </c>
      <c r="D206" s="374" t="s">
        <v>1067</v>
      </c>
      <c r="E206" s="375">
        <v>1131.17</v>
      </c>
      <c r="F206" s="376">
        <f>E206+E207+E208</f>
      </c>
      <c r="G206" s="377">
        <v>11580</v>
      </c>
      <c r="H206" s="377">
        <v>116</v>
      </c>
      <c r="I206" s="378">
        <f t="shared" si="44"/>
      </c>
      <c r="J206" s="379">
        <f t="shared" si="83"/>
      </c>
      <c r="K206" s="377">
        <v>13</v>
      </c>
      <c r="L206" s="379">
        <f t="shared" si="6"/>
      </c>
      <c r="M206" s="377">
        <v>0</v>
      </c>
      <c r="N206" s="380">
        <f t="shared" si="25"/>
      </c>
      <c r="O206" s="377">
        <v>1</v>
      </c>
      <c r="P206" s="380">
        <f t="shared" si="63"/>
      </c>
      <c r="Q206" s="381">
        <f>(M206+M208+M207)/(O206+O208+O207)</f>
      </c>
      <c r="R206" s="377">
        <v>4</v>
      </c>
      <c r="S206" s="381">
        <f>(O206+O208)/(K206+K208)</f>
      </c>
      <c r="T206" s="377">
        <v>1</v>
      </c>
      <c r="U206" s="382">
        <f>F206/T206</f>
      </c>
      <c r="V206" s="383">
        <f>(F206+4*500)/T206</f>
      </c>
      <c r="W206" s="377">
        <v>1034.4</v>
      </c>
      <c r="X206" s="383">
        <f>W206/T206</f>
      </c>
      <c r="Y206" s="381">
        <f>T206/R206</f>
      </c>
      <c r="Z206" s="383">
        <f>W206/F206</f>
      </c>
      <c r="AA206" s="383">
        <f>W206/(F206+500)</f>
      </c>
      <c r="AB206" s="377">
        <v>0</v>
      </c>
      <c r="AC206" s="377">
        <v>0</v>
      </c>
      <c r="AD206" s="381">
        <f>AB206/T206</f>
      </c>
      <c r="AE206" s="383">
        <f>(W206-AC206)/(F206+500)</f>
      </c>
      <c r="AF206" s="383" t="s">
        <v>1092</v>
      </c>
    </row>
    <row r="207">
      <c r="A207" s="371"/>
      <c r="B207" s="385"/>
      <c r="C207" s="373"/>
      <c r="D207" s="374" t="s">
        <v>1069</v>
      </c>
      <c r="E207" s="384">
        <v>85.49</v>
      </c>
      <c r="F207" s="376"/>
      <c r="G207" s="377">
        <v>1473</v>
      </c>
      <c r="H207" s="377">
        <v>69</v>
      </c>
      <c r="I207" s="378">
        <f t="shared" si="44"/>
      </c>
      <c r="J207" s="379">
        <f t="shared" si="83"/>
      </c>
      <c r="K207" s="377">
        <v>3</v>
      </c>
      <c r="L207" s="379">
        <f t="shared" si="6"/>
      </c>
      <c r="M207" s="377">
        <v>0</v>
      </c>
      <c r="N207" s="380">
        <f t="shared" si="25"/>
      </c>
      <c r="O207" s="377">
        <v>0</v>
      </c>
      <c r="P207" s="380">
        <f t="shared" si="63"/>
      </c>
      <c r="Q207" s="381"/>
      <c r="R207" s="377"/>
      <c r="S207" s="381"/>
      <c r="T207" s="377"/>
      <c r="U207" s="382"/>
      <c r="V207" s="383"/>
      <c r="W207" s="377"/>
      <c r="X207" s="383"/>
      <c r="Y207" s="381"/>
      <c r="Z207" s="383"/>
      <c r="AA207" s="383"/>
      <c r="AB207" s="377"/>
      <c r="AC207" s="377"/>
      <c r="AD207" s="381"/>
      <c r="AE207" s="383"/>
      <c r="AF207" s="383" t="s">
        <v>1070</v>
      </c>
    </row>
    <row r="208">
      <c r="A208" s="371"/>
      <c r="B208" s="385"/>
      <c r="C208" s="373"/>
      <c r="D208" s="374" t="s">
        <v>1071</v>
      </c>
      <c r="E208" s="377">
        <v>447.62</v>
      </c>
      <c r="F208" s="376"/>
      <c r="G208" s="377">
        <v>418</v>
      </c>
      <c r="H208" s="377">
        <v>9</v>
      </c>
      <c r="I208" s="378">
        <f t="shared" si="44"/>
      </c>
      <c r="J208" s="379">
        <f t="shared" si="83"/>
      </c>
      <c r="K208" s="377">
        <v>1</v>
      </c>
      <c r="L208" s="379">
        <f t="shared" si="6"/>
      </c>
      <c r="M208" s="377">
        <v>0</v>
      </c>
      <c r="N208" s="380">
        <f t="shared" si="25"/>
      </c>
      <c r="O208" s="377">
        <v>0</v>
      </c>
      <c r="P208" s="380">
        <f t="shared" si="63"/>
      </c>
      <c r="Q208" s="381"/>
      <c r="R208" s="377"/>
      <c r="S208" s="381"/>
      <c r="T208" s="377"/>
      <c r="U208" s="382"/>
      <c r="V208" s="383"/>
      <c r="W208" s="377"/>
      <c r="X208" s="383"/>
      <c r="Y208" s="381"/>
      <c r="Z208" s="383"/>
      <c r="AA208" s="383"/>
      <c r="AB208" s="377"/>
      <c r="AC208" s="377"/>
      <c r="AD208" s="381"/>
      <c r="AE208" s="383"/>
      <c r="AF208" s="383"/>
    </row>
    <row r="209">
      <c r="A209" s="371"/>
      <c r="B209" s="372" t="s">
        <v>1079</v>
      </c>
      <c r="C209" s="373" t="s">
        <v>1087</v>
      </c>
      <c r="D209" s="374" t="s">
        <v>1067</v>
      </c>
      <c r="E209" s="375">
        <v>718.03</v>
      </c>
      <c r="F209" s="376">
        <f>E209+E210+E211</f>
      </c>
      <c r="G209" s="377">
        <v>7104</v>
      </c>
      <c r="H209" s="377">
        <v>84</v>
      </c>
      <c r="I209" s="378">
        <f t="shared" si="44"/>
      </c>
      <c r="J209" s="379">
        <f t="shared" si="83"/>
      </c>
      <c r="K209" s="377">
        <v>11</v>
      </c>
      <c r="L209" s="379">
        <f t="shared" si="6"/>
      </c>
      <c r="M209" s="377">
        <v>0</v>
      </c>
      <c r="N209" s="380">
        <f t="shared" si="25"/>
      </c>
      <c r="O209" s="377">
        <v>2</v>
      </c>
      <c r="P209" s="380">
        <f t="shared" si="63"/>
      </c>
      <c r="Q209" s="381">
        <f>(M209+M211+M210)/(O209+O211+O210)</f>
      </c>
      <c r="R209" s="377">
        <v>3</v>
      </c>
      <c r="S209" s="381">
        <f>(O209+O211)/(K209+K211)</f>
      </c>
      <c r="T209" s="377">
        <v>0</v>
      </c>
      <c r="U209" s="382">
        <f>F209/T209</f>
      </c>
      <c r="V209" s="383">
        <f>(F209+4*500)/T209</f>
      </c>
      <c r="W209" s="377">
        <v>0</v>
      </c>
      <c r="X209" s="383">
        <f>W209/T209</f>
      </c>
      <c r="Y209" s="381">
        <f>T209/R209</f>
      </c>
      <c r="Z209" s="383">
        <f>W209/F209</f>
      </c>
      <c r="AA209" s="383">
        <f>W209/(F209+500)</f>
      </c>
      <c r="AB209" s="377">
        <v>0</v>
      </c>
      <c r="AC209" s="377">
        <v>0</v>
      </c>
      <c r="AD209" s="381">
        <f>AB209/T209</f>
      </c>
      <c r="AE209" s="383">
        <f>(W209-AC209)/(F209+500)</f>
      </c>
      <c r="AF209" s="383" t="s">
        <v>1092</v>
      </c>
    </row>
    <row r="210">
      <c r="A210" s="371"/>
      <c r="B210" s="372"/>
      <c r="C210" s="373"/>
      <c r="D210" s="374" t="s">
        <v>1069</v>
      </c>
      <c r="E210" s="384">
        <v>85.75</v>
      </c>
      <c r="F210" s="376"/>
      <c r="G210" s="377">
        <v>1598</v>
      </c>
      <c r="H210" s="377">
        <v>77</v>
      </c>
      <c r="I210" s="378">
        <f t="shared" si="44"/>
      </c>
      <c r="J210" s="379">
        <f t="shared" si="83"/>
      </c>
      <c r="K210" s="377">
        <v>1</v>
      </c>
      <c r="L210" s="379">
        <f t="shared" si="6"/>
      </c>
      <c r="M210" s="377">
        <v>0</v>
      </c>
      <c r="N210" s="380">
        <f t="shared" si="25"/>
      </c>
      <c r="O210" s="377">
        <v>1</v>
      </c>
      <c r="P210" s="380">
        <f t="shared" si="63"/>
      </c>
      <c r="Q210" s="381"/>
      <c r="R210" s="377"/>
      <c r="S210" s="381"/>
      <c r="T210" s="377"/>
      <c r="U210" s="382"/>
      <c r="V210" s="383"/>
      <c r="W210" s="377"/>
      <c r="X210" s="383"/>
      <c r="Y210" s="381"/>
      <c r="Z210" s="383"/>
      <c r="AA210" s="383"/>
      <c r="AB210" s="377"/>
      <c r="AC210" s="377"/>
      <c r="AD210" s="381"/>
      <c r="AE210" s="383"/>
      <c r="AF210" s="383" t="s">
        <v>1070</v>
      </c>
    </row>
    <row r="211">
      <c r="A211" s="371"/>
      <c r="B211" s="372"/>
      <c r="C211" s="373"/>
      <c r="D211" s="374" t="s">
        <v>1071</v>
      </c>
      <c r="E211" s="377">
        <v>6.96</v>
      </c>
      <c r="F211" s="376"/>
      <c r="G211" s="377">
        <v>58</v>
      </c>
      <c r="H211" s="377">
        <v>2</v>
      </c>
      <c r="I211" s="378">
        <f t="shared" si="44"/>
      </c>
      <c r="J211" s="379">
        <f t="shared" si="83"/>
      </c>
      <c r="K211" s="377">
        <v>0</v>
      </c>
      <c r="L211" s="379">
        <f t="shared" si="6"/>
      </c>
      <c r="M211" s="377">
        <v>0</v>
      </c>
      <c r="N211" s="380">
        <f t="shared" si="25"/>
      </c>
      <c r="O211" s="377">
        <v>0</v>
      </c>
      <c r="P211" s="380">
        <f t="shared" si="63"/>
      </c>
      <c r="Q211" s="381"/>
      <c r="R211" s="377"/>
      <c r="S211" s="381"/>
      <c r="T211" s="377"/>
      <c r="U211" s="382"/>
      <c r="V211" s="383"/>
      <c r="W211" s="377"/>
      <c r="X211" s="383"/>
      <c r="Y211" s="381"/>
      <c r="Z211" s="383"/>
      <c r="AA211" s="383"/>
      <c r="AB211" s="377"/>
      <c r="AC211" s="377"/>
      <c r="AD211" s="381"/>
      <c r="AE211" s="383"/>
      <c r="AF211" s="383"/>
    </row>
    <row r="212">
      <c r="A212" s="371"/>
      <c r="B212" s="372" t="s">
        <v>1080</v>
      </c>
      <c r="C212" s="373" t="s">
        <v>1090</v>
      </c>
      <c r="D212" s="374" t="s">
        <v>1067</v>
      </c>
      <c r="E212" s="375">
        <v>463.21</v>
      </c>
      <c r="F212" s="376">
        <f>E212+E213+E214</f>
      </c>
      <c r="G212" s="377">
        <v>3984</v>
      </c>
      <c r="H212" s="377">
        <v>46</v>
      </c>
      <c r="I212" s="378">
        <f t="shared" si="44"/>
      </c>
      <c r="J212" s="379">
        <f t="shared" si="83"/>
      </c>
      <c r="K212" s="377">
        <v>9</v>
      </c>
      <c r="L212" s="379">
        <f t="shared" si="6"/>
      </c>
      <c r="M212" s="377">
        <v>0</v>
      </c>
      <c r="N212" s="380">
        <f t="shared" si="25"/>
      </c>
      <c r="O212" s="377">
        <v>0</v>
      </c>
      <c r="P212" s="380">
        <f t="shared" si="63"/>
      </c>
      <c r="Q212" s="381">
        <f>(M212+M214+M213)/(O212+O214+O213)</f>
      </c>
      <c r="R212" s="377">
        <v>0</v>
      </c>
      <c r="S212" s="381">
        <f>(O212+O214)/(K212+K214)</f>
      </c>
      <c r="T212" s="377">
        <v>0</v>
      </c>
      <c r="U212" s="382">
        <f>F212/T212</f>
      </c>
      <c r="V212" s="383">
        <f>(F212+4*500)/T212</f>
      </c>
      <c r="W212" s="377">
        <v>0</v>
      </c>
      <c r="X212" s="383">
        <f>W212/T212</f>
      </c>
      <c r="Y212" s="381">
        <f>T212/R212</f>
      </c>
      <c r="Z212" s="383">
        <f>W212/F212</f>
      </c>
      <c r="AA212" s="383">
        <f>W212/(F212+500)</f>
      </c>
      <c r="AB212" s="377">
        <v>0</v>
      </c>
      <c r="AC212" s="377">
        <v>0</v>
      </c>
      <c r="AD212" s="381">
        <f>AB212/T212</f>
      </c>
      <c r="AE212" s="383">
        <f>(W212-AC212)/(F212+500)</f>
      </c>
      <c r="AF212" s="383" t="s">
        <v>1092</v>
      </c>
    </row>
    <row r="213">
      <c r="A213" s="371"/>
      <c r="B213" s="372"/>
      <c r="C213" s="373"/>
      <c r="D213" s="374" t="s">
        <v>1069</v>
      </c>
      <c r="E213" s="384">
        <v>78.96</v>
      </c>
      <c r="F213" s="376"/>
      <c r="G213" s="377">
        <v>1363</v>
      </c>
      <c r="H213" s="377">
        <v>55</v>
      </c>
      <c r="I213" s="378">
        <f t="shared" si="44"/>
      </c>
      <c r="J213" s="379">
        <f t="shared" si="83"/>
      </c>
      <c r="K213" s="377">
        <v>1</v>
      </c>
      <c r="L213" s="379">
        <f t="shared" si="6"/>
      </c>
      <c r="M213" s="377">
        <v>0</v>
      </c>
      <c r="N213" s="380">
        <f t="shared" si="25"/>
      </c>
      <c r="O213" s="377">
        <v>0</v>
      </c>
      <c r="P213" s="380">
        <f t="shared" si="63"/>
      </c>
      <c r="Q213" s="381"/>
      <c r="R213" s="377"/>
      <c r="S213" s="381"/>
      <c r="T213" s="377"/>
      <c r="U213" s="382"/>
      <c r="V213" s="383"/>
      <c r="W213" s="377"/>
      <c r="X213" s="383"/>
      <c r="Y213" s="381"/>
      <c r="Z213" s="383"/>
      <c r="AA213" s="383"/>
      <c r="AB213" s="377"/>
      <c r="AC213" s="377"/>
      <c r="AD213" s="381"/>
      <c r="AE213" s="383"/>
      <c r="AF213" s="383" t="s">
        <v>1070</v>
      </c>
    </row>
    <row r="214">
      <c r="A214" s="371"/>
      <c r="B214" s="372"/>
      <c r="C214" s="373"/>
      <c r="D214" s="374" t="s">
        <v>1071</v>
      </c>
      <c r="E214" s="377">
        <v>2.03</v>
      </c>
      <c r="F214" s="376"/>
      <c r="G214" s="377">
        <v>33</v>
      </c>
      <c r="H214" s="377">
        <v>2</v>
      </c>
      <c r="I214" s="378">
        <f t="shared" si="44"/>
      </c>
      <c r="J214" s="379">
        <f t="shared" si="83"/>
      </c>
      <c r="K214" s="377">
        <v>0</v>
      </c>
      <c r="L214" s="379">
        <f t="shared" si="6"/>
      </c>
      <c r="M214" s="377">
        <v>0</v>
      </c>
      <c r="N214" s="380">
        <f t="shared" si="25"/>
      </c>
      <c r="O214" s="377">
        <v>0</v>
      </c>
      <c r="P214" s="380">
        <f t="shared" si="63"/>
      </c>
      <c r="Q214" s="381"/>
      <c r="R214" s="377"/>
      <c r="S214" s="381"/>
      <c r="T214" s="377"/>
      <c r="U214" s="382"/>
      <c r="V214" s="383"/>
      <c r="W214" s="377"/>
      <c r="X214" s="383"/>
      <c r="Y214" s="381"/>
      <c r="Z214" s="383"/>
      <c r="AA214" s="383"/>
      <c r="AB214" s="377"/>
      <c r="AC214" s="377"/>
      <c r="AD214" s="381"/>
      <c r="AE214" s="383"/>
      <c r="AF214" s="383"/>
    </row>
    <row r="215">
      <c r="A215" s="371"/>
      <c r="B215" s="372" t="s">
        <v>1082</v>
      </c>
      <c r="C215" s="373" t="s">
        <v>1090</v>
      </c>
      <c r="D215" s="374" t="s">
        <v>1067</v>
      </c>
      <c r="E215" s="375">
        <v>289.45</v>
      </c>
      <c r="F215" s="376">
        <f>E215+E216+E217</f>
      </c>
      <c r="G215" s="377">
        <v>1933</v>
      </c>
      <c r="H215" s="377">
        <v>39</v>
      </c>
      <c r="I215" s="378">
        <f t="shared" si="44"/>
      </c>
      <c r="J215" s="379">
        <f t="shared" si="83"/>
      </c>
      <c r="K215" s="377">
        <v>6</v>
      </c>
      <c r="L215" s="379">
        <f t="shared" si="6"/>
      </c>
      <c r="M215" s="377">
        <v>0</v>
      </c>
      <c r="N215" s="380">
        <f t="shared" si="25"/>
      </c>
      <c r="O215" s="377">
        <v>0</v>
      </c>
      <c r="P215" s="380">
        <f t="shared" si="63"/>
      </c>
      <c r="Q215" s="381">
        <f>(M215+M217+M216)/(O215+O217+O216)</f>
      </c>
      <c r="R215" s="377">
        <v>0</v>
      </c>
      <c r="S215" s="381">
        <f>(O215+O217)/(K215+K217)</f>
      </c>
      <c r="T215" s="377">
        <v>0</v>
      </c>
      <c r="U215" s="382">
        <f>F215/T215</f>
      </c>
      <c r="V215" s="383">
        <f>(F215+4*500)/T215</f>
      </c>
      <c r="W215" s="377">
        <v>0</v>
      </c>
      <c r="X215" s="383">
        <f>W215/T215</f>
      </c>
      <c r="Y215" s="381">
        <f>T215/R215</f>
      </c>
      <c r="Z215" s="383">
        <f>W215/F215</f>
      </c>
      <c r="AA215" s="383">
        <f>W215/(F215+500)</f>
      </c>
      <c r="AB215" s="377">
        <v>0</v>
      </c>
      <c r="AC215" s="377">
        <v>0</v>
      </c>
      <c r="AD215" s="381">
        <f>AB215/T215</f>
      </c>
      <c r="AE215" s="383">
        <f>(W215-AC215)/(F215+500)</f>
      </c>
      <c r="AF215" s="383" t="s">
        <v>1092</v>
      </c>
    </row>
    <row r="216">
      <c r="A216" s="371"/>
      <c r="B216" s="372"/>
      <c r="C216" s="373"/>
      <c r="D216" s="374" t="s">
        <v>1069</v>
      </c>
      <c r="E216" s="384">
        <v>280.84</v>
      </c>
      <c r="F216" s="376"/>
      <c r="G216" s="377">
        <v>1451</v>
      </c>
      <c r="H216" s="377">
        <v>70</v>
      </c>
      <c r="I216" s="378">
        <f t="shared" si="44"/>
      </c>
      <c r="J216" s="379">
        <f t="shared" si="83"/>
      </c>
      <c r="K216" s="377">
        <v>2</v>
      </c>
      <c r="L216" s="379">
        <f t="shared" si="6"/>
      </c>
      <c r="M216" s="377">
        <v>0</v>
      </c>
      <c r="N216" s="380">
        <f t="shared" si="25"/>
      </c>
      <c r="O216" s="377">
        <v>0</v>
      </c>
      <c r="P216" s="380">
        <f t="shared" si="63"/>
      </c>
      <c r="Q216" s="381"/>
      <c r="R216" s="377"/>
      <c r="S216" s="381"/>
      <c r="T216" s="377"/>
      <c r="U216" s="382"/>
      <c r="V216" s="383"/>
      <c r="W216" s="377"/>
      <c r="X216" s="383"/>
      <c r="Y216" s="381"/>
      <c r="Z216" s="383"/>
      <c r="AA216" s="383"/>
      <c r="AB216" s="377"/>
      <c r="AC216" s="377"/>
      <c r="AD216" s="381"/>
      <c r="AE216" s="383"/>
      <c r="AF216" s="383" t="s">
        <v>1070</v>
      </c>
    </row>
    <row r="217">
      <c r="A217" s="371"/>
      <c r="B217" s="372"/>
      <c r="C217" s="373"/>
      <c r="D217" s="374" t="s">
        <v>1071</v>
      </c>
      <c r="E217" s="377">
        <v>0.56</v>
      </c>
      <c r="F217" s="376"/>
      <c r="G217" s="377">
        <v>32</v>
      </c>
      <c r="H217" s="377">
        <v>3</v>
      </c>
      <c r="I217" s="378">
        <f t="shared" si="44"/>
      </c>
      <c r="J217" s="379">
        <f t="shared" si="83"/>
      </c>
      <c r="K217" s="377">
        <v>1</v>
      </c>
      <c r="L217" s="379">
        <f t="shared" si="6"/>
      </c>
      <c r="M217" s="377">
        <v>0</v>
      </c>
      <c r="N217" s="380">
        <f t="shared" si="25"/>
      </c>
      <c r="O217" s="377">
        <v>0</v>
      </c>
      <c r="P217" s="380">
        <f t="shared" si="63"/>
      </c>
      <c r="Q217" s="381"/>
      <c r="R217" s="377"/>
      <c r="S217" s="381"/>
      <c r="T217" s="377"/>
      <c r="U217" s="382"/>
      <c r="V217" s="383"/>
      <c r="W217" s="377"/>
      <c r="X217" s="383"/>
      <c r="Y217" s="381"/>
      <c r="Z217" s="383"/>
      <c r="AA217" s="383"/>
      <c r="AB217" s="377"/>
      <c r="AC217" s="377"/>
      <c r="AD217" s="381"/>
      <c r="AE217" s="383"/>
      <c r="AF217" s="383"/>
    </row>
    <row customHeight="true" ht="20.238095238095237" r="218">
      <c r="A218" s="371"/>
      <c r="B218" s="372"/>
      <c r="C218" s="373"/>
      <c r="D218" s="374"/>
      <c r="E218" s="377">
        <f>SUM(E188:E217)</f>
      </c>
      <c r="F218" s="377">
        <f>SUM(F188:F217)</f>
      </c>
      <c r="G218" s="377"/>
      <c r="H218" s="377"/>
      <c r="I218" s="378"/>
      <c r="J218" s="379"/>
      <c r="K218" s="377"/>
      <c r="L218" s="379"/>
      <c r="M218" s="377"/>
      <c r="N218" s="380"/>
      <c r="O218" s="377"/>
      <c r="P218" s="380"/>
      <c r="Q218" s="381"/>
      <c r="R218" s="377"/>
      <c r="S218" s="381"/>
      <c r="T218" s="377">
        <f>SUM(T188:T217)</f>
      </c>
      <c r="U218" s="382"/>
      <c r="V218" s="383"/>
      <c r="W218" s="377">
        <f>SUM(W188:W217)</f>
      </c>
      <c r="X218" s="383"/>
      <c r="Y218" s="381"/>
      <c r="Z218" s="383"/>
      <c r="AA218" s="383"/>
      <c r="AB218" s="377"/>
      <c r="AC218" s="377"/>
      <c r="AD218" s="381"/>
      <c r="AE218" s="383"/>
      <c r="AF218" s="383"/>
    </row>
    <row r="219">
      <c r="A219" s="371" t="s">
        <v>1093</v>
      </c>
      <c r="B219" s="372" t="s">
        <v>1065</v>
      </c>
      <c r="C219" s="373" t="s">
        <v>1087</v>
      </c>
      <c r="D219" s="374" t="s">
        <v>1067</v>
      </c>
      <c r="E219" s="375">
        <v>1003.29</v>
      </c>
      <c r="F219" s="376">
        <f>E219+E220+E221</f>
      </c>
      <c r="G219" s="377">
        <v>7646</v>
      </c>
      <c r="H219" s="377">
        <v>750</v>
      </c>
      <c r="I219" s="378">
        <f t="shared" ref="I219:I248" si="45">H219/G219</f>
      </c>
      <c r="J219" s="379">
        <f t="shared" ref="J219:J248" si="84">(E219/G219)*1000</f>
      </c>
      <c r="K219" s="377">
        <v>20</v>
      </c>
      <c r="L219" s="379">
        <f t="shared" ref="L219:L248" si="7">E219/K219</f>
      </c>
      <c r="M219" s="377">
        <v>2</v>
      </c>
      <c r="N219" s="380">
        <f t="shared" ref="N219:N248" si="26">E219/M219</f>
      </c>
      <c r="O219" s="377">
        <v>4</v>
      </c>
      <c r="P219" s="380">
        <f t="shared" ref="P219:P248" si="64">E219/O219</f>
      </c>
      <c r="Q219" s="381">
        <f>(M219+M221+M220)/(O219+O221+O220)</f>
      </c>
      <c r="R219" s="377">
        <v>7</v>
      </c>
      <c r="S219" s="381">
        <f>(O219+O221)/(K219+K221)</f>
      </c>
      <c r="T219" s="377">
        <v>3</v>
      </c>
      <c r="U219" s="382">
        <f>F219/T219</f>
      </c>
      <c r="V219" s="383">
        <f>(F219+4*500)/T219</f>
      </c>
      <c r="W219" s="377">
        <v>2102.2</v>
      </c>
      <c r="X219" s="383">
        <f>W219/T219</f>
      </c>
      <c r="Y219" s="381">
        <f>T219/R219</f>
      </c>
      <c r="Z219" s="383">
        <f>W219/F219</f>
      </c>
      <c r="AA219" s="383">
        <f>W219/(F219+500)</f>
      </c>
      <c r="AB219" s="377">
        <v>0</v>
      </c>
      <c r="AC219" s="377">
        <v>0</v>
      </c>
      <c r="AD219" s="381">
        <f>AB219/T219</f>
      </c>
      <c r="AE219" s="383">
        <f>(W219-AC219)/(F219+500)</f>
      </c>
      <c r="AF219" s="383" t="s">
        <v>1092</v>
      </c>
    </row>
    <row r="220">
      <c r="A220" s="371"/>
      <c r="B220" s="372"/>
      <c r="C220" s="373"/>
      <c r="D220" s="374" t="s">
        <v>1069</v>
      </c>
      <c r="E220" s="384">
        <v>82.78</v>
      </c>
      <c r="F220" s="376"/>
      <c r="G220" s="377">
        <v>1509</v>
      </c>
      <c r="H220" s="377">
        <v>102</v>
      </c>
      <c r="I220" s="378">
        <f t="shared" si="45"/>
      </c>
      <c r="J220" s="379">
        <f t="shared" si="84"/>
      </c>
      <c r="K220" s="377">
        <v>2</v>
      </c>
      <c r="L220" s="379">
        <f t="shared" si="7"/>
      </c>
      <c r="M220" s="377">
        <v>0</v>
      </c>
      <c r="N220" s="380">
        <f t="shared" si="26"/>
      </c>
      <c r="O220" s="377">
        <v>0</v>
      </c>
      <c r="P220" s="380">
        <f t="shared" si="64"/>
      </c>
      <c r="Q220" s="381"/>
      <c r="R220" s="377"/>
      <c r="S220" s="381"/>
      <c r="T220" s="377"/>
      <c r="U220" s="382"/>
      <c r="V220" s="383"/>
      <c r="W220" s="377"/>
      <c r="X220" s="383"/>
      <c r="Y220" s="381"/>
      <c r="Z220" s="383"/>
      <c r="AA220" s="383"/>
      <c r="AB220" s="377"/>
      <c r="AC220" s="377"/>
      <c r="AD220" s="381"/>
      <c r="AE220" s="383"/>
      <c r="AF220" s="383" t="s">
        <v>1070</v>
      </c>
    </row>
    <row r="221">
      <c r="A221" s="371"/>
      <c r="B221" s="372"/>
      <c r="C221" s="373"/>
      <c r="D221" s="374" t="s">
        <v>1071</v>
      </c>
      <c r="E221" s="377">
        <v>72.94</v>
      </c>
      <c r="F221" s="376"/>
      <c r="G221" s="377">
        <v>106</v>
      </c>
      <c r="H221" s="377">
        <v>8</v>
      </c>
      <c r="I221" s="378">
        <f t="shared" si="45"/>
      </c>
      <c r="J221" s="379">
        <f t="shared" si="84"/>
      </c>
      <c r="K221" s="377">
        <v>2</v>
      </c>
      <c r="L221" s="379">
        <f t="shared" si="7"/>
      </c>
      <c r="M221" s="377">
        <v>0</v>
      </c>
      <c r="N221" s="380">
        <f t="shared" si="26"/>
      </c>
      <c r="O221" s="377">
        <v>0</v>
      </c>
      <c r="P221" s="380">
        <f t="shared" si="64"/>
      </c>
      <c r="Q221" s="381"/>
      <c r="R221" s="377"/>
      <c r="S221" s="381"/>
      <c r="T221" s="377"/>
      <c r="U221" s="382"/>
      <c r="V221" s="383"/>
      <c r="W221" s="377"/>
      <c r="X221" s="383"/>
      <c r="Y221" s="381"/>
      <c r="Z221" s="383"/>
      <c r="AA221" s="383"/>
      <c r="AB221" s="377"/>
      <c r="AC221" s="377"/>
      <c r="AD221" s="381"/>
      <c r="AE221" s="383"/>
      <c r="AF221" s="383"/>
    </row>
    <row r="222">
      <c r="A222" s="371"/>
      <c r="B222" s="372" t="s">
        <v>1072</v>
      </c>
      <c r="C222" s="373" t="s">
        <v>1087</v>
      </c>
      <c r="D222" s="374" t="s">
        <v>1067</v>
      </c>
      <c r="E222" s="375">
        <v>1818.78</v>
      </c>
      <c r="F222" s="376">
        <f>E222+E223+E224</f>
      </c>
      <c r="G222" s="377">
        <v>17997</v>
      </c>
      <c r="H222" s="377">
        <v>1002</v>
      </c>
      <c r="I222" s="378">
        <f t="shared" si="45"/>
      </c>
      <c r="J222" s="379">
        <f t="shared" si="84"/>
      </c>
      <c r="K222" s="377">
        <v>32</v>
      </c>
      <c r="L222" s="379">
        <f t="shared" si="7"/>
      </c>
      <c r="M222" s="377">
        <v>0</v>
      </c>
      <c r="N222" s="380">
        <f t="shared" si="26"/>
      </c>
      <c r="O222" s="377">
        <v>1</v>
      </c>
      <c r="P222" s="380">
        <f t="shared" si="64"/>
      </c>
      <c r="Q222" s="381">
        <f>(M222+M224+M223)/(O222+O224+O223)</f>
      </c>
      <c r="R222" s="377">
        <v>5</v>
      </c>
      <c r="S222" s="381">
        <f>(O222+O224)/(K222+K224)</f>
      </c>
      <c r="T222" s="377">
        <v>0</v>
      </c>
      <c r="U222" s="382">
        <f>F222/T222</f>
      </c>
      <c r="V222" s="383">
        <f>(F222+4*500)/T222</f>
      </c>
      <c r="W222" s="377">
        <v>0</v>
      </c>
      <c r="X222" s="383">
        <f>W222/T222</f>
      </c>
      <c r="Y222" s="381">
        <f>T222/R222</f>
      </c>
      <c r="Z222" s="383">
        <f>W222/F222</f>
      </c>
      <c r="AA222" s="383">
        <f>W222/(F222+500)</f>
      </c>
      <c r="AB222" s="377">
        <v>0</v>
      </c>
      <c r="AC222" s="377">
        <v>0</v>
      </c>
      <c r="AD222" s="381">
        <f>AB222/T222</f>
      </c>
      <c r="AE222" s="383">
        <f>(W222-AC222)/(F222+500)</f>
      </c>
      <c r="AF222" s="383" t="s">
        <v>1092</v>
      </c>
    </row>
    <row r="223">
      <c r="A223" s="371"/>
      <c r="B223" s="372"/>
      <c r="C223" s="373"/>
      <c r="D223" s="374" t="s">
        <v>1069</v>
      </c>
      <c r="E223" s="384">
        <v>115.05</v>
      </c>
      <c r="F223" s="376"/>
      <c r="G223" s="377">
        <v>662</v>
      </c>
      <c r="H223" s="377">
        <v>37</v>
      </c>
      <c r="I223" s="378">
        <f t="shared" si="45"/>
      </c>
      <c r="J223" s="379">
        <f t="shared" si="84"/>
      </c>
      <c r="K223" s="377">
        <v>1</v>
      </c>
      <c r="L223" s="379">
        <f t="shared" si="7"/>
      </c>
      <c r="M223" s="377">
        <v>0</v>
      </c>
      <c r="N223" s="380">
        <f t="shared" si="26"/>
      </c>
      <c r="O223" s="377">
        <v>0</v>
      </c>
      <c r="P223" s="380">
        <f t="shared" si="64"/>
      </c>
      <c r="Q223" s="381"/>
      <c r="R223" s="377"/>
      <c r="S223" s="381"/>
      <c r="T223" s="377"/>
      <c r="U223" s="382"/>
      <c r="V223" s="383"/>
      <c r="W223" s="377"/>
      <c r="X223" s="383"/>
      <c r="Y223" s="381"/>
      <c r="Z223" s="383"/>
      <c r="AA223" s="383"/>
      <c r="AB223" s="377"/>
      <c r="AC223" s="377"/>
      <c r="AD223" s="381"/>
      <c r="AE223" s="383"/>
      <c r="AF223" s="383" t="s">
        <v>1070</v>
      </c>
    </row>
    <row r="224">
      <c r="A224" s="371"/>
      <c r="B224" s="372"/>
      <c r="C224" s="373"/>
      <c r="D224" s="374" t="s">
        <v>1071</v>
      </c>
      <c r="E224" s="377">
        <v>82.5</v>
      </c>
      <c r="F224" s="376"/>
      <c r="G224" s="377">
        <v>128</v>
      </c>
      <c r="H224" s="377">
        <v>4</v>
      </c>
      <c r="I224" s="378">
        <f t="shared" si="45"/>
      </c>
      <c r="J224" s="379">
        <f t="shared" si="84"/>
      </c>
      <c r="K224" s="377">
        <v>0</v>
      </c>
      <c r="L224" s="379">
        <f t="shared" si="7"/>
      </c>
      <c r="M224" s="377">
        <v>0</v>
      </c>
      <c r="N224" s="380">
        <f t="shared" si="26"/>
      </c>
      <c r="O224" s="377">
        <v>0</v>
      </c>
      <c r="P224" s="380">
        <f t="shared" si="64"/>
      </c>
      <c r="Q224" s="381"/>
      <c r="R224" s="377"/>
      <c r="S224" s="381"/>
      <c r="T224" s="377"/>
      <c r="U224" s="382"/>
      <c r="V224" s="383"/>
      <c r="W224" s="377"/>
      <c r="X224" s="383"/>
      <c r="Y224" s="381"/>
      <c r="Z224" s="383"/>
      <c r="AA224" s="383"/>
      <c r="AB224" s="377"/>
      <c r="AC224" s="377"/>
      <c r="AD224" s="381"/>
      <c r="AE224" s="383"/>
      <c r="AF224" s="383"/>
    </row>
    <row r="225">
      <c r="A225" s="371"/>
      <c r="B225" s="372" t="s">
        <v>1073</v>
      </c>
      <c r="C225" s="373" t="s">
        <v>1087</v>
      </c>
      <c r="D225" s="374" t="s">
        <v>1067</v>
      </c>
      <c r="E225" s="375">
        <v>483.77</v>
      </c>
      <c r="F225" s="376">
        <f>E225+E226+E227</f>
      </c>
      <c r="G225" s="377">
        <v>3909</v>
      </c>
      <c r="H225" s="377">
        <v>374</v>
      </c>
      <c r="I225" s="378">
        <f t="shared" si="45"/>
      </c>
      <c r="J225" s="379">
        <f t="shared" si="84"/>
      </c>
      <c r="K225" s="377">
        <v>8</v>
      </c>
      <c r="L225" s="379">
        <f t="shared" si="7"/>
      </c>
      <c r="M225" s="377">
        <v>0</v>
      </c>
      <c r="N225" s="380">
        <f t="shared" si="26"/>
      </c>
      <c r="O225" s="377">
        <v>1</v>
      </c>
      <c r="P225" s="380">
        <f t="shared" si="64"/>
      </c>
      <c r="Q225" s="381">
        <f>(M225+M227+M226)/(O225+O227+O226)</f>
      </c>
      <c r="R225" s="377">
        <v>3</v>
      </c>
      <c r="S225" s="381">
        <f>(O225+O227)/(K225+K227)</f>
      </c>
      <c r="T225" s="377">
        <v>1</v>
      </c>
      <c r="U225" s="382">
        <f>F225/T225</f>
      </c>
      <c r="V225" s="383">
        <f>(F225+4*500)/T225</f>
      </c>
      <c r="W225" s="377">
        <v>396</v>
      </c>
      <c r="X225" s="383">
        <f>W225/T225</f>
      </c>
      <c r="Y225" s="381">
        <f>T225/R225</f>
      </c>
      <c r="Z225" s="383">
        <f>W225/F225</f>
      </c>
      <c r="AA225" s="383">
        <f>W225/(F225+500)</f>
      </c>
      <c r="AB225" s="377">
        <v>0</v>
      </c>
      <c r="AC225" s="377">
        <v>0</v>
      </c>
      <c r="AD225" s="381">
        <f>AB225/T225</f>
      </c>
      <c r="AE225" s="383">
        <f>(W225-AC225)/(F225+500)</f>
      </c>
      <c r="AF225" s="383" t="s">
        <v>1092</v>
      </c>
    </row>
    <row r="226">
      <c r="A226" s="371"/>
      <c r="B226" s="372"/>
      <c r="C226" s="373"/>
      <c r="D226" s="374" t="s">
        <v>1069</v>
      </c>
      <c r="E226" s="384">
        <v>42.96</v>
      </c>
      <c r="F226" s="376"/>
      <c r="G226" s="377">
        <v>500</v>
      </c>
      <c r="H226" s="377">
        <v>31</v>
      </c>
      <c r="I226" s="378">
        <f t="shared" si="45"/>
      </c>
      <c r="J226" s="379">
        <f t="shared" si="84"/>
      </c>
      <c r="K226" s="377">
        <v>2</v>
      </c>
      <c r="L226" s="379">
        <f t="shared" si="7"/>
      </c>
      <c r="M226" s="377">
        <v>0</v>
      </c>
      <c r="N226" s="380">
        <f t="shared" si="26"/>
      </c>
      <c r="O226" s="377">
        <v>0</v>
      </c>
      <c r="P226" s="380">
        <f t="shared" si="64"/>
      </c>
      <c r="Q226" s="381"/>
      <c r="R226" s="377"/>
      <c r="S226" s="381"/>
      <c r="T226" s="377"/>
      <c r="U226" s="382"/>
      <c r="V226" s="383"/>
      <c r="W226" s="377"/>
      <c r="X226" s="383"/>
      <c r="Y226" s="381"/>
      <c r="Z226" s="383"/>
      <c r="AA226" s="383"/>
      <c r="AB226" s="377"/>
      <c r="AC226" s="377"/>
      <c r="AD226" s="381"/>
      <c r="AE226" s="383"/>
      <c r="AF226" s="383" t="s">
        <v>1070</v>
      </c>
    </row>
    <row r="227">
      <c r="A227" s="371"/>
      <c r="B227" s="372"/>
      <c r="C227" s="373"/>
      <c r="D227" s="374" t="s">
        <v>1071</v>
      </c>
      <c r="E227" s="377">
        <v>69.8</v>
      </c>
      <c r="F227" s="376"/>
      <c r="G227" s="377">
        <v>153</v>
      </c>
      <c r="H227" s="377">
        <v>4</v>
      </c>
      <c r="I227" s="378">
        <f t="shared" si="45"/>
      </c>
      <c r="J227" s="379">
        <f t="shared" si="84"/>
      </c>
      <c r="K227" s="377">
        <v>0</v>
      </c>
      <c r="L227" s="379">
        <f t="shared" si="7"/>
      </c>
      <c r="M227" s="377">
        <v>0</v>
      </c>
      <c r="N227" s="380">
        <f t="shared" si="26"/>
      </c>
      <c r="O227" s="377">
        <v>0</v>
      </c>
      <c r="P227" s="380">
        <f t="shared" si="64"/>
      </c>
      <c r="Q227" s="381"/>
      <c r="R227" s="377"/>
      <c r="S227" s="381"/>
      <c r="T227" s="377"/>
      <c r="U227" s="382"/>
      <c r="V227" s="383"/>
      <c r="W227" s="377"/>
      <c r="X227" s="383"/>
      <c r="Y227" s="381"/>
      <c r="Z227" s="383"/>
      <c r="AA227" s="383"/>
      <c r="AB227" s="377"/>
      <c r="AC227" s="377"/>
      <c r="AD227" s="381"/>
      <c r="AE227" s="383"/>
      <c r="AF227" s="383"/>
    </row>
    <row r="228">
      <c r="A228" s="371"/>
      <c r="B228" s="372" t="s">
        <v>1074</v>
      </c>
      <c r="C228" s="373" t="s">
        <v>1087</v>
      </c>
      <c r="D228" s="374" t="s">
        <v>1067</v>
      </c>
      <c r="E228" s="375">
        <v>329.64</v>
      </c>
      <c r="F228" s="376">
        <f>E228+E229+E230</f>
      </c>
      <c r="G228" s="377">
        <v>2557</v>
      </c>
      <c r="H228" s="377">
        <v>251</v>
      </c>
      <c r="I228" s="378">
        <f t="shared" si="45"/>
      </c>
      <c r="J228" s="379">
        <f t="shared" si="84"/>
      </c>
      <c r="K228" s="377">
        <v>4</v>
      </c>
      <c r="L228" s="379">
        <f t="shared" si="7"/>
      </c>
      <c r="M228" s="377">
        <v>0</v>
      </c>
      <c r="N228" s="380">
        <f t="shared" si="26"/>
      </c>
      <c r="O228" s="377">
        <v>0</v>
      </c>
      <c r="P228" s="380">
        <f t="shared" si="64"/>
      </c>
      <c r="Q228" s="381">
        <f>(M228+M230+M229)/(O228+O230+O229)</f>
      </c>
      <c r="R228" s="377">
        <v>5</v>
      </c>
      <c r="S228" s="381">
        <f>(O228+O230)/(K228+K230)</f>
      </c>
      <c r="T228" s="377">
        <v>2</v>
      </c>
      <c r="U228" s="382">
        <f>F228/T228</f>
      </c>
      <c r="V228" s="383">
        <f>(F228+4*500)/T228</f>
      </c>
      <c r="W228" s="377">
        <v>3794.4</v>
      </c>
      <c r="X228" s="383">
        <f>W228/T228</f>
      </c>
      <c r="Y228" s="381">
        <f>T228/R228</f>
      </c>
      <c r="Z228" s="383">
        <f>W228/F228</f>
      </c>
      <c r="AA228" s="383">
        <f>W228/(F228+500)</f>
      </c>
      <c r="AB228" s="377">
        <v>1</v>
      </c>
      <c r="AC228" s="377">
        <v>1723.2</v>
      </c>
      <c r="AD228" s="381">
        <f>AB228/T228</f>
      </c>
      <c r="AE228" s="383">
        <f>(W228-AC228)/(F228+500)</f>
      </c>
      <c r="AF228" s="383" t="s">
        <v>1092</v>
      </c>
    </row>
    <row r="229">
      <c r="A229" s="371"/>
      <c r="B229" s="372"/>
      <c r="C229" s="373"/>
      <c r="D229" s="374" t="s">
        <v>1069</v>
      </c>
      <c r="E229" s="384">
        <v>87.37</v>
      </c>
      <c r="F229" s="376"/>
      <c r="G229" s="377">
        <v>486</v>
      </c>
      <c r="H229" s="377">
        <v>23</v>
      </c>
      <c r="I229" s="378">
        <f t="shared" si="45"/>
      </c>
      <c r="J229" s="379">
        <f t="shared" si="84"/>
      </c>
      <c r="K229" s="377">
        <v>2</v>
      </c>
      <c r="L229" s="379">
        <f t="shared" si="7"/>
      </c>
      <c r="M229" s="377">
        <v>0</v>
      </c>
      <c r="N229" s="380">
        <f t="shared" si="26"/>
      </c>
      <c r="O229" s="377">
        <v>0</v>
      </c>
      <c r="P229" s="380">
        <f t="shared" si="64"/>
      </c>
      <c r="Q229" s="381"/>
      <c r="R229" s="377"/>
      <c r="S229" s="381"/>
      <c r="T229" s="377"/>
      <c r="U229" s="382"/>
      <c r="V229" s="383"/>
      <c r="W229" s="377"/>
      <c r="X229" s="383"/>
      <c r="Y229" s="381"/>
      <c r="Z229" s="383"/>
      <c r="AA229" s="383"/>
      <c r="AB229" s="377"/>
      <c r="AC229" s="377"/>
      <c r="AD229" s="381"/>
      <c r="AE229" s="383"/>
      <c r="AF229" s="383" t="s">
        <v>1070</v>
      </c>
    </row>
    <row r="230">
      <c r="A230" s="371"/>
      <c r="B230" s="372"/>
      <c r="C230" s="373"/>
      <c r="D230" s="374" t="s">
        <v>1071</v>
      </c>
      <c r="E230" s="377">
        <v>422.65</v>
      </c>
      <c r="F230" s="376"/>
      <c r="G230" s="377">
        <v>136</v>
      </c>
      <c r="H230" s="377">
        <v>5</v>
      </c>
      <c r="I230" s="378">
        <f t="shared" si="45"/>
      </c>
      <c r="J230" s="379">
        <f t="shared" si="84"/>
      </c>
      <c r="K230" s="377">
        <v>2</v>
      </c>
      <c r="L230" s="379">
        <f t="shared" si="7"/>
      </c>
      <c r="M230" s="377">
        <v>1</v>
      </c>
      <c r="N230" s="380">
        <f t="shared" si="26"/>
      </c>
      <c r="O230" s="377">
        <v>1</v>
      </c>
      <c r="P230" s="380">
        <f t="shared" si="64"/>
      </c>
      <c r="Q230" s="381"/>
      <c r="R230" s="377"/>
      <c r="S230" s="381"/>
      <c r="T230" s="377"/>
      <c r="U230" s="382"/>
      <c r="V230" s="383"/>
      <c r="W230" s="377"/>
      <c r="X230" s="383"/>
      <c r="Y230" s="381"/>
      <c r="Z230" s="383"/>
      <c r="AA230" s="383"/>
      <c r="AB230" s="377"/>
      <c r="AC230" s="377"/>
      <c r="AD230" s="381"/>
      <c r="AE230" s="383"/>
      <c r="AF230" s="383"/>
    </row>
    <row r="231">
      <c r="A231" s="371"/>
      <c r="B231" s="372" t="s">
        <v>1075</v>
      </c>
      <c r="C231" s="373" t="s">
        <v>1090</v>
      </c>
      <c r="D231" s="374" t="s">
        <v>1067</v>
      </c>
      <c r="E231" s="375">
        <v>473.74</v>
      </c>
      <c r="F231" s="376">
        <f>E231+E232+E233</f>
      </c>
      <c r="G231" s="377">
        <v>2503</v>
      </c>
      <c r="H231" s="377">
        <v>57</v>
      </c>
      <c r="I231" s="378">
        <f t="shared" si="45"/>
      </c>
      <c r="J231" s="379">
        <f t="shared" si="84"/>
      </c>
      <c r="K231" s="377">
        <v>6</v>
      </c>
      <c r="L231" s="379">
        <f t="shared" si="7"/>
      </c>
      <c r="M231" s="377">
        <v>0</v>
      </c>
      <c r="N231" s="380">
        <f t="shared" si="26"/>
      </c>
      <c r="O231" s="377">
        <v>1</v>
      </c>
      <c r="P231" s="380">
        <f t="shared" si="64"/>
      </c>
      <c r="Q231" s="381">
        <f>(M231+M233+M232)/(O231+O233+O232)</f>
      </c>
      <c r="R231" s="377">
        <v>4</v>
      </c>
      <c r="S231" s="381">
        <f>(O231+O233)/(K231+K233)</f>
      </c>
      <c r="T231" s="377">
        <v>0</v>
      </c>
      <c r="U231" s="382">
        <f>F231/T231</f>
      </c>
      <c r="V231" s="383">
        <f>(F231+4*500)/T231</f>
      </c>
      <c r="W231" s="377">
        <v>0</v>
      </c>
      <c r="X231" s="383">
        <f>W231/T231</f>
      </c>
      <c r="Y231" s="381">
        <f>T231/R231</f>
      </c>
      <c r="Z231" s="383">
        <f>W231/F231</f>
      </c>
      <c r="AA231" s="383">
        <f>W231/(F231+500)</f>
      </c>
      <c r="AB231" s="377">
        <v>0</v>
      </c>
      <c r="AC231" s="377">
        <v>0</v>
      </c>
      <c r="AD231" s="381">
        <f>AB231/T231</f>
      </c>
      <c r="AE231" s="383">
        <f>(W231-AC231)/(F231+500)</f>
      </c>
      <c r="AF231" s="383" t="s">
        <v>1092</v>
      </c>
    </row>
    <row r="232">
      <c r="A232" s="371"/>
      <c r="B232" s="372"/>
      <c r="C232" s="373"/>
      <c r="D232" s="374" t="s">
        <v>1069</v>
      </c>
      <c r="E232" s="384">
        <v>357.73</v>
      </c>
      <c r="F232" s="376"/>
      <c r="G232" s="377">
        <v>467</v>
      </c>
      <c r="H232" s="377">
        <v>29</v>
      </c>
      <c r="I232" s="378">
        <f t="shared" si="45"/>
      </c>
      <c r="J232" s="379">
        <f t="shared" si="84"/>
      </c>
      <c r="K232" s="377">
        <v>3</v>
      </c>
      <c r="L232" s="379">
        <f t="shared" si="7"/>
      </c>
      <c r="M232" s="377">
        <v>0</v>
      </c>
      <c r="N232" s="380">
        <f t="shared" si="26"/>
      </c>
      <c r="O232" s="377">
        <v>0</v>
      </c>
      <c r="P232" s="380">
        <f t="shared" si="64"/>
      </c>
      <c r="Q232" s="381"/>
      <c r="R232" s="377"/>
      <c r="S232" s="381"/>
      <c r="T232" s="377"/>
      <c r="U232" s="382"/>
      <c r="V232" s="383"/>
      <c r="W232" s="377"/>
      <c r="X232" s="383"/>
      <c r="Y232" s="381"/>
      <c r="Z232" s="383"/>
      <c r="AA232" s="383"/>
      <c r="AB232" s="377"/>
      <c r="AC232" s="377"/>
      <c r="AD232" s="381"/>
      <c r="AE232" s="383"/>
      <c r="AF232" s="383" t="s">
        <v>1070</v>
      </c>
    </row>
    <row r="233">
      <c r="A233" s="371"/>
      <c r="B233" s="372"/>
      <c r="C233" s="373"/>
      <c r="D233" s="374" t="s">
        <v>1071</v>
      </c>
      <c r="E233" s="377">
        <v>280.45</v>
      </c>
      <c r="F233" s="376"/>
      <c r="G233" s="377">
        <v>76</v>
      </c>
      <c r="H233" s="377">
        <v>7</v>
      </c>
      <c r="I233" s="378">
        <f t="shared" si="45"/>
      </c>
      <c r="J233" s="379">
        <f t="shared" si="84"/>
      </c>
      <c r="K233" s="377">
        <v>2</v>
      </c>
      <c r="L233" s="379">
        <f t="shared" si="7"/>
      </c>
      <c r="M233" s="377">
        <v>0</v>
      </c>
      <c r="N233" s="380">
        <f t="shared" si="26"/>
      </c>
      <c r="O233" s="377">
        <v>1</v>
      </c>
      <c r="P233" s="380">
        <f t="shared" si="64"/>
      </c>
      <c r="Q233" s="381"/>
      <c r="R233" s="377"/>
      <c r="S233" s="381"/>
      <c r="T233" s="377"/>
      <c r="U233" s="382"/>
      <c r="V233" s="383"/>
      <c r="W233" s="377"/>
      <c r="X233" s="383"/>
      <c r="Y233" s="381"/>
      <c r="Z233" s="383"/>
      <c r="AA233" s="383"/>
      <c r="AB233" s="377"/>
      <c r="AC233" s="377"/>
      <c r="AD233" s="381"/>
      <c r="AE233" s="383"/>
      <c r="AF233" s="383"/>
    </row>
    <row r="234">
      <c r="A234" s="371"/>
      <c r="B234" s="372" t="s">
        <v>1077</v>
      </c>
      <c r="C234" s="373" t="s">
        <v>1090</v>
      </c>
      <c r="D234" s="374" t="s">
        <v>1067</v>
      </c>
      <c r="E234" s="375">
        <v>445.93</v>
      </c>
      <c r="F234" s="376">
        <f>E234+E235+E236</f>
      </c>
      <c r="G234" s="377">
        <v>3283</v>
      </c>
      <c r="H234" s="377">
        <v>65</v>
      </c>
      <c r="I234" s="378">
        <f t="shared" si="45"/>
      </c>
      <c r="J234" s="379">
        <f t="shared" si="84"/>
      </c>
      <c r="K234" s="377">
        <v>9</v>
      </c>
      <c r="L234" s="379">
        <f t="shared" si="7"/>
      </c>
      <c r="M234" s="377">
        <v>1</v>
      </c>
      <c r="N234" s="380">
        <f t="shared" si="26"/>
      </c>
      <c r="O234" s="377">
        <v>1</v>
      </c>
      <c r="P234" s="380">
        <f t="shared" si="64"/>
      </c>
      <c r="Q234" s="381">
        <f>(M234+M236+M235)/(O234+O236+O235)</f>
      </c>
      <c r="R234" s="377">
        <v>4</v>
      </c>
      <c r="S234" s="381">
        <f>(O234+O236)/(K234+K236)</f>
      </c>
      <c r="T234" s="377">
        <v>2</v>
      </c>
      <c r="U234" s="382">
        <f>F234/T234</f>
      </c>
      <c r="V234" s="383">
        <f>(F234+4*500)/T234</f>
      </c>
      <c r="W234" s="377">
        <v>3031</v>
      </c>
      <c r="X234" s="383">
        <f>W234/T234</f>
      </c>
      <c r="Y234" s="381">
        <f>T234/R234</f>
      </c>
      <c r="Z234" s="383">
        <f>W234/F234</f>
      </c>
      <c r="AA234" s="383">
        <f>W234/(F234+500)</f>
      </c>
      <c r="AB234" s="377">
        <v>0</v>
      </c>
      <c r="AC234" s="377">
        <v>0</v>
      </c>
      <c r="AD234" s="381">
        <f>AB234/T234</f>
      </c>
      <c r="AE234" s="383">
        <f>(W234-AC234)/(F234+500)</f>
      </c>
      <c r="AF234" s="383" t="s">
        <v>1092</v>
      </c>
    </row>
    <row r="235">
      <c r="A235" s="371"/>
      <c r="B235" s="372"/>
      <c r="C235" s="373"/>
      <c r="D235" s="374" t="s">
        <v>1069</v>
      </c>
      <c r="E235" s="384">
        <v>243.58</v>
      </c>
      <c r="F235" s="376"/>
      <c r="G235" s="377">
        <v>524</v>
      </c>
      <c r="H235" s="377">
        <v>27</v>
      </c>
      <c r="I235" s="378">
        <f t="shared" si="45"/>
      </c>
      <c r="J235" s="379">
        <f t="shared" si="84"/>
      </c>
      <c r="K235" s="377">
        <v>3</v>
      </c>
      <c r="L235" s="379">
        <f t="shared" si="7"/>
      </c>
      <c r="M235" s="377">
        <v>0</v>
      </c>
      <c r="N235" s="380">
        <f t="shared" si="26"/>
      </c>
      <c r="O235" s="377">
        <v>0</v>
      </c>
      <c r="P235" s="380">
        <f t="shared" si="64"/>
      </c>
      <c r="Q235" s="381"/>
      <c r="R235" s="377"/>
      <c r="S235" s="381"/>
      <c r="T235" s="377"/>
      <c r="U235" s="382"/>
      <c r="V235" s="383"/>
      <c r="W235" s="377"/>
      <c r="X235" s="383"/>
      <c r="Y235" s="381"/>
      <c r="Z235" s="383"/>
      <c r="AA235" s="383"/>
      <c r="AB235" s="377"/>
      <c r="AC235" s="377"/>
      <c r="AD235" s="381"/>
      <c r="AE235" s="383"/>
      <c r="AF235" s="383" t="s">
        <v>1070</v>
      </c>
    </row>
    <row r="236">
      <c r="A236" s="371"/>
      <c r="B236" s="372"/>
      <c r="C236" s="373"/>
      <c r="D236" s="374" t="s">
        <v>1071</v>
      </c>
      <c r="E236" s="377">
        <v>473.26</v>
      </c>
      <c r="F236" s="376"/>
      <c r="G236" s="377">
        <v>95</v>
      </c>
      <c r="H236" s="377">
        <v>5</v>
      </c>
      <c r="I236" s="378">
        <f t="shared" si="45"/>
      </c>
      <c r="J236" s="379">
        <f t="shared" si="84"/>
      </c>
      <c r="K236" s="377">
        <v>1</v>
      </c>
      <c r="L236" s="379">
        <f t="shared" si="7"/>
      </c>
      <c r="M236" s="377">
        <v>0</v>
      </c>
      <c r="N236" s="380">
        <f t="shared" si="26"/>
      </c>
      <c r="O236" s="377">
        <v>0</v>
      </c>
      <c r="P236" s="380">
        <f t="shared" si="64"/>
      </c>
      <c r="Q236" s="381"/>
      <c r="R236" s="377"/>
      <c r="S236" s="381"/>
      <c r="T236" s="377"/>
      <c r="U236" s="382"/>
      <c r="V236" s="383"/>
      <c r="W236" s="377"/>
      <c r="X236" s="383"/>
      <c r="Y236" s="381"/>
      <c r="Z236" s="383"/>
      <c r="AA236" s="383"/>
      <c r="AB236" s="377"/>
      <c r="AC236" s="377"/>
      <c r="AD236" s="381"/>
      <c r="AE236" s="383"/>
      <c r="AF236" s="383"/>
    </row>
    <row r="237">
      <c r="A237" s="371"/>
      <c r="B237" s="385" t="s">
        <v>1078</v>
      </c>
      <c r="C237" s="373" t="s">
        <v>1090</v>
      </c>
      <c r="D237" s="374" t="s">
        <v>1067</v>
      </c>
      <c r="E237" s="375">
        <v>594.15</v>
      </c>
      <c r="F237" s="376">
        <f>E237+E238+E239</f>
      </c>
      <c r="G237" s="377">
        <v>4428</v>
      </c>
      <c r="H237" s="377">
        <v>59</v>
      </c>
      <c r="I237" s="378">
        <f t="shared" si="45"/>
      </c>
      <c r="J237" s="379">
        <f t="shared" si="84"/>
      </c>
      <c r="K237" s="377">
        <v>6</v>
      </c>
      <c r="L237" s="379">
        <f t="shared" si="7"/>
      </c>
      <c r="M237" s="377">
        <v>0</v>
      </c>
      <c r="N237" s="380">
        <f t="shared" si="26"/>
      </c>
      <c r="O237" s="377">
        <v>1</v>
      </c>
      <c r="P237" s="380">
        <f t="shared" si="64"/>
      </c>
      <c r="Q237" s="381">
        <f>(M237+M239+M238)/(O237+O239+O238)</f>
      </c>
      <c r="R237" s="377">
        <v>3</v>
      </c>
      <c r="S237" s="381">
        <f>(O237+O239)/(K237+K239)</f>
      </c>
      <c r="T237" s="377">
        <v>1</v>
      </c>
      <c r="U237" s="382">
        <f>F237/T237</f>
      </c>
      <c r="V237" s="383">
        <f>(F237+4*500)/T237</f>
      </c>
      <c r="W237" s="377">
        <v>468</v>
      </c>
      <c r="X237" s="383">
        <f>W237/T237</f>
      </c>
      <c r="Y237" s="381">
        <f>T237/R237</f>
      </c>
      <c r="Z237" s="383">
        <f>W237/F237</f>
      </c>
      <c r="AA237" s="383">
        <f>W237/(F237+500)</f>
      </c>
      <c r="AB237" s="377">
        <v>0</v>
      </c>
      <c r="AC237" s="377">
        <v>0</v>
      </c>
      <c r="AD237" s="381">
        <f>AB237/T237</f>
      </c>
      <c r="AE237" s="383">
        <f>(W237-AC237)/(F237+500)</f>
      </c>
      <c r="AF237" s="383" t="s">
        <v>1092</v>
      </c>
    </row>
    <row r="238">
      <c r="A238" s="371"/>
      <c r="B238" s="385"/>
      <c r="C238" s="373"/>
      <c r="D238" s="374" t="s">
        <v>1069</v>
      </c>
      <c r="E238" s="384">
        <v>436.22</v>
      </c>
      <c r="F238" s="376"/>
      <c r="G238" s="377">
        <v>801</v>
      </c>
      <c r="H238" s="377">
        <v>25</v>
      </c>
      <c r="I238" s="378">
        <f t="shared" si="45"/>
      </c>
      <c r="J238" s="379">
        <f t="shared" si="84"/>
      </c>
      <c r="K238" s="377">
        <v>2</v>
      </c>
      <c r="L238" s="379">
        <f t="shared" si="7"/>
      </c>
      <c r="M238" s="377">
        <v>0</v>
      </c>
      <c r="N238" s="380">
        <f t="shared" si="26"/>
      </c>
      <c r="O238" s="377">
        <v>0</v>
      </c>
      <c r="P238" s="380">
        <f t="shared" si="64"/>
      </c>
      <c r="Q238" s="381"/>
      <c r="R238" s="377"/>
      <c r="S238" s="381"/>
      <c r="T238" s="377"/>
      <c r="U238" s="382"/>
      <c r="V238" s="383"/>
      <c r="W238" s="377"/>
      <c r="X238" s="383"/>
      <c r="Y238" s="381"/>
      <c r="Z238" s="383"/>
      <c r="AA238" s="383"/>
      <c r="AB238" s="377"/>
      <c r="AC238" s="377"/>
      <c r="AD238" s="381"/>
      <c r="AE238" s="383"/>
      <c r="AF238" s="383" t="s">
        <v>1070</v>
      </c>
    </row>
    <row r="239">
      <c r="A239" s="371"/>
      <c r="B239" s="385"/>
      <c r="C239" s="373"/>
      <c r="D239" s="374" t="s">
        <v>1071</v>
      </c>
      <c r="E239" s="377">
        <v>215.04</v>
      </c>
      <c r="F239" s="376"/>
      <c r="G239" s="377">
        <v>104</v>
      </c>
      <c r="H239" s="377">
        <v>7</v>
      </c>
      <c r="I239" s="378">
        <f t="shared" si="45"/>
      </c>
      <c r="J239" s="379">
        <f t="shared" si="84"/>
      </c>
      <c r="K239" s="377">
        <v>1</v>
      </c>
      <c r="L239" s="379">
        <f t="shared" si="7"/>
      </c>
      <c r="M239" s="377">
        <v>1</v>
      </c>
      <c r="N239" s="380">
        <f t="shared" si="26"/>
      </c>
      <c r="O239" s="377">
        <v>2</v>
      </c>
      <c r="P239" s="380">
        <f t="shared" si="64"/>
      </c>
      <c r="Q239" s="381"/>
      <c r="R239" s="377"/>
      <c r="S239" s="381"/>
      <c r="T239" s="377"/>
      <c r="U239" s="382"/>
      <c r="V239" s="383"/>
      <c r="W239" s="377"/>
      <c r="X239" s="383"/>
      <c r="Y239" s="381"/>
      <c r="Z239" s="383"/>
      <c r="AA239" s="383"/>
      <c r="AB239" s="377"/>
      <c r="AC239" s="377"/>
      <c r="AD239" s="381"/>
      <c r="AE239" s="383"/>
      <c r="AF239" s="383"/>
    </row>
    <row r="240">
      <c r="A240" s="371"/>
      <c r="B240" s="372" t="s">
        <v>1079</v>
      </c>
      <c r="C240" s="373" t="s">
        <v>1090</v>
      </c>
      <c r="D240" s="374" t="s">
        <v>1067</v>
      </c>
      <c r="E240" s="375">
        <v>861.51</v>
      </c>
      <c r="F240" s="376">
        <f>E240+E241+E242</f>
      </c>
      <c r="G240" s="377">
        <v>7881</v>
      </c>
      <c r="H240" s="377">
        <v>77</v>
      </c>
      <c r="I240" s="378">
        <f t="shared" si="45"/>
      </c>
      <c r="J240" s="379">
        <f t="shared" si="84"/>
      </c>
      <c r="K240" s="377">
        <v>17</v>
      </c>
      <c r="L240" s="379">
        <f t="shared" si="7"/>
      </c>
      <c r="M240" s="377">
        <v>2</v>
      </c>
      <c r="N240" s="380">
        <f t="shared" si="26"/>
      </c>
      <c r="O240" s="377">
        <v>0</v>
      </c>
      <c r="P240" s="380">
        <f t="shared" si="64"/>
      </c>
      <c r="Q240" s="381">
        <f>(M240+M242+M241)/(O240+O242+O241)</f>
      </c>
      <c r="R240" s="377">
        <v>6</v>
      </c>
      <c r="S240" s="381">
        <f>(O240+O242)/(K240+K242)</f>
      </c>
      <c r="T240" s="377">
        <v>4</v>
      </c>
      <c r="U240" s="382">
        <f>F240/T240</f>
      </c>
      <c r="V240" s="383">
        <f>(F240+4*500)/T240</f>
      </c>
      <c r="W240" s="377">
        <v>6451.2</v>
      </c>
      <c r="X240" s="383">
        <f>W240/T240</f>
      </c>
      <c r="Y240" s="381">
        <f>T240/R240</f>
      </c>
      <c r="Z240" s="383">
        <f>W240/F240</f>
      </c>
      <c r="AA240" s="383">
        <f>W240/(F240+500)</f>
      </c>
      <c r="AB240" s="377">
        <v>0</v>
      </c>
      <c r="AC240" s="377">
        <v>0</v>
      </c>
      <c r="AD240" s="381">
        <f>AB240/T240</f>
      </c>
      <c r="AE240" s="383">
        <f>(W240-AC240)/(F240+500)</f>
      </c>
      <c r="AF240" s="383" t="s">
        <v>1092</v>
      </c>
    </row>
    <row r="241">
      <c r="A241" s="371"/>
      <c r="B241" s="372"/>
      <c r="C241" s="373"/>
      <c r="D241" s="374" t="s">
        <v>1069</v>
      </c>
      <c r="E241" s="384">
        <v>587.17</v>
      </c>
      <c r="F241" s="376"/>
      <c r="G241" s="377">
        <v>796</v>
      </c>
      <c r="H241" s="377">
        <v>32</v>
      </c>
      <c r="I241" s="378">
        <f t="shared" si="45"/>
      </c>
      <c r="J241" s="379">
        <f t="shared" si="84"/>
      </c>
      <c r="K241" s="377">
        <v>2</v>
      </c>
      <c r="L241" s="379">
        <f t="shared" si="7"/>
      </c>
      <c r="M241" s="377">
        <v>1</v>
      </c>
      <c r="N241" s="380">
        <f t="shared" si="26"/>
      </c>
      <c r="O241" s="377">
        <v>1</v>
      </c>
      <c r="P241" s="380">
        <f t="shared" si="64"/>
      </c>
      <c r="Q241" s="381"/>
      <c r="R241" s="377"/>
      <c r="S241" s="381"/>
      <c r="T241" s="377"/>
      <c r="U241" s="382"/>
      <c r="V241" s="383"/>
      <c r="W241" s="377"/>
      <c r="X241" s="383"/>
      <c r="Y241" s="381"/>
      <c r="Z241" s="383"/>
      <c r="AA241" s="383"/>
      <c r="AB241" s="377"/>
      <c r="AC241" s="377"/>
      <c r="AD241" s="381"/>
      <c r="AE241" s="383"/>
      <c r="AF241" s="383" t="s">
        <v>1070</v>
      </c>
    </row>
    <row r="242">
      <c r="A242" s="371"/>
      <c r="B242" s="372"/>
      <c r="C242" s="373"/>
      <c r="D242" s="374" t="s">
        <v>1071</v>
      </c>
      <c r="E242" s="377">
        <v>210.87</v>
      </c>
      <c r="F242" s="376"/>
      <c r="G242" s="377">
        <v>74</v>
      </c>
      <c r="H242" s="377">
        <v>3</v>
      </c>
      <c r="I242" s="378">
        <f t="shared" si="45"/>
      </c>
      <c r="J242" s="379">
        <f t="shared" si="84"/>
      </c>
      <c r="K242" s="377">
        <v>0</v>
      </c>
      <c r="L242" s="379">
        <f t="shared" si="7"/>
      </c>
      <c r="M242" s="377">
        <v>0</v>
      </c>
      <c r="N242" s="380">
        <f t="shared" si="26"/>
      </c>
      <c r="O242" s="377">
        <v>0</v>
      </c>
      <c r="P242" s="380">
        <f t="shared" si="64"/>
      </c>
      <c r="Q242" s="381"/>
      <c r="R242" s="377"/>
      <c r="S242" s="381"/>
      <c r="T242" s="377"/>
      <c r="U242" s="382"/>
      <c r="V242" s="383"/>
      <c r="W242" s="377"/>
      <c r="X242" s="383"/>
      <c r="Y242" s="381"/>
      <c r="Z242" s="383"/>
      <c r="AA242" s="383"/>
      <c r="AB242" s="377"/>
      <c r="AC242" s="377"/>
      <c r="AD242" s="381"/>
      <c r="AE242" s="383"/>
      <c r="AF242" s="383"/>
    </row>
    <row r="243">
      <c r="A243" s="371"/>
      <c r="B243" s="372" t="s">
        <v>1080</v>
      </c>
      <c r="C243" s="373" t="s">
        <v>1066</v>
      </c>
      <c r="D243" s="374" t="s">
        <v>1067</v>
      </c>
      <c r="E243" s="375">
        <v>805.44</v>
      </c>
      <c r="F243" s="376">
        <f>E243+E244+E245</f>
      </c>
      <c r="G243" s="377">
        <v>6753</v>
      </c>
      <c r="H243" s="377">
        <v>99</v>
      </c>
      <c r="I243" s="378">
        <f t="shared" si="45"/>
      </c>
      <c r="J243" s="379">
        <f t="shared" si="84"/>
      </c>
      <c r="K243" s="377">
        <v>15</v>
      </c>
      <c r="L243" s="379">
        <f t="shared" si="7"/>
      </c>
      <c r="M243" s="377">
        <v>1</v>
      </c>
      <c r="N243" s="380">
        <f t="shared" si="26"/>
      </c>
      <c r="O243" s="377">
        <v>2</v>
      </c>
      <c r="P243" s="380">
        <f t="shared" si="64"/>
      </c>
      <c r="Q243" s="381">
        <f>(M243+M245+M244)/(O243+O245+O244)</f>
      </c>
      <c r="R243" s="377">
        <v>5</v>
      </c>
      <c r="S243" s="381">
        <f>(O243+O245)/(K243+K245)</f>
      </c>
      <c r="T243" s="377">
        <v>3</v>
      </c>
      <c r="U243" s="382">
        <f>F243/T243</f>
      </c>
      <c r="V243" s="383">
        <f>(F243+4*500)/T243</f>
      </c>
      <c r="W243" s="377">
        <v>1686</v>
      </c>
      <c r="X243" s="383">
        <f>W243/T243</f>
      </c>
      <c r="Y243" s="381">
        <f>T243/R243</f>
      </c>
      <c r="Z243" s="383">
        <f>W243/F243</f>
      </c>
      <c r="AA243" s="383">
        <f>W243/(F243+500)</f>
      </c>
      <c r="AB243" s="377">
        <v>3</v>
      </c>
      <c r="AC243" s="377">
        <v>1685.9999999999998</v>
      </c>
      <c r="AD243" s="381">
        <f>AB243/T243</f>
      </c>
      <c r="AE243" s="383">
        <f>(W243-AC243)/(F243+500)</f>
      </c>
      <c r="AF243" s="383" t="s">
        <v>1092</v>
      </c>
    </row>
    <row r="244">
      <c r="A244" s="371"/>
      <c r="B244" s="372"/>
      <c r="C244" s="373"/>
      <c r="D244" s="374" t="s">
        <v>1069</v>
      </c>
      <c r="E244" s="384">
        <v>329.89</v>
      </c>
      <c r="F244" s="376"/>
      <c r="G244" s="377">
        <v>933</v>
      </c>
      <c r="H244" s="377">
        <v>29</v>
      </c>
      <c r="I244" s="378">
        <f t="shared" si="45"/>
      </c>
      <c r="J244" s="379">
        <f t="shared" si="84"/>
      </c>
      <c r="K244" s="377">
        <v>1</v>
      </c>
      <c r="L244" s="379">
        <f t="shared" si="7"/>
      </c>
      <c r="M244" s="377">
        <v>0</v>
      </c>
      <c r="N244" s="380">
        <f t="shared" si="26"/>
      </c>
      <c r="O244" s="377">
        <v>0</v>
      </c>
      <c r="P244" s="380">
        <f t="shared" si="64"/>
      </c>
      <c r="Q244" s="381"/>
      <c r="R244" s="377"/>
      <c r="S244" s="381"/>
      <c r="T244" s="377"/>
      <c r="U244" s="382"/>
      <c r="V244" s="383"/>
      <c r="W244" s="377"/>
      <c r="X244" s="383"/>
      <c r="Y244" s="381"/>
      <c r="Z244" s="383"/>
      <c r="AA244" s="383"/>
      <c r="AB244" s="377"/>
      <c r="AC244" s="377"/>
      <c r="AD244" s="381"/>
      <c r="AE244" s="383"/>
      <c r="AF244" s="383" t="s">
        <v>1070</v>
      </c>
    </row>
    <row r="245">
      <c r="A245" s="371"/>
      <c r="B245" s="372"/>
      <c r="C245" s="373"/>
      <c r="D245" s="374" t="s">
        <v>1071</v>
      </c>
      <c r="E245" s="377">
        <v>132.97</v>
      </c>
      <c r="F245" s="376"/>
      <c r="G245" s="377">
        <v>141</v>
      </c>
      <c r="H245" s="377">
        <v>9</v>
      </c>
      <c r="I245" s="378">
        <f t="shared" si="45"/>
      </c>
      <c r="J245" s="379">
        <f t="shared" si="84"/>
      </c>
      <c r="K245" s="377">
        <v>3</v>
      </c>
      <c r="L245" s="379">
        <f t="shared" si="7"/>
      </c>
      <c r="M245" s="377">
        <v>2</v>
      </c>
      <c r="N245" s="380">
        <f t="shared" si="26"/>
      </c>
      <c r="O245" s="377">
        <v>3</v>
      </c>
      <c r="P245" s="380">
        <f t="shared" si="64"/>
      </c>
      <c r="Q245" s="381"/>
      <c r="R245" s="377"/>
      <c r="S245" s="381"/>
      <c r="T245" s="377"/>
      <c r="U245" s="382"/>
      <c r="V245" s="383"/>
      <c r="W245" s="377"/>
      <c r="X245" s="383"/>
      <c r="Y245" s="381"/>
      <c r="Z245" s="383"/>
      <c r="AA245" s="383"/>
      <c r="AB245" s="377"/>
      <c r="AC245" s="377"/>
      <c r="AD245" s="381"/>
      <c r="AE245" s="383"/>
      <c r="AF245" s="383"/>
    </row>
    <row r="246">
      <c r="A246" s="371"/>
      <c r="B246" s="372" t="s">
        <v>1082</v>
      </c>
      <c r="C246" s="373" t="s">
        <v>1066</v>
      </c>
      <c r="D246" s="374" t="s">
        <v>1067</v>
      </c>
      <c r="E246" s="375">
        <v>813.87</v>
      </c>
      <c r="F246" s="376">
        <f>E246+E247+E248</f>
      </c>
      <c r="G246" s="377">
        <v>5304</v>
      </c>
      <c r="H246" s="377">
        <v>85</v>
      </c>
      <c r="I246" s="378">
        <f t="shared" si="45"/>
      </c>
      <c r="J246" s="379">
        <f t="shared" si="84"/>
      </c>
      <c r="K246" s="377">
        <v>12</v>
      </c>
      <c r="L246" s="379">
        <f t="shared" si="7"/>
      </c>
      <c r="M246" s="377">
        <v>0</v>
      </c>
      <c r="N246" s="380">
        <f t="shared" si="26"/>
      </c>
      <c r="O246" s="377">
        <v>0</v>
      </c>
      <c r="P246" s="380">
        <f t="shared" si="64"/>
      </c>
      <c r="Q246" s="381">
        <f>(M246+M248+M247)/(O246+O248+O247)</f>
      </c>
      <c r="R246" s="377">
        <v>3</v>
      </c>
      <c r="S246" s="381">
        <f>(O246+O248)/(K246+K248)</f>
      </c>
      <c r="T246" s="377">
        <v>1</v>
      </c>
      <c r="U246" s="382">
        <f>F246/T246</f>
      </c>
      <c r="V246" s="383">
        <f>(F246+4*500)/T246</f>
      </c>
      <c r="W246" s="377">
        <v>1752</v>
      </c>
      <c r="X246" s="383">
        <f>W246/T246</f>
      </c>
      <c r="Y246" s="381">
        <f>T246/R246</f>
      </c>
      <c r="Z246" s="383">
        <f>W246/F246</f>
      </c>
      <c r="AA246" s="383">
        <f>W246/(F246+500)</f>
      </c>
      <c r="AB246" s="377">
        <v>0</v>
      </c>
      <c r="AC246" s="377">
        <v>0</v>
      </c>
      <c r="AD246" s="381">
        <f>AB246/T246</f>
      </c>
      <c r="AE246" s="383">
        <f>(W246-AC246)/(F246+500)</f>
      </c>
      <c r="AF246" s="383" t="s">
        <v>1092</v>
      </c>
    </row>
    <row r="247">
      <c r="A247" s="371"/>
      <c r="B247" s="372"/>
      <c r="C247" s="373"/>
      <c r="D247" s="374" t="s">
        <v>1069</v>
      </c>
      <c r="E247" s="384">
        <v>738.27</v>
      </c>
      <c r="F247" s="376"/>
      <c r="G247" s="377">
        <v>1094</v>
      </c>
      <c r="H247" s="377">
        <v>47</v>
      </c>
      <c r="I247" s="378">
        <f t="shared" si="45"/>
      </c>
      <c r="J247" s="379">
        <f t="shared" si="84"/>
      </c>
      <c r="K247" s="377">
        <v>9</v>
      </c>
      <c r="L247" s="379">
        <f t="shared" si="7"/>
      </c>
      <c r="M247" s="377">
        <v>1</v>
      </c>
      <c r="N247" s="380">
        <f t="shared" si="26"/>
      </c>
      <c r="O247" s="377">
        <v>1</v>
      </c>
      <c r="P247" s="380">
        <f t="shared" si="64"/>
      </c>
      <c r="Q247" s="381"/>
      <c r="R247" s="377"/>
      <c r="S247" s="381"/>
      <c r="T247" s="377"/>
      <c r="U247" s="382"/>
      <c r="V247" s="383"/>
      <c r="W247" s="377"/>
      <c r="X247" s="383"/>
      <c r="Y247" s="381"/>
      <c r="Z247" s="383"/>
      <c r="AA247" s="383"/>
      <c r="AB247" s="377"/>
      <c r="AC247" s="377"/>
      <c r="AD247" s="381"/>
      <c r="AE247" s="383"/>
      <c r="AF247" s="383" t="s">
        <v>1070</v>
      </c>
    </row>
    <row r="248">
      <c r="A248" s="371"/>
      <c r="B248" s="372"/>
      <c r="C248" s="373"/>
      <c r="D248" s="374" t="s">
        <v>1071</v>
      </c>
      <c r="E248" s="377">
        <v>410.38</v>
      </c>
      <c r="F248" s="376"/>
      <c r="G248" s="377">
        <v>180</v>
      </c>
      <c r="H248" s="377">
        <v>8</v>
      </c>
      <c r="I248" s="378">
        <f t="shared" si="45"/>
      </c>
      <c r="J248" s="379">
        <f t="shared" si="84"/>
      </c>
      <c r="K248" s="377">
        <v>1</v>
      </c>
      <c r="L248" s="379">
        <f t="shared" si="7"/>
      </c>
      <c r="M248" s="377">
        <v>0</v>
      </c>
      <c r="N248" s="380">
        <f t="shared" si="26"/>
      </c>
      <c r="O248" s="377">
        <v>0</v>
      </c>
      <c r="P248" s="380">
        <f t="shared" si="64"/>
      </c>
      <c r="Q248" s="381"/>
      <c r="R248" s="377"/>
      <c r="S248" s="381"/>
      <c r="T248" s="377"/>
      <c r="U248" s="382"/>
      <c r="V248" s="383"/>
      <c r="W248" s="377"/>
      <c r="X248" s="383"/>
      <c r="Y248" s="381"/>
      <c r="Z248" s="383"/>
      <c r="AA248" s="383"/>
      <c r="AB248" s="377"/>
      <c r="AC248" s="377"/>
      <c r="AD248" s="381"/>
      <c r="AE248" s="383"/>
      <c r="AF248" s="383"/>
    </row>
    <row customHeight="true" ht="20.238095238095237" r="249">
      <c r="A249" s="371"/>
      <c r="B249" s="372"/>
      <c r="C249" s="373"/>
      <c r="D249" s="374"/>
      <c r="E249" s="377">
        <f>SUM(E219:E248)</f>
      </c>
      <c r="F249" s="377">
        <f>SUM(F219:F248)</f>
      </c>
      <c r="G249" s="377"/>
      <c r="H249" s="377"/>
      <c r="I249" s="378"/>
      <c r="J249" s="379"/>
      <c r="K249" s="377"/>
      <c r="L249" s="379"/>
      <c r="M249" s="377"/>
      <c r="N249" s="380"/>
      <c r="O249" s="377"/>
      <c r="P249" s="380"/>
      <c r="Q249" s="381"/>
      <c r="R249" s="377"/>
      <c r="S249" s="381"/>
      <c r="T249" s="377">
        <f>SUM(T219:T248)</f>
      </c>
      <c r="U249" s="382"/>
      <c r="V249" s="383"/>
      <c r="W249" s="377">
        <f>SUM(W219:W248)</f>
      </c>
      <c r="X249" s="383"/>
      <c r="Y249" s="381"/>
      <c r="Z249" s="383"/>
      <c r="AA249" s="383"/>
      <c r="AB249" s="377"/>
      <c r="AC249" s="377"/>
      <c r="AD249" s="381"/>
      <c r="AE249" s="383"/>
      <c r="AF249" s="383"/>
    </row>
    <row r="250">
      <c r="A250" s="371" t="s">
        <v>1094</v>
      </c>
      <c r="B250" s="372" t="s">
        <v>1065</v>
      </c>
      <c r="C250" s="373" t="s">
        <v>1066</v>
      </c>
      <c r="D250" s="374" t="s">
        <v>1067</v>
      </c>
      <c r="E250" s="375">
        <v>768.63</v>
      </c>
      <c r="F250" s="376">
        <f>E250+E251+E252</f>
      </c>
      <c r="G250" s="377">
        <v>5640</v>
      </c>
      <c r="H250" s="377">
        <v>252</v>
      </c>
      <c r="I250" s="378">
        <f t="shared" ref="I250:I279" si="46">H250/G250</f>
      </c>
      <c r="J250" s="379">
        <f t="shared" ref="J250:J279" si="85">(E250/G250)*1000</f>
      </c>
      <c r="K250" s="377">
        <v>16</v>
      </c>
      <c r="L250" s="379">
        <f t="shared" ref="L250:L279" si="8">E250/K250</f>
      </c>
      <c r="M250" s="377">
        <v>0</v>
      </c>
      <c r="N250" s="380">
        <f t="shared" ref="N250:N279" si="27">E250/M250</f>
      </c>
      <c r="O250" s="377">
        <v>0</v>
      </c>
      <c r="P250" s="380">
        <f t="shared" ref="P250:P279" si="65">E250/O250</f>
      </c>
      <c r="Q250" s="381">
        <f>(M250+M252+M251)/(O250+O252+O251)</f>
      </c>
      <c r="R250" s="377">
        <v>2</v>
      </c>
      <c r="S250" s="381">
        <f>(O250+O252)/(K250+K252)</f>
      </c>
      <c r="T250" s="377">
        <v>0</v>
      </c>
      <c r="U250" s="382">
        <f>F250/T250</f>
      </c>
      <c r="V250" s="383">
        <f>(F250+4*500)/T250</f>
      </c>
      <c r="W250" s="377">
        <v>0</v>
      </c>
      <c r="X250" s="383">
        <f>W250/T250</f>
      </c>
      <c r="Y250" s="381">
        <f>T250/R250</f>
      </c>
      <c r="Z250" s="383">
        <f>W250/F250</f>
      </c>
      <c r="AA250" s="383">
        <f>W250/(F250+500)</f>
      </c>
      <c r="AB250" s="377">
        <v>0</v>
      </c>
      <c r="AC250" s="377">
        <v>0</v>
      </c>
      <c r="AD250" s="381">
        <f>AB250/T250</f>
      </c>
      <c r="AE250" s="383">
        <f>(W250-AC250)/(F250+500)</f>
      </c>
      <c r="AF250" s="383" t="s">
        <v>1092</v>
      </c>
    </row>
    <row r="251">
      <c r="A251" s="371"/>
      <c r="B251" s="372"/>
      <c r="C251" s="373"/>
      <c r="D251" s="374" t="s">
        <v>1069</v>
      </c>
      <c r="E251" s="384">
        <v>100.09</v>
      </c>
      <c r="F251" s="376"/>
      <c r="G251" s="377">
        <v>1356</v>
      </c>
      <c r="H251" s="377">
        <v>107</v>
      </c>
      <c r="I251" s="378">
        <f t="shared" si="46"/>
      </c>
      <c r="J251" s="379">
        <f t="shared" si="85"/>
      </c>
      <c r="K251" s="377">
        <v>2</v>
      </c>
      <c r="L251" s="379">
        <f t="shared" si="8"/>
      </c>
      <c r="M251" s="377">
        <v>0</v>
      </c>
      <c r="N251" s="380">
        <f t="shared" si="27"/>
      </c>
      <c r="O251" s="377">
        <v>1</v>
      </c>
      <c r="P251" s="380">
        <f t="shared" si="65"/>
      </c>
      <c r="Q251" s="381"/>
      <c r="R251" s="377"/>
      <c r="S251" s="381"/>
      <c r="T251" s="377"/>
      <c r="U251" s="382"/>
      <c r="V251" s="383"/>
      <c r="W251" s="377"/>
      <c r="X251" s="383"/>
      <c r="Y251" s="381"/>
      <c r="Z251" s="383"/>
      <c r="AA251" s="383"/>
      <c r="AB251" s="377"/>
      <c r="AC251" s="377"/>
      <c r="AD251" s="381"/>
      <c r="AE251" s="383"/>
      <c r="AF251" s="383" t="s">
        <v>1070</v>
      </c>
    </row>
    <row r="252">
      <c r="A252" s="371"/>
      <c r="B252" s="372"/>
      <c r="C252" s="373"/>
      <c r="D252" s="374" t="s">
        <v>1071</v>
      </c>
      <c r="E252" s="377">
        <v>10.15</v>
      </c>
      <c r="F252" s="376"/>
      <c r="G252" s="377">
        <v>57</v>
      </c>
      <c r="H252" s="377">
        <v>3</v>
      </c>
      <c r="I252" s="378">
        <f t="shared" si="46"/>
      </c>
      <c r="J252" s="379">
        <f t="shared" si="85"/>
      </c>
      <c r="K252" s="377">
        <v>0</v>
      </c>
      <c r="L252" s="379">
        <f t="shared" si="8"/>
      </c>
      <c r="M252" s="377">
        <v>0</v>
      </c>
      <c r="N252" s="380">
        <f t="shared" si="27"/>
      </c>
      <c r="O252" s="377">
        <v>0</v>
      </c>
      <c r="P252" s="380">
        <f t="shared" si="65"/>
      </c>
      <c r="Q252" s="381"/>
      <c r="R252" s="377"/>
      <c r="S252" s="381"/>
      <c r="T252" s="377"/>
      <c r="U252" s="382"/>
      <c r="V252" s="383"/>
      <c r="W252" s="377"/>
      <c r="X252" s="383"/>
      <c r="Y252" s="381"/>
      <c r="Z252" s="383"/>
      <c r="AA252" s="383"/>
      <c r="AB252" s="377"/>
      <c r="AC252" s="377"/>
      <c r="AD252" s="381"/>
      <c r="AE252" s="383"/>
      <c r="AF252" s="383"/>
    </row>
    <row r="253">
      <c r="A253" s="371"/>
      <c r="B253" s="372" t="s">
        <v>1072</v>
      </c>
      <c r="C253" s="373" t="s">
        <v>1066</v>
      </c>
      <c r="D253" s="374" t="s">
        <v>1067</v>
      </c>
      <c r="E253" s="375">
        <v>712.92</v>
      </c>
      <c r="F253" s="376">
        <f>E253+E254+E255</f>
      </c>
      <c r="G253" s="377">
        <v>5702</v>
      </c>
      <c r="H253" s="377">
        <v>182</v>
      </c>
      <c r="I253" s="378">
        <f t="shared" si="46"/>
      </c>
      <c r="J253" s="379">
        <f t="shared" si="85"/>
      </c>
      <c r="K253" s="377">
        <v>15</v>
      </c>
      <c r="L253" s="379">
        <f t="shared" si="8"/>
      </c>
      <c r="M253" s="377">
        <v>0</v>
      </c>
      <c r="N253" s="380">
        <f t="shared" si="27"/>
      </c>
      <c r="O253" s="377">
        <v>0</v>
      </c>
      <c r="P253" s="380">
        <f t="shared" si="65"/>
      </c>
      <c r="Q253" s="381">
        <f>(M253+M255+M254)/(O253+O255+O254)</f>
      </c>
      <c r="R253" s="377">
        <v>3</v>
      </c>
      <c r="S253" s="381">
        <f>(O253+O255)/(K253+K255)</f>
      </c>
      <c r="T253" s="377">
        <v>1</v>
      </c>
      <c r="U253" s="382">
        <f>F253/T253</f>
      </c>
      <c r="V253" s="383">
        <f>(F253+4*500)/T253</f>
      </c>
      <c r="W253" s="377">
        <v>2467.2</v>
      </c>
      <c r="X253" s="383">
        <f>W253/T253</f>
      </c>
      <c r="Y253" s="381">
        <f>T253/R253</f>
      </c>
      <c r="Z253" s="383">
        <f>W253/F253</f>
      </c>
      <c r="AA253" s="383">
        <f>W253/(F253+500)</f>
      </c>
      <c r="AB253" s="377">
        <v>0</v>
      </c>
      <c r="AC253" s="377">
        <v>0</v>
      </c>
      <c r="AD253" s="381">
        <f>AB253/T253</f>
      </c>
      <c r="AE253" s="383">
        <f>(W253-AC253)/(F253+500)</f>
      </c>
      <c r="AF253" s="383" t="s">
        <v>1092</v>
      </c>
    </row>
    <row r="254">
      <c r="A254" s="371"/>
      <c r="B254" s="372"/>
      <c r="C254" s="373"/>
      <c r="D254" s="374" t="s">
        <v>1069</v>
      </c>
      <c r="E254" s="384">
        <v>82.58</v>
      </c>
      <c r="F254" s="376"/>
      <c r="G254" s="377">
        <v>1004</v>
      </c>
      <c r="H254" s="377">
        <v>60</v>
      </c>
      <c r="I254" s="378">
        <f t="shared" si="46"/>
      </c>
      <c r="J254" s="379">
        <f t="shared" si="85"/>
      </c>
      <c r="K254" s="377">
        <v>1</v>
      </c>
      <c r="L254" s="379">
        <f t="shared" si="8"/>
      </c>
      <c r="M254" s="377">
        <v>0</v>
      </c>
      <c r="N254" s="380">
        <f t="shared" si="27"/>
      </c>
      <c r="O254" s="377">
        <v>0</v>
      </c>
      <c r="P254" s="380">
        <f t="shared" si="65"/>
      </c>
      <c r="Q254" s="381"/>
      <c r="R254" s="377"/>
      <c r="S254" s="381"/>
      <c r="T254" s="377"/>
      <c r="U254" s="382"/>
      <c r="V254" s="383"/>
      <c r="W254" s="377"/>
      <c r="X254" s="383"/>
      <c r="Y254" s="381"/>
      <c r="Z254" s="383"/>
      <c r="AA254" s="383"/>
      <c r="AB254" s="377"/>
      <c r="AC254" s="377"/>
      <c r="AD254" s="381"/>
      <c r="AE254" s="383"/>
      <c r="AF254" s="383" t="s">
        <v>1070</v>
      </c>
    </row>
    <row r="255">
      <c r="A255" s="371"/>
      <c r="B255" s="372"/>
      <c r="C255" s="373"/>
      <c r="D255" s="374" t="s">
        <v>1071</v>
      </c>
      <c r="E255" s="377">
        <v>266.61</v>
      </c>
      <c r="F255" s="376"/>
      <c r="G255" s="377">
        <v>199</v>
      </c>
      <c r="H255" s="377">
        <v>11</v>
      </c>
      <c r="I255" s="378">
        <f t="shared" si="46"/>
      </c>
      <c r="J255" s="379">
        <f t="shared" si="85"/>
      </c>
      <c r="K255" s="377">
        <v>2</v>
      </c>
      <c r="L255" s="379">
        <f t="shared" si="8"/>
      </c>
      <c r="M255" s="377">
        <v>1</v>
      </c>
      <c r="N255" s="380">
        <f t="shared" si="27"/>
      </c>
      <c r="O255" s="377">
        <v>1</v>
      </c>
      <c r="P255" s="380">
        <f t="shared" si="65"/>
      </c>
      <c r="Q255" s="381"/>
      <c r="R255" s="377"/>
      <c r="S255" s="381"/>
      <c r="T255" s="377"/>
      <c r="U255" s="382"/>
      <c r="V255" s="383"/>
      <c r="W255" s="377"/>
      <c r="X255" s="383"/>
      <c r="Y255" s="381"/>
      <c r="Z255" s="383"/>
      <c r="AA255" s="383"/>
      <c r="AB255" s="377"/>
      <c r="AC255" s="377"/>
      <c r="AD255" s="381"/>
      <c r="AE255" s="383"/>
      <c r="AF255" s="383"/>
    </row>
    <row r="256">
      <c r="A256" s="371"/>
      <c r="B256" s="372" t="s">
        <v>1073</v>
      </c>
      <c r="C256" s="373" t="s">
        <v>1066</v>
      </c>
      <c r="D256" s="374" t="s">
        <v>1067</v>
      </c>
      <c r="E256" s="375">
        <v>452.9</v>
      </c>
      <c r="F256" s="376">
        <f>E256+E257+E258</f>
      </c>
      <c r="G256" s="377">
        <v>3963</v>
      </c>
      <c r="H256" s="377">
        <v>185</v>
      </c>
      <c r="I256" s="378">
        <f t="shared" si="46"/>
      </c>
      <c r="J256" s="379">
        <f t="shared" si="85"/>
      </c>
      <c r="K256" s="377">
        <v>11</v>
      </c>
      <c r="L256" s="379">
        <f t="shared" si="8"/>
      </c>
      <c r="M256" s="377">
        <v>0</v>
      </c>
      <c r="N256" s="380">
        <f t="shared" si="27"/>
      </c>
      <c r="O256" s="377">
        <v>1</v>
      </c>
      <c r="P256" s="380">
        <f t="shared" si="65"/>
      </c>
      <c r="Q256" s="381">
        <f>(M256+M258+M257)/(O256+O258+O257)</f>
      </c>
      <c r="R256" s="377">
        <v>6</v>
      </c>
      <c r="S256" s="381">
        <f>(O256+O258)/(K256+K258)</f>
      </c>
      <c r="T256" s="377">
        <v>3</v>
      </c>
      <c r="U256" s="382">
        <f>F256/T256</f>
      </c>
      <c r="V256" s="383">
        <f>(F256+4*500)/T256</f>
      </c>
      <c r="W256" s="377">
        <v>3067.2</v>
      </c>
      <c r="X256" s="383">
        <f>W256/T256</f>
      </c>
      <c r="Y256" s="381">
        <f>T256/R256</f>
      </c>
      <c r="Z256" s="383">
        <f>W256/F256</f>
      </c>
      <c r="AA256" s="383">
        <f>W256/(F256+500)</f>
      </c>
      <c r="AB256" s="377">
        <v>1</v>
      </c>
      <c r="AC256" s="377">
        <v>2071.2</v>
      </c>
      <c r="AD256" s="381">
        <f>AB256/T256</f>
      </c>
      <c r="AE256" s="383">
        <f>(W256-AC256)/(F256+500)</f>
      </c>
      <c r="AF256" s="383" t="s">
        <v>1092</v>
      </c>
    </row>
    <row r="257">
      <c r="A257" s="371"/>
      <c r="B257" s="372"/>
      <c r="C257" s="373"/>
      <c r="D257" s="374" t="s">
        <v>1069</v>
      </c>
      <c r="E257" s="384">
        <v>165.39</v>
      </c>
      <c r="F257" s="376"/>
      <c r="G257" s="377">
        <v>897</v>
      </c>
      <c r="H257" s="377">
        <v>41</v>
      </c>
      <c r="I257" s="378">
        <f t="shared" si="46"/>
      </c>
      <c r="J257" s="379">
        <f t="shared" si="85"/>
      </c>
      <c r="K257" s="377">
        <v>2</v>
      </c>
      <c r="L257" s="379">
        <f t="shared" si="8"/>
      </c>
      <c r="M257" s="377">
        <v>1</v>
      </c>
      <c r="N257" s="380">
        <f t="shared" si="27"/>
      </c>
      <c r="O257" s="377">
        <v>1</v>
      </c>
      <c r="P257" s="380">
        <f t="shared" si="65"/>
      </c>
      <c r="Q257" s="381"/>
      <c r="R257" s="377"/>
      <c r="S257" s="381"/>
      <c r="T257" s="377"/>
      <c r="U257" s="382"/>
      <c r="V257" s="383"/>
      <c r="W257" s="377"/>
      <c r="X257" s="383"/>
      <c r="Y257" s="381"/>
      <c r="Z257" s="383"/>
      <c r="AA257" s="383"/>
      <c r="AB257" s="377"/>
      <c r="AC257" s="377"/>
      <c r="AD257" s="381"/>
      <c r="AE257" s="383"/>
      <c r="AF257" s="383" t="s">
        <v>1070</v>
      </c>
    </row>
    <row r="258">
      <c r="A258" s="371"/>
      <c r="B258" s="372"/>
      <c r="C258" s="373"/>
      <c r="D258" s="374" t="s">
        <v>1071</v>
      </c>
      <c r="E258" s="377">
        <v>728.85</v>
      </c>
      <c r="F258" s="376"/>
      <c r="G258" s="377">
        <v>490</v>
      </c>
      <c r="H258" s="377">
        <v>16</v>
      </c>
      <c r="I258" s="378">
        <f t="shared" si="46"/>
      </c>
      <c r="J258" s="379">
        <f t="shared" si="85"/>
      </c>
      <c r="K258" s="377">
        <v>5</v>
      </c>
      <c r="L258" s="379">
        <f t="shared" si="8"/>
      </c>
      <c r="M258" s="377">
        <v>1</v>
      </c>
      <c r="N258" s="380">
        <f t="shared" si="27"/>
      </c>
      <c r="O258" s="377">
        <v>2</v>
      </c>
      <c r="P258" s="380">
        <f t="shared" si="65"/>
      </c>
      <c r="Q258" s="381"/>
      <c r="R258" s="377"/>
      <c r="S258" s="381"/>
      <c r="T258" s="377"/>
      <c r="U258" s="382"/>
      <c r="V258" s="383"/>
      <c r="W258" s="377"/>
      <c r="X258" s="383"/>
      <c r="Y258" s="381"/>
      <c r="Z258" s="383"/>
      <c r="AA258" s="383"/>
      <c r="AB258" s="377"/>
      <c r="AC258" s="377"/>
      <c r="AD258" s="381"/>
      <c r="AE258" s="383"/>
      <c r="AF258" s="383"/>
    </row>
    <row r="259">
      <c r="A259" s="371"/>
      <c r="B259" s="372" t="s">
        <v>1074</v>
      </c>
      <c r="C259" s="373" t="s">
        <v>1066</v>
      </c>
      <c r="D259" s="374" t="s">
        <v>1067</v>
      </c>
      <c r="E259" s="375">
        <v>497.08</v>
      </c>
      <c r="F259" s="376">
        <f>E259+E260+E261</f>
      </c>
      <c r="G259" s="377">
        <v>4073</v>
      </c>
      <c r="H259" s="377">
        <v>532</v>
      </c>
      <c r="I259" s="378">
        <f t="shared" si="46"/>
      </c>
      <c r="J259" s="379">
        <f t="shared" si="85"/>
      </c>
      <c r="K259" s="377">
        <v>6</v>
      </c>
      <c r="L259" s="379">
        <f t="shared" si="8"/>
      </c>
      <c r="M259" s="377">
        <v>0</v>
      </c>
      <c r="N259" s="380">
        <f t="shared" si="27"/>
      </c>
      <c r="O259" s="377">
        <v>0</v>
      </c>
      <c r="P259" s="380">
        <f t="shared" si="65"/>
      </c>
      <c r="Q259" s="381">
        <f>(M259+M261+M260)/(O259+O261+O260)</f>
      </c>
      <c r="R259" s="377">
        <v>16</v>
      </c>
      <c r="S259" s="381">
        <f>(O259+O261)/(K259+K261)</f>
      </c>
      <c r="T259" s="377">
        <v>2</v>
      </c>
      <c r="U259" s="382">
        <f>F259/T259</f>
      </c>
      <c r="V259" s="383">
        <f>(F259+4*500)/T259</f>
      </c>
      <c r="W259" s="377">
        <v>4142.4</v>
      </c>
      <c r="X259" s="383">
        <f>W259/T259</f>
      </c>
      <c r="Y259" s="381">
        <f>T259/R259</f>
      </c>
      <c r="Z259" s="383">
        <f>W259/F259</f>
      </c>
      <c r="AA259" s="383">
        <f>W259/(F259+500)</f>
      </c>
      <c r="AB259" s="377">
        <v>0</v>
      </c>
      <c r="AC259" s="377">
        <v>0</v>
      </c>
      <c r="AD259" s="381">
        <f>AB259/T259</f>
      </c>
      <c r="AE259" s="383">
        <f>(W259-AC259)/(F259+500)</f>
      </c>
      <c r="AF259" s="383" t="s">
        <v>1092</v>
      </c>
    </row>
    <row r="260">
      <c r="A260" s="371"/>
      <c r="B260" s="372"/>
      <c r="C260" s="373"/>
      <c r="D260" s="374" t="s">
        <v>1069</v>
      </c>
      <c r="E260" s="384">
        <v>754.56</v>
      </c>
      <c r="F260" s="376"/>
      <c r="G260" s="377">
        <v>1220</v>
      </c>
      <c r="H260" s="377">
        <v>64</v>
      </c>
      <c r="I260" s="378">
        <f t="shared" si="46"/>
      </c>
      <c r="J260" s="379">
        <f t="shared" si="85"/>
      </c>
      <c r="K260" s="377">
        <v>11</v>
      </c>
      <c r="L260" s="379">
        <f t="shared" si="8"/>
      </c>
      <c r="M260" s="377">
        <v>1</v>
      </c>
      <c r="N260" s="380">
        <f t="shared" si="27"/>
      </c>
      <c r="O260" s="377">
        <v>3</v>
      </c>
      <c r="P260" s="380">
        <f t="shared" si="65"/>
      </c>
      <c r="Q260" s="381"/>
      <c r="R260" s="377"/>
      <c r="S260" s="381"/>
      <c r="T260" s="377"/>
      <c r="U260" s="382"/>
      <c r="V260" s="383"/>
      <c r="W260" s="377"/>
      <c r="X260" s="383"/>
      <c r="Y260" s="381"/>
      <c r="Z260" s="383"/>
      <c r="AA260" s="383"/>
      <c r="AB260" s="377"/>
      <c r="AC260" s="377"/>
      <c r="AD260" s="381"/>
      <c r="AE260" s="383"/>
      <c r="AF260" s="383" t="s">
        <v>1070</v>
      </c>
    </row>
    <row r="261">
      <c r="A261" s="371"/>
      <c r="B261" s="372"/>
      <c r="C261" s="373"/>
      <c r="D261" s="374" t="s">
        <v>1071</v>
      </c>
      <c r="E261" s="377">
        <v>1139.08</v>
      </c>
      <c r="F261" s="376"/>
      <c r="G261" s="377">
        <v>471</v>
      </c>
      <c r="H261" s="377">
        <v>17</v>
      </c>
      <c r="I261" s="378">
        <f t="shared" si="46"/>
      </c>
      <c r="J261" s="379">
        <f t="shared" si="85"/>
      </c>
      <c r="K261" s="377">
        <v>8</v>
      </c>
      <c r="L261" s="379">
        <f t="shared" si="8"/>
      </c>
      <c r="M261" s="377">
        <v>1</v>
      </c>
      <c r="N261" s="380">
        <f t="shared" si="27"/>
      </c>
      <c r="O261" s="377">
        <v>1</v>
      </c>
      <c r="P261" s="380">
        <f t="shared" si="65"/>
      </c>
      <c r="Q261" s="381"/>
      <c r="R261" s="377"/>
      <c r="S261" s="381"/>
      <c r="T261" s="377"/>
      <c r="U261" s="382"/>
      <c r="V261" s="383"/>
      <c r="W261" s="377"/>
      <c r="X261" s="383"/>
      <c r="Y261" s="381"/>
      <c r="Z261" s="383"/>
      <c r="AA261" s="383"/>
      <c r="AB261" s="377"/>
      <c r="AC261" s="377"/>
      <c r="AD261" s="381"/>
      <c r="AE261" s="383"/>
      <c r="AF261" s="383"/>
    </row>
    <row r="262">
      <c r="A262" s="371"/>
      <c r="B262" s="372" t="s">
        <v>1075</v>
      </c>
      <c r="C262" s="373" t="s">
        <v>1087</v>
      </c>
      <c r="D262" s="374" t="s">
        <v>1067</v>
      </c>
      <c r="E262" s="375">
        <v>966.31</v>
      </c>
      <c r="F262" s="376">
        <f>E262+E263+E264</f>
      </c>
      <c r="G262" s="377">
        <v>8197</v>
      </c>
      <c r="H262" s="377">
        <v>303</v>
      </c>
      <c r="I262" s="378">
        <f t="shared" si="46"/>
      </c>
      <c r="J262" s="379">
        <f t="shared" si="85"/>
      </c>
      <c r="K262" s="377">
        <v>23</v>
      </c>
      <c r="L262" s="379">
        <f t="shared" si="8"/>
      </c>
      <c r="M262" s="377">
        <v>0</v>
      </c>
      <c r="N262" s="380">
        <f t="shared" si="27"/>
      </c>
      <c r="O262" s="377">
        <v>1</v>
      </c>
      <c r="P262" s="380">
        <f t="shared" si="65"/>
      </c>
      <c r="Q262" s="381">
        <f>(M262+M264+M263)/(O262+O264+O263)</f>
      </c>
      <c r="R262" s="377">
        <v>5</v>
      </c>
      <c r="S262" s="381">
        <f>(O262+O264)/(K262+K264)</f>
      </c>
      <c r="T262" s="377">
        <v>0</v>
      </c>
      <c r="U262" s="382">
        <f>F262/T262</f>
      </c>
      <c r="V262" s="383">
        <f>(F262+4*500)/T262</f>
      </c>
      <c r="W262" s="377">
        <v>0</v>
      </c>
      <c r="X262" s="383">
        <f>W262/T262</f>
      </c>
      <c r="Y262" s="381">
        <f>T262/R262</f>
      </c>
      <c r="Z262" s="383">
        <f>W262/F262</f>
      </c>
      <c r="AA262" s="383">
        <f>W262/(F262+500)</f>
      </c>
      <c r="AB262" s="377">
        <v>0</v>
      </c>
      <c r="AC262" s="377">
        <v>0</v>
      </c>
      <c r="AD262" s="381">
        <f>AB262/T262</f>
      </c>
      <c r="AE262" s="383">
        <f>(W262-AC262)/(F262+500)</f>
      </c>
      <c r="AF262" s="383" t="s">
        <v>1092</v>
      </c>
    </row>
    <row r="263">
      <c r="A263" s="371"/>
      <c r="B263" s="372"/>
      <c r="C263" s="373"/>
      <c r="D263" s="374" t="s">
        <v>1069</v>
      </c>
      <c r="E263" s="384">
        <v>701.28</v>
      </c>
      <c r="F263" s="376"/>
      <c r="G263" s="377">
        <v>1437</v>
      </c>
      <c r="H263" s="377">
        <v>54</v>
      </c>
      <c r="I263" s="378">
        <f t="shared" si="46"/>
      </c>
      <c r="J263" s="379">
        <f t="shared" si="85"/>
      </c>
      <c r="K263" s="377">
        <v>8</v>
      </c>
      <c r="L263" s="379">
        <f t="shared" si="8"/>
      </c>
      <c r="M263" s="377">
        <v>0</v>
      </c>
      <c r="N263" s="380">
        <f t="shared" si="27"/>
      </c>
      <c r="O263" s="377">
        <v>1</v>
      </c>
      <c r="P263" s="380">
        <f t="shared" si="65"/>
      </c>
      <c r="Q263" s="381"/>
      <c r="R263" s="377"/>
      <c r="S263" s="381"/>
      <c r="T263" s="377"/>
      <c r="U263" s="382"/>
      <c r="V263" s="383"/>
      <c r="W263" s="377"/>
      <c r="X263" s="383"/>
      <c r="Y263" s="381"/>
      <c r="Z263" s="383"/>
      <c r="AA263" s="383"/>
      <c r="AB263" s="377"/>
      <c r="AC263" s="377"/>
      <c r="AD263" s="381"/>
      <c r="AE263" s="383"/>
      <c r="AF263" s="383" t="s">
        <v>1070</v>
      </c>
    </row>
    <row r="264">
      <c r="A264" s="371"/>
      <c r="B264" s="372"/>
      <c r="C264" s="373"/>
      <c r="D264" s="374" t="s">
        <v>1071</v>
      </c>
      <c r="E264" s="377">
        <v>1393.26</v>
      </c>
      <c r="F264" s="376"/>
      <c r="G264" s="377">
        <v>466</v>
      </c>
      <c r="H264" s="377">
        <v>30</v>
      </c>
      <c r="I264" s="378">
        <f t="shared" si="46"/>
      </c>
      <c r="J264" s="379">
        <f t="shared" si="85"/>
      </c>
      <c r="K264" s="377">
        <v>12</v>
      </c>
      <c r="L264" s="379">
        <f t="shared" si="8"/>
      </c>
      <c r="M264" s="377">
        <v>0</v>
      </c>
      <c r="N264" s="380">
        <f t="shared" si="27"/>
      </c>
      <c r="O264" s="377">
        <v>1</v>
      </c>
      <c r="P264" s="380">
        <f t="shared" si="65"/>
      </c>
      <c r="Q264" s="381"/>
      <c r="R264" s="377"/>
      <c r="S264" s="381"/>
      <c r="T264" s="377"/>
      <c r="U264" s="382"/>
      <c r="V264" s="383"/>
      <c r="W264" s="377"/>
      <c r="X264" s="383"/>
      <c r="Y264" s="381"/>
      <c r="Z264" s="383"/>
      <c r="AA264" s="383"/>
      <c r="AB264" s="377"/>
      <c r="AC264" s="377"/>
      <c r="AD264" s="381"/>
      <c r="AE264" s="383"/>
      <c r="AF264" s="383"/>
    </row>
    <row r="265">
      <c r="A265" s="371"/>
      <c r="B265" s="372" t="s">
        <v>1077</v>
      </c>
      <c r="C265" s="373" t="s">
        <v>1087</v>
      </c>
      <c r="D265" s="374" t="s">
        <v>1067</v>
      </c>
      <c r="E265" s="375">
        <v>1165.72</v>
      </c>
      <c r="F265" s="376">
        <f>E265+E266+E267</f>
      </c>
      <c r="G265" s="377">
        <v>11136</v>
      </c>
      <c r="H265" s="377">
        <v>223</v>
      </c>
      <c r="I265" s="378">
        <f t="shared" si="46"/>
      </c>
      <c r="J265" s="379">
        <f t="shared" si="85"/>
      </c>
      <c r="K265" s="377">
        <v>25</v>
      </c>
      <c r="L265" s="379">
        <f t="shared" si="8"/>
      </c>
      <c r="M265" s="377">
        <v>1</v>
      </c>
      <c r="N265" s="380">
        <f t="shared" si="27"/>
      </c>
      <c r="O265" s="377">
        <v>3</v>
      </c>
      <c r="P265" s="380">
        <f t="shared" si="65"/>
      </c>
      <c r="Q265" s="381">
        <f>(M265+M267+M266)/(O265+O267+O266)</f>
      </c>
      <c r="R265" s="377">
        <v>6</v>
      </c>
      <c r="S265" s="381">
        <f>(O265+O267)/(K265+K267)</f>
      </c>
      <c r="T265" s="377">
        <v>2</v>
      </c>
      <c r="U265" s="382">
        <f>F265/T265</f>
      </c>
      <c r="V265" s="383">
        <f>(F265+4*500)/T265</f>
      </c>
      <c r="W265" s="377">
        <v>3354</v>
      </c>
      <c r="X265" s="383">
        <f>W265/T265</f>
      </c>
      <c r="Y265" s="381">
        <f>T265/R265</f>
      </c>
      <c r="Z265" s="383">
        <f>W265/F265</f>
      </c>
      <c r="AA265" s="383">
        <f>W265/(F265+500)</f>
      </c>
      <c r="AB265" s="377">
        <v>0</v>
      </c>
      <c r="AC265" s="377">
        <v>0</v>
      </c>
      <c r="AD265" s="381">
        <f>AB265/T265</f>
      </c>
      <c r="AE265" s="383">
        <f>(W265-AC265)/(F265+500)</f>
      </c>
      <c r="AF265" s="383" t="s">
        <v>1092</v>
      </c>
    </row>
    <row r="266">
      <c r="A266" s="371"/>
      <c r="B266" s="372"/>
      <c r="C266" s="373"/>
      <c r="D266" s="374" t="s">
        <v>1069</v>
      </c>
      <c r="E266" s="384">
        <v>523.91</v>
      </c>
      <c r="F266" s="376"/>
      <c r="G266" s="377">
        <v>1534</v>
      </c>
      <c r="H266" s="377">
        <v>53</v>
      </c>
      <c r="I266" s="378">
        <f t="shared" si="46"/>
      </c>
      <c r="J266" s="379">
        <f t="shared" si="85"/>
      </c>
      <c r="K266" s="377">
        <v>5</v>
      </c>
      <c r="L266" s="379">
        <f t="shared" si="8"/>
      </c>
      <c r="M266" s="377">
        <v>0</v>
      </c>
      <c r="N266" s="380">
        <f t="shared" si="27"/>
      </c>
      <c r="O266" s="377">
        <v>0</v>
      </c>
      <c r="P266" s="380">
        <f t="shared" si="65"/>
      </c>
      <c r="Q266" s="381"/>
      <c r="R266" s="377"/>
      <c r="S266" s="381"/>
      <c r="T266" s="377"/>
      <c r="U266" s="382"/>
      <c r="V266" s="383"/>
      <c r="W266" s="377"/>
      <c r="X266" s="383"/>
      <c r="Y266" s="381"/>
      <c r="Z266" s="383"/>
      <c r="AA266" s="383"/>
      <c r="AB266" s="377"/>
      <c r="AC266" s="377"/>
      <c r="AD266" s="381"/>
      <c r="AE266" s="383"/>
      <c r="AF266" s="383" t="s">
        <v>1070</v>
      </c>
    </row>
    <row r="267">
      <c r="A267" s="371"/>
      <c r="B267" s="372"/>
      <c r="C267" s="373"/>
      <c r="D267" s="374" t="s">
        <v>1071</v>
      </c>
      <c r="E267" s="377">
        <v>1066.64</v>
      </c>
      <c r="F267" s="376"/>
      <c r="G267" s="377">
        <v>342</v>
      </c>
      <c r="H267" s="377">
        <v>20</v>
      </c>
      <c r="I267" s="378">
        <f t="shared" si="46"/>
      </c>
      <c r="J267" s="379">
        <f t="shared" si="85"/>
      </c>
      <c r="K267" s="377">
        <v>8</v>
      </c>
      <c r="L267" s="379">
        <f t="shared" si="8"/>
      </c>
      <c r="M267" s="377">
        <v>0</v>
      </c>
      <c r="N267" s="380">
        <f t="shared" si="27"/>
      </c>
      <c r="O267" s="377">
        <v>1</v>
      </c>
      <c r="P267" s="380">
        <f t="shared" si="65"/>
      </c>
      <c r="Q267" s="381"/>
      <c r="R267" s="377"/>
      <c r="S267" s="381"/>
      <c r="T267" s="377"/>
      <c r="U267" s="382"/>
      <c r="V267" s="383"/>
      <c r="W267" s="377"/>
      <c r="X267" s="383"/>
      <c r="Y267" s="381"/>
      <c r="Z267" s="383"/>
      <c r="AA267" s="383"/>
      <c r="AB267" s="377"/>
      <c r="AC267" s="377"/>
      <c r="AD267" s="381"/>
      <c r="AE267" s="383"/>
      <c r="AF267" s="383"/>
    </row>
    <row r="268">
      <c r="A268" s="371"/>
      <c r="B268" s="385" t="s">
        <v>1078</v>
      </c>
      <c r="C268" s="373" t="s">
        <v>1087</v>
      </c>
      <c r="D268" s="374" t="s">
        <v>1067</v>
      </c>
      <c r="E268" s="375">
        <v>1079.91</v>
      </c>
      <c r="F268" s="376">
        <f>E268+E269+E270</f>
      </c>
      <c r="G268" s="377">
        <v>11258</v>
      </c>
      <c r="H268" s="377">
        <v>92</v>
      </c>
      <c r="I268" s="378">
        <f t="shared" si="46"/>
      </c>
      <c r="J268" s="379">
        <f t="shared" si="85"/>
      </c>
      <c r="K268" s="377">
        <v>17</v>
      </c>
      <c r="L268" s="379">
        <f t="shared" si="8"/>
      </c>
      <c r="M268" s="377">
        <v>1</v>
      </c>
      <c r="N268" s="380">
        <f t="shared" si="27"/>
      </c>
      <c r="O268" s="377">
        <v>3</v>
      </c>
      <c r="P268" s="380">
        <f t="shared" si="65"/>
      </c>
      <c r="Q268" s="381">
        <f>(M268+M270+M269)/(O268+O270+O269)</f>
      </c>
      <c r="R268" s="377">
        <v>12</v>
      </c>
      <c r="S268" s="381">
        <f>(O268+O270)/(K268+K270)</f>
      </c>
      <c r="T268" s="377">
        <v>1</v>
      </c>
      <c r="U268" s="382">
        <f>F268/T268</f>
      </c>
      <c r="V268" s="383">
        <f>(F268+4*500)/T268</f>
      </c>
      <c r="W268" s="377">
        <v>2071.2</v>
      </c>
      <c r="X268" s="383">
        <f>W268/T268</f>
      </c>
      <c r="Y268" s="381">
        <f>T268/R268</f>
      </c>
      <c r="Z268" s="383">
        <f>W268/F268</f>
      </c>
      <c r="AA268" s="383">
        <f>W268/(F268+500)</f>
      </c>
      <c r="AB268" s="377">
        <v>1</v>
      </c>
      <c r="AC268" s="377">
        <v>2071.2</v>
      </c>
      <c r="AD268" s="381">
        <f>AB268/T268</f>
      </c>
      <c r="AE268" s="383">
        <f>(W268-AC268)/(F268+500)</f>
      </c>
      <c r="AF268" s="383" t="s">
        <v>1092</v>
      </c>
    </row>
    <row r="269">
      <c r="A269" s="371"/>
      <c r="B269" s="385"/>
      <c r="C269" s="373"/>
      <c r="D269" s="374" t="s">
        <v>1069</v>
      </c>
      <c r="E269" s="384">
        <v>566.21</v>
      </c>
      <c r="F269" s="376"/>
      <c r="G269" s="377">
        <v>2732</v>
      </c>
      <c r="H269" s="377">
        <v>126</v>
      </c>
      <c r="I269" s="378">
        <f t="shared" si="46"/>
      </c>
      <c r="J269" s="379">
        <f t="shared" si="85"/>
      </c>
      <c r="K269" s="377">
        <v>11</v>
      </c>
      <c r="L269" s="379">
        <f t="shared" si="8"/>
      </c>
      <c r="M269" s="377">
        <v>1</v>
      </c>
      <c r="N269" s="380">
        <f t="shared" si="27"/>
      </c>
      <c r="O269" s="377">
        <v>3</v>
      </c>
      <c r="P269" s="380">
        <f t="shared" si="65"/>
      </c>
      <c r="Q269" s="381"/>
      <c r="R269" s="377"/>
      <c r="S269" s="381"/>
      <c r="T269" s="377"/>
      <c r="U269" s="382"/>
      <c r="V269" s="383"/>
      <c r="W269" s="377"/>
      <c r="X269" s="383"/>
      <c r="Y269" s="381"/>
      <c r="Z269" s="383"/>
      <c r="AA269" s="383"/>
      <c r="AB269" s="377"/>
      <c r="AC269" s="377"/>
      <c r="AD269" s="381"/>
      <c r="AE269" s="383"/>
      <c r="AF269" s="383" t="s">
        <v>1070</v>
      </c>
    </row>
    <row r="270">
      <c r="A270" s="371"/>
      <c r="B270" s="385"/>
      <c r="C270" s="373"/>
      <c r="D270" s="374" t="s">
        <v>1071</v>
      </c>
      <c r="E270" s="377">
        <v>429.71</v>
      </c>
      <c r="F270" s="376"/>
      <c r="G270" s="377">
        <v>157</v>
      </c>
      <c r="H270" s="377">
        <v>13</v>
      </c>
      <c r="I270" s="378">
        <f t="shared" si="46"/>
      </c>
      <c r="J270" s="379">
        <f t="shared" si="85"/>
      </c>
      <c r="K270" s="377">
        <v>4</v>
      </c>
      <c r="L270" s="379">
        <f t="shared" si="8"/>
      </c>
      <c r="M270" s="377">
        <v>0</v>
      </c>
      <c r="N270" s="380">
        <f t="shared" si="27"/>
      </c>
      <c r="O270" s="377">
        <v>1</v>
      </c>
      <c r="P270" s="380">
        <f t="shared" si="65"/>
      </c>
      <c r="Q270" s="381"/>
      <c r="R270" s="377"/>
      <c r="S270" s="381"/>
      <c r="T270" s="377"/>
      <c r="U270" s="382"/>
      <c r="V270" s="383"/>
      <c r="W270" s="377"/>
      <c r="X270" s="383"/>
      <c r="Y270" s="381"/>
      <c r="Z270" s="383"/>
      <c r="AA270" s="383"/>
      <c r="AB270" s="377"/>
      <c r="AC270" s="377"/>
      <c r="AD270" s="381"/>
      <c r="AE270" s="383"/>
      <c r="AF270" s="383"/>
    </row>
    <row r="271">
      <c r="A271" s="371"/>
      <c r="B271" s="372" t="s">
        <v>1079</v>
      </c>
      <c r="C271" s="373" t="s">
        <v>1087</v>
      </c>
      <c r="D271" s="374" t="s">
        <v>1067</v>
      </c>
      <c r="E271" s="375">
        <v>442.24</v>
      </c>
      <c r="F271" s="376">
        <f>E271+E272+E273</f>
      </c>
      <c r="G271" s="377">
        <v>3389</v>
      </c>
      <c r="H271" s="377">
        <v>58</v>
      </c>
      <c r="I271" s="378">
        <f t="shared" si="46"/>
      </c>
      <c r="J271" s="379">
        <f t="shared" si="85"/>
      </c>
      <c r="K271" s="377">
        <v>10</v>
      </c>
      <c r="L271" s="379">
        <f t="shared" si="8"/>
      </c>
      <c r="M271" s="377">
        <v>0</v>
      </c>
      <c r="N271" s="380">
        <f t="shared" si="27"/>
      </c>
      <c r="O271" s="377">
        <v>1</v>
      </c>
      <c r="P271" s="380">
        <f t="shared" si="65"/>
      </c>
      <c r="Q271" s="381">
        <f>(M271+M273+M272)/(O271+O273+O272)</f>
      </c>
      <c r="R271" s="377">
        <v>3</v>
      </c>
      <c r="S271" s="381">
        <f>(O271+O273)/(K271+K273)</f>
      </c>
      <c r="T271" s="377">
        <v>2</v>
      </c>
      <c r="U271" s="382">
        <f>F271/T271</f>
      </c>
      <c r="V271" s="383">
        <f>(F271+4*500)/T271</f>
      </c>
      <c r="W271" s="377">
        <v>1255.2</v>
      </c>
      <c r="X271" s="383">
        <f>W271/T271</f>
      </c>
      <c r="Y271" s="381">
        <f>T271/R271</f>
      </c>
      <c r="Z271" s="383">
        <f>W271/F271</f>
      </c>
      <c r="AA271" s="383">
        <f>W271/(F271+500)</f>
      </c>
      <c r="AB271" s="377">
        <v>0</v>
      </c>
      <c r="AC271" s="377">
        <v>0</v>
      </c>
      <c r="AD271" s="381">
        <f>AB271/T271</f>
      </c>
      <c r="AE271" s="383">
        <f>(W271-AC271)/(F271+500)</f>
      </c>
      <c r="AF271" s="383" t="s">
        <v>1092</v>
      </c>
    </row>
    <row r="272">
      <c r="A272" s="371"/>
      <c r="B272" s="372"/>
      <c r="C272" s="373"/>
      <c r="D272" s="374" t="s">
        <v>1069</v>
      </c>
      <c r="E272" s="384">
        <v>348.23</v>
      </c>
      <c r="F272" s="376"/>
      <c r="G272" s="377">
        <v>1629</v>
      </c>
      <c r="H272" s="377">
        <v>74</v>
      </c>
      <c r="I272" s="378">
        <f t="shared" si="46"/>
      </c>
      <c r="J272" s="379">
        <f t="shared" si="85"/>
      </c>
      <c r="K272" s="377">
        <v>6</v>
      </c>
      <c r="L272" s="379">
        <f t="shared" si="8"/>
      </c>
      <c r="M272" s="377">
        <v>1</v>
      </c>
      <c r="N272" s="380">
        <f t="shared" si="27"/>
      </c>
      <c r="O272" s="377">
        <v>1</v>
      </c>
      <c r="P272" s="380">
        <f t="shared" si="65"/>
      </c>
      <c r="Q272" s="381"/>
      <c r="R272" s="377"/>
      <c r="S272" s="381"/>
      <c r="T272" s="377"/>
      <c r="U272" s="382"/>
      <c r="V272" s="383"/>
      <c r="W272" s="377"/>
      <c r="X272" s="383"/>
      <c r="Y272" s="381"/>
      <c r="Z272" s="383"/>
      <c r="AA272" s="383"/>
      <c r="AB272" s="377"/>
      <c r="AC272" s="377"/>
      <c r="AD272" s="381"/>
      <c r="AE272" s="383"/>
      <c r="AF272" s="383" t="s">
        <v>1070</v>
      </c>
    </row>
    <row r="273">
      <c r="A273" s="371"/>
      <c r="B273" s="372"/>
      <c r="C273" s="373"/>
      <c r="D273" s="374" t="s">
        <v>1071</v>
      </c>
      <c r="E273" s="377">
        <v>155.18</v>
      </c>
      <c r="F273" s="376"/>
      <c r="G273" s="377">
        <v>77</v>
      </c>
      <c r="H273" s="377">
        <v>4</v>
      </c>
      <c r="I273" s="378">
        <f t="shared" si="46"/>
      </c>
      <c r="J273" s="379">
        <f t="shared" si="85"/>
      </c>
      <c r="K273" s="377">
        <v>3</v>
      </c>
      <c r="L273" s="379">
        <f t="shared" si="8"/>
      </c>
      <c r="M273" s="377">
        <v>1</v>
      </c>
      <c r="N273" s="380">
        <f t="shared" si="27"/>
      </c>
      <c r="O273" s="377">
        <v>1</v>
      </c>
      <c r="P273" s="380">
        <f t="shared" si="65"/>
      </c>
      <c r="Q273" s="381"/>
      <c r="R273" s="377"/>
      <c r="S273" s="381"/>
      <c r="T273" s="377"/>
      <c r="U273" s="382"/>
      <c r="V273" s="383"/>
      <c r="W273" s="377"/>
      <c r="X273" s="383"/>
      <c r="Y273" s="381"/>
      <c r="Z273" s="383"/>
      <c r="AA273" s="383"/>
      <c r="AB273" s="377"/>
      <c r="AC273" s="377"/>
      <c r="AD273" s="381"/>
      <c r="AE273" s="383"/>
      <c r="AF273" s="383"/>
    </row>
    <row r="274">
      <c r="A274" s="371"/>
      <c r="B274" s="372" t="s">
        <v>1080</v>
      </c>
      <c r="C274" s="373" t="s">
        <v>1076</v>
      </c>
      <c r="D274" s="374" t="s">
        <v>1067</v>
      </c>
      <c r="E274" s="375">
        <v>111.39</v>
      </c>
      <c r="F274" s="376">
        <f>E274+E275+E276</f>
      </c>
      <c r="G274" s="377">
        <v>1341</v>
      </c>
      <c r="H274" s="377">
        <v>15</v>
      </c>
      <c r="I274" s="378">
        <f t="shared" si="46"/>
      </c>
      <c r="J274" s="379">
        <f t="shared" si="85"/>
      </c>
      <c r="K274" s="377">
        <v>2</v>
      </c>
      <c r="L274" s="379">
        <f t="shared" si="8"/>
      </c>
      <c r="M274" s="377">
        <v>0</v>
      </c>
      <c r="N274" s="380">
        <f t="shared" si="27"/>
      </c>
      <c r="O274" s="377">
        <v>2</v>
      </c>
      <c r="P274" s="380">
        <f t="shared" si="65"/>
      </c>
      <c r="Q274" s="381">
        <f>(M274+M276+M275)/(O274+O276+O275)</f>
      </c>
      <c r="R274" s="377">
        <v>4</v>
      </c>
      <c r="S274" s="381">
        <f>(O274+O276)/(K274+K276)</f>
      </c>
      <c r="T274" s="377">
        <v>0</v>
      </c>
      <c r="U274" s="382">
        <f>F274/T274</f>
      </c>
      <c r="V274" s="383">
        <f>(F274+4*500)/T274</f>
      </c>
      <c r="W274" s="377">
        <v>0</v>
      </c>
      <c r="X274" s="383">
        <f>W274/T274</f>
      </c>
      <c r="Y274" s="381">
        <f>T274/R274</f>
      </c>
      <c r="Z274" s="383">
        <f>W274/F274</f>
      </c>
      <c r="AA274" s="383">
        <f>W274/(F274+500)</f>
      </c>
      <c r="AB274" s="377">
        <v>0</v>
      </c>
      <c r="AC274" s="377">
        <v>0</v>
      </c>
      <c r="AD274" s="381">
        <f>AB274/T274</f>
      </c>
      <c r="AE274" s="383">
        <f>(W274-AC274)/(F274+500)</f>
      </c>
      <c r="AF274" s="383" t="s">
        <v>1092</v>
      </c>
    </row>
    <row r="275">
      <c r="A275" s="371"/>
      <c r="B275" s="372"/>
      <c r="C275" s="373"/>
      <c r="D275" s="374" t="s">
        <v>1069</v>
      </c>
      <c r="E275" s="384">
        <v>306.29</v>
      </c>
      <c r="F275" s="376"/>
      <c r="G275" s="377">
        <v>939</v>
      </c>
      <c r="H275" s="377">
        <v>54</v>
      </c>
      <c r="I275" s="378">
        <f t="shared" si="46"/>
      </c>
      <c r="J275" s="379">
        <f t="shared" si="85"/>
      </c>
      <c r="K275" s="377">
        <v>6</v>
      </c>
      <c r="L275" s="379">
        <f t="shared" si="8"/>
      </c>
      <c r="M275" s="377">
        <v>0</v>
      </c>
      <c r="N275" s="380">
        <f t="shared" si="27"/>
      </c>
      <c r="O275" s="377">
        <v>1</v>
      </c>
      <c r="P275" s="380">
        <f t="shared" si="65"/>
      </c>
      <c r="Q275" s="381"/>
      <c r="R275" s="377"/>
      <c r="S275" s="381"/>
      <c r="T275" s="377"/>
      <c r="U275" s="382"/>
      <c r="V275" s="383"/>
      <c r="W275" s="377"/>
      <c r="X275" s="383"/>
      <c r="Y275" s="381"/>
      <c r="Z275" s="383"/>
      <c r="AA275" s="383"/>
      <c r="AB275" s="377"/>
      <c r="AC275" s="377"/>
      <c r="AD275" s="381"/>
      <c r="AE275" s="383"/>
      <c r="AF275" s="383" t="s">
        <v>1070</v>
      </c>
    </row>
    <row r="276">
      <c r="A276" s="371"/>
      <c r="B276" s="372"/>
      <c r="C276" s="373"/>
      <c r="D276" s="374" t="s">
        <v>1071</v>
      </c>
      <c r="E276" s="377">
        <v>430.89</v>
      </c>
      <c r="F276" s="376"/>
      <c r="G276" s="377">
        <v>97</v>
      </c>
      <c r="H276" s="377">
        <v>12</v>
      </c>
      <c r="I276" s="378">
        <f t="shared" si="46"/>
      </c>
      <c r="J276" s="379">
        <f t="shared" si="85"/>
      </c>
      <c r="K276" s="377">
        <v>4</v>
      </c>
      <c r="L276" s="379">
        <f t="shared" si="8"/>
      </c>
      <c r="M276" s="377">
        <v>0</v>
      </c>
      <c r="N276" s="380">
        <f t="shared" si="27"/>
      </c>
      <c r="O276" s="377">
        <v>0</v>
      </c>
      <c r="P276" s="380">
        <f t="shared" si="65"/>
      </c>
      <c r="Q276" s="381"/>
      <c r="R276" s="377"/>
      <c r="S276" s="381"/>
      <c r="T276" s="377"/>
      <c r="U276" s="382"/>
      <c r="V276" s="383"/>
      <c r="W276" s="377"/>
      <c r="X276" s="383"/>
      <c r="Y276" s="381"/>
      <c r="Z276" s="383"/>
      <c r="AA276" s="383"/>
      <c r="AB276" s="377"/>
      <c r="AC276" s="377"/>
      <c r="AD276" s="381"/>
      <c r="AE276" s="383"/>
      <c r="AF276" s="383"/>
    </row>
    <row r="277">
      <c r="A277" s="371"/>
      <c r="B277" s="372" t="s">
        <v>1082</v>
      </c>
      <c r="C277" s="373" t="s">
        <v>1076</v>
      </c>
      <c r="D277" s="374" t="s">
        <v>1067</v>
      </c>
      <c r="E277" s="375">
        <v>101.35</v>
      </c>
      <c r="F277" s="376">
        <f>E277+E278+E279</f>
      </c>
      <c r="G277" s="377">
        <v>629</v>
      </c>
      <c r="H277" s="377">
        <v>21</v>
      </c>
      <c r="I277" s="378">
        <f t="shared" si="46"/>
      </c>
      <c r="J277" s="379">
        <f t="shared" si="85"/>
      </c>
      <c r="K277" s="377">
        <v>2</v>
      </c>
      <c r="L277" s="379">
        <f t="shared" si="8"/>
      </c>
      <c r="M277" s="377">
        <v>0</v>
      </c>
      <c r="N277" s="380">
        <f t="shared" si="27"/>
      </c>
      <c r="O277" s="377">
        <v>0</v>
      </c>
      <c r="P277" s="380">
        <f t="shared" si="65"/>
      </c>
      <c r="Q277" s="381">
        <f>(M277+M279+M278)/(O277+O279+O278)</f>
      </c>
      <c r="R277" s="377">
        <v>0</v>
      </c>
      <c r="S277" s="381">
        <f>(O277+O279)/(K277+K279)</f>
      </c>
      <c r="T277" s="377">
        <v>0</v>
      </c>
      <c r="U277" s="382">
        <f>F277/T277</f>
      </c>
      <c r="V277" s="383">
        <f>(F277+4*500)/T277</f>
      </c>
      <c r="W277" s="377">
        <v>0</v>
      </c>
      <c r="X277" s="383">
        <f>W277/T277</f>
      </c>
      <c r="Y277" s="381">
        <f>T277/R277</f>
      </c>
      <c r="Z277" s="383">
        <f>W277/F277</f>
      </c>
      <c r="AA277" s="383">
        <f>W277/(F277+500)</f>
      </c>
      <c r="AB277" s="377">
        <v>0</v>
      </c>
      <c r="AC277" s="377">
        <v>0</v>
      </c>
      <c r="AD277" s="381">
        <f>AB277/T277</f>
      </c>
      <c r="AE277" s="383">
        <f>(W277-AC277)/(F277+500)</f>
      </c>
      <c r="AF277" s="383" t="s">
        <v>1092</v>
      </c>
    </row>
    <row r="278">
      <c r="A278" s="371"/>
      <c r="B278" s="372"/>
      <c r="C278" s="373"/>
      <c r="D278" s="374" t="s">
        <v>1069</v>
      </c>
      <c r="E278" s="384">
        <v>247.89</v>
      </c>
      <c r="F278" s="376"/>
      <c r="G278" s="377">
        <v>1007</v>
      </c>
      <c r="H278" s="377">
        <v>25</v>
      </c>
      <c r="I278" s="378">
        <f t="shared" si="46"/>
      </c>
      <c r="J278" s="379">
        <f t="shared" si="85"/>
      </c>
      <c r="K278" s="377">
        <v>3</v>
      </c>
      <c r="L278" s="379">
        <f t="shared" si="8"/>
      </c>
      <c r="M278" s="377">
        <v>0</v>
      </c>
      <c r="N278" s="380">
        <f t="shared" si="27"/>
      </c>
      <c r="O278" s="377">
        <v>0</v>
      </c>
      <c r="P278" s="380">
        <f t="shared" si="65"/>
      </c>
      <c r="Q278" s="381"/>
      <c r="R278" s="377"/>
      <c r="S278" s="381"/>
      <c r="T278" s="377"/>
      <c r="U278" s="382"/>
      <c r="V278" s="383"/>
      <c r="W278" s="377"/>
      <c r="X278" s="383"/>
      <c r="Y278" s="381"/>
      <c r="Z278" s="383"/>
      <c r="AA278" s="383"/>
      <c r="AB278" s="377"/>
      <c r="AC278" s="377"/>
      <c r="AD278" s="381"/>
      <c r="AE278" s="383"/>
      <c r="AF278" s="383" t="s">
        <v>1070</v>
      </c>
    </row>
    <row r="279">
      <c r="A279" s="371"/>
      <c r="B279" s="372"/>
      <c r="C279" s="373"/>
      <c r="D279" s="374" t="s">
        <v>1071</v>
      </c>
      <c r="E279" s="377">
        <v>113.77</v>
      </c>
      <c r="F279" s="376"/>
      <c r="G279" s="377">
        <v>102</v>
      </c>
      <c r="H279" s="377">
        <v>5</v>
      </c>
      <c r="I279" s="378">
        <f t="shared" si="46"/>
      </c>
      <c r="J279" s="379">
        <f t="shared" si="85"/>
      </c>
      <c r="K279" s="377">
        <v>2</v>
      </c>
      <c r="L279" s="379">
        <f t="shared" si="8"/>
      </c>
      <c r="M279" s="377">
        <v>0</v>
      </c>
      <c r="N279" s="380">
        <f t="shared" si="27"/>
      </c>
      <c r="O279" s="377">
        <v>0</v>
      </c>
      <c r="P279" s="380">
        <f t="shared" si="65"/>
      </c>
      <c r="Q279" s="381"/>
      <c r="R279" s="377"/>
      <c r="S279" s="381"/>
      <c r="T279" s="377"/>
      <c r="U279" s="382"/>
      <c r="V279" s="383"/>
      <c r="W279" s="377"/>
      <c r="X279" s="383"/>
      <c r="Y279" s="381"/>
      <c r="Z279" s="383"/>
      <c r="AA279" s="383"/>
      <c r="AB279" s="377"/>
      <c r="AC279" s="377"/>
      <c r="AD279" s="381"/>
      <c r="AE279" s="383"/>
      <c r="AF279" s="383"/>
    </row>
    <row customHeight="true" ht="20.238095238095237" r="280">
      <c r="A280" s="371"/>
      <c r="B280" s="372"/>
      <c r="C280" s="373"/>
      <c r="D280" s="374"/>
      <c r="E280" s="377">
        <f>SUM(E250:E279)</f>
      </c>
      <c r="F280" s="377">
        <f>SUM(F250:F279)</f>
      </c>
      <c r="G280" s="377"/>
      <c r="H280" s="377"/>
      <c r="I280" s="378"/>
      <c r="J280" s="379"/>
      <c r="K280" s="377"/>
      <c r="L280" s="379"/>
      <c r="M280" s="377"/>
      <c r="N280" s="380"/>
      <c r="O280" s="377"/>
      <c r="P280" s="380"/>
      <c r="Q280" s="381"/>
      <c r="R280" s="377"/>
      <c r="S280" s="381"/>
      <c r="T280" s="377">
        <f>SUM(T250:T279)</f>
      </c>
      <c r="U280" s="382"/>
      <c r="V280" s="383"/>
      <c r="W280" s="377">
        <f>SUM(W250:W279)</f>
      </c>
      <c r="X280" s="383"/>
      <c r="Y280" s="381"/>
      <c r="Z280" s="383"/>
      <c r="AA280" s="383"/>
      <c r="AB280" s="377"/>
      <c r="AC280" s="377"/>
      <c r="AD280" s="381"/>
      <c r="AE280" s="383"/>
      <c r="AF280" s="383"/>
    </row>
    <row r="281">
      <c r="A281" s="371" t="s">
        <v>1095</v>
      </c>
      <c r="B281" s="372" t="s">
        <v>1065</v>
      </c>
      <c r="C281" s="373" t="s">
        <v>1087</v>
      </c>
      <c r="D281" s="374" t="s">
        <v>1067</v>
      </c>
      <c r="E281" s="375">
        <v>557.45</v>
      </c>
      <c r="F281" s="376">
        <f>E281+E282+E283</f>
      </c>
      <c r="G281" s="377">
        <v>4970</v>
      </c>
      <c r="H281" s="377">
        <v>663</v>
      </c>
      <c r="I281" s="378">
        <f t="shared" ref="I281:I310" si="47">H281/G281</f>
      </c>
      <c r="J281" s="379">
        <f t="shared" ref="J281:J310" si="86">(E281/G281)*1000</f>
      </c>
      <c r="K281" s="377">
        <v>9</v>
      </c>
      <c r="L281" s="379">
        <f t="shared" ref="L281:L310" si="9">E281/K281</f>
      </c>
      <c r="M281" s="377">
        <v>1</v>
      </c>
      <c r="N281" s="380">
        <f t="shared" ref="N281:N310" si="28">E281/M281</f>
      </c>
      <c r="O281" s="377">
        <v>1</v>
      </c>
      <c r="P281" s="380">
        <f t="shared" ref="P281:P310" si="66">E281/O281</f>
      </c>
      <c r="Q281" s="381">
        <f>(M281+M283+M282)/(O281+O283+O282)</f>
      </c>
      <c r="R281" s="377">
        <v>3</v>
      </c>
      <c r="S281" s="381">
        <f>(O281+O283)/(K281+K283)</f>
      </c>
      <c r="T281" s="377">
        <v>1</v>
      </c>
      <c r="U281" s="382">
        <f>F281/T281</f>
      </c>
      <c r="V281" s="383">
        <f>(F281+4*500)/T281</f>
      </c>
      <c r="W281" s="377">
        <v>2071.2</v>
      </c>
      <c r="X281" s="383">
        <f>W281/T281</f>
      </c>
      <c r="Y281" s="381">
        <f>T281/R281</f>
      </c>
      <c r="Z281" s="383">
        <f>W281/F281</f>
      </c>
      <c r="AA281" s="383">
        <f>W281/(F281+500)</f>
      </c>
      <c r="AB281" s="377">
        <v>0</v>
      </c>
      <c r="AC281" s="377">
        <v>0</v>
      </c>
      <c r="AD281" s="381">
        <f>AB281/T281</f>
      </c>
      <c r="AE281" s="383">
        <f>(W281-AC281)/(F281+500)</f>
      </c>
      <c r="AF281" s="383" t="s">
        <v>1092</v>
      </c>
    </row>
    <row r="282">
      <c r="A282" s="371"/>
      <c r="B282" s="372"/>
      <c r="C282" s="373"/>
      <c r="D282" s="374" t="s">
        <v>1069</v>
      </c>
      <c r="E282" s="384">
        <v>63.55</v>
      </c>
      <c r="F282" s="376"/>
      <c r="G282" s="377">
        <v>1087</v>
      </c>
      <c r="H282" s="377">
        <v>86</v>
      </c>
      <c r="I282" s="378">
        <f t="shared" si="47"/>
      </c>
      <c r="J282" s="379">
        <f t="shared" si="86"/>
      </c>
      <c r="K282" s="377">
        <v>1</v>
      </c>
      <c r="L282" s="379">
        <f t="shared" si="9"/>
      </c>
      <c r="M282" s="377">
        <v>0</v>
      </c>
      <c r="N282" s="380">
        <f t="shared" si="28"/>
      </c>
      <c r="O282" s="377">
        <v>0</v>
      </c>
      <c r="P282" s="380">
        <f t="shared" si="66"/>
      </c>
      <c r="Q282" s="381"/>
      <c r="R282" s="377"/>
      <c r="S282" s="381"/>
      <c r="T282" s="377"/>
      <c r="U282" s="382"/>
      <c r="V282" s="383"/>
      <c r="W282" s="377"/>
      <c r="X282" s="383"/>
      <c r="Y282" s="381"/>
      <c r="Z282" s="383"/>
      <c r="AA282" s="383"/>
      <c r="AB282" s="377"/>
      <c r="AC282" s="377"/>
      <c r="AD282" s="381"/>
      <c r="AE282" s="383"/>
      <c r="AF282" s="383" t="s">
        <v>1096</v>
      </c>
    </row>
    <row r="283">
      <c r="A283" s="371"/>
      <c r="B283" s="372"/>
      <c r="C283" s="373"/>
      <c r="D283" s="374" t="s">
        <v>1071</v>
      </c>
      <c r="E283" s="377">
        <v>213.15</v>
      </c>
      <c r="F283" s="376"/>
      <c r="G283" s="377">
        <v>1097</v>
      </c>
      <c r="H283" s="377">
        <v>22</v>
      </c>
      <c r="I283" s="378">
        <f t="shared" si="47"/>
      </c>
      <c r="J283" s="379">
        <f t="shared" si="86"/>
      </c>
      <c r="K283" s="377">
        <v>2</v>
      </c>
      <c r="L283" s="379">
        <f t="shared" si="9"/>
      </c>
      <c r="M283" s="377">
        <v>0</v>
      </c>
      <c r="N283" s="380">
        <f t="shared" si="28"/>
      </c>
      <c r="O283" s="377">
        <v>0</v>
      </c>
      <c r="P283" s="380">
        <f t="shared" si="66"/>
      </c>
      <c r="Q283" s="381"/>
      <c r="R283" s="377"/>
      <c r="S283" s="381"/>
      <c r="T283" s="377"/>
      <c r="U283" s="382"/>
      <c r="V283" s="383"/>
      <c r="W283" s="377"/>
      <c r="X283" s="383"/>
      <c r="Y283" s="381"/>
      <c r="Z283" s="383"/>
      <c r="AA283" s="383"/>
      <c r="AB283" s="377"/>
      <c r="AC283" s="377"/>
      <c r="AD283" s="381"/>
      <c r="AE283" s="383"/>
      <c r="AF283" s="383"/>
    </row>
    <row r="284">
      <c r="A284" s="371"/>
      <c r="B284" s="372" t="s">
        <v>1072</v>
      </c>
      <c r="C284" s="373" t="s">
        <v>1087</v>
      </c>
      <c r="D284" s="374" t="s">
        <v>1067</v>
      </c>
      <c r="E284" s="375">
        <v>1172.21</v>
      </c>
      <c r="F284" s="376">
        <f>E284+E285+E286</f>
      </c>
      <c r="G284" s="377">
        <v>12477</v>
      </c>
      <c r="H284" s="377">
        <v>706</v>
      </c>
      <c r="I284" s="378">
        <f t="shared" si="47"/>
      </c>
      <c r="J284" s="379">
        <f t="shared" si="86"/>
      </c>
      <c r="K284" s="377">
        <v>18</v>
      </c>
      <c r="L284" s="379">
        <f t="shared" si="9"/>
      </c>
      <c r="M284" s="377">
        <v>0</v>
      </c>
      <c r="N284" s="380">
        <f t="shared" si="28"/>
      </c>
      <c r="O284" s="377">
        <v>3</v>
      </c>
      <c r="P284" s="380">
        <f t="shared" si="66"/>
      </c>
      <c r="Q284" s="381">
        <f>(M284+M286+M285)/(O284+O286+O285)</f>
      </c>
      <c r="R284" s="377">
        <v>5</v>
      </c>
      <c r="S284" s="381">
        <f>(O284+O286)/(K284+K286)</f>
      </c>
      <c r="T284" s="377">
        <v>0</v>
      </c>
      <c r="U284" s="382">
        <f>F284/T284</f>
      </c>
      <c r="V284" s="383">
        <f>(F284+4*500)/T284</f>
      </c>
      <c r="W284" s="377">
        <v>0</v>
      </c>
      <c r="X284" s="383">
        <f>W284/T284</f>
      </c>
      <c r="Y284" s="381">
        <f>T284/R284</f>
      </c>
      <c r="Z284" s="383">
        <f>W284/F284</f>
      </c>
      <c r="AA284" s="383">
        <f>W284/(F284+500)</f>
      </c>
      <c r="AB284" s="377">
        <v>0</v>
      </c>
      <c r="AC284" s="377">
        <v>0</v>
      </c>
      <c r="AD284" s="381">
        <f>AB284/T284</f>
      </c>
      <c r="AE284" s="383">
        <f>(W284-AC284)/(F284+500)</f>
      </c>
      <c r="AF284" s="383" t="s">
        <v>1092</v>
      </c>
    </row>
    <row r="285">
      <c r="A285" s="371"/>
      <c r="B285" s="372"/>
      <c r="C285" s="373"/>
      <c r="D285" s="374" t="s">
        <v>1069</v>
      </c>
      <c r="E285" s="384">
        <v>63.75</v>
      </c>
      <c r="F285" s="376"/>
      <c r="G285" s="377">
        <v>1303</v>
      </c>
      <c r="H285" s="377">
        <v>57</v>
      </c>
      <c r="I285" s="378">
        <f t="shared" si="47"/>
      </c>
      <c r="J285" s="379">
        <f t="shared" si="86"/>
      </c>
      <c r="K285" s="377">
        <v>1</v>
      </c>
      <c r="L285" s="379">
        <f t="shared" si="9"/>
      </c>
      <c r="M285" s="377">
        <v>0</v>
      </c>
      <c r="N285" s="380">
        <f t="shared" si="28"/>
      </c>
      <c r="O285" s="377">
        <v>0</v>
      </c>
      <c r="P285" s="380">
        <f t="shared" si="66"/>
      </c>
      <c r="Q285" s="381"/>
      <c r="R285" s="377"/>
      <c r="S285" s="381"/>
      <c r="T285" s="377"/>
      <c r="U285" s="382"/>
      <c r="V285" s="383"/>
      <c r="W285" s="377"/>
      <c r="X285" s="383"/>
      <c r="Y285" s="381"/>
      <c r="Z285" s="383"/>
      <c r="AA285" s="383"/>
      <c r="AB285" s="377"/>
      <c r="AC285" s="377"/>
      <c r="AD285" s="381"/>
      <c r="AE285" s="383"/>
      <c r="AF285" s="383" t="s">
        <v>1096</v>
      </c>
    </row>
    <row r="286">
      <c r="A286" s="371"/>
      <c r="B286" s="372"/>
      <c r="C286" s="373"/>
      <c r="D286" s="374" t="s">
        <v>1071</v>
      </c>
      <c r="E286" s="377">
        <v>505.49</v>
      </c>
      <c r="F286" s="376"/>
      <c r="G286" s="377">
        <v>819</v>
      </c>
      <c r="H286" s="377">
        <v>21</v>
      </c>
      <c r="I286" s="378">
        <f t="shared" si="47"/>
      </c>
      <c r="J286" s="379">
        <f t="shared" si="86"/>
      </c>
      <c r="K286" s="377">
        <v>2</v>
      </c>
      <c r="L286" s="379">
        <f t="shared" si="9"/>
      </c>
      <c r="M286" s="377">
        <v>0</v>
      </c>
      <c r="N286" s="380">
        <f t="shared" si="28"/>
      </c>
      <c r="O286" s="377">
        <v>1</v>
      </c>
      <c r="P286" s="380">
        <f t="shared" si="66"/>
      </c>
      <c r="Q286" s="381"/>
      <c r="R286" s="377"/>
      <c r="S286" s="381"/>
      <c r="T286" s="377"/>
      <c r="U286" s="382"/>
      <c r="V286" s="383"/>
      <c r="W286" s="377"/>
      <c r="X286" s="383"/>
      <c r="Y286" s="381"/>
      <c r="Z286" s="383"/>
      <c r="AA286" s="383"/>
      <c r="AB286" s="377"/>
      <c r="AC286" s="377"/>
      <c r="AD286" s="381"/>
      <c r="AE286" s="383"/>
      <c r="AF286" s="383"/>
    </row>
    <row r="287">
      <c r="A287" s="371"/>
      <c r="B287" s="372" t="s">
        <v>1073</v>
      </c>
      <c r="C287" s="373" t="s">
        <v>1087</v>
      </c>
      <c r="D287" s="374" t="s">
        <v>1067</v>
      </c>
      <c r="E287" s="375">
        <v>839.86</v>
      </c>
      <c r="F287" s="376">
        <f>E287+E288+E289</f>
      </c>
      <c r="G287" s="377">
        <v>7847</v>
      </c>
      <c r="H287" s="377">
        <v>380</v>
      </c>
      <c r="I287" s="378">
        <f t="shared" si="47"/>
      </c>
      <c r="J287" s="379">
        <f t="shared" si="86"/>
      </c>
      <c r="K287" s="377">
        <v>21</v>
      </c>
      <c r="L287" s="379">
        <f t="shared" si="9"/>
      </c>
      <c r="M287" s="377">
        <v>0</v>
      </c>
      <c r="N287" s="380">
        <f t="shared" si="28"/>
      </c>
      <c r="O287" s="377">
        <v>1</v>
      </c>
      <c r="P287" s="380">
        <f t="shared" si="66"/>
      </c>
      <c r="Q287" s="381">
        <f>(M287+M289+M288)/(O287+O289+O288)</f>
      </c>
      <c r="R287" s="377">
        <v>2</v>
      </c>
      <c r="S287" s="381">
        <f>(O287+O289)/(K287+K289)</f>
      </c>
      <c r="T287" s="377">
        <v>0</v>
      </c>
      <c r="U287" s="382">
        <f>F287/T287</f>
      </c>
      <c r="V287" s="383">
        <f>(F287+4*500)/T287</f>
      </c>
      <c r="W287" s="377">
        <v>0</v>
      </c>
      <c r="X287" s="383">
        <f>W287/T287</f>
      </c>
      <c r="Y287" s="381">
        <f>T287/R287</f>
      </c>
      <c r="Z287" s="383">
        <f>W287/F287</f>
      </c>
      <c r="AA287" s="383">
        <f>W287/(F287+500)</f>
      </c>
      <c r="AB287" s="377">
        <v>0</v>
      </c>
      <c r="AC287" s="377">
        <v>0</v>
      </c>
      <c r="AD287" s="381">
        <f>AB287/T287</f>
      </c>
      <c r="AE287" s="383">
        <f>(W287-AC287)/(F287+500)</f>
      </c>
      <c r="AF287" s="383" t="s">
        <v>1092</v>
      </c>
    </row>
    <row r="288">
      <c r="A288" s="371"/>
      <c r="B288" s="372"/>
      <c r="C288" s="373"/>
      <c r="D288" s="374" t="s">
        <v>1069</v>
      </c>
      <c r="E288" s="384">
        <v>141.87</v>
      </c>
      <c r="F288" s="376"/>
      <c r="G288" s="377">
        <v>1447</v>
      </c>
      <c r="H288" s="377">
        <v>41</v>
      </c>
      <c r="I288" s="378">
        <f t="shared" si="47"/>
      </c>
      <c r="J288" s="379">
        <f t="shared" si="86"/>
      </c>
      <c r="K288" s="377">
        <v>1</v>
      </c>
      <c r="L288" s="379">
        <f t="shared" si="9"/>
      </c>
      <c r="M288" s="377">
        <v>0</v>
      </c>
      <c r="N288" s="380">
        <f t="shared" si="28"/>
      </c>
      <c r="O288" s="377">
        <v>0</v>
      </c>
      <c r="P288" s="380">
        <f t="shared" si="66"/>
      </c>
      <c r="Q288" s="381"/>
      <c r="R288" s="377"/>
      <c r="S288" s="381"/>
      <c r="T288" s="377"/>
      <c r="U288" s="382"/>
      <c r="V288" s="383"/>
      <c r="W288" s="377"/>
      <c r="X288" s="383"/>
      <c r="Y288" s="381"/>
      <c r="Z288" s="383"/>
      <c r="AA288" s="383"/>
      <c r="AB288" s="377"/>
      <c r="AC288" s="377"/>
      <c r="AD288" s="381"/>
      <c r="AE288" s="383"/>
      <c r="AF288" s="383" t="s">
        <v>1096</v>
      </c>
    </row>
    <row r="289">
      <c r="A289" s="371"/>
      <c r="B289" s="372"/>
      <c r="C289" s="373"/>
      <c r="D289" s="374" t="s">
        <v>1071</v>
      </c>
      <c r="E289" s="377">
        <v>206.5</v>
      </c>
      <c r="F289" s="376"/>
      <c r="G289" s="377">
        <v>505</v>
      </c>
      <c r="H289" s="377">
        <v>10</v>
      </c>
      <c r="I289" s="378">
        <f t="shared" si="47"/>
      </c>
      <c r="J289" s="379">
        <f t="shared" si="86"/>
      </c>
      <c r="K289" s="377">
        <v>1</v>
      </c>
      <c r="L289" s="379">
        <f t="shared" si="9"/>
      </c>
      <c r="M289" s="377">
        <v>0</v>
      </c>
      <c r="N289" s="380">
        <f t="shared" si="28"/>
      </c>
      <c r="O289" s="377">
        <v>0</v>
      </c>
      <c r="P289" s="380">
        <f t="shared" si="66"/>
      </c>
      <c r="Q289" s="381"/>
      <c r="R289" s="377"/>
      <c r="S289" s="381"/>
      <c r="T289" s="377"/>
      <c r="U289" s="382"/>
      <c r="V289" s="383"/>
      <c r="W289" s="377"/>
      <c r="X289" s="383"/>
      <c r="Y289" s="381"/>
      <c r="Z289" s="383"/>
      <c r="AA289" s="383"/>
      <c r="AB289" s="377"/>
      <c r="AC289" s="377"/>
      <c r="AD289" s="381"/>
      <c r="AE289" s="383"/>
      <c r="AF289" s="383"/>
    </row>
    <row r="290">
      <c r="A290" s="371"/>
      <c r="B290" s="372" t="s">
        <v>1074</v>
      </c>
      <c r="C290" s="373" t="s">
        <v>1087</v>
      </c>
      <c r="D290" s="374" t="s">
        <v>1067</v>
      </c>
      <c r="E290" s="375">
        <v>409.45</v>
      </c>
      <c r="F290" s="376">
        <f>E290+E291+E292</f>
      </c>
      <c r="G290" s="377">
        <v>3253</v>
      </c>
      <c r="H290" s="377">
        <v>108</v>
      </c>
      <c r="I290" s="378">
        <f t="shared" si="47"/>
      </c>
      <c r="J290" s="379">
        <f t="shared" si="86"/>
      </c>
      <c r="K290" s="377">
        <v>9</v>
      </c>
      <c r="L290" s="379">
        <f t="shared" si="9"/>
      </c>
      <c r="M290" s="377">
        <v>0</v>
      </c>
      <c r="N290" s="380">
        <f t="shared" si="28"/>
      </c>
      <c r="O290" s="377">
        <v>2</v>
      </c>
      <c r="P290" s="380">
        <f t="shared" si="66"/>
      </c>
      <c r="Q290" s="381">
        <f>(M290+M292+M291)/(O290+O292+O291)</f>
      </c>
      <c r="R290" s="377">
        <v>5</v>
      </c>
      <c r="S290" s="381">
        <f>(O290+O292)/(K290+K292)</f>
      </c>
      <c r="T290" s="377">
        <v>0</v>
      </c>
      <c r="U290" s="382">
        <f>F290/T290</f>
      </c>
      <c r="V290" s="383">
        <f>(F290+4*500)/T290</f>
      </c>
      <c r="W290" s="377">
        <v>0</v>
      </c>
      <c r="X290" s="383">
        <f>W290/T290</f>
      </c>
      <c r="Y290" s="381">
        <f>T290/R290</f>
      </c>
      <c r="Z290" s="383">
        <f>W290/F290</f>
      </c>
      <c r="AA290" s="383">
        <f>W290/(F290+500)</f>
      </c>
      <c r="AB290" s="377">
        <v>0</v>
      </c>
      <c r="AC290" s="377">
        <v>0</v>
      </c>
      <c r="AD290" s="381">
        <f>AB290/T290</f>
      </c>
      <c r="AE290" s="383">
        <f>(W290-AC290)/(F290+500)</f>
      </c>
      <c r="AF290" s="383" t="s">
        <v>1092</v>
      </c>
    </row>
    <row r="291">
      <c r="A291" s="371"/>
      <c r="B291" s="372"/>
      <c r="C291" s="373"/>
      <c r="D291" s="374" t="s">
        <v>1069</v>
      </c>
      <c r="E291" s="384">
        <v>83.2</v>
      </c>
      <c r="F291" s="376"/>
      <c r="G291" s="377">
        <v>1307</v>
      </c>
      <c r="H291" s="377">
        <v>40</v>
      </c>
      <c r="I291" s="378">
        <f t="shared" si="47"/>
      </c>
      <c r="J291" s="379">
        <f t="shared" si="86"/>
      </c>
      <c r="K291" s="377">
        <v>4</v>
      </c>
      <c r="L291" s="379">
        <f t="shared" si="9"/>
      </c>
      <c r="M291" s="377">
        <v>0</v>
      </c>
      <c r="N291" s="380">
        <f t="shared" si="28"/>
      </c>
      <c r="O291" s="377">
        <v>0</v>
      </c>
      <c r="P291" s="380">
        <f t="shared" si="66"/>
      </c>
      <c r="Q291" s="381"/>
      <c r="R291" s="377"/>
      <c r="S291" s="381"/>
      <c r="T291" s="377"/>
      <c r="U291" s="382"/>
      <c r="V291" s="383"/>
      <c r="W291" s="377"/>
      <c r="X291" s="383"/>
      <c r="Y291" s="381"/>
      <c r="Z291" s="383"/>
      <c r="AA291" s="383"/>
      <c r="AB291" s="377"/>
      <c r="AC291" s="377"/>
      <c r="AD291" s="381"/>
      <c r="AE291" s="383"/>
      <c r="AF291" s="383" t="s">
        <v>1096</v>
      </c>
    </row>
    <row r="292">
      <c r="A292" s="371"/>
      <c r="B292" s="372"/>
      <c r="C292" s="373"/>
      <c r="D292" s="374" t="s">
        <v>1071</v>
      </c>
      <c r="E292" s="377">
        <v>327.19</v>
      </c>
      <c r="F292" s="376"/>
      <c r="G292" s="377">
        <v>412</v>
      </c>
      <c r="H292" s="377">
        <v>13</v>
      </c>
      <c r="I292" s="378">
        <f t="shared" si="47"/>
      </c>
      <c r="J292" s="379">
        <f t="shared" si="86"/>
      </c>
      <c r="K292" s="377">
        <v>4</v>
      </c>
      <c r="L292" s="379">
        <f t="shared" si="9"/>
      </c>
      <c r="M292" s="377">
        <v>0</v>
      </c>
      <c r="N292" s="380">
        <f t="shared" si="28"/>
      </c>
      <c r="O292" s="377">
        <v>2</v>
      </c>
      <c r="P292" s="380">
        <f t="shared" si="66"/>
      </c>
      <c r="Q292" s="381"/>
      <c r="R292" s="377"/>
      <c r="S292" s="381"/>
      <c r="T292" s="377"/>
      <c r="U292" s="382"/>
      <c r="V292" s="383"/>
      <c r="W292" s="377"/>
      <c r="X292" s="383"/>
      <c r="Y292" s="381"/>
      <c r="Z292" s="383"/>
      <c r="AA292" s="383"/>
      <c r="AB292" s="377"/>
      <c r="AC292" s="377"/>
      <c r="AD292" s="381"/>
      <c r="AE292" s="383"/>
      <c r="AF292" s="383"/>
    </row>
    <row r="293">
      <c r="A293" s="371"/>
      <c r="B293" s="372" t="s">
        <v>1075</v>
      </c>
      <c r="C293" s="373" t="s">
        <v>1087</v>
      </c>
      <c r="D293" s="374" t="s">
        <v>1067</v>
      </c>
      <c r="E293" s="375">
        <v>248.82</v>
      </c>
      <c r="F293" s="376">
        <f>E293+E294+E295</f>
      </c>
      <c r="G293" s="377">
        <v>1701</v>
      </c>
      <c r="H293" s="377">
        <v>25</v>
      </c>
      <c r="I293" s="378">
        <f t="shared" si="47"/>
      </c>
      <c r="J293" s="379">
        <f t="shared" si="86"/>
      </c>
      <c r="K293" s="377">
        <v>3</v>
      </c>
      <c r="L293" s="379">
        <f t="shared" si="9"/>
      </c>
      <c r="M293" s="377">
        <v>0</v>
      </c>
      <c r="N293" s="380">
        <f t="shared" si="28"/>
      </c>
      <c r="O293" s="377">
        <v>1</v>
      </c>
      <c r="P293" s="380">
        <f t="shared" si="66"/>
      </c>
      <c r="Q293" s="381">
        <f>(M293+M295+M294)/(O293+O295+O294)</f>
      </c>
      <c r="R293" s="377">
        <v>3</v>
      </c>
      <c r="S293" s="381">
        <f>(O293+O295)/(K293+K295)</f>
      </c>
      <c r="T293" s="377">
        <v>1</v>
      </c>
      <c r="U293" s="382">
        <f>F293/T293</f>
      </c>
      <c r="V293" s="383">
        <f>(F293+4*500)/T293</f>
      </c>
      <c r="W293" s="377">
        <v>715.2000000000003</v>
      </c>
      <c r="X293" s="383">
        <f>W293/T293</f>
      </c>
      <c r="Y293" s="381">
        <f>T293/R293</f>
      </c>
      <c r="Z293" s="383">
        <f>W293/F293</f>
      </c>
      <c r="AA293" s="383">
        <f>W293/(F293+500)</f>
      </c>
      <c r="AB293" s="377">
        <v>0</v>
      </c>
      <c r="AC293" s="377">
        <v>0</v>
      </c>
      <c r="AD293" s="381">
        <f>AB293/T293</f>
      </c>
      <c r="AE293" s="383">
        <f>(W293-AC293)/(F293+500)</f>
      </c>
      <c r="AF293" s="383" t="s">
        <v>1092</v>
      </c>
    </row>
    <row r="294">
      <c r="A294" s="371"/>
      <c r="B294" s="372"/>
      <c r="C294" s="373"/>
      <c r="D294" s="374" t="s">
        <v>1069</v>
      </c>
      <c r="E294" s="384">
        <v>75.41</v>
      </c>
      <c r="F294" s="376"/>
      <c r="G294" s="377">
        <v>983</v>
      </c>
      <c r="H294" s="377">
        <v>33</v>
      </c>
      <c r="I294" s="378">
        <f t="shared" si="47"/>
      </c>
      <c r="J294" s="379">
        <f t="shared" si="86"/>
      </c>
      <c r="K294" s="377">
        <v>3</v>
      </c>
      <c r="L294" s="379">
        <f t="shared" si="9"/>
      </c>
      <c r="M294" s="377">
        <v>0</v>
      </c>
      <c r="N294" s="380">
        <f t="shared" si="28"/>
      </c>
      <c r="O294" s="377">
        <v>0</v>
      </c>
      <c r="P294" s="380">
        <f t="shared" si="66"/>
      </c>
      <c r="Q294" s="381"/>
      <c r="R294" s="377"/>
      <c r="S294" s="381"/>
      <c r="T294" s="377"/>
      <c r="U294" s="382"/>
      <c r="V294" s="383"/>
      <c r="W294" s="377"/>
      <c r="X294" s="383"/>
      <c r="Y294" s="381"/>
      <c r="Z294" s="383"/>
      <c r="AA294" s="383"/>
      <c r="AB294" s="377"/>
      <c r="AC294" s="377"/>
      <c r="AD294" s="381"/>
      <c r="AE294" s="383"/>
      <c r="AF294" s="383" t="s">
        <v>1096</v>
      </c>
    </row>
    <row r="295">
      <c r="A295" s="371"/>
      <c r="B295" s="372"/>
      <c r="C295" s="373"/>
      <c r="D295" s="374" t="s">
        <v>1071</v>
      </c>
      <c r="E295" s="377">
        <v>334.44</v>
      </c>
      <c r="F295" s="376"/>
      <c r="G295" s="377">
        <v>430</v>
      </c>
      <c r="H295" s="377">
        <v>13</v>
      </c>
      <c r="I295" s="378">
        <f t="shared" si="47"/>
      </c>
      <c r="J295" s="379">
        <f t="shared" si="86"/>
      </c>
      <c r="K295" s="377">
        <v>3</v>
      </c>
      <c r="L295" s="379">
        <f t="shared" si="9"/>
      </c>
      <c r="M295" s="377">
        <v>0</v>
      </c>
      <c r="N295" s="380">
        <f t="shared" si="28"/>
      </c>
      <c r="O295" s="377">
        <v>1</v>
      </c>
      <c r="P295" s="380">
        <f t="shared" si="66"/>
      </c>
      <c r="Q295" s="381"/>
      <c r="R295" s="377"/>
      <c r="S295" s="381"/>
      <c r="T295" s="377"/>
      <c r="U295" s="382"/>
      <c r="V295" s="383"/>
      <c r="W295" s="377"/>
      <c r="X295" s="383"/>
      <c r="Y295" s="381"/>
      <c r="Z295" s="383"/>
      <c r="AA295" s="383"/>
      <c r="AB295" s="377"/>
      <c r="AC295" s="377"/>
      <c r="AD295" s="381"/>
      <c r="AE295" s="383"/>
      <c r="AF295" s="383"/>
    </row>
    <row r="296">
      <c r="A296" s="371"/>
      <c r="B296" s="372" t="s">
        <v>1077</v>
      </c>
      <c r="C296" s="373" t="s">
        <v>1076</v>
      </c>
      <c r="D296" s="374" t="s">
        <v>1067</v>
      </c>
      <c r="E296" s="375">
        <v>241.41</v>
      </c>
      <c r="F296" s="376">
        <f>E296+E297+E298</f>
      </c>
      <c r="G296" s="377">
        <v>1575</v>
      </c>
      <c r="H296" s="377">
        <v>28</v>
      </c>
      <c r="I296" s="378">
        <f t="shared" si="47"/>
      </c>
      <c r="J296" s="379">
        <f t="shared" si="86"/>
      </c>
      <c r="K296" s="377">
        <v>0</v>
      </c>
      <c r="L296" s="379">
        <f t="shared" si="9"/>
      </c>
      <c r="M296" s="377">
        <v>0</v>
      </c>
      <c r="N296" s="380">
        <f t="shared" si="28"/>
      </c>
      <c r="O296" s="377">
        <v>0</v>
      </c>
      <c r="P296" s="380">
        <f t="shared" si="66"/>
      </c>
      <c r="Q296" s="381">
        <f>(M296+M298+M297)/(O296+O298+O297)</f>
      </c>
      <c r="R296" s="377">
        <v>0</v>
      </c>
      <c r="S296" s="381">
        <f>(O296+O298)/(K296+K298)</f>
      </c>
      <c r="T296" s="377">
        <v>0</v>
      </c>
      <c r="U296" s="382">
        <f>F296/T296</f>
      </c>
      <c r="V296" s="383">
        <f>(F296+4*500)/T296</f>
      </c>
      <c r="W296" s="377">
        <v>0</v>
      </c>
      <c r="X296" s="383">
        <f>W296/T296</f>
      </c>
      <c r="Y296" s="381">
        <f>T296/R296</f>
      </c>
      <c r="Z296" s="383">
        <f>W296/F296</f>
      </c>
      <c r="AA296" s="383">
        <f>W296/(F296+500)</f>
      </c>
      <c r="AB296" s="377">
        <v>0</v>
      </c>
      <c r="AC296" s="377">
        <v>0</v>
      </c>
      <c r="AD296" s="381">
        <f>AB296/T296</f>
      </c>
      <c r="AE296" s="383">
        <f>(W296-AC296)/(F296+500)</f>
      </c>
      <c r="AF296" s="383" t="s">
        <v>1092</v>
      </c>
    </row>
    <row r="297">
      <c r="A297" s="371"/>
      <c r="B297" s="372"/>
      <c r="C297" s="373"/>
      <c r="D297" s="374" t="s">
        <v>1069</v>
      </c>
      <c r="E297" s="384">
        <v>226.73</v>
      </c>
      <c r="F297" s="376"/>
      <c r="G297" s="377">
        <v>1079</v>
      </c>
      <c r="H297" s="377">
        <v>50</v>
      </c>
      <c r="I297" s="378">
        <f t="shared" si="47"/>
      </c>
      <c r="J297" s="379">
        <f t="shared" si="86"/>
      </c>
      <c r="K297" s="377">
        <v>1</v>
      </c>
      <c r="L297" s="379">
        <f t="shared" si="9"/>
      </c>
      <c r="M297" s="377">
        <v>0</v>
      </c>
      <c r="N297" s="380">
        <f t="shared" si="28"/>
      </c>
      <c r="O297" s="377">
        <v>0</v>
      </c>
      <c r="P297" s="380">
        <f t="shared" si="66"/>
      </c>
      <c r="Q297" s="381"/>
      <c r="R297" s="377"/>
      <c r="S297" s="381"/>
      <c r="T297" s="377"/>
      <c r="U297" s="382"/>
      <c r="V297" s="383"/>
      <c r="W297" s="377"/>
      <c r="X297" s="383"/>
      <c r="Y297" s="381"/>
      <c r="Z297" s="383"/>
      <c r="AA297" s="383"/>
      <c r="AB297" s="377"/>
      <c r="AC297" s="377"/>
      <c r="AD297" s="381"/>
      <c r="AE297" s="383"/>
      <c r="AF297" s="383" t="s">
        <v>1096</v>
      </c>
    </row>
    <row r="298">
      <c r="A298" s="371"/>
      <c r="B298" s="372"/>
      <c r="C298" s="373"/>
      <c r="D298" s="374" t="s">
        <v>1071</v>
      </c>
      <c r="E298" s="377">
        <v>10.48</v>
      </c>
      <c r="F298" s="376"/>
      <c r="G298" s="377">
        <v>64</v>
      </c>
      <c r="H298" s="377">
        <v>0</v>
      </c>
      <c r="I298" s="378">
        <f t="shared" si="47"/>
      </c>
      <c r="J298" s="379">
        <f t="shared" si="86"/>
      </c>
      <c r="K298" s="377">
        <v>0</v>
      </c>
      <c r="L298" s="379">
        <f t="shared" si="9"/>
      </c>
      <c r="M298" s="377">
        <v>0</v>
      </c>
      <c r="N298" s="380">
        <f t="shared" si="28"/>
      </c>
      <c r="O298" s="377">
        <v>0</v>
      </c>
      <c r="P298" s="380">
        <f t="shared" si="66"/>
      </c>
      <c r="Q298" s="381"/>
      <c r="R298" s="377"/>
      <c r="S298" s="381"/>
      <c r="T298" s="377"/>
      <c r="U298" s="382"/>
      <c r="V298" s="383"/>
      <c r="W298" s="377"/>
      <c r="X298" s="383"/>
      <c r="Y298" s="381"/>
      <c r="Z298" s="383"/>
      <c r="AA298" s="383"/>
      <c r="AB298" s="377"/>
      <c r="AC298" s="377"/>
      <c r="AD298" s="381"/>
      <c r="AE298" s="383"/>
      <c r="AF298" s="383"/>
    </row>
    <row r="299">
      <c r="A299" s="371"/>
      <c r="B299" s="385" t="s">
        <v>1078</v>
      </c>
      <c r="C299" s="373" t="s">
        <v>1076</v>
      </c>
      <c r="D299" s="374" t="s">
        <v>1067</v>
      </c>
      <c r="E299" s="375">
        <v>252.95</v>
      </c>
      <c r="F299" s="376">
        <f>E299+E300+E301</f>
      </c>
      <c r="G299" s="377">
        <v>1912</v>
      </c>
      <c r="H299" s="377">
        <v>32</v>
      </c>
      <c r="I299" s="378">
        <f t="shared" si="47"/>
      </c>
      <c r="J299" s="379">
        <f t="shared" si="86"/>
      </c>
      <c r="K299" s="377">
        <v>1</v>
      </c>
      <c r="L299" s="379">
        <f t="shared" si="9"/>
      </c>
      <c r="M299" s="377">
        <v>0</v>
      </c>
      <c r="N299" s="380">
        <f t="shared" si="28"/>
      </c>
      <c r="O299" s="377">
        <v>0</v>
      </c>
      <c r="P299" s="380">
        <f t="shared" si="66"/>
      </c>
      <c r="Q299" s="381">
        <f>(M299+M301+M300)/(O299+O301+O300)</f>
      </c>
      <c r="R299" s="377">
        <v>4</v>
      </c>
      <c r="S299" s="381">
        <f>(O299+O301)/(K299+K301)</f>
      </c>
      <c r="T299" s="377">
        <v>2</v>
      </c>
      <c r="U299" s="382">
        <f>F299/T299</f>
      </c>
      <c r="V299" s="383">
        <f>(F299+4*500)/T299</f>
      </c>
      <c r="W299" s="377">
        <v>2225.9999999999995</v>
      </c>
      <c r="X299" s="383">
        <f>W299/T299</f>
      </c>
      <c r="Y299" s="381">
        <f>T299/R299</f>
      </c>
      <c r="Z299" s="383">
        <f>W299/F299</f>
      </c>
      <c r="AA299" s="383">
        <f>W299/(F299+500)</f>
      </c>
      <c r="AB299" s="377">
        <v>0</v>
      </c>
      <c r="AC299" s="377">
        <v>0</v>
      </c>
      <c r="AD299" s="381">
        <f>AB299/T299</f>
      </c>
      <c r="AE299" s="383">
        <f>(W299-AC299)/(F299+500)</f>
      </c>
      <c r="AF299" s="383" t="s">
        <v>1092</v>
      </c>
    </row>
    <row r="300">
      <c r="A300" s="371"/>
      <c r="B300" s="385"/>
      <c r="C300" s="373"/>
      <c r="D300" s="374" t="s">
        <v>1069</v>
      </c>
      <c r="E300" s="384">
        <v>425.25</v>
      </c>
      <c r="F300" s="376"/>
      <c r="G300" s="377">
        <v>1258</v>
      </c>
      <c r="H300" s="377">
        <v>62</v>
      </c>
      <c r="I300" s="378">
        <f t="shared" si="47"/>
      </c>
      <c r="J300" s="379">
        <f t="shared" si="86"/>
      </c>
      <c r="K300" s="377">
        <v>12</v>
      </c>
      <c r="L300" s="379">
        <f t="shared" si="9"/>
      </c>
      <c r="M300" s="377">
        <v>1</v>
      </c>
      <c r="N300" s="380">
        <f t="shared" si="28"/>
      </c>
      <c r="O300" s="377">
        <v>1</v>
      </c>
      <c r="P300" s="380">
        <f t="shared" si="66"/>
      </c>
      <c r="Q300" s="381"/>
      <c r="R300" s="377"/>
      <c r="S300" s="381"/>
      <c r="T300" s="377"/>
      <c r="U300" s="382"/>
      <c r="V300" s="383"/>
      <c r="W300" s="377"/>
      <c r="X300" s="383"/>
      <c r="Y300" s="381"/>
      <c r="Z300" s="383"/>
      <c r="AA300" s="383"/>
      <c r="AB300" s="377"/>
      <c r="AC300" s="377"/>
      <c r="AD300" s="381"/>
      <c r="AE300" s="383"/>
      <c r="AF300" s="383" t="s">
        <v>1096</v>
      </c>
    </row>
    <row r="301">
      <c r="A301" s="371"/>
      <c r="B301" s="385"/>
      <c r="C301" s="373"/>
      <c r="D301" s="374" t="s">
        <v>1071</v>
      </c>
      <c r="E301" s="377">
        <v>6.21</v>
      </c>
      <c r="F301" s="376"/>
      <c r="G301" s="377">
        <v>48</v>
      </c>
      <c r="H301" s="377">
        <v>4</v>
      </c>
      <c r="I301" s="378">
        <f t="shared" si="47"/>
      </c>
      <c r="J301" s="379">
        <f t="shared" si="86"/>
      </c>
      <c r="K301" s="377">
        <v>0</v>
      </c>
      <c r="L301" s="379">
        <f t="shared" si="9"/>
      </c>
      <c r="M301" s="377">
        <v>0</v>
      </c>
      <c r="N301" s="380">
        <f t="shared" si="28"/>
      </c>
      <c r="O301" s="377">
        <v>0</v>
      </c>
      <c r="P301" s="380">
        <f t="shared" si="66"/>
      </c>
      <c r="Q301" s="381"/>
      <c r="R301" s="377"/>
      <c r="S301" s="381"/>
      <c r="T301" s="377"/>
      <c r="U301" s="382"/>
      <c r="V301" s="383"/>
      <c r="W301" s="377"/>
      <c r="X301" s="383"/>
      <c r="Y301" s="381"/>
      <c r="Z301" s="383"/>
      <c r="AA301" s="383"/>
      <c r="AB301" s="377"/>
      <c r="AC301" s="377"/>
      <c r="AD301" s="381"/>
      <c r="AE301" s="383"/>
      <c r="AF301" s="383"/>
    </row>
    <row r="302">
      <c r="A302" s="371"/>
      <c r="B302" s="372" t="s">
        <v>1079</v>
      </c>
      <c r="C302" s="373" t="s">
        <v>1076</v>
      </c>
      <c r="D302" s="374" t="s">
        <v>1067</v>
      </c>
      <c r="E302" s="375">
        <v>154.89</v>
      </c>
      <c r="F302" s="376">
        <f>E302+E303+E304</f>
      </c>
      <c r="G302" s="377">
        <v>1142</v>
      </c>
      <c r="H302" s="377">
        <v>31</v>
      </c>
      <c r="I302" s="378">
        <f t="shared" si="47"/>
      </c>
      <c r="J302" s="379">
        <f t="shared" si="86"/>
      </c>
      <c r="K302" s="377">
        <v>0</v>
      </c>
      <c r="L302" s="379">
        <f t="shared" si="9"/>
      </c>
      <c r="M302" s="377">
        <v>0</v>
      </c>
      <c r="N302" s="380">
        <f t="shared" si="28"/>
      </c>
      <c r="O302" s="377">
        <v>0</v>
      </c>
      <c r="P302" s="380">
        <f t="shared" si="66"/>
      </c>
      <c r="Q302" s="381">
        <f>(M302+M304+M303)/(O302+O304+O303)</f>
      </c>
      <c r="R302" s="377">
        <v>1</v>
      </c>
      <c r="S302" s="381">
        <f>(O302+O304)/(K302+K304)</f>
      </c>
      <c r="T302" s="377">
        <v>0</v>
      </c>
      <c r="U302" s="382">
        <f>F302/T302</f>
      </c>
      <c r="V302" s="383">
        <f>(F302+4*500)/T302</f>
      </c>
      <c r="W302" s="377">
        <v>0</v>
      </c>
      <c r="X302" s="383">
        <f>W302/T302</f>
      </c>
      <c r="Y302" s="381">
        <f>T302/R302</f>
      </c>
      <c r="Z302" s="383">
        <f>W302/F302</f>
      </c>
      <c r="AA302" s="383">
        <f>W302/(F302+500)</f>
      </c>
      <c r="AB302" s="377">
        <v>0</v>
      </c>
      <c r="AC302" s="377">
        <v>0</v>
      </c>
      <c r="AD302" s="381">
        <f>AB302/T302</f>
      </c>
      <c r="AE302" s="383">
        <f>(W302-AC302)/(F302+500)</f>
      </c>
      <c r="AF302" s="383" t="s">
        <v>1092</v>
      </c>
    </row>
    <row r="303">
      <c r="A303" s="371"/>
      <c r="B303" s="372"/>
      <c r="C303" s="373"/>
      <c r="D303" s="374" t="s">
        <v>1069</v>
      </c>
      <c r="E303" s="384">
        <v>128.06</v>
      </c>
      <c r="F303" s="376"/>
      <c r="G303" s="377">
        <v>958</v>
      </c>
      <c r="H303" s="377">
        <v>43</v>
      </c>
      <c r="I303" s="378">
        <f t="shared" si="47"/>
      </c>
      <c r="J303" s="379">
        <f t="shared" si="86"/>
      </c>
      <c r="K303" s="377">
        <v>2</v>
      </c>
      <c r="L303" s="379">
        <f t="shared" si="9"/>
      </c>
      <c r="M303" s="377">
        <v>0</v>
      </c>
      <c r="N303" s="380">
        <f t="shared" si="28"/>
      </c>
      <c r="O303" s="377">
        <v>1</v>
      </c>
      <c r="P303" s="380">
        <f t="shared" si="66"/>
      </c>
      <c r="Q303" s="381"/>
      <c r="R303" s="377"/>
      <c r="S303" s="381"/>
      <c r="T303" s="377"/>
      <c r="U303" s="382"/>
      <c r="V303" s="383"/>
      <c r="W303" s="377"/>
      <c r="X303" s="383"/>
      <c r="Y303" s="381"/>
      <c r="Z303" s="383"/>
      <c r="AA303" s="383"/>
      <c r="AB303" s="377"/>
      <c r="AC303" s="377"/>
      <c r="AD303" s="381"/>
      <c r="AE303" s="383"/>
      <c r="AF303" s="383" t="s">
        <v>1096</v>
      </c>
    </row>
    <row r="304">
      <c r="A304" s="371"/>
      <c r="B304" s="372"/>
      <c r="C304" s="373"/>
      <c r="D304" s="374" t="s">
        <v>1071</v>
      </c>
      <c r="E304" s="377">
        <v>4.35</v>
      </c>
      <c r="F304" s="376"/>
      <c r="G304" s="377">
        <v>39</v>
      </c>
      <c r="H304" s="377">
        <v>2</v>
      </c>
      <c r="I304" s="378">
        <f t="shared" si="47"/>
      </c>
      <c r="J304" s="379">
        <f t="shared" si="86"/>
      </c>
      <c r="K304" s="377">
        <v>0</v>
      </c>
      <c r="L304" s="379">
        <f t="shared" si="9"/>
      </c>
      <c r="M304" s="377">
        <v>0</v>
      </c>
      <c r="N304" s="380">
        <f t="shared" si="28"/>
      </c>
      <c r="O304" s="377">
        <v>0</v>
      </c>
      <c r="P304" s="380">
        <f t="shared" si="66"/>
      </c>
      <c r="Q304" s="381"/>
      <c r="R304" s="377"/>
      <c r="S304" s="381"/>
      <c r="T304" s="377"/>
      <c r="U304" s="382"/>
      <c r="V304" s="383"/>
      <c r="W304" s="377"/>
      <c r="X304" s="383"/>
      <c r="Y304" s="381"/>
      <c r="Z304" s="383"/>
      <c r="AA304" s="383"/>
      <c r="AB304" s="377"/>
      <c r="AC304" s="377"/>
      <c r="AD304" s="381"/>
      <c r="AE304" s="383"/>
      <c r="AF304" s="383"/>
    </row>
    <row r="305">
      <c r="A305" s="371"/>
      <c r="B305" s="372" t="s">
        <v>1080</v>
      </c>
      <c r="C305" s="373" t="s">
        <v>1076</v>
      </c>
      <c r="D305" s="374" t="s">
        <v>1067</v>
      </c>
      <c r="E305" s="375">
        <v>112.86</v>
      </c>
      <c r="F305" s="376">
        <f>E305+E306+E307</f>
      </c>
      <c r="G305" s="377">
        <v>825</v>
      </c>
      <c r="H305" s="377">
        <v>25</v>
      </c>
      <c r="I305" s="378">
        <f t="shared" si="47"/>
      </c>
      <c r="J305" s="379">
        <f t="shared" si="86"/>
      </c>
      <c r="K305" s="377">
        <v>2</v>
      </c>
      <c r="L305" s="379">
        <f t="shared" si="9"/>
      </c>
      <c r="M305" s="377">
        <v>0</v>
      </c>
      <c r="N305" s="380">
        <f t="shared" si="28"/>
      </c>
      <c r="O305" s="377">
        <v>0</v>
      </c>
      <c r="P305" s="380">
        <f t="shared" si="66"/>
      </c>
      <c r="Q305" s="381">
        <f>(M305+M307+M306)/(O305+O307+O306)</f>
      </c>
      <c r="R305" s="377">
        <v>0</v>
      </c>
      <c r="S305" s="381">
        <f>(O305+O307)/(K305+K307)</f>
      </c>
      <c r="T305" s="377">
        <v>0</v>
      </c>
      <c r="U305" s="382">
        <f>F305/T305</f>
      </c>
      <c r="V305" s="383">
        <f>(F305+4*500)/T305</f>
      </c>
      <c r="W305" s="377">
        <v>0</v>
      </c>
      <c r="X305" s="383">
        <f>W305/T305</f>
      </c>
      <c r="Y305" s="381">
        <f>T305/R305</f>
      </c>
      <c r="Z305" s="383">
        <f>W305/F305</f>
      </c>
      <c r="AA305" s="383">
        <f>W305/(F305+500)</f>
      </c>
      <c r="AB305" s="377">
        <v>0</v>
      </c>
      <c r="AC305" s="377">
        <v>0</v>
      </c>
      <c r="AD305" s="381">
        <f>AB305/T305</f>
      </c>
      <c r="AE305" s="383">
        <f>(W305-AC305)/(F305+500)</f>
      </c>
      <c r="AF305" s="383" t="s">
        <v>1092</v>
      </c>
    </row>
    <row r="306">
      <c r="A306" s="371"/>
      <c r="B306" s="372"/>
      <c r="C306" s="373"/>
      <c r="D306" s="374" t="s">
        <v>1069</v>
      </c>
      <c r="E306" s="384">
        <v>135.04</v>
      </c>
      <c r="F306" s="376"/>
      <c r="G306" s="377">
        <v>705</v>
      </c>
      <c r="H306" s="377">
        <v>34</v>
      </c>
      <c r="I306" s="378">
        <f t="shared" si="47"/>
      </c>
      <c r="J306" s="379">
        <f t="shared" si="86"/>
      </c>
      <c r="K306" s="377">
        <v>2</v>
      </c>
      <c r="L306" s="379">
        <f t="shared" si="9"/>
      </c>
      <c r="M306" s="377">
        <v>0</v>
      </c>
      <c r="N306" s="380">
        <f t="shared" si="28"/>
      </c>
      <c r="O306" s="377">
        <v>0</v>
      </c>
      <c r="P306" s="380">
        <f t="shared" si="66"/>
      </c>
      <c r="Q306" s="381"/>
      <c r="R306" s="377"/>
      <c r="S306" s="381"/>
      <c r="T306" s="377"/>
      <c r="U306" s="382"/>
      <c r="V306" s="383"/>
      <c r="W306" s="377"/>
      <c r="X306" s="383"/>
      <c r="Y306" s="381"/>
      <c r="Z306" s="383"/>
      <c r="AA306" s="383"/>
      <c r="AB306" s="377"/>
      <c r="AC306" s="377"/>
      <c r="AD306" s="381"/>
      <c r="AE306" s="383"/>
      <c r="AF306" s="383" t="s">
        <v>1096</v>
      </c>
    </row>
    <row r="307">
      <c r="A307" s="371"/>
      <c r="B307" s="372"/>
      <c r="C307" s="373"/>
      <c r="D307" s="374" t="s">
        <v>1071</v>
      </c>
      <c r="E307" s="377">
        <v>7.12</v>
      </c>
      <c r="F307" s="376"/>
      <c r="G307" s="377">
        <v>40</v>
      </c>
      <c r="H307" s="377">
        <v>0</v>
      </c>
      <c r="I307" s="378">
        <f t="shared" si="47"/>
      </c>
      <c r="J307" s="379">
        <f t="shared" si="86"/>
      </c>
      <c r="K307" s="377">
        <v>0</v>
      </c>
      <c r="L307" s="379">
        <f t="shared" si="9"/>
      </c>
      <c r="M307" s="377">
        <v>0</v>
      </c>
      <c r="N307" s="380">
        <f t="shared" si="28"/>
      </c>
      <c r="O307" s="377">
        <v>0</v>
      </c>
      <c r="P307" s="380">
        <f t="shared" si="66"/>
      </c>
      <c r="Q307" s="381"/>
      <c r="R307" s="377"/>
      <c r="S307" s="381"/>
      <c r="T307" s="377"/>
      <c r="U307" s="382"/>
      <c r="V307" s="383"/>
      <c r="W307" s="377"/>
      <c r="X307" s="383"/>
      <c r="Y307" s="381"/>
      <c r="Z307" s="383"/>
      <c r="AA307" s="383"/>
      <c r="AB307" s="377"/>
      <c r="AC307" s="377"/>
      <c r="AD307" s="381"/>
      <c r="AE307" s="383"/>
      <c r="AF307" s="383"/>
    </row>
    <row r="308">
      <c r="A308" s="371"/>
      <c r="B308" s="372" t="s">
        <v>1082</v>
      </c>
      <c r="C308" s="373" t="s">
        <v>1076</v>
      </c>
      <c r="D308" s="374" t="s">
        <v>1067</v>
      </c>
      <c r="E308" s="375">
        <v>158.42</v>
      </c>
      <c r="F308" s="376">
        <f>E308+E309+E310</f>
      </c>
      <c r="G308" s="377">
        <v>968</v>
      </c>
      <c r="H308" s="377">
        <v>29</v>
      </c>
      <c r="I308" s="378">
        <f t="shared" si="47"/>
      </c>
      <c r="J308" s="379">
        <f t="shared" si="86"/>
      </c>
      <c r="K308" s="377">
        <v>0</v>
      </c>
      <c r="L308" s="379">
        <f t="shared" si="9"/>
      </c>
      <c r="M308" s="377">
        <v>0</v>
      </c>
      <c r="N308" s="380">
        <f t="shared" si="28"/>
      </c>
      <c r="O308" s="377">
        <v>0</v>
      </c>
      <c r="P308" s="380">
        <f t="shared" si="66"/>
      </c>
      <c r="Q308" s="381">
        <f>(M308+M310+M309)/(O308+O310+O309)</f>
      </c>
      <c r="R308" s="377">
        <v>0</v>
      </c>
      <c r="S308" s="381">
        <f>(O308+O310)/(K308+K310)</f>
      </c>
      <c r="T308" s="377">
        <v>0</v>
      </c>
      <c r="U308" s="382">
        <f>F308/T308</f>
      </c>
      <c r="V308" s="383">
        <f>(F308+4*500)/T308</f>
      </c>
      <c r="W308" s="377">
        <v>0</v>
      </c>
      <c r="X308" s="383">
        <f>W308/T308</f>
      </c>
      <c r="Y308" s="381">
        <f>T308/R308</f>
      </c>
      <c r="Z308" s="383">
        <f>W308/F308</f>
      </c>
      <c r="AA308" s="383">
        <f>W308/(F308+500)</f>
      </c>
      <c r="AB308" s="377">
        <v>0</v>
      </c>
      <c r="AC308" s="377">
        <v>0</v>
      </c>
      <c r="AD308" s="381">
        <f>AB308/T308</f>
      </c>
      <c r="AE308" s="383">
        <f>(W308-AC308)/(F308+500)</f>
      </c>
      <c r="AF308" s="383" t="s">
        <v>1092</v>
      </c>
    </row>
    <row r="309">
      <c r="A309" s="371"/>
      <c r="B309" s="372"/>
      <c r="C309" s="373"/>
      <c r="D309" s="374" t="s">
        <v>1069</v>
      </c>
      <c r="E309" s="384">
        <v>74.51</v>
      </c>
      <c r="F309" s="376"/>
      <c r="G309" s="377">
        <v>811</v>
      </c>
      <c r="H309" s="377">
        <v>36</v>
      </c>
      <c r="I309" s="378">
        <f t="shared" si="47"/>
      </c>
      <c r="J309" s="379">
        <f t="shared" si="86"/>
      </c>
      <c r="K309" s="377">
        <v>0</v>
      </c>
      <c r="L309" s="379">
        <f t="shared" si="9"/>
      </c>
      <c r="M309" s="377">
        <v>0</v>
      </c>
      <c r="N309" s="380">
        <f t="shared" si="28"/>
      </c>
      <c r="O309" s="377">
        <v>0</v>
      </c>
      <c r="P309" s="380">
        <f t="shared" si="66"/>
      </c>
      <c r="Q309" s="381"/>
      <c r="R309" s="377"/>
      <c r="S309" s="381"/>
      <c r="T309" s="377"/>
      <c r="U309" s="382"/>
      <c r="V309" s="383"/>
      <c r="W309" s="377"/>
      <c r="X309" s="383"/>
      <c r="Y309" s="381"/>
      <c r="Z309" s="383"/>
      <c r="AA309" s="383"/>
      <c r="AB309" s="377"/>
      <c r="AC309" s="377"/>
      <c r="AD309" s="381"/>
      <c r="AE309" s="383"/>
      <c r="AF309" s="383" t="s">
        <v>1096</v>
      </c>
    </row>
    <row r="310">
      <c r="A310" s="371"/>
      <c r="B310" s="372"/>
      <c r="C310" s="373"/>
      <c r="D310" s="374" t="s">
        <v>1071</v>
      </c>
      <c r="E310" s="377">
        <v>1.56</v>
      </c>
      <c r="F310" s="376"/>
      <c r="G310" s="377">
        <v>34</v>
      </c>
      <c r="H310" s="377">
        <v>2</v>
      </c>
      <c r="I310" s="378">
        <f t="shared" si="47"/>
      </c>
      <c r="J310" s="379">
        <f t="shared" si="86"/>
      </c>
      <c r="K310" s="377">
        <v>0</v>
      </c>
      <c r="L310" s="379">
        <f t="shared" si="9"/>
      </c>
      <c r="M310" s="377">
        <v>0</v>
      </c>
      <c r="N310" s="380">
        <f t="shared" si="28"/>
      </c>
      <c r="O310" s="377">
        <v>0</v>
      </c>
      <c r="P310" s="380">
        <f t="shared" si="66"/>
      </c>
      <c r="Q310" s="381"/>
      <c r="R310" s="377"/>
      <c r="S310" s="381"/>
      <c r="T310" s="377"/>
      <c r="U310" s="382"/>
      <c r="V310" s="383"/>
      <c r="W310" s="377"/>
      <c r="X310" s="383"/>
      <c r="Y310" s="381"/>
      <c r="Z310" s="383"/>
      <c r="AA310" s="383"/>
      <c r="AB310" s="377"/>
      <c r="AC310" s="377"/>
      <c r="AD310" s="381"/>
      <c r="AE310" s="383"/>
      <c r="AF310" s="383"/>
    </row>
    <row customHeight="true" ht="20.238095238095237" r="311">
      <c r="A311" s="371"/>
      <c r="B311" s="372"/>
      <c r="C311" s="373"/>
      <c r="D311" s="374"/>
      <c r="E311" s="377">
        <f>SUM(E281:E310)</f>
      </c>
      <c r="F311" s="377">
        <f>SUM(F281:F310)</f>
      </c>
      <c r="G311" s="377"/>
      <c r="H311" s="377"/>
      <c r="I311" s="378"/>
      <c r="J311" s="379"/>
      <c r="K311" s="377"/>
      <c r="L311" s="379"/>
      <c r="M311" s="377"/>
      <c r="N311" s="380"/>
      <c r="O311" s="377"/>
      <c r="P311" s="380"/>
      <c r="Q311" s="381"/>
      <c r="R311" s="377"/>
      <c r="S311" s="381"/>
      <c r="T311" s="377">
        <f>SUM(T281:T310)</f>
      </c>
      <c r="U311" s="382"/>
      <c r="V311" s="383"/>
      <c r="W311" s="377">
        <f>SUM(W281:W310)</f>
      </c>
      <c r="X311" s="383"/>
      <c r="Y311" s="381"/>
      <c r="Z311" s="383"/>
      <c r="AA311" s="383"/>
      <c r="AB311" s="377"/>
      <c r="AC311" s="377"/>
      <c r="AD311" s="381"/>
      <c r="AE311" s="383"/>
      <c r="AF311" s="383"/>
    </row>
    <row r="312">
      <c r="A312" s="371" t="s">
        <v>1097</v>
      </c>
      <c r="B312" s="372" t="s">
        <v>1065</v>
      </c>
      <c r="C312" s="373" t="s">
        <v>1076</v>
      </c>
      <c r="D312" s="374" t="s">
        <v>1067</v>
      </c>
      <c r="E312" s="375">
        <v>950.05</v>
      </c>
      <c r="F312" s="376">
        <f>E312+E313+E314</f>
      </c>
      <c r="G312" s="377">
        <v>6731</v>
      </c>
      <c r="H312" s="377">
        <v>969</v>
      </c>
      <c r="I312" s="378">
        <f t="shared" ref="I312:I341" si="48">H312/G312</f>
      </c>
      <c r="J312" s="379">
        <f t="shared" ref="J312:J341" si="87">(E312/G312)*1000</f>
      </c>
      <c r="K312" s="377">
        <v>13</v>
      </c>
      <c r="L312" s="379">
        <f t="shared" ref="L312:L341" si="10">E312/K312</f>
      </c>
      <c r="M312" s="377">
        <v>0</v>
      </c>
      <c r="N312" s="380">
        <f t="shared" ref="N312:N341" si="29">E312/M312</f>
      </c>
      <c r="O312" s="377">
        <v>0</v>
      </c>
      <c r="P312" s="380">
        <f t="shared" ref="P312:P341" si="67">E312/O312</f>
      </c>
      <c r="Q312" s="381">
        <f>(M312+M314+M313)/(O312+O314+O313)</f>
      </c>
      <c r="R312" s="377">
        <v>1</v>
      </c>
      <c r="S312" s="381">
        <f>(O312+O314)/(K312+K314)</f>
      </c>
      <c r="T312" s="377">
        <v>0</v>
      </c>
      <c r="U312" s="382">
        <f>F312/T312</f>
      </c>
      <c r="V312" s="383">
        <f>(F312+4*500)/T312</f>
      </c>
      <c r="W312" s="377">
        <v>0</v>
      </c>
      <c r="X312" s="383">
        <f>W312/T312</f>
      </c>
      <c r="Y312" s="381">
        <f>T312/R312</f>
      </c>
      <c r="Z312" s="383">
        <f>W312/F312</f>
      </c>
      <c r="AA312" s="383">
        <f>W312/(F312+500)</f>
      </c>
      <c r="AB312" s="377">
        <v>0</v>
      </c>
      <c r="AC312" s="377">
        <v>0</v>
      </c>
      <c r="AD312" s="381">
        <f>AB312/T312</f>
      </c>
      <c r="AE312" s="383">
        <f>(W312-AC312)/(F312+500)</f>
      </c>
      <c r="AF312" s="383" t="s">
        <v>1092</v>
      </c>
    </row>
    <row r="313">
      <c r="A313" s="371"/>
      <c r="B313" s="372"/>
      <c r="C313" s="373"/>
      <c r="D313" s="374" t="s">
        <v>1069</v>
      </c>
      <c r="E313" s="384">
        <v>200.61</v>
      </c>
      <c r="F313" s="376"/>
      <c r="G313" s="377">
        <v>1059</v>
      </c>
      <c r="H313" s="377">
        <v>71</v>
      </c>
      <c r="I313" s="378">
        <f t="shared" si="48"/>
      </c>
      <c r="J313" s="379">
        <f t="shared" si="87"/>
      </c>
      <c r="K313" s="377">
        <v>3</v>
      </c>
      <c r="L313" s="379">
        <f t="shared" si="10"/>
      </c>
      <c r="M313" s="377">
        <v>0</v>
      </c>
      <c r="N313" s="380">
        <f t="shared" si="29"/>
      </c>
      <c r="O313" s="377">
        <v>0</v>
      </c>
      <c r="P313" s="380">
        <f t="shared" si="67"/>
      </c>
      <c r="Q313" s="381"/>
      <c r="R313" s="377"/>
      <c r="S313" s="381"/>
      <c r="T313" s="377"/>
      <c r="U313" s="382"/>
      <c r="V313" s="383"/>
      <c r="W313" s="377"/>
      <c r="X313" s="383"/>
      <c r="Y313" s="381"/>
      <c r="Z313" s="383"/>
      <c r="AA313" s="383"/>
      <c r="AB313" s="377"/>
      <c r="AC313" s="377"/>
      <c r="AD313" s="381"/>
      <c r="AE313" s="383"/>
      <c r="AF313" s="383" t="s">
        <v>1098</v>
      </c>
    </row>
    <row r="314">
      <c r="A314" s="371"/>
      <c r="B314" s="372"/>
      <c r="C314" s="373"/>
      <c r="D314" s="374" t="s">
        <v>1071</v>
      </c>
      <c r="E314" s="377">
        <v>116.11</v>
      </c>
      <c r="F314" s="376"/>
      <c r="G314" s="377">
        <v>718</v>
      </c>
      <c r="H314" s="377">
        <v>15</v>
      </c>
      <c r="I314" s="378">
        <f t="shared" si="48"/>
      </c>
      <c r="J314" s="379">
        <f t="shared" si="87"/>
      </c>
      <c r="K314" s="377">
        <v>3</v>
      </c>
      <c r="L314" s="379">
        <f t="shared" si="10"/>
      </c>
      <c r="M314" s="377">
        <v>0</v>
      </c>
      <c r="N314" s="380">
        <f t="shared" si="29"/>
      </c>
      <c r="O314" s="377">
        <v>0</v>
      </c>
      <c r="P314" s="380">
        <f t="shared" si="67"/>
      </c>
      <c r="Q314" s="381"/>
      <c r="R314" s="377"/>
      <c r="S314" s="381"/>
      <c r="T314" s="377"/>
      <c r="U314" s="382"/>
      <c r="V314" s="383"/>
      <c r="W314" s="377"/>
      <c r="X314" s="383"/>
      <c r="Y314" s="381"/>
      <c r="Z314" s="383"/>
      <c r="AA314" s="383"/>
      <c r="AB314" s="377"/>
      <c r="AC314" s="377"/>
      <c r="AD314" s="381"/>
      <c r="AE314" s="383"/>
      <c r="AF314" s="383"/>
    </row>
    <row r="315">
      <c r="A315" s="371"/>
      <c r="B315" s="372" t="s">
        <v>1072</v>
      </c>
      <c r="C315" s="373" t="s">
        <v>1076</v>
      </c>
      <c r="D315" s="374" t="s">
        <v>1067</v>
      </c>
      <c r="E315" s="375">
        <v>936.26</v>
      </c>
      <c r="F315" s="376">
        <f>E315+E316+E317</f>
      </c>
      <c r="G315" s="377">
        <v>7462</v>
      </c>
      <c r="H315" s="377">
        <v>1177</v>
      </c>
      <c r="I315" s="378">
        <f t="shared" si="48"/>
      </c>
      <c r="J315" s="379">
        <f t="shared" si="87"/>
      </c>
      <c r="K315" s="377">
        <v>25</v>
      </c>
      <c r="L315" s="379">
        <f t="shared" si="10"/>
      </c>
      <c r="M315" s="377">
        <v>0</v>
      </c>
      <c r="N315" s="380">
        <f t="shared" si="29"/>
      </c>
      <c r="O315" s="377">
        <v>1</v>
      </c>
      <c r="P315" s="380">
        <f t="shared" si="67"/>
      </c>
      <c r="Q315" s="381">
        <f>(M315+M317+M316)/(O315+O317+O316)</f>
      </c>
      <c r="R315" s="377">
        <v>3</v>
      </c>
      <c r="S315" s="381">
        <f>(O315+O317)/(K315+K317)</f>
      </c>
      <c r="T315" s="377">
        <v>1</v>
      </c>
      <c r="U315" s="382">
        <f>F315/T315</f>
      </c>
      <c r="V315" s="383">
        <f>(F315+4*500)/T315</f>
      </c>
      <c r="W315" s="377">
        <v>1471.2</v>
      </c>
      <c r="X315" s="383">
        <f>W315/T315</f>
      </c>
      <c r="Y315" s="381">
        <f>T315/R315</f>
      </c>
      <c r="Z315" s="383">
        <f>W315/F315</f>
      </c>
      <c r="AA315" s="383">
        <f>W315/(F315+500)</f>
      </c>
      <c r="AB315" s="377">
        <v>1</v>
      </c>
      <c r="AC315" s="377">
        <v>1471.2</v>
      </c>
      <c r="AD315" s="381">
        <f>AB315/T315</f>
      </c>
      <c r="AE315" s="383">
        <f>(W315-AC315)/(F315+500)</f>
      </c>
      <c r="AF315" s="383" t="s">
        <v>1092</v>
      </c>
    </row>
    <row r="316">
      <c r="A316" s="371"/>
      <c r="B316" s="372"/>
      <c r="C316" s="373"/>
      <c r="D316" s="374" t="s">
        <v>1069</v>
      </c>
      <c r="E316" s="384">
        <v>261.52</v>
      </c>
      <c r="F316" s="376"/>
      <c r="G316" s="377">
        <v>1086</v>
      </c>
      <c r="H316" s="377">
        <v>64</v>
      </c>
      <c r="I316" s="378">
        <f t="shared" si="48"/>
      </c>
      <c r="J316" s="379">
        <f t="shared" si="87"/>
      </c>
      <c r="K316" s="377">
        <v>5</v>
      </c>
      <c r="L316" s="379">
        <f t="shared" si="10"/>
      </c>
      <c r="M316" s="377">
        <v>0</v>
      </c>
      <c r="N316" s="380">
        <f t="shared" si="29"/>
      </c>
      <c r="O316" s="377">
        <v>0</v>
      </c>
      <c r="P316" s="380">
        <f t="shared" si="67"/>
      </c>
      <c r="Q316" s="381"/>
      <c r="R316" s="377"/>
      <c r="S316" s="381"/>
      <c r="T316" s="377"/>
      <c r="U316" s="382"/>
      <c r="V316" s="383"/>
      <c r="W316" s="377"/>
      <c r="X316" s="383"/>
      <c r="Y316" s="381"/>
      <c r="Z316" s="383"/>
      <c r="AA316" s="383"/>
      <c r="AB316" s="377"/>
      <c r="AC316" s="377"/>
      <c r="AD316" s="381"/>
      <c r="AE316" s="383"/>
      <c r="AF316" s="383" t="s">
        <v>1098</v>
      </c>
    </row>
    <row r="317">
      <c r="A317" s="371"/>
      <c r="B317" s="372"/>
      <c r="C317" s="373"/>
      <c r="D317" s="374" t="s">
        <v>1071</v>
      </c>
      <c r="E317" s="377">
        <v>363.22</v>
      </c>
      <c r="F317" s="376"/>
      <c r="G317" s="377">
        <v>911</v>
      </c>
      <c r="H317" s="377">
        <v>13</v>
      </c>
      <c r="I317" s="378">
        <f t="shared" si="48"/>
      </c>
      <c r="J317" s="379">
        <f t="shared" si="87"/>
      </c>
      <c r="K317" s="377">
        <v>2</v>
      </c>
      <c r="L317" s="379">
        <f t="shared" si="10"/>
      </c>
      <c r="M317" s="377">
        <v>1</v>
      </c>
      <c r="N317" s="380">
        <f t="shared" si="29"/>
      </c>
      <c r="O317" s="377">
        <v>1</v>
      </c>
      <c r="P317" s="380">
        <f t="shared" si="67"/>
      </c>
      <c r="Q317" s="381"/>
      <c r="R317" s="377"/>
      <c r="S317" s="381"/>
      <c r="T317" s="377"/>
      <c r="U317" s="382"/>
      <c r="V317" s="383"/>
      <c r="W317" s="377"/>
      <c r="X317" s="383"/>
      <c r="Y317" s="381"/>
      <c r="Z317" s="383"/>
      <c r="AA317" s="383"/>
      <c r="AB317" s="377"/>
      <c r="AC317" s="377"/>
      <c r="AD317" s="381"/>
      <c r="AE317" s="383"/>
      <c r="AF317" s="383"/>
    </row>
    <row r="318">
      <c r="A318" s="371"/>
      <c r="B318" s="372" t="s">
        <v>1073</v>
      </c>
      <c r="C318" s="373" t="s">
        <v>1076</v>
      </c>
      <c r="D318" s="374" t="s">
        <v>1067</v>
      </c>
      <c r="E318" s="375">
        <v>554.06</v>
      </c>
      <c r="F318" s="376">
        <f>E318+E319+E320</f>
      </c>
      <c r="G318" s="377">
        <v>4869</v>
      </c>
      <c r="H318" s="377">
        <v>235</v>
      </c>
      <c r="I318" s="378">
        <f t="shared" si="48"/>
      </c>
      <c r="J318" s="379">
        <f t="shared" si="87"/>
      </c>
      <c r="K318" s="377">
        <v>15</v>
      </c>
      <c r="L318" s="379">
        <f t="shared" si="10"/>
      </c>
      <c r="M318" s="377">
        <v>0</v>
      </c>
      <c r="N318" s="380">
        <f t="shared" si="29"/>
      </c>
      <c r="O318" s="377">
        <v>3</v>
      </c>
      <c r="P318" s="380">
        <f t="shared" si="67"/>
      </c>
      <c r="Q318" s="381">
        <f>(M318+M320+M319)/(O318+O320+O319)</f>
      </c>
      <c r="R318" s="377">
        <v>8</v>
      </c>
      <c r="S318" s="381">
        <f>(O318+O320)/(K318+K320)</f>
      </c>
      <c r="T318" s="377">
        <v>2</v>
      </c>
      <c r="U318" s="382">
        <f>F318/T318</f>
      </c>
      <c r="V318" s="383">
        <f>(F318+4*500)/T318</f>
      </c>
      <c r="W318" s="377">
        <v>3031</v>
      </c>
      <c r="X318" s="383">
        <f>W318/T318</f>
      </c>
      <c r="Y318" s="381">
        <f>T318/R318</f>
      </c>
      <c r="Z318" s="383">
        <f>W318/F318</f>
      </c>
      <c r="AA318" s="383">
        <f>W318/(F318+500)</f>
      </c>
      <c r="AB318" s="377">
        <v>0</v>
      </c>
      <c r="AC318" s="377">
        <v>0</v>
      </c>
      <c r="AD318" s="381">
        <f>AB318/T318</f>
      </c>
      <c r="AE318" s="383">
        <f>(W318-AC318)/(F318+500)</f>
      </c>
      <c r="AF318" s="383" t="s">
        <v>1092</v>
      </c>
    </row>
    <row r="319">
      <c r="A319" s="371"/>
      <c r="B319" s="372"/>
      <c r="C319" s="373"/>
      <c r="D319" s="374" t="s">
        <v>1069</v>
      </c>
      <c r="E319" s="384">
        <v>465.54</v>
      </c>
      <c r="F319" s="376"/>
      <c r="G319" s="377">
        <v>1369</v>
      </c>
      <c r="H319" s="377">
        <v>68</v>
      </c>
      <c r="I319" s="378">
        <f t="shared" si="48"/>
      </c>
      <c r="J319" s="379">
        <f t="shared" si="87"/>
      </c>
      <c r="K319" s="377">
        <v>6</v>
      </c>
      <c r="L319" s="379">
        <f t="shared" si="10"/>
      </c>
      <c r="M319" s="377">
        <v>0</v>
      </c>
      <c r="N319" s="380">
        <f t="shared" si="29"/>
      </c>
      <c r="O319" s="377">
        <v>1</v>
      </c>
      <c r="P319" s="380">
        <f t="shared" si="67"/>
      </c>
      <c r="Q319" s="381"/>
      <c r="R319" s="377"/>
      <c r="S319" s="381"/>
      <c r="T319" s="377"/>
      <c r="U319" s="382"/>
      <c r="V319" s="383"/>
      <c r="W319" s="377"/>
      <c r="X319" s="383"/>
      <c r="Y319" s="381"/>
      <c r="Z319" s="383"/>
      <c r="AA319" s="383"/>
      <c r="AB319" s="377"/>
      <c r="AC319" s="377"/>
      <c r="AD319" s="381"/>
      <c r="AE319" s="383"/>
      <c r="AF319" s="383" t="s">
        <v>1098</v>
      </c>
    </row>
    <row r="320">
      <c r="A320" s="371"/>
      <c r="B320" s="372"/>
      <c r="C320" s="373"/>
      <c r="D320" s="374" t="s">
        <v>1071</v>
      </c>
      <c r="E320" s="377">
        <v>875.84</v>
      </c>
      <c r="F320" s="376"/>
      <c r="G320" s="377">
        <v>1310</v>
      </c>
      <c r="H320" s="377">
        <v>28</v>
      </c>
      <c r="I320" s="378">
        <f t="shared" si="48"/>
      </c>
      <c r="J320" s="379">
        <f t="shared" si="87"/>
      </c>
      <c r="K320" s="377">
        <v>14</v>
      </c>
      <c r="L320" s="379">
        <f t="shared" si="10"/>
      </c>
      <c r="M320" s="377">
        <v>1</v>
      </c>
      <c r="N320" s="380">
        <f t="shared" si="29"/>
      </c>
      <c r="O320" s="377">
        <v>1</v>
      </c>
      <c r="P320" s="380">
        <f t="shared" si="67"/>
      </c>
      <c r="Q320" s="381"/>
      <c r="R320" s="377"/>
      <c r="S320" s="381"/>
      <c r="T320" s="377"/>
      <c r="U320" s="382"/>
      <c r="V320" s="383"/>
      <c r="W320" s="377"/>
      <c r="X320" s="383"/>
      <c r="Y320" s="381"/>
      <c r="Z320" s="383"/>
      <c r="AA320" s="383"/>
      <c r="AB320" s="377"/>
      <c r="AC320" s="377"/>
      <c r="AD320" s="381"/>
      <c r="AE320" s="383"/>
      <c r="AF320" s="383"/>
    </row>
    <row r="321">
      <c r="A321" s="371"/>
      <c r="B321" s="372" t="s">
        <v>1074</v>
      </c>
      <c r="C321" s="373" t="s">
        <v>1076</v>
      </c>
      <c r="D321" s="374" t="s">
        <v>1067</v>
      </c>
      <c r="E321" s="375">
        <v>457.75</v>
      </c>
      <c r="F321" s="376">
        <f>E321+E322+E323</f>
      </c>
      <c r="G321" s="377">
        <v>3369</v>
      </c>
      <c r="H321" s="377">
        <v>85</v>
      </c>
      <c r="I321" s="378">
        <f t="shared" si="48"/>
      </c>
      <c r="J321" s="379">
        <f t="shared" si="87"/>
      </c>
      <c r="K321" s="377">
        <v>7</v>
      </c>
      <c r="L321" s="379">
        <f t="shared" si="10"/>
      </c>
      <c r="M321" s="377">
        <v>0</v>
      </c>
      <c r="N321" s="380">
        <f t="shared" si="29"/>
      </c>
      <c r="O321" s="377">
        <v>2</v>
      </c>
      <c r="P321" s="380">
        <f t="shared" si="67"/>
      </c>
      <c r="Q321" s="381">
        <f>(M321+M323+M322)/(O321+O323+O322)</f>
      </c>
      <c r="R321" s="377">
        <v>6</v>
      </c>
      <c r="S321" s="381">
        <f>(O321+O323)/(K321+K323)</f>
      </c>
      <c r="T321" s="377">
        <v>2</v>
      </c>
      <c r="U321" s="382">
        <f>F321/T321</f>
      </c>
      <c r="V321" s="383">
        <f>(F321+4*500)/T321</f>
      </c>
      <c r="W321" s="377">
        <v>1508.4000000000005</v>
      </c>
      <c r="X321" s="383">
        <f>W321/T321</f>
      </c>
      <c r="Y321" s="381">
        <f>T321/R321</f>
      </c>
      <c r="Z321" s="383">
        <f>W321/F321</f>
      </c>
      <c r="AA321" s="383">
        <f>W321/(F321+500)</f>
      </c>
      <c r="AB321" s="377">
        <v>0</v>
      </c>
      <c r="AC321" s="377">
        <v>0</v>
      </c>
      <c r="AD321" s="381">
        <f>AB321/T321</f>
      </c>
      <c r="AE321" s="383">
        <f>(W321-AC321)/(F321+500)</f>
      </c>
      <c r="AF321" s="383" t="s">
        <v>1092</v>
      </c>
    </row>
    <row r="322">
      <c r="A322" s="371"/>
      <c r="B322" s="372"/>
      <c r="C322" s="373"/>
      <c r="D322" s="374" t="s">
        <v>1069</v>
      </c>
      <c r="E322" s="384">
        <v>262.91</v>
      </c>
      <c r="F322" s="376"/>
      <c r="G322" s="377">
        <v>1239</v>
      </c>
      <c r="H322" s="377">
        <v>47</v>
      </c>
      <c r="I322" s="378">
        <f t="shared" si="48"/>
      </c>
      <c r="J322" s="379">
        <f t="shared" si="87"/>
      </c>
      <c r="K322" s="377">
        <v>3</v>
      </c>
      <c r="L322" s="379">
        <f t="shared" si="10"/>
      </c>
      <c r="M322" s="377">
        <v>1</v>
      </c>
      <c r="N322" s="380">
        <f t="shared" si="29"/>
      </c>
      <c r="O322" s="377">
        <v>0</v>
      </c>
      <c r="P322" s="380">
        <f t="shared" si="67"/>
      </c>
      <c r="Q322" s="381"/>
      <c r="R322" s="377"/>
      <c r="S322" s="381"/>
      <c r="T322" s="377"/>
      <c r="U322" s="382"/>
      <c r="V322" s="383"/>
      <c r="W322" s="377"/>
      <c r="X322" s="383"/>
      <c r="Y322" s="381"/>
      <c r="Z322" s="383"/>
      <c r="AA322" s="383"/>
      <c r="AB322" s="377"/>
      <c r="AC322" s="377"/>
      <c r="AD322" s="381"/>
      <c r="AE322" s="383"/>
      <c r="AF322" s="383" t="s">
        <v>1098</v>
      </c>
    </row>
    <row r="323">
      <c r="A323" s="371"/>
      <c r="B323" s="372"/>
      <c r="C323" s="373"/>
      <c r="D323" s="374" t="s">
        <v>1071</v>
      </c>
      <c r="E323" s="377">
        <v>988.33</v>
      </c>
      <c r="F323" s="376"/>
      <c r="G323" s="377">
        <v>1198</v>
      </c>
      <c r="H323" s="377">
        <v>21</v>
      </c>
      <c r="I323" s="378">
        <f t="shared" si="48"/>
      </c>
      <c r="J323" s="379">
        <f t="shared" si="87"/>
      </c>
      <c r="K323" s="377">
        <v>9</v>
      </c>
      <c r="L323" s="379">
        <f t="shared" si="10"/>
      </c>
      <c r="M323" s="377">
        <v>0</v>
      </c>
      <c r="N323" s="380">
        <f t="shared" si="29"/>
      </c>
      <c r="O323" s="377">
        <v>0</v>
      </c>
      <c r="P323" s="380">
        <f t="shared" si="67"/>
      </c>
      <c r="Q323" s="381"/>
      <c r="R323" s="377"/>
      <c r="S323" s="381"/>
      <c r="T323" s="377"/>
      <c r="U323" s="382"/>
      <c r="V323" s="383"/>
      <c r="W323" s="377"/>
      <c r="X323" s="383"/>
      <c r="Y323" s="381"/>
      <c r="Z323" s="383"/>
      <c r="AA323" s="383"/>
      <c r="AB323" s="377"/>
      <c r="AC323" s="377"/>
      <c r="AD323" s="381"/>
      <c r="AE323" s="383"/>
      <c r="AF323" s="383"/>
    </row>
    <row r="324">
      <c r="A324" s="371"/>
      <c r="B324" s="372" t="s">
        <v>1075</v>
      </c>
      <c r="C324" s="373" t="s">
        <v>1081</v>
      </c>
      <c r="D324" s="374" t="s">
        <v>1067</v>
      </c>
      <c r="E324" s="375">
        <v>440.66</v>
      </c>
      <c r="F324" s="376">
        <f>E324+E325+E326</f>
      </c>
      <c r="G324" s="377">
        <v>2741</v>
      </c>
      <c r="H324" s="377">
        <v>66</v>
      </c>
      <c r="I324" s="378">
        <f t="shared" si="48"/>
      </c>
      <c r="J324" s="379">
        <f t="shared" si="87"/>
      </c>
      <c r="K324" s="377">
        <v>6</v>
      </c>
      <c r="L324" s="379">
        <f t="shared" si="10"/>
      </c>
      <c r="M324" s="377">
        <v>0</v>
      </c>
      <c r="N324" s="380">
        <f t="shared" si="29"/>
      </c>
      <c r="O324" s="377">
        <v>0</v>
      </c>
      <c r="P324" s="380">
        <f t="shared" si="67"/>
      </c>
      <c r="Q324" s="381">
        <f>(M324+M326+M325)/(O324+O326+O325)</f>
      </c>
      <c r="R324" s="377">
        <v>1</v>
      </c>
      <c r="S324" s="381">
        <f>(O324+O326)/(K324+K326)</f>
      </c>
      <c r="T324" s="377">
        <v>0</v>
      </c>
      <c r="U324" s="382">
        <f>F324/T324</f>
      </c>
      <c r="V324" s="383">
        <f>(F324+4*500)/T324</f>
      </c>
      <c r="W324" s="377">
        <v>0</v>
      </c>
      <c r="X324" s="383">
        <f>W324/T324</f>
      </c>
      <c r="Y324" s="381">
        <f>T324/R324</f>
      </c>
      <c r="Z324" s="383">
        <f>W324/F324</f>
      </c>
      <c r="AA324" s="383">
        <f>W324/(F324+500)</f>
      </c>
      <c r="AB324" s="377">
        <v>0</v>
      </c>
      <c r="AC324" s="377">
        <v>0</v>
      </c>
      <c r="AD324" s="381">
        <f>AB324/T324</f>
      </c>
      <c r="AE324" s="383">
        <f>(W324-AC324)/(F324+500)</f>
      </c>
      <c r="AF324" s="383" t="s">
        <v>1092</v>
      </c>
    </row>
    <row r="325">
      <c r="A325" s="371"/>
      <c r="B325" s="372"/>
      <c r="C325" s="373"/>
      <c r="D325" s="374" t="s">
        <v>1069</v>
      </c>
      <c r="E325" s="384">
        <v>317.98</v>
      </c>
      <c r="F325" s="376"/>
      <c r="G325" s="377">
        <v>863</v>
      </c>
      <c r="H325" s="377">
        <v>37</v>
      </c>
      <c r="I325" s="378">
        <f t="shared" si="48"/>
      </c>
      <c r="J325" s="379">
        <f t="shared" si="87"/>
      </c>
      <c r="K325" s="377">
        <v>2</v>
      </c>
      <c r="L325" s="379">
        <f t="shared" si="10"/>
      </c>
      <c r="M325" s="377">
        <v>0</v>
      </c>
      <c r="N325" s="380">
        <f t="shared" si="29"/>
      </c>
      <c r="O325" s="377">
        <v>1</v>
      </c>
      <c r="P325" s="380">
        <f t="shared" si="67"/>
      </c>
      <c r="Q325" s="381"/>
      <c r="R325" s="377"/>
      <c r="S325" s="381"/>
      <c r="T325" s="377"/>
      <c r="U325" s="382"/>
      <c r="V325" s="383"/>
      <c r="W325" s="377"/>
      <c r="X325" s="383"/>
      <c r="Y325" s="381"/>
      <c r="Z325" s="383"/>
      <c r="AA325" s="383"/>
      <c r="AB325" s="377"/>
      <c r="AC325" s="377"/>
      <c r="AD325" s="381"/>
      <c r="AE325" s="383"/>
      <c r="AF325" s="383" t="s">
        <v>1098</v>
      </c>
    </row>
    <row r="326">
      <c r="A326" s="371"/>
      <c r="B326" s="372"/>
      <c r="C326" s="373"/>
      <c r="D326" s="374" t="s">
        <v>1071</v>
      </c>
      <c r="E326" s="377">
        <v>204.16</v>
      </c>
      <c r="F326" s="376"/>
      <c r="G326" s="377">
        <v>293</v>
      </c>
      <c r="H326" s="377">
        <v>8</v>
      </c>
      <c r="I326" s="378">
        <f t="shared" si="48"/>
      </c>
      <c r="J326" s="379">
        <f t="shared" si="87"/>
      </c>
      <c r="K326" s="377">
        <v>1</v>
      </c>
      <c r="L326" s="379">
        <f t="shared" si="10"/>
      </c>
      <c r="M326" s="377">
        <v>0</v>
      </c>
      <c r="N326" s="380">
        <f t="shared" si="29"/>
      </c>
      <c r="O326" s="377">
        <v>0</v>
      </c>
      <c r="P326" s="380">
        <f t="shared" si="67"/>
      </c>
      <c r="Q326" s="381"/>
      <c r="R326" s="377"/>
      <c r="S326" s="381"/>
      <c r="T326" s="377"/>
      <c r="U326" s="382"/>
      <c r="V326" s="383"/>
      <c r="W326" s="377"/>
      <c r="X326" s="383"/>
      <c r="Y326" s="381"/>
      <c r="Z326" s="383"/>
      <c r="AA326" s="383"/>
      <c r="AB326" s="377"/>
      <c r="AC326" s="377"/>
      <c r="AD326" s="381"/>
      <c r="AE326" s="383"/>
      <c r="AF326" s="383"/>
    </row>
    <row r="327">
      <c r="A327" s="371"/>
      <c r="B327" s="372" t="s">
        <v>1077</v>
      </c>
      <c r="C327" s="373" t="s">
        <v>1081</v>
      </c>
      <c r="D327" s="374" t="s">
        <v>1067</v>
      </c>
      <c r="E327" s="375">
        <v>575.71</v>
      </c>
      <c r="F327" s="376">
        <f>E327+E328+E329</f>
      </c>
      <c r="G327" s="377">
        <v>3742</v>
      </c>
      <c r="H327" s="377">
        <v>68</v>
      </c>
      <c r="I327" s="378">
        <f t="shared" si="48"/>
      </c>
      <c r="J327" s="379">
        <f t="shared" si="87"/>
      </c>
      <c r="K327" s="377">
        <v>6</v>
      </c>
      <c r="L327" s="379">
        <f t="shared" si="10"/>
      </c>
      <c r="M327" s="377">
        <v>0</v>
      </c>
      <c r="N327" s="380">
        <f t="shared" si="29"/>
      </c>
      <c r="O327" s="377">
        <v>0</v>
      </c>
      <c r="P327" s="380">
        <f t="shared" si="67"/>
      </c>
      <c r="Q327" s="381">
        <f>(M327+M329+M328)/(O327+O329+O328)</f>
      </c>
      <c r="R327" s="377">
        <v>0</v>
      </c>
      <c r="S327" s="381">
        <f>(O327+O329)/(K327+K329)</f>
      </c>
      <c r="T327" s="377">
        <v>0</v>
      </c>
      <c r="U327" s="382">
        <f>F327/T327</f>
      </c>
      <c r="V327" s="383">
        <f>(F327+4*500)/T327</f>
      </c>
      <c r="W327" s="377">
        <v>0</v>
      </c>
      <c r="X327" s="383">
        <f>W327/T327</f>
      </c>
      <c r="Y327" s="381">
        <f>T327/R327</f>
      </c>
      <c r="Z327" s="383">
        <f>W327/F327</f>
      </c>
      <c r="AA327" s="383">
        <f>W327/(F327+500)</f>
      </c>
      <c r="AB327" s="377">
        <v>0</v>
      </c>
      <c r="AC327" s="377">
        <v>0</v>
      </c>
      <c r="AD327" s="381">
        <f>AB327/T327</f>
      </c>
      <c r="AE327" s="383">
        <f>(W327-AC327)/(F327+500)</f>
      </c>
      <c r="AF327" s="383" t="s">
        <v>1092</v>
      </c>
    </row>
    <row r="328">
      <c r="A328" s="371"/>
      <c r="B328" s="372"/>
      <c r="C328" s="373"/>
      <c r="D328" s="374" t="s">
        <v>1069</v>
      </c>
      <c r="E328" s="384">
        <v>223.13</v>
      </c>
      <c r="F328" s="376"/>
      <c r="G328" s="377">
        <v>969</v>
      </c>
      <c r="H328" s="377">
        <v>43</v>
      </c>
      <c r="I328" s="378">
        <f t="shared" si="48"/>
      </c>
      <c r="J328" s="379">
        <f t="shared" si="87"/>
      </c>
      <c r="K328" s="377">
        <v>1</v>
      </c>
      <c r="L328" s="379">
        <f t="shared" si="10"/>
      </c>
      <c r="M328" s="377">
        <v>0</v>
      </c>
      <c r="N328" s="380">
        <f t="shared" si="29"/>
      </c>
      <c r="O328" s="377">
        <v>0</v>
      </c>
      <c r="P328" s="380">
        <f t="shared" si="67"/>
      </c>
      <c r="Q328" s="381"/>
      <c r="R328" s="377"/>
      <c r="S328" s="381"/>
      <c r="T328" s="377"/>
      <c r="U328" s="382"/>
      <c r="V328" s="383"/>
      <c r="W328" s="377"/>
      <c r="X328" s="383"/>
      <c r="Y328" s="381"/>
      <c r="Z328" s="383"/>
      <c r="AA328" s="383"/>
      <c r="AB328" s="377"/>
      <c r="AC328" s="377"/>
      <c r="AD328" s="381"/>
      <c r="AE328" s="383"/>
      <c r="AF328" s="383" t="s">
        <v>1098</v>
      </c>
    </row>
    <row r="329">
      <c r="A329" s="371"/>
      <c r="B329" s="372"/>
      <c r="C329" s="373"/>
      <c r="D329" s="374" t="s">
        <v>1071</v>
      </c>
      <c r="E329" s="377">
        <v>37.8</v>
      </c>
      <c r="F329" s="376"/>
      <c r="G329" s="377">
        <v>53</v>
      </c>
      <c r="H329" s="377">
        <v>2</v>
      </c>
      <c r="I329" s="378">
        <f t="shared" si="48"/>
      </c>
      <c r="J329" s="379">
        <f t="shared" si="87"/>
      </c>
      <c r="K329" s="377">
        <v>0</v>
      </c>
      <c r="L329" s="379">
        <f t="shared" si="10"/>
      </c>
      <c r="M329" s="377">
        <v>0</v>
      </c>
      <c r="N329" s="380">
        <f t="shared" si="29"/>
      </c>
      <c r="O329" s="377">
        <v>0</v>
      </c>
      <c r="P329" s="380">
        <f t="shared" si="67"/>
      </c>
      <c r="Q329" s="381"/>
      <c r="R329" s="377"/>
      <c r="S329" s="381"/>
      <c r="T329" s="377"/>
      <c r="U329" s="382"/>
      <c r="V329" s="383"/>
      <c r="W329" s="377"/>
      <c r="X329" s="383"/>
      <c r="Y329" s="381"/>
      <c r="Z329" s="383"/>
      <c r="AA329" s="383"/>
      <c r="AB329" s="377"/>
      <c r="AC329" s="377"/>
      <c r="AD329" s="381"/>
      <c r="AE329" s="383"/>
      <c r="AF329" s="383"/>
    </row>
    <row r="330">
      <c r="A330" s="371"/>
      <c r="B330" s="385" t="s">
        <v>1078</v>
      </c>
      <c r="C330" s="373" t="s">
        <v>1081</v>
      </c>
      <c r="D330" s="374" t="s">
        <v>1067</v>
      </c>
      <c r="E330" s="375">
        <v>564.49</v>
      </c>
      <c r="F330" s="376">
        <f>E330+E331+E332</f>
      </c>
      <c r="G330" s="377">
        <v>4338</v>
      </c>
      <c r="H330" s="377">
        <v>79</v>
      </c>
      <c r="I330" s="378">
        <f t="shared" si="48"/>
      </c>
      <c r="J330" s="379">
        <f t="shared" si="87"/>
      </c>
      <c r="K330" s="377">
        <v>7</v>
      </c>
      <c r="L330" s="379">
        <f t="shared" si="10"/>
      </c>
      <c r="M330" s="377">
        <v>0</v>
      </c>
      <c r="N330" s="380">
        <f t="shared" si="29"/>
      </c>
      <c r="O330" s="377">
        <v>0</v>
      </c>
      <c r="P330" s="380">
        <f t="shared" si="67"/>
      </c>
      <c r="Q330" s="381">
        <f>(M330+M332+M331)/(O330+O332+O331)</f>
      </c>
      <c r="R330" s="377">
        <v>2</v>
      </c>
      <c r="S330" s="381">
        <f>(O330+O332)/(K330+K332)</f>
      </c>
      <c r="T330" s="377">
        <v>0</v>
      </c>
      <c r="U330" s="382">
        <f>F330/T330</f>
      </c>
      <c r="V330" s="383">
        <f>(F330+4*500)/T330</f>
      </c>
      <c r="W330" s="377">
        <v>0</v>
      </c>
      <c r="X330" s="383">
        <f>W330/T330</f>
      </c>
      <c r="Y330" s="381">
        <f>T330/R330</f>
      </c>
      <c r="Z330" s="383">
        <f>W330/F330</f>
      </c>
      <c r="AA330" s="383">
        <f>W330/(F330+500)</f>
      </c>
      <c r="AB330" s="377">
        <v>0</v>
      </c>
      <c r="AC330" s="377">
        <v>0</v>
      </c>
      <c r="AD330" s="381">
        <f>AB330/T330</f>
      </c>
      <c r="AE330" s="383">
        <f>(W330-AC330)/(F330+500)</f>
      </c>
      <c r="AF330" s="383" t="s">
        <v>1092</v>
      </c>
    </row>
    <row r="331">
      <c r="A331" s="371"/>
      <c r="B331" s="385"/>
      <c r="C331" s="373"/>
      <c r="D331" s="374" t="s">
        <v>1069</v>
      </c>
      <c r="E331" s="384">
        <v>195.03</v>
      </c>
      <c r="F331" s="376"/>
      <c r="G331" s="377">
        <v>873</v>
      </c>
      <c r="H331" s="377">
        <v>45</v>
      </c>
      <c r="I331" s="378">
        <f t="shared" si="48"/>
      </c>
      <c r="J331" s="379">
        <f t="shared" si="87"/>
      </c>
      <c r="K331" s="377">
        <v>4</v>
      </c>
      <c r="L331" s="379">
        <f t="shared" si="10"/>
      </c>
      <c r="M331" s="377">
        <v>0</v>
      </c>
      <c r="N331" s="380">
        <f t="shared" si="29"/>
      </c>
      <c r="O331" s="377">
        <v>0</v>
      </c>
      <c r="P331" s="380">
        <f t="shared" si="67"/>
      </c>
      <c r="Q331" s="381"/>
      <c r="R331" s="377"/>
      <c r="S331" s="381"/>
      <c r="T331" s="377"/>
      <c r="U331" s="382"/>
      <c r="V331" s="383"/>
      <c r="W331" s="377"/>
      <c r="X331" s="383"/>
      <c r="Y331" s="381"/>
      <c r="Z331" s="383"/>
      <c r="AA331" s="383"/>
      <c r="AB331" s="377"/>
      <c r="AC331" s="377"/>
      <c r="AD331" s="381"/>
      <c r="AE331" s="383"/>
      <c r="AF331" s="383" t="s">
        <v>1098</v>
      </c>
    </row>
    <row r="332">
      <c r="A332" s="371"/>
      <c r="B332" s="385"/>
      <c r="C332" s="373"/>
      <c r="D332" s="374" t="s">
        <v>1071</v>
      </c>
      <c r="E332" s="377">
        <v>4.67</v>
      </c>
      <c r="F332" s="376"/>
      <c r="G332" s="377">
        <v>79</v>
      </c>
      <c r="H332" s="377">
        <v>2</v>
      </c>
      <c r="I332" s="378">
        <f t="shared" si="48"/>
      </c>
      <c r="J332" s="379">
        <f t="shared" si="87"/>
      </c>
      <c r="K332" s="377">
        <v>2</v>
      </c>
      <c r="L332" s="379">
        <f t="shared" si="10"/>
      </c>
      <c r="M332" s="377">
        <v>0</v>
      </c>
      <c r="N332" s="380">
        <f t="shared" si="29"/>
      </c>
      <c r="O332" s="377">
        <v>0</v>
      </c>
      <c r="P332" s="380">
        <f t="shared" si="67"/>
      </c>
      <c r="Q332" s="381"/>
      <c r="R332" s="377"/>
      <c r="S332" s="381"/>
      <c r="T332" s="377"/>
      <c r="U332" s="382"/>
      <c r="V332" s="383"/>
      <c r="W332" s="377"/>
      <c r="X332" s="383"/>
      <c r="Y332" s="381"/>
      <c r="Z332" s="383"/>
      <c r="AA332" s="383"/>
      <c r="AB332" s="377"/>
      <c r="AC332" s="377"/>
      <c r="AD332" s="381"/>
      <c r="AE332" s="383"/>
      <c r="AF332" s="383"/>
    </row>
    <row r="333">
      <c r="A333" s="371"/>
      <c r="B333" s="372" t="s">
        <v>1079</v>
      </c>
      <c r="C333" s="373" t="s">
        <v>1081</v>
      </c>
      <c r="D333" s="374" t="s">
        <v>1067</v>
      </c>
      <c r="E333" s="375">
        <v>362.45</v>
      </c>
      <c r="F333" s="376">
        <f>E333+E334+E335</f>
      </c>
      <c r="G333" s="377">
        <v>2351</v>
      </c>
      <c r="H333" s="377">
        <v>57</v>
      </c>
      <c r="I333" s="378">
        <f t="shared" si="48"/>
      </c>
      <c r="J333" s="379">
        <f t="shared" si="87"/>
      </c>
      <c r="K333" s="377">
        <v>6</v>
      </c>
      <c r="L333" s="379">
        <f t="shared" si="10"/>
      </c>
      <c r="M333" s="377">
        <v>0</v>
      </c>
      <c r="N333" s="380">
        <f t="shared" si="29"/>
      </c>
      <c r="O333" s="377">
        <v>0</v>
      </c>
      <c r="P333" s="380">
        <f t="shared" si="67"/>
      </c>
      <c r="Q333" s="381">
        <f>(M333+M335+M334)/(O333+O335+O334)</f>
      </c>
      <c r="R333" s="377">
        <v>1</v>
      </c>
      <c r="S333" s="381">
        <f>(O333+O335)/(K333+K335)</f>
      </c>
      <c r="T333" s="377">
        <v>0</v>
      </c>
      <c r="U333" s="382">
        <f>F333/T333</f>
      </c>
      <c r="V333" s="383">
        <f>(F333+4*500)/T333</f>
      </c>
      <c r="W333" s="377">
        <v>0</v>
      </c>
      <c r="X333" s="383">
        <f>W333/T333</f>
      </c>
      <c r="Y333" s="381">
        <f>T333/R333</f>
      </c>
      <c r="Z333" s="383">
        <f>W333/F333</f>
      </c>
      <c r="AA333" s="383">
        <f>W333/(F333+500)</f>
      </c>
      <c r="AB333" s="377">
        <v>0</v>
      </c>
      <c r="AC333" s="377">
        <v>0</v>
      </c>
      <c r="AD333" s="381">
        <f>AB333/T333</f>
      </c>
      <c r="AE333" s="383">
        <f>(W333-AC333)/(F333+500)</f>
      </c>
      <c r="AF333" s="383" t="s">
        <v>1092</v>
      </c>
    </row>
    <row r="334">
      <c r="A334" s="371"/>
      <c r="B334" s="372"/>
      <c r="C334" s="373"/>
      <c r="D334" s="374" t="s">
        <v>1069</v>
      </c>
      <c r="E334" s="384">
        <v>203.79</v>
      </c>
      <c r="F334" s="376"/>
      <c r="G334" s="377">
        <v>697</v>
      </c>
      <c r="H334" s="377">
        <v>40</v>
      </c>
      <c r="I334" s="378">
        <f t="shared" si="48"/>
      </c>
      <c r="J334" s="379">
        <f t="shared" si="87"/>
      </c>
      <c r="K334" s="377">
        <v>3</v>
      </c>
      <c r="L334" s="379">
        <f t="shared" si="10"/>
      </c>
      <c r="M334" s="377">
        <v>0</v>
      </c>
      <c r="N334" s="380">
        <f t="shared" si="29"/>
      </c>
      <c r="O334" s="377">
        <v>1</v>
      </c>
      <c r="P334" s="380">
        <f t="shared" si="67"/>
      </c>
      <c r="Q334" s="381"/>
      <c r="R334" s="377"/>
      <c r="S334" s="381"/>
      <c r="T334" s="377"/>
      <c r="U334" s="382"/>
      <c r="V334" s="383"/>
      <c r="W334" s="377"/>
      <c r="X334" s="383"/>
      <c r="Y334" s="381"/>
      <c r="Z334" s="383"/>
      <c r="AA334" s="383"/>
      <c r="AB334" s="377"/>
      <c r="AC334" s="377"/>
      <c r="AD334" s="381"/>
      <c r="AE334" s="383"/>
      <c r="AF334" s="383" t="s">
        <v>1098</v>
      </c>
    </row>
    <row r="335">
      <c r="A335" s="371"/>
      <c r="B335" s="372"/>
      <c r="C335" s="373"/>
      <c r="D335" s="374" t="s">
        <v>1071</v>
      </c>
      <c r="E335" s="377">
        <v>2.64</v>
      </c>
      <c r="F335" s="376"/>
      <c r="G335" s="377">
        <v>51</v>
      </c>
      <c r="H335" s="377">
        <v>2</v>
      </c>
      <c r="I335" s="378">
        <f t="shared" si="48"/>
      </c>
      <c r="J335" s="379">
        <f t="shared" si="87"/>
      </c>
      <c r="K335" s="377">
        <v>0</v>
      </c>
      <c r="L335" s="379">
        <f t="shared" si="10"/>
      </c>
      <c r="M335" s="377">
        <v>0</v>
      </c>
      <c r="N335" s="380">
        <f t="shared" si="29"/>
      </c>
      <c r="O335" s="377">
        <v>0</v>
      </c>
      <c r="P335" s="380">
        <f t="shared" si="67"/>
      </c>
      <c r="Q335" s="381"/>
      <c r="R335" s="377"/>
      <c r="S335" s="381"/>
      <c r="T335" s="377"/>
      <c r="U335" s="382"/>
      <c r="V335" s="383"/>
      <c r="W335" s="377"/>
      <c r="X335" s="383"/>
      <c r="Y335" s="381"/>
      <c r="Z335" s="383"/>
      <c r="AA335" s="383"/>
      <c r="AB335" s="377"/>
      <c r="AC335" s="377"/>
      <c r="AD335" s="381"/>
      <c r="AE335" s="383"/>
      <c r="AF335" s="383"/>
    </row>
    <row r="336">
      <c r="A336" s="371"/>
      <c r="B336" s="372" t="s">
        <v>1080</v>
      </c>
      <c r="C336" s="373" t="s">
        <v>1084</v>
      </c>
      <c r="D336" s="374" t="s">
        <v>1067</v>
      </c>
      <c r="E336" s="375">
        <v>312.34</v>
      </c>
      <c r="F336" s="376">
        <f>E336+E337+E338</f>
      </c>
      <c r="G336" s="377">
        <v>2056</v>
      </c>
      <c r="H336" s="377">
        <v>33</v>
      </c>
      <c r="I336" s="378">
        <f t="shared" si="48"/>
      </c>
      <c r="J336" s="379">
        <f t="shared" si="87"/>
      </c>
      <c r="K336" s="377">
        <v>8</v>
      </c>
      <c r="L336" s="379">
        <f t="shared" si="10"/>
      </c>
      <c r="M336" s="377">
        <v>0</v>
      </c>
      <c r="N336" s="380">
        <f t="shared" si="29"/>
      </c>
      <c r="O336" s="377">
        <v>0</v>
      </c>
      <c r="P336" s="380">
        <f t="shared" si="67"/>
      </c>
      <c r="Q336" s="381">
        <f>(M336+M338+M337)/(O336+O338+O337)</f>
      </c>
      <c r="R336" s="377">
        <v>0</v>
      </c>
      <c r="S336" s="381">
        <f>(O336+O338)/(K336+K338)</f>
      </c>
      <c r="T336" s="377">
        <v>0</v>
      </c>
      <c r="U336" s="382">
        <f>F336/T336</f>
      </c>
      <c r="V336" s="383">
        <f>(F336+4*500)/T336</f>
      </c>
      <c r="W336" s="377">
        <v>0</v>
      </c>
      <c r="X336" s="383">
        <f>W336/T336</f>
      </c>
      <c r="Y336" s="381">
        <f>T336/R336</f>
      </c>
      <c r="Z336" s="383">
        <f>W336/F336</f>
      </c>
      <c r="AA336" s="383">
        <f>W336/(F336+500)</f>
      </c>
      <c r="AB336" s="377">
        <v>0</v>
      </c>
      <c r="AC336" s="377">
        <v>0</v>
      </c>
      <c r="AD336" s="381">
        <f>AB336/T336</f>
      </c>
      <c r="AE336" s="383">
        <f>(W336-AC336)/(F336+500)</f>
      </c>
      <c r="AF336" s="383" t="s">
        <v>1092</v>
      </c>
    </row>
    <row r="337">
      <c r="A337" s="371"/>
      <c r="B337" s="372"/>
      <c r="C337" s="373"/>
      <c r="D337" s="374" t="s">
        <v>1069</v>
      </c>
      <c r="E337" s="384">
        <v>117.18</v>
      </c>
      <c r="F337" s="376"/>
      <c r="G337" s="377">
        <v>591</v>
      </c>
      <c r="H337" s="377">
        <v>37</v>
      </c>
      <c r="I337" s="378">
        <f t="shared" si="48"/>
      </c>
      <c r="J337" s="379">
        <f t="shared" si="87"/>
      </c>
      <c r="K337" s="377">
        <v>3</v>
      </c>
      <c r="L337" s="379">
        <f t="shared" si="10"/>
      </c>
      <c r="M337" s="377">
        <v>0</v>
      </c>
      <c r="N337" s="380">
        <f t="shared" si="29"/>
      </c>
      <c r="O337" s="377">
        <v>0</v>
      </c>
      <c r="P337" s="380">
        <f t="shared" si="67"/>
      </c>
      <c r="Q337" s="381"/>
      <c r="R337" s="377"/>
      <c r="S337" s="381"/>
      <c r="T337" s="377"/>
      <c r="U337" s="382"/>
      <c r="V337" s="383"/>
      <c r="W337" s="377"/>
      <c r="X337" s="383"/>
      <c r="Y337" s="381"/>
      <c r="Z337" s="383"/>
      <c r="AA337" s="383"/>
      <c r="AB337" s="377"/>
      <c r="AC337" s="377"/>
      <c r="AD337" s="381"/>
      <c r="AE337" s="383"/>
      <c r="AF337" s="383" t="s">
        <v>1098</v>
      </c>
    </row>
    <row r="338">
      <c r="A338" s="371"/>
      <c r="B338" s="372"/>
      <c r="C338" s="373"/>
      <c r="D338" s="374" t="s">
        <v>1071</v>
      </c>
      <c r="E338" s="377">
        <v>9.74</v>
      </c>
      <c r="F338" s="376"/>
      <c r="G338" s="377">
        <v>38</v>
      </c>
      <c r="H338" s="377">
        <v>2</v>
      </c>
      <c r="I338" s="378">
        <f t="shared" si="48"/>
      </c>
      <c r="J338" s="379">
        <f t="shared" si="87"/>
      </c>
      <c r="K338" s="377">
        <v>0</v>
      </c>
      <c r="L338" s="379">
        <f t="shared" si="10"/>
      </c>
      <c r="M338" s="377">
        <v>0</v>
      </c>
      <c r="N338" s="380">
        <f t="shared" si="29"/>
      </c>
      <c r="O338" s="377">
        <v>0</v>
      </c>
      <c r="P338" s="380">
        <f t="shared" si="67"/>
      </c>
      <c r="Q338" s="381"/>
      <c r="R338" s="377"/>
      <c r="S338" s="381"/>
      <c r="T338" s="377"/>
      <c r="U338" s="382"/>
      <c r="V338" s="383"/>
      <c r="W338" s="377"/>
      <c r="X338" s="383"/>
      <c r="Y338" s="381"/>
      <c r="Z338" s="383"/>
      <c r="AA338" s="383"/>
      <c r="AB338" s="377"/>
      <c r="AC338" s="377"/>
      <c r="AD338" s="381"/>
      <c r="AE338" s="383"/>
      <c r="AF338" s="383"/>
    </row>
    <row r="339">
      <c r="A339" s="371"/>
      <c r="B339" s="372" t="s">
        <v>1082</v>
      </c>
      <c r="C339" s="373" t="s">
        <v>1084</v>
      </c>
      <c r="D339" s="374" t="s">
        <v>1067</v>
      </c>
      <c r="E339" s="375">
        <v>490.91</v>
      </c>
      <c r="F339" s="376">
        <f>E339+E340+E341</f>
      </c>
      <c r="G339" s="377">
        <v>3163</v>
      </c>
      <c r="H339" s="377">
        <v>41</v>
      </c>
      <c r="I339" s="378">
        <f t="shared" si="48"/>
      </c>
      <c r="J339" s="379">
        <f t="shared" si="87"/>
      </c>
      <c r="K339" s="377">
        <v>10</v>
      </c>
      <c r="L339" s="379">
        <f t="shared" si="10"/>
      </c>
      <c r="M339" s="377">
        <v>1</v>
      </c>
      <c r="N339" s="380">
        <f t="shared" si="29"/>
      </c>
      <c r="O339" s="377">
        <v>2</v>
      </c>
      <c r="P339" s="380">
        <f t="shared" si="67"/>
      </c>
      <c r="Q339" s="381">
        <f>(M339+M341+M340)/(O339+O341+O340)</f>
      </c>
      <c r="R339" s="377">
        <v>2</v>
      </c>
      <c r="S339" s="381">
        <f>(O339+O341)/(K339+K341)</f>
      </c>
      <c r="T339" s="377">
        <v>1</v>
      </c>
      <c r="U339" s="382">
        <f>F339/T339</f>
      </c>
      <c r="V339" s="383">
        <f>(F339+4*500)/T339</f>
      </c>
      <c r="W339" s="377">
        <v>739.1999999999998</v>
      </c>
      <c r="X339" s="383">
        <f>W339/T339</f>
      </c>
      <c r="Y339" s="381">
        <f>T339/R339</f>
      </c>
      <c r="Z339" s="383">
        <f>W339/F339</f>
      </c>
      <c r="AA339" s="383">
        <f>W339/(F339+500)</f>
      </c>
      <c r="AB339" s="377">
        <v>0</v>
      </c>
      <c r="AC339" s="377">
        <v>0</v>
      </c>
      <c r="AD339" s="381">
        <f>AB339/T339</f>
      </c>
      <c r="AE339" s="383">
        <f>(W339-AC339)/(F339+500)</f>
      </c>
      <c r="AF339" s="383" t="s">
        <v>1099</v>
      </c>
    </row>
    <row r="340">
      <c r="A340" s="371"/>
      <c r="B340" s="372"/>
      <c r="C340" s="373"/>
      <c r="D340" s="374" t="s">
        <v>1069</v>
      </c>
      <c r="E340" s="384">
        <v>131.27</v>
      </c>
      <c r="F340" s="376"/>
      <c r="G340" s="377">
        <v>696</v>
      </c>
      <c r="H340" s="377">
        <v>44</v>
      </c>
      <c r="I340" s="378">
        <f t="shared" si="48"/>
      </c>
      <c r="J340" s="379">
        <f t="shared" si="87"/>
      </c>
      <c r="K340" s="377">
        <v>1</v>
      </c>
      <c r="L340" s="379">
        <f t="shared" si="10"/>
      </c>
      <c r="M340" s="377">
        <v>0</v>
      </c>
      <c r="N340" s="380">
        <f t="shared" si="29"/>
      </c>
      <c r="O340" s="377">
        <v>0</v>
      </c>
      <c r="P340" s="380">
        <f t="shared" si="67"/>
      </c>
      <c r="Q340" s="381"/>
      <c r="R340" s="377"/>
      <c r="S340" s="381"/>
      <c r="T340" s="377"/>
      <c r="U340" s="382"/>
      <c r="V340" s="383"/>
      <c r="W340" s="377"/>
      <c r="X340" s="383"/>
      <c r="Y340" s="381"/>
      <c r="Z340" s="383"/>
      <c r="AA340" s="383"/>
      <c r="AB340" s="377"/>
      <c r="AC340" s="377"/>
      <c r="AD340" s="381"/>
      <c r="AE340" s="383"/>
      <c r="AF340" s="383" t="s">
        <v>1100</v>
      </c>
    </row>
    <row r="341">
      <c r="A341" s="371"/>
      <c r="B341" s="372"/>
      <c r="C341" s="373"/>
      <c r="D341" s="374" t="s">
        <v>1071</v>
      </c>
      <c r="E341" s="377">
        <v>22.98</v>
      </c>
      <c r="F341" s="376"/>
      <c r="G341" s="377">
        <v>33</v>
      </c>
      <c r="H341" s="377">
        <v>4</v>
      </c>
      <c r="I341" s="378">
        <f t="shared" si="48"/>
      </c>
      <c r="J341" s="379">
        <f t="shared" si="87"/>
      </c>
      <c r="K341" s="377">
        <v>0</v>
      </c>
      <c r="L341" s="379">
        <f t="shared" si="10"/>
      </c>
      <c r="M341" s="377">
        <v>0</v>
      </c>
      <c r="N341" s="380">
        <f t="shared" si="29"/>
      </c>
      <c r="O341" s="377">
        <v>0</v>
      </c>
      <c r="P341" s="380">
        <f t="shared" si="67"/>
      </c>
      <c r="Q341" s="381"/>
      <c r="R341" s="377"/>
      <c r="S341" s="381"/>
      <c r="T341" s="377"/>
      <c r="U341" s="382"/>
      <c r="V341" s="383"/>
      <c r="W341" s="377"/>
      <c r="X341" s="383"/>
      <c r="Y341" s="381"/>
      <c r="Z341" s="383"/>
      <c r="AA341" s="383"/>
      <c r="AB341" s="377"/>
      <c r="AC341" s="377"/>
      <c r="AD341" s="381"/>
      <c r="AE341" s="383"/>
      <c r="AF341" s="383"/>
    </row>
    <row customHeight="true" ht="20.238095238095237" r="342">
      <c r="A342" s="371"/>
      <c r="B342" s="372"/>
      <c r="C342" s="373"/>
      <c r="D342" s="374"/>
      <c r="E342" s="377">
        <f>SUM(E312:E341)</f>
      </c>
      <c r="F342" s="377">
        <f>SUM(F312:F341)</f>
      </c>
      <c r="G342" s="377"/>
      <c r="H342" s="377"/>
      <c r="I342" s="378"/>
      <c r="J342" s="379"/>
      <c r="K342" s="377"/>
      <c r="L342" s="379"/>
      <c r="M342" s="377"/>
      <c r="N342" s="380"/>
      <c r="O342" s="377"/>
      <c r="P342" s="380"/>
      <c r="Q342" s="381"/>
      <c r="R342" s="377"/>
      <c r="S342" s="381"/>
      <c r="T342" s="377">
        <f>SUM(T312:T341)</f>
      </c>
      <c r="U342" s="382"/>
      <c r="V342" s="383"/>
      <c r="W342" s="377">
        <f>SUM(W312:W341)</f>
      </c>
      <c r="X342" s="383"/>
      <c r="Y342" s="381"/>
      <c r="Z342" s="383"/>
      <c r="AA342" s="383"/>
      <c r="AB342" s="377"/>
      <c r="AC342" s="377"/>
      <c r="AD342" s="381"/>
      <c r="AE342" s="383"/>
      <c r="AF342" s="383"/>
    </row>
    <row r="343">
      <c r="A343" s="371" t="s">
        <v>1101</v>
      </c>
      <c r="B343" s="372" t="s">
        <v>1065</v>
      </c>
      <c r="C343" s="373" t="s">
        <v>1076</v>
      </c>
      <c r="D343" s="374" t="s">
        <v>1067</v>
      </c>
      <c r="E343" s="375">
        <v>1061.11</v>
      </c>
      <c r="F343" s="376">
        <f>E343+E344+E345</f>
      </c>
      <c r="G343" s="377">
        <v>10846</v>
      </c>
      <c r="H343" s="377">
        <v>1377</v>
      </c>
      <c r="I343" s="378">
        <f t="shared" ref="I343:I372" si="49">H343/G343</f>
      </c>
      <c r="J343" s="379">
        <f t="shared" ref="J343:J372" si="88">(E343/G343)*1000</f>
      </c>
      <c r="K343" s="377">
        <v>28</v>
      </c>
      <c r="L343" s="379">
        <f t="shared" ref="L343:L372" si="11">E343/K343</f>
      </c>
      <c r="M343" s="377">
        <v>0</v>
      </c>
      <c r="N343" s="380">
        <f t="shared" ref="N343:N372" si="30">E343/M343</f>
      </c>
      <c r="O343" s="377">
        <v>1</v>
      </c>
      <c r="P343" s="380">
        <f t="shared" ref="P343:P372" si="68">E343/O343</f>
      </c>
      <c r="Q343" s="381">
        <f>(M343+M345+M344)/(O343+O345+O344)</f>
      </c>
      <c r="R343" s="377">
        <v>2</v>
      </c>
      <c r="S343" s="381">
        <f>(O343+O345)/(K343+K345)</f>
      </c>
      <c r="T343" s="377">
        <v>2</v>
      </c>
      <c r="U343" s="382">
        <f>F343/T343</f>
      </c>
      <c r="V343" s="383">
        <f>(F343+4*500)/T343</f>
      </c>
      <c r="W343" s="377">
        <v>1170</v>
      </c>
      <c r="X343" s="383">
        <f>W343/T343</f>
      </c>
      <c r="Y343" s="381">
        <f>T343/R343</f>
      </c>
      <c r="Z343" s="383">
        <f>W343/F343</f>
      </c>
      <c r="AA343" s="383">
        <f>W343/(F343+500)</f>
      </c>
      <c r="AB343" s="377">
        <v>0</v>
      </c>
      <c r="AC343" s="377">
        <v>0</v>
      </c>
      <c r="AD343" s="381">
        <f>AB343/T343</f>
      </c>
      <c r="AE343" s="383">
        <f>(W343-AC343)/(F343+500)</f>
      </c>
      <c r="AF343" s="383" t="s">
        <v>1092</v>
      </c>
    </row>
    <row r="344">
      <c r="A344" s="371"/>
      <c r="B344" s="372"/>
      <c r="C344" s="373"/>
      <c r="D344" s="374" t="s">
        <v>1069</v>
      </c>
      <c r="E344" s="384">
        <v>218.82</v>
      </c>
      <c r="F344" s="376"/>
      <c r="G344" s="377">
        <v>1680</v>
      </c>
      <c r="H344" s="377">
        <v>110</v>
      </c>
      <c r="I344" s="378">
        <f t="shared" si="49"/>
      </c>
      <c r="J344" s="379">
        <f t="shared" si="88"/>
      </c>
      <c r="K344" s="377">
        <v>4</v>
      </c>
      <c r="L344" s="379">
        <f t="shared" si="11"/>
      </c>
      <c r="M344" s="377">
        <v>0</v>
      </c>
      <c r="N344" s="380">
        <f t="shared" si="30"/>
      </c>
      <c r="O344" s="377">
        <v>0</v>
      </c>
      <c r="P344" s="380">
        <f t="shared" si="68"/>
      </c>
      <c r="Q344" s="381"/>
      <c r="R344" s="377"/>
      <c r="S344" s="381"/>
      <c r="T344" s="377"/>
      <c r="U344" s="382"/>
      <c r="V344" s="383"/>
      <c r="W344" s="377"/>
      <c r="X344" s="383"/>
      <c r="Y344" s="381"/>
      <c r="Z344" s="383"/>
      <c r="AA344" s="383"/>
      <c r="AB344" s="377"/>
      <c r="AC344" s="377"/>
      <c r="AD344" s="381"/>
      <c r="AE344" s="383"/>
      <c r="AF344" s="383" t="s">
        <v>1098</v>
      </c>
    </row>
    <row r="345">
      <c r="A345" s="371"/>
      <c r="B345" s="372"/>
      <c r="C345" s="373"/>
      <c r="D345" s="374" t="s">
        <v>1071</v>
      </c>
      <c r="E345" s="377">
        <v>79.72</v>
      </c>
      <c r="F345" s="376"/>
      <c r="G345" s="377">
        <v>49</v>
      </c>
      <c r="H345" s="377">
        <v>3</v>
      </c>
      <c r="I345" s="378">
        <f t="shared" si="49"/>
      </c>
      <c r="J345" s="379">
        <f t="shared" si="88"/>
      </c>
      <c r="K345" s="377">
        <v>1</v>
      </c>
      <c r="L345" s="379">
        <f t="shared" si="11"/>
      </c>
      <c r="M345" s="377">
        <v>1</v>
      </c>
      <c r="N345" s="380">
        <f t="shared" si="30"/>
      </c>
      <c r="O345" s="377">
        <v>1</v>
      </c>
      <c r="P345" s="380">
        <f t="shared" si="68"/>
      </c>
      <c r="Q345" s="381"/>
      <c r="R345" s="377"/>
      <c r="S345" s="381"/>
      <c r="T345" s="377"/>
      <c r="U345" s="382"/>
      <c r="V345" s="383"/>
      <c r="W345" s="377"/>
      <c r="X345" s="383"/>
      <c r="Y345" s="381"/>
      <c r="Z345" s="383"/>
      <c r="AA345" s="383"/>
      <c r="AB345" s="377"/>
      <c r="AC345" s="377"/>
      <c r="AD345" s="381"/>
      <c r="AE345" s="383"/>
      <c r="AF345" s="383"/>
    </row>
    <row r="346">
      <c r="A346" s="371"/>
      <c r="B346" s="372" t="s">
        <v>1072</v>
      </c>
      <c r="C346" s="373" t="s">
        <v>1076</v>
      </c>
      <c r="D346" s="374" t="s">
        <v>1067</v>
      </c>
      <c r="E346" s="375">
        <v>784.29</v>
      </c>
      <c r="F346" s="376">
        <f>E346+E347+E348</f>
      </c>
      <c r="G346" s="377">
        <v>8731</v>
      </c>
      <c r="H346" s="377">
        <v>1230</v>
      </c>
      <c r="I346" s="378">
        <f t="shared" si="49"/>
      </c>
      <c r="J346" s="379">
        <f t="shared" si="88"/>
      </c>
      <c r="K346" s="377">
        <v>17</v>
      </c>
      <c r="L346" s="379">
        <f t="shared" si="11"/>
      </c>
      <c r="M346" s="377">
        <v>1</v>
      </c>
      <c r="N346" s="380">
        <f t="shared" si="30"/>
      </c>
      <c r="O346" s="377">
        <v>2</v>
      </c>
      <c r="P346" s="380">
        <f t="shared" si="68"/>
      </c>
      <c r="Q346" s="381">
        <f>(M346+M348+M347)/(O346+O348+O347)</f>
      </c>
      <c r="R346" s="377">
        <v>3</v>
      </c>
      <c r="S346" s="381">
        <f>(O346+O348)/(K346+K348)</f>
      </c>
      <c r="T346" s="377">
        <v>0</v>
      </c>
      <c r="U346" s="382">
        <f>F346/T346</f>
      </c>
      <c r="V346" s="383">
        <f>(F346+4*500)/T346</f>
      </c>
      <c r="W346" s="377">
        <v>0</v>
      </c>
      <c r="X346" s="383">
        <f>W346/T346</f>
      </c>
      <c r="Y346" s="381">
        <f>T346/R346</f>
      </c>
      <c r="Z346" s="383">
        <f>W346/F346</f>
      </c>
      <c r="AA346" s="383">
        <f>W346/(F346+500)</f>
      </c>
      <c r="AB346" s="377">
        <v>0</v>
      </c>
      <c r="AC346" s="377">
        <v>0</v>
      </c>
      <c r="AD346" s="381">
        <f>AB346/T346</f>
      </c>
      <c r="AE346" s="383">
        <f>(W346-AC346)/(F346+500)</f>
      </c>
      <c r="AF346" s="383" t="s">
        <v>1092</v>
      </c>
    </row>
    <row r="347">
      <c r="A347" s="371"/>
      <c r="B347" s="372"/>
      <c r="C347" s="373"/>
      <c r="D347" s="374" t="s">
        <v>1069</v>
      </c>
      <c r="E347" s="384">
        <v>130.13</v>
      </c>
      <c r="F347" s="376"/>
      <c r="G347" s="377">
        <v>1077</v>
      </c>
      <c r="H347" s="377">
        <v>61</v>
      </c>
      <c r="I347" s="378">
        <f t="shared" si="49"/>
      </c>
      <c r="J347" s="379">
        <f t="shared" si="88"/>
      </c>
      <c r="K347" s="377">
        <v>2</v>
      </c>
      <c r="L347" s="379">
        <f t="shared" si="11"/>
      </c>
      <c r="M347" s="377">
        <v>0</v>
      </c>
      <c r="N347" s="380">
        <f t="shared" si="30"/>
      </c>
      <c r="O347" s="377">
        <v>0</v>
      </c>
      <c r="P347" s="380">
        <f t="shared" si="68"/>
      </c>
      <c r="Q347" s="381"/>
      <c r="R347" s="377"/>
      <c r="S347" s="381"/>
      <c r="T347" s="377"/>
      <c r="U347" s="382"/>
      <c r="V347" s="383"/>
      <c r="W347" s="377"/>
      <c r="X347" s="383"/>
      <c r="Y347" s="381"/>
      <c r="Z347" s="383"/>
      <c r="AA347" s="383"/>
      <c r="AB347" s="377"/>
      <c r="AC347" s="377"/>
      <c r="AD347" s="381"/>
      <c r="AE347" s="383"/>
      <c r="AF347" s="383" t="s">
        <v>1098</v>
      </c>
    </row>
    <row r="348">
      <c r="A348" s="371"/>
      <c r="B348" s="372"/>
      <c r="C348" s="373"/>
      <c r="D348" s="374" t="s">
        <v>1071</v>
      </c>
      <c r="E348" s="377">
        <v>330.89</v>
      </c>
      <c r="F348" s="376"/>
      <c r="G348" s="377">
        <v>543</v>
      </c>
      <c r="H348" s="377">
        <v>11</v>
      </c>
      <c r="I348" s="378">
        <f t="shared" si="49"/>
      </c>
      <c r="J348" s="379">
        <f t="shared" si="88"/>
      </c>
      <c r="K348" s="377">
        <v>1</v>
      </c>
      <c r="L348" s="379">
        <f t="shared" si="11"/>
      </c>
      <c r="M348" s="377">
        <v>0</v>
      </c>
      <c r="N348" s="380">
        <f t="shared" si="30"/>
      </c>
      <c r="O348" s="377">
        <v>0</v>
      </c>
      <c r="P348" s="380">
        <f t="shared" si="68"/>
      </c>
      <c r="Q348" s="381"/>
      <c r="R348" s="377"/>
      <c r="S348" s="381"/>
      <c r="T348" s="377"/>
      <c r="U348" s="382"/>
      <c r="V348" s="383"/>
      <c r="W348" s="377"/>
      <c r="X348" s="383"/>
      <c r="Y348" s="381"/>
      <c r="Z348" s="383"/>
      <c r="AA348" s="383"/>
      <c r="AB348" s="377"/>
      <c r="AC348" s="377"/>
      <c r="AD348" s="381"/>
      <c r="AE348" s="383"/>
      <c r="AF348" s="383"/>
    </row>
    <row r="349">
      <c r="A349" s="371"/>
      <c r="B349" s="372" t="s">
        <v>1073</v>
      </c>
      <c r="C349" s="373" t="s">
        <v>1076</v>
      </c>
      <c r="D349" s="374" t="s">
        <v>1067</v>
      </c>
      <c r="E349" s="375">
        <v>575.36</v>
      </c>
      <c r="F349" s="376">
        <f>E349+E350+E351</f>
      </c>
      <c r="G349" s="377">
        <v>5718</v>
      </c>
      <c r="H349" s="377">
        <v>469</v>
      </c>
      <c r="I349" s="378">
        <f t="shared" si="49"/>
      </c>
      <c r="J349" s="379">
        <f t="shared" si="88"/>
      </c>
      <c r="K349" s="377">
        <v>8</v>
      </c>
      <c r="L349" s="379">
        <f t="shared" si="11"/>
      </c>
      <c r="M349" s="377">
        <v>0</v>
      </c>
      <c r="N349" s="380">
        <f t="shared" si="30"/>
      </c>
      <c r="O349" s="377">
        <v>0</v>
      </c>
      <c r="P349" s="380">
        <f t="shared" si="68"/>
      </c>
      <c r="Q349" s="381">
        <f>(M349+M351+M350)/(O349+O351+O350)</f>
      </c>
      <c r="R349" s="377">
        <v>0</v>
      </c>
      <c r="S349" s="381">
        <f>(O349+O351)/(K349+K351)</f>
      </c>
      <c r="T349" s="377">
        <v>0</v>
      </c>
      <c r="U349" s="382">
        <f>F349/T349</f>
      </c>
      <c r="V349" s="383">
        <f>(F349+4*500)/T349</f>
      </c>
      <c r="W349" s="377">
        <v>0</v>
      </c>
      <c r="X349" s="383">
        <f>W349/T349</f>
      </c>
      <c r="Y349" s="381">
        <f>T349/R349</f>
      </c>
      <c r="Z349" s="383">
        <f>W349/F349</f>
      </c>
      <c r="AA349" s="383">
        <f>W349/(F349+500)</f>
      </c>
      <c r="AB349" s="377">
        <v>0</v>
      </c>
      <c r="AC349" s="377">
        <v>0</v>
      </c>
      <c r="AD349" s="381">
        <f>AB349/T349</f>
      </c>
      <c r="AE349" s="383">
        <f>(W349-AC349)/(F349+500)</f>
      </c>
      <c r="AF349" s="383" t="s">
        <v>1092</v>
      </c>
    </row>
    <row r="350">
      <c r="A350" s="371"/>
      <c r="B350" s="372"/>
      <c r="C350" s="373"/>
      <c r="D350" s="374" t="s">
        <v>1069</v>
      </c>
      <c r="E350" s="384">
        <v>116.11</v>
      </c>
      <c r="F350" s="376"/>
      <c r="G350" s="377">
        <v>1156</v>
      </c>
      <c r="H350" s="377">
        <v>52</v>
      </c>
      <c r="I350" s="378">
        <f t="shared" si="49"/>
      </c>
      <c r="J350" s="379">
        <f t="shared" si="88"/>
      </c>
      <c r="K350" s="377">
        <v>0</v>
      </c>
      <c r="L350" s="379">
        <f t="shared" si="11"/>
      </c>
      <c r="M350" s="377">
        <v>0</v>
      </c>
      <c r="N350" s="380">
        <f t="shared" si="30"/>
      </c>
      <c r="O350" s="377">
        <v>0</v>
      </c>
      <c r="P350" s="380">
        <f t="shared" si="68"/>
      </c>
      <c r="Q350" s="381"/>
      <c r="R350" s="377"/>
      <c r="S350" s="381"/>
      <c r="T350" s="377"/>
      <c r="U350" s="382"/>
      <c r="V350" s="383"/>
      <c r="W350" s="377"/>
      <c r="X350" s="383"/>
      <c r="Y350" s="381"/>
      <c r="Z350" s="383"/>
      <c r="AA350" s="383"/>
      <c r="AB350" s="377"/>
      <c r="AC350" s="377"/>
      <c r="AD350" s="381"/>
      <c r="AE350" s="383"/>
      <c r="AF350" s="383" t="s">
        <v>1098</v>
      </c>
    </row>
    <row r="351">
      <c r="A351" s="371"/>
      <c r="B351" s="372"/>
      <c r="C351" s="373"/>
      <c r="D351" s="374" t="s">
        <v>1071</v>
      </c>
      <c r="E351" s="377">
        <v>606.73</v>
      </c>
      <c r="F351" s="376"/>
      <c r="G351" s="377">
        <v>1151</v>
      </c>
      <c r="H351" s="377">
        <v>30</v>
      </c>
      <c r="I351" s="378">
        <f t="shared" si="49"/>
      </c>
      <c r="J351" s="379">
        <f t="shared" si="88"/>
      </c>
      <c r="K351" s="377">
        <v>7</v>
      </c>
      <c r="L351" s="379">
        <f t="shared" si="11"/>
      </c>
      <c r="M351" s="377">
        <v>0</v>
      </c>
      <c r="N351" s="380">
        <f t="shared" si="30"/>
      </c>
      <c r="O351" s="377">
        <v>0</v>
      </c>
      <c r="P351" s="380">
        <f t="shared" si="68"/>
      </c>
      <c r="Q351" s="381"/>
      <c r="R351" s="377"/>
      <c r="S351" s="381"/>
      <c r="T351" s="377"/>
      <c r="U351" s="382"/>
      <c r="V351" s="383"/>
      <c r="W351" s="377"/>
      <c r="X351" s="383"/>
      <c r="Y351" s="381"/>
      <c r="Z351" s="383"/>
      <c r="AA351" s="383"/>
      <c r="AB351" s="377"/>
      <c r="AC351" s="377"/>
      <c r="AD351" s="381"/>
      <c r="AE351" s="383"/>
      <c r="AF351" s="383"/>
    </row>
    <row r="352">
      <c r="A352" s="371"/>
      <c r="B352" s="372" t="s">
        <v>1074</v>
      </c>
      <c r="C352" s="373" t="s">
        <v>1076</v>
      </c>
      <c r="D352" s="374" t="s">
        <v>1067</v>
      </c>
      <c r="E352" s="375">
        <v>622.48</v>
      </c>
      <c r="F352" s="376">
        <f>E352+E353+E354</f>
      </c>
      <c r="G352" s="377">
        <v>5779</v>
      </c>
      <c r="H352" s="377">
        <v>285</v>
      </c>
      <c r="I352" s="378">
        <f t="shared" si="49"/>
      </c>
      <c r="J352" s="379">
        <f t="shared" si="88"/>
      </c>
      <c r="K352" s="377">
        <v>14</v>
      </c>
      <c r="L352" s="379">
        <f t="shared" si="11"/>
      </c>
      <c r="M352" s="377">
        <v>0</v>
      </c>
      <c r="N352" s="380">
        <f t="shared" si="30"/>
      </c>
      <c r="O352" s="377">
        <v>1</v>
      </c>
      <c r="P352" s="380">
        <f t="shared" si="68"/>
      </c>
      <c r="Q352" s="381">
        <f>(M352+M354+M353)/(O352+O354+O353)</f>
      </c>
      <c r="R352" s="377">
        <v>3</v>
      </c>
      <c r="S352" s="381">
        <f>(O352+O354)/(K352+K354)</f>
      </c>
      <c r="T352" s="377">
        <v>0</v>
      </c>
      <c r="U352" s="382">
        <f>F352/T352</f>
      </c>
      <c r="V352" s="383">
        <f>(F352+4*500)/T352</f>
      </c>
      <c r="W352" s="377">
        <v>0</v>
      </c>
      <c r="X352" s="383">
        <f>W352/T352</f>
      </c>
      <c r="Y352" s="381">
        <f>T352/R352</f>
      </c>
      <c r="Z352" s="383">
        <f>W352/F352</f>
      </c>
      <c r="AA352" s="383">
        <f>W352/(F352+500)</f>
      </c>
      <c r="AB352" s="377">
        <v>0</v>
      </c>
      <c r="AC352" s="377">
        <v>0</v>
      </c>
      <c r="AD352" s="381">
        <f>AB352/T352</f>
      </c>
      <c r="AE352" s="383">
        <f>(W352-AC352)/(F352+500)</f>
      </c>
      <c r="AF352" s="383" t="s">
        <v>1092</v>
      </c>
    </row>
    <row r="353">
      <c r="A353" s="371"/>
      <c r="B353" s="372"/>
      <c r="C353" s="373"/>
      <c r="D353" s="374" t="s">
        <v>1069</v>
      </c>
      <c r="E353" s="384">
        <v>73.87</v>
      </c>
      <c r="F353" s="376"/>
      <c r="G353" s="377">
        <v>932</v>
      </c>
      <c r="H353" s="377">
        <v>39</v>
      </c>
      <c r="I353" s="378">
        <f t="shared" si="49"/>
      </c>
      <c r="J353" s="379">
        <f t="shared" si="88"/>
      </c>
      <c r="K353" s="377">
        <v>2</v>
      </c>
      <c r="L353" s="379">
        <f t="shared" si="11"/>
      </c>
      <c r="M353" s="377">
        <v>0</v>
      </c>
      <c r="N353" s="380">
        <f t="shared" si="30"/>
      </c>
      <c r="O353" s="377">
        <v>0</v>
      </c>
      <c r="P353" s="380">
        <f t="shared" si="68"/>
      </c>
      <c r="Q353" s="381"/>
      <c r="R353" s="377"/>
      <c r="S353" s="381"/>
      <c r="T353" s="377"/>
      <c r="U353" s="382"/>
      <c r="V353" s="383"/>
      <c r="W353" s="377"/>
      <c r="X353" s="383"/>
      <c r="Y353" s="381"/>
      <c r="Z353" s="383"/>
      <c r="AA353" s="383"/>
      <c r="AB353" s="377"/>
      <c r="AC353" s="377"/>
      <c r="AD353" s="381"/>
      <c r="AE353" s="383"/>
      <c r="AF353" s="383" t="s">
        <v>1098</v>
      </c>
    </row>
    <row r="354">
      <c r="A354" s="371"/>
      <c r="B354" s="372"/>
      <c r="C354" s="373"/>
      <c r="D354" s="374" t="s">
        <v>1071</v>
      </c>
      <c r="E354" s="377">
        <v>1594.8</v>
      </c>
      <c r="F354" s="376"/>
      <c r="G354" s="377">
        <v>1465</v>
      </c>
      <c r="H354" s="377">
        <v>60</v>
      </c>
      <c r="I354" s="378">
        <f t="shared" si="49"/>
      </c>
      <c r="J354" s="379">
        <f t="shared" si="88"/>
      </c>
      <c r="K354" s="377">
        <v>22</v>
      </c>
      <c r="L354" s="379">
        <f t="shared" si="11"/>
      </c>
      <c r="M354" s="377">
        <v>0</v>
      </c>
      <c r="N354" s="380">
        <f t="shared" si="30"/>
      </c>
      <c r="O354" s="377">
        <v>0</v>
      </c>
      <c r="P354" s="380">
        <f t="shared" si="68"/>
      </c>
      <c r="Q354" s="381"/>
      <c r="R354" s="377"/>
      <c r="S354" s="381"/>
      <c r="T354" s="377"/>
      <c r="U354" s="382"/>
      <c r="V354" s="383"/>
      <c r="W354" s="377"/>
      <c r="X354" s="383"/>
      <c r="Y354" s="381"/>
      <c r="Z354" s="383"/>
      <c r="AA354" s="383"/>
      <c r="AB354" s="377"/>
      <c r="AC354" s="377"/>
      <c r="AD354" s="381"/>
      <c r="AE354" s="383"/>
      <c r="AF354" s="383"/>
    </row>
    <row r="355">
      <c r="A355" s="371"/>
      <c r="B355" s="372" t="s">
        <v>1075</v>
      </c>
      <c r="C355" s="373" t="s">
        <v>1084</v>
      </c>
      <c r="D355" s="374" t="s">
        <v>1067</v>
      </c>
      <c r="E355" s="375">
        <v>653.77</v>
      </c>
      <c r="F355" s="376">
        <f>E355+E356+E357</f>
      </c>
      <c r="G355" s="377">
        <v>3666</v>
      </c>
      <c r="H355" s="377">
        <v>205</v>
      </c>
      <c r="I355" s="378">
        <f t="shared" si="49"/>
      </c>
      <c r="J355" s="379">
        <f t="shared" si="88"/>
      </c>
      <c r="K355" s="377">
        <v>10</v>
      </c>
      <c r="L355" s="379">
        <f t="shared" si="11"/>
      </c>
      <c r="M355" s="377">
        <v>0</v>
      </c>
      <c r="N355" s="380">
        <f t="shared" si="30"/>
      </c>
      <c r="O355" s="377">
        <v>1</v>
      </c>
      <c r="P355" s="380">
        <f t="shared" si="68"/>
      </c>
      <c r="Q355" s="381">
        <f>(M355+M357+M356)/(O355+O357+O356)</f>
      </c>
      <c r="R355" s="377">
        <v>3</v>
      </c>
      <c r="S355" s="381">
        <f>(O355+O357)/(K355+K357)</f>
      </c>
      <c r="T355" s="377">
        <v>0</v>
      </c>
      <c r="U355" s="382">
        <f>F355/T355</f>
      </c>
      <c r="V355" s="383">
        <f>(F355+4*500)/T355</f>
      </c>
      <c r="W355" s="377">
        <v>0</v>
      </c>
      <c r="X355" s="383">
        <f>W355/T355</f>
      </c>
      <c r="Y355" s="381">
        <f>T355/R355</f>
      </c>
      <c r="Z355" s="383">
        <f>W355/F355</f>
      </c>
      <c r="AA355" s="383">
        <f>W355/(F355+500)</f>
      </c>
      <c r="AB355" s="377">
        <v>0</v>
      </c>
      <c r="AC355" s="377">
        <v>0</v>
      </c>
      <c r="AD355" s="381">
        <f>AB355/T355</f>
      </c>
      <c r="AE355" s="383">
        <f>(W355-AC355)/(F355+500)</f>
      </c>
      <c r="AF355" s="383" t="s">
        <v>1092</v>
      </c>
    </row>
    <row r="356">
      <c r="A356" s="371"/>
      <c r="B356" s="372"/>
      <c r="C356" s="373"/>
      <c r="D356" s="374" t="s">
        <v>1069</v>
      </c>
      <c r="E356" s="384">
        <v>146.11</v>
      </c>
      <c r="F356" s="376"/>
      <c r="G356" s="377">
        <v>779</v>
      </c>
      <c r="H356" s="377">
        <v>24</v>
      </c>
      <c r="I356" s="378">
        <f t="shared" si="49"/>
      </c>
      <c r="J356" s="379">
        <f t="shared" si="88"/>
      </c>
      <c r="K356" s="377">
        <v>2</v>
      </c>
      <c r="L356" s="379">
        <f t="shared" si="11"/>
      </c>
      <c r="M356" s="377">
        <v>0</v>
      </c>
      <c r="N356" s="380">
        <f t="shared" si="30"/>
      </c>
      <c r="O356" s="377">
        <v>0</v>
      </c>
      <c r="P356" s="380">
        <f t="shared" si="68"/>
      </c>
      <c r="Q356" s="381"/>
      <c r="R356" s="377"/>
      <c r="S356" s="381"/>
      <c r="T356" s="377"/>
      <c r="U356" s="382"/>
      <c r="V356" s="383"/>
      <c r="W356" s="377"/>
      <c r="X356" s="383"/>
      <c r="Y356" s="381"/>
      <c r="Z356" s="383"/>
      <c r="AA356" s="383"/>
      <c r="AB356" s="377"/>
      <c r="AC356" s="377"/>
      <c r="AD356" s="381"/>
      <c r="AE356" s="383"/>
      <c r="AF356" s="383" t="s">
        <v>1098</v>
      </c>
    </row>
    <row r="357">
      <c r="A357" s="371"/>
      <c r="B357" s="372"/>
      <c r="C357" s="373"/>
      <c r="D357" s="374" t="s">
        <v>1071</v>
      </c>
      <c r="E357" s="377">
        <v>42.92</v>
      </c>
      <c r="F357" s="376"/>
      <c r="G357" s="377">
        <v>164</v>
      </c>
      <c r="H357" s="377">
        <v>5</v>
      </c>
      <c r="I357" s="378">
        <f t="shared" si="49"/>
      </c>
      <c r="J357" s="379">
        <f t="shared" si="88"/>
      </c>
      <c r="K357" s="377">
        <v>1</v>
      </c>
      <c r="L357" s="379">
        <f t="shared" si="11"/>
      </c>
      <c r="M357" s="377">
        <v>0</v>
      </c>
      <c r="N357" s="380">
        <f t="shared" si="30"/>
      </c>
      <c r="O357" s="377">
        <v>0</v>
      </c>
      <c r="P357" s="380">
        <f t="shared" si="68"/>
      </c>
      <c r="Q357" s="381"/>
      <c r="R357" s="377"/>
      <c r="S357" s="381"/>
      <c r="T357" s="377"/>
      <c r="U357" s="382"/>
      <c r="V357" s="383"/>
      <c r="W357" s="377"/>
      <c r="X357" s="383"/>
      <c r="Y357" s="381"/>
      <c r="Z357" s="383"/>
      <c r="AA357" s="383"/>
      <c r="AB357" s="377"/>
      <c r="AC357" s="377"/>
      <c r="AD357" s="381"/>
      <c r="AE357" s="383"/>
      <c r="AF357" s="383"/>
    </row>
    <row r="358">
      <c r="A358" s="371"/>
      <c r="B358" s="372" t="s">
        <v>1077</v>
      </c>
      <c r="C358" s="373" t="s">
        <v>1084</v>
      </c>
      <c r="D358" s="374" t="s">
        <v>1067</v>
      </c>
      <c r="E358" s="375">
        <v>414.83</v>
      </c>
      <c r="F358" s="376">
        <f>E358+E359+E360</f>
      </c>
      <c r="G358" s="377">
        <v>3409</v>
      </c>
      <c r="H358" s="377">
        <v>144</v>
      </c>
      <c r="I358" s="378">
        <f t="shared" si="49"/>
      </c>
      <c r="J358" s="379">
        <f t="shared" si="88"/>
      </c>
      <c r="K358" s="377">
        <v>6</v>
      </c>
      <c r="L358" s="379">
        <f t="shared" si="11"/>
      </c>
      <c r="M358" s="377">
        <v>0</v>
      </c>
      <c r="N358" s="380">
        <f t="shared" si="30"/>
      </c>
      <c r="O358" s="377">
        <v>0</v>
      </c>
      <c r="P358" s="380">
        <f t="shared" si="68"/>
      </c>
      <c r="Q358" s="381">
        <f>(M358+M360+M359)/(O358+O360+O359)</f>
      </c>
      <c r="R358" s="377">
        <v>1</v>
      </c>
      <c r="S358" s="381">
        <f>(O358+O360)/(K358+K360)</f>
      </c>
      <c r="T358" s="377">
        <v>0</v>
      </c>
      <c r="U358" s="382">
        <f>F358/T358</f>
      </c>
      <c r="V358" s="383">
        <f>(F358+4*500)/T358</f>
      </c>
      <c r="W358" s="377">
        <v>0</v>
      </c>
      <c r="X358" s="383">
        <f>W358/T358</f>
      </c>
      <c r="Y358" s="381">
        <f>T358/R358</f>
      </c>
      <c r="Z358" s="383">
        <f>W358/F358</f>
      </c>
      <c r="AA358" s="383">
        <f>W358/(F358+500)</f>
      </c>
      <c r="AB358" s="377">
        <v>0</v>
      </c>
      <c r="AC358" s="377">
        <v>0</v>
      </c>
      <c r="AD358" s="381">
        <f>AB358/T358</f>
      </c>
      <c r="AE358" s="383">
        <f>(W358-AC358)/(F358+500)</f>
      </c>
      <c r="AF358" s="383" t="s">
        <v>1092</v>
      </c>
    </row>
    <row r="359">
      <c r="A359" s="371"/>
      <c r="B359" s="372"/>
      <c r="C359" s="373"/>
      <c r="D359" s="374" t="s">
        <v>1069</v>
      </c>
      <c r="E359" s="384">
        <v>220.44</v>
      </c>
      <c r="F359" s="376"/>
      <c r="G359" s="377">
        <v>712</v>
      </c>
      <c r="H359" s="377">
        <v>28</v>
      </c>
      <c r="I359" s="378">
        <f t="shared" si="49"/>
      </c>
      <c r="J359" s="379">
        <f t="shared" si="88"/>
      </c>
      <c r="K359" s="377">
        <v>0</v>
      </c>
      <c r="L359" s="379">
        <f t="shared" si="11"/>
      </c>
      <c r="M359" s="377">
        <v>0</v>
      </c>
      <c r="N359" s="380">
        <f t="shared" si="30"/>
      </c>
      <c r="O359" s="377">
        <v>0</v>
      </c>
      <c r="P359" s="380">
        <f t="shared" si="68"/>
      </c>
      <c r="Q359" s="381"/>
      <c r="R359" s="377"/>
      <c r="S359" s="381"/>
      <c r="T359" s="377"/>
      <c r="U359" s="382"/>
      <c r="V359" s="383"/>
      <c r="W359" s="377"/>
      <c r="X359" s="383"/>
      <c r="Y359" s="381"/>
      <c r="Z359" s="383"/>
      <c r="AA359" s="383"/>
      <c r="AB359" s="377"/>
      <c r="AC359" s="377"/>
      <c r="AD359" s="381"/>
      <c r="AE359" s="383"/>
      <c r="AF359" s="383" t="s">
        <v>1098</v>
      </c>
    </row>
    <row r="360">
      <c r="A360" s="371"/>
      <c r="B360" s="372"/>
      <c r="C360" s="373"/>
      <c r="D360" s="374" t="s">
        <v>1071</v>
      </c>
      <c r="E360" s="377">
        <v>1.27</v>
      </c>
      <c r="F360" s="376"/>
      <c r="G360" s="377">
        <v>58</v>
      </c>
      <c r="H360" s="377">
        <v>3</v>
      </c>
      <c r="I360" s="378">
        <f t="shared" si="49"/>
      </c>
      <c r="J360" s="379">
        <f t="shared" si="88"/>
      </c>
      <c r="K360" s="377">
        <v>0</v>
      </c>
      <c r="L360" s="379">
        <f t="shared" si="11"/>
      </c>
      <c r="M360" s="377">
        <v>0</v>
      </c>
      <c r="N360" s="380">
        <f t="shared" si="30"/>
      </c>
      <c r="O360" s="377">
        <v>0</v>
      </c>
      <c r="P360" s="380">
        <f t="shared" si="68"/>
      </c>
      <c r="Q360" s="381"/>
      <c r="R360" s="377"/>
      <c r="S360" s="381"/>
      <c r="T360" s="377"/>
      <c r="U360" s="382"/>
      <c r="V360" s="383"/>
      <c r="W360" s="377"/>
      <c r="X360" s="383"/>
      <c r="Y360" s="381"/>
      <c r="Z360" s="383"/>
      <c r="AA360" s="383"/>
      <c r="AB360" s="377"/>
      <c r="AC360" s="377"/>
      <c r="AD360" s="381"/>
      <c r="AE360" s="383"/>
      <c r="AF360" s="383"/>
    </row>
    <row r="361">
      <c r="A361" s="371"/>
      <c r="B361" s="385" t="s">
        <v>1078</v>
      </c>
      <c r="C361" s="373" t="s">
        <v>1084</v>
      </c>
      <c r="D361" s="374" t="s">
        <v>1067</v>
      </c>
      <c r="E361" s="375">
        <v>1063.01</v>
      </c>
      <c r="F361" s="376">
        <f>E361+E362+E363</f>
      </c>
      <c r="G361" s="377">
        <v>8385</v>
      </c>
      <c r="H361" s="377">
        <v>149</v>
      </c>
      <c r="I361" s="378">
        <f t="shared" si="49"/>
      </c>
      <c r="J361" s="379">
        <f t="shared" si="88"/>
      </c>
      <c r="K361" s="377">
        <v>14</v>
      </c>
      <c r="L361" s="379">
        <f t="shared" si="11"/>
      </c>
      <c r="M361" s="377">
        <v>2</v>
      </c>
      <c r="N361" s="380">
        <f t="shared" si="30"/>
      </c>
      <c r="O361" s="377">
        <v>3</v>
      </c>
      <c r="P361" s="380">
        <f t="shared" si="68"/>
      </c>
      <c r="Q361" s="381">
        <f>(M361+M363+M362)/(O361+O363+O362)</f>
      </c>
      <c r="R361" s="377">
        <v>3</v>
      </c>
      <c r="S361" s="381">
        <f>(O361+O363)/(K361+K363)</f>
      </c>
      <c r="T361" s="377">
        <v>2</v>
      </c>
      <c r="U361" s="382">
        <f>F361/T361</f>
      </c>
      <c r="V361" s="383">
        <f>(F361+4*500)/T361</f>
      </c>
      <c r="W361" s="377">
        <v>1290</v>
      </c>
      <c r="X361" s="383">
        <f>W361/T361</f>
      </c>
      <c r="Y361" s="381">
        <f>T361/R361</f>
      </c>
      <c r="Z361" s="383">
        <f>W361/F361</f>
      </c>
      <c r="AA361" s="383">
        <f>W361/(F361+500)</f>
      </c>
      <c r="AB361" s="377">
        <v>0</v>
      </c>
      <c r="AC361" s="377">
        <v>0</v>
      </c>
      <c r="AD361" s="381">
        <f>AB361/T361</f>
      </c>
      <c r="AE361" s="383">
        <f>(W361-AC361)/(F361+500)</f>
      </c>
      <c r="AF361" s="383" t="s">
        <v>1092</v>
      </c>
    </row>
    <row r="362">
      <c r="A362" s="371"/>
      <c r="B362" s="385"/>
      <c r="C362" s="373"/>
      <c r="D362" s="374" t="s">
        <v>1069</v>
      </c>
      <c r="E362" s="384">
        <v>94.66</v>
      </c>
      <c r="F362" s="376"/>
      <c r="G362" s="377">
        <v>640</v>
      </c>
      <c r="H362" s="377">
        <v>14</v>
      </c>
      <c r="I362" s="378">
        <f t="shared" si="49"/>
      </c>
      <c r="J362" s="379">
        <f t="shared" si="88"/>
      </c>
      <c r="K362" s="377">
        <v>0</v>
      </c>
      <c r="L362" s="379">
        <f t="shared" si="11"/>
      </c>
      <c r="M362" s="377">
        <v>0</v>
      </c>
      <c r="N362" s="380">
        <f t="shared" si="30"/>
      </c>
      <c r="O362" s="377">
        <v>0</v>
      </c>
      <c r="P362" s="380">
        <f t="shared" si="68"/>
      </c>
      <c r="Q362" s="381"/>
      <c r="R362" s="377"/>
      <c r="S362" s="381"/>
      <c r="T362" s="377"/>
      <c r="U362" s="382"/>
      <c r="V362" s="383"/>
      <c r="W362" s="377"/>
      <c r="X362" s="383"/>
      <c r="Y362" s="381"/>
      <c r="Z362" s="383"/>
      <c r="AA362" s="383"/>
      <c r="AB362" s="377"/>
      <c r="AC362" s="377"/>
      <c r="AD362" s="381"/>
      <c r="AE362" s="383"/>
      <c r="AF362" s="383" t="s">
        <v>1098</v>
      </c>
    </row>
    <row r="363">
      <c r="A363" s="371"/>
      <c r="B363" s="385"/>
      <c r="C363" s="373"/>
      <c r="D363" s="374" t="s">
        <v>1071</v>
      </c>
      <c r="E363" s="377">
        <v>3.19</v>
      </c>
      <c r="F363" s="376"/>
      <c r="G363" s="377">
        <v>72</v>
      </c>
      <c r="H363" s="377">
        <v>3</v>
      </c>
      <c r="I363" s="378">
        <f t="shared" si="49"/>
      </c>
      <c r="J363" s="379">
        <f t="shared" si="88"/>
      </c>
      <c r="K363" s="377">
        <v>0</v>
      </c>
      <c r="L363" s="379">
        <f t="shared" si="11"/>
      </c>
      <c r="M363" s="377">
        <v>0</v>
      </c>
      <c r="N363" s="380">
        <f t="shared" si="30"/>
      </c>
      <c r="O363" s="377">
        <v>0</v>
      </c>
      <c r="P363" s="380">
        <f t="shared" si="68"/>
      </c>
      <c r="Q363" s="381"/>
      <c r="R363" s="377"/>
      <c r="S363" s="381"/>
      <c r="T363" s="377"/>
      <c r="U363" s="382"/>
      <c r="V363" s="383"/>
      <c r="W363" s="377"/>
      <c r="X363" s="383"/>
      <c r="Y363" s="381"/>
      <c r="Z363" s="383"/>
      <c r="AA363" s="383"/>
      <c r="AB363" s="377"/>
      <c r="AC363" s="377"/>
      <c r="AD363" s="381"/>
      <c r="AE363" s="383"/>
      <c r="AF363" s="383"/>
    </row>
    <row r="364">
      <c r="A364" s="371"/>
      <c r="B364" s="372" t="s">
        <v>1079</v>
      </c>
      <c r="C364" s="373" t="s">
        <v>1084</v>
      </c>
      <c r="D364" s="374" t="s">
        <v>1067</v>
      </c>
      <c r="E364" s="375">
        <v>1345.46</v>
      </c>
      <c r="F364" s="376">
        <f>E364+E365+E366</f>
      </c>
      <c r="G364" s="377">
        <v>10236</v>
      </c>
      <c r="H364" s="377">
        <v>244</v>
      </c>
      <c r="I364" s="378">
        <f t="shared" si="49"/>
      </c>
      <c r="J364" s="379">
        <f t="shared" si="88"/>
      </c>
      <c r="K364" s="377">
        <v>18</v>
      </c>
      <c r="L364" s="379">
        <f t="shared" si="11"/>
      </c>
      <c r="M364" s="377">
        <v>1</v>
      </c>
      <c r="N364" s="380">
        <f t="shared" si="30"/>
      </c>
      <c r="O364" s="377">
        <v>1</v>
      </c>
      <c r="P364" s="380">
        <f t="shared" si="68"/>
      </c>
      <c r="Q364" s="381">
        <f>(M364+M366+M365)/(O364+O366+O365)</f>
      </c>
      <c r="R364" s="377">
        <v>3</v>
      </c>
      <c r="S364" s="381">
        <f>(O364+O366)/(K364+K366)</f>
      </c>
      <c r="T364" s="377">
        <v>1</v>
      </c>
      <c r="U364" s="382">
        <f>F364/T364</f>
      </c>
      <c r="V364" s="383">
        <f>(F364+4*500)/T364</f>
      </c>
      <c r="W364" s="377">
        <v>1723.1999999999998</v>
      </c>
      <c r="X364" s="383">
        <f>W364/T364</f>
      </c>
      <c r="Y364" s="381">
        <f>T364/R364</f>
      </c>
      <c r="Z364" s="383">
        <f>W364/F364</f>
      </c>
      <c r="AA364" s="383">
        <f>W364/(F364+500)</f>
      </c>
      <c r="AB364" s="377">
        <v>1</v>
      </c>
      <c r="AC364" s="377">
        <v>1723.2</v>
      </c>
      <c r="AD364" s="381">
        <f>AB364/T364</f>
      </c>
      <c r="AE364" s="383">
        <f>(W364-AC364)/(F364+500)</f>
      </c>
      <c r="AF364" s="383" t="s">
        <v>1092</v>
      </c>
    </row>
    <row r="365">
      <c r="A365" s="371"/>
      <c r="B365" s="372"/>
      <c r="C365" s="373"/>
      <c r="D365" s="374" t="s">
        <v>1069</v>
      </c>
      <c r="E365" s="384">
        <v>118.23</v>
      </c>
      <c r="F365" s="376"/>
      <c r="G365" s="377">
        <v>861</v>
      </c>
      <c r="H365" s="377">
        <v>20</v>
      </c>
      <c r="I365" s="378">
        <f t="shared" si="49"/>
      </c>
      <c r="J365" s="379">
        <f t="shared" si="88"/>
      </c>
      <c r="K365" s="377">
        <v>1</v>
      </c>
      <c r="L365" s="379">
        <f t="shared" si="11"/>
      </c>
      <c r="M365" s="377">
        <v>0</v>
      </c>
      <c r="N365" s="380">
        <f t="shared" si="30"/>
      </c>
      <c r="O365" s="377">
        <v>0</v>
      </c>
      <c r="P365" s="380">
        <f t="shared" si="68"/>
      </c>
      <c r="Q365" s="381"/>
      <c r="R365" s="377"/>
      <c r="S365" s="381"/>
      <c r="T365" s="377"/>
      <c r="U365" s="382"/>
      <c r="V365" s="383"/>
      <c r="W365" s="377"/>
      <c r="X365" s="383"/>
      <c r="Y365" s="381"/>
      <c r="Z365" s="383"/>
      <c r="AA365" s="383"/>
      <c r="AB365" s="377"/>
      <c r="AC365" s="377"/>
      <c r="AD365" s="381"/>
      <c r="AE365" s="383"/>
      <c r="AF365" s="383" t="s">
        <v>1098</v>
      </c>
    </row>
    <row r="366">
      <c r="A366" s="371"/>
      <c r="B366" s="372"/>
      <c r="C366" s="373"/>
      <c r="D366" s="374" t="s">
        <v>1071</v>
      </c>
      <c r="E366" s="377">
        <v>4.32</v>
      </c>
      <c r="F366" s="376"/>
      <c r="G366" s="377">
        <v>47</v>
      </c>
      <c r="H366" s="377">
        <v>3</v>
      </c>
      <c r="I366" s="378">
        <f t="shared" si="49"/>
      </c>
      <c r="J366" s="379">
        <f t="shared" si="88"/>
      </c>
      <c r="K366" s="377">
        <v>0</v>
      </c>
      <c r="L366" s="379">
        <f t="shared" si="11"/>
      </c>
      <c r="M366" s="377">
        <v>0</v>
      </c>
      <c r="N366" s="380">
        <f t="shared" si="30"/>
      </c>
      <c r="O366" s="377">
        <v>0</v>
      </c>
      <c r="P366" s="380">
        <f t="shared" si="68"/>
      </c>
      <c r="Q366" s="381"/>
      <c r="R366" s="377"/>
      <c r="S366" s="381"/>
      <c r="T366" s="377"/>
      <c r="U366" s="382"/>
      <c r="V366" s="383"/>
      <c r="W366" s="377"/>
      <c r="X366" s="383"/>
      <c r="Y366" s="381"/>
      <c r="Z366" s="383"/>
      <c r="AA366" s="383"/>
      <c r="AB366" s="377"/>
      <c r="AC366" s="377"/>
      <c r="AD366" s="381"/>
      <c r="AE366" s="383"/>
      <c r="AF366" s="383"/>
    </row>
    <row r="367">
      <c r="A367" s="371"/>
      <c r="B367" s="372" t="s">
        <v>1080</v>
      </c>
      <c r="C367" s="373" t="s">
        <v>1090</v>
      </c>
      <c r="D367" s="374" t="s">
        <v>1067</v>
      </c>
      <c r="E367" s="375">
        <v>863.21</v>
      </c>
      <c r="F367" s="376">
        <f>E367+E368+E369</f>
      </c>
      <c r="G367" s="377">
        <v>6342</v>
      </c>
      <c r="H367" s="377">
        <v>225</v>
      </c>
      <c r="I367" s="378">
        <f t="shared" si="49"/>
      </c>
      <c r="J367" s="379">
        <f t="shared" si="88"/>
      </c>
      <c r="K367" s="377">
        <v>13</v>
      </c>
      <c r="L367" s="379">
        <f t="shared" si="11"/>
      </c>
      <c r="M367" s="377">
        <v>0</v>
      </c>
      <c r="N367" s="380">
        <f t="shared" si="30"/>
      </c>
      <c r="O367" s="377">
        <v>0</v>
      </c>
      <c r="P367" s="380">
        <f t="shared" si="68"/>
      </c>
      <c r="Q367" s="381">
        <f>(M367+M369+M368)/(O367+O369+O368)</f>
      </c>
      <c r="R367" s="377">
        <v>3</v>
      </c>
      <c r="S367" s="381">
        <f>(O367+O369)/(K367+K369)</f>
      </c>
      <c r="T367" s="377">
        <v>0</v>
      </c>
      <c r="U367" s="382">
        <f>F367/T367</f>
      </c>
      <c r="V367" s="383">
        <f>(F367+4*500)/T367</f>
      </c>
      <c r="W367" s="377">
        <v>0</v>
      </c>
      <c r="X367" s="383">
        <f>W367/T367</f>
      </c>
      <c r="Y367" s="381">
        <f>T367/R367</f>
      </c>
      <c r="Z367" s="383">
        <f>W367/F367</f>
      </c>
      <c r="AA367" s="383">
        <f>W367/(F367+500)</f>
      </c>
      <c r="AB367" s="377">
        <v>0</v>
      </c>
      <c r="AC367" s="377">
        <v>0</v>
      </c>
      <c r="AD367" s="381">
        <f>AB367/T367</f>
      </c>
      <c r="AE367" s="383">
        <f>(W367-AC367)/(F367+500)</f>
      </c>
      <c r="AF367" s="383" t="s">
        <v>1092</v>
      </c>
    </row>
    <row r="368">
      <c r="A368" s="371"/>
      <c r="B368" s="372"/>
      <c r="C368" s="373"/>
      <c r="D368" s="374" t="s">
        <v>1069</v>
      </c>
      <c r="E368" s="384">
        <v>138.16</v>
      </c>
      <c r="F368" s="376"/>
      <c r="G368" s="377">
        <v>737</v>
      </c>
      <c r="H368" s="377">
        <v>23</v>
      </c>
      <c r="I368" s="378">
        <f t="shared" si="49"/>
      </c>
      <c r="J368" s="379">
        <f t="shared" si="88"/>
      </c>
      <c r="K368" s="377">
        <v>2</v>
      </c>
      <c r="L368" s="379">
        <f t="shared" si="11"/>
      </c>
      <c r="M368" s="377">
        <v>0</v>
      </c>
      <c r="N368" s="380">
        <f t="shared" si="30"/>
      </c>
      <c r="O368" s="377">
        <v>0</v>
      </c>
      <c r="P368" s="380">
        <f t="shared" si="68"/>
      </c>
      <c r="Q368" s="381"/>
      <c r="R368" s="377"/>
      <c r="S368" s="381"/>
      <c r="T368" s="377"/>
      <c r="U368" s="382"/>
      <c r="V368" s="383"/>
      <c r="W368" s="377"/>
      <c r="X368" s="383"/>
      <c r="Y368" s="381"/>
      <c r="Z368" s="383"/>
      <c r="AA368" s="383"/>
      <c r="AB368" s="377"/>
      <c r="AC368" s="377"/>
      <c r="AD368" s="381"/>
      <c r="AE368" s="383"/>
      <c r="AF368" s="383" t="s">
        <v>1098</v>
      </c>
    </row>
    <row r="369">
      <c r="A369" s="371"/>
      <c r="B369" s="372"/>
      <c r="C369" s="373"/>
      <c r="D369" s="374" t="s">
        <v>1071</v>
      </c>
      <c r="E369" s="377">
        <v>1.79</v>
      </c>
      <c r="F369" s="376"/>
      <c r="G369" s="377">
        <v>31</v>
      </c>
      <c r="H369" s="377">
        <v>0</v>
      </c>
      <c r="I369" s="378">
        <f t="shared" si="49"/>
      </c>
      <c r="J369" s="379">
        <f t="shared" si="88"/>
      </c>
      <c r="K369" s="377">
        <v>0</v>
      </c>
      <c r="L369" s="379">
        <f t="shared" si="11"/>
      </c>
      <c r="M369" s="377">
        <v>0</v>
      </c>
      <c r="N369" s="380">
        <f t="shared" si="30"/>
      </c>
      <c r="O369" s="377">
        <v>0</v>
      </c>
      <c r="P369" s="380">
        <f t="shared" si="68"/>
      </c>
      <c r="Q369" s="381"/>
      <c r="R369" s="377"/>
      <c r="S369" s="381"/>
      <c r="T369" s="377"/>
      <c r="U369" s="382"/>
      <c r="V369" s="383"/>
      <c r="W369" s="377"/>
      <c r="X369" s="383"/>
      <c r="Y369" s="381"/>
      <c r="Z369" s="383"/>
      <c r="AA369" s="383"/>
      <c r="AB369" s="377"/>
      <c r="AC369" s="377"/>
      <c r="AD369" s="381"/>
      <c r="AE369" s="383"/>
      <c r="AF369" s="383"/>
    </row>
    <row r="370">
      <c r="A370" s="371"/>
      <c r="B370" s="372" t="s">
        <v>1082</v>
      </c>
      <c r="C370" s="373" t="s">
        <v>1090</v>
      </c>
      <c r="D370" s="374" t="s">
        <v>1067</v>
      </c>
      <c r="E370" s="375">
        <v>461.71</v>
      </c>
      <c r="F370" s="376">
        <f>E370+E371+E372</f>
      </c>
      <c r="G370" s="377">
        <v>3513</v>
      </c>
      <c r="H370" s="377">
        <v>158</v>
      </c>
      <c r="I370" s="378">
        <f t="shared" si="49"/>
      </c>
      <c r="J370" s="379">
        <f t="shared" si="88"/>
      </c>
      <c r="K370" s="377">
        <v>13</v>
      </c>
      <c r="L370" s="379">
        <f t="shared" si="11"/>
      </c>
      <c r="M370" s="377">
        <v>0</v>
      </c>
      <c r="N370" s="380">
        <f t="shared" si="30"/>
      </c>
      <c r="O370" s="377">
        <v>3</v>
      </c>
      <c r="P370" s="380">
        <f t="shared" si="68"/>
      </c>
      <c r="Q370" s="381">
        <f>(M370+M372+M371)/(O370+O372+O371)</f>
      </c>
      <c r="R370" s="377">
        <v>3</v>
      </c>
      <c r="S370" s="381">
        <f>(O370+O372)/(K370+K372)</f>
      </c>
      <c r="T370" s="377">
        <v>0</v>
      </c>
      <c r="U370" s="382">
        <f>F370/T370</f>
      </c>
      <c r="V370" s="383">
        <f>(F370+4*500)/T370</f>
      </c>
      <c r="W370" s="377">
        <v>0</v>
      </c>
      <c r="X370" s="383">
        <f>W370/T370</f>
      </c>
      <c r="Y370" s="381">
        <f>T370/R370</f>
      </c>
      <c r="Z370" s="383">
        <f>W370/F370</f>
      </c>
      <c r="AA370" s="383">
        <f>W370/(F370+500)</f>
      </c>
      <c r="AB370" s="377">
        <v>0</v>
      </c>
      <c r="AC370" s="377">
        <v>0</v>
      </c>
      <c r="AD370" s="381">
        <f>AB370/T370</f>
      </c>
      <c r="AE370" s="383">
        <f>(W370-AC370)/(F370+500)</f>
      </c>
      <c r="AF370" s="383" t="s">
        <v>1092</v>
      </c>
    </row>
    <row r="371">
      <c r="A371" s="371"/>
      <c r="B371" s="372"/>
      <c r="C371" s="373"/>
      <c r="D371" s="374" t="s">
        <v>1069</v>
      </c>
      <c r="E371" s="384">
        <v>278.13</v>
      </c>
      <c r="F371" s="376"/>
      <c r="G371" s="377">
        <v>664</v>
      </c>
      <c r="H371" s="377">
        <v>19</v>
      </c>
      <c r="I371" s="378">
        <f t="shared" si="49"/>
      </c>
      <c r="J371" s="379">
        <f t="shared" si="88"/>
      </c>
      <c r="K371" s="377">
        <v>2</v>
      </c>
      <c r="L371" s="379">
        <f t="shared" si="11"/>
      </c>
      <c r="M371" s="377">
        <v>0</v>
      </c>
      <c r="N371" s="380">
        <f t="shared" si="30"/>
      </c>
      <c r="O371" s="377">
        <v>0</v>
      </c>
      <c r="P371" s="380">
        <f t="shared" si="68"/>
      </c>
      <c r="Q371" s="381"/>
      <c r="R371" s="377"/>
      <c r="S371" s="381"/>
      <c r="T371" s="377"/>
      <c r="U371" s="382"/>
      <c r="V371" s="383"/>
      <c r="W371" s="377"/>
      <c r="X371" s="383"/>
      <c r="Y371" s="381"/>
      <c r="Z371" s="383"/>
      <c r="AA371" s="383"/>
      <c r="AB371" s="377"/>
      <c r="AC371" s="377"/>
      <c r="AD371" s="381"/>
      <c r="AE371" s="383"/>
      <c r="AF371" s="383" t="s">
        <v>1098</v>
      </c>
    </row>
    <row r="372">
      <c r="A372" s="371"/>
      <c r="B372" s="372"/>
      <c r="C372" s="373"/>
      <c r="D372" s="374" t="s">
        <v>1071</v>
      </c>
      <c r="E372" s="377">
        <v>1.73</v>
      </c>
      <c r="F372" s="376"/>
      <c r="G372" s="377">
        <v>45</v>
      </c>
      <c r="H372" s="377">
        <v>0</v>
      </c>
      <c r="I372" s="378">
        <f t="shared" si="49"/>
      </c>
      <c r="J372" s="379">
        <f t="shared" si="88"/>
      </c>
      <c r="K372" s="377">
        <v>0</v>
      </c>
      <c r="L372" s="379">
        <f t="shared" si="11"/>
      </c>
      <c r="M372" s="377">
        <v>0</v>
      </c>
      <c r="N372" s="380">
        <f t="shared" si="30"/>
      </c>
      <c r="O372" s="377">
        <v>0</v>
      </c>
      <c r="P372" s="380">
        <f t="shared" si="68"/>
      </c>
      <c r="Q372" s="381"/>
      <c r="R372" s="377"/>
      <c r="S372" s="381"/>
      <c r="T372" s="377"/>
      <c r="U372" s="382"/>
      <c r="V372" s="383"/>
      <c r="W372" s="377"/>
      <c r="X372" s="383"/>
      <c r="Y372" s="381"/>
      <c r="Z372" s="383"/>
      <c r="AA372" s="383"/>
      <c r="AB372" s="377"/>
      <c r="AC372" s="377"/>
      <c r="AD372" s="381"/>
      <c r="AE372" s="383"/>
      <c r="AF372" s="383"/>
    </row>
    <row customHeight="true" ht="20.238095238095237" r="373">
      <c r="A373" s="371"/>
      <c r="B373" s="372"/>
      <c r="C373" s="373"/>
      <c r="D373" s="374"/>
      <c r="E373" s="377">
        <f>SUM(E343:E372)</f>
      </c>
      <c r="F373" s="377">
        <f>SUM(F343:F372)</f>
      </c>
      <c r="G373" s="377"/>
      <c r="H373" s="377"/>
      <c r="I373" s="378"/>
      <c r="J373" s="379"/>
      <c r="K373" s="377"/>
      <c r="L373" s="379"/>
      <c r="M373" s="377"/>
      <c r="N373" s="380"/>
      <c r="O373" s="377"/>
      <c r="P373" s="380"/>
      <c r="Q373" s="381"/>
      <c r="R373" s="377"/>
      <c r="S373" s="381"/>
      <c r="T373" s="377">
        <f>SUM(T343:T372)</f>
      </c>
      <c r="U373" s="382"/>
      <c r="V373" s="383"/>
      <c r="W373" s="377">
        <f>SUM(W343:W372)</f>
      </c>
      <c r="X373" s="383"/>
      <c r="Y373" s="381"/>
      <c r="Z373" s="383"/>
      <c r="AA373" s="383"/>
      <c r="AB373" s="377"/>
      <c r="AC373" s="377"/>
      <c r="AD373" s="381"/>
      <c r="AE373" s="383"/>
      <c r="AF373" s="383"/>
    </row>
    <row r="374">
      <c r="A374" s="371" t="s">
        <v>1102</v>
      </c>
      <c r="B374" s="372" t="s">
        <v>1065</v>
      </c>
      <c r="C374" s="373" t="s">
        <v>1076</v>
      </c>
      <c r="D374" s="374" t="s">
        <v>1067</v>
      </c>
      <c r="E374" s="375">
        <v>1021.88</v>
      </c>
      <c r="F374" s="376">
        <f>E374+E375+E376</f>
      </c>
      <c r="G374" s="377">
        <v>7189</v>
      </c>
      <c r="H374" s="377">
        <v>450</v>
      </c>
      <c r="I374" s="378">
        <f t="shared" ref="I374:I403" si="50">H374/G374</f>
      </c>
      <c r="J374" s="379">
        <f t="shared" ref="J374:J403" si="89">(E374/G374)*1000</f>
      </c>
      <c r="K374" s="377">
        <v>24</v>
      </c>
      <c r="L374" s="379">
        <f t="shared" ref="L374:L403" si="12">E374/K374</f>
      </c>
      <c r="M374" s="377">
        <v>1</v>
      </c>
      <c r="N374" s="380">
        <f t="shared" ref="N374:N403" si="31">E374/M374</f>
      </c>
      <c r="O374" s="377">
        <v>4</v>
      </c>
      <c r="P374" s="380">
        <f t="shared" ref="P374:P403" si="69">E374/O374</f>
      </c>
      <c r="Q374" s="381">
        <f>(M374+M376+M375)/(O374+O376+O375)</f>
      </c>
      <c r="R374" s="377">
        <v>7</v>
      </c>
      <c r="S374" s="381">
        <f>(O374+O376)/(K374+K376)</f>
      </c>
      <c r="T374" s="377">
        <v>1</v>
      </c>
      <c r="U374" s="382">
        <f>F374/T374</f>
      </c>
      <c r="V374" s="383">
        <f>(F374+4*500)/T374</f>
      </c>
      <c r="W374" s="377">
        <v>480</v>
      </c>
      <c r="X374" s="383">
        <f>W374/T374</f>
      </c>
      <c r="Y374" s="381">
        <f>T374/R374</f>
      </c>
      <c r="Z374" s="383">
        <f>W374/F374</f>
      </c>
      <c r="AA374" s="383">
        <f>W374/(F374+500)</f>
      </c>
      <c r="AB374" s="377">
        <v>0</v>
      </c>
      <c r="AC374" s="377">
        <v>0</v>
      </c>
      <c r="AD374" s="381">
        <f>AB374/T374</f>
      </c>
      <c r="AE374" s="383">
        <f>(W374-AC374)/(F374+500)</f>
      </c>
      <c r="AF374" s="383" t="s">
        <v>1092</v>
      </c>
    </row>
    <row r="375">
      <c r="A375" s="371"/>
      <c r="B375" s="372"/>
      <c r="C375" s="373"/>
      <c r="D375" s="374" t="s">
        <v>1069</v>
      </c>
      <c r="E375" s="384">
        <v>229.64</v>
      </c>
      <c r="F375" s="376"/>
      <c r="G375" s="377">
        <v>1338</v>
      </c>
      <c r="H375" s="377">
        <v>94</v>
      </c>
      <c r="I375" s="378">
        <f t="shared" si="50"/>
      </c>
      <c r="J375" s="379">
        <f t="shared" si="89"/>
      </c>
      <c r="K375" s="377">
        <v>5</v>
      </c>
      <c r="L375" s="379">
        <f t="shared" si="12"/>
      </c>
      <c r="M375" s="377">
        <v>0</v>
      </c>
      <c r="N375" s="380">
        <f t="shared" si="31"/>
      </c>
      <c r="O375" s="377">
        <v>0</v>
      </c>
      <c r="P375" s="380">
        <f t="shared" si="69"/>
      </c>
      <c r="Q375" s="381"/>
      <c r="R375" s="377"/>
      <c r="S375" s="381"/>
      <c r="T375" s="377"/>
      <c r="U375" s="382"/>
      <c r="V375" s="383"/>
      <c r="W375" s="377"/>
      <c r="X375" s="383"/>
      <c r="Y375" s="381"/>
      <c r="Z375" s="383"/>
      <c r="AA375" s="383"/>
      <c r="AB375" s="377"/>
      <c r="AC375" s="377"/>
      <c r="AD375" s="381"/>
      <c r="AE375" s="383"/>
      <c r="AF375" s="383" t="s">
        <v>1098</v>
      </c>
    </row>
    <row r="376">
      <c r="A376" s="371"/>
      <c r="B376" s="372"/>
      <c r="C376" s="373"/>
      <c r="D376" s="374" t="s">
        <v>1071</v>
      </c>
      <c r="E376" s="377">
        <v>60.53</v>
      </c>
      <c r="F376" s="376"/>
      <c r="G376" s="377">
        <v>202</v>
      </c>
      <c r="H376" s="377">
        <v>67</v>
      </c>
      <c r="I376" s="378">
        <f t="shared" si="50"/>
      </c>
      <c r="J376" s="379">
        <f t="shared" si="89"/>
      </c>
      <c r="K376" s="377">
        <v>0</v>
      </c>
      <c r="L376" s="379">
        <f t="shared" si="12"/>
      </c>
      <c r="M376" s="377">
        <v>0</v>
      </c>
      <c r="N376" s="380">
        <f t="shared" si="31"/>
      </c>
      <c r="O376" s="377">
        <v>0</v>
      </c>
      <c r="P376" s="380">
        <f t="shared" si="69"/>
      </c>
      <c r="Q376" s="381"/>
      <c r="R376" s="377"/>
      <c r="S376" s="381"/>
      <c r="T376" s="377"/>
      <c r="U376" s="382"/>
      <c r="V376" s="383"/>
      <c r="W376" s="377"/>
      <c r="X376" s="383"/>
      <c r="Y376" s="381"/>
      <c r="Z376" s="383"/>
      <c r="AA376" s="383"/>
      <c r="AB376" s="377"/>
      <c r="AC376" s="377"/>
      <c r="AD376" s="381"/>
      <c r="AE376" s="383"/>
      <c r="AF376" s="383"/>
    </row>
    <row r="377">
      <c r="A377" s="371"/>
      <c r="B377" s="372" t="s">
        <v>1072</v>
      </c>
      <c r="C377" s="373" t="s">
        <v>1076</v>
      </c>
      <c r="D377" s="374" t="s">
        <v>1067</v>
      </c>
      <c r="E377" s="375">
        <v>1367.16</v>
      </c>
      <c r="F377" s="376">
        <f>E377+E378+E379</f>
      </c>
      <c r="G377" s="377">
        <v>12300</v>
      </c>
      <c r="H377" s="377">
        <v>485</v>
      </c>
      <c r="I377" s="378">
        <f t="shared" si="50"/>
      </c>
      <c r="J377" s="379">
        <f t="shared" si="89"/>
      </c>
      <c r="K377" s="377">
        <v>23</v>
      </c>
      <c r="L377" s="379">
        <f t="shared" si="12"/>
      </c>
      <c r="M377" s="377">
        <v>0</v>
      </c>
      <c r="N377" s="380">
        <f t="shared" si="31"/>
      </c>
      <c r="O377" s="377">
        <v>3</v>
      </c>
      <c r="P377" s="380">
        <f t="shared" si="69"/>
      </c>
      <c r="Q377" s="381">
        <f>(M377+M379+M378)/(O377+O379+O378)</f>
      </c>
      <c r="R377" s="377">
        <v>8</v>
      </c>
      <c r="S377" s="381">
        <f>(O377+O379)/(K377+K379)</f>
      </c>
      <c r="T377" s="377">
        <v>0</v>
      </c>
      <c r="U377" s="382">
        <f>F377/T377</f>
      </c>
      <c r="V377" s="383">
        <f>(F377+4*500)/T377</f>
      </c>
      <c r="W377" s="377">
        <v>0</v>
      </c>
      <c r="X377" s="383">
        <f>W377/T377</f>
      </c>
      <c r="Y377" s="381">
        <f>T377/R377</f>
      </c>
      <c r="Z377" s="383">
        <f>W377/F377</f>
      </c>
      <c r="AA377" s="383">
        <f>W377/(F377+500)</f>
      </c>
      <c r="AB377" s="377">
        <v>0</v>
      </c>
      <c r="AC377" s="377">
        <v>0</v>
      </c>
      <c r="AD377" s="381">
        <f>AB377/T377</f>
      </c>
      <c r="AE377" s="383">
        <f>(W377-AC377)/(F377+500)</f>
      </c>
      <c r="AF377" s="383" t="s">
        <v>1092</v>
      </c>
    </row>
    <row r="378">
      <c r="A378" s="371"/>
      <c r="B378" s="372"/>
      <c r="C378" s="373"/>
      <c r="D378" s="374" t="s">
        <v>1069</v>
      </c>
      <c r="E378" s="384">
        <v>133.29</v>
      </c>
      <c r="F378" s="376"/>
      <c r="G378" s="377">
        <v>1046</v>
      </c>
      <c r="H378" s="377">
        <v>44</v>
      </c>
      <c r="I378" s="378">
        <f t="shared" si="50"/>
      </c>
      <c r="J378" s="379">
        <f t="shared" si="89"/>
      </c>
      <c r="K378" s="377">
        <v>6</v>
      </c>
      <c r="L378" s="379">
        <f t="shared" si="12"/>
      </c>
      <c r="M378" s="377">
        <v>0</v>
      </c>
      <c r="N378" s="380">
        <f t="shared" si="31"/>
      </c>
      <c r="O378" s="377">
        <v>2</v>
      </c>
      <c r="P378" s="380">
        <f t="shared" si="69"/>
      </c>
      <c r="Q378" s="381"/>
      <c r="R378" s="377"/>
      <c r="S378" s="381"/>
      <c r="T378" s="377"/>
      <c r="U378" s="382"/>
      <c r="V378" s="383"/>
      <c r="W378" s="377"/>
      <c r="X378" s="383"/>
      <c r="Y378" s="381"/>
      <c r="Z378" s="383"/>
      <c r="AA378" s="383"/>
      <c r="AB378" s="377"/>
      <c r="AC378" s="377"/>
      <c r="AD378" s="381"/>
      <c r="AE378" s="383"/>
      <c r="AF378" s="383" t="s">
        <v>1098</v>
      </c>
    </row>
    <row r="379">
      <c r="A379" s="371"/>
      <c r="B379" s="372"/>
      <c r="C379" s="373"/>
      <c r="D379" s="374" t="s">
        <v>1071</v>
      </c>
      <c r="E379" s="377">
        <v>268.89</v>
      </c>
      <c r="F379" s="376"/>
      <c r="G379" s="377">
        <v>785</v>
      </c>
      <c r="H379" s="377">
        <v>171</v>
      </c>
      <c r="I379" s="378">
        <f t="shared" si="50"/>
      </c>
      <c r="J379" s="379">
        <f t="shared" si="89"/>
      </c>
      <c r="K379" s="377">
        <v>3</v>
      </c>
      <c r="L379" s="379">
        <f t="shared" si="12"/>
      </c>
      <c r="M379" s="377">
        <v>0</v>
      </c>
      <c r="N379" s="380">
        <f t="shared" si="31"/>
      </c>
      <c r="O379" s="377">
        <v>0</v>
      </c>
      <c r="P379" s="380">
        <f t="shared" si="69"/>
      </c>
      <c r="Q379" s="381"/>
      <c r="R379" s="377"/>
      <c r="S379" s="381"/>
      <c r="T379" s="377"/>
      <c r="U379" s="382"/>
      <c r="V379" s="383"/>
      <c r="W379" s="377"/>
      <c r="X379" s="383"/>
      <c r="Y379" s="381"/>
      <c r="Z379" s="383"/>
      <c r="AA379" s="383"/>
      <c r="AB379" s="377"/>
      <c r="AC379" s="377"/>
      <c r="AD379" s="381"/>
      <c r="AE379" s="383"/>
      <c r="AF379" s="383"/>
    </row>
    <row r="380">
      <c r="A380" s="371"/>
      <c r="B380" s="372" t="s">
        <v>1073</v>
      </c>
      <c r="C380" s="373" t="s">
        <v>1076</v>
      </c>
      <c r="D380" s="374" t="s">
        <v>1067</v>
      </c>
      <c r="E380" s="375">
        <v>731.86</v>
      </c>
      <c r="F380" s="376">
        <f>E380+E381+E382</f>
      </c>
      <c r="G380" s="377">
        <v>6417</v>
      </c>
      <c r="H380" s="377">
        <v>274</v>
      </c>
      <c r="I380" s="378">
        <f t="shared" si="50"/>
      </c>
      <c r="J380" s="379">
        <f t="shared" si="89"/>
      </c>
      <c r="K380" s="377">
        <v>11</v>
      </c>
      <c r="L380" s="379">
        <f t="shared" si="12"/>
      </c>
      <c r="M380" s="377">
        <v>0</v>
      </c>
      <c r="N380" s="380">
        <f t="shared" si="31"/>
      </c>
      <c r="O380" s="377">
        <v>1</v>
      </c>
      <c r="P380" s="380">
        <f t="shared" si="69"/>
      </c>
      <c r="Q380" s="381">
        <f>(M380+M382+M381)/(O380+O382+O381)</f>
      </c>
      <c r="R380" s="377">
        <v>12</v>
      </c>
      <c r="S380" s="381">
        <f>(O380+O382)/(K380+K382)</f>
      </c>
      <c r="T380" s="377">
        <v>4</v>
      </c>
      <c r="U380" s="382">
        <f>F380/T380</f>
      </c>
      <c r="V380" s="383">
        <f>(F380+4*500)/T380</f>
      </c>
      <c r="W380" s="377">
        <v>4130.4</v>
      </c>
      <c r="X380" s="383">
        <f>W380/T380</f>
      </c>
      <c r="Y380" s="381">
        <f>T380/R380</f>
      </c>
      <c r="Z380" s="383">
        <f>W380/F380</f>
      </c>
      <c r="AA380" s="383">
        <f>W380/(F380+500)</f>
      </c>
      <c r="AB380" s="377">
        <v>0</v>
      </c>
      <c r="AC380" s="377">
        <v>0</v>
      </c>
      <c r="AD380" s="381">
        <f>AB380/T380</f>
      </c>
      <c r="AE380" s="383">
        <f>(W380-AC380)/(F380+500)</f>
      </c>
      <c r="AF380" s="383" t="s">
        <v>1092</v>
      </c>
    </row>
    <row r="381">
      <c r="A381" s="371"/>
      <c r="B381" s="372"/>
      <c r="C381" s="373"/>
      <c r="D381" s="374" t="s">
        <v>1069</v>
      </c>
      <c r="E381" s="384">
        <v>162.27</v>
      </c>
      <c r="F381" s="376"/>
      <c r="G381" s="377">
        <v>1244</v>
      </c>
      <c r="H381" s="377">
        <v>46</v>
      </c>
      <c r="I381" s="378">
        <f t="shared" si="50"/>
      </c>
      <c r="J381" s="379">
        <f t="shared" si="89"/>
      </c>
      <c r="K381" s="377">
        <v>4</v>
      </c>
      <c r="L381" s="379">
        <f t="shared" si="12"/>
      </c>
      <c r="M381" s="377">
        <v>1</v>
      </c>
      <c r="N381" s="380">
        <f t="shared" si="31"/>
      </c>
      <c r="O381" s="377">
        <v>1</v>
      </c>
      <c r="P381" s="380">
        <f t="shared" si="69"/>
      </c>
      <c r="Q381" s="381"/>
      <c r="R381" s="377"/>
      <c r="S381" s="381"/>
      <c r="T381" s="377"/>
      <c r="U381" s="382"/>
      <c r="V381" s="383"/>
      <c r="W381" s="377"/>
      <c r="X381" s="383"/>
      <c r="Y381" s="381"/>
      <c r="Z381" s="383"/>
      <c r="AA381" s="383"/>
      <c r="AB381" s="377"/>
      <c r="AC381" s="377"/>
      <c r="AD381" s="381"/>
      <c r="AE381" s="383"/>
      <c r="AF381" s="383" t="s">
        <v>1098</v>
      </c>
    </row>
    <row r="382">
      <c r="A382" s="371"/>
      <c r="B382" s="372"/>
      <c r="C382" s="373"/>
      <c r="D382" s="374" t="s">
        <v>1071</v>
      </c>
      <c r="E382" s="377">
        <v>904.42</v>
      </c>
      <c r="F382" s="376"/>
      <c r="G382" s="377">
        <v>1058</v>
      </c>
      <c r="H382" s="377">
        <v>68</v>
      </c>
      <c r="I382" s="378">
        <f t="shared" si="50"/>
      </c>
      <c r="J382" s="379">
        <f t="shared" si="89"/>
      </c>
      <c r="K382" s="377">
        <v>10</v>
      </c>
      <c r="L382" s="379">
        <f t="shared" si="12"/>
      </c>
      <c r="M382" s="377">
        <v>1</v>
      </c>
      <c r="N382" s="380">
        <f t="shared" si="31"/>
      </c>
      <c r="O382" s="377">
        <v>4</v>
      </c>
      <c r="P382" s="380">
        <f t="shared" si="69"/>
      </c>
      <c r="Q382" s="381"/>
      <c r="R382" s="377"/>
      <c r="S382" s="381"/>
      <c r="T382" s="377"/>
      <c r="U382" s="382"/>
      <c r="V382" s="383"/>
      <c r="W382" s="377"/>
      <c r="X382" s="383"/>
      <c r="Y382" s="381"/>
      <c r="Z382" s="383"/>
      <c r="AA382" s="383"/>
      <c r="AB382" s="377"/>
      <c r="AC382" s="377"/>
      <c r="AD382" s="381"/>
      <c r="AE382" s="383"/>
      <c r="AF382" s="383"/>
    </row>
    <row r="383">
      <c r="A383" s="371"/>
      <c r="B383" s="372" t="s">
        <v>1074</v>
      </c>
      <c r="C383" s="373" t="s">
        <v>1076</v>
      </c>
      <c r="D383" s="374" t="s">
        <v>1067</v>
      </c>
      <c r="E383" s="375">
        <v>395.5</v>
      </c>
      <c r="F383" s="376">
        <f>E383+E384+E385</f>
      </c>
      <c r="G383" s="377">
        <v>3244</v>
      </c>
      <c r="H383" s="377">
        <v>88</v>
      </c>
      <c r="I383" s="378">
        <f t="shared" si="50"/>
      </c>
      <c r="J383" s="379">
        <f t="shared" si="89"/>
      </c>
      <c r="K383" s="377">
        <v>4</v>
      </c>
      <c r="L383" s="379">
        <f t="shared" si="12"/>
      </c>
      <c r="M383" s="377">
        <v>0</v>
      </c>
      <c r="N383" s="380">
        <f t="shared" si="31"/>
      </c>
      <c r="O383" s="377">
        <v>0</v>
      </c>
      <c r="P383" s="380">
        <f t="shared" si="69"/>
      </c>
      <c r="Q383" s="381">
        <f>(M383+M385+M384)/(O383+O385+O384)</f>
      </c>
      <c r="R383" s="377">
        <v>4</v>
      </c>
      <c r="S383" s="381">
        <f>(O383+O385)/(K383+K385)</f>
      </c>
      <c r="T383" s="377">
        <v>4</v>
      </c>
      <c r="U383" s="382">
        <f>F383/T383</f>
      </c>
      <c r="V383" s="383">
        <f>(F383+4*500)/T383</f>
      </c>
      <c r="W383" s="377">
        <v>5829.4</v>
      </c>
      <c r="X383" s="383">
        <f>W383/T383</f>
      </c>
      <c r="Y383" s="381">
        <f>T383/R383</f>
      </c>
      <c r="Z383" s="383">
        <f>W383/F383</f>
      </c>
      <c r="AA383" s="383">
        <f>W383/(F383+500)</f>
      </c>
      <c r="AB383" s="377">
        <v>1</v>
      </c>
      <c r="AC383" s="377">
        <v>1723.2</v>
      </c>
      <c r="AD383" s="381">
        <f>AB383/T383</f>
      </c>
      <c r="AE383" s="383">
        <f>(W383-AC383)/(F383+500)</f>
      </c>
      <c r="AF383" s="383" t="s">
        <v>1092</v>
      </c>
    </row>
    <row r="384">
      <c r="A384" s="371"/>
      <c r="B384" s="372"/>
      <c r="C384" s="373"/>
      <c r="D384" s="374" t="s">
        <v>1069</v>
      </c>
      <c r="E384" s="384">
        <v>173.14</v>
      </c>
      <c r="F384" s="376"/>
      <c r="G384" s="377">
        <v>906</v>
      </c>
      <c r="H384" s="377">
        <v>34</v>
      </c>
      <c r="I384" s="378">
        <f t="shared" si="50"/>
      </c>
      <c r="J384" s="379">
        <f t="shared" si="89"/>
      </c>
      <c r="K384" s="377">
        <v>1</v>
      </c>
      <c r="L384" s="379">
        <f t="shared" si="12"/>
      </c>
      <c r="M384" s="377">
        <v>0</v>
      </c>
      <c r="N384" s="380">
        <f t="shared" si="31"/>
      </c>
      <c r="O384" s="377">
        <v>0</v>
      </c>
      <c r="P384" s="380">
        <f t="shared" si="69"/>
      </c>
      <c r="Q384" s="381"/>
      <c r="R384" s="377"/>
      <c r="S384" s="381"/>
      <c r="T384" s="377"/>
      <c r="U384" s="382"/>
      <c r="V384" s="383"/>
      <c r="W384" s="377"/>
      <c r="X384" s="383"/>
      <c r="Y384" s="381"/>
      <c r="Z384" s="383"/>
      <c r="AA384" s="383"/>
      <c r="AB384" s="377"/>
      <c r="AC384" s="377"/>
      <c r="AD384" s="381"/>
      <c r="AE384" s="383"/>
      <c r="AF384" s="383" t="s">
        <v>1098</v>
      </c>
    </row>
    <row r="385">
      <c r="A385" s="371"/>
      <c r="B385" s="372"/>
      <c r="C385" s="373"/>
      <c r="D385" s="374" t="s">
        <v>1071</v>
      </c>
      <c r="E385" s="377">
        <v>1401.82</v>
      </c>
      <c r="F385" s="376"/>
      <c r="G385" s="377">
        <v>523</v>
      </c>
      <c r="H385" s="377">
        <v>37</v>
      </c>
      <c r="I385" s="378">
        <f t="shared" si="50"/>
      </c>
      <c r="J385" s="379">
        <f t="shared" si="89"/>
      </c>
      <c r="K385" s="377">
        <v>6</v>
      </c>
      <c r="L385" s="379">
        <f t="shared" si="12"/>
      </c>
      <c r="M385" s="377">
        <v>3</v>
      </c>
      <c r="N385" s="380">
        <f t="shared" si="31"/>
      </c>
      <c r="O385" s="377">
        <v>2</v>
      </c>
      <c r="P385" s="380">
        <f t="shared" si="69"/>
      </c>
      <c r="Q385" s="381"/>
      <c r="R385" s="377"/>
      <c r="S385" s="381"/>
      <c r="T385" s="377"/>
      <c r="U385" s="382"/>
      <c r="V385" s="383"/>
      <c r="W385" s="377"/>
      <c r="X385" s="383"/>
      <c r="Y385" s="381"/>
      <c r="Z385" s="383"/>
      <c r="AA385" s="383"/>
      <c r="AB385" s="377"/>
      <c r="AC385" s="377"/>
      <c r="AD385" s="381"/>
      <c r="AE385" s="383"/>
      <c r="AF385" s="383"/>
    </row>
    <row r="386">
      <c r="A386" s="371"/>
      <c r="B386" s="372" t="s">
        <v>1075</v>
      </c>
      <c r="C386" s="373" t="s">
        <v>1090</v>
      </c>
      <c r="D386" s="374" t="s">
        <v>1067</v>
      </c>
      <c r="E386" s="375">
        <v>423.56</v>
      </c>
      <c r="F386" s="376">
        <f>E386+E387+E388</f>
      </c>
      <c r="G386" s="377">
        <v>2779</v>
      </c>
      <c r="H386" s="377">
        <v>40</v>
      </c>
      <c r="I386" s="378">
        <f t="shared" si="50"/>
      </c>
      <c r="J386" s="379">
        <f t="shared" si="89"/>
      </c>
      <c r="K386" s="377">
        <v>7</v>
      </c>
      <c r="L386" s="379">
        <f t="shared" si="12"/>
      </c>
      <c r="M386" s="377">
        <v>0</v>
      </c>
      <c r="N386" s="380">
        <f t="shared" si="31"/>
      </c>
      <c r="O386" s="377">
        <v>1</v>
      </c>
      <c r="P386" s="380">
        <f t="shared" si="69"/>
      </c>
      <c r="Q386" s="381">
        <f>(M386+M388+M387)/(O386+O388+O387)</f>
      </c>
      <c r="R386" s="377">
        <v>5</v>
      </c>
      <c r="S386" s="381">
        <f>(O386+O388)/(K386+K388)</f>
      </c>
      <c r="T386" s="377">
        <v>1</v>
      </c>
      <c r="U386" s="382">
        <f>F386/T386</f>
      </c>
      <c r="V386" s="383">
        <f>(F386+4*500)/T386</f>
      </c>
      <c r="W386" s="377">
        <v>2467.2000000000007</v>
      </c>
      <c r="X386" s="383">
        <f>W386/T386</f>
      </c>
      <c r="Y386" s="381">
        <f>T386/R386</f>
      </c>
      <c r="Z386" s="383">
        <f>W386/F386</f>
      </c>
      <c r="AA386" s="383">
        <f>W386/(F386+500)</f>
      </c>
      <c r="AB386" s="377">
        <v>0</v>
      </c>
      <c r="AC386" s="377">
        <v>0</v>
      </c>
      <c r="AD386" s="381">
        <f>AB386/T386</f>
      </c>
      <c r="AE386" s="383">
        <f>(W386-AC386)/(F386+500)</f>
      </c>
      <c r="AF386" s="383" t="s">
        <v>1092</v>
      </c>
    </row>
    <row r="387">
      <c r="A387" s="371"/>
      <c r="B387" s="372"/>
      <c r="C387" s="373"/>
      <c r="D387" s="374" t="s">
        <v>1069</v>
      </c>
      <c r="E387" s="384">
        <v>296.3</v>
      </c>
      <c r="F387" s="376"/>
      <c r="G387" s="377">
        <v>748</v>
      </c>
      <c r="H387" s="377">
        <v>41</v>
      </c>
      <c r="I387" s="378">
        <f t="shared" si="50"/>
      </c>
      <c r="J387" s="379">
        <f t="shared" si="89"/>
      </c>
      <c r="K387" s="377">
        <v>2</v>
      </c>
      <c r="L387" s="379">
        <f t="shared" si="12"/>
      </c>
      <c r="M387" s="377">
        <v>0</v>
      </c>
      <c r="N387" s="380">
        <f t="shared" si="31"/>
      </c>
      <c r="O387" s="377">
        <v>0</v>
      </c>
      <c r="P387" s="380">
        <f t="shared" si="69"/>
      </c>
      <c r="Q387" s="381"/>
      <c r="R387" s="377"/>
      <c r="S387" s="381"/>
      <c r="T387" s="377"/>
      <c r="U387" s="382"/>
      <c r="V387" s="383"/>
      <c r="W387" s="377"/>
      <c r="X387" s="383"/>
      <c r="Y387" s="381"/>
      <c r="Z387" s="383"/>
      <c r="AA387" s="383"/>
      <c r="AB387" s="377"/>
      <c r="AC387" s="377"/>
      <c r="AD387" s="381"/>
      <c r="AE387" s="383"/>
      <c r="AF387" s="383" t="s">
        <v>1098</v>
      </c>
    </row>
    <row r="388">
      <c r="A388" s="371"/>
      <c r="B388" s="372"/>
      <c r="C388" s="373"/>
      <c r="D388" s="374" t="s">
        <v>1071</v>
      </c>
      <c r="E388" s="377">
        <v>2025.68</v>
      </c>
      <c r="F388" s="376"/>
      <c r="G388" s="377">
        <v>500</v>
      </c>
      <c r="H388" s="377">
        <v>29</v>
      </c>
      <c r="I388" s="378">
        <f t="shared" si="50"/>
      </c>
      <c r="J388" s="379">
        <f t="shared" si="89"/>
      </c>
      <c r="K388" s="377">
        <v>10</v>
      </c>
      <c r="L388" s="379">
        <f t="shared" si="12"/>
      </c>
      <c r="M388" s="377">
        <v>1</v>
      </c>
      <c r="N388" s="380">
        <f t="shared" si="31"/>
      </c>
      <c r="O388" s="377">
        <v>2</v>
      </c>
      <c r="P388" s="380">
        <f t="shared" si="69"/>
      </c>
      <c r="Q388" s="381"/>
      <c r="R388" s="377"/>
      <c r="S388" s="381"/>
      <c r="T388" s="377"/>
      <c r="U388" s="382"/>
      <c r="V388" s="383"/>
      <c r="W388" s="377"/>
      <c r="X388" s="383"/>
      <c r="Y388" s="381"/>
      <c r="Z388" s="383"/>
      <c r="AA388" s="383"/>
      <c r="AB388" s="377"/>
      <c r="AC388" s="377"/>
      <c r="AD388" s="381"/>
      <c r="AE388" s="383"/>
      <c r="AF388" s="383"/>
    </row>
    <row r="389">
      <c r="A389" s="371"/>
      <c r="B389" s="372" t="s">
        <v>1077</v>
      </c>
      <c r="C389" s="373" t="s">
        <v>1090</v>
      </c>
      <c r="D389" s="374" t="s">
        <v>1067</v>
      </c>
      <c r="E389" s="375">
        <v>338.51</v>
      </c>
      <c r="F389" s="376">
        <f>E389+E390+E391</f>
      </c>
      <c r="G389" s="377">
        <v>2186</v>
      </c>
      <c r="H389" s="377">
        <v>46</v>
      </c>
      <c r="I389" s="378">
        <f t="shared" si="50"/>
      </c>
      <c r="J389" s="379">
        <f t="shared" si="89"/>
      </c>
      <c r="K389" s="377">
        <v>1</v>
      </c>
      <c r="L389" s="379">
        <f t="shared" si="12"/>
      </c>
      <c r="M389" s="377">
        <v>0</v>
      </c>
      <c r="N389" s="380">
        <f t="shared" si="31"/>
      </c>
      <c r="O389" s="377">
        <v>0</v>
      </c>
      <c r="P389" s="380">
        <f t="shared" si="69"/>
      </c>
      <c r="Q389" s="381">
        <f>(M389+M391+M390)/(O389+O391+O390)</f>
      </c>
      <c r="R389" s="377">
        <v>6</v>
      </c>
      <c r="S389" s="381">
        <f>(O389+O391)/(K389+K391)</f>
      </c>
      <c r="T389" s="377">
        <v>5</v>
      </c>
      <c r="U389" s="382">
        <f>F389/T389</f>
      </c>
      <c r="V389" s="383">
        <f>(F389+4*500)/T389</f>
      </c>
      <c r="W389" s="377">
        <v>3393.6000000000004</v>
      </c>
      <c r="X389" s="383">
        <f>W389/T389</f>
      </c>
      <c r="Y389" s="381">
        <f>T389/R389</f>
      </c>
      <c r="Z389" s="383">
        <f>W389/F389</f>
      </c>
      <c r="AA389" s="383">
        <f>W389/(F389+500)</f>
      </c>
      <c r="AB389" s="377">
        <v>1</v>
      </c>
      <c r="AC389" s="377">
        <v>831.6</v>
      </c>
      <c r="AD389" s="381">
        <f>AB389/T389</f>
      </c>
      <c r="AE389" s="383">
        <f>(W389-AC389)/(F389+500)</f>
      </c>
      <c r="AF389" s="383" t="s">
        <v>1092</v>
      </c>
    </row>
    <row r="390">
      <c r="A390" s="371"/>
      <c r="B390" s="372"/>
      <c r="C390" s="373"/>
      <c r="D390" s="374" t="s">
        <v>1069</v>
      </c>
      <c r="E390" s="384">
        <v>167.86</v>
      </c>
      <c r="F390" s="376"/>
      <c r="G390" s="377">
        <v>942</v>
      </c>
      <c r="H390" s="377">
        <v>29</v>
      </c>
      <c r="I390" s="378">
        <f t="shared" si="50"/>
      </c>
      <c r="J390" s="379">
        <f t="shared" si="89"/>
      </c>
      <c r="K390" s="377">
        <v>1</v>
      </c>
      <c r="L390" s="379">
        <f t="shared" si="12"/>
      </c>
      <c r="M390" s="377">
        <v>0</v>
      </c>
      <c r="N390" s="380">
        <f t="shared" si="31"/>
      </c>
      <c r="O390" s="377">
        <v>0</v>
      </c>
      <c r="P390" s="380">
        <f t="shared" si="69"/>
      </c>
      <c r="Q390" s="381"/>
      <c r="R390" s="377"/>
      <c r="S390" s="381"/>
      <c r="T390" s="377"/>
      <c r="U390" s="382"/>
      <c r="V390" s="383"/>
      <c r="W390" s="377"/>
      <c r="X390" s="383"/>
      <c r="Y390" s="381"/>
      <c r="Z390" s="383"/>
      <c r="AA390" s="383"/>
      <c r="AB390" s="377"/>
      <c r="AC390" s="377"/>
      <c r="AD390" s="381"/>
      <c r="AE390" s="383"/>
      <c r="AF390" s="383" t="s">
        <v>1098</v>
      </c>
    </row>
    <row r="391">
      <c r="A391" s="371"/>
      <c r="B391" s="372"/>
      <c r="C391" s="373"/>
      <c r="D391" s="374" t="s">
        <v>1071</v>
      </c>
      <c r="E391" s="377">
        <v>2530.5</v>
      </c>
      <c r="F391" s="376"/>
      <c r="G391" s="377">
        <v>686</v>
      </c>
      <c r="H391" s="377">
        <v>32</v>
      </c>
      <c r="I391" s="378">
        <f t="shared" si="50"/>
      </c>
      <c r="J391" s="379">
        <f t="shared" si="89"/>
      </c>
      <c r="K391" s="377">
        <v>13</v>
      </c>
      <c r="L391" s="379">
        <f t="shared" si="12"/>
      </c>
      <c r="M391" s="377">
        <v>3</v>
      </c>
      <c r="N391" s="380">
        <f t="shared" si="31"/>
      </c>
      <c r="O391" s="377">
        <v>4</v>
      </c>
      <c r="P391" s="380">
        <f t="shared" si="69"/>
      </c>
      <c r="Q391" s="381"/>
      <c r="R391" s="377"/>
      <c r="S391" s="381"/>
      <c r="T391" s="377"/>
      <c r="U391" s="382"/>
      <c r="V391" s="383"/>
      <c r="W391" s="377"/>
      <c r="X391" s="383"/>
      <c r="Y391" s="381"/>
      <c r="Z391" s="383"/>
      <c r="AA391" s="383"/>
      <c r="AB391" s="377"/>
      <c r="AC391" s="377"/>
      <c r="AD391" s="381"/>
      <c r="AE391" s="383"/>
      <c r="AF391" s="383"/>
    </row>
    <row r="392">
      <c r="A392" s="371"/>
      <c r="B392" s="385" t="s">
        <v>1078</v>
      </c>
      <c r="C392" s="373" t="s">
        <v>1090</v>
      </c>
      <c r="D392" s="374" t="s">
        <v>1067</v>
      </c>
      <c r="E392" s="375">
        <v>394.24</v>
      </c>
      <c r="F392" s="376">
        <f>E392+E393+E394</f>
      </c>
      <c r="G392" s="377">
        <v>3015</v>
      </c>
      <c r="H392" s="377">
        <v>54</v>
      </c>
      <c r="I392" s="378">
        <f t="shared" si="50"/>
      </c>
      <c r="J392" s="379">
        <f t="shared" si="89"/>
      </c>
      <c r="K392" s="377">
        <v>4</v>
      </c>
      <c r="L392" s="379">
        <f t="shared" si="12"/>
      </c>
      <c r="M392" s="377">
        <v>0</v>
      </c>
      <c r="N392" s="380">
        <f t="shared" si="31"/>
      </c>
      <c r="O392" s="377">
        <v>0</v>
      </c>
      <c r="P392" s="380">
        <f t="shared" si="69"/>
      </c>
      <c r="Q392" s="381">
        <f>(M392+M394+M393)/(O392+O394+O393)</f>
      </c>
      <c r="R392" s="377">
        <v>3</v>
      </c>
      <c r="S392" s="381">
        <f>(O392+O394)/(K392+K394)</f>
      </c>
      <c r="T392" s="377">
        <v>1</v>
      </c>
      <c r="U392" s="382">
        <f>F392/T392</f>
      </c>
      <c r="V392" s="383">
        <f>(F392+4*500)/T392</f>
      </c>
      <c r="W392" s="377">
        <v>1055.9999999999982</v>
      </c>
      <c r="X392" s="383">
        <f>W392/T392</f>
      </c>
      <c r="Y392" s="381">
        <f>T392/R392</f>
      </c>
      <c r="Z392" s="383">
        <f>W392/F392</f>
      </c>
      <c r="AA392" s="383">
        <f>W392/(F392+500)</f>
      </c>
      <c r="AB392" s="377">
        <v>0</v>
      </c>
      <c r="AC392" s="377">
        <v>0</v>
      </c>
      <c r="AD392" s="381">
        <f>AB392/T392</f>
      </c>
      <c r="AE392" s="383">
        <f>(W392-AC392)/(F392+500)</f>
      </c>
      <c r="AF392" s="383" t="s">
        <v>1092</v>
      </c>
    </row>
    <row r="393">
      <c r="A393" s="371"/>
      <c r="B393" s="385"/>
      <c r="C393" s="373"/>
      <c r="D393" s="374" t="s">
        <v>1069</v>
      </c>
      <c r="E393" s="384">
        <v>84.47</v>
      </c>
      <c r="F393" s="376"/>
      <c r="G393" s="377">
        <v>720</v>
      </c>
      <c r="H393" s="377">
        <v>24</v>
      </c>
      <c r="I393" s="378">
        <f t="shared" si="50"/>
      </c>
      <c r="J393" s="379">
        <f t="shared" si="89"/>
      </c>
      <c r="K393" s="377">
        <v>2</v>
      </c>
      <c r="L393" s="379">
        <f t="shared" si="12"/>
      </c>
      <c r="M393" s="377">
        <v>0</v>
      </c>
      <c r="N393" s="380">
        <f t="shared" si="31"/>
      </c>
      <c r="O393" s="377">
        <v>0</v>
      </c>
      <c r="P393" s="380">
        <f t="shared" si="69"/>
      </c>
      <c r="Q393" s="381"/>
      <c r="R393" s="377"/>
      <c r="S393" s="381"/>
      <c r="T393" s="377"/>
      <c r="U393" s="382"/>
      <c r="V393" s="383"/>
      <c r="W393" s="377"/>
      <c r="X393" s="383"/>
      <c r="Y393" s="381"/>
      <c r="Z393" s="383"/>
      <c r="AA393" s="383"/>
      <c r="AB393" s="377"/>
      <c r="AC393" s="377"/>
      <c r="AD393" s="381"/>
      <c r="AE393" s="383"/>
      <c r="AF393" s="383" t="s">
        <v>1098</v>
      </c>
    </row>
    <row r="394">
      <c r="A394" s="371"/>
      <c r="B394" s="385"/>
      <c r="C394" s="373"/>
      <c r="D394" s="374" t="s">
        <v>1071</v>
      </c>
      <c r="E394" s="377">
        <v>1900.17</v>
      </c>
      <c r="F394" s="376"/>
      <c r="G394" s="377">
        <v>722</v>
      </c>
      <c r="H394" s="377">
        <v>36</v>
      </c>
      <c r="I394" s="378">
        <f t="shared" si="50"/>
      </c>
      <c r="J394" s="379">
        <f t="shared" si="89"/>
      </c>
      <c r="K394" s="377">
        <v>7</v>
      </c>
      <c r="L394" s="379">
        <f t="shared" si="12"/>
      </c>
      <c r="M394" s="377">
        <v>0</v>
      </c>
      <c r="N394" s="380">
        <f t="shared" si="31"/>
      </c>
      <c r="O394" s="377">
        <v>1</v>
      </c>
      <c r="P394" s="380">
        <f t="shared" si="69"/>
      </c>
      <c r="Q394" s="381"/>
      <c r="R394" s="377"/>
      <c r="S394" s="381"/>
      <c r="T394" s="377"/>
      <c r="U394" s="382"/>
      <c r="V394" s="383"/>
      <c r="W394" s="377"/>
      <c r="X394" s="383"/>
      <c r="Y394" s="381"/>
      <c r="Z394" s="383"/>
      <c r="AA394" s="383"/>
      <c r="AB394" s="377"/>
      <c r="AC394" s="377"/>
      <c r="AD394" s="381"/>
      <c r="AE394" s="383"/>
      <c r="AF394" s="383"/>
    </row>
    <row r="395">
      <c r="A395" s="371"/>
      <c r="B395" s="372" t="s">
        <v>1079</v>
      </c>
      <c r="C395" s="373" t="s">
        <v>1090</v>
      </c>
      <c r="D395" s="374" t="s">
        <v>1067</v>
      </c>
      <c r="E395" s="375">
        <v>316.77</v>
      </c>
      <c r="F395" s="376">
        <f>E395+E396+E397</f>
      </c>
      <c r="G395" s="377">
        <v>2373</v>
      </c>
      <c r="H395" s="377">
        <v>33</v>
      </c>
      <c r="I395" s="378">
        <f t="shared" si="50"/>
      </c>
      <c r="J395" s="379">
        <f t="shared" si="89"/>
      </c>
      <c r="K395" s="377">
        <v>5</v>
      </c>
      <c r="L395" s="379">
        <f t="shared" si="12"/>
      </c>
      <c r="M395" s="377">
        <v>0</v>
      </c>
      <c r="N395" s="380">
        <f t="shared" si="31"/>
      </c>
      <c r="O395" s="377">
        <v>0</v>
      </c>
      <c r="P395" s="380">
        <f t="shared" si="69"/>
      </c>
      <c r="Q395" s="381">
        <f>(M395+M397+M396)/(O395+O397+O396)</f>
      </c>
      <c r="R395" s="377">
        <v>6</v>
      </c>
      <c r="S395" s="381">
        <f>(O395+O397)/(K395+K397)</f>
      </c>
      <c r="T395" s="377">
        <v>0</v>
      </c>
      <c r="U395" s="382">
        <f>F395/T395</f>
      </c>
      <c r="V395" s="383">
        <f>(F395+4*500)/T395</f>
      </c>
      <c r="W395" s="377">
        <v>0</v>
      </c>
      <c r="X395" s="383">
        <f>W395/T395</f>
      </c>
      <c r="Y395" s="381">
        <f>T395/R395</f>
      </c>
      <c r="Z395" s="383">
        <f>W395/F395</f>
      </c>
      <c r="AA395" s="383">
        <f>W395/(F395+500)</f>
      </c>
      <c r="AB395" s="377">
        <v>0</v>
      </c>
      <c r="AC395" s="377">
        <v>0</v>
      </c>
      <c r="AD395" s="381">
        <f>AB395/T395</f>
      </c>
      <c r="AE395" s="383">
        <f>(W395-AC395)/(F395+500)</f>
      </c>
      <c r="AF395" s="383" t="s">
        <v>1092</v>
      </c>
    </row>
    <row r="396">
      <c r="A396" s="371"/>
      <c r="B396" s="372"/>
      <c r="C396" s="373"/>
      <c r="D396" s="374" t="s">
        <v>1069</v>
      </c>
      <c r="E396" s="384">
        <v>63.66</v>
      </c>
      <c r="F396" s="376"/>
      <c r="G396" s="377">
        <v>708</v>
      </c>
      <c r="H396" s="377">
        <v>25</v>
      </c>
      <c r="I396" s="378">
        <f t="shared" si="50"/>
      </c>
      <c r="J396" s="379">
        <f t="shared" si="89"/>
      </c>
      <c r="K396" s="377">
        <v>0</v>
      </c>
      <c r="L396" s="379">
        <f t="shared" si="12"/>
      </c>
      <c r="M396" s="377">
        <v>0</v>
      </c>
      <c r="N396" s="380">
        <f t="shared" si="31"/>
      </c>
      <c r="O396" s="377">
        <v>0</v>
      </c>
      <c r="P396" s="380">
        <f t="shared" si="69"/>
      </c>
      <c r="Q396" s="381"/>
      <c r="R396" s="377"/>
      <c r="S396" s="381"/>
      <c r="T396" s="377"/>
      <c r="U396" s="382"/>
      <c r="V396" s="383"/>
      <c r="W396" s="377"/>
      <c r="X396" s="383"/>
      <c r="Y396" s="381"/>
      <c r="Z396" s="383"/>
      <c r="AA396" s="383"/>
      <c r="AB396" s="377"/>
      <c r="AC396" s="377"/>
      <c r="AD396" s="381"/>
      <c r="AE396" s="383"/>
      <c r="AF396" s="383" t="s">
        <v>1098</v>
      </c>
    </row>
    <row r="397">
      <c r="A397" s="371"/>
      <c r="B397" s="372"/>
      <c r="C397" s="373"/>
      <c r="D397" s="374" t="s">
        <v>1071</v>
      </c>
      <c r="E397" s="377">
        <v>2446.18</v>
      </c>
      <c r="F397" s="376"/>
      <c r="G397" s="377">
        <v>1500</v>
      </c>
      <c r="H397" s="377">
        <v>58</v>
      </c>
      <c r="I397" s="378">
        <f t="shared" si="50"/>
      </c>
      <c r="J397" s="379">
        <f t="shared" si="89"/>
      </c>
      <c r="K397" s="377">
        <v>18</v>
      </c>
      <c r="L397" s="379">
        <f t="shared" si="12"/>
      </c>
      <c r="M397" s="377">
        <v>0</v>
      </c>
      <c r="N397" s="380">
        <f t="shared" si="31"/>
      </c>
      <c r="O397" s="377">
        <v>5</v>
      </c>
      <c r="P397" s="380">
        <f t="shared" si="69"/>
      </c>
      <c r="Q397" s="381"/>
      <c r="R397" s="377"/>
      <c r="S397" s="381"/>
      <c r="T397" s="377"/>
      <c r="U397" s="382"/>
      <c r="V397" s="383"/>
      <c r="W397" s="377"/>
      <c r="X397" s="383"/>
      <c r="Y397" s="381"/>
      <c r="Z397" s="383"/>
      <c r="AA397" s="383"/>
      <c r="AB397" s="377"/>
      <c r="AC397" s="377"/>
      <c r="AD397" s="381"/>
      <c r="AE397" s="383"/>
      <c r="AF397" s="383"/>
    </row>
    <row r="398">
      <c r="A398" s="371"/>
      <c r="B398" s="372" t="s">
        <v>1080</v>
      </c>
      <c r="C398" s="373" t="s">
        <v>1087</v>
      </c>
      <c r="D398" s="374" t="s">
        <v>1067</v>
      </c>
      <c r="E398" s="375">
        <v>373.96</v>
      </c>
      <c r="F398" s="376">
        <f>E398+E399+E400</f>
      </c>
      <c r="G398" s="377">
        <v>2423</v>
      </c>
      <c r="H398" s="377">
        <v>44</v>
      </c>
      <c r="I398" s="378">
        <f t="shared" si="50"/>
      </c>
      <c r="J398" s="379">
        <f t="shared" si="89"/>
      </c>
      <c r="K398" s="377">
        <v>4</v>
      </c>
      <c r="L398" s="379">
        <f t="shared" si="12"/>
      </c>
      <c r="M398" s="377">
        <v>1</v>
      </c>
      <c r="N398" s="380">
        <f t="shared" si="31"/>
      </c>
      <c r="O398" s="377">
        <v>2</v>
      </c>
      <c r="P398" s="380">
        <f t="shared" si="69"/>
      </c>
      <c r="Q398" s="381">
        <f>(M398+M400+M399)/(O398+O400+O399)</f>
      </c>
      <c r="R398" s="377">
        <v>4</v>
      </c>
      <c r="S398" s="381">
        <f>(O398+O400)/(K398+K400)</f>
      </c>
      <c r="T398" s="377">
        <v>1</v>
      </c>
      <c r="U398" s="382">
        <f>F398/T398</f>
      </c>
      <c r="V398" s="383">
        <f>(F398+4*500)/T398</f>
      </c>
      <c r="W398" s="377">
        <v>399.6000000000022</v>
      </c>
      <c r="X398" s="383">
        <f>W398/T398</f>
      </c>
      <c r="Y398" s="381">
        <f>T398/R398</f>
      </c>
      <c r="Z398" s="383">
        <f>W398/F398</f>
      </c>
      <c r="AA398" s="383">
        <f>W398/(F398+500)</f>
      </c>
      <c r="AB398" s="377">
        <v>1</v>
      </c>
      <c r="AC398" s="377">
        <v>399.5999999999999</v>
      </c>
      <c r="AD398" s="381">
        <f>AB398/T398</f>
      </c>
      <c r="AE398" s="383">
        <f>(W398-AC398)/(F398+500)</f>
      </c>
      <c r="AF398" s="383" t="s">
        <v>1092</v>
      </c>
    </row>
    <row r="399">
      <c r="A399" s="371"/>
      <c r="B399" s="372"/>
      <c r="C399" s="373"/>
      <c r="D399" s="374" t="s">
        <v>1069</v>
      </c>
      <c r="E399" s="384">
        <v>63.06</v>
      </c>
      <c r="F399" s="376"/>
      <c r="G399" s="377">
        <v>547</v>
      </c>
      <c r="H399" s="377">
        <v>6</v>
      </c>
      <c r="I399" s="378">
        <f t="shared" si="50"/>
      </c>
      <c r="J399" s="379">
        <f t="shared" si="89"/>
      </c>
      <c r="K399" s="377">
        <v>1</v>
      </c>
      <c r="L399" s="379">
        <f t="shared" si="12"/>
      </c>
      <c r="M399" s="377">
        <v>0</v>
      </c>
      <c r="N399" s="380">
        <f t="shared" si="31"/>
      </c>
      <c r="O399" s="377">
        <v>0</v>
      </c>
      <c r="P399" s="380">
        <f t="shared" si="69"/>
      </c>
      <c r="Q399" s="381"/>
      <c r="R399" s="377"/>
      <c r="S399" s="381"/>
      <c r="T399" s="377"/>
      <c r="U399" s="382"/>
      <c r="V399" s="383"/>
      <c r="W399" s="377"/>
      <c r="X399" s="383"/>
      <c r="Y399" s="381"/>
      <c r="Z399" s="383"/>
      <c r="AA399" s="383"/>
      <c r="AB399" s="377"/>
      <c r="AC399" s="377"/>
      <c r="AD399" s="381"/>
      <c r="AE399" s="383"/>
      <c r="AF399" s="383" t="s">
        <v>1098</v>
      </c>
    </row>
    <row r="400">
      <c r="A400" s="371"/>
      <c r="B400" s="372"/>
      <c r="C400" s="373"/>
      <c r="D400" s="374" t="s">
        <v>1071</v>
      </c>
      <c r="E400" s="377">
        <v>951.38</v>
      </c>
      <c r="F400" s="376"/>
      <c r="G400" s="377">
        <v>534</v>
      </c>
      <c r="H400" s="377">
        <v>23</v>
      </c>
      <c r="I400" s="378">
        <f t="shared" si="50"/>
      </c>
      <c r="J400" s="379">
        <f t="shared" si="89"/>
      </c>
      <c r="K400" s="377">
        <v>2</v>
      </c>
      <c r="L400" s="379">
        <f t="shared" si="12"/>
      </c>
      <c r="M400" s="377">
        <v>0</v>
      </c>
      <c r="N400" s="380">
        <f t="shared" si="31"/>
      </c>
      <c r="O400" s="377">
        <v>0</v>
      </c>
      <c r="P400" s="380">
        <f t="shared" si="69"/>
      </c>
      <c r="Q400" s="381"/>
      <c r="R400" s="377"/>
      <c r="S400" s="381"/>
      <c r="T400" s="377"/>
      <c r="U400" s="382"/>
      <c r="V400" s="383"/>
      <c r="W400" s="377"/>
      <c r="X400" s="383"/>
      <c r="Y400" s="381"/>
      <c r="Z400" s="383"/>
      <c r="AA400" s="383"/>
      <c r="AB400" s="377"/>
      <c r="AC400" s="377"/>
      <c r="AD400" s="381"/>
      <c r="AE400" s="383"/>
      <c r="AF400" s="383"/>
    </row>
    <row r="401">
      <c r="A401" s="371"/>
      <c r="B401" s="372" t="s">
        <v>1082</v>
      </c>
      <c r="C401" s="373" t="s">
        <v>1087</v>
      </c>
      <c r="D401" s="374" t="s">
        <v>1067</v>
      </c>
      <c r="E401" s="375">
        <v>583.01</v>
      </c>
      <c r="F401" s="376">
        <f>E401+E402+E403</f>
      </c>
      <c r="G401" s="377">
        <v>3295</v>
      </c>
      <c r="H401" s="377">
        <v>53</v>
      </c>
      <c r="I401" s="378">
        <f t="shared" si="50"/>
      </c>
      <c r="J401" s="379">
        <f t="shared" si="89"/>
      </c>
      <c r="K401" s="377">
        <v>3</v>
      </c>
      <c r="L401" s="379">
        <f t="shared" si="12"/>
      </c>
      <c r="M401" s="377">
        <v>0</v>
      </c>
      <c r="N401" s="380">
        <f t="shared" si="31"/>
      </c>
      <c r="O401" s="377">
        <v>1</v>
      </c>
      <c r="P401" s="380">
        <f t="shared" si="69"/>
      </c>
      <c r="Q401" s="381">
        <f>(M401+M403+M402)/(O401+O403+O402)</f>
      </c>
      <c r="R401" s="377">
        <v>2</v>
      </c>
      <c r="S401" s="381">
        <f>(O401+O403)/(K401+K403)</f>
      </c>
      <c r="T401" s="377">
        <v>1</v>
      </c>
      <c r="U401" s="382">
        <f>F401/T401</f>
      </c>
      <c r="V401" s="383">
        <f>(F401+4*500)/T401</f>
      </c>
      <c r="W401" s="377">
        <v>633.5999999999985</v>
      </c>
      <c r="X401" s="383">
        <f>W401/T401</f>
      </c>
      <c r="Y401" s="381">
        <f>T401/R401</f>
      </c>
      <c r="Z401" s="383">
        <f>W401/F401</f>
      </c>
      <c r="AA401" s="383">
        <f>W401/(F401+500)</f>
      </c>
      <c r="AB401" s="377">
        <v>1</v>
      </c>
      <c r="AC401" s="377">
        <v>633.5999999999999</v>
      </c>
      <c r="AD401" s="381">
        <f>AB401/T401</f>
      </c>
      <c r="AE401" s="383">
        <f>(W401-AC401)/(F401+500)</f>
      </c>
      <c r="AF401" s="383" t="s">
        <v>1092</v>
      </c>
    </row>
    <row r="402">
      <c r="A402" s="371"/>
      <c r="B402" s="372"/>
      <c r="C402" s="373"/>
      <c r="D402" s="374" t="s">
        <v>1069</v>
      </c>
      <c r="E402" s="384">
        <v>89.21</v>
      </c>
      <c r="F402" s="376"/>
      <c r="G402" s="377">
        <v>651</v>
      </c>
      <c r="H402" s="377">
        <v>28</v>
      </c>
      <c r="I402" s="378">
        <f t="shared" si="50"/>
      </c>
      <c r="J402" s="379">
        <f t="shared" si="89"/>
      </c>
      <c r="K402" s="377">
        <v>3</v>
      </c>
      <c r="L402" s="379">
        <f t="shared" si="12"/>
      </c>
      <c r="M402" s="377">
        <v>0</v>
      </c>
      <c r="N402" s="380">
        <f t="shared" si="31"/>
      </c>
      <c r="O402" s="377">
        <v>0</v>
      </c>
      <c r="P402" s="380">
        <f t="shared" si="69"/>
      </c>
      <c r="Q402" s="381"/>
      <c r="R402" s="377"/>
      <c r="S402" s="381"/>
      <c r="T402" s="377"/>
      <c r="U402" s="382"/>
      <c r="V402" s="383"/>
      <c r="W402" s="377"/>
      <c r="X402" s="383"/>
      <c r="Y402" s="381"/>
      <c r="Z402" s="383"/>
      <c r="AA402" s="383"/>
      <c r="AB402" s="377"/>
      <c r="AC402" s="377"/>
      <c r="AD402" s="381"/>
      <c r="AE402" s="383"/>
      <c r="AF402" s="383" t="s">
        <v>1098</v>
      </c>
    </row>
    <row r="403">
      <c r="A403" s="371"/>
      <c r="B403" s="372"/>
      <c r="C403" s="373"/>
      <c r="D403" s="374" t="s">
        <v>1071</v>
      </c>
      <c r="E403" s="377">
        <v>13.97</v>
      </c>
      <c r="F403" s="376"/>
      <c r="G403" s="377">
        <v>130</v>
      </c>
      <c r="H403" s="377">
        <v>8</v>
      </c>
      <c r="I403" s="378">
        <f t="shared" si="50"/>
      </c>
      <c r="J403" s="379">
        <f t="shared" si="89"/>
      </c>
      <c r="K403" s="377">
        <v>1</v>
      </c>
      <c r="L403" s="379">
        <f t="shared" si="12"/>
      </c>
      <c r="M403" s="377">
        <v>0</v>
      </c>
      <c r="N403" s="380">
        <f t="shared" si="31"/>
      </c>
      <c r="O403" s="377">
        <v>0</v>
      </c>
      <c r="P403" s="380">
        <f t="shared" si="69"/>
      </c>
      <c r="Q403" s="381"/>
      <c r="R403" s="377"/>
      <c r="S403" s="381"/>
      <c r="T403" s="377"/>
      <c r="U403" s="382"/>
      <c r="V403" s="383"/>
      <c r="W403" s="377"/>
      <c r="X403" s="383"/>
      <c r="Y403" s="381"/>
      <c r="Z403" s="383"/>
      <c r="AA403" s="383"/>
      <c r="AB403" s="377"/>
      <c r="AC403" s="377"/>
      <c r="AD403" s="381"/>
      <c r="AE403" s="383"/>
      <c r="AF403" s="383"/>
    </row>
    <row customHeight="true" ht="20.238095238095237" r="404">
      <c r="A404" s="371"/>
      <c r="B404" s="372"/>
      <c r="C404" s="373"/>
      <c r="D404" s="374"/>
      <c r="E404" s="377">
        <f>SUM(E374:E403)</f>
      </c>
      <c r="F404" s="377">
        <f>SUM(F374:F403)</f>
      </c>
      <c r="G404" s="377"/>
      <c r="H404" s="377"/>
      <c r="I404" s="378"/>
      <c r="J404" s="379"/>
      <c r="K404" s="377"/>
      <c r="L404" s="379"/>
      <c r="M404" s="377"/>
      <c r="N404" s="380"/>
      <c r="O404" s="377"/>
      <c r="P404" s="380"/>
      <c r="Q404" s="381"/>
      <c r="R404" s="377"/>
      <c r="S404" s="381"/>
      <c r="T404" s="377">
        <f>SUM(T374:T403)</f>
      </c>
      <c r="U404" s="382"/>
      <c r="V404" s="383"/>
      <c r="W404" s="377">
        <f>SUM(W374:W403)</f>
      </c>
      <c r="X404" s="383"/>
      <c r="Y404" s="381"/>
      <c r="Z404" s="383"/>
      <c r="AA404" s="383"/>
      <c r="AB404" s="377"/>
      <c r="AC404" s="377"/>
      <c r="AD404" s="381"/>
      <c r="AE404" s="383"/>
      <c r="AF404" s="383"/>
    </row>
    <row r="405">
      <c r="A405" s="371" t="s">
        <v>1103</v>
      </c>
      <c r="B405" s="372" t="s">
        <v>1065</v>
      </c>
      <c r="C405" s="373" t="s">
        <v>1076</v>
      </c>
      <c r="D405" s="374" t="s">
        <v>1067</v>
      </c>
      <c r="E405" s="375">
        <v>932.93</v>
      </c>
      <c r="F405" s="376">
        <f>E405+E406+E407</f>
      </c>
      <c r="G405" s="377">
        <v>6881</v>
      </c>
      <c r="H405" s="377">
        <v>143</v>
      </c>
      <c r="I405" s="378">
        <f t="shared" ref="I405:I434" si="51">H405/G405</f>
      </c>
      <c r="J405" s="379">
        <f t="shared" ref="J405:J434" si="90">(E405/G405)*1000</f>
      </c>
      <c r="K405" s="377">
        <v>7</v>
      </c>
      <c r="L405" s="379">
        <f t="shared" ref="L405:L434" si="13">E405/K405</f>
      </c>
      <c r="M405" s="377">
        <v>0</v>
      </c>
      <c r="N405" s="380">
        <f t="shared" ref="N405:N434" si="32">E405/M405</f>
      </c>
      <c r="O405" s="377">
        <v>0</v>
      </c>
      <c r="P405" s="380">
        <f t="shared" ref="P405:P434" si="70">E405/O405</f>
      </c>
      <c r="Q405" s="381">
        <f>(M405+M407+M406)/(O405+O407+O406)</f>
      </c>
      <c r="R405" s="377">
        <v>2</v>
      </c>
      <c r="S405" s="381">
        <f>(O405+O407)/(K405+K407)</f>
      </c>
      <c r="T405" s="377">
        <v>0</v>
      </c>
      <c r="U405" s="382">
        <f>F405/T405</f>
      </c>
      <c r="V405" s="383">
        <f>(F405+4*500)/T405</f>
      </c>
      <c r="W405" s="377">
        <v>0</v>
      </c>
      <c r="X405" s="383">
        <f>W405/T405</f>
      </c>
      <c r="Y405" s="381">
        <f>T405/R405</f>
      </c>
      <c r="Z405" s="383">
        <f>W405/F405</f>
      </c>
      <c r="AA405" s="383">
        <f>W405/(F405+500)</f>
      </c>
      <c r="AB405" s="377">
        <v>0</v>
      </c>
      <c r="AC405" s="377">
        <v>0</v>
      </c>
      <c r="AD405" s="381">
        <f>AB405/T405</f>
      </c>
      <c r="AE405" s="383">
        <f>(W405-AC405)/(F405+500)</f>
      </c>
      <c r="AF405" s="383" t="s">
        <v>1092</v>
      </c>
    </row>
    <row r="406">
      <c r="A406" s="371"/>
      <c r="B406" s="372"/>
      <c r="C406" s="373"/>
      <c r="D406" s="374" t="s">
        <v>1069</v>
      </c>
      <c r="E406" s="384">
        <v>103.79</v>
      </c>
      <c r="F406" s="376"/>
      <c r="G406" s="377">
        <v>510</v>
      </c>
      <c r="H406" s="377">
        <v>49</v>
      </c>
      <c r="I406" s="378">
        <f t="shared" si="51"/>
      </c>
      <c r="J406" s="379">
        <f t="shared" si="90"/>
      </c>
      <c r="K406" s="377">
        <v>2</v>
      </c>
      <c r="L406" s="379">
        <f t="shared" si="13"/>
      </c>
      <c r="M406" s="377">
        <v>0</v>
      </c>
      <c r="N406" s="380">
        <f t="shared" si="32"/>
      </c>
      <c r="O406" s="377">
        <v>0</v>
      </c>
      <c r="P406" s="380">
        <f t="shared" si="70"/>
      </c>
      <c r="Q406" s="381"/>
      <c r="R406" s="377"/>
      <c r="S406" s="381"/>
      <c r="T406" s="377"/>
      <c r="U406" s="382"/>
      <c r="V406" s="383"/>
      <c r="W406" s="377"/>
      <c r="X406" s="383"/>
      <c r="Y406" s="381"/>
      <c r="Z406" s="383"/>
      <c r="AA406" s="383"/>
      <c r="AB406" s="377"/>
      <c r="AC406" s="377"/>
      <c r="AD406" s="381"/>
      <c r="AE406" s="383"/>
      <c r="AF406" s="383" t="s">
        <v>1098</v>
      </c>
    </row>
    <row r="407">
      <c r="A407" s="371"/>
      <c r="B407" s="372"/>
      <c r="C407" s="373"/>
      <c r="D407" s="374" t="s">
        <v>1071</v>
      </c>
      <c r="E407" s="377">
        <v>234.27</v>
      </c>
      <c r="F407" s="376"/>
      <c r="G407" s="377">
        <v>757</v>
      </c>
      <c r="H407" s="377">
        <v>110</v>
      </c>
      <c r="I407" s="378">
        <f t="shared" si="51"/>
      </c>
      <c r="J407" s="379">
        <f t="shared" si="90"/>
      </c>
      <c r="K407" s="377">
        <v>1</v>
      </c>
      <c r="L407" s="379">
        <f t="shared" si="13"/>
      </c>
      <c r="M407" s="377">
        <v>0</v>
      </c>
      <c r="N407" s="380">
        <f t="shared" si="32"/>
      </c>
      <c r="O407" s="377">
        <v>0</v>
      </c>
      <c r="P407" s="380">
        <f t="shared" si="70"/>
      </c>
      <c r="Q407" s="381"/>
      <c r="R407" s="377"/>
      <c r="S407" s="381"/>
      <c r="T407" s="377"/>
      <c r="U407" s="382"/>
      <c r="V407" s="383"/>
      <c r="W407" s="377"/>
      <c r="X407" s="383"/>
      <c r="Y407" s="381"/>
      <c r="Z407" s="383"/>
      <c r="AA407" s="383"/>
      <c r="AB407" s="377"/>
      <c r="AC407" s="377"/>
      <c r="AD407" s="381"/>
      <c r="AE407" s="383"/>
      <c r="AF407" s="383"/>
    </row>
    <row r="408">
      <c r="A408" s="371"/>
      <c r="B408" s="372" t="s">
        <v>1072</v>
      </c>
      <c r="C408" s="373" t="s">
        <v>1076</v>
      </c>
      <c r="D408" s="374" t="s">
        <v>1067</v>
      </c>
      <c r="E408" s="375">
        <v>1201.4</v>
      </c>
      <c r="F408" s="376">
        <f>E408+E409+E410</f>
      </c>
      <c r="G408" s="377">
        <v>9436</v>
      </c>
      <c r="H408" s="377">
        <v>111</v>
      </c>
      <c r="I408" s="378">
        <f t="shared" si="51"/>
      </c>
      <c r="J408" s="379">
        <f t="shared" si="90"/>
      </c>
      <c r="K408" s="377">
        <v>20</v>
      </c>
      <c r="L408" s="379">
        <f t="shared" si="13"/>
      </c>
      <c r="M408" s="377">
        <v>1</v>
      </c>
      <c r="N408" s="380">
        <f t="shared" si="32"/>
      </c>
      <c r="O408" s="377">
        <v>6</v>
      </c>
      <c r="P408" s="380">
        <f t="shared" si="70"/>
      </c>
      <c r="Q408" s="381">
        <f>(M408+M410+M409)/(O408+O410+O409)</f>
      </c>
      <c r="R408" s="377">
        <v>9</v>
      </c>
      <c r="S408" s="381">
        <f>(O408+O410)/(K408+K410)</f>
      </c>
      <c r="T408" s="377">
        <v>1</v>
      </c>
      <c r="U408" s="382">
        <f>F408/T408</f>
      </c>
      <c r="V408" s="383">
        <f>(F408+4*500)/T408</f>
      </c>
      <c r="W408" s="377">
        <v>722.4</v>
      </c>
      <c r="X408" s="383">
        <f>W408/T408</f>
      </c>
      <c r="Y408" s="381">
        <f>T408/R408</f>
      </c>
      <c r="Z408" s="383">
        <f>W408/F408</f>
      </c>
      <c r="AA408" s="383">
        <f>W408/(F408+500)</f>
      </c>
      <c r="AB408" s="377">
        <v>0</v>
      </c>
      <c r="AC408" s="377">
        <v>0</v>
      </c>
      <c r="AD408" s="381">
        <f>AB408/T408</f>
      </c>
      <c r="AE408" s="383">
        <f>(W408-AC408)/(F408+500)</f>
      </c>
      <c r="AF408" s="383" t="s">
        <v>1092</v>
      </c>
    </row>
    <row r="409">
      <c r="A409" s="371"/>
      <c r="B409" s="372"/>
      <c r="C409" s="373"/>
      <c r="D409" s="374" t="s">
        <v>1069</v>
      </c>
      <c r="E409" s="384">
        <v>135.98</v>
      </c>
      <c r="F409" s="376"/>
      <c r="G409" s="377">
        <v>771</v>
      </c>
      <c r="H409" s="377">
        <v>39</v>
      </c>
      <c r="I409" s="378">
        <f t="shared" si="51"/>
      </c>
      <c r="J409" s="379">
        <f t="shared" si="90"/>
      </c>
      <c r="K409" s="377">
        <v>2</v>
      </c>
      <c r="L409" s="379">
        <f t="shared" si="13"/>
      </c>
      <c r="M409" s="377">
        <v>0</v>
      </c>
      <c r="N409" s="380">
        <f t="shared" si="32"/>
      </c>
      <c r="O409" s="377">
        <v>0</v>
      </c>
      <c r="P409" s="380">
        <f t="shared" si="70"/>
      </c>
      <c r="Q409" s="381"/>
      <c r="R409" s="377"/>
      <c r="S409" s="381"/>
      <c r="T409" s="377"/>
      <c r="U409" s="382"/>
      <c r="V409" s="383"/>
      <c r="W409" s="377"/>
      <c r="X409" s="383"/>
      <c r="Y409" s="381"/>
      <c r="Z409" s="383"/>
      <c r="AA409" s="383"/>
      <c r="AB409" s="377"/>
      <c r="AC409" s="377"/>
      <c r="AD409" s="381"/>
      <c r="AE409" s="383"/>
      <c r="AF409" s="383" t="s">
        <v>1098</v>
      </c>
    </row>
    <row r="410">
      <c r="A410" s="371"/>
      <c r="B410" s="372"/>
      <c r="C410" s="373"/>
      <c r="D410" s="374" t="s">
        <v>1071</v>
      </c>
      <c r="E410" s="377">
        <v>291.75</v>
      </c>
      <c r="F410" s="376"/>
      <c r="G410" s="377">
        <v>1471</v>
      </c>
      <c r="H410" s="377">
        <v>281</v>
      </c>
      <c r="I410" s="378">
        <f t="shared" si="51"/>
      </c>
      <c r="J410" s="379">
        <f t="shared" si="90"/>
      </c>
      <c r="K410" s="377">
        <v>7</v>
      </c>
      <c r="L410" s="379">
        <f t="shared" si="13"/>
      </c>
      <c r="M410" s="377">
        <v>0</v>
      </c>
      <c r="N410" s="380">
        <f t="shared" si="32"/>
      </c>
      <c r="O410" s="377">
        <v>0</v>
      </c>
      <c r="P410" s="380">
        <f t="shared" si="70"/>
      </c>
      <c r="Q410" s="381"/>
      <c r="R410" s="377"/>
      <c r="S410" s="381"/>
      <c r="T410" s="377"/>
      <c r="U410" s="382"/>
      <c r="V410" s="383"/>
      <c r="W410" s="377"/>
      <c r="X410" s="383"/>
      <c r="Y410" s="381"/>
      <c r="Z410" s="383"/>
      <c r="AA410" s="383"/>
      <c r="AB410" s="377"/>
      <c r="AC410" s="377"/>
      <c r="AD410" s="381"/>
      <c r="AE410" s="383"/>
      <c r="AF410" s="383"/>
    </row>
    <row r="411">
      <c r="A411" s="371"/>
      <c r="B411" s="372" t="s">
        <v>1073</v>
      </c>
      <c r="C411" s="373" t="s">
        <v>1076</v>
      </c>
      <c r="D411" s="374" t="s">
        <v>1067</v>
      </c>
      <c r="E411" s="375">
        <v>1510.02</v>
      </c>
      <c r="F411" s="376">
        <f>E411+E412+E413</f>
      </c>
      <c r="G411" s="377">
        <v>13179</v>
      </c>
      <c r="H411" s="377">
        <v>120</v>
      </c>
      <c r="I411" s="378">
        <f t="shared" si="51"/>
      </c>
      <c r="J411" s="379">
        <f t="shared" si="90"/>
      </c>
      <c r="K411" s="377">
        <v>23</v>
      </c>
      <c r="L411" s="379">
        <f t="shared" si="13"/>
      </c>
      <c r="M411" s="377">
        <v>1</v>
      </c>
      <c r="N411" s="380">
        <f t="shared" si="32"/>
      </c>
      <c r="O411" s="377">
        <v>3</v>
      </c>
      <c r="P411" s="380">
        <f t="shared" si="70"/>
      </c>
      <c r="Q411" s="381">
        <f>(M411+M413+M412)/(O411+O413+O412)</f>
      </c>
      <c r="R411" s="377">
        <v>6</v>
      </c>
      <c r="S411" s="381">
        <f>(O411+O413)/(K411+K413)</f>
      </c>
      <c r="T411" s="377">
        <v>1</v>
      </c>
      <c r="U411" s="382">
        <f>F411/T411</f>
      </c>
      <c r="V411" s="383">
        <f>(F411+4*500)/T411</f>
      </c>
      <c r="W411" s="377">
        <v>715.1999999999999</v>
      </c>
      <c r="X411" s="383">
        <f>W411/T411</f>
      </c>
      <c r="Y411" s="381">
        <f>T411/R411</f>
      </c>
      <c r="Z411" s="383">
        <f>W411/F411</f>
      </c>
      <c r="AA411" s="383">
        <f>W411/(F411+500)</f>
      </c>
      <c r="AB411" s="377">
        <v>0</v>
      </c>
      <c r="AC411" s="377">
        <v>0</v>
      </c>
      <c r="AD411" s="381">
        <f>AB411/T411</f>
      </c>
      <c r="AE411" s="383">
        <f>(W411-AC411)/(F411+500)</f>
      </c>
      <c r="AF411" s="383" t="s">
        <v>1092</v>
      </c>
    </row>
    <row r="412">
      <c r="A412" s="371"/>
      <c r="B412" s="372"/>
      <c r="C412" s="373"/>
      <c r="D412" s="374" t="s">
        <v>1069</v>
      </c>
      <c r="E412" s="384">
        <v>182.39</v>
      </c>
      <c r="F412" s="376"/>
      <c r="G412" s="377">
        <v>752</v>
      </c>
      <c r="H412" s="377">
        <v>31</v>
      </c>
      <c r="I412" s="378">
        <f t="shared" si="51"/>
      </c>
      <c r="J412" s="379">
        <f t="shared" si="90"/>
      </c>
      <c r="K412" s="377">
        <v>3</v>
      </c>
      <c r="L412" s="379">
        <f t="shared" si="13"/>
      </c>
      <c r="M412" s="377">
        <v>0</v>
      </c>
      <c r="N412" s="380">
        <f t="shared" si="32"/>
      </c>
      <c r="O412" s="377">
        <v>1</v>
      </c>
      <c r="P412" s="380">
        <f t="shared" si="70"/>
      </c>
      <c r="Q412" s="381"/>
      <c r="R412" s="377"/>
      <c r="S412" s="381"/>
      <c r="T412" s="377"/>
      <c r="U412" s="382"/>
      <c r="V412" s="383"/>
      <c r="W412" s="377"/>
      <c r="X412" s="383"/>
      <c r="Y412" s="381"/>
      <c r="Z412" s="383"/>
      <c r="AA412" s="383"/>
      <c r="AB412" s="377"/>
      <c r="AC412" s="377"/>
      <c r="AD412" s="381"/>
      <c r="AE412" s="383"/>
      <c r="AF412" s="383" t="s">
        <v>1098</v>
      </c>
    </row>
    <row r="413">
      <c r="A413" s="371"/>
      <c r="B413" s="372"/>
      <c r="C413" s="373"/>
      <c r="D413" s="374" t="s">
        <v>1071</v>
      </c>
      <c r="E413" s="377">
        <v>437.11</v>
      </c>
      <c r="F413" s="376"/>
      <c r="G413" s="377">
        <v>1141</v>
      </c>
      <c r="H413" s="377">
        <v>173</v>
      </c>
      <c r="I413" s="378">
        <f t="shared" si="51"/>
      </c>
      <c r="J413" s="379">
        <f t="shared" si="90"/>
      </c>
      <c r="K413" s="377">
        <v>3</v>
      </c>
      <c r="L413" s="379">
        <f t="shared" si="13"/>
      </c>
      <c r="M413" s="377">
        <v>0</v>
      </c>
      <c r="N413" s="380">
        <f t="shared" si="32"/>
      </c>
      <c r="O413" s="377">
        <v>0</v>
      </c>
      <c r="P413" s="380">
        <f t="shared" si="70"/>
      </c>
      <c r="Q413" s="381"/>
      <c r="R413" s="377"/>
      <c r="S413" s="381"/>
      <c r="T413" s="377"/>
      <c r="U413" s="382"/>
      <c r="V413" s="383"/>
      <c r="W413" s="377"/>
      <c r="X413" s="383"/>
      <c r="Y413" s="381"/>
      <c r="Z413" s="383"/>
      <c r="AA413" s="383"/>
      <c r="AB413" s="377"/>
      <c r="AC413" s="377"/>
      <c r="AD413" s="381"/>
      <c r="AE413" s="383"/>
      <c r="AF413" s="383"/>
    </row>
    <row r="414">
      <c r="A414" s="371"/>
      <c r="B414" s="372" t="s">
        <v>1074</v>
      </c>
      <c r="C414" s="373" t="s">
        <v>1076</v>
      </c>
      <c r="D414" s="374" t="s">
        <v>1067</v>
      </c>
      <c r="E414" s="375">
        <v>1779.27</v>
      </c>
      <c r="F414" s="376">
        <f>E414+E415+E416</f>
      </c>
      <c r="G414" s="377">
        <v>15195</v>
      </c>
      <c r="H414" s="377">
        <v>145</v>
      </c>
      <c r="I414" s="378">
        <f t="shared" si="51"/>
      </c>
      <c r="J414" s="379">
        <f t="shared" si="90"/>
      </c>
      <c r="K414" s="377">
        <v>20</v>
      </c>
      <c r="L414" s="379">
        <f t="shared" si="13"/>
      </c>
      <c r="M414" s="377">
        <v>3</v>
      </c>
      <c r="N414" s="380">
        <f t="shared" si="32"/>
      </c>
      <c r="O414" s="377">
        <v>3</v>
      </c>
      <c r="P414" s="380">
        <f t="shared" si="70"/>
      </c>
      <c r="Q414" s="381">
        <f>(M414+M416+M415)/(O414+O416+O415)</f>
      </c>
      <c r="R414" s="377">
        <v>4</v>
      </c>
      <c r="S414" s="381">
        <f>(O414+O416)/(K414+K416)</f>
      </c>
      <c r="T414" s="377">
        <v>4</v>
      </c>
      <c r="U414" s="382">
        <f>F414/T414</f>
      </c>
      <c r="V414" s="383">
        <f>(F414+4*500)/T414</f>
      </c>
      <c r="W414" s="377">
        <v>3066.0000000000005</v>
      </c>
      <c r="X414" s="383">
        <f>W414/T414</f>
      </c>
      <c r="Y414" s="381">
        <f>T414/R414</f>
      </c>
      <c r="Z414" s="383">
        <f>W414/F414</f>
      </c>
      <c r="AA414" s="383">
        <f>W414/(F414+500)</f>
      </c>
      <c r="AB414" s="377">
        <v>0</v>
      </c>
      <c r="AC414" s="377">
        <v>0</v>
      </c>
      <c r="AD414" s="381">
        <f>AB414/T414</f>
      </c>
      <c r="AE414" s="383">
        <f>(W414-AC414)/(F414+500)</f>
      </c>
      <c r="AF414" s="383" t="s">
        <v>1092</v>
      </c>
    </row>
    <row r="415">
      <c r="A415" s="371"/>
      <c r="B415" s="372"/>
      <c r="C415" s="373"/>
      <c r="D415" s="374" t="s">
        <v>1069</v>
      </c>
      <c r="E415" s="384">
        <v>178.02</v>
      </c>
      <c r="F415" s="376"/>
      <c r="G415" s="377">
        <v>638</v>
      </c>
      <c r="H415" s="377">
        <v>24</v>
      </c>
      <c r="I415" s="378">
        <f t="shared" si="51"/>
      </c>
      <c r="J415" s="379">
        <f t="shared" si="90"/>
      </c>
      <c r="K415" s="377">
        <v>1</v>
      </c>
      <c r="L415" s="379">
        <f t="shared" si="13"/>
      </c>
      <c r="M415" s="377">
        <v>0</v>
      </c>
      <c r="N415" s="380">
        <f t="shared" si="32"/>
      </c>
      <c r="O415" s="377">
        <v>0</v>
      </c>
      <c r="P415" s="380">
        <f t="shared" si="70"/>
      </c>
      <c r="Q415" s="381"/>
      <c r="R415" s="377"/>
      <c r="S415" s="381"/>
      <c r="T415" s="377"/>
      <c r="U415" s="382"/>
      <c r="V415" s="383"/>
      <c r="W415" s="377"/>
      <c r="X415" s="383"/>
      <c r="Y415" s="381"/>
      <c r="Z415" s="383"/>
      <c r="AA415" s="383"/>
      <c r="AB415" s="377"/>
      <c r="AC415" s="377"/>
      <c r="AD415" s="381"/>
      <c r="AE415" s="383"/>
      <c r="AF415" s="383" t="s">
        <v>1098</v>
      </c>
    </row>
    <row r="416">
      <c r="A416" s="371"/>
      <c r="B416" s="372"/>
      <c r="C416" s="373"/>
      <c r="D416" s="374" t="s">
        <v>1071</v>
      </c>
      <c r="E416" s="377">
        <v>300.58</v>
      </c>
      <c r="F416" s="376"/>
      <c r="G416" s="377">
        <v>420</v>
      </c>
      <c r="H416" s="377">
        <v>25</v>
      </c>
      <c r="I416" s="378">
        <f t="shared" si="51"/>
      </c>
      <c r="J416" s="379">
        <f t="shared" si="90"/>
      </c>
      <c r="K416" s="377">
        <v>3</v>
      </c>
      <c r="L416" s="379">
        <f t="shared" si="13"/>
      </c>
      <c r="M416" s="377">
        <v>0</v>
      </c>
      <c r="N416" s="380">
        <f t="shared" si="32"/>
      </c>
      <c r="O416" s="377">
        <v>0</v>
      </c>
      <c r="P416" s="380">
        <f t="shared" si="70"/>
      </c>
      <c r="Q416" s="381"/>
      <c r="R416" s="377"/>
      <c r="S416" s="381"/>
      <c r="T416" s="377"/>
      <c r="U416" s="382"/>
      <c r="V416" s="383"/>
      <c r="W416" s="377"/>
      <c r="X416" s="383"/>
      <c r="Y416" s="381"/>
      <c r="Z416" s="383"/>
      <c r="AA416" s="383"/>
      <c r="AB416" s="377"/>
      <c r="AC416" s="377"/>
      <c r="AD416" s="381"/>
      <c r="AE416" s="383"/>
      <c r="AF416" s="383"/>
    </row>
    <row r="417">
      <c r="A417" s="371"/>
      <c r="B417" s="372" t="s">
        <v>1075</v>
      </c>
      <c r="C417" s="373" t="s">
        <v>1090</v>
      </c>
      <c r="D417" s="374" t="s">
        <v>1067</v>
      </c>
      <c r="E417" s="375">
        <v>2070.11</v>
      </c>
      <c r="F417" s="376">
        <f>E417+E418+E419</f>
      </c>
      <c r="G417" s="377">
        <v>16812</v>
      </c>
      <c r="H417" s="377">
        <v>193</v>
      </c>
      <c r="I417" s="378">
        <f t="shared" si="51"/>
      </c>
      <c r="J417" s="379">
        <f t="shared" si="90"/>
      </c>
      <c r="K417" s="377">
        <v>26</v>
      </c>
      <c r="L417" s="379">
        <f t="shared" si="13"/>
      </c>
      <c r="M417" s="377">
        <v>0</v>
      </c>
      <c r="N417" s="380">
        <f t="shared" si="32"/>
      </c>
      <c r="O417" s="377">
        <v>1</v>
      </c>
      <c r="P417" s="380">
        <f t="shared" si="70"/>
      </c>
      <c r="Q417" s="381">
        <f>(M417+M419+M418)/(O417+O419+O418)</f>
      </c>
      <c r="R417" s="377">
        <v>2</v>
      </c>
      <c r="S417" s="381">
        <f>(O417+O419)/(K417+K419)</f>
      </c>
      <c r="T417" s="377">
        <v>0</v>
      </c>
      <c r="U417" s="382">
        <f>F417/T417</f>
      </c>
      <c r="V417" s="383">
        <f>(F417+4*500)/T417</f>
      </c>
      <c r="W417" s="377">
        <v>0</v>
      </c>
      <c r="X417" s="383">
        <f>W417/T417</f>
      </c>
      <c r="Y417" s="381">
        <f>T417/R417</f>
      </c>
      <c r="Z417" s="383">
        <f>W417/F417</f>
      </c>
      <c r="AA417" s="383">
        <f>W417/(F417+500)</f>
      </c>
      <c r="AB417" s="377">
        <v>0</v>
      </c>
      <c r="AC417" s="377">
        <v>0</v>
      </c>
      <c r="AD417" s="381">
        <f>AB417/T417</f>
      </c>
      <c r="AE417" s="383">
        <f>(W417-AC417)/(F417+500)</f>
      </c>
      <c r="AF417" s="383" t="s">
        <v>1092</v>
      </c>
    </row>
    <row r="418">
      <c r="A418" s="371"/>
      <c r="B418" s="372"/>
      <c r="C418" s="373"/>
      <c r="D418" s="374" t="s">
        <v>1069</v>
      </c>
      <c r="E418" s="384">
        <v>163.97</v>
      </c>
      <c r="F418" s="376"/>
      <c r="G418" s="377">
        <v>723</v>
      </c>
      <c r="H418" s="377">
        <v>33</v>
      </c>
      <c r="I418" s="378">
        <f t="shared" si="51"/>
      </c>
      <c r="J418" s="379">
        <f t="shared" si="90"/>
      </c>
      <c r="K418" s="377">
        <v>1</v>
      </c>
      <c r="L418" s="379">
        <f t="shared" si="13"/>
      </c>
      <c r="M418" s="377">
        <v>0</v>
      </c>
      <c r="N418" s="380">
        <f t="shared" si="32"/>
      </c>
      <c r="O418" s="377">
        <v>0</v>
      </c>
      <c r="P418" s="380">
        <f t="shared" si="70"/>
      </c>
      <c r="Q418" s="381"/>
      <c r="R418" s="377"/>
      <c r="S418" s="381"/>
      <c r="T418" s="377"/>
      <c r="U418" s="382"/>
      <c r="V418" s="383"/>
      <c r="W418" s="377"/>
      <c r="X418" s="383"/>
      <c r="Y418" s="381"/>
      <c r="Z418" s="383"/>
      <c r="AA418" s="383"/>
      <c r="AB418" s="377"/>
      <c r="AC418" s="377"/>
      <c r="AD418" s="381"/>
      <c r="AE418" s="383"/>
      <c r="AF418" s="383" t="s">
        <v>1098</v>
      </c>
    </row>
    <row r="419">
      <c r="A419" s="371"/>
      <c r="B419" s="372"/>
      <c r="C419" s="373"/>
      <c r="D419" s="374" t="s">
        <v>1071</v>
      </c>
      <c r="E419" s="377">
        <v>369.04</v>
      </c>
      <c r="F419" s="376"/>
      <c r="G419" s="377">
        <v>277</v>
      </c>
      <c r="H419" s="377">
        <v>24</v>
      </c>
      <c r="I419" s="378">
        <f t="shared" si="51"/>
      </c>
      <c r="J419" s="379">
        <f t="shared" si="90"/>
      </c>
      <c r="K419" s="377">
        <v>4</v>
      </c>
      <c r="L419" s="379">
        <f t="shared" si="13"/>
      </c>
      <c r="M419" s="377">
        <v>0</v>
      </c>
      <c r="N419" s="380">
        <f t="shared" si="32"/>
      </c>
      <c r="O419" s="377">
        <v>0</v>
      </c>
      <c r="P419" s="380">
        <f t="shared" si="70"/>
      </c>
      <c r="Q419" s="381"/>
      <c r="R419" s="377"/>
      <c r="S419" s="381"/>
      <c r="T419" s="377"/>
      <c r="U419" s="382"/>
      <c r="V419" s="383"/>
      <c r="W419" s="377"/>
      <c r="X419" s="383"/>
      <c r="Y419" s="381"/>
      <c r="Z419" s="383"/>
      <c r="AA419" s="383"/>
      <c r="AB419" s="377"/>
      <c r="AC419" s="377"/>
      <c r="AD419" s="381"/>
      <c r="AE419" s="383"/>
      <c r="AF419" s="383"/>
    </row>
    <row r="420">
      <c r="A420" s="371"/>
      <c r="B420" s="372" t="s">
        <v>1077</v>
      </c>
      <c r="C420" s="373" t="s">
        <v>1090</v>
      </c>
      <c r="D420" s="374" t="s">
        <v>1067</v>
      </c>
      <c r="E420" s="375">
        <v>2602.31</v>
      </c>
      <c r="F420" s="376">
        <f>E420+E421+E422</f>
      </c>
      <c r="G420" s="377">
        <v>25376</v>
      </c>
      <c r="H420" s="377">
        <v>165</v>
      </c>
      <c r="I420" s="378">
        <f t="shared" si="51"/>
      </c>
      <c r="J420" s="379">
        <f t="shared" si="90"/>
      </c>
      <c r="K420" s="377">
        <v>36</v>
      </c>
      <c r="L420" s="379">
        <f t="shared" si="13"/>
      </c>
      <c r="M420" s="377">
        <v>2</v>
      </c>
      <c r="N420" s="380">
        <f t="shared" si="32"/>
      </c>
      <c r="O420" s="377">
        <v>4</v>
      </c>
      <c r="P420" s="380">
        <f t="shared" si="70"/>
      </c>
      <c r="Q420" s="381">
        <f>(M420+M422+M421)/(O420+O422+O421)</f>
      </c>
      <c r="R420" s="377">
        <v>5</v>
      </c>
      <c r="S420" s="381">
        <f>(O420+O422)/(K420+K422)</f>
      </c>
      <c r="T420" s="377">
        <v>3</v>
      </c>
      <c r="U420" s="382">
        <f>F420/T420</f>
      </c>
      <c r="V420" s="383">
        <f>(F420+4*500)/T420</f>
      </c>
      <c r="W420" s="377">
        <v>3042</v>
      </c>
      <c r="X420" s="383">
        <f>W420/T420</f>
      </c>
      <c r="Y420" s="381">
        <f>T420/R420</f>
      </c>
      <c r="Z420" s="383">
        <f>W420/F420</f>
      </c>
      <c r="AA420" s="383">
        <f>W420/(F420+500)</f>
      </c>
      <c r="AB420" s="377">
        <v>1</v>
      </c>
      <c r="AC420" s="377">
        <v>502.8</v>
      </c>
      <c r="AD420" s="381">
        <f>AB420/T420</f>
      </c>
      <c r="AE420" s="383">
        <f>(W420-AC420)/(F420+500)</f>
      </c>
      <c r="AF420" s="383" t="s">
        <v>1092</v>
      </c>
    </row>
    <row r="421">
      <c r="A421" s="371"/>
      <c r="B421" s="372"/>
      <c r="C421" s="373"/>
      <c r="D421" s="374" t="s">
        <v>1069</v>
      </c>
      <c r="E421" s="384">
        <v>353.72</v>
      </c>
      <c r="F421" s="376"/>
      <c r="G421" s="377">
        <v>991</v>
      </c>
      <c r="H421" s="377">
        <v>40</v>
      </c>
      <c r="I421" s="378">
        <f t="shared" si="51"/>
      </c>
      <c r="J421" s="379">
        <f t="shared" si="90"/>
      </c>
      <c r="K421" s="377">
        <v>4</v>
      </c>
      <c r="L421" s="379">
        <f t="shared" si="13"/>
      </c>
      <c r="M421" s="377">
        <v>0</v>
      </c>
      <c r="N421" s="380">
        <f t="shared" si="32"/>
      </c>
      <c r="O421" s="377">
        <v>1</v>
      </c>
      <c r="P421" s="380">
        <f t="shared" si="70"/>
      </c>
      <c r="Q421" s="381"/>
      <c r="R421" s="377"/>
      <c r="S421" s="381"/>
      <c r="T421" s="377"/>
      <c r="U421" s="382"/>
      <c r="V421" s="383"/>
      <c r="W421" s="377"/>
      <c r="X421" s="383"/>
      <c r="Y421" s="381"/>
      <c r="Z421" s="383"/>
      <c r="AA421" s="383"/>
      <c r="AB421" s="377"/>
      <c r="AC421" s="377"/>
      <c r="AD421" s="381"/>
      <c r="AE421" s="383"/>
      <c r="AF421" s="383" t="s">
        <v>1098</v>
      </c>
    </row>
    <row r="422">
      <c r="A422" s="371"/>
      <c r="B422" s="372"/>
      <c r="C422" s="373"/>
      <c r="D422" s="374" t="s">
        <v>1071</v>
      </c>
      <c r="E422" s="377">
        <v>98.74</v>
      </c>
      <c r="F422" s="376"/>
      <c r="G422" s="377">
        <v>106</v>
      </c>
      <c r="H422" s="377">
        <v>13</v>
      </c>
      <c r="I422" s="378">
        <f t="shared" si="51"/>
      </c>
      <c r="J422" s="379">
        <f t="shared" si="90"/>
      </c>
      <c r="K422" s="377">
        <v>1</v>
      </c>
      <c r="L422" s="379">
        <f t="shared" si="13"/>
      </c>
      <c r="M422" s="377">
        <v>0</v>
      </c>
      <c r="N422" s="380">
        <f t="shared" si="32"/>
      </c>
      <c r="O422" s="377">
        <v>0</v>
      </c>
      <c r="P422" s="380">
        <f t="shared" si="70"/>
      </c>
      <c r="Q422" s="381"/>
      <c r="R422" s="377"/>
      <c r="S422" s="381"/>
      <c r="T422" s="377"/>
      <c r="U422" s="382"/>
      <c r="V422" s="383"/>
      <c r="W422" s="377"/>
      <c r="X422" s="383"/>
      <c r="Y422" s="381"/>
      <c r="Z422" s="383"/>
      <c r="AA422" s="383"/>
      <c r="AB422" s="377"/>
      <c r="AC422" s="377"/>
      <c r="AD422" s="381"/>
      <c r="AE422" s="383"/>
      <c r="AF422" s="383"/>
    </row>
    <row r="423">
      <c r="A423" s="371"/>
      <c r="B423" s="385" t="s">
        <v>1078</v>
      </c>
      <c r="C423" s="373" t="s">
        <v>1090</v>
      </c>
      <c r="D423" s="374" t="s">
        <v>1067</v>
      </c>
      <c r="E423" s="375">
        <v>1899.92</v>
      </c>
      <c r="F423" s="376">
        <f>E423+E424+E425</f>
      </c>
      <c r="G423" s="377">
        <v>18723</v>
      </c>
      <c r="H423" s="377">
        <v>153</v>
      </c>
      <c r="I423" s="378">
        <f t="shared" si="51"/>
      </c>
      <c r="J423" s="379">
        <f t="shared" si="90"/>
      </c>
      <c r="K423" s="377">
        <v>23</v>
      </c>
      <c r="L423" s="379">
        <f t="shared" si="13"/>
      </c>
      <c r="M423" s="377">
        <v>0</v>
      </c>
      <c r="N423" s="380">
        <f t="shared" si="32"/>
      </c>
      <c r="O423" s="377">
        <v>0</v>
      </c>
      <c r="P423" s="380">
        <f t="shared" si="70"/>
      </c>
      <c r="Q423" s="381">
        <f>(M423+M425+M424)/(O423+O425+O424)</f>
      </c>
      <c r="R423" s="377">
        <v>4</v>
      </c>
      <c r="S423" s="381">
        <f>(O423+O425)/(K423+K425)</f>
      </c>
      <c r="T423" s="377">
        <v>0</v>
      </c>
      <c r="U423" s="382">
        <f>F423/T423</f>
      </c>
      <c r="V423" s="383">
        <f>(F423+4*500)/T423</f>
      </c>
      <c r="W423" s="377">
        <v>0</v>
      </c>
      <c r="X423" s="383">
        <f>W423/T423</f>
      </c>
      <c r="Y423" s="381">
        <f>T423/R423</f>
      </c>
      <c r="Z423" s="383">
        <f>W423/F423</f>
      </c>
      <c r="AA423" s="383">
        <f>W423/(F423+500)</f>
      </c>
      <c r="AB423" s="377">
        <v>0</v>
      </c>
      <c r="AC423" s="377">
        <v>0</v>
      </c>
      <c r="AD423" s="381">
        <f>AB423/T423</f>
      </c>
      <c r="AE423" s="383">
        <f>(W423-AC423)/(F423+500)</f>
      </c>
      <c r="AF423" s="383" t="s">
        <v>1092</v>
      </c>
    </row>
    <row r="424">
      <c r="A424" s="371"/>
      <c r="B424" s="385"/>
      <c r="C424" s="373"/>
      <c r="D424" s="374" t="s">
        <v>1069</v>
      </c>
      <c r="E424" s="384">
        <v>182.8</v>
      </c>
      <c r="F424" s="376"/>
      <c r="G424" s="377">
        <v>1018</v>
      </c>
      <c r="H424" s="377">
        <v>39</v>
      </c>
      <c r="I424" s="378">
        <f t="shared" si="51"/>
      </c>
      <c r="J424" s="379">
        <f t="shared" si="90"/>
      </c>
      <c r="K424" s="377">
        <v>3</v>
      </c>
      <c r="L424" s="379">
        <f t="shared" si="13"/>
      </c>
      <c r="M424" s="377">
        <v>1</v>
      </c>
      <c r="N424" s="380">
        <f t="shared" si="32"/>
      </c>
      <c r="O424" s="377">
        <v>0</v>
      </c>
      <c r="P424" s="380">
        <f t="shared" si="70"/>
      </c>
      <c r="Q424" s="381"/>
      <c r="R424" s="377"/>
      <c r="S424" s="381"/>
      <c r="T424" s="377"/>
      <c r="U424" s="382"/>
      <c r="V424" s="383"/>
      <c r="W424" s="377"/>
      <c r="X424" s="383"/>
      <c r="Y424" s="381"/>
      <c r="Z424" s="383"/>
      <c r="AA424" s="383"/>
      <c r="AB424" s="377"/>
      <c r="AC424" s="377"/>
      <c r="AD424" s="381"/>
      <c r="AE424" s="383"/>
      <c r="AF424" s="383" t="s">
        <v>1098</v>
      </c>
    </row>
    <row r="425">
      <c r="A425" s="371"/>
      <c r="B425" s="385"/>
      <c r="C425" s="373"/>
      <c r="D425" s="374" t="s">
        <v>1071</v>
      </c>
      <c r="E425" s="377">
        <v>77.36</v>
      </c>
      <c r="F425" s="376"/>
      <c r="G425" s="377">
        <v>82</v>
      </c>
      <c r="H425" s="377">
        <v>12</v>
      </c>
      <c r="I425" s="378">
        <f t="shared" si="51"/>
      </c>
      <c r="J425" s="379">
        <f t="shared" si="90"/>
      </c>
      <c r="K425" s="377">
        <v>1</v>
      </c>
      <c r="L425" s="379">
        <f t="shared" si="13"/>
      </c>
      <c r="M425" s="377">
        <v>0</v>
      </c>
      <c r="N425" s="380">
        <f t="shared" si="32"/>
      </c>
      <c r="O425" s="377">
        <v>0</v>
      </c>
      <c r="P425" s="380">
        <f t="shared" si="70"/>
      </c>
      <c r="Q425" s="381"/>
      <c r="R425" s="377"/>
      <c r="S425" s="381"/>
      <c r="T425" s="377"/>
      <c r="U425" s="382"/>
      <c r="V425" s="383"/>
      <c r="W425" s="377"/>
      <c r="X425" s="383"/>
      <c r="Y425" s="381"/>
      <c r="Z425" s="383"/>
      <c r="AA425" s="383"/>
      <c r="AB425" s="377"/>
      <c r="AC425" s="377"/>
      <c r="AD425" s="381"/>
      <c r="AE425" s="383"/>
      <c r="AF425" s="383"/>
    </row>
    <row r="426">
      <c r="A426" s="371"/>
      <c r="B426" s="372" t="s">
        <v>1079</v>
      </c>
      <c r="C426" s="373" t="s">
        <v>1090</v>
      </c>
      <c r="D426" s="374" t="s">
        <v>1067</v>
      </c>
      <c r="E426" s="375">
        <v>1171.59</v>
      </c>
      <c r="F426" s="376">
        <f>E426+E427+E428</f>
      </c>
      <c r="G426" s="377">
        <v>9680</v>
      </c>
      <c r="H426" s="377">
        <v>110</v>
      </c>
      <c r="I426" s="378">
        <f t="shared" si="51"/>
      </c>
      <c r="J426" s="379">
        <f t="shared" si="90"/>
      </c>
      <c r="K426" s="377">
        <v>11</v>
      </c>
      <c r="L426" s="379">
        <f t="shared" si="13"/>
      </c>
      <c r="M426" s="377">
        <v>0</v>
      </c>
      <c r="N426" s="380">
        <f t="shared" si="32"/>
      </c>
      <c r="O426" s="377">
        <v>3</v>
      </c>
      <c r="P426" s="380">
        <f t="shared" si="70"/>
      </c>
      <c r="Q426" s="381">
        <f>(M426+M428+M427)/(O426+O428+O427)</f>
      </c>
      <c r="R426" s="377">
        <v>4</v>
      </c>
      <c r="S426" s="381">
        <f>(O426+O428)/(K426+K428)</f>
      </c>
      <c r="T426" s="377">
        <v>0</v>
      </c>
      <c r="U426" s="382">
        <f>F426/T426</f>
      </c>
      <c r="V426" s="383">
        <f>(F426+4*500)/T426</f>
      </c>
      <c r="W426" s="377">
        <v>0</v>
      </c>
      <c r="X426" s="383">
        <f>W426/T426</f>
      </c>
      <c r="Y426" s="381">
        <f>T426/R426</f>
      </c>
      <c r="Z426" s="383">
        <f>W426/F426</f>
      </c>
      <c r="AA426" s="383">
        <f>W426/(F426+500)</f>
      </c>
      <c r="AB426" s="377">
        <v>0</v>
      </c>
      <c r="AC426" s="377">
        <v>0</v>
      </c>
      <c r="AD426" s="381">
        <f>AB426/T426</f>
      </c>
      <c r="AE426" s="383">
        <f>(W426-AC426)/(F426+500)</f>
      </c>
      <c r="AF426" s="383" t="s">
        <v>1092</v>
      </c>
    </row>
    <row r="427">
      <c r="A427" s="371"/>
      <c r="B427" s="372"/>
      <c r="C427" s="373"/>
      <c r="D427" s="374" t="s">
        <v>1069</v>
      </c>
      <c r="E427" s="384">
        <v>869.36</v>
      </c>
      <c r="F427" s="376"/>
      <c r="G427" s="377">
        <v>1446</v>
      </c>
      <c r="H427" s="377">
        <v>79</v>
      </c>
      <c r="I427" s="378">
        <f t="shared" si="51"/>
      </c>
      <c r="J427" s="379">
        <f t="shared" si="90"/>
      </c>
      <c r="K427" s="377">
        <v>8</v>
      </c>
      <c r="L427" s="379">
        <f t="shared" si="13"/>
      </c>
      <c r="M427" s="377">
        <v>0</v>
      </c>
      <c r="N427" s="380">
        <f t="shared" si="32"/>
      </c>
      <c r="O427" s="377">
        <v>0</v>
      </c>
      <c r="P427" s="380">
        <f t="shared" si="70"/>
      </c>
      <c r="Q427" s="381"/>
      <c r="R427" s="377"/>
      <c r="S427" s="381"/>
      <c r="T427" s="377"/>
      <c r="U427" s="382"/>
      <c r="V427" s="383"/>
      <c r="W427" s="377"/>
      <c r="X427" s="383"/>
      <c r="Y427" s="381"/>
      <c r="Z427" s="383"/>
      <c r="AA427" s="383"/>
      <c r="AB427" s="377"/>
      <c r="AC427" s="377"/>
      <c r="AD427" s="381"/>
      <c r="AE427" s="383"/>
      <c r="AF427" s="383" t="s">
        <v>1098</v>
      </c>
    </row>
    <row r="428">
      <c r="A428" s="371"/>
      <c r="B428" s="372"/>
      <c r="C428" s="373"/>
      <c r="D428" s="374" t="s">
        <v>1071</v>
      </c>
      <c r="E428" s="377">
        <v>9.01</v>
      </c>
      <c r="F428" s="376"/>
      <c r="G428" s="377">
        <v>91</v>
      </c>
      <c r="H428" s="377">
        <v>11</v>
      </c>
      <c r="I428" s="378">
        <f t="shared" si="51"/>
      </c>
      <c r="J428" s="379">
        <f t="shared" si="90"/>
      </c>
      <c r="K428" s="377">
        <v>0</v>
      </c>
      <c r="L428" s="379">
        <f t="shared" si="13"/>
      </c>
      <c r="M428" s="377">
        <v>0</v>
      </c>
      <c r="N428" s="380">
        <f t="shared" si="32"/>
      </c>
      <c r="O428" s="377">
        <v>0</v>
      </c>
      <c r="P428" s="380">
        <f t="shared" si="70"/>
      </c>
      <c r="Q428" s="381"/>
      <c r="R428" s="377"/>
      <c r="S428" s="381"/>
      <c r="T428" s="377"/>
      <c r="U428" s="382"/>
      <c r="V428" s="383"/>
      <c r="W428" s="377"/>
      <c r="X428" s="383"/>
      <c r="Y428" s="381"/>
      <c r="Z428" s="383"/>
      <c r="AA428" s="383"/>
      <c r="AB428" s="377"/>
      <c r="AC428" s="377"/>
      <c r="AD428" s="381"/>
      <c r="AE428" s="383"/>
      <c r="AF428" s="383"/>
    </row>
    <row r="429">
      <c r="A429" s="371"/>
      <c r="B429" s="372" t="s">
        <v>1080</v>
      </c>
      <c r="C429" s="373" t="s">
        <v>1087</v>
      </c>
      <c r="D429" s="374" t="s">
        <v>1067</v>
      </c>
      <c r="E429" s="375">
        <v>774.49</v>
      </c>
      <c r="F429" s="376">
        <f>E429+E430+E431</f>
      </c>
      <c r="G429" s="377">
        <v>5978</v>
      </c>
      <c r="H429" s="377">
        <v>72</v>
      </c>
      <c r="I429" s="378">
        <f t="shared" si="51"/>
      </c>
      <c r="J429" s="379">
        <f t="shared" si="90"/>
      </c>
      <c r="K429" s="377">
        <v>9</v>
      </c>
      <c r="L429" s="379">
        <f t="shared" si="13"/>
      </c>
      <c r="M429" s="377">
        <v>0</v>
      </c>
      <c r="N429" s="380">
        <f t="shared" si="32"/>
      </c>
      <c r="O429" s="377">
        <v>1</v>
      </c>
      <c r="P429" s="380">
        <f t="shared" si="70"/>
      </c>
      <c r="Q429" s="381">
        <f>(M429+M431+M430)/(O429+O431+O430)</f>
      </c>
      <c r="R429" s="377">
        <v>5</v>
      </c>
      <c r="S429" s="381">
        <f>(O429+O431)/(K429+K431)</f>
      </c>
      <c r="T429" s="377">
        <v>1</v>
      </c>
      <c r="U429" s="382">
        <f>F429/T429</f>
      </c>
      <c r="V429" s="383">
        <f>(F429+4*500)/T429</f>
      </c>
      <c r="W429" s="377">
        <v>787.1999999999989</v>
      </c>
      <c r="X429" s="383">
        <f>W429/T429</f>
      </c>
      <c r="Y429" s="381">
        <f>T429/R429</f>
      </c>
      <c r="Z429" s="383">
        <f>W429/F429</f>
      </c>
      <c r="AA429" s="383">
        <f>W429/(F429+500)</f>
      </c>
      <c r="AB429" s="377">
        <v>0</v>
      </c>
      <c r="AC429" s="377">
        <v>0</v>
      </c>
      <c r="AD429" s="381">
        <f>AB429/T429</f>
      </c>
      <c r="AE429" s="383">
        <f>(W429-AC429)/(F429+500)</f>
      </c>
      <c r="AF429" s="383" t="s">
        <v>1092</v>
      </c>
    </row>
    <row r="430">
      <c r="A430" s="371"/>
      <c r="B430" s="372"/>
      <c r="C430" s="373"/>
      <c r="D430" s="374" t="s">
        <v>1069</v>
      </c>
      <c r="E430" s="384">
        <v>660.04</v>
      </c>
      <c r="F430" s="376"/>
      <c r="G430" s="377">
        <v>1163</v>
      </c>
      <c r="H430" s="377">
        <v>52</v>
      </c>
      <c r="I430" s="378">
        <f t="shared" si="51"/>
      </c>
      <c r="J430" s="379">
        <f t="shared" si="90"/>
      </c>
      <c r="K430" s="377">
        <v>2</v>
      </c>
      <c r="L430" s="379">
        <f t="shared" si="13"/>
      </c>
      <c r="M430" s="377">
        <v>1</v>
      </c>
      <c r="N430" s="380">
        <f t="shared" si="32"/>
      </c>
      <c r="O430" s="377">
        <v>2</v>
      </c>
      <c r="P430" s="380">
        <f t="shared" si="70"/>
      </c>
      <c r="Q430" s="381"/>
      <c r="R430" s="377"/>
      <c r="S430" s="381"/>
      <c r="T430" s="377"/>
      <c r="U430" s="382"/>
      <c r="V430" s="383"/>
      <c r="W430" s="377"/>
      <c r="X430" s="383"/>
      <c r="Y430" s="381"/>
      <c r="Z430" s="383"/>
      <c r="AA430" s="383"/>
      <c r="AB430" s="377"/>
      <c r="AC430" s="377"/>
      <c r="AD430" s="381"/>
      <c r="AE430" s="383"/>
      <c r="AF430" s="383" t="s">
        <v>1098</v>
      </c>
    </row>
    <row r="431">
      <c r="A431" s="371"/>
      <c r="B431" s="372"/>
      <c r="C431" s="373"/>
      <c r="D431" s="374" t="s">
        <v>1071</v>
      </c>
      <c r="E431" s="377">
        <v>7.24</v>
      </c>
      <c r="F431" s="376"/>
      <c r="G431" s="377">
        <v>58</v>
      </c>
      <c r="H431" s="377">
        <v>7</v>
      </c>
      <c r="I431" s="378">
        <f t="shared" si="51"/>
      </c>
      <c r="J431" s="379">
        <f t="shared" si="90"/>
      </c>
      <c r="K431" s="377">
        <v>0</v>
      </c>
      <c r="L431" s="379">
        <f t="shared" si="13"/>
      </c>
      <c r="M431" s="377">
        <v>0</v>
      </c>
      <c r="N431" s="380">
        <f t="shared" si="32"/>
      </c>
      <c r="O431" s="377">
        <v>0</v>
      </c>
      <c r="P431" s="380">
        <f t="shared" si="70"/>
      </c>
      <c r="Q431" s="381"/>
      <c r="R431" s="377"/>
      <c r="S431" s="381"/>
      <c r="T431" s="377"/>
      <c r="U431" s="382"/>
      <c r="V431" s="383"/>
      <c r="W431" s="377"/>
      <c r="X431" s="383"/>
      <c r="Y431" s="381"/>
      <c r="Z431" s="383"/>
      <c r="AA431" s="383"/>
      <c r="AB431" s="377"/>
      <c r="AC431" s="377"/>
      <c r="AD431" s="381"/>
      <c r="AE431" s="383"/>
      <c r="AF431" s="383"/>
    </row>
    <row r="432">
      <c r="A432" s="371"/>
      <c r="B432" s="372" t="s">
        <v>1082</v>
      </c>
      <c r="C432" s="373" t="s">
        <v>1087</v>
      </c>
      <c r="D432" s="374" t="s">
        <v>1067</v>
      </c>
      <c r="E432" s="375">
        <v>535.4</v>
      </c>
      <c r="F432" s="376">
        <f>E432+E433+E434</f>
      </c>
      <c r="G432" s="377">
        <v>3893</v>
      </c>
      <c r="H432" s="377">
        <v>50</v>
      </c>
      <c r="I432" s="378">
        <f t="shared" si="51"/>
      </c>
      <c r="J432" s="379">
        <f t="shared" si="90"/>
      </c>
      <c r="K432" s="377">
        <v>3</v>
      </c>
      <c r="L432" s="379">
        <f t="shared" si="13"/>
      </c>
      <c r="M432" s="377">
        <v>1</v>
      </c>
      <c r="N432" s="380">
        <f t="shared" si="32"/>
      </c>
      <c r="O432" s="377">
        <v>1</v>
      </c>
      <c r="P432" s="380">
        <f t="shared" si="70"/>
      </c>
      <c r="Q432" s="381">
        <f>(M432+M434+M433)/(O432+O434+O433)</f>
      </c>
      <c r="R432" s="377">
        <v>1</v>
      </c>
      <c r="S432" s="381">
        <f>(O432+O434)/(K432+K434)</f>
      </c>
      <c r="T432" s="377">
        <v>1</v>
      </c>
      <c r="U432" s="382">
        <f>F432/T432</f>
      </c>
      <c r="V432" s="383">
        <f>(F432+4*500)/T432</f>
      </c>
      <c r="W432" s="377">
        <v>648</v>
      </c>
      <c r="X432" s="383">
        <f>W432/T432</f>
      </c>
      <c r="Y432" s="381">
        <f>T432/R432</f>
      </c>
      <c r="Z432" s="383">
        <f>W432/F432</f>
      </c>
      <c r="AA432" s="383">
        <f>W432/(F432+500)</f>
      </c>
      <c r="AB432" s="377">
        <v>1</v>
      </c>
      <c r="AC432" s="377">
        <v>648</v>
      </c>
      <c r="AD432" s="381">
        <f>AB432/T432</f>
      </c>
      <c r="AE432" s="383">
        <f>(W432-AC432)/(F432+500)</f>
      </c>
      <c r="AF432" s="383" t="s">
        <v>1092</v>
      </c>
    </row>
    <row r="433">
      <c r="A433" s="371"/>
      <c r="B433" s="372"/>
      <c r="C433" s="373"/>
      <c r="D433" s="374" t="s">
        <v>1069</v>
      </c>
      <c r="E433" s="384">
        <v>315.94</v>
      </c>
      <c r="F433" s="376"/>
      <c r="G433" s="377">
        <v>1195</v>
      </c>
      <c r="H433" s="377">
        <v>34</v>
      </c>
      <c r="I433" s="378">
        <f t="shared" si="51"/>
      </c>
      <c r="J433" s="379">
        <f t="shared" si="90"/>
      </c>
      <c r="K433" s="377">
        <v>4</v>
      </c>
      <c r="L433" s="379">
        <f t="shared" si="13"/>
      </c>
      <c r="M433" s="377">
        <v>0</v>
      </c>
      <c r="N433" s="380">
        <f t="shared" si="32"/>
      </c>
      <c r="O433" s="377">
        <v>0</v>
      </c>
      <c r="P433" s="380">
        <f t="shared" si="70"/>
      </c>
      <c r="Q433" s="381"/>
      <c r="R433" s="377"/>
      <c r="S433" s="381"/>
      <c r="T433" s="377"/>
      <c r="U433" s="382"/>
      <c r="V433" s="383"/>
      <c r="W433" s="377"/>
      <c r="X433" s="383"/>
      <c r="Y433" s="381"/>
      <c r="Z433" s="383"/>
      <c r="AA433" s="383"/>
      <c r="AB433" s="377"/>
      <c r="AC433" s="377"/>
      <c r="AD433" s="381"/>
      <c r="AE433" s="383"/>
      <c r="AF433" s="383" t="s">
        <v>1098</v>
      </c>
    </row>
    <row r="434">
      <c r="A434" s="371"/>
      <c r="B434" s="372"/>
      <c r="C434" s="373"/>
      <c r="D434" s="374" t="s">
        <v>1071</v>
      </c>
      <c r="E434" s="377">
        <v>10.16</v>
      </c>
      <c r="F434" s="376"/>
      <c r="G434" s="377">
        <v>40</v>
      </c>
      <c r="H434" s="377">
        <v>1</v>
      </c>
      <c r="I434" s="378">
        <f t="shared" si="51"/>
      </c>
      <c r="J434" s="379">
        <f t="shared" si="90"/>
      </c>
      <c r="K434" s="377">
        <v>0</v>
      </c>
      <c r="L434" s="379">
        <f t="shared" si="13"/>
      </c>
      <c r="M434" s="377">
        <v>0</v>
      </c>
      <c r="N434" s="380">
        <f t="shared" si="32"/>
      </c>
      <c r="O434" s="377">
        <v>0</v>
      </c>
      <c r="P434" s="380">
        <f t="shared" si="70"/>
      </c>
      <c r="Q434" s="381"/>
      <c r="R434" s="377"/>
      <c r="S434" s="381"/>
      <c r="T434" s="377"/>
      <c r="U434" s="382"/>
      <c r="V434" s="383"/>
      <c r="W434" s="377"/>
      <c r="X434" s="383"/>
      <c r="Y434" s="381"/>
      <c r="Z434" s="383"/>
      <c r="AA434" s="383"/>
      <c r="AB434" s="377"/>
      <c r="AC434" s="377"/>
      <c r="AD434" s="381"/>
      <c r="AE434" s="383"/>
      <c r="AF434" s="383"/>
    </row>
    <row customHeight="true" ht="20.238095238095237" r="435">
      <c r="A435" s="371"/>
      <c r="B435" s="372"/>
      <c r="C435" s="373"/>
      <c r="D435" s="374"/>
      <c r="E435" s="377">
        <f>SUM(E405:E434)</f>
      </c>
      <c r="F435" s="377">
        <f>SUM(F405:F434)</f>
      </c>
      <c r="G435" s="377"/>
      <c r="H435" s="377"/>
      <c r="I435" s="378"/>
      <c r="J435" s="379"/>
      <c r="K435" s="377"/>
      <c r="L435" s="379"/>
      <c r="M435" s="377"/>
      <c r="N435" s="380"/>
      <c r="O435" s="377"/>
      <c r="P435" s="380"/>
      <c r="Q435" s="381"/>
      <c r="R435" s="377"/>
      <c r="S435" s="381"/>
      <c r="T435" s="377">
        <f>SUM(T405:T434)</f>
      </c>
      <c r="U435" s="382"/>
      <c r="V435" s="383"/>
      <c r="W435" s="377">
        <f>SUM(W405:W434)</f>
      </c>
      <c r="X435" s="383"/>
      <c r="Y435" s="381"/>
      <c r="Z435" s="383"/>
      <c r="AA435" s="383"/>
      <c r="AB435" s="377"/>
      <c r="AC435" s="377"/>
      <c r="AD435" s="381"/>
      <c r="AE435" s="383"/>
      <c r="AF435" s="383"/>
    </row>
    <row r="436">
      <c r="A436" s="371" t="s">
        <v>1104</v>
      </c>
      <c r="B436" s="372" t="s">
        <v>1065</v>
      </c>
      <c r="C436" s="373" t="s">
        <v>1090</v>
      </c>
      <c r="D436" s="374" t="s">
        <v>1067</v>
      </c>
      <c r="E436" s="375">
        <v>1505.61</v>
      </c>
      <c r="F436" s="376">
        <f>E436+E437+E438</f>
      </c>
      <c r="G436" s="377">
        <v>11284</v>
      </c>
      <c r="H436" s="377">
        <v>203</v>
      </c>
      <c r="I436" s="378">
        <f t="shared" ref="I436:I465" si="52">H436/G436</f>
      </c>
      <c r="J436" s="379">
        <f t="shared" ref="J436:J465" si="91">(E436/G436)*1000</f>
      </c>
      <c r="K436" s="377">
        <v>11</v>
      </c>
      <c r="L436" s="379">
        <f t="shared" ref="L436:L465" si="14">E436/K436</f>
      </c>
      <c r="M436" s="377">
        <v>0</v>
      </c>
      <c r="N436" s="380">
        <f t="shared" ref="N436:N465" si="33">E436/M436</f>
      </c>
      <c r="O436" s="377">
        <v>2</v>
      </c>
      <c r="P436" s="380">
        <f t="shared" ref="P436:P465" si="71">E436/O436</f>
      </c>
      <c r="Q436" s="381">
        <f>(M436+M438+M437)/(O436+O438+O437)</f>
      </c>
      <c r="R436" s="377">
        <v>3</v>
      </c>
      <c r="S436" s="381">
        <f>(O436+O438)/(K436+K438)</f>
      </c>
      <c r="T436" s="377">
        <v>0</v>
      </c>
      <c r="U436" s="382">
        <f>F436/T436</f>
      </c>
      <c r="V436" s="383">
        <f>(F436+4*500)/T436</f>
      </c>
      <c r="W436" s="377">
        <v>0</v>
      </c>
      <c r="X436" s="383">
        <f>W436/T436</f>
      </c>
      <c r="Y436" s="381">
        <f>T436/R436</f>
      </c>
      <c r="Z436" s="383">
        <f>W436/F436</f>
      </c>
      <c r="AA436" s="383">
        <f>W436/(F436+500)</f>
      </c>
      <c r="AB436" s="377">
        <v>0</v>
      </c>
      <c r="AC436" s="377">
        <v>0</v>
      </c>
      <c r="AD436" s="381">
        <f>AB436/T436</f>
      </c>
      <c r="AE436" s="383">
        <f>(W436-AC436)/(F436+500)</f>
      </c>
      <c r="AF436" s="383" t="s">
        <v>1092</v>
      </c>
    </row>
    <row r="437">
      <c r="A437" s="371"/>
      <c r="B437" s="372"/>
      <c r="C437" s="373"/>
      <c r="D437" s="374" t="s">
        <v>1069</v>
      </c>
      <c r="E437" s="384">
        <v>161.15</v>
      </c>
      <c r="F437" s="376"/>
      <c r="G437" s="377">
        <v>2016</v>
      </c>
      <c r="H437" s="377">
        <v>96</v>
      </c>
      <c r="I437" s="378">
        <f t="shared" si="52"/>
      </c>
      <c r="J437" s="379">
        <f t="shared" si="91"/>
      </c>
      <c r="K437" s="377">
        <v>4</v>
      </c>
      <c r="L437" s="379">
        <f t="shared" si="14"/>
      </c>
      <c r="M437" s="377">
        <v>0</v>
      </c>
      <c r="N437" s="380">
        <f t="shared" si="33"/>
      </c>
      <c r="O437" s="377">
        <v>0</v>
      </c>
      <c r="P437" s="380">
        <f t="shared" si="71"/>
      </c>
      <c r="Q437" s="381"/>
      <c r="R437" s="377"/>
      <c r="S437" s="381"/>
      <c r="T437" s="377"/>
      <c r="U437" s="382"/>
      <c r="V437" s="383"/>
      <c r="W437" s="377"/>
      <c r="X437" s="383"/>
      <c r="Y437" s="381"/>
      <c r="Z437" s="383"/>
      <c r="AA437" s="383"/>
      <c r="AB437" s="377"/>
      <c r="AC437" s="377"/>
      <c r="AD437" s="381"/>
      <c r="AE437" s="383"/>
      <c r="AF437" s="383" t="s">
        <v>1105</v>
      </c>
    </row>
    <row r="438">
      <c r="A438" s="371"/>
      <c r="B438" s="372"/>
      <c r="C438" s="373"/>
      <c r="D438" s="374" t="s">
        <v>1071</v>
      </c>
      <c r="E438" s="377">
        <v>10.12</v>
      </c>
      <c r="F438" s="376"/>
      <c r="G438" s="377">
        <v>120</v>
      </c>
      <c r="H438" s="377">
        <v>30</v>
      </c>
      <c r="I438" s="378">
        <f t="shared" si="52"/>
      </c>
      <c r="J438" s="379">
        <f t="shared" si="91"/>
      </c>
      <c r="K438" s="377">
        <v>1</v>
      </c>
      <c r="L438" s="379">
        <f t="shared" si="14"/>
      </c>
      <c r="M438" s="377">
        <v>0</v>
      </c>
      <c r="N438" s="380">
        <f t="shared" si="33"/>
      </c>
      <c r="O438" s="377">
        <v>0</v>
      </c>
      <c r="P438" s="380">
        <f t="shared" si="71"/>
      </c>
      <c r="Q438" s="381"/>
      <c r="R438" s="377"/>
      <c r="S438" s="381"/>
      <c r="T438" s="377"/>
      <c r="U438" s="382"/>
      <c r="V438" s="383"/>
      <c r="W438" s="377"/>
      <c r="X438" s="383"/>
      <c r="Y438" s="381"/>
      <c r="Z438" s="383"/>
      <c r="AA438" s="383"/>
      <c r="AB438" s="377"/>
      <c r="AC438" s="377"/>
      <c r="AD438" s="381"/>
      <c r="AE438" s="383"/>
      <c r="AF438" s="383"/>
    </row>
    <row r="439">
      <c r="A439" s="371"/>
      <c r="B439" s="372" t="s">
        <v>1072</v>
      </c>
      <c r="C439" s="373" t="s">
        <v>1090</v>
      </c>
      <c r="D439" s="374" t="s">
        <v>1067</v>
      </c>
      <c r="E439" s="375">
        <v>1421.37</v>
      </c>
      <c r="F439" s="376">
        <f>E439+E440+E441</f>
      </c>
      <c r="G439" s="377">
        <v>10281</v>
      </c>
      <c r="H439" s="377">
        <v>174</v>
      </c>
      <c r="I439" s="378">
        <f t="shared" si="52"/>
      </c>
      <c r="J439" s="379">
        <f t="shared" si="91"/>
      </c>
      <c r="K439" s="377">
        <v>13</v>
      </c>
      <c r="L439" s="379">
        <f t="shared" si="14"/>
      </c>
      <c r="M439" s="377">
        <v>1</v>
      </c>
      <c r="N439" s="380">
        <f t="shared" si="33"/>
      </c>
      <c r="O439" s="377">
        <v>1</v>
      </c>
      <c r="P439" s="380">
        <f t="shared" si="71"/>
      </c>
      <c r="Q439" s="381">
        <f>(M439+M441+M440)/(O439+O441+O440)</f>
      </c>
      <c r="R439" s="377">
        <v>5</v>
      </c>
      <c r="S439" s="381">
        <f>(O439+O441)/(K439+K441)</f>
      </c>
      <c r="T439" s="377">
        <v>1</v>
      </c>
      <c r="U439" s="382">
        <f>F439/T439</f>
      </c>
      <c r="V439" s="383">
        <f>(F439+4*500)/T439</f>
      </c>
      <c r="W439" s="377">
        <v>468</v>
      </c>
      <c r="X439" s="383">
        <f>W439/T439</f>
      </c>
      <c r="Y439" s="381">
        <f>T439/R439</f>
      </c>
      <c r="Z439" s="383">
        <f>W439/F439</f>
      </c>
      <c r="AA439" s="383">
        <f>W439/(F439+500)</f>
      </c>
      <c r="AB439" s="377">
        <v>1</v>
      </c>
      <c r="AC439" s="377">
        <v>468</v>
      </c>
      <c r="AD439" s="381">
        <f>AB439/T439</f>
      </c>
      <c r="AE439" s="383">
        <f>(W439-AC439)/(F439+500)</f>
      </c>
      <c r="AF439" s="383" t="s">
        <v>1092</v>
      </c>
    </row>
    <row r="440">
      <c r="A440" s="371"/>
      <c r="B440" s="372"/>
      <c r="C440" s="373"/>
      <c r="D440" s="374" t="s">
        <v>1069</v>
      </c>
      <c r="E440" s="384">
        <v>294.9</v>
      </c>
      <c r="F440" s="376"/>
      <c r="G440" s="377">
        <v>1481</v>
      </c>
      <c r="H440" s="377">
        <v>55</v>
      </c>
      <c r="I440" s="378">
        <f t="shared" si="52"/>
      </c>
      <c r="J440" s="379">
        <f t="shared" si="91"/>
      </c>
      <c r="K440" s="377">
        <v>3</v>
      </c>
      <c r="L440" s="379">
        <f t="shared" si="14"/>
      </c>
      <c r="M440" s="377">
        <v>0</v>
      </c>
      <c r="N440" s="380">
        <f t="shared" si="33"/>
      </c>
      <c r="O440" s="377">
        <v>1</v>
      </c>
      <c r="P440" s="380">
        <f t="shared" si="71"/>
      </c>
      <c r="Q440" s="381"/>
      <c r="R440" s="377"/>
      <c r="S440" s="381"/>
      <c r="T440" s="377"/>
      <c r="U440" s="382"/>
      <c r="V440" s="383"/>
      <c r="W440" s="377"/>
      <c r="X440" s="383"/>
      <c r="Y440" s="381"/>
      <c r="Z440" s="383"/>
      <c r="AA440" s="383"/>
      <c r="AB440" s="377"/>
      <c r="AC440" s="377"/>
      <c r="AD440" s="381"/>
      <c r="AE440" s="383"/>
      <c r="AF440" s="383" t="s">
        <v>1105</v>
      </c>
    </row>
    <row r="441">
      <c r="A441" s="371"/>
      <c r="B441" s="372"/>
      <c r="C441" s="373"/>
      <c r="D441" s="374" t="s">
        <v>1071</v>
      </c>
      <c r="E441" s="377">
        <v>66.76</v>
      </c>
      <c r="F441" s="376"/>
      <c r="G441" s="377">
        <v>118</v>
      </c>
      <c r="H441" s="377">
        <v>16</v>
      </c>
      <c r="I441" s="378">
        <f t="shared" si="52"/>
      </c>
      <c r="J441" s="379">
        <f t="shared" si="91"/>
      </c>
      <c r="K441" s="377">
        <v>1</v>
      </c>
      <c r="L441" s="379">
        <f t="shared" si="14"/>
      </c>
      <c r="M441" s="377">
        <v>0</v>
      </c>
      <c r="N441" s="380">
        <f t="shared" si="33"/>
      </c>
      <c r="O441" s="377">
        <v>0</v>
      </c>
      <c r="P441" s="380">
        <f t="shared" si="71"/>
      </c>
      <c r="Q441" s="381"/>
      <c r="R441" s="377"/>
      <c r="S441" s="381"/>
      <c r="T441" s="377"/>
      <c r="U441" s="382"/>
      <c r="V441" s="383"/>
      <c r="W441" s="377"/>
      <c r="X441" s="383"/>
      <c r="Y441" s="381"/>
      <c r="Z441" s="383"/>
      <c r="AA441" s="383"/>
      <c r="AB441" s="377"/>
      <c r="AC441" s="377"/>
      <c r="AD441" s="381"/>
      <c r="AE441" s="383"/>
      <c r="AF441" s="383"/>
    </row>
    <row r="442">
      <c r="A442" s="371"/>
      <c r="B442" s="372" t="s">
        <v>1073</v>
      </c>
      <c r="C442" s="373" t="s">
        <v>1090</v>
      </c>
      <c r="D442" s="374" t="s">
        <v>1067</v>
      </c>
      <c r="E442" s="375">
        <v>1609.23</v>
      </c>
      <c r="F442" s="376">
        <f>E442+E443+E444</f>
      </c>
      <c r="G442" s="377">
        <v>11689</v>
      </c>
      <c r="H442" s="377">
        <v>235</v>
      </c>
      <c r="I442" s="378">
        <f t="shared" si="52"/>
      </c>
      <c r="J442" s="379">
        <f t="shared" si="91"/>
      </c>
      <c r="K442" s="377">
        <v>11</v>
      </c>
      <c r="L442" s="379">
        <f t="shared" si="14"/>
      </c>
      <c r="M442" s="377">
        <v>1</v>
      </c>
      <c r="N442" s="380">
        <f t="shared" si="33"/>
      </c>
      <c r="O442" s="377">
        <v>5</v>
      </c>
      <c r="P442" s="380">
        <f t="shared" si="71"/>
      </c>
      <c r="Q442" s="381">
        <f>(M442+M444+M443)/(O442+O444+O443)</f>
      </c>
      <c r="R442" s="377">
        <v>11</v>
      </c>
      <c r="S442" s="381">
        <f>(O442+O444)/(K442+K444)</f>
      </c>
      <c r="T442" s="377">
        <v>1</v>
      </c>
      <c r="U442" s="382">
        <f>F442/T442</f>
      </c>
      <c r="V442" s="383">
        <f>(F442+4*500)/T442</f>
      </c>
      <c r="W442" s="377">
        <v>480</v>
      </c>
      <c r="X442" s="383">
        <f>W442/T442</f>
      </c>
      <c r="Y442" s="381">
        <f>T442/R442</f>
      </c>
      <c r="Z442" s="383">
        <f>W442/F442</f>
      </c>
      <c r="AA442" s="383">
        <f>W442/(F442+500)</f>
      </c>
      <c r="AB442" s="377">
        <v>0</v>
      </c>
      <c r="AC442" s="377">
        <v>0</v>
      </c>
      <c r="AD442" s="381">
        <f>AB442/T442</f>
      </c>
      <c r="AE442" s="383">
        <f>(W442-AC442)/(F442+500)</f>
      </c>
      <c r="AF442" s="383" t="s">
        <v>1092</v>
      </c>
    </row>
    <row r="443">
      <c r="A443" s="371"/>
      <c r="B443" s="372"/>
      <c r="C443" s="373"/>
      <c r="D443" s="374" t="s">
        <v>1069</v>
      </c>
      <c r="E443" s="384">
        <v>165.29</v>
      </c>
      <c r="F443" s="376"/>
      <c r="G443" s="377">
        <v>2017</v>
      </c>
      <c r="H443" s="377">
        <v>46</v>
      </c>
      <c r="I443" s="378">
        <f t="shared" si="52"/>
      </c>
      <c r="J443" s="379">
        <f t="shared" si="91"/>
      </c>
      <c r="K443" s="377">
        <v>4</v>
      </c>
      <c r="L443" s="379">
        <f t="shared" si="14"/>
      </c>
      <c r="M443" s="377">
        <v>0</v>
      </c>
      <c r="N443" s="380">
        <f t="shared" si="33"/>
      </c>
      <c r="O443" s="377">
        <v>2</v>
      </c>
      <c r="P443" s="380">
        <f t="shared" si="71"/>
      </c>
      <c r="Q443" s="381"/>
      <c r="R443" s="377"/>
      <c r="S443" s="381"/>
      <c r="T443" s="377"/>
      <c r="U443" s="382"/>
      <c r="V443" s="383"/>
      <c r="W443" s="377"/>
      <c r="X443" s="383"/>
      <c r="Y443" s="381"/>
      <c r="Z443" s="383"/>
      <c r="AA443" s="383"/>
      <c r="AB443" s="377"/>
      <c r="AC443" s="377"/>
      <c r="AD443" s="381"/>
      <c r="AE443" s="383"/>
      <c r="AF443" s="383" t="s">
        <v>1105</v>
      </c>
    </row>
    <row r="444">
      <c r="A444" s="371"/>
      <c r="B444" s="372"/>
      <c r="C444" s="373"/>
      <c r="D444" s="374" t="s">
        <v>1071</v>
      </c>
      <c r="E444" s="377">
        <v>23.83</v>
      </c>
      <c r="F444" s="376"/>
      <c r="G444" s="377">
        <v>84</v>
      </c>
      <c r="H444" s="377">
        <v>21</v>
      </c>
      <c r="I444" s="378">
        <f t="shared" si="52"/>
      </c>
      <c r="J444" s="379">
        <f t="shared" si="91"/>
      </c>
      <c r="K444" s="377">
        <v>3</v>
      </c>
      <c r="L444" s="379">
        <f t="shared" si="14"/>
      </c>
      <c r="M444" s="377">
        <v>0</v>
      </c>
      <c r="N444" s="380">
        <f t="shared" si="33"/>
      </c>
      <c r="O444" s="377">
        <v>0</v>
      </c>
      <c r="P444" s="380">
        <f t="shared" si="71"/>
      </c>
      <c r="Q444" s="381"/>
      <c r="R444" s="377"/>
      <c r="S444" s="381"/>
      <c r="T444" s="377"/>
      <c r="U444" s="382"/>
      <c r="V444" s="383"/>
      <c r="W444" s="377"/>
      <c r="X444" s="383"/>
      <c r="Y444" s="381"/>
      <c r="Z444" s="383"/>
      <c r="AA444" s="383"/>
      <c r="AB444" s="377"/>
      <c r="AC444" s="377"/>
      <c r="AD444" s="381"/>
      <c r="AE444" s="383"/>
      <c r="AF444" s="383"/>
    </row>
    <row r="445">
      <c r="A445" s="371"/>
      <c r="B445" s="372" t="s">
        <v>1074</v>
      </c>
      <c r="C445" s="373" t="s">
        <v>1090</v>
      </c>
      <c r="D445" s="374" t="s">
        <v>1067</v>
      </c>
      <c r="E445" s="375">
        <v>2091.44</v>
      </c>
      <c r="F445" s="376">
        <f>E445+E446+E447</f>
      </c>
      <c r="G445" s="377">
        <v>18877</v>
      </c>
      <c r="H445" s="377">
        <v>277</v>
      </c>
      <c r="I445" s="378">
        <f t="shared" si="52"/>
      </c>
      <c r="J445" s="379">
        <f t="shared" si="91"/>
      </c>
      <c r="K445" s="377">
        <v>6</v>
      </c>
      <c r="L445" s="379">
        <f t="shared" si="14"/>
      </c>
      <c r="M445" s="377">
        <v>3</v>
      </c>
      <c r="N445" s="380">
        <f t="shared" si="33"/>
      </c>
      <c r="O445" s="377">
        <v>5</v>
      </c>
      <c r="P445" s="380">
        <f t="shared" si="71"/>
      </c>
      <c r="Q445" s="381">
        <f>(M445+M447+M446)/(O445+O447+O446)</f>
      </c>
      <c r="R445" s="377">
        <v>9</v>
      </c>
      <c r="S445" s="381">
        <f>(O445+O447)/(K445+K447)</f>
      </c>
      <c r="T445" s="377">
        <v>5</v>
      </c>
      <c r="U445" s="382">
        <f>F445/T445</f>
      </c>
      <c r="V445" s="383">
        <f>(F445+4*500)/T445</f>
      </c>
      <c r="W445" s="377">
        <v>8132.4</v>
      </c>
      <c r="X445" s="383">
        <f>W445/T445</f>
      </c>
      <c r="Y445" s="381">
        <f>T445/R445</f>
      </c>
      <c r="Z445" s="383">
        <f>W445/F445</f>
      </c>
      <c r="AA445" s="383">
        <f>W445/(F445+500)</f>
      </c>
      <c r="AB445" s="377">
        <v>2</v>
      </c>
      <c r="AC445" s="377">
        <v>1699.2</v>
      </c>
      <c r="AD445" s="381">
        <f>AB445/T445</f>
      </c>
      <c r="AE445" s="383">
        <f>(W445-AC445)/(F445+500)</f>
      </c>
      <c r="AF445" s="383" t="s">
        <v>1092</v>
      </c>
    </row>
    <row r="446">
      <c r="A446" s="371"/>
      <c r="B446" s="372"/>
      <c r="C446" s="373"/>
      <c r="D446" s="374" t="s">
        <v>1069</v>
      </c>
      <c r="E446" s="384">
        <v>54.62</v>
      </c>
      <c r="F446" s="376"/>
      <c r="G446" s="377">
        <v>1183</v>
      </c>
      <c r="H446" s="377">
        <v>22</v>
      </c>
      <c r="I446" s="378">
        <f t="shared" si="52"/>
      </c>
      <c r="J446" s="379">
        <f t="shared" si="91"/>
      </c>
      <c r="K446" s="377">
        <v>0</v>
      </c>
      <c r="L446" s="379">
        <f t="shared" si="14"/>
      </c>
      <c r="M446" s="377">
        <v>0</v>
      </c>
      <c r="N446" s="380">
        <f t="shared" si="33"/>
      </c>
      <c r="O446" s="377">
        <v>0</v>
      </c>
      <c r="P446" s="380">
        <f t="shared" si="71"/>
      </c>
      <c r="Q446" s="381"/>
      <c r="R446" s="377"/>
      <c r="S446" s="381"/>
      <c r="T446" s="377"/>
      <c r="U446" s="382"/>
      <c r="V446" s="383"/>
      <c r="W446" s="377"/>
      <c r="X446" s="383"/>
      <c r="Y446" s="381"/>
      <c r="Z446" s="383"/>
      <c r="AA446" s="383"/>
      <c r="AB446" s="377"/>
      <c r="AC446" s="377"/>
      <c r="AD446" s="381"/>
      <c r="AE446" s="383"/>
      <c r="AF446" s="383" t="s">
        <v>1105</v>
      </c>
    </row>
    <row r="447">
      <c r="A447" s="371"/>
      <c r="B447" s="372"/>
      <c r="C447" s="373"/>
      <c r="D447" s="374" t="s">
        <v>1071</v>
      </c>
      <c r="E447" s="377">
        <v>22.89</v>
      </c>
      <c r="F447" s="376"/>
      <c r="G447" s="377">
        <v>38</v>
      </c>
      <c r="H447" s="377">
        <v>5</v>
      </c>
      <c r="I447" s="378">
        <f t="shared" si="52"/>
      </c>
      <c r="J447" s="379">
        <f t="shared" si="91"/>
      </c>
      <c r="K447" s="377">
        <v>0</v>
      </c>
      <c r="L447" s="379">
        <f t="shared" si="14"/>
      </c>
      <c r="M447" s="377">
        <v>0</v>
      </c>
      <c r="N447" s="380">
        <f t="shared" si="33"/>
      </c>
      <c r="O447" s="377">
        <v>0</v>
      </c>
      <c r="P447" s="380">
        <f t="shared" si="71"/>
      </c>
      <c r="Q447" s="381"/>
      <c r="R447" s="377"/>
      <c r="S447" s="381"/>
      <c r="T447" s="377"/>
      <c r="U447" s="382"/>
      <c r="V447" s="383"/>
      <c r="W447" s="377"/>
      <c r="X447" s="383"/>
      <c r="Y447" s="381"/>
      <c r="Z447" s="383"/>
      <c r="AA447" s="383"/>
      <c r="AB447" s="377"/>
      <c r="AC447" s="377"/>
      <c r="AD447" s="381"/>
      <c r="AE447" s="383"/>
      <c r="AF447" s="383"/>
    </row>
    <row r="448">
      <c r="A448" s="371"/>
      <c r="B448" s="372" t="s">
        <v>1075</v>
      </c>
      <c r="C448" s="373" t="s">
        <v>1066</v>
      </c>
      <c r="D448" s="374" t="s">
        <v>1067</v>
      </c>
      <c r="E448" s="375">
        <v>2063.75</v>
      </c>
      <c r="F448" s="376">
        <f>E448+E449+E450</f>
      </c>
      <c r="G448" s="377">
        <v>17920</v>
      </c>
      <c r="H448" s="377">
        <v>283</v>
      </c>
      <c r="I448" s="378">
        <f t="shared" si="52"/>
      </c>
      <c r="J448" s="379">
        <f t="shared" si="91"/>
      </c>
      <c r="K448" s="377">
        <v>13</v>
      </c>
      <c r="L448" s="379">
        <f t="shared" si="14"/>
      </c>
      <c r="M448" s="377">
        <v>1</v>
      </c>
      <c r="N448" s="380">
        <f t="shared" si="33"/>
      </c>
      <c r="O448" s="377">
        <v>1</v>
      </c>
      <c r="P448" s="380">
        <f t="shared" si="71"/>
      </c>
      <c r="Q448" s="381">
        <f>(M448+M450+M449)/(O448+O450+O449)</f>
      </c>
      <c r="R448" s="377">
        <v>3</v>
      </c>
      <c r="S448" s="381">
        <f>(O448+O450)/(K448+K450)</f>
      </c>
      <c r="T448" s="377">
        <v>2</v>
      </c>
      <c r="U448" s="382">
        <f>F448/T448</f>
      </c>
      <c r="V448" s="383">
        <f>(F448+4*500)/T448</f>
      </c>
      <c r="W448" s="377">
        <v>874.8</v>
      </c>
      <c r="X448" s="383">
        <f>W448/T448</f>
      </c>
      <c r="Y448" s="381">
        <f>T448/R448</f>
      </c>
      <c r="Z448" s="383">
        <f>W448/F448</f>
      </c>
      <c r="AA448" s="383">
        <f>W448/(F448+500)</f>
      </c>
      <c r="AB448" s="377">
        <v>1</v>
      </c>
      <c r="AC448" s="377">
        <v>2971.2</v>
      </c>
      <c r="AD448" s="381">
        <f>AB448/T448</f>
      </c>
      <c r="AE448" s="383">
        <f>(W448-AC448)/(F448+500)</f>
      </c>
      <c r="AF448" s="383" t="s">
        <v>1092</v>
      </c>
    </row>
    <row r="449">
      <c r="A449" s="371"/>
      <c r="B449" s="372"/>
      <c r="C449" s="373"/>
      <c r="D449" s="374" t="s">
        <v>1069</v>
      </c>
      <c r="E449" s="384">
        <v>153.49</v>
      </c>
      <c r="F449" s="376"/>
      <c r="G449" s="377">
        <v>1109</v>
      </c>
      <c r="H449" s="377">
        <v>60</v>
      </c>
      <c r="I449" s="378">
        <f t="shared" si="52"/>
      </c>
      <c r="J449" s="379">
        <f t="shared" si="91"/>
      </c>
      <c r="K449" s="377">
        <v>3</v>
      </c>
      <c r="L449" s="379">
        <f t="shared" si="14"/>
      </c>
      <c r="M449" s="377">
        <v>1</v>
      </c>
      <c r="N449" s="380">
        <f t="shared" si="33"/>
      </c>
      <c r="O449" s="377">
        <v>1</v>
      </c>
      <c r="P449" s="380">
        <f t="shared" si="71"/>
      </c>
      <c r="Q449" s="381"/>
      <c r="R449" s="377"/>
      <c r="S449" s="381"/>
      <c r="T449" s="377"/>
      <c r="U449" s="382"/>
      <c r="V449" s="383"/>
      <c r="W449" s="377"/>
      <c r="X449" s="383"/>
      <c r="Y449" s="381"/>
      <c r="Z449" s="383"/>
      <c r="AA449" s="383"/>
      <c r="AB449" s="377"/>
      <c r="AC449" s="377"/>
      <c r="AD449" s="381"/>
      <c r="AE449" s="383"/>
      <c r="AF449" s="383" t="s">
        <v>1105</v>
      </c>
    </row>
    <row r="450">
      <c r="A450" s="371"/>
      <c r="B450" s="372"/>
      <c r="C450" s="373"/>
      <c r="D450" s="374" t="s">
        <v>1071</v>
      </c>
      <c r="E450" s="377">
        <v>74.34</v>
      </c>
      <c r="F450" s="376"/>
      <c r="G450" s="377">
        <v>92</v>
      </c>
      <c r="H450" s="377">
        <v>13</v>
      </c>
      <c r="I450" s="378">
        <f t="shared" si="52"/>
      </c>
      <c r="J450" s="379">
        <f t="shared" si="91"/>
      </c>
      <c r="K450" s="377">
        <v>1</v>
      </c>
      <c r="L450" s="379">
        <f t="shared" si="14"/>
      </c>
      <c r="M450" s="377">
        <v>0</v>
      </c>
      <c r="N450" s="380">
        <f t="shared" si="33"/>
      </c>
      <c r="O450" s="377">
        <v>0</v>
      </c>
      <c r="P450" s="380">
        <f t="shared" si="71"/>
      </c>
      <c r="Q450" s="381"/>
      <c r="R450" s="377"/>
      <c r="S450" s="381"/>
      <c r="T450" s="377"/>
      <c r="U450" s="382"/>
      <c r="V450" s="383"/>
      <c r="W450" s="377"/>
      <c r="X450" s="383"/>
      <c r="Y450" s="381"/>
      <c r="Z450" s="383"/>
      <c r="AA450" s="383"/>
      <c r="AB450" s="377"/>
      <c r="AC450" s="377"/>
      <c r="AD450" s="381"/>
      <c r="AE450" s="383"/>
      <c r="AF450" s="383"/>
    </row>
    <row r="451">
      <c r="A451" s="371"/>
      <c r="B451" s="372" t="s">
        <v>1077</v>
      </c>
      <c r="C451" s="373" t="s">
        <v>1066</v>
      </c>
      <c r="D451" s="374" t="s">
        <v>1067</v>
      </c>
      <c r="E451" s="375">
        <v>1274.47</v>
      </c>
      <c r="F451" s="376">
        <f>E451+E452+E453</f>
      </c>
      <c r="G451" s="377">
        <v>9942</v>
      </c>
      <c r="H451" s="377">
        <v>163</v>
      </c>
      <c r="I451" s="378">
        <f t="shared" si="52"/>
      </c>
      <c r="J451" s="379">
        <f t="shared" si="91"/>
      </c>
      <c r="K451" s="377">
        <v>6</v>
      </c>
      <c r="L451" s="379">
        <f t="shared" si="14"/>
      </c>
      <c r="M451" s="377">
        <v>0</v>
      </c>
      <c r="N451" s="380">
        <f t="shared" si="33"/>
      </c>
      <c r="O451" s="377">
        <v>1</v>
      </c>
      <c r="P451" s="380">
        <f t="shared" si="71"/>
      </c>
      <c r="Q451" s="381">
        <f>(M451+M453+M452)/(O451+O453+O452)</f>
      </c>
      <c r="R451" s="377">
        <v>3</v>
      </c>
      <c r="S451" s="381">
        <f>(O451+O453)/(K451+K453)</f>
      </c>
      <c r="T451" s="377">
        <v>2</v>
      </c>
      <c r="U451" s="382">
        <f>F451/T451</f>
      </c>
      <c r="V451" s="383">
        <f>(F451+4*500)/T451</f>
      </c>
      <c r="W451" s="377">
        <v>2241.6</v>
      </c>
      <c r="X451" s="383">
        <f>W451/T451</f>
      </c>
      <c r="Y451" s="381">
        <f>T451/R451</f>
      </c>
      <c r="Z451" s="383">
        <f>W451/F451</f>
      </c>
      <c r="AA451" s="383">
        <f>W451/(F451+500)</f>
      </c>
      <c r="AB451" s="377">
        <v>0</v>
      </c>
      <c r="AC451" s="377">
        <v>0</v>
      </c>
      <c r="AD451" s="381">
        <f>AB451/T451</f>
      </c>
      <c r="AE451" s="383">
        <f>(W451-AC451)/(F451+500)</f>
      </c>
      <c r="AF451" s="383" t="s">
        <v>1092</v>
      </c>
    </row>
    <row r="452">
      <c r="A452" s="371"/>
      <c r="B452" s="372"/>
      <c r="C452" s="373"/>
      <c r="D452" s="374" t="s">
        <v>1069</v>
      </c>
      <c r="E452" s="384">
        <v>736.09</v>
      </c>
      <c r="F452" s="376"/>
      <c r="G452" s="377">
        <v>2030</v>
      </c>
      <c r="H452" s="377">
        <v>99</v>
      </c>
      <c r="I452" s="378">
        <f t="shared" si="52"/>
      </c>
      <c r="J452" s="379">
        <f t="shared" si="91"/>
      </c>
      <c r="K452" s="377">
        <v>8</v>
      </c>
      <c r="L452" s="379">
        <f t="shared" si="14"/>
      </c>
      <c r="M452" s="377">
        <v>1</v>
      </c>
      <c r="N452" s="380">
        <f t="shared" si="33"/>
      </c>
      <c r="O452" s="377">
        <v>1</v>
      </c>
      <c r="P452" s="380">
        <f t="shared" si="71"/>
      </c>
      <c r="Q452" s="381"/>
      <c r="R452" s="377"/>
      <c r="S452" s="381"/>
      <c r="T452" s="377"/>
      <c r="U452" s="382"/>
      <c r="V452" s="383"/>
      <c r="W452" s="377"/>
      <c r="X452" s="383"/>
      <c r="Y452" s="381"/>
      <c r="Z452" s="383"/>
      <c r="AA452" s="383"/>
      <c r="AB452" s="377"/>
      <c r="AC452" s="377"/>
      <c r="AD452" s="381"/>
      <c r="AE452" s="383"/>
      <c r="AF452" s="383" t="s">
        <v>1105</v>
      </c>
    </row>
    <row r="453">
      <c r="A453" s="371"/>
      <c r="B453" s="372"/>
      <c r="C453" s="373"/>
      <c r="D453" s="374" t="s">
        <v>1071</v>
      </c>
      <c r="E453" s="377">
        <v>186.71</v>
      </c>
      <c r="F453" s="376"/>
      <c r="G453" s="377">
        <v>65</v>
      </c>
      <c r="H453" s="377">
        <v>4</v>
      </c>
      <c r="I453" s="378">
        <f t="shared" si="52"/>
      </c>
      <c r="J453" s="379">
        <f t="shared" si="91"/>
      </c>
      <c r="K453" s="377">
        <v>3</v>
      </c>
      <c r="L453" s="379">
        <f t="shared" si="14"/>
      </c>
      <c r="M453" s="377">
        <v>1</v>
      </c>
      <c r="N453" s="380">
        <f t="shared" si="33"/>
      </c>
      <c r="O453" s="377">
        <v>1</v>
      </c>
      <c r="P453" s="380">
        <f t="shared" si="71"/>
      </c>
      <c r="Q453" s="381"/>
      <c r="R453" s="377"/>
      <c r="S453" s="381"/>
      <c r="T453" s="377"/>
      <c r="U453" s="382"/>
      <c r="V453" s="383"/>
      <c r="W453" s="377"/>
      <c r="X453" s="383"/>
      <c r="Y453" s="381"/>
      <c r="Z453" s="383"/>
      <c r="AA453" s="383"/>
      <c r="AB453" s="377"/>
      <c r="AC453" s="377"/>
      <c r="AD453" s="381"/>
      <c r="AE453" s="383"/>
      <c r="AF453" s="383"/>
    </row>
    <row r="454">
      <c r="A454" s="371"/>
      <c r="B454" s="385" t="s">
        <v>1078</v>
      </c>
      <c r="C454" s="373" t="s">
        <v>1066</v>
      </c>
      <c r="D454" s="374" t="s">
        <v>1067</v>
      </c>
      <c r="E454" s="375">
        <v>851.22</v>
      </c>
      <c r="F454" s="376">
        <f>E454+E455+E456</f>
      </c>
      <c r="G454" s="377">
        <v>7619</v>
      </c>
      <c r="H454" s="377">
        <v>102</v>
      </c>
      <c r="I454" s="378">
        <f t="shared" si="52"/>
      </c>
      <c r="J454" s="379">
        <f t="shared" si="91"/>
      </c>
      <c r="K454" s="377">
        <v>7</v>
      </c>
      <c r="L454" s="379">
        <f t="shared" si="14"/>
      </c>
      <c r="M454" s="377">
        <v>1</v>
      </c>
      <c r="N454" s="380">
        <f t="shared" si="33"/>
      </c>
      <c r="O454" s="377">
        <v>2</v>
      </c>
      <c r="P454" s="380">
        <f t="shared" si="71"/>
      </c>
      <c r="Q454" s="381">
        <f>(M454+M456+M455)/(O454+O456+O455)</f>
      </c>
      <c r="R454" s="377">
        <v>6</v>
      </c>
      <c r="S454" s="381">
        <f>(O454+O456)/(K454+K456)</f>
      </c>
      <c r="T454" s="377">
        <v>5</v>
      </c>
      <c r="U454" s="382">
        <f>F454/T454</f>
      </c>
      <c r="V454" s="383">
        <f>(F454+4*500)/T454</f>
      </c>
      <c r="W454" s="377">
        <v>4906.8</v>
      </c>
      <c r="X454" s="383">
        <f>W454/T454</f>
      </c>
      <c r="Y454" s="381">
        <f>T454/R454</f>
      </c>
      <c r="Z454" s="383">
        <f>W454/F454</f>
      </c>
      <c r="AA454" s="383">
        <f>W454/(F454+500)</f>
      </c>
      <c r="AB454" s="377">
        <v>1</v>
      </c>
      <c r="AC454" s="377">
        <v>1248</v>
      </c>
      <c r="AD454" s="381">
        <f>AB454/T454</f>
      </c>
      <c r="AE454" s="383">
        <f>(W454-AC454)/(F454+500)</f>
      </c>
      <c r="AF454" s="383" t="s">
        <v>1092</v>
      </c>
    </row>
    <row r="455">
      <c r="A455" s="371"/>
      <c r="B455" s="385"/>
      <c r="C455" s="373"/>
      <c r="D455" s="374" t="s">
        <v>1069</v>
      </c>
      <c r="E455" s="384">
        <v>473.69</v>
      </c>
      <c r="F455" s="376"/>
      <c r="G455" s="377">
        <v>2084</v>
      </c>
      <c r="H455" s="377">
        <v>76</v>
      </c>
      <c r="I455" s="378">
        <f t="shared" si="52"/>
      </c>
      <c r="J455" s="379">
        <f t="shared" si="91"/>
      </c>
      <c r="K455" s="377">
        <v>6</v>
      </c>
      <c r="L455" s="379">
        <f t="shared" si="14"/>
      </c>
      <c r="M455" s="377">
        <v>2</v>
      </c>
      <c r="N455" s="380">
        <f t="shared" si="33"/>
      </c>
      <c r="O455" s="377">
        <v>1</v>
      </c>
      <c r="P455" s="380">
        <f t="shared" si="71"/>
      </c>
      <c r="Q455" s="381"/>
      <c r="R455" s="377"/>
      <c r="S455" s="381"/>
      <c r="T455" s="377"/>
      <c r="U455" s="382"/>
      <c r="V455" s="383"/>
      <c r="W455" s="377"/>
      <c r="X455" s="383"/>
      <c r="Y455" s="381"/>
      <c r="Z455" s="383"/>
      <c r="AA455" s="383"/>
      <c r="AB455" s="377"/>
      <c r="AC455" s="377"/>
      <c r="AD455" s="381"/>
      <c r="AE455" s="383"/>
      <c r="AF455" s="383" t="s">
        <v>1105</v>
      </c>
    </row>
    <row r="456">
      <c r="A456" s="371"/>
      <c r="B456" s="385"/>
      <c r="C456" s="373"/>
      <c r="D456" s="374" t="s">
        <v>1071</v>
      </c>
      <c r="E456" s="377">
        <v>363.6</v>
      </c>
      <c r="F456" s="376"/>
      <c r="G456" s="377">
        <v>113</v>
      </c>
      <c r="H456" s="377">
        <v>10</v>
      </c>
      <c r="I456" s="378">
        <f t="shared" si="52"/>
      </c>
      <c r="J456" s="379">
        <f t="shared" si="91"/>
      </c>
      <c r="K456" s="377">
        <v>4</v>
      </c>
      <c r="L456" s="379">
        <f t="shared" si="14"/>
      </c>
      <c r="M456" s="377">
        <v>1</v>
      </c>
      <c r="N456" s="380">
        <f t="shared" si="33"/>
      </c>
      <c r="O456" s="377">
        <v>1</v>
      </c>
      <c r="P456" s="380">
        <f t="shared" si="71"/>
      </c>
      <c r="Q456" s="381"/>
      <c r="R456" s="377"/>
      <c r="S456" s="381"/>
      <c r="T456" s="377"/>
      <c r="U456" s="382"/>
      <c r="V456" s="383"/>
      <c r="W456" s="377"/>
      <c r="X456" s="383"/>
      <c r="Y456" s="381"/>
      <c r="Z456" s="383"/>
      <c r="AA456" s="383"/>
      <c r="AB456" s="377"/>
      <c r="AC456" s="377"/>
      <c r="AD456" s="381"/>
      <c r="AE456" s="383"/>
      <c r="AF456" s="383"/>
    </row>
    <row r="457">
      <c r="A457" s="371"/>
      <c r="B457" s="372" t="s">
        <v>1079</v>
      </c>
      <c r="C457" s="373" t="s">
        <v>1066</v>
      </c>
      <c r="D457" s="374" t="s">
        <v>1067</v>
      </c>
      <c r="E457" s="375">
        <v>633.39</v>
      </c>
      <c r="F457" s="376">
        <f>E457+E458+E459</f>
      </c>
      <c r="G457" s="377">
        <v>6176</v>
      </c>
      <c r="H457" s="377">
        <v>88</v>
      </c>
      <c r="I457" s="378">
        <f t="shared" si="52"/>
      </c>
      <c r="J457" s="379">
        <f t="shared" si="91"/>
      </c>
      <c r="K457" s="377">
        <v>6</v>
      </c>
      <c r="L457" s="379">
        <f t="shared" si="14"/>
      </c>
      <c r="M457" s="377">
        <v>1</v>
      </c>
      <c r="N457" s="380">
        <f t="shared" si="33"/>
      </c>
      <c r="O457" s="377">
        <v>3</v>
      </c>
      <c r="P457" s="380">
        <f t="shared" si="71"/>
      </c>
      <c r="Q457" s="381">
        <f>(M457+M459+M458)/(O457+O459+O458)</f>
      </c>
      <c r="R457" s="377">
        <v>7</v>
      </c>
      <c r="S457" s="381">
        <f>(O457+O459)/(K457+K459)</f>
      </c>
      <c r="T457" s="377">
        <v>3</v>
      </c>
      <c r="U457" s="382">
        <f>F457/T457</f>
      </c>
      <c r="V457" s="383">
        <f>(F457+4*500)/T457</f>
      </c>
      <c r="W457" s="377">
        <v>2287.2</v>
      </c>
      <c r="X457" s="383">
        <f>W457/T457</f>
      </c>
      <c r="Y457" s="381">
        <f>T457/R457</f>
      </c>
      <c r="Z457" s="383">
        <f>W457/F457</f>
      </c>
      <c r="AA457" s="383">
        <f>W457/(F457+500)</f>
      </c>
      <c r="AB457" s="377">
        <v>1</v>
      </c>
      <c r="AC457" s="377">
        <v>715.2</v>
      </c>
      <c r="AD457" s="381">
        <f>AB457/T457</f>
      </c>
      <c r="AE457" s="383">
        <f>(W457-AC457)/(F457+500)</f>
      </c>
      <c r="AF457" s="383" t="s">
        <v>1092</v>
      </c>
    </row>
    <row r="458">
      <c r="A458" s="371"/>
      <c r="B458" s="372"/>
      <c r="C458" s="373"/>
      <c r="D458" s="374" t="s">
        <v>1069</v>
      </c>
      <c r="E458" s="384">
        <v>613.85</v>
      </c>
      <c r="F458" s="376"/>
      <c r="G458" s="377">
        <v>1665</v>
      </c>
      <c r="H458" s="377">
        <v>63</v>
      </c>
      <c r="I458" s="378">
        <f t="shared" si="52"/>
      </c>
      <c r="J458" s="379">
        <f t="shared" si="91"/>
      </c>
      <c r="K458" s="377">
        <v>9</v>
      </c>
      <c r="L458" s="379">
        <f t="shared" si="14"/>
      </c>
      <c r="M458" s="377">
        <v>1</v>
      </c>
      <c r="N458" s="380">
        <f t="shared" si="33"/>
      </c>
      <c r="O458" s="377">
        <v>2</v>
      </c>
      <c r="P458" s="380">
        <f t="shared" si="71"/>
      </c>
      <c r="Q458" s="381"/>
      <c r="R458" s="377"/>
      <c r="S458" s="381"/>
      <c r="T458" s="377"/>
      <c r="U458" s="382"/>
      <c r="V458" s="383"/>
      <c r="W458" s="377"/>
      <c r="X458" s="383"/>
      <c r="Y458" s="381"/>
      <c r="Z458" s="383"/>
      <c r="AA458" s="383"/>
      <c r="AB458" s="377"/>
      <c r="AC458" s="377"/>
      <c r="AD458" s="381"/>
      <c r="AE458" s="383"/>
      <c r="AF458" s="383" t="s">
        <v>1105</v>
      </c>
    </row>
    <row r="459">
      <c r="A459" s="371"/>
      <c r="B459" s="372"/>
      <c r="C459" s="373"/>
      <c r="D459" s="374" t="s">
        <v>1071</v>
      </c>
      <c r="E459" s="377">
        <v>1227.79</v>
      </c>
      <c r="F459" s="376"/>
      <c r="G459" s="377">
        <v>173</v>
      </c>
      <c r="H459" s="377">
        <v>20</v>
      </c>
      <c r="I459" s="378">
        <f t="shared" si="52"/>
      </c>
      <c r="J459" s="379">
        <f t="shared" si="91"/>
      </c>
      <c r="K459" s="377">
        <v>7</v>
      </c>
      <c r="L459" s="379">
        <f t="shared" si="14"/>
      </c>
      <c r="M459" s="377">
        <v>1</v>
      </c>
      <c r="N459" s="380">
        <f t="shared" si="33"/>
      </c>
      <c r="O459" s="377">
        <v>2</v>
      </c>
      <c r="P459" s="380">
        <f t="shared" si="71"/>
      </c>
      <c r="Q459" s="381"/>
      <c r="R459" s="377"/>
      <c r="S459" s="381"/>
      <c r="T459" s="377"/>
      <c r="U459" s="382"/>
      <c r="V459" s="383"/>
      <c r="W459" s="377"/>
      <c r="X459" s="383"/>
      <c r="Y459" s="381"/>
      <c r="Z459" s="383"/>
      <c r="AA459" s="383"/>
      <c r="AB459" s="377"/>
      <c r="AC459" s="377"/>
      <c r="AD459" s="381"/>
      <c r="AE459" s="383"/>
      <c r="AF459" s="383"/>
    </row>
    <row r="460">
      <c r="A460" s="371"/>
      <c r="B460" s="372" t="s">
        <v>1080</v>
      </c>
      <c r="C460" s="373" t="s">
        <v>1081</v>
      </c>
      <c r="D460" s="374" t="s">
        <v>1067</v>
      </c>
      <c r="E460" s="375">
        <v>648.34</v>
      </c>
      <c r="F460" s="376">
        <f>E460+E461+E462</f>
      </c>
      <c r="G460" s="377">
        <v>7765</v>
      </c>
      <c r="H460" s="377">
        <v>129</v>
      </c>
      <c r="I460" s="378">
        <f t="shared" si="52"/>
      </c>
      <c r="J460" s="379">
        <f t="shared" si="91"/>
      </c>
      <c r="K460" s="377">
        <v>4</v>
      </c>
      <c r="L460" s="379">
        <f t="shared" si="14"/>
      </c>
      <c r="M460" s="377">
        <v>0</v>
      </c>
      <c r="N460" s="380">
        <f t="shared" si="33"/>
      </c>
      <c r="O460" s="377">
        <v>1</v>
      </c>
      <c r="P460" s="380">
        <f t="shared" si="71"/>
      </c>
      <c r="Q460" s="381">
        <f>(M460+M462+M461)/(O460+O462+O461)</f>
      </c>
      <c r="R460" s="377">
        <v>2</v>
      </c>
      <c r="S460" s="381">
        <f>(O460+O462)/(K460+K462)</f>
      </c>
      <c r="T460" s="377">
        <v>0</v>
      </c>
      <c r="U460" s="382">
        <f>F460/T460</f>
      </c>
      <c r="V460" s="383">
        <f>(F460+4*500)/T460</f>
      </c>
      <c r="W460" s="377">
        <v>0</v>
      </c>
      <c r="X460" s="383">
        <f>W460/T460</f>
      </c>
      <c r="Y460" s="381">
        <f>T460/R460</f>
      </c>
      <c r="Z460" s="383">
        <f>W460/F460</f>
      </c>
      <c r="AA460" s="383">
        <f>W460/(F460+500)</f>
      </c>
      <c r="AB460" s="377">
        <v>0</v>
      </c>
      <c r="AC460" s="377">
        <v>0</v>
      </c>
      <c r="AD460" s="381">
        <f>AB460/T460</f>
      </c>
      <c r="AE460" s="383">
        <f>(W460-AC460)/(F460+500)</f>
      </c>
      <c r="AF460" s="383" t="s">
        <v>1092</v>
      </c>
    </row>
    <row r="461">
      <c r="A461" s="371"/>
      <c r="B461" s="372"/>
      <c r="C461" s="373"/>
      <c r="D461" s="374" t="s">
        <v>1069</v>
      </c>
      <c r="E461" s="384">
        <v>541.71</v>
      </c>
      <c r="F461" s="376"/>
      <c r="G461" s="377">
        <v>1847</v>
      </c>
      <c r="H461" s="377">
        <v>44</v>
      </c>
      <c r="I461" s="378">
        <f t="shared" si="52"/>
      </c>
      <c r="J461" s="379">
        <f t="shared" si="91"/>
      </c>
      <c r="K461" s="377">
        <v>5</v>
      </c>
      <c r="L461" s="379">
        <f t="shared" si="14"/>
      </c>
      <c r="M461" s="377">
        <v>0</v>
      </c>
      <c r="N461" s="380">
        <f t="shared" si="33"/>
      </c>
      <c r="O461" s="377">
        <v>0</v>
      </c>
      <c r="P461" s="380">
        <f t="shared" si="71"/>
      </c>
      <c r="Q461" s="381"/>
      <c r="R461" s="377"/>
      <c r="S461" s="381"/>
      <c r="T461" s="377"/>
      <c r="U461" s="382"/>
      <c r="V461" s="383"/>
      <c r="W461" s="377"/>
      <c r="X461" s="383"/>
      <c r="Y461" s="381"/>
      <c r="Z461" s="383"/>
      <c r="AA461" s="383"/>
      <c r="AB461" s="377"/>
      <c r="AC461" s="377"/>
      <c r="AD461" s="381"/>
      <c r="AE461" s="383"/>
      <c r="AF461" s="383" t="s">
        <v>1105</v>
      </c>
    </row>
    <row r="462">
      <c r="A462" s="371"/>
      <c r="B462" s="372"/>
      <c r="C462" s="373"/>
      <c r="D462" s="374" t="s">
        <v>1071</v>
      </c>
      <c r="E462" s="377">
        <v>606.18</v>
      </c>
      <c r="F462" s="376"/>
      <c r="G462" s="377">
        <v>233</v>
      </c>
      <c r="H462" s="377">
        <v>19</v>
      </c>
      <c r="I462" s="378">
        <f t="shared" si="52"/>
      </c>
      <c r="J462" s="379">
        <f t="shared" si="91"/>
      </c>
      <c r="K462" s="377">
        <v>7</v>
      </c>
      <c r="L462" s="379">
        <f t="shared" si="14"/>
      </c>
      <c r="M462" s="377">
        <v>0</v>
      </c>
      <c r="N462" s="380">
        <f t="shared" si="33"/>
      </c>
      <c r="O462" s="377">
        <v>0</v>
      </c>
      <c r="P462" s="380">
        <f t="shared" si="71"/>
      </c>
      <c r="Q462" s="381"/>
      <c r="R462" s="377"/>
      <c r="S462" s="381"/>
      <c r="T462" s="377"/>
      <c r="U462" s="382"/>
      <c r="V462" s="383"/>
      <c r="W462" s="377"/>
      <c r="X462" s="383"/>
      <c r="Y462" s="381"/>
      <c r="Z462" s="383"/>
      <c r="AA462" s="383"/>
      <c r="AB462" s="377"/>
      <c r="AC462" s="377"/>
      <c r="AD462" s="381"/>
      <c r="AE462" s="383"/>
      <c r="AF462" s="383"/>
    </row>
    <row r="463">
      <c r="A463" s="371"/>
      <c r="B463" s="372" t="s">
        <v>1082</v>
      </c>
      <c r="C463" s="373" t="s">
        <v>1081</v>
      </c>
      <c r="D463" s="374" t="s">
        <v>1067</v>
      </c>
      <c r="E463" s="375">
        <v>608.42</v>
      </c>
      <c r="F463" s="376">
        <f>E463+E464+E465</f>
      </c>
      <c r="G463" s="377">
        <v>7470</v>
      </c>
      <c r="H463" s="377">
        <v>127</v>
      </c>
      <c r="I463" s="378">
        <f t="shared" si="52"/>
      </c>
      <c r="J463" s="379">
        <f t="shared" si="91"/>
      </c>
      <c r="K463" s="377">
        <v>4</v>
      </c>
      <c r="L463" s="379">
        <f t="shared" si="14"/>
      </c>
      <c r="M463" s="377">
        <v>0</v>
      </c>
      <c r="N463" s="380">
        <f t="shared" si="33"/>
      </c>
      <c r="O463" s="377">
        <v>1</v>
      </c>
      <c r="P463" s="380">
        <f t="shared" si="71"/>
      </c>
      <c r="Q463" s="381">
        <f>(M463+M465+M464)/(O463+O465+O464)</f>
      </c>
      <c r="R463" s="377">
        <v>5</v>
      </c>
      <c r="S463" s="381">
        <f>(O463+O465)/(K463+K465)</f>
      </c>
      <c r="T463" s="377">
        <v>0</v>
      </c>
      <c r="U463" s="382">
        <f>F463/T463</f>
      </c>
      <c r="V463" s="383">
        <f>(F463+4*500)/T463</f>
      </c>
      <c r="W463" s="377">
        <v>0</v>
      </c>
      <c r="X463" s="383">
        <f>W463/T463</f>
      </c>
      <c r="Y463" s="381">
        <f>T463/R463</f>
      </c>
      <c r="Z463" s="383">
        <f>W463/F463</f>
      </c>
      <c r="AA463" s="383">
        <f>W463/(F463+500)</f>
      </c>
      <c r="AB463" s="377">
        <v>0</v>
      </c>
      <c r="AC463" s="377">
        <v>0</v>
      </c>
      <c r="AD463" s="381">
        <f>AB463/T463</f>
      </c>
      <c r="AE463" s="383">
        <f>(W463-AC463)/(F463+500)</f>
      </c>
      <c r="AF463" s="383" t="s">
        <v>1092</v>
      </c>
    </row>
    <row r="464">
      <c r="A464" s="371"/>
      <c r="B464" s="372"/>
      <c r="C464" s="373"/>
      <c r="D464" s="374" t="s">
        <v>1069</v>
      </c>
      <c r="E464" s="384">
        <v>662.09</v>
      </c>
      <c r="F464" s="376"/>
      <c r="G464" s="377">
        <v>1818</v>
      </c>
      <c r="H464" s="377">
        <v>51</v>
      </c>
      <c r="I464" s="378">
        <f t="shared" si="52"/>
      </c>
      <c r="J464" s="379">
        <f t="shared" si="91"/>
      </c>
      <c r="K464" s="377">
        <v>9</v>
      </c>
      <c r="L464" s="379">
        <f t="shared" si="14"/>
      </c>
      <c r="M464" s="377">
        <v>0</v>
      </c>
      <c r="N464" s="380">
        <f t="shared" si="33"/>
      </c>
      <c r="O464" s="377">
        <v>0</v>
      </c>
      <c r="P464" s="380">
        <f t="shared" si="71"/>
      </c>
      <c r="Q464" s="381"/>
      <c r="R464" s="377"/>
      <c r="S464" s="381"/>
      <c r="T464" s="377"/>
      <c r="U464" s="382"/>
      <c r="V464" s="383"/>
      <c r="W464" s="377"/>
      <c r="X464" s="383"/>
      <c r="Y464" s="381"/>
      <c r="Z464" s="383"/>
      <c r="AA464" s="383"/>
      <c r="AB464" s="377"/>
      <c r="AC464" s="377"/>
      <c r="AD464" s="381"/>
      <c r="AE464" s="383"/>
      <c r="AF464" s="383" t="s">
        <v>1105</v>
      </c>
    </row>
    <row r="465">
      <c r="A465" s="371"/>
      <c r="B465" s="372"/>
      <c r="C465" s="373"/>
      <c r="D465" s="374" t="s">
        <v>1071</v>
      </c>
      <c r="E465" s="377">
        <v>1388.25</v>
      </c>
      <c r="F465" s="376"/>
      <c r="G465" s="377">
        <v>257</v>
      </c>
      <c r="H465" s="377">
        <v>18</v>
      </c>
      <c r="I465" s="378">
        <f t="shared" si="52"/>
      </c>
      <c r="J465" s="379">
        <f t="shared" si="91"/>
      </c>
      <c r="K465" s="377">
        <v>4</v>
      </c>
      <c r="L465" s="379">
        <f t="shared" si="14"/>
      </c>
      <c r="M465" s="377">
        <v>0</v>
      </c>
      <c r="N465" s="380">
        <f t="shared" si="33"/>
      </c>
      <c r="O465" s="377">
        <v>1</v>
      </c>
      <c r="P465" s="380">
        <f t="shared" si="71"/>
      </c>
      <c r="Q465" s="381"/>
      <c r="R465" s="377"/>
      <c r="S465" s="381"/>
      <c r="T465" s="377"/>
      <c r="U465" s="382"/>
      <c r="V465" s="383"/>
      <c r="W465" s="377"/>
      <c r="X465" s="383"/>
      <c r="Y465" s="381"/>
      <c r="Z465" s="383"/>
      <c r="AA465" s="383"/>
      <c r="AB465" s="377"/>
      <c r="AC465" s="377"/>
      <c r="AD465" s="381"/>
      <c r="AE465" s="383"/>
      <c r="AF465" s="383"/>
    </row>
    <row customHeight="true" ht="20.238095238095237" r="466">
      <c r="A466" s="371"/>
      <c r="B466" s="372"/>
      <c r="C466" s="373"/>
      <c r="D466" s="374"/>
      <c r="E466" s="377">
        <f>SUM(E436:E465)</f>
      </c>
      <c r="F466" s="377">
        <f>SUM(F436:F465)</f>
      </c>
      <c r="G466" s="377"/>
      <c r="H466" s="377"/>
      <c r="I466" s="378"/>
      <c r="J466" s="379"/>
      <c r="K466" s="377"/>
      <c r="L466" s="379"/>
      <c r="M466" s="377"/>
      <c r="N466" s="380"/>
      <c r="O466" s="377"/>
      <c r="P466" s="380"/>
      <c r="Q466" s="381"/>
      <c r="R466" s="377"/>
      <c r="S466" s="381"/>
      <c r="T466" s="377">
        <f>SUM(T436:T465)</f>
      </c>
      <c r="U466" s="382"/>
      <c r="V466" s="383"/>
      <c r="W466" s="377">
        <f>SUM(W436:W465)</f>
      </c>
      <c r="X466" s="383"/>
      <c r="Y466" s="381"/>
      <c r="Z466" s="383"/>
      <c r="AA466" s="383"/>
      <c r="AB466" s="377"/>
      <c r="AC466" s="377"/>
      <c r="AD466" s="381"/>
      <c r="AE466" s="383"/>
      <c r="AF466" s="383"/>
    </row>
    <row r="467">
      <c r="A467" s="371" t="s">
        <v>1106</v>
      </c>
      <c r="B467" s="372" t="s">
        <v>1065</v>
      </c>
      <c r="C467" s="373" t="s">
        <v>1090</v>
      </c>
      <c r="D467" s="374" t="s">
        <v>1067</v>
      </c>
      <c r="E467" s="375">
        <v>1061.36</v>
      </c>
      <c r="F467" s="376">
        <f>E467+E468+E469</f>
      </c>
      <c r="G467" s="377">
        <v>6090</v>
      </c>
      <c r="H467" s="377">
        <v>103</v>
      </c>
      <c r="I467" s="378">
        <f t="shared" ref="I467:I496" si="53">H467/G467</f>
      </c>
      <c r="J467" s="379">
        <f t="shared" ref="J467:J496" si="92">(E467/G467)*1000</f>
      </c>
      <c r="K467" s="377">
        <v>13</v>
      </c>
      <c r="L467" s="379">
        <f t="shared" ref="L467:L496" si="15">E467/K467</f>
      </c>
      <c r="M467" s="377">
        <v>0</v>
      </c>
      <c r="N467" s="380">
        <f t="shared" ref="N467:N496" si="34">E467/M467</f>
      </c>
      <c r="O467" s="377">
        <v>3</v>
      </c>
      <c r="P467" s="380">
        <f t="shared" ref="P467:P496" si="72">E467/O467</f>
      </c>
      <c r="Q467" s="381">
        <f>(M467+M469+M468)/(O467+O469+O468)</f>
      </c>
      <c r="R467" s="377">
        <v>4</v>
      </c>
      <c r="S467" s="381">
        <f>(O467+O469)/(K467+K469)</f>
      </c>
      <c r="T467" s="377">
        <v>0</v>
      </c>
      <c r="U467" s="382">
        <f>F467/T467</f>
      </c>
      <c r="V467" s="383">
        <f>(F467+4*500)/T467</f>
      </c>
      <c r="W467" s="377">
        <v>0</v>
      </c>
      <c r="X467" s="383">
        <f>W467/T467</f>
      </c>
      <c r="Y467" s="381">
        <f>T467/R467</f>
      </c>
      <c r="Z467" s="383">
        <f>W467/F467</f>
      </c>
      <c r="AA467" s="383">
        <f>W467/(F467+500)</f>
      </c>
      <c r="AB467" s="377">
        <v>0</v>
      </c>
      <c r="AC467" s="377">
        <v>0</v>
      </c>
      <c r="AD467" s="381">
        <f>AB467/T467</f>
      </c>
      <c r="AE467" s="383">
        <f>(W467-AC467)/(F467+500)</f>
      </c>
      <c r="AF467" s="383" t="s">
        <v>1092</v>
      </c>
    </row>
    <row r="468">
      <c r="A468" s="371"/>
      <c r="B468" s="372"/>
      <c r="C468" s="373"/>
      <c r="D468" s="374" t="s">
        <v>1069</v>
      </c>
      <c r="E468" s="384">
        <v>32.67</v>
      </c>
      <c r="F468" s="376"/>
      <c r="G468" s="377">
        <v>317</v>
      </c>
      <c r="H468" s="377">
        <v>28</v>
      </c>
      <c r="I468" s="378">
        <f t="shared" si="53"/>
      </c>
      <c r="J468" s="379">
        <f t="shared" si="92"/>
      </c>
      <c r="K468" s="377">
        <v>1</v>
      </c>
      <c r="L468" s="379">
        <f t="shared" si="15"/>
      </c>
      <c r="M468" s="377">
        <v>0</v>
      </c>
      <c r="N468" s="380">
        <f t="shared" si="34"/>
      </c>
      <c r="O468" s="377">
        <v>0</v>
      </c>
      <c r="P468" s="380">
        <f t="shared" si="72"/>
      </c>
      <c r="Q468" s="381"/>
      <c r="R468" s="377"/>
      <c r="S468" s="381"/>
      <c r="T468" s="377"/>
      <c r="U468" s="382"/>
      <c r="V468" s="383"/>
      <c r="W468" s="377"/>
      <c r="X468" s="383"/>
      <c r="Y468" s="381"/>
      <c r="Z468" s="383"/>
      <c r="AA468" s="383"/>
      <c r="AB468" s="377"/>
      <c r="AC468" s="377"/>
      <c r="AD468" s="381"/>
      <c r="AE468" s="383"/>
      <c r="AF468" s="383" t="s">
        <v>1105</v>
      </c>
    </row>
    <row r="469">
      <c r="A469" s="371"/>
      <c r="B469" s="372"/>
      <c r="C469" s="373"/>
      <c r="D469" s="374" t="s">
        <v>1071</v>
      </c>
      <c r="E469" s="377">
        <v>48.64</v>
      </c>
      <c r="F469" s="376"/>
      <c r="G469" s="377">
        <v>301</v>
      </c>
      <c r="H469" s="377">
        <v>69</v>
      </c>
      <c r="I469" s="378">
        <f t="shared" si="53"/>
      </c>
      <c r="J469" s="379">
        <f t="shared" si="92"/>
      </c>
      <c r="K469" s="377">
        <v>2</v>
      </c>
      <c r="L469" s="379">
        <f t="shared" si="15"/>
      </c>
      <c r="M469" s="377">
        <v>0</v>
      </c>
      <c r="N469" s="380">
        <f t="shared" si="34"/>
      </c>
      <c r="O469" s="377">
        <v>0</v>
      </c>
      <c r="P469" s="380">
        <f t="shared" si="72"/>
      </c>
      <c r="Q469" s="381"/>
      <c r="R469" s="377"/>
      <c r="S469" s="381"/>
      <c r="T469" s="377"/>
      <c r="U469" s="382"/>
      <c r="V469" s="383"/>
      <c r="W469" s="377"/>
      <c r="X469" s="383"/>
      <c r="Y469" s="381"/>
      <c r="Z469" s="383"/>
      <c r="AA469" s="383"/>
      <c r="AB469" s="377"/>
      <c r="AC469" s="377"/>
      <c r="AD469" s="381"/>
      <c r="AE469" s="383"/>
      <c r="AF469" s="383"/>
    </row>
    <row r="470">
      <c r="A470" s="371"/>
      <c r="B470" s="372" t="s">
        <v>1072</v>
      </c>
      <c r="C470" s="373" t="s">
        <v>1090</v>
      </c>
      <c r="D470" s="374" t="s">
        <v>1067</v>
      </c>
      <c r="E470" s="375">
        <v>930.85</v>
      </c>
      <c r="F470" s="376">
        <f>E470+E471+E472</f>
      </c>
      <c r="G470" s="377">
        <v>5453</v>
      </c>
      <c r="H470" s="377">
        <v>70</v>
      </c>
      <c r="I470" s="378">
        <f t="shared" si="53"/>
      </c>
      <c r="J470" s="379">
        <f t="shared" si="92"/>
      </c>
      <c r="K470" s="377">
        <v>11</v>
      </c>
      <c r="L470" s="379">
        <f t="shared" si="15"/>
      </c>
      <c r="M470" s="377">
        <v>1</v>
      </c>
      <c r="N470" s="380">
        <f t="shared" si="34"/>
      </c>
      <c r="O470" s="377">
        <v>2</v>
      </c>
      <c r="P470" s="380">
        <f t="shared" si="72"/>
      </c>
      <c r="Q470" s="381">
        <f>(M470+M472+M471)/(O470+O472+O471)</f>
      </c>
      <c r="R470" s="377">
        <v>3</v>
      </c>
      <c r="S470" s="381">
        <f>(O470+O472)/(K470+K472)</f>
      </c>
      <c r="T470" s="377">
        <v>2</v>
      </c>
      <c r="U470" s="382">
        <f>F470/T470</f>
      </c>
      <c r="V470" s="383">
        <f>(F470+4*500)/T470</f>
      </c>
      <c r="W470" s="377">
        <v>3638.4</v>
      </c>
      <c r="X470" s="383">
        <f>W470/T470</f>
      </c>
      <c r="Y470" s="381">
        <f>T470/R470</f>
      </c>
      <c r="Z470" s="383">
        <f>W470/F470</f>
      </c>
      <c r="AA470" s="383">
        <f>W470/(F470+500)</f>
      </c>
      <c r="AB470" s="377">
        <v>0</v>
      </c>
      <c r="AC470" s="377">
        <v>0</v>
      </c>
      <c r="AD470" s="381">
        <f>AB470/T470</f>
      </c>
      <c r="AE470" s="383">
        <f>(W470-AC470)/(F470+500)</f>
      </c>
      <c r="AF470" s="383" t="s">
        <v>1092</v>
      </c>
    </row>
    <row r="471">
      <c r="A471" s="371"/>
      <c r="B471" s="372"/>
      <c r="C471" s="373"/>
      <c r="D471" s="374" t="s">
        <v>1069</v>
      </c>
      <c r="E471" s="384">
        <v>165.72</v>
      </c>
      <c r="F471" s="376"/>
      <c r="G471" s="377">
        <v>355</v>
      </c>
      <c r="H471" s="377">
        <v>31</v>
      </c>
      <c r="I471" s="378">
        <f t="shared" si="53"/>
      </c>
      <c r="J471" s="379">
        <f t="shared" si="92"/>
      </c>
      <c r="K471" s="377">
        <v>4</v>
      </c>
      <c r="L471" s="379">
        <f t="shared" si="15"/>
      </c>
      <c r="M471" s="377">
        <v>0</v>
      </c>
      <c r="N471" s="380">
        <f t="shared" si="34"/>
      </c>
      <c r="O471" s="377">
        <v>0</v>
      </c>
      <c r="P471" s="380">
        <f t="shared" si="72"/>
      </c>
      <c r="Q471" s="381"/>
      <c r="R471" s="377"/>
      <c r="S471" s="381"/>
      <c r="T471" s="377"/>
      <c r="U471" s="382"/>
      <c r="V471" s="383"/>
      <c r="W471" s="377"/>
      <c r="X471" s="383"/>
      <c r="Y471" s="381"/>
      <c r="Z471" s="383"/>
      <c r="AA471" s="383"/>
      <c r="AB471" s="377"/>
      <c r="AC471" s="377"/>
      <c r="AD471" s="381"/>
      <c r="AE471" s="383"/>
      <c r="AF471" s="383" t="s">
        <v>1105</v>
      </c>
    </row>
    <row r="472">
      <c r="A472" s="371"/>
      <c r="B472" s="372"/>
      <c r="C472" s="373"/>
      <c r="D472" s="374" t="s">
        <v>1071</v>
      </c>
      <c r="E472" s="377">
        <v>92.78</v>
      </c>
      <c r="F472" s="376"/>
      <c r="G472" s="377">
        <v>343</v>
      </c>
      <c r="H472" s="377">
        <v>42</v>
      </c>
      <c r="I472" s="378">
        <f t="shared" si="53"/>
      </c>
      <c r="J472" s="379">
        <f t="shared" si="92"/>
      </c>
      <c r="K472" s="377">
        <v>0</v>
      </c>
      <c r="L472" s="379">
        <f t="shared" si="15"/>
      </c>
      <c r="M472" s="377">
        <v>0</v>
      </c>
      <c r="N472" s="380">
        <f t="shared" si="34"/>
      </c>
      <c r="O472" s="377">
        <v>0</v>
      </c>
      <c r="P472" s="380">
        <f t="shared" si="72"/>
      </c>
      <c r="Q472" s="381"/>
      <c r="R472" s="377"/>
      <c r="S472" s="381"/>
      <c r="T472" s="377"/>
      <c r="U472" s="382"/>
      <c r="V472" s="383"/>
      <c r="W472" s="377"/>
      <c r="X472" s="383"/>
      <c r="Y472" s="381"/>
      <c r="Z472" s="383"/>
      <c r="AA472" s="383"/>
      <c r="AB472" s="377"/>
      <c r="AC472" s="377"/>
      <c r="AD472" s="381"/>
      <c r="AE472" s="383"/>
      <c r="AF472" s="383"/>
    </row>
    <row r="473">
      <c r="A473" s="371"/>
      <c r="B473" s="372" t="s">
        <v>1073</v>
      </c>
      <c r="C473" s="373" t="s">
        <v>1090</v>
      </c>
      <c r="D473" s="374" t="s">
        <v>1067</v>
      </c>
      <c r="E473" s="375">
        <v>1025.61</v>
      </c>
      <c r="F473" s="376">
        <f>E473+E474+E475</f>
      </c>
      <c r="G473" s="377">
        <v>5818</v>
      </c>
      <c r="H473" s="377">
        <v>78</v>
      </c>
      <c r="I473" s="378">
        <f t="shared" si="53"/>
      </c>
      <c r="J473" s="379">
        <f t="shared" si="92"/>
      </c>
      <c r="K473" s="377">
        <v>12</v>
      </c>
      <c r="L473" s="379">
        <f t="shared" si="15"/>
      </c>
      <c r="M473" s="377">
        <v>1</v>
      </c>
      <c r="N473" s="380">
        <f t="shared" si="34"/>
      </c>
      <c r="O473" s="377">
        <v>6</v>
      </c>
      <c r="P473" s="380">
        <f t="shared" si="72"/>
      </c>
      <c r="Q473" s="381">
        <f>(M473+M475+M474)/(O473+O475+O474)</f>
      </c>
      <c r="R473" s="377">
        <v>7</v>
      </c>
      <c r="S473" s="381">
        <f>(O473+O475)/(K473+K475)</f>
      </c>
      <c r="T473" s="377">
        <v>1</v>
      </c>
      <c r="U473" s="382">
        <f>F473/T473</f>
      </c>
      <c r="V473" s="383">
        <f>(F473+4*500)/T473</f>
      </c>
      <c r="W473" s="377">
        <v>2971.2</v>
      </c>
      <c r="X473" s="383">
        <f>W473/T473</f>
      </c>
      <c r="Y473" s="381">
        <f>T473/R473</f>
      </c>
      <c r="Z473" s="383">
        <f>W473/F473</f>
      </c>
      <c r="AA473" s="383">
        <f>W473/(F473+500)</f>
      </c>
      <c r="AB473" s="377">
        <v>1</v>
      </c>
      <c r="AC473" s="377">
        <v>2971.2</v>
      </c>
      <c r="AD473" s="381">
        <f>AB473/T473</f>
      </c>
      <c r="AE473" s="383">
        <f>(W473-AC473)/(F473+500)</f>
      </c>
      <c r="AF473" s="383" t="s">
        <v>1092</v>
      </c>
    </row>
    <row r="474">
      <c r="A474" s="371"/>
      <c r="B474" s="372"/>
      <c r="C474" s="373"/>
      <c r="D474" s="374" t="s">
        <v>1069</v>
      </c>
      <c r="E474" s="384">
        <v>141.06</v>
      </c>
      <c r="F474" s="376"/>
      <c r="G474" s="377">
        <v>257</v>
      </c>
      <c r="H474" s="377">
        <v>19</v>
      </c>
      <c r="I474" s="378">
        <f t="shared" si="53"/>
      </c>
      <c r="J474" s="379">
        <f t="shared" si="92"/>
      </c>
      <c r="K474" s="377">
        <v>1</v>
      </c>
      <c r="L474" s="379">
        <f t="shared" si="15"/>
      </c>
      <c r="M474" s="377">
        <v>0</v>
      </c>
      <c r="N474" s="380">
        <f t="shared" si="34"/>
      </c>
      <c r="O474" s="377">
        <v>0</v>
      </c>
      <c r="P474" s="380">
        <f t="shared" si="72"/>
      </c>
      <c r="Q474" s="381"/>
      <c r="R474" s="377"/>
      <c r="S474" s="381"/>
      <c r="T474" s="377"/>
      <c r="U474" s="382"/>
      <c r="V474" s="383"/>
      <c r="W474" s="377"/>
      <c r="X474" s="383"/>
      <c r="Y474" s="381"/>
      <c r="Z474" s="383"/>
      <c r="AA474" s="383"/>
      <c r="AB474" s="377"/>
      <c r="AC474" s="377"/>
      <c r="AD474" s="381"/>
      <c r="AE474" s="383"/>
      <c r="AF474" s="383" t="s">
        <v>1105</v>
      </c>
    </row>
    <row r="475">
      <c r="A475" s="371"/>
      <c r="B475" s="372"/>
      <c r="C475" s="373"/>
      <c r="D475" s="374" t="s">
        <v>1071</v>
      </c>
      <c r="E475" s="377">
        <v>287.97</v>
      </c>
      <c r="F475" s="376"/>
      <c r="G475" s="377">
        <v>443</v>
      </c>
      <c r="H475" s="377">
        <v>39</v>
      </c>
      <c r="I475" s="378">
        <f t="shared" si="53"/>
      </c>
      <c r="J475" s="379">
        <f t="shared" si="92"/>
      </c>
      <c r="K475" s="377">
        <v>2</v>
      </c>
      <c r="L475" s="379">
        <f t="shared" si="15"/>
      </c>
      <c r="M475" s="377">
        <v>0</v>
      </c>
      <c r="N475" s="380">
        <f t="shared" si="34"/>
      </c>
      <c r="O475" s="377">
        <v>0</v>
      </c>
      <c r="P475" s="380">
        <f t="shared" si="72"/>
      </c>
      <c r="Q475" s="381"/>
      <c r="R475" s="377"/>
      <c r="S475" s="381"/>
      <c r="T475" s="377"/>
      <c r="U475" s="382"/>
      <c r="V475" s="383"/>
      <c r="W475" s="377"/>
      <c r="X475" s="383"/>
      <c r="Y475" s="381"/>
      <c r="Z475" s="383"/>
      <c r="AA475" s="383"/>
      <c r="AB475" s="377"/>
      <c r="AC475" s="377"/>
      <c r="AD475" s="381"/>
      <c r="AE475" s="383"/>
      <c r="AF475" s="383"/>
    </row>
    <row r="476">
      <c r="A476" s="371"/>
      <c r="B476" s="372" t="s">
        <v>1074</v>
      </c>
      <c r="C476" s="373" t="s">
        <v>1090</v>
      </c>
      <c r="D476" s="374" t="s">
        <v>1067</v>
      </c>
      <c r="E476" s="375">
        <v>1157.15</v>
      </c>
      <c r="F476" s="376">
        <f>E476+E477+E478</f>
      </c>
      <c r="G476" s="377">
        <v>6656</v>
      </c>
      <c r="H476" s="377">
        <v>97</v>
      </c>
      <c r="I476" s="378">
        <f t="shared" si="53"/>
      </c>
      <c r="J476" s="379">
        <f t="shared" si="92"/>
      </c>
      <c r="K476" s="377">
        <v>14</v>
      </c>
      <c r="L476" s="379">
        <f t="shared" si="15"/>
      </c>
      <c r="M476" s="377">
        <v>1</v>
      </c>
      <c r="N476" s="380">
        <f t="shared" si="34"/>
      </c>
      <c r="O476" s="377">
        <v>1</v>
      </c>
      <c r="P476" s="380">
        <f t="shared" si="72"/>
      </c>
      <c r="Q476" s="381">
        <f>(M476+M478+M477)/(O476+O478+O477)</f>
      </c>
      <c r="R476" s="377">
        <v>4</v>
      </c>
      <c r="S476" s="381">
        <f>(O476+O478)/(K476+K478)</f>
      </c>
      <c r="T476" s="377">
        <v>1</v>
      </c>
      <c r="U476" s="382">
        <f>F476/T476</f>
      </c>
      <c r="V476" s="383">
        <f>(F476+4*500)/T476</f>
      </c>
      <c r="W476" s="377">
        <v>799.2</v>
      </c>
      <c r="X476" s="383">
        <f>W476/T476</f>
      </c>
      <c r="Y476" s="381">
        <f>T476/R476</f>
      </c>
      <c r="Z476" s="383">
        <f>W476/F476</f>
      </c>
      <c r="AA476" s="383">
        <f>W476/(F476+500)</f>
      </c>
      <c r="AB476" s="377">
        <v>0</v>
      </c>
      <c r="AC476" s="377">
        <v>0</v>
      </c>
      <c r="AD476" s="381">
        <f>AB476/T476</f>
      </c>
      <c r="AE476" s="383">
        <f>(W476-AC476)/(F476+500)</f>
      </c>
      <c r="AF476" s="383" t="s">
        <v>1092</v>
      </c>
    </row>
    <row r="477">
      <c r="A477" s="371"/>
      <c r="B477" s="372"/>
      <c r="C477" s="373"/>
      <c r="D477" s="374" t="s">
        <v>1069</v>
      </c>
      <c r="E477" s="384">
        <v>181.81</v>
      </c>
      <c r="F477" s="376"/>
      <c r="G477" s="377">
        <v>402</v>
      </c>
      <c r="H477" s="377">
        <v>22</v>
      </c>
      <c r="I477" s="378">
        <f t="shared" si="53"/>
      </c>
      <c r="J477" s="379">
        <f t="shared" si="92"/>
      </c>
      <c r="K477" s="377">
        <v>2</v>
      </c>
      <c r="L477" s="379">
        <f t="shared" si="15"/>
      </c>
      <c r="M477" s="377">
        <v>0</v>
      </c>
      <c r="N477" s="380">
        <f t="shared" si="34"/>
      </c>
      <c r="O477" s="377">
        <v>0</v>
      </c>
      <c r="P477" s="380">
        <f t="shared" si="72"/>
      </c>
      <c r="Q477" s="381"/>
      <c r="R477" s="377"/>
      <c r="S477" s="381"/>
      <c r="T477" s="377"/>
      <c r="U477" s="382"/>
      <c r="V477" s="383"/>
      <c r="W477" s="377"/>
      <c r="X477" s="383"/>
      <c r="Y477" s="381"/>
      <c r="Z477" s="383"/>
      <c r="AA477" s="383"/>
      <c r="AB477" s="377"/>
      <c r="AC477" s="377"/>
      <c r="AD477" s="381"/>
      <c r="AE477" s="383"/>
      <c r="AF477" s="383" t="s">
        <v>1105</v>
      </c>
    </row>
    <row r="478">
      <c r="A478" s="371"/>
      <c r="B478" s="372"/>
      <c r="C478" s="373"/>
      <c r="D478" s="374" t="s">
        <v>1071</v>
      </c>
      <c r="E478" s="377">
        <v>424.79</v>
      </c>
      <c r="F478" s="376"/>
      <c r="G478" s="377">
        <v>251</v>
      </c>
      <c r="H478" s="377">
        <v>32</v>
      </c>
      <c r="I478" s="378">
        <f t="shared" si="53"/>
      </c>
      <c r="J478" s="379">
        <f t="shared" si="92"/>
      </c>
      <c r="K478" s="377">
        <v>3</v>
      </c>
      <c r="L478" s="379">
        <f t="shared" si="15"/>
      </c>
      <c r="M478" s="377">
        <v>0</v>
      </c>
      <c r="N478" s="380">
        <f t="shared" si="34"/>
      </c>
      <c r="O478" s="377">
        <v>1</v>
      </c>
      <c r="P478" s="380">
        <f t="shared" si="72"/>
      </c>
      <c r="Q478" s="381"/>
      <c r="R478" s="377"/>
      <c r="S478" s="381"/>
      <c r="T478" s="377"/>
      <c r="U478" s="382"/>
      <c r="V478" s="383"/>
      <c r="W478" s="377"/>
      <c r="X478" s="383"/>
      <c r="Y478" s="381"/>
      <c r="Z478" s="383"/>
      <c r="AA478" s="383"/>
      <c r="AB478" s="377"/>
      <c r="AC478" s="377"/>
      <c r="AD478" s="381"/>
      <c r="AE478" s="383"/>
      <c r="AF478" s="383"/>
    </row>
    <row r="479">
      <c r="A479" s="371"/>
      <c r="B479" s="372" t="s">
        <v>1075</v>
      </c>
      <c r="C479" s="373" t="s">
        <v>1066</v>
      </c>
      <c r="D479" s="374" t="s">
        <v>1067</v>
      </c>
      <c r="E479" s="375">
        <v>1239.16</v>
      </c>
      <c r="F479" s="376">
        <f>E479+E480+E481</f>
      </c>
      <c r="G479" s="377">
        <v>6238</v>
      </c>
      <c r="H479" s="377">
        <v>126</v>
      </c>
      <c r="I479" s="378">
        <f t="shared" si="53"/>
      </c>
      <c r="J479" s="379">
        <f t="shared" si="92"/>
      </c>
      <c r="K479" s="377">
        <v>9</v>
      </c>
      <c r="L479" s="379">
        <f t="shared" si="15"/>
      </c>
      <c r="M479" s="377">
        <v>0</v>
      </c>
      <c r="N479" s="380">
        <f t="shared" si="34"/>
      </c>
      <c r="O479" s="377">
        <v>1</v>
      </c>
      <c r="P479" s="380">
        <f t="shared" si="72"/>
      </c>
      <c r="Q479" s="381">
        <f>(M479+M481+M480)/(O479+O481+O480)</f>
      </c>
      <c r="R479" s="377">
        <v>4</v>
      </c>
      <c r="S479" s="381">
        <f>(O479+O481)/(K479+K481)</f>
      </c>
      <c r="T479" s="377">
        <v>1</v>
      </c>
      <c r="U479" s="382">
        <f>F479/T479</f>
      </c>
      <c r="V479" s="383">
        <f>(F479+4*500)/T479</f>
      </c>
      <c r="W479" s="377">
        <v>1404</v>
      </c>
      <c r="X479" s="383">
        <f>W479/T479</f>
      </c>
      <c r="Y479" s="381">
        <f>T479/R479</f>
      </c>
      <c r="Z479" s="383">
        <f>W479/F479</f>
      </c>
      <c r="AA479" s="383">
        <f>W479/(F479+500)</f>
      </c>
      <c r="AB479" s="377">
        <v>0</v>
      </c>
      <c r="AC479" s="377">
        <v>0</v>
      </c>
      <c r="AD479" s="381">
        <f>AB479/T479</f>
      </c>
      <c r="AE479" s="383">
        <f>(W479-AC479)/(F479+500)</f>
      </c>
      <c r="AF479" s="383" t="s">
        <v>1092</v>
      </c>
    </row>
    <row r="480">
      <c r="A480" s="371"/>
      <c r="B480" s="372"/>
      <c r="C480" s="373"/>
      <c r="D480" s="374" t="s">
        <v>1069</v>
      </c>
      <c r="E480" s="384">
        <v>377.08</v>
      </c>
      <c r="F480" s="376"/>
      <c r="G480" s="377">
        <v>303</v>
      </c>
      <c r="H480" s="377">
        <v>15</v>
      </c>
      <c r="I480" s="378">
        <f t="shared" si="53"/>
      </c>
      <c r="J480" s="379">
        <f t="shared" si="92"/>
      </c>
      <c r="K480" s="377">
        <v>2</v>
      </c>
      <c r="L480" s="379">
        <f t="shared" si="15"/>
      </c>
      <c r="M480" s="377">
        <v>0</v>
      </c>
      <c r="N480" s="380">
        <f t="shared" si="34"/>
      </c>
      <c r="O480" s="377">
        <v>0</v>
      </c>
      <c r="P480" s="380">
        <f t="shared" si="72"/>
      </c>
      <c r="Q480" s="381"/>
      <c r="R480" s="377"/>
      <c r="S480" s="381"/>
      <c r="T480" s="377"/>
      <c r="U480" s="382"/>
      <c r="V480" s="383"/>
      <c r="W480" s="377"/>
      <c r="X480" s="383"/>
      <c r="Y480" s="381"/>
      <c r="Z480" s="383"/>
      <c r="AA480" s="383"/>
      <c r="AB480" s="377"/>
      <c r="AC480" s="377"/>
      <c r="AD480" s="381"/>
      <c r="AE480" s="383"/>
      <c r="AF480" s="383" t="s">
        <v>1105</v>
      </c>
    </row>
    <row r="481">
      <c r="A481" s="371"/>
      <c r="B481" s="372"/>
      <c r="C481" s="373"/>
      <c r="D481" s="374" t="s">
        <v>1071</v>
      </c>
      <c r="E481" s="377">
        <v>79.7</v>
      </c>
      <c r="F481" s="376"/>
      <c r="G481" s="377">
        <v>177</v>
      </c>
      <c r="H481" s="377">
        <v>8</v>
      </c>
      <c r="I481" s="378">
        <f t="shared" si="53"/>
      </c>
      <c r="J481" s="379">
        <f t="shared" si="92"/>
      </c>
      <c r="K481" s="377">
        <v>0</v>
      </c>
      <c r="L481" s="379">
        <f t="shared" si="15"/>
      </c>
      <c r="M481" s="377">
        <v>1</v>
      </c>
      <c r="N481" s="380">
        <f t="shared" si="34"/>
      </c>
      <c r="O481" s="377">
        <v>2</v>
      </c>
      <c r="P481" s="380">
        <f t="shared" si="72"/>
      </c>
      <c r="Q481" s="381"/>
      <c r="R481" s="377"/>
      <c r="S481" s="381"/>
      <c r="T481" s="377"/>
      <c r="U481" s="382"/>
      <c r="V481" s="383"/>
      <c r="W481" s="377"/>
      <c r="X481" s="383"/>
      <c r="Y481" s="381"/>
      <c r="Z481" s="383"/>
      <c r="AA481" s="383"/>
      <c r="AB481" s="377"/>
      <c r="AC481" s="377"/>
      <c r="AD481" s="381"/>
      <c r="AE481" s="383"/>
      <c r="AF481" s="383"/>
    </row>
    <row r="482">
      <c r="A482" s="371"/>
      <c r="B482" s="372" t="s">
        <v>1077</v>
      </c>
      <c r="C482" s="373" t="s">
        <v>1066</v>
      </c>
      <c r="D482" s="374" t="s">
        <v>1067</v>
      </c>
      <c r="E482" s="375">
        <v>800.58</v>
      </c>
      <c r="F482" s="376">
        <f>E482+E483+E484</f>
      </c>
      <c r="G482" s="377">
        <v>4521</v>
      </c>
      <c r="H482" s="377">
        <v>96</v>
      </c>
      <c r="I482" s="378">
        <f t="shared" si="53"/>
      </c>
      <c r="J482" s="379">
        <f t="shared" si="92"/>
      </c>
      <c r="K482" s="377">
        <v>6</v>
      </c>
      <c r="L482" s="379">
        <f t="shared" si="15"/>
      </c>
      <c r="M482" s="377">
        <v>0</v>
      </c>
      <c r="N482" s="380">
        <f t="shared" si="34"/>
      </c>
      <c r="O482" s="377">
        <v>1</v>
      </c>
      <c r="P482" s="380">
        <f t="shared" si="72"/>
      </c>
      <c r="Q482" s="381">
        <f>(M482+M484+M483)/(O482+O484+O483)</f>
      </c>
      <c r="R482" s="377">
        <v>1</v>
      </c>
      <c r="S482" s="381">
        <f>(O482+O484)/(K482+K484)</f>
      </c>
      <c r="T482" s="377">
        <v>0</v>
      </c>
      <c r="U482" s="382">
        <f>F482/T482</f>
      </c>
      <c r="V482" s="383">
        <f>(F482+4*500)/T482</f>
      </c>
      <c r="W482" s="377">
        <v>0</v>
      </c>
      <c r="X482" s="383">
        <f>W482/T482</f>
      </c>
      <c r="Y482" s="381">
        <f>T482/R482</f>
      </c>
      <c r="Z482" s="383">
        <f>W482/F482</f>
      </c>
      <c r="AA482" s="383">
        <f>W482/(F482+500)</f>
      </c>
      <c r="AB482" s="377">
        <v>0</v>
      </c>
      <c r="AC482" s="377">
        <v>0</v>
      </c>
      <c r="AD482" s="381">
        <f>AB482/T482</f>
      </c>
      <c r="AE482" s="383">
        <f>(W482-AC482)/(F482+500)</f>
      </c>
      <c r="AF482" s="383" t="s">
        <v>1092</v>
      </c>
    </row>
    <row r="483">
      <c r="A483" s="371"/>
      <c r="B483" s="372"/>
      <c r="C483" s="373"/>
      <c r="D483" s="374" t="s">
        <v>1069</v>
      </c>
      <c r="E483" s="384">
        <v>162.26</v>
      </c>
      <c r="F483" s="376"/>
      <c r="G483" s="377">
        <v>237</v>
      </c>
      <c r="H483" s="377">
        <v>15</v>
      </c>
      <c r="I483" s="378">
        <f t="shared" si="53"/>
      </c>
      <c r="J483" s="379">
        <f t="shared" si="92"/>
      </c>
      <c r="K483" s="377">
        <v>1</v>
      </c>
      <c r="L483" s="379">
        <f t="shared" si="15"/>
      </c>
      <c r="M483" s="377">
        <v>0</v>
      </c>
      <c r="N483" s="380">
        <f t="shared" si="34"/>
      </c>
      <c r="O483" s="377">
        <v>0</v>
      </c>
      <c r="P483" s="380">
        <f t="shared" si="72"/>
      </c>
      <c r="Q483" s="381"/>
      <c r="R483" s="377"/>
      <c r="S483" s="381"/>
      <c r="T483" s="377"/>
      <c r="U483" s="382"/>
      <c r="V483" s="383"/>
      <c r="W483" s="377"/>
      <c r="X483" s="383"/>
      <c r="Y483" s="381"/>
      <c r="Z483" s="383"/>
      <c r="AA483" s="383"/>
      <c r="AB483" s="377"/>
      <c r="AC483" s="377"/>
      <c r="AD483" s="381"/>
      <c r="AE483" s="383"/>
      <c r="AF483" s="383" t="s">
        <v>1105</v>
      </c>
    </row>
    <row r="484">
      <c r="A484" s="371"/>
      <c r="B484" s="372"/>
      <c r="C484" s="373"/>
      <c r="D484" s="374" t="s">
        <v>1071</v>
      </c>
      <c r="E484" s="377">
        <v>324.34</v>
      </c>
      <c r="F484" s="376"/>
      <c r="G484" s="377">
        <v>190</v>
      </c>
      <c r="H484" s="377">
        <v>10</v>
      </c>
      <c r="I484" s="378">
        <f t="shared" si="53"/>
      </c>
      <c r="J484" s="379">
        <f t="shared" si="92"/>
      </c>
      <c r="K484" s="377">
        <v>3</v>
      </c>
      <c r="L484" s="379">
        <f t="shared" si="15"/>
      </c>
      <c r="M484" s="377">
        <v>0</v>
      </c>
      <c r="N484" s="380">
        <f t="shared" si="34"/>
      </c>
      <c r="O484" s="377">
        <v>0</v>
      </c>
      <c r="P484" s="380">
        <f t="shared" si="72"/>
      </c>
      <c r="Q484" s="381"/>
      <c r="R484" s="377"/>
      <c r="S484" s="381"/>
      <c r="T484" s="377"/>
      <c r="U484" s="382"/>
      <c r="V484" s="383"/>
      <c r="W484" s="377"/>
      <c r="X484" s="383"/>
      <c r="Y484" s="381"/>
      <c r="Z484" s="383"/>
      <c r="AA484" s="383"/>
      <c r="AB484" s="377"/>
      <c r="AC484" s="377"/>
      <c r="AD484" s="381"/>
      <c r="AE484" s="383"/>
      <c r="AF484" s="383"/>
    </row>
    <row r="485">
      <c r="A485" s="371"/>
      <c r="B485" s="385" t="s">
        <v>1078</v>
      </c>
      <c r="C485" s="373" t="s">
        <v>1066</v>
      </c>
      <c r="D485" s="374" t="s">
        <v>1067</v>
      </c>
      <c r="E485" s="375">
        <v>701.02</v>
      </c>
      <c r="F485" s="376">
        <f>E485+E486+E487</f>
      </c>
      <c r="G485" s="377">
        <v>4228</v>
      </c>
      <c r="H485" s="377">
        <v>75</v>
      </c>
      <c r="I485" s="378">
        <f t="shared" si="53"/>
      </c>
      <c r="J485" s="379">
        <f t="shared" si="92"/>
      </c>
      <c r="K485" s="377">
        <v>10</v>
      </c>
      <c r="L485" s="379">
        <f t="shared" si="15"/>
      </c>
      <c r="M485" s="377">
        <v>1</v>
      </c>
      <c r="N485" s="380">
        <f t="shared" si="34"/>
      </c>
      <c r="O485" s="377">
        <v>1</v>
      </c>
      <c r="P485" s="380">
        <f t="shared" si="72"/>
      </c>
      <c r="Q485" s="381">
        <f>(M485+M487+M486)/(O485+O487+O486)</f>
      </c>
      <c r="R485" s="377">
        <v>2</v>
      </c>
      <c r="S485" s="381">
        <f>(O485+O487)/(K485+K487)</f>
      </c>
      <c r="T485" s="377">
        <v>2</v>
      </c>
      <c r="U485" s="382">
        <f>F485/T485</f>
      </c>
      <c r="V485" s="383">
        <f>(F485+4*500)/T485</f>
      </c>
      <c r="W485" s="377">
        <v>3446.4</v>
      </c>
      <c r="X485" s="383">
        <f>W485/T485</f>
      </c>
      <c r="Y485" s="381">
        <f>T485/R485</f>
      </c>
      <c r="Z485" s="383">
        <f>W485/F485</f>
      </c>
      <c r="AA485" s="383">
        <f>W485/(F485+500)</f>
      </c>
      <c r="AB485" s="377">
        <v>1</v>
      </c>
      <c r="AC485" s="377">
        <v>1723.2</v>
      </c>
      <c r="AD485" s="381">
        <f>AB485/T485</f>
      </c>
      <c r="AE485" s="383">
        <f>(W485-AC485)/(F485+500)</f>
      </c>
      <c r="AF485" s="383" t="s">
        <v>1092</v>
      </c>
    </row>
    <row r="486">
      <c r="A486" s="371"/>
      <c r="B486" s="385"/>
      <c r="C486" s="373"/>
      <c r="D486" s="374" t="s">
        <v>1069</v>
      </c>
      <c r="E486" s="384">
        <v>302.35</v>
      </c>
      <c r="F486" s="376"/>
      <c r="G486" s="377">
        <v>283</v>
      </c>
      <c r="H486" s="377">
        <v>17</v>
      </c>
      <c r="I486" s="378">
        <f t="shared" si="53"/>
      </c>
      <c r="J486" s="379">
        <f t="shared" si="92"/>
      </c>
      <c r="K486" s="377">
        <v>3</v>
      </c>
      <c r="L486" s="379">
        <f t="shared" si="15"/>
      </c>
      <c r="M486" s="377">
        <v>1</v>
      </c>
      <c r="N486" s="380">
        <f t="shared" si="34"/>
      </c>
      <c r="O486" s="377">
        <v>1</v>
      </c>
      <c r="P486" s="380">
        <f t="shared" si="72"/>
      </c>
      <c r="Q486" s="381"/>
      <c r="R486" s="377"/>
      <c r="S486" s="381"/>
      <c r="T486" s="377"/>
      <c r="U486" s="382"/>
      <c r="V486" s="383"/>
      <c r="W486" s="377"/>
      <c r="X486" s="383"/>
      <c r="Y486" s="381"/>
      <c r="Z486" s="383"/>
      <c r="AA486" s="383"/>
      <c r="AB486" s="377"/>
      <c r="AC486" s="377"/>
      <c r="AD486" s="381"/>
      <c r="AE486" s="383"/>
      <c r="AF486" s="383" t="s">
        <v>1105</v>
      </c>
    </row>
    <row r="487">
      <c r="A487" s="371"/>
      <c r="B487" s="385"/>
      <c r="C487" s="373"/>
      <c r="D487" s="374" t="s">
        <v>1071</v>
      </c>
      <c r="E487" s="377">
        <v>8.67</v>
      </c>
      <c r="F487" s="376"/>
      <c r="G487" s="377">
        <v>47</v>
      </c>
      <c r="H487" s="377">
        <v>0</v>
      </c>
      <c r="I487" s="378">
        <f t="shared" si="53"/>
      </c>
      <c r="J487" s="379">
        <f t="shared" si="92"/>
      </c>
      <c r="K487" s="377">
        <v>0</v>
      </c>
      <c r="L487" s="379">
        <f t="shared" si="15"/>
      </c>
      <c r="M487" s="377">
        <v>0</v>
      </c>
      <c r="N487" s="380">
        <f t="shared" si="34"/>
      </c>
      <c r="O487" s="377">
        <v>0</v>
      </c>
      <c r="P487" s="380">
        <f t="shared" si="72"/>
      </c>
      <c r="Q487" s="381"/>
      <c r="R487" s="377"/>
      <c r="S487" s="381"/>
      <c r="T487" s="377"/>
      <c r="U487" s="382"/>
      <c r="V487" s="383"/>
      <c r="W487" s="377"/>
      <c r="X487" s="383"/>
      <c r="Y487" s="381"/>
      <c r="Z487" s="383"/>
      <c r="AA487" s="383"/>
      <c r="AB487" s="377"/>
      <c r="AC487" s="377"/>
      <c r="AD487" s="381"/>
      <c r="AE487" s="383"/>
      <c r="AF487" s="383"/>
    </row>
    <row r="488">
      <c r="A488" s="371"/>
      <c r="B488" s="372" t="s">
        <v>1079</v>
      </c>
      <c r="C488" s="373" t="s">
        <v>1066</v>
      </c>
      <c r="D488" s="374" t="s">
        <v>1067</v>
      </c>
      <c r="E488" s="375">
        <v>1046.86</v>
      </c>
      <c r="F488" s="376">
        <f>E488+E489+E490</f>
      </c>
      <c r="G488" s="377">
        <v>6277</v>
      </c>
      <c r="H488" s="377">
        <v>74</v>
      </c>
      <c r="I488" s="378">
        <f t="shared" si="53"/>
      </c>
      <c r="J488" s="379">
        <f t="shared" si="92"/>
      </c>
      <c r="K488" s="377">
        <v>9</v>
      </c>
      <c r="L488" s="379">
        <f t="shared" si="15"/>
      </c>
      <c r="M488" s="377">
        <v>0</v>
      </c>
      <c r="N488" s="380">
        <f t="shared" si="34"/>
      </c>
      <c r="O488" s="377">
        <v>0</v>
      </c>
      <c r="P488" s="380">
        <f t="shared" si="72"/>
      </c>
      <c r="Q488" s="381">
        <f>(M488+M490+M489)/(O488+O490+O489)</f>
      </c>
      <c r="R488" s="377">
        <v>0</v>
      </c>
      <c r="S488" s="381">
        <f>(O488+O490)/(K488+K490)</f>
      </c>
      <c r="T488" s="377">
        <v>0</v>
      </c>
      <c r="U488" s="382">
        <f>F488/T488</f>
      </c>
      <c r="V488" s="383">
        <f>(F488+4*500)/T488</f>
      </c>
      <c r="W488" s="377">
        <v>0</v>
      </c>
      <c r="X488" s="383">
        <f>W488/T488</f>
      </c>
      <c r="Y488" s="381">
        <f>T488/R488</f>
      </c>
      <c r="Z488" s="383">
        <f>W488/F488</f>
      </c>
      <c r="AA488" s="383">
        <f>W488/(F488+500)</f>
      </c>
      <c r="AB488" s="377">
        <v>0</v>
      </c>
      <c r="AC488" s="377">
        <v>0</v>
      </c>
      <c r="AD488" s="381">
        <f>AB488/T488</f>
      </c>
      <c r="AE488" s="383">
        <f>(W488-AC488)/(F488+500)</f>
      </c>
      <c r="AF488" s="383" t="s">
        <v>1092</v>
      </c>
    </row>
    <row r="489">
      <c r="A489" s="371"/>
      <c r="B489" s="372"/>
      <c r="C489" s="373"/>
      <c r="D489" s="374" t="s">
        <v>1069</v>
      </c>
      <c r="E489" s="384">
        <v>84.1</v>
      </c>
      <c r="F489" s="376"/>
      <c r="G489" s="377">
        <v>229</v>
      </c>
      <c r="H489" s="377">
        <v>20</v>
      </c>
      <c r="I489" s="378">
        <f t="shared" si="53"/>
      </c>
      <c r="J489" s="379">
        <f t="shared" si="92"/>
      </c>
      <c r="K489" s="377">
        <v>3</v>
      </c>
      <c r="L489" s="379">
        <f t="shared" si="15"/>
      </c>
      <c r="M489" s="377">
        <v>0</v>
      </c>
      <c r="N489" s="380">
        <f t="shared" si="34"/>
      </c>
      <c r="O489" s="377">
        <v>0</v>
      </c>
      <c r="P489" s="380">
        <f t="shared" si="72"/>
      </c>
      <c r="Q489" s="381"/>
      <c r="R489" s="377"/>
      <c r="S489" s="381"/>
      <c r="T489" s="377"/>
      <c r="U489" s="382"/>
      <c r="V489" s="383"/>
      <c r="W489" s="377"/>
      <c r="X489" s="383"/>
      <c r="Y489" s="381"/>
      <c r="Z489" s="383"/>
      <c r="AA489" s="383"/>
      <c r="AB489" s="377"/>
      <c r="AC489" s="377"/>
      <c r="AD489" s="381"/>
      <c r="AE489" s="383"/>
      <c r="AF489" s="383" t="s">
        <v>1105</v>
      </c>
    </row>
    <row r="490">
      <c r="A490" s="371"/>
      <c r="B490" s="372"/>
      <c r="C490" s="373"/>
      <c r="D490" s="374" t="s">
        <v>1071</v>
      </c>
      <c r="E490" s="377">
        <v>4.71</v>
      </c>
      <c r="F490" s="376"/>
      <c r="G490" s="377">
        <v>30</v>
      </c>
      <c r="H490" s="377">
        <v>0</v>
      </c>
      <c r="I490" s="378">
        <f t="shared" si="53"/>
      </c>
      <c r="J490" s="379">
        <f t="shared" si="92"/>
      </c>
      <c r="K490" s="377">
        <v>0</v>
      </c>
      <c r="L490" s="379">
        <f t="shared" si="15"/>
      </c>
      <c r="M490" s="377">
        <v>0</v>
      </c>
      <c r="N490" s="380">
        <f t="shared" si="34"/>
      </c>
      <c r="O490" s="377">
        <v>0</v>
      </c>
      <c r="P490" s="380">
        <f t="shared" si="72"/>
      </c>
      <c r="Q490" s="381"/>
      <c r="R490" s="377"/>
      <c r="S490" s="381"/>
      <c r="T490" s="377"/>
      <c r="U490" s="382"/>
      <c r="V490" s="383"/>
      <c r="W490" s="377"/>
      <c r="X490" s="383"/>
      <c r="Y490" s="381"/>
      <c r="Z490" s="383"/>
      <c r="AA490" s="383"/>
      <c r="AB490" s="377"/>
      <c r="AC490" s="377"/>
      <c r="AD490" s="381"/>
      <c r="AE490" s="383"/>
      <c r="AF490" s="383"/>
    </row>
    <row r="491">
      <c r="A491" s="371"/>
      <c r="B491" s="372" t="s">
        <v>1080</v>
      </c>
      <c r="C491" s="373" t="s">
        <v>1081</v>
      </c>
      <c r="D491" s="374" t="s">
        <v>1067</v>
      </c>
      <c r="E491" s="375">
        <v>511.12</v>
      </c>
      <c r="F491" s="376">
        <f>E491+E492+E493</f>
      </c>
      <c r="G491" s="377">
        <v>3445</v>
      </c>
      <c r="H491" s="377">
        <v>48</v>
      </c>
      <c r="I491" s="378">
        <f t="shared" si="53"/>
      </c>
      <c r="J491" s="379">
        <f t="shared" si="92"/>
      </c>
      <c r="K491" s="377">
        <v>7</v>
      </c>
      <c r="L491" s="379">
        <f t="shared" si="15"/>
      </c>
      <c r="M491" s="377">
        <v>0</v>
      </c>
      <c r="N491" s="380">
        <f t="shared" si="34"/>
      </c>
      <c r="O491" s="377">
        <v>1</v>
      </c>
      <c r="P491" s="380">
        <f t="shared" si="72"/>
      </c>
      <c r="Q491" s="381">
        <f>(M491+M493+M492)/(O491+O493+O492)</f>
      </c>
      <c r="R491" s="377">
        <v>1</v>
      </c>
      <c r="S491" s="381">
        <f>(O491+O493)/(K491+K493)</f>
      </c>
      <c r="T491" s="377">
        <v>0</v>
      </c>
      <c r="U491" s="382">
        <f>F491/T491</f>
      </c>
      <c r="V491" s="383">
        <f>(F491+4*500)/T491</f>
      </c>
      <c r="W491" s="377">
        <v>0</v>
      </c>
      <c r="X491" s="383">
        <f>W491/T491</f>
      </c>
      <c r="Y491" s="381">
        <f>T491/R491</f>
      </c>
      <c r="Z491" s="383">
        <f>W491/F491</f>
      </c>
      <c r="AA491" s="383">
        <f>W491/(F491+500)</f>
      </c>
      <c r="AB491" s="377">
        <v>0</v>
      </c>
      <c r="AC491" s="377">
        <v>0</v>
      </c>
      <c r="AD491" s="381">
        <f>AB491/T491</f>
      </c>
      <c r="AE491" s="383">
        <f>(W491-AC491)/(F491+500)</f>
      </c>
      <c r="AF491" s="383" t="s">
        <v>1092</v>
      </c>
    </row>
    <row r="492">
      <c r="A492" s="371"/>
      <c r="B492" s="372"/>
      <c r="C492" s="373"/>
      <c r="D492" s="374" t="s">
        <v>1069</v>
      </c>
      <c r="E492" s="384">
        <v>97.9</v>
      </c>
      <c r="F492" s="376"/>
      <c r="G492" s="377">
        <v>292</v>
      </c>
      <c r="H492" s="377">
        <v>10</v>
      </c>
      <c r="I492" s="378">
        <f t="shared" si="53"/>
      </c>
      <c r="J492" s="379">
        <f t="shared" si="92"/>
      </c>
      <c r="K492" s="377">
        <v>0</v>
      </c>
      <c r="L492" s="379">
        <f t="shared" si="15"/>
      </c>
      <c r="M492" s="377">
        <v>0</v>
      </c>
      <c r="N492" s="380">
        <f t="shared" si="34"/>
      </c>
      <c r="O492" s="377">
        <v>0</v>
      </c>
      <c r="P492" s="380">
        <f t="shared" si="72"/>
      </c>
      <c r="Q492" s="381"/>
      <c r="R492" s="377"/>
      <c r="S492" s="381"/>
      <c r="T492" s="377"/>
      <c r="U492" s="382"/>
      <c r="V492" s="383"/>
      <c r="W492" s="377"/>
      <c r="X492" s="383"/>
      <c r="Y492" s="381"/>
      <c r="Z492" s="383"/>
      <c r="AA492" s="383"/>
      <c r="AB492" s="377"/>
      <c r="AC492" s="377"/>
      <c r="AD492" s="381"/>
      <c r="AE492" s="383"/>
      <c r="AF492" s="383" t="s">
        <v>1105</v>
      </c>
    </row>
    <row r="493">
      <c r="A493" s="371"/>
      <c r="B493" s="372"/>
      <c r="C493" s="373"/>
      <c r="D493" s="374" t="s">
        <v>1071</v>
      </c>
      <c r="E493" s="377">
        <v>9.85</v>
      </c>
      <c r="F493" s="376"/>
      <c r="G493" s="377">
        <v>38</v>
      </c>
      <c r="H493" s="377">
        <v>4</v>
      </c>
      <c r="I493" s="378">
        <f t="shared" si="53"/>
      </c>
      <c r="J493" s="379">
        <f t="shared" si="92"/>
      </c>
      <c r="K493" s="377">
        <v>0</v>
      </c>
      <c r="L493" s="379">
        <f t="shared" si="15"/>
      </c>
      <c r="M493" s="377">
        <v>0</v>
      </c>
      <c r="N493" s="380">
        <f t="shared" si="34"/>
      </c>
      <c r="O493" s="377">
        <v>0</v>
      </c>
      <c r="P493" s="380">
        <f t="shared" si="72"/>
      </c>
      <c r="Q493" s="381"/>
      <c r="R493" s="377"/>
      <c r="S493" s="381"/>
      <c r="T493" s="377"/>
      <c r="U493" s="382"/>
      <c r="V493" s="383"/>
      <c r="W493" s="377"/>
      <c r="X493" s="383"/>
      <c r="Y493" s="381"/>
      <c r="Z493" s="383"/>
      <c r="AA493" s="383"/>
      <c r="AB493" s="377"/>
      <c r="AC493" s="377"/>
      <c r="AD493" s="381"/>
      <c r="AE493" s="383"/>
      <c r="AF493" s="383"/>
    </row>
    <row r="494">
      <c r="A494" s="371"/>
      <c r="B494" s="372" t="s">
        <v>1082</v>
      </c>
      <c r="C494" s="373" t="s">
        <v>1081</v>
      </c>
      <c r="D494" s="374" t="s">
        <v>1067</v>
      </c>
      <c r="E494" s="375">
        <v>745.74</v>
      </c>
      <c r="F494" s="376">
        <f>E494+E495+E496</f>
      </c>
      <c r="G494" s="377">
        <v>5839</v>
      </c>
      <c r="H494" s="377">
        <v>54</v>
      </c>
      <c r="I494" s="378">
        <f t="shared" si="53"/>
      </c>
      <c r="J494" s="379">
        <f t="shared" si="92"/>
      </c>
      <c r="K494" s="377">
        <v>10</v>
      </c>
      <c r="L494" s="379">
        <f t="shared" si="15"/>
      </c>
      <c r="M494" s="377">
        <v>1</v>
      </c>
      <c r="N494" s="380">
        <f t="shared" si="34"/>
      </c>
      <c r="O494" s="377">
        <v>2</v>
      </c>
      <c r="P494" s="380">
        <f t="shared" si="72"/>
      </c>
      <c r="Q494" s="381">
        <f>(M494+M496+M495)/(O494+O496+O495)</f>
      </c>
      <c r="R494" s="377">
        <v>3</v>
      </c>
      <c r="S494" s="381">
        <f>(O494+O496)/(K494+K496)</f>
      </c>
      <c r="T494" s="377">
        <v>1</v>
      </c>
      <c r="U494" s="382">
        <f>F494/T494</f>
      </c>
      <c r="V494" s="383">
        <f>(F494+4*500)/T494</f>
      </c>
      <c r="W494" s="377">
        <v>384</v>
      </c>
      <c r="X494" s="383">
        <f>W494/T494</f>
      </c>
      <c r="Y494" s="381">
        <f>T494/R494</f>
      </c>
      <c r="Z494" s="383">
        <f>W494/F494</f>
      </c>
      <c r="AA494" s="383">
        <f>W494/(F494+500)</f>
      </c>
      <c r="AB494" s="377">
        <v>0</v>
      </c>
      <c r="AC494" s="377">
        <v>0</v>
      </c>
      <c r="AD494" s="381">
        <f>AB494/T494</f>
      </c>
      <c r="AE494" s="383">
        <f>(W494-AC494)/(F494+500)</f>
      </c>
      <c r="AF494" s="383" t="s">
        <v>1092</v>
      </c>
    </row>
    <row r="495">
      <c r="A495" s="371"/>
      <c r="B495" s="372"/>
      <c r="C495" s="373"/>
      <c r="D495" s="374" t="s">
        <v>1069</v>
      </c>
      <c r="E495" s="384">
        <v>71.85</v>
      </c>
      <c r="F495" s="376"/>
      <c r="G495" s="377">
        <v>312</v>
      </c>
      <c r="H495" s="377">
        <v>15</v>
      </c>
      <c r="I495" s="378">
        <f t="shared" si="53"/>
      </c>
      <c r="J495" s="379">
        <f t="shared" si="92"/>
      </c>
      <c r="K495" s="377">
        <v>0</v>
      </c>
      <c r="L495" s="379">
        <f t="shared" si="15"/>
      </c>
      <c r="M495" s="377">
        <v>0</v>
      </c>
      <c r="N495" s="380">
        <f t="shared" si="34"/>
      </c>
      <c r="O495" s="377">
        <v>0</v>
      </c>
      <c r="P495" s="380">
        <f t="shared" si="72"/>
      </c>
      <c r="Q495" s="381"/>
      <c r="R495" s="377"/>
      <c r="S495" s="381"/>
      <c r="T495" s="377"/>
      <c r="U495" s="382"/>
      <c r="V495" s="383"/>
      <c r="W495" s="377"/>
      <c r="X495" s="383"/>
      <c r="Y495" s="381"/>
      <c r="Z495" s="383"/>
      <c r="AA495" s="383"/>
      <c r="AB495" s="377"/>
      <c r="AC495" s="377"/>
      <c r="AD495" s="381"/>
      <c r="AE495" s="383"/>
      <c r="AF495" s="383" t="s">
        <v>1105</v>
      </c>
    </row>
    <row r="496">
      <c r="A496" s="371"/>
      <c r="B496" s="372"/>
      <c r="C496" s="373"/>
      <c r="D496" s="374" t="s">
        <v>1071</v>
      </c>
      <c r="E496" s="377">
        <v>88.44</v>
      </c>
      <c r="F496" s="376"/>
      <c r="G496" s="377">
        <v>832</v>
      </c>
      <c r="H496" s="377">
        <v>24</v>
      </c>
      <c r="I496" s="378">
        <f t="shared" si="53"/>
      </c>
      <c r="J496" s="379">
        <f t="shared" si="92"/>
      </c>
      <c r="K496" s="377">
        <v>0</v>
      </c>
      <c r="L496" s="379">
        <f t="shared" si="15"/>
      </c>
      <c r="M496" s="377">
        <v>0</v>
      </c>
      <c r="N496" s="380">
        <f t="shared" si="34"/>
      </c>
      <c r="O496" s="377">
        <v>0</v>
      </c>
      <c r="P496" s="380">
        <f t="shared" si="72"/>
      </c>
      <c r="Q496" s="381"/>
      <c r="R496" s="377"/>
      <c r="S496" s="381"/>
      <c r="T496" s="377"/>
      <c r="U496" s="382"/>
      <c r="V496" s="383"/>
      <c r="W496" s="377"/>
      <c r="X496" s="383"/>
      <c r="Y496" s="381"/>
      <c r="Z496" s="383"/>
      <c r="AA496" s="383"/>
      <c r="AB496" s="377"/>
      <c r="AC496" s="377"/>
      <c r="AD496" s="381"/>
      <c r="AE496" s="383"/>
      <c r="AF496" s="383"/>
    </row>
    <row customHeight="true" ht="20.238095238095237" r="497">
      <c r="A497" s="371"/>
      <c r="B497" s="372"/>
      <c r="C497" s="373"/>
      <c r="D497" s="374"/>
      <c r="E497" s="377">
        <f>SUM(E467:E496)</f>
      </c>
      <c r="F497" s="377">
        <f>SUM(F467:F496)</f>
      </c>
      <c r="G497" s="377"/>
      <c r="H497" s="377"/>
      <c r="I497" s="378"/>
      <c r="J497" s="379"/>
      <c r="K497" s="377"/>
      <c r="L497" s="379"/>
      <c r="M497" s="377"/>
      <c r="N497" s="380"/>
      <c r="O497" s="377"/>
      <c r="P497" s="380"/>
      <c r="Q497" s="381"/>
      <c r="R497" s="377"/>
      <c r="S497" s="381"/>
      <c r="T497" s="377">
        <f>SUM(T467:T496)</f>
      </c>
      <c r="U497" s="382"/>
      <c r="V497" s="383"/>
      <c r="W497" s="377">
        <f>SUM(W467:W496)</f>
      </c>
      <c r="X497" s="383"/>
      <c r="Y497" s="381"/>
      <c r="Z497" s="383"/>
      <c r="AA497" s="383"/>
      <c r="AB497" s="377"/>
      <c r="AC497" s="377"/>
      <c r="AD497" s="381"/>
      <c r="AE497" s="383"/>
      <c r="AF497" s="383"/>
    </row>
    <row r="498">
      <c r="A498" s="371" t="s">
        <v>1107</v>
      </c>
      <c r="B498" s="372" t="s">
        <v>1065</v>
      </c>
      <c r="C498" s="373" t="s">
        <v>1066</v>
      </c>
      <c r="D498" s="374" t="s">
        <v>1067</v>
      </c>
      <c r="E498" s="386">
        <v>991.15</v>
      </c>
      <c r="F498" s="387">
        <f>E498+E499+E500</f>
      </c>
      <c r="G498" s="388">
        <v>7019</v>
      </c>
      <c r="H498" s="388">
        <v>129</v>
      </c>
      <c r="I498" s="378">
        <f t="shared" ref="I498:I527" si="54">H498/G498</f>
      </c>
      <c r="J498" s="379">
        <f t="shared" ref="J498:J527" si="93">(E498/G498)*1000</f>
      </c>
      <c r="K498" s="388">
        <v>9</v>
      </c>
      <c r="L498" s="379">
        <f t="shared" ref="L498:L527" si="16">E498/K498</f>
      </c>
      <c r="M498" s="388">
        <v>2</v>
      </c>
      <c r="N498" s="380">
        <f t="shared" ref="N498:N527" si="35">E498/M498</f>
      </c>
      <c r="O498" s="388">
        <v>2</v>
      </c>
      <c r="P498" s="380">
        <f t="shared" ref="P498:P527" si="73">E498/O498</f>
      </c>
      <c r="Q498" s="381">
        <f>(M498+M500+M499)/(O498+O500+O499)</f>
      </c>
      <c r="R498" s="388">
        <v>3</v>
      </c>
      <c r="S498" s="381">
        <f>(O498+O500)/(K498+K500)</f>
      </c>
      <c r="T498" s="389">
        <v>4</v>
      </c>
      <c r="U498" s="382">
        <f>F498/T498</f>
      </c>
      <c r="V498" s="383">
        <f>(F498+4*500)/T498</f>
      </c>
      <c r="W498" s="388">
        <v>2664</v>
      </c>
      <c r="X498" s="383">
        <f>W498/T498</f>
      </c>
      <c r="Y498" s="381">
        <f>T498/R498</f>
      </c>
      <c r="Z498" s="383">
        <f>W498/F498</f>
      </c>
      <c r="AA498" s="383">
        <f>W498/(F498+500)</f>
      </c>
      <c r="AB498" s="388">
        <v>1</v>
      </c>
      <c r="AC498" s="388">
        <v>879.6</v>
      </c>
      <c r="AD498" s="381">
        <f>AB498/T498</f>
      </c>
      <c r="AE498" s="383">
        <f>(W498-AC498)/(F498+500)</f>
      </c>
      <c r="AF498" s="383" t="s">
        <v>1092</v>
      </c>
    </row>
    <row r="499">
      <c r="A499" s="371"/>
      <c r="B499" s="372"/>
      <c r="C499" s="373"/>
      <c r="D499" s="374" t="s">
        <v>1069</v>
      </c>
      <c r="E499" s="390">
        <v>24.71</v>
      </c>
      <c r="F499" s="387"/>
      <c r="G499" s="388">
        <v>231</v>
      </c>
      <c r="H499" s="388">
        <v>9</v>
      </c>
      <c r="I499" s="378">
        <f t="shared" si="54"/>
      </c>
      <c r="J499" s="379">
        <f t="shared" si="93"/>
      </c>
      <c r="K499" s="388">
        <v>0</v>
      </c>
      <c r="L499" s="379">
        <f t="shared" si="16"/>
      </c>
      <c r="M499" s="388">
        <v>0</v>
      </c>
      <c r="N499" s="380">
        <f t="shared" si="35"/>
      </c>
      <c r="O499" s="388">
        <v>0</v>
      </c>
      <c r="P499" s="380">
        <f t="shared" si="73"/>
      </c>
      <c r="Q499" s="381"/>
      <c r="R499" s="388"/>
      <c r="S499" s="381"/>
      <c r="T499" s="389"/>
      <c r="U499" s="382"/>
      <c r="V499" s="383"/>
      <c r="W499" s="388"/>
      <c r="X499" s="383"/>
      <c r="Y499" s="381"/>
      <c r="Z499" s="383"/>
      <c r="AA499" s="383"/>
      <c r="AB499" s="388"/>
      <c r="AC499" s="388"/>
      <c r="AD499" s="381"/>
      <c r="AE499" s="383"/>
      <c r="AF499" s="383" t="s">
        <v>1100</v>
      </c>
    </row>
    <row r="500">
      <c r="A500" s="371"/>
      <c r="B500" s="372"/>
      <c r="C500" s="373"/>
      <c r="D500" s="374" t="s">
        <v>1071</v>
      </c>
      <c r="E500" s="388">
        <v>107.17</v>
      </c>
      <c r="F500" s="387"/>
      <c r="G500" s="388">
        <v>941</v>
      </c>
      <c r="H500" s="388">
        <v>161</v>
      </c>
      <c r="I500" s="378">
        <f t="shared" si="54"/>
      </c>
      <c r="J500" s="379">
        <f t="shared" si="93"/>
      </c>
      <c r="K500" s="388">
        <v>2</v>
      </c>
      <c r="L500" s="379">
        <f t="shared" si="16"/>
      </c>
      <c r="M500" s="388">
        <v>0</v>
      </c>
      <c r="N500" s="380">
        <f t="shared" si="35"/>
      </c>
      <c r="O500" s="388">
        <v>0</v>
      </c>
      <c r="P500" s="380">
        <f t="shared" si="73"/>
      </c>
      <c r="Q500" s="381"/>
      <c r="R500" s="388"/>
      <c r="S500" s="381"/>
      <c r="T500" s="389"/>
      <c r="U500" s="382"/>
      <c r="V500" s="383"/>
      <c r="W500" s="388"/>
      <c r="X500" s="383"/>
      <c r="Y500" s="381"/>
      <c r="Z500" s="383"/>
      <c r="AA500" s="383"/>
      <c r="AB500" s="388"/>
      <c r="AC500" s="388"/>
      <c r="AD500" s="381"/>
      <c r="AE500" s="383"/>
      <c r="AF500" s="383"/>
    </row>
    <row r="501">
      <c r="A501" s="371"/>
      <c r="B501" s="372" t="s">
        <v>1072</v>
      </c>
      <c r="C501" s="373" t="s">
        <v>1066</v>
      </c>
      <c r="D501" s="374" t="s">
        <v>1067</v>
      </c>
      <c r="E501" s="386">
        <v>2490.86</v>
      </c>
      <c r="F501" s="387">
        <f>E501+E502+E503</f>
      </c>
      <c r="G501" s="388">
        <v>22400</v>
      </c>
      <c r="H501" s="388">
        <v>361</v>
      </c>
      <c r="I501" s="378">
        <f t="shared" si="54"/>
      </c>
      <c r="J501" s="379">
        <f t="shared" si="93"/>
      </c>
      <c r="K501" s="388">
        <v>21</v>
      </c>
      <c r="L501" s="379">
        <f t="shared" si="16"/>
      </c>
      <c r="M501" s="388">
        <v>3</v>
      </c>
      <c r="N501" s="380">
        <f t="shared" si="35"/>
      </c>
      <c r="O501" s="388">
        <v>7</v>
      </c>
      <c r="P501" s="380">
        <f t="shared" si="73"/>
      </c>
      <c r="Q501" s="381">
        <f>(M501+M503+M502)/(O501+O503+O502)</f>
      </c>
      <c r="R501" s="388">
        <v>11</v>
      </c>
      <c r="S501" s="381">
        <f>(O501+O503)/(K501+K503)</f>
      </c>
      <c r="T501" s="388">
        <v>5</v>
      </c>
      <c r="U501" s="382">
        <f>F501/T501</f>
      </c>
      <c r="V501" s="383">
        <f>(F501+4*500)/T501</f>
      </c>
      <c r="W501" s="388">
        <v>4917.6</v>
      </c>
      <c r="X501" s="383">
        <f>W501/T501</f>
      </c>
      <c r="Y501" s="381">
        <f>T501/R501</f>
      </c>
      <c r="Z501" s="383">
        <f>W501/F501</f>
      </c>
      <c r="AA501" s="383">
        <f>W501/(F501+500)</f>
      </c>
      <c r="AB501" s="388">
        <v>1</v>
      </c>
      <c r="AC501" s="388">
        <v>1752</v>
      </c>
      <c r="AD501" s="381">
        <f>AB501/T501</f>
      </c>
      <c r="AE501" s="383">
        <f>(W501-AC501)/(F501+500)</f>
      </c>
      <c r="AF501" s="383" t="s">
        <v>1092</v>
      </c>
    </row>
    <row r="502">
      <c r="A502" s="371"/>
      <c r="B502" s="372"/>
      <c r="C502" s="373"/>
      <c r="D502" s="374" t="s">
        <v>1069</v>
      </c>
      <c r="E502" s="390">
        <v>34.1</v>
      </c>
      <c r="F502" s="387"/>
      <c r="G502" s="388">
        <v>237</v>
      </c>
      <c r="H502" s="388">
        <v>17</v>
      </c>
      <c r="I502" s="378">
        <f t="shared" si="54"/>
      </c>
      <c r="J502" s="379">
        <f t="shared" si="93"/>
      </c>
      <c r="K502" s="388">
        <v>0</v>
      </c>
      <c r="L502" s="379">
        <f t="shared" si="16"/>
      </c>
      <c r="M502" s="388">
        <v>0</v>
      </c>
      <c r="N502" s="380">
        <f t="shared" si="35"/>
      </c>
      <c r="O502" s="388">
        <v>0</v>
      </c>
      <c r="P502" s="380">
        <f t="shared" si="73"/>
      </c>
      <c r="Q502" s="381"/>
      <c r="R502" s="388"/>
      <c r="S502" s="381"/>
      <c r="T502" s="388"/>
      <c r="U502" s="382"/>
      <c r="V502" s="383"/>
      <c r="W502" s="388"/>
      <c r="X502" s="383"/>
      <c r="Y502" s="381"/>
      <c r="Z502" s="383"/>
      <c r="AA502" s="383"/>
      <c r="AB502" s="388"/>
      <c r="AC502" s="388"/>
      <c r="AD502" s="381"/>
      <c r="AE502" s="383"/>
      <c r="AF502" s="383" t="s">
        <v>1100</v>
      </c>
    </row>
    <row r="503">
      <c r="A503" s="371"/>
      <c r="B503" s="372"/>
      <c r="C503" s="373"/>
      <c r="D503" s="374" t="s">
        <v>1071</v>
      </c>
      <c r="E503" s="388">
        <v>162.61</v>
      </c>
      <c r="F503" s="387"/>
      <c r="G503" s="388">
        <v>1039</v>
      </c>
      <c r="H503" s="388">
        <v>103</v>
      </c>
      <c r="I503" s="378">
        <f t="shared" si="54"/>
      </c>
      <c r="J503" s="379">
        <f t="shared" si="93"/>
      </c>
      <c r="K503" s="388">
        <v>3</v>
      </c>
      <c r="L503" s="379">
        <f t="shared" si="16"/>
      </c>
      <c r="M503" s="388">
        <v>0</v>
      </c>
      <c r="N503" s="380">
        <f t="shared" si="35"/>
      </c>
      <c r="O503" s="388">
        <v>0</v>
      </c>
      <c r="P503" s="380">
        <f t="shared" si="73"/>
      </c>
      <c r="Q503" s="381"/>
      <c r="R503" s="388"/>
      <c r="S503" s="381"/>
      <c r="T503" s="388"/>
      <c r="U503" s="382"/>
      <c r="V503" s="383"/>
      <c r="W503" s="388"/>
      <c r="X503" s="383"/>
      <c r="Y503" s="381"/>
      <c r="Z503" s="383"/>
      <c r="AA503" s="383"/>
      <c r="AB503" s="388"/>
      <c r="AC503" s="388"/>
      <c r="AD503" s="381"/>
      <c r="AE503" s="383"/>
      <c r="AF503" s="383"/>
    </row>
    <row r="504">
      <c r="A504" s="371"/>
      <c r="B504" s="372" t="s">
        <v>1073</v>
      </c>
      <c r="C504" s="373" t="s">
        <v>1066</v>
      </c>
      <c r="D504" s="374" t="s">
        <v>1067</v>
      </c>
      <c r="E504" s="386">
        <v>2223.49</v>
      </c>
      <c r="F504" s="387">
        <f>E504+E505+E506</f>
      </c>
      <c r="G504" s="388">
        <v>21548</v>
      </c>
      <c r="H504" s="388">
        <v>299</v>
      </c>
      <c r="I504" s="378">
        <f t="shared" si="54"/>
      </c>
      <c r="J504" s="379">
        <f t="shared" si="93"/>
      </c>
      <c r="K504" s="388">
        <v>10</v>
      </c>
      <c r="L504" s="379">
        <f t="shared" si="16"/>
      </c>
      <c r="M504" s="388">
        <v>0</v>
      </c>
      <c r="N504" s="380">
        <f t="shared" si="35"/>
      </c>
      <c r="O504" s="388">
        <v>0</v>
      </c>
      <c r="P504" s="380">
        <f t="shared" si="73"/>
      </c>
      <c r="Q504" s="381">
        <f>(M504+M506+M505)/(O504+O506+O505)</f>
      </c>
      <c r="R504" s="388">
        <v>3</v>
      </c>
      <c r="S504" s="381">
        <f>(O504+O506)/(K504+K506)</f>
      </c>
      <c r="T504" s="388">
        <v>0</v>
      </c>
      <c r="U504" s="382">
        <f>F504/T504</f>
      </c>
      <c r="V504" s="383">
        <f>(F504+4*500)/T504</f>
      </c>
      <c r="W504" s="388">
        <v>0</v>
      </c>
      <c r="X504" s="383">
        <f>W504/T504</f>
      </c>
      <c r="Y504" s="381">
        <f>T504/R504</f>
      </c>
      <c r="Z504" s="383">
        <f>W504/F504</f>
      </c>
      <c r="AA504" s="383">
        <f>W504/(F504+500)</f>
      </c>
      <c r="AB504" s="388">
        <v>0</v>
      </c>
      <c r="AC504" s="388">
        <v>0</v>
      </c>
      <c r="AD504" s="381">
        <f>AB504/T504</f>
      </c>
      <c r="AE504" s="383">
        <f>(W504-AC504)/(F504+500)</f>
      </c>
      <c r="AF504" s="383" t="s">
        <v>1092</v>
      </c>
    </row>
    <row r="505">
      <c r="A505" s="371"/>
      <c r="B505" s="372"/>
      <c r="C505" s="373"/>
      <c r="D505" s="374" t="s">
        <v>1069</v>
      </c>
      <c r="E505" s="390">
        <v>77.38</v>
      </c>
      <c r="F505" s="387"/>
      <c r="G505" s="388">
        <v>217</v>
      </c>
      <c r="H505" s="388">
        <v>10</v>
      </c>
      <c r="I505" s="378">
        <f t="shared" si="54"/>
      </c>
      <c r="J505" s="379">
        <f t="shared" si="93"/>
      </c>
      <c r="K505" s="388">
        <v>1</v>
      </c>
      <c r="L505" s="379">
        <f t="shared" si="16"/>
      </c>
      <c r="M505" s="388">
        <v>0</v>
      </c>
      <c r="N505" s="380">
        <f t="shared" si="35"/>
      </c>
      <c r="O505" s="388">
        <v>0</v>
      </c>
      <c r="P505" s="380">
        <f t="shared" si="73"/>
      </c>
      <c r="Q505" s="381"/>
      <c r="R505" s="388"/>
      <c r="S505" s="381"/>
      <c r="T505" s="388"/>
      <c r="U505" s="382"/>
      <c r="V505" s="383"/>
      <c r="W505" s="388"/>
      <c r="X505" s="383"/>
      <c r="Y505" s="381"/>
      <c r="Z505" s="383"/>
      <c r="AA505" s="383"/>
      <c r="AB505" s="388"/>
      <c r="AC505" s="388"/>
      <c r="AD505" s="381"/>
      <c r="AE505" s="383"/>
      <c r="AF505" s="383" t="s">
        <v>1100</v>
      </c>
    </row>
    <row r="506">
      <c r="A506" s="371"/>
      <c r="B506" s="372"/>
      <c r="C506" s="373"/>
      <c r="D506" s="374" t="s">
        <v>1071</v>
      </c>
      <c r="E506" s="388">
        <v>471.91</v>
      </c>
      <c r="F506" s="387"/>
      <c r="G506" s="388">
        <v>1394</v>
      </c>
      <c r="H506" s="388">
        <v>109</v>
      </c>
      <c r="I506" s="378">
        <f t="shared" si="54"/>
      </c>
      <c r="J506" s="379">
        <f t="shared" si="93"/>
      </c>
      <c r="K506" s="388">
        <v>7</v>
      </c>
      <c r="L506" s="379">
        <f t="shared" si="16"/>
      </c>
      <c r="M506" s="388">
        <v>0</v>
      </c>
      <c r="N506" s="380">
        <f t="shared" si="35"/>
      </c>
      <c r="O506" s="388">
        <v>1</v>
      </c>
      <c r="P506" s="380">
        <f t="shared" si="73"/>
      </c>
      <c r="Q506" s="381"/>
      <c r="R506" s="388"/>
      <c r="S506" s="381"/>
      <c r="T506" s="388"/>
      <c r="U506" s="382"/>
      <c r="V506" s="383"/>
      <c r="W506" s="388"/>
      <c r="X506" s="383"/>
      <c r="Y506" s="381"/>
      <c r="Z506" s="383"/>
      <c r="AA506" s="383"/>
      <c r="AB506" s="388"/>
      <c r="AC506" s="388"/>
      <c r="AD506" s="381"/>
      <c r="AE506" s="383"/>
      <c r="AF506" s="383"/>
    </row>
    <row r="507">
      <c r="A507" s="371"/>
      <c r="B507" s="372" t="s">
        <v>1074</v>
      </c>
      <c r="C507" s="373" t="s">
        <v>1066</v>
      </c>
      <c r="D507" s="374" t="s">
        <v>1067</v>
      </c>
      <c r="E507" s="386">
        <v>2147.22</v>
      </c>
      <c r="F507" s="387">
        <f>E507+E508+E509</f>
      </c>
      <c r="G507" s="388">
        <v>18857</v>
      </c>
      <c r="H507" s="388">
        <v>307</v>
      </c>
      <c r="I507" s="378">
        <f t="shared" si="54"/>
      </c>
      <c r="J507" s="379">
        <f t="shared" si="93"/>
      </c>
      <c r="K507" s="388">
        <v>10</v>
      </c>
      <c r="L507" s="379">
        <f t="shared" si="16"/>
      </c>
      <c r="M507" s="388">
        <v>3</v>
      </c>
      <c r="N507" s="380">
        <f t="shared" si="35"/>
      </c>
      <c r="O507" s="388">
        <v>7</v>
      </c>
      <c r="P507" s="380">
        <f t="shared" si="73"/>
      </c>
      <c r="Q507" s="381">
        <f>(M507+M509+M508)/(O507+O509+O508)</f>
      </c>
      <c r="R507" s="388">
        <v>9</v>
      </c>
      <c r="S507" s="381">
        <f>(O507+O509)/(K507+K509)</f>
      </c>
      <c r="T507" s="388">
        <v>4</v>
      </c>
      <c r="U507" s="382">
        <f>F507/T507</f>
      </c>
      <c r="V507" s="383">
        <f>(F507+4*500)/T507</f>
      </c>
      <c r="W507" s="388">
        <v>4058.3999999999996</v>
      </c>
      <c r="X507" s="383">
        <f>W507/T507</f>
      </c>
      <c r="Y507" s="381">
        <f>T507/R507</f>
      </c>
      <c r="Z507" s="383">
        <f>W507/F507</f>
      </c>
      <c r="AA507" s="383">
        <f>W507/(F507+500)</f>
      </c>
      <c r="AB507" s="388">
        <v>1</v>
      </c>
      <c r="AC507" s="388">
        <v>760.8</v>
      </c>
      <c r="AD507" s="381">
        <f>AB507/T507</f>
      </c>
      <c r="AE507" s="383">
        <f>(W507-AC507)/(F507+500)</f>
      </c>
      <c r="AF507" s="383" t="s">
        <v>1092</v>
      </c>
    </row>
    <row r="508">
      <c r="A508" s="371"/>
      <c r="B508" s="372"/>
      <c r="C508" s="373"/>
      <c r="D508" s="374" t="s">
        <v>1069</v>
      </c>
      <c r="E508" s="390">
        <v>55.3</v>
      </c>
      <c r="F508" s="387"/>
      <c r="G508" s="388">
        <v>182</v>
      </c>
      <c r="H508" s="388">
        <v>3</v>
      </c>
      <c r="I508" s="378">
        <f t="shared" si="54"/>
      </c>
      <c r="J508" s="379">
        <f t="shared" si="93"/>
      </c>
      <c r="K508" s="388">
        <v>2</v>
      </c>
      <c r="L508" s="379">
        <f t="shared" si="16"/>
      </c>
      <c r="M508" s="388">
        <v>0</v>
      </c>
      <c r="N508" s="380">
        <f t="shared" si="35"/>
      </c>
      <c r="O508" s="388">
        <v>0</v>
      </c>
      <c r="P508" s="380">
        <f t="shared" si="73"/>
      </c>
      <c r="Q508" s="381"/>
      <c r="R508" s="388"/>
      <c r="S508" s="381"/>
      <c r="T508" s="388"/>
      <c r="U508" s="382"/>
      <c r="V508" s="383"/>
      <c r="W508" s="388"/>
      <c r="X508" s="383"/>
      <c r="Y508" s="381"/>
      <c r="Z508" s="383"/>
      <c r="AA508" s="383"/>
      <c r="AB508" s="388"/>
      <c r="AC508" s="388"/>
      <c r="AD508" s="381"/>
      <c r="AE508" s="383"/>
      <c r="AF508" s="383" t="s">
        <v>1100</v>
      </c>
    </row>
    <row r="509">
      <c r="A509" s="371"/>
      <c r="B509" s="372"/>
      <c r="C509" s="373"/>
      <c r="D509" s="374" t="s">
        <v>1071</v>
      </c>
      <c r="E509" s="388">
        <v>297.48</v>
      </c>
      <c r="F509" s="387"/>
      <c r="G509" s="388">
        <v>773</v>
      </c>
      <c r="H509" s="388">
        <v>58</v>
      </c>
      <c r="I509" s="378">
        <f t="shared" si="54"/>
      </c>
      <c r="J509" s="379">
        <f t="shared" si="93"/>
      </c>
      <c r="K509" s="388">
        <v>7</v>
      </c>
      <c r="L509" s="379">
        <f t="shared" si="16"/>
      </c>
      <c r="M509" s="388">
        <v>0</v>
      </c>
      <c r="N509" s="380">
        <f t="shared" si="35"/>
      </c>
      <c r="O509" s="388">
        <v>0</v>
      </c>
      <c r="P509" s="380">
        <f t="shared" si="73"/>
      </c>
      <c r="Q509" s="381"/>
      <c r="R509" s="388"/>
      <c r="S509" s="381"/>
      <c r="T509" s="388"/>
      <c r="U509" s="382"/>
      <c r="V509" s="383"/>
      <c r="W509" s="388"/>
      <c r="X509" s="383"/>
      <c r="Y509" s="381"/>
      <c r="Z509" s="383"/>
      <c r="AA509" s="383"/>
      <c r="AB509" s="388"/>
      <c r="AC509" s="388"/>
      <c r="AD509" s="381"/>
      <c r="AE509" s="383"/>
      <c r="AF509" s="383"/>
    </row>
    <row r="510">
      <c r="A510" s="371"/>
      <c r="B510" s="372" t="s">
        <v>1075</v>
      </c>
      <c r="C510" s="373" t="s">
        <v>1066</v>
      </c>
      <c r="D510" s="374" t="s">
        <v>1067</v>
      </c>
      <c r="E510" s="386">
        <v>3636.52</v>
      </c>
      <c r="F510" s="387">
        <f>E510+E511+E512</f>
      </c>
      <c r="G510" s="388">
        <v>33943</v>
      </c>
      <c r="H510" s="388">
        <v>495</v>
      </c>
      <c r="I510" s="378">
        <f t="shared" si="54"/>
      </c>
      <c r="J510" s="379">
        <f t="shared" si="93"/>
      </c>
      <c r="K510" s="388">
        <v>13</v>
      </c>
      <c r="L510" s="379">
        <f t="shared" si="16"/>
      </c>
      <c r="M510" s="388">
        <v>2</v>
      </c>
      <c r="N510" s="380">
        <f t="shared" si="35"/>
      </c>
      <c r="O510" s="388">
        <v>7</v>
      </c>
      <c r="P510" s="380">
        <f t="shared" si="73"/>
      </c>
      <c r="Q510" s="381">
        <f>(M510+M512+M511)/(O510+O512+O511)</f>
      </c>
      <c r="R510" s="388">
        <v>7</v>
      </c>
      <c r="S510" s="381">
        <f>(O510+O512)/(K510+K512)</f>
      </c>
      <c r="T510" s="388">
        <v>2</v>
      </c>
      <c r="U510" s="382">
        <f>F510/T510</f>
      </c>
      <c r="V510" s="383">
        <f>(F510+4*500)/T510</f>
      </c>
      <c r="W510" s="388">
        <v>5427.200000000001</v>
      </c>
      <c r="X510" s="383">
        <f>W510/T510</f>
      </c>
      <c r="Y510" s="381">
        <f>T510/R510</f>
      </c>
      <c r="Z510" s="383">
        <f>W510/F510</f>
      </c>
      <c r="AA510" s="383">
        <f>W510/(F510+500)</f>
      </c>
      <c r="AB510" s="388">
        <v>1</v>
      </c>
      <c r="AC510" s="388">
        <v>2467.2</v>
      </c>
      <c r="AD510" s="381">
        <f>AB510/T510</f>
      </c>
      <c r="AE510" s="383">
        <f>(W510-AC510)/(F510+500)</f>
      </c>
      <c r="AF510" s="383" t="s">
        <v>1092</v>
      </c>
    </row>
    <row r="511">
      <c r="A511" s="371"/>
      <c r="B511" s="372"/>
      <c r="C511" s="373"/>
      <c r="D511" s="374" t="s">
        <v>1069</v>
      </c>
      <c r="E511" s="390">
        <v>46.23</v>
      </c>
      <c r="F511" s="387"/>
      <c r="G511" s="388">
        <v>155</v>
      </c>
      <c r="H511" s="388">
        <v>10</v>
      </c>
      <c r="I511" s="378">
        <f t="shared" si="54"/>
      </c>
      <c r="J511" s="379">
        <f t="shared" si="93"/>
      </c>
      <c r="K511" s="388">
        <v>3</v>
      </c>
      <c r="L511" s="379">
        <f t="shared" si="16"/>
      </c>
      <c r="M511" s="388">
        <v>0</v>
      </c>
      <c r="N511" s="380">
        <f t="shared" si="35"/>
      </c>
      <c r="O511" s="388">
        <v>0</v>
      </c>
      <c r="P511" s="380">
        <f t="shared" si="73"/>
      </c>
      <c r="Q511" s="381"/>
      <c r="R511" s="388"/>
      <c r="S511" s="381"/>
      <c r="T511" s="388"/>
      <c r="U511" s="382"/>
      <c r="V511" s="383"/>
      <c r="W511" s="388"/>
      <c r="X511" s="383"/>
      <c r="Y511" s="381"/>
      <c r="Z511" s="383"/>
      <c r="AA511" s="383"/>
      <c r="AB511" s="388"/>
      <c r="AC511" s="388"/>
      <c r="AD511" s="381"/>
      <c r="AE511" s="383"/>
      <c r="AF511" s="383" t="s">
        <v>1100</v>
      </c>
    </row>
    <row r="512">
      <c r="A512" s="371"/>
      <c r="B512" s="372"/>
      <c r="C512" s="373"/>
      <c r="D512" s="374" t="s">
        <v>1071</v>
      </c>
      <c r="E512" s="388">
        <v>353.85</v>
      </c>
      <c r="F512" s="387"/>
      <c r="G512" s="388">
        <v>518</v>
      </c>
      <c r="H512" s="388">
        <v>46</v>
      </c>
      <c r="I512" s="378">
        <f t="shared" si="54"/>
      </c>
      <c r="J512" s="379">
        <f t="shared" si="93"/>
      </c>
      <c r="K512" s="388">
        <v>5</v>
      </c>
      <c r="L512" s="379">
        <f t="shared" si="16"/>
      </c>
      <c r="M512" s="388">
        <v>0</v>
      </c>
      <c r="N512" s="380">
        <f t="shared" si="35"/>
      </c>
      <c r="O512" s="388">
        <v>0</v>
      </c>
      <c r="P512" s="380">
        <f t="shared" si="73"/>
      </c>
      <c r="Q512" s="381"/>
      <c r="R512" s="388"/>
      <c r="S512" s="381"/>
      <c r="T512" s="388"/>
      <c r="U512" s="382"/>
      <c r="V512" s="383"/>
      <c r="W512" s="388"/>
      <c r="X512" s="383"/>
      <c r="Y512" s="381"/>
      <c r="Z512" s="383"/>
      <c r="AA512" s="383"/>
      <c r="AB512" s="388"/>
      <c r="AC512" s="388"/>
      <c r="AD512" s="381"/>
      <c r="AE512" s="383"/>
      <c r="AF512" s="383"/>
    </row>
    <row r="513">
      <c r="A513" s="371"/>
      <c r="B513" s="372" t="s">
        <v>1077</v>
      </c>
      <c r="C513" s="373" t="s">
        <v>1081</v>
      </c>
      <c r="D513" s="374" t="s">
        <v>1067</v>
      </c>
      <c r="E513" s="386">
        <v>3127.61</v>
      </c>
      <c r="F513" s="387">
        <f>E513+E514+E515</f>
      </c>
      <c r="G513" s="388">
        <v>30055</v>
      </c>
      <c r="H513" s="388">
        <v>475</v>
      </c>
      <c r="I513" s="378">
        <f t="shared" si="54"/>
      </c>
      <c r="J513" s="379">
        <f t="shared" si="93"/>
      </c>
      <c r="K513" s="388">
        <v>12</v>
      </c>
      <c r="L513" s="379">
        <f t="shared" si="16"/>
      </c>
      <c r="M513" s="388">
        <v>2</v>
      </c>
      <c r="N513" s="380">
        <f t="shared" si="35"/>
      </c>
      <c r="O513" s="388">
        <v>4</v>
      </c>
      <c r="P513" s="380">
        <f t="shared" si="73"/>
      </c>
      <c r="Q513" s="381">
        <f>(M513+M515+M514)/(O513+O515+O514)</f>
      </c>
      <c r="R513" s="388">
        <v>7</v>
      </c>
      <c r="S513" s="381">
        <f>(O513+O515)/(K513+K515)</f>
      </c>
      <c r="T513" s="388">
        <v>2</v>
      </c>
      <c r="U513" s="382">
        <f>F513/T513</f>
      </c>
      <c r="V513" s="383">
        <f>(F513+4*500)/T513</f>
      </c>
      <c r="W513" s="388">
        <v>3127.2000000000007</v>
      </c>
      <c r="X513" s="383">
        <f>W513/T513</f>
      </c>
      <c r="Y513" s="381">
        <f>T513/R513</f>
      </c>
      <c r="Z513" s="383">
        <f>W513/F513</f>
      </c>
      <c r="AA513" s="383">
        <f>W513/(F513+500)</f>
      </c>
      <c r="AB513" s="388">
        <v>1</v>
      </c>
      <c r="AC513" s="388">
        <v>1723.199999999999</v>
      </c>
      <c r="AD513" s="381">
        <f>AB513/T513</f>
      </c>
      <c r="AE513" s="383">
        <f>(W513-AC513)/(F513+500)</f>
      </c>
      <c r="AF513" s="383" t="s">
        <v>1092</v>
      </c>
    </row>
    <row r="514">
      <c r="A514" s="371"/>
      <c r="B514" s="372"/>
      <c r="C514" s="373"/>
      <c r="D514" s="374" t="s">
        <v>1069</v>
      </c>
      <c r="E514" s="390">
        <v>27.81</v>
      </c>
      <c r="F514" s="387"/>
      <c r="G514" s="388">
        <v>260</v>
      </c>
      <c r="H514" s="388">
        <v>8</v>
      </c>
      <c r="I514" s="378">
        <f t="shared" si="54"/>
      </c>
      <c r="J514" s="379">
        <f t="shared" si="93"/>
      </c>
      <c r="K514" s="388">
        <v>0</v>
      </c>
      <c r="L514" s="379">
        <f t="shared" si="16"/>
      </c>
      <c r="M514" s="388">
        <v>0</v>
      </c>
      <c r="N514" s="380">
        <f t="shared" si="35"/>
      </c>
      <c r="O514" s="388">
        <v>0</v>
      </c>
      <c r="P514" s="380">
        <f t="shared" si="73"/>
      </c>
      <c r="Q514" s="381"/>
      <c r="R514" s="388"/>
      <c r="S514" s="381"/>
      <c r="T514" s="388"/>
      <c r="U514" s="382"/>
      <c r="V514" s="383"/>
      <c r="W514" s="388"/>
      <c r="X514" s="383"/>
      <c r="Y514" s="381"/>
      <c r="Z514" s="383"/>
      <c r="AA514" s="383"/>
      <c r="AB514" s="388"/>
      <c r="AC514" s="388"/>
      <c r="AD514" s="381"/>
      <c r="AE514" s="383"/>
      <c r="AF514" s="383" t="s">
        <v>1100</v>
      </c>
    </row>
    <row r="515">
      <c r="A515" s="371"/>
      <c r="B515" s="372"/>
      <c r="C515" s="373"/>
      <c r="D515" s="374" t="s">
        <v>1071</v>
      </c>
      <c r="E515" s="388">
        <v>18.39</v>
      </c>
      <c r="F515" s="387"/>
      <c r="G515" s="388">
        <v>136</v>
      </c>
      <c r="H515" s="388">
        <v>16</v>
      </c>
      <c r="I515" s="378">
        <f t="shared" si="54"/>
      </c>
      <c r="J515" s="379">
        <f t="shared" si="93"/>
      </c>
      <c r="K515" s="388">
        <v>2</v>
      </c>
      <c r="L515" s="379">
        <f t="shared" si="16"/>
      </c>
      <c r="M515" s="388">
        <v>0</v>
      </c>
      <c r="N515" s="380">
        <f t="shared" si="35"/>
      </c>
      <c r="O515" s="388">
        <v>0</v>
      </c>
      <c r="P515" s="380">
        <f t="shared" si="73"/>
      </c>
      <c r="Q515" s="381"/>
      <c r="R515" s="388"/>
      <c r="S515" s="381"/>
      <c r="T515" s="388"/>
      <c r="U515" s="382"/>
      <c r="V515" s="383"/>
      <c r="W515" s="388"/>
      <c r="X515" s="383"/>
      <c r="Y515" s="381"/>
      <c r="Z515" s="383"/>
      <c r="AA515" s="383"/>
      <c r="AB515" s="388"/>
      <c r="AC515" s="388"/>
      <c r="AD515" s="381"/>
      <c r="AE515" s="383"/>
      <c r="AF515" s="383"/>
    </row>
    <row r="516">
      <c r="A516" s="371"/>
      <c r="B516" s="372" t="s">
        <v>1078</v>
      </c>
      <c r="C516" s="373" t="s">
        <v>1081</v>
      </c>
      <c r="D516" s="374" t="s">
        <v>1067</v>
      </c>
      <c r="E516" s="386">
        <v>1945.18</v>
      </c>
      <c r="F516" s="387">
        <f>E516+E517+E518</f>
      </c>
      <c r="G516" s="388">
        <v>15545</v>
      </c>
      <c r="H516" s="388">
        <v>247</v>
      </c>
      <c r="I516" s="378">
        <f t="shared" si="54"/>
      </c>
      <c r="J516" s="379">
        <f t="shared" si="93"/>
      </c>
      <c r="K516" s="388">
        <v>7</v>
      </c>
      <c r="L516" s="379">
        <f t="shared" si="16"/>
      </c>
      <c r="M516" s="388">
        <v>1</v>
      </c>
      <c r="N516" s="380">
        <f t="shared" si="35"/>
      </c>
      <c r="O516" s="388">
        <v>3</v>
      </c>
      <c r="P516" s="380">
        <f t="shared" si="73"/>
      </c>
      <c r="Q516" s="381">
        <f>(M516+M518+M517)/(O516+O518+O517)</f>
      </c>
      <c r="R516" s="388">
        <v>4</v>
      </c>
      <c r="S516" s="381">
        <f>(O516+O518)/(K516+K518)</f>
      </c>
      <c r="T516" s="388">
        <v>1</v>
      </c>
      <c r="U516" s="382">
        <f>F516/T516</f>
      </c>
      <c r="V516" s="383">
        <f>(F516+4*500)/T516</f>
      </c>
      <c r="W516" s="388">
        <v>739.1999999999971</v>
      </c>
      <c r="X516" s="383">
        <f>W516/T516</f>
      </c>
      <c r="Y516" s="381">
        <f>T516/R516</f>
      </c>
      <c r="Z516" s="383">
        <f>W516/F516</f>
      </c>
      <c r="AA516" s="383">
        <f>W516/(F516+500)</f>
      </c>
      <c r="AB516" s="388">
        <v>0</v>
      </c>
      <c r="AC516" s="388">
        <v>0</v>
      </c>
      <c r="AD516" s="381">
        <f>AB516/T516</f>
      </c>
      <c r="AE516" s="383">
        <f>(W516-AC516)/(F516+500)</f>
      </c>
      <c r="AF516" s="383" t="s">
        <v>1092</v>
      </c>
    </row>
    <row r="517">
      <c r="A517" s="371"/>
      <c r="B517" s="372"/>
      <c r="C517" s="373"/>
      <c r="D517" s="374" t="s">
        <v>1069</v>
      </c>
      <c r="E517" s="390">
        <v>190.15</v>
      </c>
      <c r="F517" s="387"/>
      <c r="G517" s="388">
        <v>9</v>
      </c>
      <c r="H517" s="388">
        <v>16</v>
      </c>
      <c r="I517" s="378">
        <f t="shared" si="54"/>
      </c>
      <c r="J517" s="379">
        <f t="shared" si="93"/>
      </c>
      <c r="K517" s="388">
        <v>1</v>
      </c>
      <c r="L517" s="379">
        <f t="shared" si="16"/>
      </c>
      <c r="M517" s="388">
        <v>0</v>
      </c>
      <c r="N517" s="380">
        <f t="shared" si="35"/>
      </c>
      <c r="O517" s="388">
        <v>0</v>
      </c>
      <c r="P517" s="380">
        <f t="shared" si="73"/>
      </c>
      <c r="Q517" s="381"/>
      <c r="R517" s="388"/>
      <c r="S517" s="381"/>
      <c r="T517" s="388"/>
      <c r="U517" s="382"/>
      <c r="V517" s="383"/>
      <c r="W517" s="388"/>
      <c r="X517" s="383"/>
      <c r="Y517" s="381"/>
      <c r="Z517" s="383"/>
      <c r="AA517" s="383"/>
      <c r="AB517" s="388"/>
      <c r="AC517" s="388"/>
      <c r="AD517" s="381"/>
      <c r="AE517" s="383"/>
      <c r="AF517" s="383" t="s">
        <v>1100</v>
      </c>
    </row>
    <row r="518">
      <c r="A518" s="371"/>
      <c r="B518" s="372"/>
      <c r="C518" s="373"/>
      <c r="D518" s="374" t="s">
        <v>1071</v>
      </c>
      <c r="E518" s="388">
        <v>4.27</v>
      </c>
      <c r="F518" s="387"/>
      <c r="G518" s="388">
        <v>85</v>
      </c>
      <c r="H518" s="388">
        <v>17</v>
      </c>
      <c r="I518" s="378">
        <f t="shared" si="54"/>
      </c>
      <c r="J518" s="379">
        <f t="shared" si="93"/>
      </c>
      <c r="K518" s="388">
        <v>0</v>
      </c>
      <c r="L518" s="379">
        <f t="shared" si="16"/>
      </c>
      <c r="M518" s="388">
        <v>0</v>
      </c>
      <c r="N518" s="380">
        <f t="shared" si="35"/>
      </c>
      <c r="O518" s="388">
        <v>0</v>
      </c>
      <c r="P518" s="380">
        <f t="shared" si="73"/>
      </c>
      <c r="Q518" s="381"/>
      <c r="R518" s="388"/>
      <c r="S518" s="381"/>
      <c r="T518" s="388"/>
      <c r="U518" s="382"/>
      <c r="V518" s="383"/>
      <c r="W518" s="388"/>
      <c r="X518" s="383"/>
      <c r="Y518" s="381"/>
      <c r="Z518" s="383"/>
      <c r="AA518" s="383"/>
      <c r="AB518" s="388"/>
      <c r="AC518" s="388"/>
      <c r="AD518" s="381"/>
      <c r="AE518" s="383"/>
      <c r="AF518" s="383"/>
    </row>
    <row r="519">
      <c r="A519" s="371"/>
      <c r="B519" s="372" t="s">
        <v>1079</v>
      </c>
      <c r="C519" s="373" t="s">
        <v>1081</v>
      </c>
      <c r="D519" s="374" t="s">
        <v>1067</v>
      </c>
      <c r="E519" s="386">
        <v>1207.36</v>
      </c>
      <c r="F519" s="387">
        <f>E519+E520+E521</f>
      </c>
      <c r="G519" s="388">
        <v>8000</v>
      </c>
      <c r="H519" s="388">
        <v>138</v>
      </c>
      <c r="I519" s="378">
        <f t="shared" si="54"/>
      </c>
      <c r="J519" s="379">
        <f t="shared" si="93"/>
      </c>
      <c r="K519" s="388">
        <v>11</v>
      </c>
      <c r="L519" s="379">
        <f t="shared" si="16"/>
      </c>
      <c r="M519" s="388">
        <v>0</v>
      </c>
      <c r="N519" s="380">
        <f t="shared" si="35"/>
      </c>
      <c r="O519" s="388">
        <v>1</v>
      </c>
      <c r="P519" s="380">
        <f t="shared" si="73"/>
      </c>
      <c r="Q519" s="381">
        <f>(M519+M521+M520)/(O519+O521+O520)</f>
      </c>
      <c r="R519" s="388">
        <v>3</v>
      </c>
      <c r="S519" s="381">
        <f>(O519+O521)/(K519+K521)</f>
      </c>
      <c r="T519" s="388">
        <v>1</v>
      </c>
      <c r="U519" s="382">
        <f>F519/T519</f>
      </c>
      <c r="V519" s="383">
        <f>(F519+4*500)/T519</f>
      </c>
      <c r="W519" s="388">
        <v>2148</v>
      </c>
      <c r="X519" s="383">
        <f>W519/T519</f>
      </c>
      <c r="Y519" s="381">
        <f>T519/R519</f>
      </c>
      <c r="Z519" s="383">
        <f>W519/F519</f>
      </c>
      <c r="AA519" s="383">
        <f>W519/(F519+500)</f>
      </c>
      <c r="AB519" s="388">
        <v>1</v>
      </c>
      <c r="AC519" s="388">
        <v>2148.000000000001</v>
      </c>
      <c r="AD519" s="381">
        <f>AB519/T519</f>
      </c>
      <c r="AE519" s="383">
        <f>(W519-AC519)/(F519+500)</f>
      </c>
      <c r="AF519" s="383" t="s">
        <v>1092</v>
      </c>
    </row>
    <row r="520">
      <c r="A520" s="371"/>
      <c r="B520" s="372"/>
      <c r="C520" s="373"/>
      <c r="D520" s="374" t="s">
        <v>1069</v>
      </c>
      <c r="E520" s="390">
        <v>65.92</v>
      </c>
      <c r="F520" s="387"/>
      <c r="G520" s="388">
        <v>311</v>
      </c>
      <c r="H520" s="388">
        <v>16</v>
      </c>
      <c r="I520" s="378">
        <f t="shared" si="54"/>
      </c>
      <c r="J520" s="379">
        <f t="shared" si="93"/>
      </c>
      <c r="K520" s="388">
        <v>1</v>
      </c>
      <c r="L520" s="379">
        <f t="shared" si="16"/>
      </c>
      <c r="M520" s="388">
        <v>1</v>
      </c>
      <c r="N520" s="380">
        <f t="shared" si="35"/>
      </c>
      <c r="O520" s="388">
        <v>1</v>
      </c>
      <c r="P520" s="380">
        <f t="shared" si="73"/>
      </c>
      <c r="Q520" s="381"/>
      <c r="R520" s="388"/>
      <c r="S520" s="381"/>
      <c r="T520" s="388"/>
      <c r="U520" s="382"/>
      <c r="V520" s="383"/>
      <c r="W520" s="388"/>
      <c r="X520" s="383"/>
      <c r="Y520" s="381"/>
      <c r="Z520" s="383"/>
      <c r="AA520" s="383"/>
      <c r="AB520" s="388"/>
      <c r="AC520" s="388"/>
      <c r="AD520" s="381"/>
      <c r="AE520" s="383"/>
      <c r="AF520" s="383" t="s">
        <v>1100</v>
      </c>
    </row>
    <row r="521">
      <c r="A521" s="371"/>
      <c r="B521" s="372"/>
      <c r="C521" s="373"/>
      <c r="D521" s="374" t="s">
        <v>1071</v>
      </c>
      <c r="E521" s="388">
        <v>3.8</v>
      </c>
      <c r="F521" s="387"/>
      <c r="G521" s="388">
        <v>67</v>
      </c>
      <c r="H521" s="388">
        <v>9</v>
      </c>
      <c r="I521" s="378">
        <f t="shared" si="54"/>
      </c>
      <c r="J521" s="379">
        <f t="shared" si="93"/>
      </c>
      <c r="K521" s="388">
        <v>2</v>
      </c>
      <c r="L521" s="379">
        <f t="shared" si="16"/>
      </c>
      <c r="M521" s="388">
        <v>0</v>
      </c>
      <c r="N521" s="380">
        <f t="shared" si="35"/>
      </c>
      <c r="O521" s="388">
        <v>0</v>
      </c>
      <c r="P521" s="380">
        <f t="shared" si="73"/>
      </c>
      <c r="Q521" s="381"/>
      <c r="R521" s="388"/>
      <c r="S521" s="381"/>
      <c r="T521" s="388"/>
      <c r="U521" s="382"/>
      <c r="V521" s="383"/>
      <c r="W521" s="388"/>
      <c r="X521" s="383"/>
      <c r="Y521" s="381"/>
      <c r="Z521" s="383"/>
      <c r="AA521" s="383"/>
      <c r="AB521" s="388"/>
      <c r="AC521" s="388"/>
      <c r="AD521" s="381"/>
      <c r="AE521" s="383"/>
      <c r="AF521" s="383"/>
    </row>
    <row r="522">
      <c r="A522" s="371"/>
      <c r="B522" s="385" t="s">
        <v>1080</v>
      </c>
      <c r="C522" s="373" t="s">
        <v>1081</v>
      </c>
      <c r="D522" s="374" t="s">
        <v>1067</v>
      </c>
      <c r="E522" s="386">
        <v>493.13</v>
      </c>
      <c r="F522" s="387">
        <f>E522+E523+E524</f>
      </c>
      <c r="G522" s="388">
        <v>2840</v>
      </c>
      <c r="H522" s="388">
        <v>56</v>
      </c>
      <c r="I522" s="378">
        <f t="shared" si="54"/>
      </c>
      <c r="J522" s="379">
        <f t="shared" si="93"/>
      </c>
      <c r="K522" s="388">
        <v>1</v>
      </c>
      <c r="L522" s="379">
        <f t="shared" si="16"/>
      </c>
      <c r="M522" s="388">
        <v>0</v>
      </c>
      <c r="N522" s="380">
        <f t="shared" si="35"/>
      </c>
      <c r="O522" s="388">
        <v>0</v>
      </c>
      <c r="P522" s="380">
        <f t="shared" si="73"/>
      </c>
      <c r="Q522" s="381">
        <f>(M522+M524+M523)/(O522+O524+O523)</f>
      </c>
      <c r="R522" s="388">
        <v>0</v>
      </c>
      <c r="S522" s="381">
        <f>(O522+O524)/(K522+K524)</f>
      </c>
      <c r="T522" s="388">
        <v>0</v>
      </c>
      <c r="U522" s="382">
        <f>F522/T522</f>
      </c>
      <c r="V522" s="383">
        <f>(F522+4*500)/T522</f>
      </c>
      <c r="W522" s="388">
        <v>0</v>
      </c>
      <c r="X522" s="383">
        <f>W522/T522</f>
      </c>
      <c r="Y522" s="381">
        <f>T522/R522</f>
      </c>
      <c r="Z522" s="383">
        <f>W522/F522</f>
      </c>
      <c r="AA522" s="383">
        <f>W522/(F522+500)</f>
      </c>
      <c r="AB522" s="388">
        <v>0</v>
      </c>
      <c r="AC522" s="388">
        <v>0</v>
      </c>
      <c r="AD522" s="381">
        <f>AB522/T522</f>
      </c>
      <c r="AE522" s="383">
        <f>(W522-AC522)/(F522+500)</f>
      </c>
      <c r="AF522" s="383" t="s">
        <v>1092</v>
      </c>
    </row>
    <row r="523">
      <c r="A523" s="371"/>
      <c r="B523" s="385"/>
      <c r="C523" s="373"/>
      <c r="D523" s="374" t="s">
        <v>1069</v>
      </c>
      <c r="E523" s="390">
        <v>27.45</v>
      </c>
      <c r="F523" s="387"/>
      <c r="G523" s="388">
        <v>169</v>
      </c>
      <c r="H523" s="388">
        <v>10</v>
      </c>
      <c r="I523" s="378">
        <f t="shared" si="54"/>
      </c>
      <c r="J523" s="379">
        <f t="shared" si="93"/>
      </c>
      <c r="K523" s="388">
        <v>0</v>
      </c>
      <c r="L523" s="379">
        <f t="shared" si="16"/>
      </c>
      <c r="M523" s="388">
        <v>0</v>
      </c>
      <c r="N523" s="380">
        <f t="shared" si="35"/>
      </c>
      <c r="O523" s="388">
        <v>0</v>
      </c>
      <c r="P523" s="380">
        <f t="shared" si="73"/>
      </c>
      <c r="Q523" s="381"/>
      <c r="R523" s="388"/>
      <c r="S523" s="381"/>
      <c r="T523" s="388"/>
      <c r="U523" s="382"/>
      <c r="V523" s="383"/>
      <c r="W523" s="388"/>
      <c r="X523" s="383"/>
      <c r="Y523" s="381"/>
      <c r="Z523" s="383"/>
      <c r="AA523" s="383"/>
      <c r="AB523" s="388"/>
      <c r="AC523" s="388"/>
      <c r="AD523" s="381"/>
      <c r="AE523" s="383"/>
      <c r="AF523" s="383" t="s">
        <v>1100</v>
      </c>
    </row>
    <row r="524">
      <c r="A524" s="371"/>
      <c r="B524" s="385"/>
      <c r="C524" s="373"/>
      <c r="D524" s="374" t="s">
        <v>1071</v>
      </c>
      <c r="E524" s="388">
        <v>4.02</v>
      </c>
      <c r="F524" s="387"/>
      <c r="G524" s="388">
        <v>50</v>
      </c>
      <c r="H524" s="388">
        <v>5</v>
      </c>
      <c r="I524" s="378">
        <f t="shared" si="54"/>
      </c>
      <c r="J524" s="379">
        <f t="shared" si="93"/>
      </c>
      <c r="K524" s="388">
        <v>0</v>
      </c>
      <c r="L524" s="379">
        <f t="shared" si="16"/>
      </c>
      <c r="M524" s="388">
        <v>0</v>
      </c>
      <c r="N524" s="380">
        <f t="shared" si="35"/>
      </c>
      <c r="O524" s="388">
        <v>0</v>
      </c>
      <c r="P524" s="380">
        <f t="shared" si="73"/>
      </c>
      <c r="Q524" s="381"/>
      <c r="R524" s="388"/>
      <c r="S524" s="381"/>
      <c r="T524" s="388"/>
      <c r="U524" s="382"/>
      <c r="V524" s="383"/>
      <c r="W524" s="388"/>
      <c r="X524" s="383"/>
      <c r="Y524" s="381"/>
      <c r="Z524" s="383"/>
      <c r="AA524" s="383"/>
      <c r="AB524" s="388"/>
      <c r="AC524" s="388"/>
      <c r="AD524" s="381"/>
      <c r="AE524" s="383"/>
      <c r="AF524" s="383"/>
    </row>
    <row r="525">
      <c r="A525" s="371"/>
      <c r="B525" s="372" t="s">
        <v>1082</v>
      </c>
      <c r="C525" s="373" t="s">
        <v>1081</v>
      </c>
      <c r="D525" s="374" t="s">
        <v>1067</v>
      </c>
      <c r="E525" s="386">
        <v>451.23</v>
      </c>
      <c r="F525" s="387">
        <f>E525+E526+E527</f>
      </c>
      <c r="G525" s="388">
        <v>3005</v>
      </c>
      <c r="H525" s="388">
        <v>45</v>
      </c>
      <c r="I525" s="378">
        <f t="shared" si="54"/>
      </c>
      <c r="J525" s="379">
        <f t="shared" si="93"/>
      </c>
      <c r="K525" s="388">
        <v>7</v>
      </c>
      <c r="L525" s="379">
        <f t="shared" si="16"/>
      </c>
      <c r="M525" s="388">
        <v>0</v>
      </c>
      <c r="N525" s="380">
        <f t="shared" si="35"/>
      </c>
      <c r="O525" s="388">
        <v>0</v>
      </c>
      <c r="P525" s="380">
        <f t="shared" si="73"/>
      </c>
      <c r="Q525" s="381">
        <f>(M525+M527+M526)/(O525+O527+O526)</f>
      </c>
      <c r="R525" s="388">
        <v>1</v>
      </c>
      <c r="S525" s="381">
        <f>(O525+O527)/(K525+K527)</f>
      </c>
      <c r="T525" s="388">
        <v>0</v>
      </c>
      <c r="U525" s="382">
        <f>F525/T525</f>
      </c>
      <c r="V525" s="383">
        <f>(F525+4*500)/T525</f>
      </c>
      <c r="W525" s="388">
        <v>0</v>
      </c>
      <c r="X525" s="383">
        <f>W525/T525</f>
      </c>
      <c r="Y525" s="381">
        <f>T525/R525</f>
      </c>
      <c r="Z525" s="383">
        <f>W525/F525</f>
      </c>
      <c r="AA525" s="383">
        <f>W525/(F525+500)</f>
      </c>
      <c r="AB525" s="388">
        <v>0</v>
      </c>
      <c r="AC525" s="388">
        <v>0</v>
      </c>
      <c r="AD525" s="381">
        <f>AB525/T525</f>
      </c>
      <c r="AE525" s="383">
        <f>(W525-AC525)/(F525+500)</f>
      </c>
      <c r="AF525" s="383" t="s">
        <v>1092</v>
      </c>
    </row>
    <row r="526">
      <c r="A526" s="371"/>
      <c r="B526" s="372"/>
      <c r="C526" s="373"/>
      <c r="D526" s="374" t="s">
        <v>1069</v>
      </c>
      <c r="E526" s="390">
        <v>83.04</v>
      </c>
      <c r="F526" s="387"/>
      <c r="G526" s="388">
        <v>427</v>
      </c>
      <c r="H526" s="388">
        <v>17</v>
      </c>
      <c r="I526" s="378">
        <f t="shared" si="54"/>
      </c>
      <c r="J526" s="379">
        <f t="shared" si="93"/>
      </c>
      <c r="K526" s="388">
        <v>0</v>
      </c>
      <c r="L526" s="379">
        <f t="shared" si="16"/>
      </c>
      <c r="M526" s="388">
        <v>0</v>
      </c>
      <c r="N526" s="380">
        <f t="shared" si="35"/>
      </c>
      <c r="O526" s="388">
        <v>0</v>
      </c>
      <c r="P526" s="380">
        <f t="shared" si="73"/>
      </c>
      <c r="Q526" s="381"/>
      <c r="R526" s="388"/>
      <c r="S526" s="381"/>
      <c r="T526" s="388"/>
      <c r="U526" s="382"/>
      <c r="V526" s="383"/>
      <c r="W526" s="388"/>
      <c r="X526" s="383"/>
      <c r="Y526" s="381"/>
      <c r="Z526" s="383"/>
      <c r="AA526" s="383"/>
      <c r="AB526" s="388"/>
      <c r="AC526" s="388"/>
      <c r="AD526" s="381"/>
      <c r="AE526" s="383"/>
      <c r="AF526" s="383" t="s">
        <v>1100</v>
      </c>
    </row>
    <row r="527">
      <c r="A527" s="371"/>
      <c r="B527" s="372"/>
      <c r="C527" s="373"/>
      <c r="D527" s="374" t="s">
        <v>1071</v>
      </c>
      <c r="E527" s="388">
        <v>20.3</v>
      </c>
      <c r="F527" s="387"/>
      <c r="G527" s="388">
        <v>20</v>
      </c>
      <c r="H527" s="388">
        <v>0</v>
      </c>
      <c r="I527" s="378">
        <f t="shared" si="54"/>
      </c>
      <c r="J527" s="379">
        <f t="shared" si="93"/>
      </c>
      <c r="K527" s="388">
        <v>0</v>
      </c>
      <c r="L527" s="379">
        <f t="shared" si="16"/>
      </c>
      <c r="M527" s="388">
        <v>0</v>
      </c>
      <c r="N527" s="380">
        <f t="shared" si="35"/>
      </c>
      <c r="O527" s="388">
        <v>0</v>
      </c>
      <c r="P527" s="380">
        <f t="shared" si="73"/>
      </c>
      <c r="Q527" s="381"/>
      <c r="R527" s="388"/>
      <c r="S527" s="381"/>
      <c r="T527" s="388"/>
      <c r="U527" s="382"/>
      <c r="V527" s="383"/>
      <c r="W527" s="388"/>
      <c r="X527" s="383"/>
      <c r="Y527" s="381"/>
      <c r="Z527" s="383"/>
      <c r="AA527" s="383"/>
      <c r="AB527" s="388"/>
      <c r="AC527" s="388"/>
      <c r="AD527" s="381"/>
      <c r="AE527" s="383"/>
      <c r="AF527" s="383"/>
    </row>
    <row customHeight="true" ht="20.238095238095237" r="528">
      <c r="A528" s="371"/>
      <c r="B528" s="372"/>
      <c r="C528" s="373"/>
      <c r="D528" s="374"/>
      <c r="E528" s="377">
        <f>SUM(E498:E527)</f>
      </c>
      <c r="F528" s="377">
        <f>SUM(F498:F527)</f>
      </c>
      <c r="G528" s="377"/>
      <c r="H528" s="377"/>
      <c r="I528" s="378"/>
      <c r="J528" s="379"/>
      <c r="K528" s="377"/>
      <c r="L528" s="379"/>
      <c r="M528" s="377"/>
      <c r="N528" s="380"/>
      <c r="O528" s="377"/>
      <c r="P528" s="380"/>
      <c r="Q528" s="381"/>
      <c r="R528" s="377"/>
      <c r="S528" s="381"/>
      <c r="T528" s="377">
        <f>SUM(T498:T527)</f>
      </c>
      <c r="U528" s="382"/>
      <c r="V528" s="383"/>
      <c r="W528" s="377">
        <f>SUM(W498:W527)</f>
      </c>
      <c r="X528" s="383"/>
      <c r="Y528" s="381"/>
      <c r="Z528" s="383"/>
      <c r="AA528" s="383"/>
      <c r="AB528" s="377"/>
      <c r="AC528" s="377"/>
      <c r="AD528" s="381"/>
      <c r="AE528" s="383"/>
      <c r="AF528" s="383"/>
    </row>
    <row r="529">
      <c r="A529" s="371" t="s">
        <v>1108</v>
      </c>
      <c r="B529" s="372" t="s">
        <v>1065</v>
      </c>
      <c r="C529" s="373" t="s">
        <v>1066</v>
      </c>
      <c r="D529" s="374" t="s">
        <v>1067</v>
      </c>
      <c r="E529" s="386">
        <v>506.64</v>
      </c>
      <c r="F529" s="387">
        <f>E529+E530+E531</f>
      </c>
      <c r="G529" s="388">
        <v>3286</v>
      </c>
      <c r="H529" s="388">
        <v>86</v>
      </c>
      <c r="I529" s="378">
        <f t="shared" ref="I529:I558" si="55">H529/G529</f>
      </c>
      <c r="J529" s="379">
        <f t="shared" ref="J529:J558" si="94">(E529/G529)*1000</f>
      </c>
      <c r="K529" s="388">
        <v>3</v>
      </c>
      <c r="L529" s="379">
        <f t="shared" ref="L529:L558" si="17">E529/K529</f>
      </c>
      <c r="M529" s="388">
        <v>0</v>
      </c>
      <c r="N529" s="380">
        <f t="shared" ref="N529:N558" si="36">E529/M529</f>
      </c>
      <c r="O529" s="388">
        <v>0</v>
      </c>
      <c r="P529" s="380">
        <f t="shared" ref="P529:P558" si="74">E529/O529</f>
      </c>
      <c r="Q529" s="381">
        <f>(M529+M531+M530)/(O529+O531+O530)</f>
      </c>
      <c r="R529" s="389">
        <v>0</v>
      </c>
      <c r="S529" s="381">
        <f>(O529+O531)/(K529+K531)</f>
      </c>
      <c r="T529" s="389">
        <v>0</v>
      </c>
      <c r="U529" s="382">
        <f>F529/T529</f>
      </c>
      <c r="V529" s="383">
        <f>(F529+4*500)/T529</f>
      </c>
      <c r="W529" s="388">
        <v>0</v>
      </c>
      <c r="X529" s="383">
        <f>W529/T529</f>
      </c>
      <c r="Y529" s="381">
        <f>T529/R529</f>
      </c>
      <c r="Z529" s="383">
        <f>W529/F529</f>
      </c>
      <c r="AA529" s="383">
        <f>W529/(F529+500)</f>
      </c>
      <c r="AB529" s="388">
        <v>0</v>
      </c>
      <c r="AC529" s="388">
        <v>0</v>
      </c>
      <c r="AD529" s="381">
        <f>AB529/T529</f>
      </c>
      <c r="AE529" s="383">
        <f>(W529-AC529)/(F529+500)</f>
      </c>
      <c r="AF529" s="383" t="s">
        <v>1092</v>
      </c>
    </row>
    <row r="530">
      <c r="A530" s="371"/>
      <c r="B530" s="372"/>
      <c r="C530" s="373"/>
      <c r="D530" s="374" t="s">
        <v>1069</v>
      </c>
      <c r="E530" s="390">
        <v>100.43</v>
      </c>
      <c r="F530" s="387"/>
      <c r="G530" s="388">
        <v>312</v>
      </c>
      <c r="H530" s="388">
        <v>21</v>
      </c>
      <c r="I530" s="378">
        <f t="shared" si="55"/>
      </c>
      <c r="J530" s="379">
        <f t="shared" si="94"/>
      </c>
      <c r="K530" s="388">
        <v>0</v>
      </c>
      <c r="L530" s="379">
        <f t="shared" si="17"/>
      </c>
      <c r="M530" s="388">
        <v>0</v>
      </c>
      <c r="N530" s="380">
        <f t="shared" si="36"/>
      </c>
      <c r="O530" s="388">
        <v>0</v>
      </c>
      <c r="P530" s="380">
        <f t="shared" si="74"/>
      </c>
      <c r="Q530" s="381"/>
      <c r="R530" s="389"/>
      <c r="S530" s="381"/>
      <c r="T530" s="389"/>
      <c r="U530" s="382"/>
      <c r="V530" s="383"/>
      <c r="W530" s="388"/>
      <c r="X530" s="383"/>
      <c r="Y530" s="381"/>
      <c r="Z530" s="383"/>
      <c r="AA530" s="383"/>
      <c r="AB530" s="388"/>
      <c r="AC530" s="388"/>
      <c r="AD530" s="381"/>
      <c r="AE530" s="383"/>
      <c r="AF530" s="383" t="s">
        <v>1100</v>
      </c>
    </row>
    <row r="531">
      <c r="A531" s="371"/>
      <c r="B531" s="372"/>
      <c r="C531" s="373"/>
      <c r="D531" s="374" t="s">
        <v>1071</v>
      </c>
      <c r="E531" s="388">
        <v>123.35</v>
      </c>
      <c r="F531" s="387"/>
      <c r="G531" s="388">
        <v>595</v>
      </c>
      <c r="H531" s="388">
        <v>82</v>
      </c>
      <c r="I531" s="378">
        <f t="shared" si="55"/>
      </c>
      <c r="J531" s="379">
        <f t="shared" si="94"/>
      </c>
      <c r="K531" s="388">
        <v>2</v>
      </c>
      <c r="L531" s="379">
        <f t="shared" si="17"/>
      </c>
      <c r="M531" s="388">
        <v>0</v>
      </c>
      <c r="N531" s="380">
        <f t="shared" si="36"/>
      </c>
      <c r="O531" s="388">
        <v>0</v>
      </c>
      <c r="P531" s="380">
        <f t="shared" si="74"/>
      </c>
      <c r="Q531" s="381"/>
      <c r="R531" s="389"/>
      <c r="S531" s="381"/>
      <c r="T531" s="389"/>
      <c r="U531" s="382"/>
      <c r="V531" s="383"/>
      <c r="W531" s="388"/>
      <c r="X531" s="383"/>
      <c r="Y531" s="381"/>
      <c r="Z531" s="383"/>
      <c r="AA531" s="383"/>
      <c r="AB531" s="388"/>
      <c r="AC531" s="388"/>
      <c r="AD531" s="381"/>
      <c r="AE531" s="383"/>
      <c r="AF531" s="383"/>
    </row>
    <row r="532">
      <c r="A532" s="371"/>
      <c r="B532" s="372" t="s">
        <v>1072</v>
      </c>
      <c r="C532" s="373" t="s">
        <v>1066</v>
      </c>
      <c r="D532" s="374" t="s">
        <v>1067</v>
      </c>
      <c r="E532" s="386">
        <v>532.07</v>
      </c>
      <c r="F532" s="387">
        <f>E532+E533+E534</f>
      </c>
      <c r="G532" s="388">
        <v>3459</v>
      </c>
      <c r="H532" s="388">
        <v>90</v>
      </c>
      <c r="I532" s="378">
        <f t="shared" si="55"/>
      </c>
      <c r="J532" s="379">
        <f t="shared" si="94"/>
      </c>
      <c r="K532" s="388">
        <v>10</v>
      </c>
      <c r="L532" s="379">
        <f t="shared" si="17"/>
      </c>
      <c r="M532" s="388">
        <v>0</v>
      </c>
      <c r="N532" s="380">
        <f t="shared" si="36"/>
      </c>
      <c r="O532" s="388">
        <v>1</v>
      </c>
      <c r="P532" s="380">
        <f t="shared" si="74"/>
      </c>
      <c r="Q532" s="381">
        <f>(M532+M534+M533)/(O532+O534+O533)</f>
      </c>
      <c r="R532" s="389">
        <v>1</v>
      </c>
      <c r="S532" s="381">
        <f>(O532+O534)/(K532+K534)</f>
      </c>
      <c r="T532" s="389">
        <v>0</v>
      </c>
      <c r="U532" s="382">
        <f>F532/T532</f>
      </c>
      <c r="V532" s="383">
        <f>(F532+4*500)/T532</f>
      </c>
      <c r="W532" s="388">
        <v>0</v>
      </c>
      <c r="X532" s="383">
        <f>W532/T532</f>
      </c>
      <c r="Y532" s="381">
        <f>T532/R532</f>
      </c>
      <c r="Z532" s="383">
        <f>W532/F532</f>
      </c>
      <c r="AA532" s="383">
        <f>W532/(F532+500)</f>
      </c>
      <c r="AB532" s="388">
        <v>0</v>
      </c>
      <c r="AC532" s="388">
        <v>0</v>
      </c>
      <c r="AD532" s="381">
        <f>AB532/T532</f>
      </c>
      <c r="AE532" s="383">
        <f>(W532-AC532)/(F532+500)</f>
      </c>
      <c r="AF532" s="383" t="s">
        <v>1092</v>
      </c>
    </row>
    <row r="533">
      <c r="A533" s="371"/>
      <c r="B533" s="372"/>
      <c r="C533" s="373"/>
      <c r="D533" s="374" t="s">
        <v>1069</v>
      </c>
      <c r="E533" s="390">
        <v>126.12</v>
      </c>
      <c r="F533" s="387"/>
      <c r="G533" s="388">
        <v>235</v>
      </c>
      <c r="H533" s="388">
        <v>21</v>
      </c>
      <c r="I533" s="378">
        <f t="shared" si="55"/>
      </c>
      <c r="J533" s="379">
        <f t="shared" si="94"/>
      </c>
      <c r="K533" s="388">
        <v>0</v>
      </c>
      <c r="L533" s="379">
        <f t="shared" si="17"/>
      </c>
      <c r="M533" s="388">
        <v>0</v>
      </c>
      <c r="N533" s="380">
        <f t="shared" si="36"/>
      </c>
      <c r="O533" s="388">
        <v>0</v>
      </c>
      <c r="P533" s="380">
        <f t="shared" si="74"/>
      </c>
      <c r="Q533" s="381"/>
      <c r="R533" s="389"/>
      <c r="S533" s="381"/>
      <c r="T533" s="389"/>
      <c r="U533" s="382"/>
      <c r="V533" s="383"/>
      <c r="W533" s="388"/>
      <c r="X533" s="383"/>
      <c r="Y533" s="381"/>
      <c r="Z533" s="383"/>
      <c r="AA533" s="383"/>
      <c r="AB533" s="388"/>
      <c r="AC533" s="388"/>
      <c r="AD533" s="381"/>
      <c r="AE533" s="383"/>
      <c r="AF533" s="383" t="s">
        <v>1100</v>
      </c>
    </row>
    <row r="534">
      <c r="A534" s="371"/>
      <c r="B534" s="372"/>
      <c r="C534" s="373"/>
      <c r="D534" s="374" t="s">
        <v>1071</v>
      </c>
      <c r="E534" s="388">
        <v>209.03</v>
      </c>
      <c r="F534" s="387"/>
      <c r="G534" s="388">
        <v>697</v>
      </c>
      <c r="H534" s="388">
        <v>58</v>
      </c>
      <c r="I534" s="378">
        <f t="shared" si="55"/>
      </c>
      <c r="J534" s="379">
        <f t="shared" si="94"/>
      </c>
      <c r="K534" s="388">
        <v>2</v>
      </c>
      <c r="L534" s="379">
        <f t="shared" si="17"/>
      </c>
      <c r="M534" s="388">
        <v>0</v>
      </c>
      <c r="N534" s="380">
        <f t="shared" si="36"/>
      </c>
      <c r="O534" s="388">
        <v>0</v>
      </c>
      <c r="P534" s="380">
        <f t="shared" si="74"/>
      </c>
      <c r="Q534" s="381"/>
      <c r="R534" s="389"/>
      <c r="S534" s="381"/>
      <c r="T534" s="389"/>
      <c r="U534" s="382"/>
      <c r="V534" s="383"/>
      <c r="W534" s="388"/>
      <c r="X534" s="383"/>
      <c r="Y534" s="381"/>
      <c r="Z534" s="383"/>
      <c r="AA534" s="383"/>
      <c r="AB534" s="388"/>
      <c r="AC534" s="388"/>
      <c r="AD534" s="381"/>
      <c r="AE534" s="383"/>
      <c r="AF534" s="383"/>
    </row>
    <row r="535">
      <c r="A535" s="371"/>
      <c r="B535" s="372" t="s">
        <v>1073</v>
      </c>
      <c r="C535" s="373" t="s">
        <v>1066</v>
      </c>
      <c r="D535" s="374" t="s">
        <v>1067</v>
      </c>
      <c r="E535" s="386">
        <v>280.95</v>
      </c>
      <c r="F535" s="387">
        <f>E535+E536+E537</f>
      </c>
      <c r="G535" s="388">
        <v>2146</v>
      </c>
      <c r="H535" s="388">
        <v>38</v>
      </c>
      <c r="I535" s="378">
        <f t="shared" si="55"/>
      </c>
      <c r="J535" s="379">
        <f t="shared" si="94"/>
      </c>
      <c r="K535" s="388">
        <v>2</v>
      </c>
      <c r="L535" s="379">
        <f t="shared" si="17"/>
      </c>
      <c r="M535" s="388">
        <v>0</v>
      </c>
      <c r="N535" s="380">
        <f t="shared" si="36"/>
      </c>
      <c r="O535" s="388">
        <v>0</v>
      </c>
      <c r="P535" s="380">
        <f t="shared" si="74"/>
      </c>
      <c r="Q535" s="381">
        <f>(M535+M537+M536)/(O535+O537+O536)</f>
      </c>
      <c r="R535" s="389">
        <v>0</v>
      </c>
      <c r="S535" s="381">
        <f>(O535+O537)/(K535+K537)</f>
      </c>
      <c r="T535" s="389">
        <v>0</v>
      </c>
      <c r="U535" s="382">
        <f>F535/T535</f>
      </c>
      <c r="V535" s="383">
        <f>(F535+4*500)/T535</f>
      </c>
      <c r="W535" s="388">
        <v>0</v>
      </c>
      <c r="X535" s="383">
        <f>W535/T535</f>
      </c>
      <c r="Y535" s="381">
        <f>T535/R535</f>
      </c>
      <c r="Z535" s="383">
        <f>W535/F535</f>
      </c>
      <c r="AA535" s="383">
        <f>W535/(F535+500)</f>
      </c>
      <c r="AB535" s="388">
        <v>0</v>
      </c>
      <c r="AC535" s="388">
        <v>0</v>
      </c>
      <c r="AD535" s="381">
        <f>AB535/T535</f>
      </c>
      <c r="AE535" s="383">
        <f>(W535-AC535)/(F535+500)</f>
      </c>
      <c r="AF535" s="383" t="s">
        <v>1092</v>
      </c>
    </row>
    <row r="536">
      <c r="A536" s="371"/>
      <c r="B536" s="372"/>
      <c r="C536" s="373"/>
      <c r="D536" s="374" t="s">
        <v>1069</v>
      </c>
      <c r="E536" s="390">
        <v>75.73</v>
      </c>
      <c r="F536" s="387"/>
      <c r="G536" s="388">
        <v>217</v>
      </c>
      <c r="H536" s="388">
        <v>13</v>
      </c>
      <c r="I536" s="378">
        <f t="shared" si="55"/>
      </c>
      <c r="J536" s="379">
        <f t="shared" si="94"/>
      </c>
      <c r="K536" s="388">
        <v>1</v>
      </c>
      <c r="L536" s="379">
        <f t="shared" si="17"/>
      </c>
      <c r="M536" s="388">
        <v>0</v>
      </c>
      <c r="N536" s="380">
        <f t="shared" si="36"/>
      </c>
      <c r="O536" s="388">
        <v>0</v>
      </c>
      <c r="P536" s="380">
        <f t="shared" si="74"/>
      </c>
      <c r="Q536" s="381"/>
      <c r="R536" s="389"/>
      <c r="S536" s="381"/>
      <c r="T536" s="389"/>
      <c r="U536" s="382"/>
      <c r="V536" s="383"/>
      <c r="W536" s="388"/>
      <c r="X536" s="383"/>
      <c r="Y536" s="381"/>
      <c r="Z536" s="383"/>
      <c r="AA536" s="383"/>
      <c r="AB536" s="388"/>
      <c r="AC536" s="388"/>
      <c r="AD536" s="381"/>
      <c r="AE536" s="383"/>
      <c r="AF536" s="383" t="s">
        <v>1100</v>
      </c>
    </row>
    <row r="537">
      <c r="A537" s="371"/>
      <c r="B537" s="372"/>
      <c r="C537" s="373"/>
      <c r="D537" s="374" t="s">
        <v>1071</v>
      </c>
      <c r="E537" s="388">
        <v>94.06</v>
      </c>
      <c r="F537" s="387"/>
      <c r="G537" s="388">
        <v>687</v>
      </c>
      <c r="H537" s="388">
        <v>42</v>
      </c>
      <c r="I537" s="378">
        <f t="shared" si="55"/>
      </c>
      <c r="J537" s="379">
        <f t="shared" si="94"/>
      </c>
      <c r="K537" s="388">
        <v>1</v>
      </c>
      <c r="L537" s="379">
        <f t="shared" si="17"/>
      </c>
      <c r="M537" s="388">
        <v>0</v>
      </c>
      <c r="N537" s="380">
        <f t="shared" si="36"/>
      </c>
      <c r="O537" s="388">
        <v>0</v>
      </c>
      <c r="P537" s="380">
        <f t="shared" si="74"/>
      </c>
      <c r="Q537" s="381"/>
      <c r="R537" s="389"/>
      <c r="S537" s="381"/>
      <c r="T537" s="389"/>
      <c r="U537" s="382"/>
      <c r="V537" s="383"/>
      <c r="W537" s="388"/>
      <c r="X537" s="383"/>
      <c r="Y537" s="381"/>
      <c r="Z537" s="383"/>
      <c r="AA537" s="383"/>
      <c r="AB537" s="388"/>
      <c r="AC537" s="388"/>
      <c r="AD537" s="381"/>
      <c r="AE537" s="383"/>
      <c r="AF537" s="383"/>
    </row>
    <row r="538">
      <c r="A538" s="371"/>
      <c r="B538" s="372" t="s">
        <v>1074</v>
      </c>
      <c r="C538" s="373" t="s">
        <v>1066</v>
      </c>
      <c r="D538" s="374" t="s">
        <v>1067</v>
      </c>
      <c r="E538" s="386">
        <v>467.79</v>
      </c>
      <c r="F538" s="387">
        <f>E538+E539+E540</f>
      </c>
      <c r="G538" s="388">
        <v>2959</v>
      </c>
      <c r="H538" s="388">
        <v>51</v>
      </c>
      <c r="I538" s="378">
        <f t="shared" si="55"/>
      </c>
      <c r="J538" s="379">
        <f t="shared" si="94"/>
      </c>
      <c r="K538" s="388">
        <v>1</v>
      </c>
      <c r="L538" s="379">
        <f t="shared" si="17"/>
      </c>
      <c r="M538" s="388">
        <v>0</v>
      </c>
      <c r="N538" s="380">
        <f t="shared" si="36"/>
      </c>
      <c r="O538" s="388">
        <v>1</v>
      </c>
      <c r="P538" s="380">
        <f t="shared" si="74"/>
      </c>
      <c r="Q538" s="381">
        <f>(M538+M540+M539)/(O538+O540+O539)</f>
      </c>
      <c r="R538" s="389">
        <v>1</v>
      </c>
      <c r="S538" s="381">
        <f>(O538+O540)/(K538+K540)</f>
      </c>
      <c r="T538" s="389">
        <v>0</v>
      </c>
      <c r="U538" s="382">
        <f>F538/T538</f>
      </c>
      <c r="V538" s="383">
        <f>(F538+4*500)/T538</f>
      </c>
      <c r="W538" s="388">
        <v>0</v>
      </c>
      <c r="X538" s="383">
        <f>W538/T538</f>
      </c>
      <c r="Y538" s="381">
        <f>T538/R538</f>
      </c>
      <c r="Z538" s="383">
        <f>W538/F538</f>
      </c>
      <c r="AA538" s="383">
        <f>W538/(F538+500)</f>
      </c>
      <c r="AB538" s="388">
        <v>0</v>
      </c>
      <c r="AC538" s="388">
        <v>0</v>
      </c>
      <c r="AD538" s="381">
        <f>AB538/T538</f>
      </c>
      <c r="AE538" s="383">
        <f>(W538-AC538)/(F538+500)</f>
      </c>
      <c r="AF538" s="383" t="s">
        <v>1092</v>
      </c>
    </row>
    <row r="539">
      <c r="A539" s="371"/>
      <c r="B539" s="372"/>
      <c r="C539" s="373"/>
      <c r="D539" s="374" t="s">
        <v>1069</v>
      </c>
      <c r="E539" s="390">
        <v>142.3</v>
      </c>
      <c r="F539" s="387"/>
      <c r="G539" s="388">
        <v>578</v>
      </c>
      <c r="H539" s="388">
        <v>29</v>
      </c>
      <c r="I539" s="378">
        <f t="shared" si="55"/>
      </c>
      <c r="J539" s="379">
        <f t="shared" si="94"/>
      </c>
      <c r="K539" s="388">
        <v>1</v>
      </c>
      <c r="L539" s="379">
        <f t="shared" si="17"/>
      </c>
      <c r="M539" s="388">
        <v>0</v>
      </c>
      <c r="N539" s="380">
        <f t="shared" si="36"/>
      </c>
      <c r="O539" s="388">
        <v>0</v>
      </c>
      <c r="P539" s="380">
        <f t="shared" si="74"/>
      </c>
      <c r="Q539" s="381"/>
      <c r="R539" s="389"/>
      <c r="S539" s="381"/>
      <c r="T539" s="389"/>
      <c r="U539" s="382"/>
      <c r="V539" s="383"/>
      <c r="W539" s="388"/>
      <c r="X539" s="383"/>
      <c r="Y539" s="381"/>
      <c r="Z539" s="383"/>
      <c r="AA539" s="383"/>
      <c r="AB539" s="388"/>
      <c r="AC539" s="388"/>
      <c r="AD539" s="381"/>
      <c r="AE539" s="383"/>
      <c r="AF539" s="383" t="s">
        <v>1100</v>
      </c>
    </row>
    <row r="540">
      <c r="A540" s="371"/>
      <c r="B540" s="372"/>
      <c r="C540" s="373"/>
      <c r="D540" s="374" t="s">
        <v>1071</v>
      </c>
      <c r="E540" s="388">
        <v>84.81</v>
      </c>
      <c r="F540" s="387"/>
      <c r="G540" s="388">
        <v>34</v>
      </c>
      <c r="H540" s="388">
        <v>5</v>
      </c>
      <c r="I540" s="378">
        <f t="shared" si="55"/>
      </c>
      <c r="J540" s="379">
        <f t="shared" si="94"/>
      </c>
      <c r="K540" s="388">
        <v>1</v>
      </c>
      <c r="L540" s="379">
        <f t="shared" si="17"/>
      </c>
      <c r="M540" s="388">
        <v>0</v>
      </c>
      <c r="N540" s="380">
        <f t="shared" si="36"/>
      </c>
      <c r="O540" s="388">
        <v>0</v>
      </c>
      <c r="P540" s="380">
        <f t="shared" si="74"/>
      </c>
      <c r="Q540" s="381"/>
      <c r="R540" s="389"/>
      <c r="S540" s="381"/>
      <c r="T540" s="389"/>
      <c r="U540" s="382"/>
      <c r="V540" s="383"/>
      <c r="W540" s="388"/>
      <c r="X540" s="383"/>
      <c r="Y540" s="381"/>
      <c r="Z540" s="383"/>
      <c r="AA540" s="383"/>
      <c r="AB540" s="388"/>
      <c r="AC540" s="388"/>
      <c r="AD540" s="381"/>
      <c r="AE540" s="383"/>
      <c r="AF540" s="383"/>
    </row>
    <row r="541">
      <c r="A541" s="371"/>
      <c r="B541" s="372" t="s">
        <v>1075</v>
      </c>
      <c r="C541" s="373" t="s">
        <v>1066</v>
      </c>
      <c r="D541" s="374" t="s">
        <v>1067</v>
      </c>
      <c r="E541" s="386">
        <v>475.14</v>
      </c>
      <c r="F541" s="387">
        <f>E541+E542+E543</f>
      </c>
      <c r="G541" s="388">
        <v>3190</v>
      </c>
      <c r="H541" s="388">
        <v>111</v>
      </c>
      <c r="I541" s="378">
        <f t="shared" si="55"/>
      </c>
      <c r="J541" s="379">
        <f t="shared" si="94"/>
      </c>
      <c r="K541" s="388">
        <v>5</v>
      </c>
      <c r="L541" s="379">
        <f t="shared" si="17"/>
      </c>
      <c r="M541" s="388">
        <v>0</v>
      </c>
      <c r="N541" s="380">
        <f t="shared" si="36"/>
      </c>
      <c r="O541" s="388">
        <v>0</v>
      </c>
      <c r="P541" s="380">
        <f t="shared" si="74"/>
      </c>
      <c r="Q541" s="381">
        <f>(M541+M543+M542)/(O541+O543+O542)</f>
      </c>
      <c r="R541" s="389">
        <v>2</v>
      </c>
      <c r="S541" s="381">
        <f>(O541+O543)/(K541+K543)</f>
      </c>
      <c r="T541" s="389">
        <v>0</v>
      </c>
      <c r="U541" s="382">
        <f>F541/T541</f>
      </c>
      <c r="V541" s="383">
        <f>(F541+4*500)/T541</f>
      </c>
      <c r="W541" s="388">
        <v>0</v>
      </c>
      <c r="X541" s="383">
        <f>W541/T541</f>
      </c>
      <c r="Y541" s="381">
        <f>T541/R541</f>
      </c>
      <c r="Z541" s="383">
        <f>W541/F541</f>
      </c>
      <c r="AA541" s="383">
        <f>W541/(F541+500)</f>
      </c>
      <c r="AB541" s="388">
        <v>0</v>
      </c>
      <c r="AC541" s="388">
        <v>0</v>
      </c>
      <c r="AD541" s="381">
        <f>AB541/T541</f>
      </c>
      <c r="AE541" s="383">
        <f>(W541-AC541)/(F541+500)</f>
      </c>
      <c r="AF541" s="383" t="s">
        <v>1092</v>
      </c>
    </row>
    <row r="542">
      <c r="A542" s="371"/>
      <c r="B542" s="372"/>
      <c r="C542" s="373"/>
      <c r="D542" s="374" t="s">
        <v>1069</v>
      </c>
      <c r="E542" s="390">
        <v>241.07</v>
      </c>
      <c r="F542" s="387"/>
      <c r="G542" s="388">
        <v>302</v>
      </c>
      <c r="H542" s="388">
        <v>20</v>
      </c>
      <c r="I542" s="378">
        <f t="shared" si="55"/>
      </c>
      <c r="J542" s="379">
        <f t="shared" si="94"/>
      </c>
      <c r="K542" s="388">
        <v>1</v>
      </c>
      <c r="L542" s="379">
        <f t="shared" si="17"/>
      </c>
      <c r="M542" s="388">
        <v>0</v>
      </c>
      <c r="N542" s="380">
        <f t="shared" si="36"/>
      </c>
      <c r="O542" s="388">
        <v>0</v>
      </c>
      <c r="P542" s="380">
        <f t="shared" si="74"/>
      </c>
      <c r="Q542" s="381"/>
      <c r="R542" s="389"/>
      <c r="S542" s="381"/>
      <c r="T542" s="389"/>
      <c r="U542" s="382"/>
      <c r="V542" s="383"/>
      <c r="W542" s="388"/>
      <c r="X542" s="383"/>
      <c r="Y542" s="381"/>
      <c r="Z542" s="383"/>
      <c r="AA542" s="383"/>
      <c r="AB542" s="388"/>
      <c r="AC542" s="388"/>
      <c r="AD542" s="381"/>
      <c r="AE542" s="383"/>
      <c r="AF542" s="383" t="s">
        <v>1100</v>
      </c>
    </row>
    <row r="543">
      <c r="A543" s="371"/>
      <c r="B543" s="372"/>
      <c r="C543" s="373"/>
      <c r="D543" s="374" t="s">
        <v>1071</v>
      </c>
      <c r="E543" s="388">
        <v>80.95</v>
      </c>
      <c r="F543" s="387"/>
      <c r="G543" s="388">
        <v>24</v>
      </c>
      <c r="H543" s="388">
        <v>4</v>
      </c>
      <c r="I543" s="378">
        <f t="shared" si="55"/>
      </c>
      <c r="J543" s="379">
        <f t="shared" si="94"/>
      </c>
      <c r="K543" s="388">
        <v>0</v>
      </c>
      <c r="L543" s="379">
        <f t="shared" si="17"/>
      </c>
      <c r="M543" s="388">
        <v>0</v>
      </c>
      <c r="N543" s="380">
        <f t="shared" si="36"/>
      </c>
      <c r="O543" s="388">
        <v>0</v>
      </c>
      <c r="P543" s="380">
        <f t="shared" si="74"/>
      </c>
      <c r="Q543" s="381"/>
      <c r="R543" s="389"/>
      <c r="S543" s="381"/>
      <c r="T543" s="389"/>
      <c r="U543" s="382"/>
      <c r="V543" s="383"/>
      <c r="W543" s="388"/>
      <c r="X543" s="383"/>
      <c r="Y543" s="381"/>
      <c r="Z543" s="383"/>
      <c r="AA543" s="383"/>
      <c r="AB543" s="388"/>
      <c r="AC543" s="388"/>
      <c r="AD543" s="381"/>
      <c r="AE543" s="383"/>
      <c r="AF543" s="383"/>
    </row>
    <row r="544">
      <c r="A544" s="371"/>
      <c r="B544" s="372" t="s">
        <v>1077</v>
      </c>
      <c r="C544" s="373" t="s">
        <v>1084</v>
      </c>
      <c r="D544" s="374" t="s">
        <v>1067</v>
      </c>
      <c r="E544" s="386">
        <v>397.7</v>
      </c>
      <c r="F544" s="387">
        <f>E544+E545+E546</f>
      </c>
      <c r="G544" s="388">
        <v>2510</v>
      </c>
      <c r="H544" s="388">
        <v>70</v>
      </c>
      <c r="I544" s="378">
        <f t="shared" si="55"/>
      </c>
      <c r="J544" s="379">
        <f t="shared" si="94"/>
      </c>
      <c r="K544" s="388">
        <v>8</v>
      </c>
      <c r="L544" s="379">
        <f t="shared" si="17"/>
      </c>
      <c r="M544" s="388">
        <v>0</v>
      </c>
      <c r="N544" s="380">
        <f t="shared" si="36"/>
      </c>
      <c r="O544" s="388">
        <v>0</v>
      </c>
      <c r="P544" s="380">
        <f t="shared" si="74"/>
      </c>
      <c r="Q544" s="381">
        <f>(M544+M546+M545)/(O544+O546+O545)</f>
      </c>
      <c r="R544" s="389">
        <v>3</v>
      </c>
      <c r="S544" s="381">
        <f>(O544+O546)/(K544+K546)</f>
      </c>
      <c r="T544" s="389">
        <v>1</v>
      </c>
      <c r="U544" s="382">
        <f>F544/T544</f>
      </c>
      <c r="V544" s="383">
        <f>(F544+4*500)/T544</f>
      </c>
      <c r="W544" s="388">
        <v>2071.2</v>
      </c>
      <c r="X544" s="383">
        <f>W544/T544</f>
      </c>
      <c r="Y544" s="381">
        <f>T544/R544</f>
      </c>
      <c r="Z544" s="383">
        <f>W544/F544</f>
      </c>
      <c r="AA544" s="383">
        <f>W544/(F544+500)</f>
      </c>
      <c r="AB544" s="388">
        <v>0</v>
      </c>
      <c r="AC544" s="388">
        <v>0</v>
      </c>
      <c r="AD544" s="381">
        <f>AB544/T544</f>
      </c>
      <c r="AE544" s="383">
        <f>(W544-AC544)/(F544+500)</f>
      </c>
      <c r="AF544" s="383" t="s">
        <v>1092</v>
      </c>
    </row>
    <row r="545">
      <c r="A545" s="371"/>
      <c r="B545" s="372"/>
      <c r="C545" s="373"/>
      <c r="D545" s="374" t="s">
        <v>1069</v>
      </c>
      <c r="E545" s="390">
        <v>246.68</v>
      </c>
      <c r="F545" s="387"/>
      <c r="G545" s="388">
        <v>285</v>
      </c>
      <c r="H545" s="388">
        <v>23</v>
      </c>
      <c r="I545" s="378">
        <f t="shared" si="55"/>
      </c>
      <c r="J545" s="379">
        <f t="shared" si="94"/>
      </c>
      <c r="K545" s="388">
        <v>5</v>
      </c>
      <c r="L545" s="379">
        <f t="shared" si="17"/>
      </c>
      <c r="M545" s="388">
        <v>1</v>
      </c>
      <c r="N545" s="380">
        <f t="shared" si="36"/>
      </c>
      <c r="O545" s="388">
        <v>1</v>
      </c>
      <c r="P545" s="380">
        <f t="shared" si="74"/>
      </c>
      <c r="Q545" s="381"/>
      <c r="R545" s="389"/>
      <c r="S545" s="381"/>
      <c r="T545" s="389"/>
      <c r="U545" s="382"/>
      <c r="V545" s="383"/>
      <c r="W545" s="388"/>
      <c r="X545" s="383"/>
      <c r="Y545" s="381"/>
      <c r="Z545" s="383"/>
      <c r="AA545" s="383"/>
      <c r="AB545" s="388"/>
      <c r="AC545" s="388"/>
      <c r="AD545" s="381"/>
      <c r="AE545" s="383"/>
      <c r="AF545" s="383" t="s">
        <v>1096</v>
      </c>
    </row>
    <row r="546">
      <c r="A546" s="371"/>
      <c r="B546" s="372"/>
      <c r="C546" s="373"/>
      <c r="D546" s="374" t="s">
        <v>1071</v>
      </c>
      <c r="E546" s="388">
        <v>5.89</v>
      </c>
      <c r="F546" s="387"/>
      <c r="G546" s="388">
        <v>22</v>
      </c>
      <c r="H546" s="388">
        <v>1</v>
      </c>
      <c r="I546" s="378">
        <f t="shared" si="55"/>
      </c>
      <c r="J546" s="379">
        <f t="shared" si="94"/>
      </c>
      <c r="K546" s="388">
        <v>0</v>
      </c>
      <c r="L546" s="379">
        <f t="shared" si="17"/>
      </c>
      <c r="M546" s="388">
        <v>0</v>
      </c>
      <c r="N546" s="380">
        <f t="shared" si="36"/>
      </c>
      <c r="O546" s="388">
        <v>0</v>
      </c>
      <c r="P546" s="380">
        <f t="shared" si="74"/>
      </c>
      <c r="Q546" s="381"/>
      <c r="R546" s="389"/>
      <c r="S546" s="381"/>
      <c r="T546" s="389"/>
      <c r="U546" s="382"/>
      <c r="V546" s="383"/>
      <c r="W546" s="388"/>
      <c r="X546" s="383"/>
      <c r="Y546" s="381"/>
      <c r="Z546" s="383"/>
      <c r="AA546" s="383"/>
      <c r="AB546" s="388"/>
      <c r="AC546" s="388"/>
      <c r="AD546" s="381"/>
      <c r="AE546" s="383"/>
      <c r="AF546" s="383"/>
    </row>
    <row r="547">
      <c r="A547" s="371"/>
      <c r="B547" s="372" t="s">
        <v>1078</v>
      </c>
      <c r="C547" s="373" t="s">
        <v>1084</v>
      </c>
      <c r="D547" s="374" t="s">
        <v>1067</v>
      </c>
      <c r="E547" s="386">
        <v>449.97</v>
      </c>
      <c r="F547" s="387">
        <f>E547+E548+E549</f>
      </c>
      <c r="G547" s="388">
        <v>2860</v>
      </c>
      <c r="H547" s="388">
        <v>49</v>
      </c>
      <c r="I547" s="378">
        <f t="shared" si="55"/>
      </c>
      <c r="J547" s="379">
        <f t="shared" si="94"/>
      </c>
      <c r="K547" s="388">
        <v>6</v>
      </c>
      <c r="L547" s="379">
        <f t="shared" si="17"/>
      </c>
      <c r="M547" s="388">
        <v>0</v>
      </c>
      <c r="N547" s="380">
        <f t="shared" si="36"/>
      </c>
      <c r="O547" s="388">
        <v>1</v>
      </c>
      <c r="P547" s="380">
        <f t="shared" si="74"/>
      </c>
      <c r="Q547" s="381">
        <f>(M547+M549+M548)/(O547+O549+O548)</f>
      </c>
      <c r="R547" s="389">
        <v>2</v>
      </c>
      <c r="S547" s="381">
        <f>(O547+O549)/(K547+K549)</f>
      </c>
      <c r="T547" s="389">
        <v>1</v>
      </c>
      <c r="U547" s="382">
        <f>F547/T547</f>
      </c>
      <c r="V547" s="383">
        <f>(F547+4*500)/T547</f>
      </c>
      <c r="W547" s="388">
        <v>1404</v>
      </c>
      <c r="X547" s="383">
        <f>W547/T547</f>
      </c>
      <c r="Y547" s="381">
        <f>T547/R547</f>
      </c>
      <c r="Z547" s="383">
        <f>W547/F547</f>
      </c>
      <c r="AA547" s="383">
        <f>W547/(F547+500)</f>
      </c>
      <c r="AB547" s="388">
        <v>0</v>
      </c>
      <c r="AC547" s="388">
        <v>0</v>
      </c>
      <c r="AD547" s="381">
        <f>AB547/T547</f>
      </c>
      <c r="AE547" s="383">
        <f>(W547-AC547)/(F547+500)</f>
      </c>
      <c r="AF547" s="383" t="s">
        <v>1092</v>
      </c>
    </row>
    <row r="548">
      <c r="A548" s="371"/>
      <c r="B548" s="372"/>
      <c r="C548" s="373"/>
      <c r="D548" s="374" t="s">
        <v>1069</v>
      </c>
      <c r="E548" s="390">
        <v>62.6</v>
      </c>
      <c r="F548" s="387"/>
      <c r="G548" s="388">
        <v>360</v>
      </c>
      <c r="H548" s="388">
        <v>17</v>
      </c>
      <c r="I548" s="378">
        <f t="shared" si="55"/>
      </c>
      <c r="J548" s="379">
        <f t="shared" si="94"/>
      </c>
      <c r="K548" s="388">
        <v>3</v>
      </c>
      <c r="L548" s="379">
        <f t="shared" si="17"/>
      </c>
      <c r="M548" s="388">
        <v>1</v>
      </c>
      <c r="N548" s="380">
        <f t="shared" si="36"/>
      </c>
      <c r="O548" s="388">
        <v>1</v>
      </c>
      <c r="P548" s="380">
        <f t="shared" si="74"/>
      </c>
      <c r="Q548" s="381"/>
      <c r="R548" s="389"/>
      <c r="S548" s="381"/>
      <c r="T548" s="389"/>
      <c r="U548" s="382"/>
      <c r="V548" s="383"/>
      <c r="W548" s="388"/>
      <c r="X548" s="383"/>
      <c r="Y548" s="381"/>
      <c r="Z548" s="383"/>
      <c r="AA548" s="383"/>
      <c r="AB548" s="388"/>
      <c r="AC548" s="388"/>
      <c r="AD548" s="381"/>
      <c r="AE548" s="383"/>
      <c r="AF548" s="383" t="s">
        <v>1096</v>
      </c>
    </row>
    <row r="549">
      <c r="A549" s="371"/>
      <c r="B549" s="372"/>
      <c r="C549" s="373"/>
      <c r="D549" s="374" t="s">
        <v>1071</v>
      </c>
      <c r="E549" s="388">
        <v>2.33</v>
      </c>
      <c r="F549" s="387"/>
      <c r="G549" s="388">
        <v>28</v>
      </c>
      <c r="H549" s="388">
        <v>1</v>
      </c>
      <c r="I549" s="378">
        <f t="shared" si="55"/>
      </c>
      <c r="J549" s="379">
        <f t="shared" si="94"/>
      </c>
      <c r="K549" s="388">
        <v>0</v>
      </c>
      <c r="L549" s="379">
        <f t="shared" si="17"/>
      </c>
      <c r="M549" s="388">
        <v>0</v>
      </c>
      <c r="N549" s="380">
        <f t="shared" si="36"/>
      </c>
      <c r="O549" s="388">
        <v>0</v>
      </c>
      <c r="P549" s="380">
        <f t="shared" si="74"/>
      </c>
      <c r="Q549" s="381"/>
      <c r="R549" s="389"/>
      <c r="S549" s="381"/>
      <c r="T549" s="389"/>
      <c r="U549" s="382"/>
      <c r="V549" s="383"/>
      <c r="W549" s="388"/>
      <c r="X549" s="383"/>
      <c r="Y549" s="381"/>
      <c r="Z549" s="383"/>
      <c r="AA549" s="383"/>
      <c r="AB549" s="388"/>
      <c r="AC549" s="388"/>
      <c r="AD549" s="381"/>
      <c r="AE549" s="383"/>
      <c r="AF549" s="383"/>
    </row>
    <row r="550">
      <c r="A550" s="371"/>
      <c r="B550" s="372" t="s">
        <v>1079</v>
      </c>
      <c r="C550" s="373" t="s">
        <v>1084</v>
      </c>
      <c r="D550" s="374" t="s">
        <v>1067</v>
      </c>
      <c r="E550" s="386">
        <v>246.32</v>
      </c>
      <c r="F550" s="387">
        <f>E550+E551+E552</f>
      </c>
      <c r="G550" s="388">
        <v>2813</v>
      </c>
      <c r="H550" s="388">
        <v>36</v>
      </c>
      <c r="I550" s="378">
        <f t="shared" si="55"/>
      </c>
      <c r="J550" s="379">
        <f t="shared" si="94"/>
      </c>
      <c r="K550" s="388">
        <v>4</v>
      </c>
      <c r="L550" s="379">
        <f t="shared" si="17"/>
      </c>
      <c r="M550" s="388">
        <v>0</v>
      </c>
      <c r="N550" s="380">
        <f t="shared" si="36"/>
      </c>
      <c r="O550" s="388">
        <v>1</v>
      </c>
      <c r="P550" s="380">
        <f t="shared" si="74"/>
      </c>
      <c r="Q550" s="381">
        <f>(M550+M552+M551)/(O550+O552+O551)</f>
      </c>
      <c r="R550" s="389">
        <v>1</v>
      </c>
      <c r="S550" s="381">
        <f>(O550+O552)/(K550+K552)</f>
      </c>
      <c r="T550" s="389">
        <v>0</v>
      </c>
      <c r="U550" s="382">
        <f>F550/T550</f>
      </c>
      <c r="V550" s="383">
        <f>(F550+4*500)/T550</f>
      </c>
      <c r="W550" s="388">
        <v>0</v>
      </c>
      <c r="X550" s="383">
        <f>W550/T550</f>
      </c>
      <c r="Y550" s="381">
        <f>T550/R550</f>
      </c>
      <c r="Z550" s="383">
        <f>W550/F550</f>
      </c>
      <c r="AA550" s="383">
        <f>W550/(F550+500)</f>
      </c>
      <c r="AB550" s="388">
        <v>0</v>
      </c>
      <c r="AC550" s="388">
        <v>0</v>
      </c>
      <c r="AD550" s="381">
        <f>AB550/T550</f>
      </c>
      <c r="AE550" s="383">
        <f>(W550-AC550)/(F550+500)</f>
      </c>
      <c r="AF550" s="383" t="s">
        <v>1092</v>
      </c>
    </row>
    <row r="551">
      <c r="A551" s="371"/>
      <c r="B551" s="372"/>
      <c r="C551" s="373"/>
      <c r="D551" s="374" t="s">
        <v>1069</v>
      </c>
      <c r="E551" s="390">
        <v>195.04</v>
      </c>
      <c r="F551" s="387"/>
      <c r="G551" s="388">
        <v>608</v>
      </c>
      <c r="H551" s="388">
        <v>30</v>
      </c>
      <c r="I551" s="378">
        <f t="shared" si="55"/>
      </c>
      <c r="J551" s="379">
        <f t="shared" si="94"/>
      </c>
      <c r="K551" s="388">
        <v>5</v>
      </c>
      <c r="L551" s="379">
        <f t="shared" si="17"/>
      </c>
      <c r="M551" s="388">
        <v>0</v>
      </c>
      <c r="N551" s="380">
        <f t="shared" si="36"/>
      </c>
      <c r="O551" s="388">
        <v>0</v>
      </c>
      <c r="P551" s="380">
        <f t="shared" si="74"/>
      </c>
      <c r="Q551" s="381"/>
      <c r="R551" s="389"/>
      <c r="S551" s="381"/>
      <c r="T551" s="389"/>
      <c r="U551" s="382"/>
      <c r="V551" s="383"/>
      <c r="W551" s="388"/>
      <c r="X551" s="383"/>
      <c r="Y551" s="381"/>
      <c r="Z551" s="383"/>
      <c r="AA551" s="383"/>
      <c r="AB551" s="388"/>
      <c r="AC551" s="388"/>
      <c r="AD551" s="381"/>
      <c r="AE551" s="383"/>
      <c r="AF551" s="383" t="s">
        <v>1096</v>
      </c>
    </row>
    <row r="552">
      <c r="A552" s="371"/>
      <c r="B552" s="372"/>
      <c r="C552" s="373"/>
      <c r="D552" s="374" t="s">
        <v>1071</v>
      </c>
      <c r="E552" s="388">
        <v>8.25</v>
      </c>
      <c r="F552" s="387"/>
      <c r="G552" s="388">
        <v>20</v>
      </c>
      <c r="H552" s="388">
        <v>0</v>
      </c>
      <c r="I552" s="378">
        <f t="shared" si="55"/>
      </c>
      <c r="J552" s="379">
        <f t="shared" si="94"/>
      </c>
      <c r="K552" s="388">
        <v>0</v>
      </c>
      <c r="L552" s="379">
        <f t="shared" si="17"/>
      </c>
      <c r="M552" s="388">
        <v>0</v>
      </c>
      <c r="N552" s="380">
        <f t="shared" si="36"/>
      </c>
      <c r="O552" s="388">
        <v>0</v>
      </c>
      <c r="P552" s="380">
        <f t="shared" si="74"/>
      </c>
      <c r="Q552" s="381"/>
      <c r="R552" s="389"/>
      <c r="S552" s="381"/>
      <c r="T552" s="389"/>
      <c r="U552" s="382"/>
      <c r="V552" s="383"/>
      <c r="W552" s="388"/>
      <c r="X552" s="383"/>
      <c r="Y552" s="381"/>
      <c r="Z552" s="383"/>
      <c r="AA552" s="383"/>
      <c r="AB552" s="388"/>
      <c r="AC552" s="388"/>
      <c r="AD552" s="381"/>
      <c r="AE552" s="383"/>
      <c r="AF552" s="383"/>
    </row>
    <row r="553">
      <c r="A553" s="371"/>
      <c r="B553" s="385" t="s">
        <v>1080</v>
      </c>
      <c r="C553" s="373" t="s">
        <v>1084</v>
      </c>
      <c r="D553" s="374" t="s">
        <v>1067</v>
      </c>
      <c r="E553" s="386">
        <v>390.18</v>
      </c>
      <c r="F553" s="387">
        <f>E553+E554+E555</f>
      </c>
      <c r="G553" s="388">
        <v>3456</v>
      </c>
      <c r="H553" s="388">
        <v>65</v>
      </c>
      <c r="I553" s="378">
        <f t="shared" si="55"/>
      </c>
      <c r="J553" s="379">
        <f t="shared" si="94"/>
      </c>
      <c r="K553" s="388">
        <v>6</v>
      </c>
      <c r="L553" s="379">
        <f t="shared" si="17"/>
      </c>
      <c r="M553" s="388">
        <v>0</v>
      </c>
      <c r="N553" s="380">
        <f t="shared" si="36"/>
      </c>
      <c r="O553" s="388">
        <v>0</v>
      </c>
      <c r="P553" s="380">
        <f t="shared" si="74"/>
      </c>
      <c r="Q553" s="381">
        <f>(M553+M555+M554)/(O553+O555+O554)</f>
      </c>
      <c r="R553" s="389">
        <v>0</v>
      </c>
      <c r="S553" s="381">
        <f>(O553+O555)/(K553+K555)</f>
      </c>
      <c r="T553" s="389">
        <v>0</v>
      </c>
      <c r="U553" s="382">
        <f>F553/T553</f>
      </c>
      <c r="V553" s="383">
        <f>(F553+4*500)/T553</f>
      </c>
      <c r="W553" s="388">
        <v>0</v>
      </c>
      <c r="X553" s="383">
        <f>W553/T553</f>
      </c>
      <c r="Y553" s="381">
        <f>T553/R553</f>
      </c>
      <c r="Z553" s="383">
        <f>W553/F553</f>
      </c>
      <c r="AA553" s="383">
        <f>W553/(F553+500)</f>
      </c>
      <c r="AB553" s="388">
        <v>0</v>
      </c>
      <c r="AC553" s="388">
        <v>0</v>
      </c>
      <c r="AD553" s="381">
        <f>AB553/T553</f>
      </c>
      <c r="AE553" s="383">
        <f>(W553-AC553)/(F553+500)</f>
      </c>
      <c r="AF553" s="383" t="s">
        <v>1092</v>
      </c>
    </row>
    <row r="554">
      <c r="A554" s="371"/>
      <c r="B554" s="385"/>
      <c r="C554" s="373"/>
      <c r="D554" s="374" t="s">
        <v>1069</v>
      </c>
      <c r="E554" s="390">
        <v>276.26</v>
      </c>
      <c r="F554" s="387"/>
      <c r="G554" s="388">
        <v>624</v>
      </c>
      <c r="H554" s="388">
        <v>24</v>
      </c>
      <c r="I554" s="378">
        <f t="shared" si="55"/>
      </c>
      <c r="J554" s="379">
        <f t="shared" si="94"/>
      </c>
      <c r="K554" s="388">
        <v>3</v>
      </c>
      <c r="L554" s="379">
        <f t="shared" si="17"/>
      </c>
      <c r="M554" s="388">
        <v>0</v>
      </c>
      <c r="N554" s="380">
        <f t="shared" si="36"/>
      </c>
      <c r="O554" s="388">
        <v>0</v>
      </c>
      <c r="P554" s="380">
        <f t="shared" si="74"/>
      </c>
      <c r="Q554" s="381"/>
      <c r="R554" s="389"/>
      <c r="S554" s="381"/>
      <c r="T554" s="389"/>
      <c r="U554" s="382"/>
      <c r="V554" s="383"/>
      <c r="W554" s="388"/>
      <c r="X554" s="383"/>
      <c r="Y554" s="381"/>
      <c r="Z554" s="383"/>
      <c r="AA554" s="383"/>
      <c r="AB554" s="388"/>
      <c r="AC554" s="388"/>
      <c r="AD554" s="381"/>
      <c r="AE554" s="383"/>
      <c r="AF554" s="383" t="s">
        <v>1096</v>
      </c>
    </row>
    <row r="555">
      <c r="A555" s="371"/>
      <c r="B555" s="385"/>
      <c r="C555" s="373"/>
      <c r="D555" s="374" t="s">
        <v>1071</v>
      </c>
      <c r="E555" s="388">
        <v>4.27</v>
      </c>
      <c r="F555" s="387"/>
      <c r="G555" s="388">
        <v>24</v>
      </c>
      <c r="H555" s="388">
        <v>2</v>
      </c>
      <c r="I555" s="378">
        <f t="shared" si="55"/>
      </c>
      <c r="J555" s="379">
        <f t="shared" si="94"/>
      </c>
      <c r="K555" s="388">
        <v>0</v>
      </c>
      <c r="L555" s="379">
        <f t="shared" si="17"/>
      </c>
      <c r="M555" s="388">
        <v>0</v>
      </c>
      <c r="N555" s="380">
        <f t="shared" si="36"/>
      </c>
      <c r="O555" s="388">
        <v>0</v>
      </c>
      <c r="P555" s="380">
        <f t="shared" si="74"/>
      </c>
      <c r="Q555" s="381"/>
      <c r="R555" s="389"/>
      <c r="S555" s="381"/>
      <c r="T555" s="389"/>
      <c r="U555" s="382"/>
      <c r="V555" s="383"/>
      <c r="W555" s="388"/>
      <c r="X555" s="383"/>
      <c r="Y555" s="381"/>
      <c r="Z555" s="383"/>
      <c r="AA555" s="383"/>
      <c r="AB555" s="388"/>
      <c r="AC555" s="388"/>
      <c r="AD555" s="381"/>
      <c r="AE555" s="383"/>
      <c r="AF555" s="383"/>
    </row>
    <row r="556">
      <c r="A556" s="371"/>
      <c r="B556" s="372" t="s">
        <v>1082</v>
      </c>
      <c r="C556" s="373" t="s">
        <v>1084</v>
      </c>
      <c r="D556" s="374" t="s">
        <v>1067</v>
      </c>
      <c r="E556" s="386">
        <v>784.74</v>
      </c>
      <c r="F556" s="387">
        <f>E556+E557+E558</f>
      </c>
      <c r="G556" s="388">
        <v>8233</v>
      </c>
      <c r="H556" s="388">
        <v>104</v>
      </c>
      <c r="I556" s="378">
        <f t="shared" si="55"/>
      </c>
      <c r="J556" s="379">
        <f t="shared" si="94"/>
      </c>
      <c r="K556" s="388">
        <v>12</v>
      </c>
      <c r="L556" s="379">
        <f t="shared" si="17"/>
      </c>
      <c r="M556" s="388">
        <v>1</v>
      </c>
      <c r="N556" s="380">
        <f t="shared" si="36"/>
      </c>
      <c r="O556" s="388">
        <v>2</v>
      </c>
      <c r="P556" s="380">
        <f t="shared" si="74"/>
      </c>
      <c r="Q556" s="381">
        <f>(M556+M558+M557)/(O556+O558+O557)</f>
      </c>
      <c r="R556" s="389">
        <v>3</v>
      </c>
      <c r="S556" s="381">
        <f>(O556+O558)/(K556+K558)</f>
      </c>
      <c r="T556" s="389">
        <v>1</v>
      </c>
      <c r="U556" s="382">
        <f>F556/T556</f>
      </c>
      <c r="V556" s="383">
        <f>(F556+4*500)/T556</f>
      </c>
      <c r="W556" s="388">
        <v>2071.2</v>
      </c>
      <c r="X556" s="383">
        <f>W556/T556</f>
      </c>
      <c r="Y556" s="381">
        <f>T556/R556</f>
      </c>
      <c r="Z556" s="383">
        <f>W556/F556</f>
      </c>
      <c r="AA556" s="383">
        <f>W556/(F556+500)</f>
      </c>
      <c r="AB556" s="388">
        <v>0</v>
      </c>
      <c r="AC556" s="388">
        <v>0</v>
      </c>
      <c r="AD556" s="381">
        <f>AB556/T556</f>
      </c>
      <c r="AE556" s="383">
        <f>(W556-AC556)/(F556+500)</f>
      </c>
      <c r="AF556" s="383" t="s">
        <v>1092</v>
      </c>
    </row>
    <row r="557">
      <c r="A557" s="371"/>
      <c r="B557" s="372"/>
      <c r="C557" s="373"/>
      <c r="D557" s="374" t="s">
        <v>1069</v>
      </c>
      <c r="E557" s="390">
        <v>311.06</v>
      </c>
      <c r="F557" s="387"/>
      <c r="G557" s="388">
        <v>567</v>
      </c>
      <c r="H557" s="388">
        <v>31</v>
      </c>
      <c r="I557" s="378">
        <f t="shared" si="55"/>
      </c>
      <c r="J557" s="379">
        <f t="shared" si="94"/>
      </c>
      <c r="K557" s="388">
        <v>4</v>
      </c>
      <c r="L557" s="379">
        <f t="shared" si="17"/>
      </c>
      <c r="M557" s="388">
        <v>0</v>
      </c>
      <c r="N557" s="380">
        <f t="shared" si="36"/>
      </c>
      <c r="O557" s="388">
        <v>0</v>
      </c>
      <c r="P557" s="380">
        <f t="shared" si="74"/>
      </c>
      <c r="Q557" s="381"/>
      <c r="R557" s="389"/>
      <c r="S557" s="381"/>
      <c r="T557" s="389"/>
      <c r="U557" s="382"/>
      <c r="V557" s="383"/>
      <c r="W557" s="388"/>
      <c r="X557" s="383"/>
      <c r="Y557" s="381"/>
      <c r="Z557" s="383"/>
      <c r="AA557" s="383"/>
      <c r="AB557" s="388"/>
      <c r="AC557" s="388"/>
      <c r="AD557" s="381"/>
      <c r="AE557" s="383"/>
      <c r="AF557" s="383" t="s">
        <v>1096</v>
      </c>
    </row>
    <row r="558">
      <c r="A558" s="371"/>
      <c r="B558" s="372"/>
      <c r="C558" s="373"/>
      <c r="D558" s="374" t="s">
        <v>1071</v>
      </c>
      <c r="E558" s="388">
        <v>36.54</v>
      </c>
      <c r="F558" s="387"/>
      <c r="G558" s="388">
        <v>22</v>
      </c>
      <c r="H558" s="388">
        <v>4</v>
      </c>
      <c r="I558" s="378">
        <f t="shared" si="55"/>
      </c>
      <c r="J558" s="379">
        <f t="shared" si="94"/>
      </c>
      <c r="K558" s="388">
        <v>0</v>
      </c>
      <c r="L558" s="379">
        <f t="shared" si="17"/>
      </c>
      <c r="M558" s="388">
        <v>0</v>
      </c>
      <c r="N558" s="380">
        <f t="shared" si="36"/>
      </c>
      <c r="O558" s="388">
        <v>0</v>
      </c>
      <c r="P558" s="380">
        <f t="shared" si="74"/>
      </c>
      <c r="Q558" s="381"/>
      <c r="R558" s="389"/>
      <c r="S558" s="381"/>
      <c r="T558" s="389"/>
      <c r="U558" s="382"/>
      <c r="V558" s="383"/>
      <c r="W558" s="388"/>
      <c r="X558" s="383"/>
      <c r="Y558" s="381"/>
      <c r="Z558" s="383"/>
      <c r="AA558" s="383"/>
      <c r="AB558" s="388"/>
      <c r="AC558" s="388"/>
      <c r="AD558" s="381"/>
      <c r="AE558" s="383"/>
      <c r="AF558" s="383"/>
    </row>
    <row customHeight="true" ht="20.238095238095237" r="559">
      <c r="A559" s="371"/>
      <c r="B559" s="372"/>
      <c r="C559" s="373"/>
      <c r="D559" s="374"/>
      <c r="E559" s="377">
        <f>SUM(E529:E558)</f>
      </c>
      <c r="F559" s="377">
        <f>SUM(F529:F558)</f>
      </c>
      <c r="G559" s="377"/>
      <c r="H559" s="377"/>
      <c r="I559" s="378"/>
      <c r="J559" s="379"/>
      <c r="K559" s="377"/>
      <c r="L559" s="379"/>
      <c r="M559" s="377"/>
      <c r="N559" s="380"/>
      <c r="O559" s="377"/>
      <c r="P559" s="380"/>
      <c r="Q559" s="381"/>
      <c r="R559" s="377"/>
      <c r="S559" s="381"/>
      <c r="T559" s="377">
        <f>SUM(T529:T558)</f>
      </c>
      <c r="U559" s="382"/>
      <c r="V559" s="383"/>
      <c r="W559" s="377">
        <f>SUM(W529:W558)</f>
      </c>
      <c r="X559" s="383"/>
      <c r="Y559" s="381"/>
      <c r="Z559" s="383"/>
      <c r="AA559" s="383"/>
      <c r="AB559" s="377"/>
      <c r="AC559" s="377"/>
      <c r="AD559" s="381"/>
      <c r="AE559" s="383"/>
      <c r="AF559" s="383"/>
    </row>
    <row r="560">
      <c r="A560" s="371" t="s">
        <v>1109</v>
      </c>
      <c r="B560" s="372" t="s">
        <v>1065</v>
      </c>
      <c r="C560" s="373" t="s">
        <v>1081</v>
      </c>
      <c r="D560" s="374" t="s">
        <v>1067</v>
      </c>
      <c r="E560" s="375">
        <v>468.22</v>
      </c>
      <c r="F560" s="376">
        <f>E560+E561+E562</f>
      </c>
      <c r="G560" s="377">
        <v>4208</v>
      </c>
      <c r="H560" s="377">
        <v>301</v>
      </c>
      <c r="I560" s="378">
        <f t="shared" ref="I560:I589" si="56">H560/G560</f>
      </c>
      <c r="J560" s="379">
        <f t="shared" ref="J560:J589" si="95">(E560/G560)*1000</f>
      </c>
      <c r="K560" s="377">
        <v>4</v>
      </c>
      <c r="L560" s="379">
        <f t="shared" ref="L560:L589" si="18">E560/K560</f>
      </c>
      <c r="M560" s="377">
        <v>0</v>
      </c>
      <c r="N560" s="380">
        <f t="shared" ref="N560:N589" si="37">E560/M560</f>
      </c>
      <c r="O560" s="377">
        <v>1</v>
      </c>
      <c r="P560" s="380">
        <f t="shared" ref="P560:P589" si="75">E560/O560</f>
      </c>
      <c r="Q560" s="381">
        <f>(M560+M562+M561)/(O560+O562+O561)</f>
      </c>
      <c r="R560" s="377">
        <v>1</v>
      </c>
      <c r="S560" s="381">
        <f>(O560+O562)/(K560+K562)</f>
      </c>
      <c r="T560" s="377">
        <v>0</v>
      </c>
      <c r="U560" s="382">
        <f>F560/T560</f>
      </c>
      <c r="V560" s="383">
        <f>(F560+4*500)/T560</f>
      </c>
      <c r="W560" s="377">
        <v>0</v>
      </c>
      <c r="X560" s="383">
        <f>W560/T560</f>
      </c>
      <c r="Y560" s="381">
        <f>T560/R560</f>
      </c>
      <c r="Z560" s="383">
        <f>W560/F560</f>
      </c>
      <c r="AA560" s="383">
        <f>W560/(F560+500)</f>
      </c>
      <c r="AB560" s="377">
        <v>0</v>
      </c>
      <c r="AC560" s="377">
        <v>0</v>
      </c>
      <c r="AD560" s="381">
        <f>AB560/T560</f>
      </c>
      <c r="AE560" s="383">
        <f>(W560-AC560)/(F560+500)</f>
      </c>
      <c r="AF560" s="383" t="s">
        <v>1092</v>
      </c>
    </row>
    <row r="561">
      <c r="A561" s="371"/>
      <c r="B561" s="372"/>
      <c r="C561" s="373"/>
      <c r="D561" s="374" t="s">
        <v>1069</v>
      </c>
      <c r="E561" s="384">
        <v>279.44</v>
      </c>
      <c r="F561" s="376"/>
      <c r="G561" s="377">
        <v>1629</v>
      </c>
      <c r="H561" s="377">
        <v>127</v>
      </c>
      <c r="I561" s="378">
        <f t="shared" si="56"/>
      </c>
      <c r="J561" s="379">
        <f t="shared" si="95"/>
      </c>
      <c r="K561" s="377">
        <v>2</v>
      </c>
      <c r="L561" s="379">
        <f t="shared" si="18"/>
      </c>
      <c r="M561" s="377">
        <v>0</v>
      </c>
      <c r="N561" s="380">
        <f t="shared" si="37"/>
      </c>
      <c r="O561" s="377">
        <v>0</v>
      </c>
      <c r="P561" s="380">
        <f t="shared" si="75"/>
      </c>
      <c r="Q561" s="381"/>
      <c r="R561" s="377"/>
      <c r="S561" s="381"/>
      <c r="T561" s="377"/>
      <c r="U561" s="382"/>
      <c r="V561" s="383"/>
      <c r="W561" s="377"/>
      <c r="X561" s="383"/>
      <c r="Y561" s="381"/>
      <c r="Z561" s="383"/>
      <c r="AA561" s="383"/>
      <c r="AB561" s="377"/>
      <c r="AC561" s="377"/>
      <c r="AD561" s="381"/>
      <c r="AE561" s="383"/>
      <c r="AF561" s="383" t="s">
        <v>1098</v>
      </c>
    </row>
    <row r="562">
      <c r="A562" s="371"/>
      <c r="B562" s="372"/>
      <c r="C562" s="373"/>
      <c r="D562" s="374" t="s">
        <v>1071</v>
      </c>
      <c r="E562" s="377">
        <v>62.56</v>
      </c>
      <c r="F562" s="376"/>
      <c r="G562" s="377">
        <v>248</v>
      </c>
      <c r="H562" s="377">
        <v>26</v>
      </c>
      <c r="I562" s="378">
        <f t="shared" si="56"/>
      </c>
      <c r="J562" s="379">
        <f t="shared" si="95"/>
      </c>
      <c r="K562" s="377">
        <v>1</v>
      </c>
      <c r="L562" s="379">
        <f t="shared" si="18"/>
      </c>
      <c r="M562" s="377">
        <v>0</v>
      </c>
      <c r="N562" s="380">
        <f t="shared" si="37"/>
      </c>
      <c r="O562" s="377">
        <v>0</v>
      </c>
      <c r="P562" s="380">
        <f t="shared" si="75"/>
      </c>
      <c r="Q562" s="381"/>
      <c r="R562" s="377"/>
      <c r="S562" s="381"/>
      <c r="T562" s="377"/>
      <c r="U562" s="382"/>
      <c r="V562" s="383"/>
      <c r="W562" s="377"/>
      <c r="X562" s="383"/>
      <c r="Y562" s="381"/>
      <c r="Z562" s="383"/>
      <c r="AA562" s="383"/>
      <c r="AB562" s="377"/>
      <c r="AC562" s="377"/>
      <c r="AD562" s="381"/>
      <c r="AE562" s="383"/>
      <c r="AF562" s="383"/>
    </row>
    <row r="563">
      <c r="A563" s="371"/>
      <c r="B563" s="372" t="s">
        <v>1072</v>
      </c>
      <c r="C563" s="373" t="s">
        <v>1081</v>
      </c>
      <c r="D563" s="374" t="s">
        <v>1067</v>
      </c>
      <c r="E563" s="375">
        <v>671.76</v>
      </c>
      <c r="F563" s="376">
        <f>E563+E564+E565</f>
      </c>
      <c r="G563" s="377">
        <v>5481</v>
      </c>
      <c r="H563" s="377">
        <v>458</v>
      </c>
      <c r="I563" s="378">
        <f t="shared" si="56"/>
      </c>
      <c r="J563" s="379">
        <f t="shared" si="95"/>
      </c>
      <c r="K563" s="377">
        <v>11</v>
      </c>
      <c r="L563" s="379">
        <f t="shared" si="18"/>
      </c>
      <c r="M563" s="377">
        <v>1</v>
      </c>
      <c r="N563" s="380">
        <f t="shared" si="37"/>
      </c>
      <c r="O563" s="377">
        <v>1</v>
      </c>
      <c r="P563" s="380">
        <f t="shared" si="75"/>
      </c>
      <c r="Q563" s="381">
        <f>(M563+M565+M564)/(O563+O565+O564)</f>
      </c>
      <c r="R563" s="377">
        <v>3</v>
      </c>
      <c r="S563" s="381">
        <f>(O563+O565)/(K563+K565)</f>
      </c>
      <c r="T563" s="377">
        <v>2</v>
      </c>
      <c r="U563" s="382">
        <f>F563/T563</f>
      </c>
      <c r="V563" s="383">
        <f>(F563+4*500)/T563</f>
      </c>
      <c r="W563" s="377">
        <v>878.4</v>
      </c>
      <c r="X563" s="383">
        <f>W563/T563</f>
      </c>
      <c r="Y563" s="381">
        <f>T563/R563</f>
      </c>
      <c r="Z563" s="383">
        <f>W563/F563</f>
      </c>
      <c r="AA563" s="383">
        <f>W563/(F563+500)</f>
      </c>
      <c r="AB563" s="377">
        <v>0</v>
      </c>
      <c r="AC563" s="377">
        <v>0</v>
      </c>
      <c r="AD563" s="381">
        <f>AB563/T563</f>
      </c>
      <c r="AE563" s="383">
        <f>(W563-AC563)/(F563+500)</f>
      </c>
      <c r="AF563" s="383" t="s">
        <v>1092</v>
      </c>
    </row>
    <row r="564">
      <c r="A564" s="371"/>
      <c r="B564" s="372"/>
      <c r="C564" s="373"/>
      <c r="D564" s="374" t="s">
        <v>1069</v>
      </c>
      <c r="E564" s="384">
        <v>310.18</v>
      </c>
      <c r="F564" s="376"/>
      <c r="G564" s="377">
        <v>2849</v>
      </c>
      <c r="H564" s="377">
        <v>175</v>
      </c>
      <c r="I564" s="378">
        <f t="shared" si="56"/>
      </c>
      <c r="J564" s="379">
        <f t="shared" si="95"/>
      </c>
      <c r="K564" s="377">
        <v>10</v>
      </c>
      <c r="L564" s="379">
        <f t="shared" si="18"/>
      </c>
      <c r="M564" s="377">
        <v>0</v>
      </c>
      <c r="N564" s="380">
        <f t="shared" si="37"/>
      </c>
      <c r="O564" s="377">
        <v>2</v>
      </c>
      <c r="P564" s="380">
        <f t="shared" si="75"/>
      </c>
      <c r="Q564" s="381"/>
      <c r="R564" s="377"/>
      <c r="S564" s="381"/>
      <c r="T564" s="377"/>
      <c r="U564" s="382"/>
      <c r="V564" s="383"/>
      <c r="W564" s="377"/>
      <c r="X564" s="383"/>
      <c r="Y564" s="381"/>
      <c r="Z564" s="383"/>
      <c r="AA564" s="383"/>
      <c r="AB564" s="377"/>
      <c r="AC564" s="377"/>
      <c r="AD564" s="381"/>
      <c r="AE564" s="383"/>
      <c r="AF564" s="383" t="s">
        <v>1098</v>
      </c>
    </row>
    <row r="565">
      <c r="A565" s="371"/>
      <c r="B565" s="372"/>
      <c r="C565" s="373"/>
      <c r="D565" s="374" t="s">
        <v>1071</v>
      </c>
      <c r="E565" s="377">
        <v>364.28</v>
      </c>
      <c r="F565" s="376"/>
      <c r="G565" s="377">
        <v>213</v>
      </c>
      <c r="H565" s="377">
        <v>16</v>
      </c>
      <c r="I565" s="378">
        <f t="shared" si="56"/>
      </c>
      <c r="J565" s="379">
        <f t="shared" si="95"/>
      </c>
      <c r="K565" s="377">
        <v>1</v>
      </c>
      <c r="L565" s="379">
        <f t="shared" si="18"/>
      </c>
      <c r="M565" s="377">
        <v>0</v>
      </c>
      <c r="N565" s="380">
        <f t="shared" si="37"/>
      </c>
      <c r="O565" s="377">
        <v>0</v>
      </c>
      <c r="P565" s="380">
        <f t="shared" si="75"/>
      </c>
      <c r="Q565" s="381"/>
      <c r="R565" s="377"/>
      <c r="S565" s="381"/>
      <c r="T565" s="377"/>
      <c r="U565" s="382"/>
      <c r="V565" s="383"/>
      <c r="W565" s="377"/>
      <c r="X565" s="383"/>
      <c r="Y565" s="381"/>
      <c r="Z565" s="383"/>
      <c r="AA565" s="383"/>
      <c r="AB565" s="377"/>
      <c r="AC565" s="377"/>
      <c r="AD565" s="381"/>
      <c r="AE565" s="383"/>
      <c r="AF565" s="383"/>
    </row>
    <row r="566">
      <c r="A566" s="371"/>
      <c r="B566" s="372" t="s">
        <v>1073</v>
      </c>
      <c r="C566" s="373" t="s">
        <v>1081</v>
      </c>
      <c r="D566" s="374" t="s">
        <v>1067</v>
      </c>
      <c r="E566" s="375">
        <v>1596.63</v>
      </c>
      <c r="F566" s="376">
        <f>E566+E567+E568</f>
      </c>
      <c r="G566" s="377">
        <v>11458</v>
      </c>
      <c r="H566" s="377">
        <v>419</v>
      </c>
      <c r="I566" s="378">
        <f t="shared" si="56"/>
      </c>
      <c r="J566" s="379">
        <f t="shared" si="95"/>
      </c>
      <c r="K566" s="377">
        <v>20</v>
      </c>
      <c r="L566" s="379">
        <f t="shared" si="18"/>
      </c>
      <c r="M566" s="377">
        <v>2</v>
      </c>
      <c r="N566" s="380">
        <f t="shared" si="37"/>
      </c>
      <c r="O566" s="377">
        <v>4</v>
      </c>
      <c r="P566" s="380">
        <f t="shared" si="75"/>
      </c>
      <c r="Q566" s="381">
        <f>(M566+M568+M567)/(O566+O568+O567)</f>
      </c>
      <c r="R566" s="377">
        <v>6</v>
      </c>
      <c r="S566" s="381">
        <f>(O566+O568)/(K566+K568)</f>
      </c>
      <c r="T566" s="377">
        <v>2</v>
      </c>
      <c r="U566" s="382">
        <f>F566/T566</f>
      </c>
      <c r="V566" s="383">
        <f>(F566+4*500)/T566</f>
      </c>
      <c r="W566" s="377">
        <v>1309.1999999999998</v>
      </c>
      <c r="X566" s="383">
        <f>W566/T566</f>
      </c>
      <c r="Y566" s="381">
        <f>T566/R566</f>
      </c>
      <c r="Z566" s="383">
        <f>W566/F566</f>
      </c>
      <c r="AA566" s="383">
        <f>W566/(F566+500)</f>
      </c>
      <c r="AB566" s="377">
        <v>1</v>
      </c>
      <c r="AC566" s="377">
        <v>715.2</v>
      </c>
      <c r="AD566" s="381">
        <f>AB566/T566</f>
      </c>
      <c r="AE566" s="383">
        <f>(W566-AC566)/(F566+500)</f>
      </c>
      <c r="AF566" s="383" t="s">
        <v>1092</v>
      </c>
    </row>
    <row r="567">
      <c r="A567" s="371"/>
      <c r="B567" s="372"/>
      <c r="C567" s="373"/>
      <c r="D567" s="374" t="s">
        <v>1069</v>
      </c>
      <c r="E567" s="384">
        <v>225.91</v>
      </c>
      <c r="F567" s="376"/>
      <c r="G567" s="377">
        <v>2802</v>
      </c>
      <c r="H567" s="377">
        <v>135</v>
      </c>
      <c r="I567" s="378">
        <f t="shared" si="56"/>
      </c>
      <c r="J567" s="379">
        <f t="shared" si="95"/>
      </c>
      <c r="K567" s="377">
        <v>5</v>
      </c>
      <c r="L567" s="379">
        <f t="shared" si="18"/>
      </c>
      <c r="M567" s="377">
        <v>0</v>
      </c>
      <c r="N567" s="380">
        <f t="shared" si="37"/>
      </c>
      <c r="O567" s="377">
        <v>0</v>
      </c>
      <c r="P567" s="380">
        <f t="shared" si="75"/>
      </c>
      <c r="Q567" s="381"/>
      <c r="R567" s="377"/>
      <c r="S567" s="381"/>
      <c r="T567" s="377"/>
      <c r="U567" s="382"/>
      <c r="V567" s="383"/>
      <c r="W567" s="377"/>
      <c r="X567" s="383"/>
      <c r="Y567" s="381"/>
      <c r="Z567" s="383"/>
      <c r="AA567" s="383"/>
      <c r="AB567" s="377"/>
      <c r="AC567" s="377"/>
      <c r="AD567" s="381"/>
      <c r="AE567" s="383"/>
      <c r="AF567" s="383" t="s">
        <v>1098</v>
      </c>
    </row>
    <row r="568">
      <c r="A568" s="371"/>
      <c r="B568" s="372"/>
      <c r="C568" s="373"/>
      <c r="D568" s="374" t="s">
        <v>1071</v>
      </c>
      <c r="E568" s="377">
        <v>312.2</v>
      </c>
      <c r="F568" s="376"/>
      <c r="G568" s="377">
        <v>148</v>
      </c>
      <c r="H568" s="377">
        <v>10</v>
      </c>
      <c r="I568" s="378">
        <f t="shared" si="56"/>
      </c>
      <c r="J568" s="379">
        <f t="shared" si="95"/>
      </c>
      <c r="K568" s="377">
        <v>1</v>
      </c>
      <c r="L568" s="379">
        <f t="shared" si="18"/>
      </c>
      <c r="M568" s="377">
        <v>0</v>
      </c>
      <c r="N568" s="380">
        <f t="shared" si="37"/>
      </c>
      <c r="O568" s="377">
        <v>1</v>
      </c>
      <c r="P568" s="380">
        <f t="shared" si="75"/>
      </c>
      <c r="Q568" s="381"/>
      <c r="R568" s="377"/>
      <c r="S568" s="381"/>
      <c r="T568" s="377"/>
      <c r="U568" s="382"/>
      <c r="V568" s="383"/>
      <c r="W568" s="377"/>
      <c r="X568" s="383"/>
      <c r="Y568" s="381"/>
      <c r="Z568" s="383"/>
      <c r="AA568" s="383"/>
      <c r="AB568" s="377"/>
      <c r="AC568" s="377"/>
      <c r="AD568" s="381"/>
      <c r="AE568" s="383"/>
      <c r="AF568" s="383"/>
    </row>
    <row r="569">
      <c r="A569" s="371"/>
      <c r="B569" s="372" t="s">
        <v>1074</v>
      </c>
      <c r="C569" s="373" t="s">
        <v>1081</v>
      </c>
      <c r="D569" s="374" t="s">
        <v>1067</v>
      </c>
      <c r="E569" s="375">
        <v>1819.9</v>
      </c>
      <c r="F569" s="376">
        <f>E569+E570+E571</f>
      </c>
      <c r="G569" s="377">
        <v>14669</v>
      </c>
      <c r="H569" s="377">
        <v>444</v>
      </c>
      <c r="I569" s="378">
        <f t="shared" si="56"/>
      </c>
      <c r="J569" s="379">
        <f t="shared" si="95"/>
      </c>
      <c r="K569" s="377">
        <v>19</v>
      </c>
      <c r="L569" s="379">
        <f t="shared" si="18"/>
      </c>
      <c r="M569" s="377">
        <v>0</v>
      </c>
      <c r="N569" s="380">
        <f t="shared" si="37"/>
      </c>
      <c r="O569" s="377">
        <v>2</v>
      </c>
      <c r="P569" s="380">
        <f t="shared" si="75"/>
      </c>
      <c r="Q569" s="381">
        <f>(M569+M571+M570)/(O569+O571+O570)</f>
      </c>
      <c r="R569" s="377">
        <v>3</v>
      </c>
      <c r="S569" s="381">
        <f>(O569+O571)/(K569+K571)</f>
      </c>
      <c r="T569" s="377">
        <v>0</v>
      </c>
      <c r="U569" s="382">
        <f>F569/T569</f>
      </c>
      <c r="V569" s="383">
        <f>(F569+4*500)/T569</f>
      </c>
      <c r="W569" s="377">
        <v>0</v>
      </c>
      <c r="X569" s="383">
        <f>W569/T569</f>
      </c>
      <c r="Y569" s="381">
        <f>T569/R569</f>
      </c>
      <c r="Z569" s="383">
        <f>W569/F569</f>
      </c>
      <c r="AA569" s="383">
        <f>W569/(F569+500)</f>
      </c>
      <c r="AB569" s="377">
        <v>0</v>
      </c>
      <c r="AC569" s="377">
        <v>0</v>
      </c>
      <c r="AD569" s="381">
        <f>AB569/T569</f>
      </c>
      <c r="AE569" s="383">
        <f>(W569-AC569)/(F569+500)</f>
      </c>
      <c r="AF569" s="383" t="s">
        <v>1092</v>
      </c>
    </row>
    <row r="570">
      <c r="A570" s="371"/>
      <c r="B570" s="372"/>
      <c r="C570" s="373"/>
      <c r="D570" s="374" t="s">
        <v>1069</v>
      </c>
      <c r="E570" s="384">
        <v>793.64</v>
      </c>
      <c r="F570" s="376"/>
      <c r="G570" s="377">
        <v>3029</v>
      </c>
      <c r="H570" s="377">
        <v>178</v>
      </c>
      <c r="I570" s="378">
        <f t="shared" si="56"/>
      </c>
      <c r="J570" s="379">
        <f t="shared" si="95"/>
      </c>
      <c r="K570" s="377">
        <v>11</v>
      </c>
      <c r="L570" s="379">
        <f t="shared" si="18"/>
      </c>
      <c r="M570" s="377">
        <v>0</v>
      </c>
      <c r="N570" s="380">
        <f t="shared" si="37"/>
      </c>
      <c r="O570" s="377">
        <v>0</v>
      </c>
      <c r="P570" s="380">
        <f t="shared" si="75"/>
      </c>
      <c r="Q570" s="381"/>
      <c r="R570" s="377"/>
      <c r="S570" s="381"/>
      <c r="T570" s="377"/>
      <c r="U570" s="382"/>
      <c r="V570" s="383"/>
      <c r="W570" s="377"/>
      <c r="X570" s="383"/>
      <c r="Y570" s="381"/>
      <c r="Z570" s="383"/>
      <c r="AA570" s="383"/>
      <c r="AB570" s="377"/>
      <c r="AC570" s="377"/>
      <c r="AD570" s="381"/>
      <c r="AE570" s="383"/>
      <c r="AF570" s="383" t="s">
        <v>1098</v>
      </c>
    </row>
    <row r="571">
      <c r="A571" s="371"/>
      <c r="B571" s="372"/>
      <c r="C571" s="373"/>
      <c r="D571" s="374" t="s">
        <v>1071</v>
      </c>
      <c r="E571" s="377">
        <v>203.97</v>
      </c>
      <c r="F571" s="376"/>
      <c r="G571" s="377">
        <v>79</v>
      </c>
      <c r="H571" s="377">
        <v>7</v>
      </c>
      <c r="I571" s="378">
        <f t="shared" si="56"/>
      </c>
      <c r="J571" s="379">
        <f t="shared" si="95"/>
      </c>
      <c r="K571" s="377">
        <v>1</v>
      </c>
      <c r="L571" s="379">
        <f t="shared" si="18"/>
      </c>
      <c r="M571" s="377">
        <v>0</v>
      </c>
      <c r="N571" s="380">
        <f t="shared" si="37"/>
      </c>
      <c r="O571" s="377">
        <v>0</v>
      </c>
      <c r="P571" s="380">
        <f t="shared" si="75"/>
      </c>
      <c r="Q571" s="381"/>
      <c r="R571" s="377"/>
      <c r="S571" s="381"/>
      <c r="T571" s="377"/>
      <c r="U571" s="382"/>
      <c r="V571" s="383"/>
      <c r="W571" s="377"/>
      <c r="X571" s="383"/>
      <c r="Y571" s="381"/>
      <c r="Z571" s="383"/>
      <c r="AA571" s="383"/>
      <c r="AB571" s="377"/>
      <c r="AC571" s="377"/>
      <c r="AD571" s="381"/>
      <c r="AE571" s="383"/>
      <c r="AF571" s="383"/>
    </row>
    <row r="572">
      <c r="A572" s="371"/>
      <c r="B572" s="372" t="s">
        <v>1075</v>
      </c>
      <c r="C572" s="373" t="s">
        <v>1084</v>
      </c>
      <c r="D572" s="374" t="s">
        <v>1067</v>
      </c>
      <c r="E572" s="375"/>
      <c r="F572" s="376">
        <f>E572+E573+E574</f>
      </c>
      <c r="G572" s="377"/>
      <c r="H572" s="377"/>
      <c r="I572" s="378">
        <f t="shared" si="56"/>
      </c>
      <c r="J572" s="379">
        <f t="shared" si="95"/>
      </c>
      <c r="K572" s="377"/>
      <c r="L572" s="379">
        <f t="shared" si="18"/>
      </c>
      <c r="M572" s="377"/>
      <c r="N572" s="380">
        <f t="shared" si="37"/>
      </c>
      <c r="O572" s="377"/>
      <c r="P572" s="380">
        <f t="shared" si="75"/>
      </c>
      <c r="Q572" s="381">
        <f>(M572+M574+M573)/(O572+O574+O573)</f>
      </c>
      <c r="R572" s="377"/>
      <c r="S572" s="381">
        <f>(O572+O574)/(K572+K574)</f>
      </c>
      <c r="T572" s="377"/>
      <c r="U572" s="382">
        <f>F572/T572</f>
      </c>
      <c r="V572" s="383">
        <f>(F572+4*500)/T572</f>
      </c>
      <c r="W572" s="377"/>
      <c r="X572" s="383">
        <f>W572/T572</f>
      </c>
      <c r="Y572" s="381">
        <f>T572/R572</f>
      </c>
      <c r="Z572" s="383">
        <f>W572/F572</f>
      </c>
      <c r="AA572" s="383">
        <f>W572/(F572+500)</f>
      </c>
      <c r="AB572" s="377"/>
      <c r="AC572" s="377"/>
      <c r="AD572" s="381">
        <f>AB572/T572</f>
      </c>
      <c r="AE572" s="383">
        <f>(W572-AC572)/(F572+500)</f>
      </c>
      <c r="AF572" s="383" t="s">
        <v>1092</v>
      </c>
    </row>
    <row r="573">
      <c r="A573" s="371"/>
      <c r="B573" s="372"/>
      <c r="C573" s="373"/>
      <c r="D573" s="374" t="s">
        <v>1069</v>
      </c>
      <c r="E573" s="384"/>
      <c r="F573" s="376"/>
      <c r="G573" s="377"/>
      <c r="H573" s="377"/>
      <c r="I573" s="378">
        <f t="shared" si="56"/>
      </c>
      <c r="J573" s="379">
        <f t="shared" si="95"/>
      </c>
      <c r="K573" s="377"/>
      <c r="L573" s="379">
        <f t="shared" si="18"/>
      </c>
      <c r="M573" s="377"/>
      <c r="N573" s="380">
        <f t="shared" si="37"/>
      </c>
      <c r="O573" s="377"/>
      <c r="P573" s="380">
        <f t="shared" si="75"/>
      </c>
      <c r="Q573" s="381"/>
      <c r="R573" s="377"/>
      <c r="S573" s="381"/>
      <c r="T573" s="377"/>
      <c r="U573" s="382"/>
      <c r="V573" s="383"/>
      <c r="W573" s="377"/>
      <c r="X573" s="383"/>
      <c r="Y573" s="381"/>
      <c r="Z573" s="383"/>
      <c r="AA573" s="383"/>
      <c r="AB573" s="377"/>
      <c r="AC573" s="377"/>
      <c r="AD573" s="381"/>
      <c r="AE573" s="383"/>
      <c r="AF573" s="383" t="s">
        <v>1098</v>
      </c>
    </row>
    <row r="574">
      <c r="A574" s="371"/>
      <c r="B574" s="372"/>
      <c r="C574" s="373"/>
      <c r="D574" s="374" t="s">
        <v>1071</v>
      </c>
      <c r="E574" s="377"/>
      <c r="F574" s="376"/>
      <c r="G574" s="377"/>
      <c r="H574" s="377"/>
      <c r="I574" s="378">
        <f t="shared" si="56"/>
      </c>
      <c r="J574" s="379">
        <f t="shared" si="95"/>
      </c>
      <c r="K574" s="377"/>
      <c r="L574" s="379">
        <f t="shared" si="18"/>
      </c>
      <c r="M574" s="377"/>
      <c r="N574" s="380">
        <f t="shared" si="37"/>
      </c>
      <c r="O574" s="377"/>
      <c r="P574" s="380">
        <f t="shared" si="75"/>
      </c>
      <c r="Q574" s="381"/>
      <c r="R574" s="377"/>
      <c r="S574" s="381"/>
      <c r="T574" s="377"/>
      <c r="U574" s="382"/>
      <c r="V574" s="383"/>
      <c r="W574" s="377"/>
      <c r="X574" s="383"/>
      <c r="Y574" s="381"/>
      <c r="Z574" s="383"/>
      <c r="AA574" s="383"/>
      <c r="AB574" s="377"/>
      <c r="AC574" s="377"/>
      <c r="AD574" s="381"/>
      <c r="AE574" s="383"/>
      <c r="AF574" s="383"/>
    </row>
    <row r="575">
      <c r="A575" s="371"/>
      <c r="B575" s="372" t="s">
        <v>1077</v>
      </c>
      <c r="C575" s="373" t="s">
        <v>1084</v>
      </c>
      <c r="D575" s="374" t="s">
        <v>1067</v>
      </c>
      <c r="E575" s="375"/>
      <c r="F575" s="376">
        <f>E575+E576+E577</f>
      </c>
      <c r="G575" s="377"/>
      <c r="H575" s="377"/>
      <c r="I575" s="378">
        <f t="shared" si="56"/>
      </c>
      <c r="J575" s="379">
        <f t="shared" si="95"/>
      </c>
      <c r="K575" s="377"/>
      <c r="L575" s="379">
        <f t="shared" si="18"/>
      </c>
      <c r="M575" s="377"/>
      <c r="N575" s="380">
        <f t="shared" si="37"/>
      </c>
      <c r="O575" s="377"/>
      <c r="P575" s="380">
        <f t="shared" si="75"/>
      </c>
      <c r="Q575" s="381">
        <f>(M575+M577+M576)/(O575+O577+O576)</f>
      </c>
      <c r="R575" s="377"/>
      <c r="S575" s="381">
        <f>(O575+O577)/(K575+K577)</f>
      </c>
      <c r="T575" s="377"/>
      <c r="U575" s="382">
        <f>F575/T575</f>
      </c>
      <c r="V575" s="383">
        <f>(F575+4*500)/T575</f>
      </c>
      <c r="W575" s="377"/>
      <c r="X575" s="383">
        <f>W575/T575</f>
      </c>
      <c r="Y575" s="381">
        <f>T575/R575</f>
      </c>
      <c r="Z575" s="383">
        <f>W575/F575</f>
      </c>
      <c r="AA575" s="383">
        <f>W575/(F575+500)</f>
      </c>
      <c r="AB575" s="377"/>
      <c r="AC575" s="377"/>
      <c r="AD575" s="381">
        <f>AB575/T575</f>
      </c>
      <c r="AE575" s="383">
        <f>(W575-AC575)/(F575+500)</f>
      </c>
      <c r="AF575" s="383" t="s">
        <v>1092</v>
      </c>
    </row>
    <row r="576">
      <c r="A576" s="371"/>
      <c r="B576" s="372"/>
      <c r="C576" s="373"/>
      <c r="D576" s="374" t="s">
        <v>1069</v>
      </c>
      <c r="E576" s="384"/>
      <c r="F576" s="376"/>
      <c r="G576" s="377"/>
      <c r="H576" s="377"/>
      <c r="I576" s="378">
        <f t="shared" si="56"/>
      </c>
      <c r="J576" s="379">
        <f t="shared" si="95"/>
      </c>
      <c r="K576" s="377"/>
      <c r="L576" s="379">
        <f t="shared" si="18"/>
      </c>
      <c r="M576" s="377"/>
      <c r="N576" s="380">
        <f t="shared" si="37"/>
      </c>
      <c r="O576" s="377"/>
      <c r="P576" s="380">
        <f t="shared" si="75"/>
      </c>
      <c r="Q576" s="381"/>
      <c r="R576" s="377"/>
      <c r="S576" s="381"/>
      <c r="T576" s="377"/>
      <c r="U576" s="382"/>
      <c r="V576" s="383"/>
      <c r="W576" s="377"/>
      <c r="X576" s="383"/>
      <c r="Y576" s="381"/>
      <c r="Z576" s="383"/>
      <c r="AA576" s="383"/>
      <c r="AB576" s="377"/>
      <c r="AC576" s="377"/>
      <c r="AD576" s="381"/>
      <c r="AE576" s="383"/>
      <c r="AF576" s="383" t="s">
        <v>1098</v>
      </c>
    </row>
    <row r="577">
      <c r="A577" s="371"/>
      <c r="B577" s="372"/>
      <c r="C577" s="373"/>
      <c r="D577" s="374" t="s">
        <v>1071</v>
      </c>
      <c r="E577" s="377"/>
      <c r="F577" s="376"/>
      <c r="G577" s="377"/>
      <c r="H577" s="377"/>
      <c r="I577" s="378">
        <f t="shared" si="56"/>
      </c>
      <c r="J577" s="379">
        <f t="shared" si="95"/>
      </c>
      <c r="K577" s="377"/>
      <c r="L577" s="379">
        <f t="shared" si="18"/>
      </c>
      <c r="M577" s="377"/>
      <c r="N577" s="380">
        <f t="shared" si="37"/>
      </c>
      <c r="O577" s="377"/>
      <c r="P577" s="380">
        <f t="shared" si="75"/>
      </c>
      <c r="Q577" s="381"/>
      <c r="R577" s="377"/>
      <c r="S577" s="381"/>
      <c r="T577" s="377"/>
      <c r="U577" s="382"/>
      <c r="V577" s="383"/>
      <c r="W577" s="377"/>
      <c r="X577" s="383"/>
      <c r="Y577" s="381"/>
      <c r="Z577" s="383"/>
      <c r="AA577" s="383"/>
      <c r="AB577" s="377"/>
      <c r="AC577" s="377"/>
      <c r="AD577" s="381"/>
      <c r="AE577" s="383"/>
      <c r="AF577" s="383"/>
    </row>
    <row r="578">
      <c r="A578" s="371"/>
      <c r="B578" s="385" t="s">
        <v>1078</v>
      </c>
      <c r="C578" s="373" t="s">
        <v>1084</v>
      </c>
      <c r="D578" s="374" t="s">
        <v>1067</v>
      </c>
      <c r="E578" s="375"/>
      <c r="F578" s="376">
        <f>E578+E579+E580</f>
      </c>
      <c r="G578" s="377"/>
      <c r="H578" s="377"/>
      <c r="I578" s="378">
        <f t="shared" si="56"/>
      </c>
      <c r="J578" s="379">
        <f t="shared" si="95"/>
      </c>
      <c r="K578" s="377"/>
      <c r="L578" s="379">
        <f t="shared" si="18"/>
      </c>
      <c r="M578" s="377"/>
      <c r="N578" s="380">
        <f t="shared" si="37"/>
      </c>
      <c r="O578" s="377"/>
      <c r="P578" s="380">
        <f t="shared" si="75"/>
      </c>
      <c r="Q578" s="381">
        <f>(M578+M580+M579)/(O578+O580+O579)</f>
      </c>
      <c r="R578" s="377"/>
      <c r="S578" s="381">
        <f>(O578+O580)/(K578+K580)</f>
      </c>
      <c r="T578" s="377"/>
      <c r="U578" s="382">
        <f>F578/T578</f>
      </c>
      <c r="V578" s="383">
        <f>(F578+4*500)/T578</f>
      </c>
      <c r="W578" s="377"/>
      <c r="X578" s="383">
        <f>W578/T578</f>
      </c>
      <c r="Y578" s="381">
        <f>T578/R578</f>
      </c>
      <c r="Z578" s="383">
        <f>W578/F578</f>
      </c>
      <c r="AA578" s="383">
        <f>W578/(F578+500)</f>
      </c>
      <c r="AB578" s="377"/>
      <c r="AC578" s="377"/>
      <c r="AD578" s="381">
        <f>AB578/T578</f>
      </c>
      <c r="AE578" s="383">
        <f>(W578-AC578)/(F578+500)</f>
      </c>
      <c r="AF578" s="383" t="s">
        <v>1092</v>
      </c>
    </row>
    <row r="579">
      <c r="A579" s="371"/>
      <c r="B579" s="385"/>
      <c r="C579" s="373"/>
      <c r="D579" s="374" t="s">
        <v>1069</v>
      </c>
      <c r="E579" s="384"/>
      <c r="F579" s="376"/>
      <c r="G579" s="377"/>
      <c r="H579" s="377"/>
      <c r="I579" s="378">
        <f t="shared" si="56"/>
      </c>
      <c r="J579" s="379">
        <f t="shared" si="95"/>
      </c>
      <c r="K579" s="377"/>
      <c r="L579" s="379">
        <f t="shared" si="18"/>
      </c>
      <c r="M579" s="377"/>
      <c r="N579" s="380">
        <f t="shared" si="37"/>
      </c>
      <c r="O579" s="377"/>
      <c r="P579" s="380">
        <f t="shared" si="75"/>
      </c>
      <c r="Q579" s="381"/>
      <c r="R579" s="377"/>
      <c r="S579" s="381"/>
      <c r="T579" s="377"/>
      <c r="U579" s="382"/>
      <c r="V579" s="383"/>
      <c r="W579" s="377"/>
      <c r="X579" s="383"/>
      <c r="Y579" s="381"/>
      <c r="Z579" s="383"/>
      <c r="AA579" s="383"/>
      <c r="AB579" s="377"/>
      <c r="AC579" s="377"/>
      <c r="AD579" s="381"/>
      <c r="AE579" s="383"/>
      <c r="AF579" s="383" t="s">
        <v>1098</v>
      </c>
    </row>
    <row r="580">
      <c r="A580" s="371"/>
      <c r="B580" s="385"/>
      <c r="C580" s="373"/>
      <c r="D580" s="374" t="s">
        <v>1071</v>
      </c>
      <c r="E580" s="377"/>
      <c r="F580" s="376"/>
      <c r="G580" s="377"/>
      <c r="H580" s="377"/>
      <c r="I580" s="378">
        <f t="shared" si="56"/>
      </c>
      <c r="J580" s="379">
        <f t="shared" si="95"/>
      </c>
      <c r="K580" s="377"/>
      <c r="L580" s="379">
        <f t="shared" si="18"/>
      </c>
      <c r="M580" s="377"/>
      <c r="N580" s="380">
        <f t="shared" si="37"/>
      </c>
      <c r="O580" s="377"/>
      <c r="P580" s="380">
        <f t="shared" si="75"/>
      </c>
      <c r="Q580" s="381"/>
      <c r="R580" s="377"/>
      <c r="S580" s="381"/>
      <c r="T580" s="377"/>
      <c r="U580" s="382"/>
      <c r="V580" s="383"/>
      <c r="W580" s="377"/>
      <c r="X580" s="383"/>
      <c r="Y580" s="381"/>
      <c r="Z580" s="383"/>
      <c r="AA580" s="383"/>
      <c r="AB580" s="377"/>
      <c r="AC580" s="377"/>
      <c r="AD580" s="381"/>
      <c r="AE580" s="383"/>
      <c r="AF580" s="383"/>
    </row>
    <row r="581">
      <c r="A581" s="371"/>
      <c r="B581" s="372" t="s">
        <v>1079</v>
      </c>
      <c r="C581" s="373" t="s">
        <v>1084</v>
      </c>
      <c r="D581" s="374" t="s">
        <v>1067</v>
      </c>
      <c r="E581" s="375"/>
      <c r="F581" s="376">
        <f>E581+E582+E583</f>
      </c>
      <c r="G581" s="377"/>
      <c r="H581" s="377"/>
      <c r="I581" s="378">
        <f t="shared" si="56"/>
      </c>
      <c r="J581" s="379">
        <f t="shared" si="95"/>
      </c>
      <c r="K581" s="377"/>
      <c r="L581" s="379">
        <f t="shared" si="18"/>
      </c>
      <c r="M581" s="377"/>
      <c r="N581" s="380">
        <f t="shared" si="37"/>
      </c>
      <c r="O581" s="377"/>
      <c r="P581" s="380">
        <f t="shared" si="75"/>
      </c>
      <c r="Q581" s="381">
        <f>(M581+M583+M582)/(O581+O583+O582)</f>
      </c>
      <c r="R581" s="377"/>
      <c r="S581" s="381">
        <f>(O581+O583)/(K581+K583)</f>
      </c>
      <c r="T581" s="377"/>
      <c r="U581" s="382">
        <f>F581/T581</f>
      </c>
      <c r="V581" s="383">
        <f>(F581+4*500)/T581</f>
      </c>
      <c r="W581" s="377"/>
      <c r="X581" s="383">
        <f>W581/T581</f>
      </c>
      <c r="Y581" s="381">
        <f>T581/R581</f>
      </c>
      <c r="Z581" s="383">
        <f>W581/F581</f>
      </c>
      <c r="AA581" s="383">
        <f>W581/(F581+500)</f>
      </c>
      <c r="AB581" s="377"/>
      <c r="AC581" s="377"/>
      <c r="AD581" s="381">
        <f>AB581/T581</f>
      </c>
      <c r="AE581" s="383">
        <f>(W581-AC581)/(F581+500)</f>
      </c>
      <c r="AF581" s="383" t="s">
        <v>1092</v>
      </c>
    </row>
    <row r="582">
      <c r="A582" s="371"/>
      <c r="B582" s="372"/>
      <c r="C582" s="373"/>
      <c r="D582" s="374" t="s">
        <v>1069</v>
      </c>
      <c r="E582" s="384"/>
      <c r="F582" s="376"/>
      <c r="G582" s="377"/>
      <c r="H582" s="377"/>
      <c r="I582" s="378">
        <f t="shared" si="56"/>
      </c>
      <c r="J582" s="379">
        <f t="shared" si="95"/>
      </c>
      <c r="K582" s="377"/>
      <c r="L582" s="379">
        <f t="shared" si="18"/>
      </c>
      <c r="M582" s="377"/>
      <c r="N582" s="380">
        <f t="shared" si="37"/>
      </c>
      <c r="O582" s="377"/>
      <c r="P582" s="380">
        <f t="shared" si="75"/>
      </c>
      <c r="Q582" s="381"/>
      <c r="R582" s="377"/>
      <c r="S582" s="381"/>
      <c r="T582" s="377"/>
      <c r="U582" s="382"/>
      <c r="V582" s="383"/>
      <c r="W582" s="377"/>
      <c r="X582" s="383"/>
      <c r="Y582" s="381"/>
      <c r="Z582" s="383"/>
      <c r="AA582" s="383"/>
      <c r="AB582" s="377"/>
      <c r="AC582" s="377"/>
      <c r="AD582" s="381"/>
      <c r="AE582" s="383"/>
      <c r="AF582" s="383" t="s">
        <v>1098</v>
      </c>
    </row>
    <row r="583">
      <c r="A583" s="371"/>
      <c r="B583" s="372"/>
      <c r="C583" s="373"/>
      <c r="D583" s="374" t="s">
        <v>1071</v>
      </c>
      <c r="E583" s="377"/>
      <c r="F583" s="376"/>
      <c r="G583" s="377"/>
      <c r="H583" s="377"/>
      <c r="I583" s="378">
        <f t="shared" si="56"/>
      </c>
      <c r="J583" s="379">
        <f t="shared" si="95"/>
      </c>
      <c r="K583" s="377"/>
      <c r="L583" s="379">
        <f t="shared" si="18"/>
      </c>
      <c r="M583" s="377"/>
      <c r="N583" s="380">
        <f t="shared" si="37"/>
      </c>
      <c r="O583" s="377"/>
      <c r="P583" s="380">
        <f t="shared" si="75"/>
      </c>
      <c r="Q583" s="381"/>
      <c r="R583" s="377"/>
      <c r="S583" s="381"/>
      <c r="T583" s="377"/>
      <c r="U583" s="382"/>
      <c r="V583" s="383"/>
      <c r="W583" s="377"/>
      <c r="X583" s="383"/>
      <c r="Y583" s="381"/>
      <c r="Z583" s="383"/>
      <c r="AA583" s="383"/>
      <c r="AB583" s="377"/>
      <c r="AC583" s="377"/>
      <c r="AD583" s="381"/>
      <c r="AE583" s="383"/>
      <c r="AF583" s="383"/>
    </row>
    <row r="584">
      <c r="A584" s="371"/>
      <c r="B584" s="372" t="s">
        <v>1080</v>
      </c>
      <c r="C584" s="373" t="s">
        <v>1076</v>
      </c>
      <c r="D584" s="374" t="s">
        <v>1067</v>
      </c>
      <c r="E584" s="375"/>
      <c r="F584" s="376">
        <f>E584+E585+E586</f>
      </c>
      <c r="G584" s="377"/>
      <c r="H584" s="377"/>
      <c r="I584" s="378">
        <f t="shared" si="56"/>
      </c>
      <c r="J584" s="379">
        <f t="shared" si="95"/>
      </c>
      <c r="K584" s="377"/>
      <c r="L584" s="379">
        <f t="shared" si="18"/>
      </c>
      <c r="M584" s="377"/>
      <c r="N584" s="380">
        <f t="shared" si="37"/>
      </c>
      <c r="O584" s="377"/>
      <c r="P584" s="380">
        <f t="shared" si="75"/>
      </c>
      <c r="Q584" s="381">
        <f>(M584+M586+M585)/(O584+O586+O585)</f>
      </c>
      <c r="R584" s="377"/>
      <c r="S584" s="381">
        <f>(O584+O586)/(K584+K586)</f>
      </c>
      <c r="T584" s="377"/>
      <c r="U584" s="382">
        <f>F584/T584</f>
      </c>
      <c r="V584" s="383">
        <f>(F584+4*500)/T584</f>
      </c>
      <c r="W584" s="377"/>
      <c r="X584" s="383">
        <f>W584/T584</f>
      </c>
      <c r="Y584" s="381">
        <f>T584/R584</f>
      </c>
      <c r="Z584" s="383">
        <f>W584/F584</f>
      </c>
      <c r="AA584" s="383">
        <f>W584/(F584+500)</f>
      </c>
      <c r="AB584" s="377"/>
      <c r="AC584" s="377"/>
      <c r="AD584" s="381">
        <f>AB584/T584</f>
      </c>
      <c r="AE584" s="383">
        <f>(W584-AC584)/(F584+500)</f>
      </c>
      <c r="AF584" s="383" t="s">
        <v>1092</v>
      </c>
    </row>
    <row r="585">
      <c r="A585" s="371"/>
      <c r="B585" s="372"/>
      <c r="C585" s="373"/>
      <c r="D585" s="374" t="s">
        <v>1069</v>
      </c>
      <c r="E585" s="384"/>
      <c r="F585" s="376"/>
      <c r="G585" s="377"/>
      <c r="H585" s="377"/>
      <c r="I585" s="378">
        <f t="shared" si="56"/>
      </c>
      <c r="J585" s="379">
        <f t="shared" si="95"/>
      </c>
      <c r="K585" s="377"/>
      <c r="L585" s="379">
        <f t="shared" si="18"/>
      </c>
      <c r="M585" s="377"/>
      <c r="N585" s="380">
        <f t="shared" si="37"/>
      </c>
      <c r="O585" s="377"/>
      <c r="P585" s="380">
        <f t="shared" si="75"/>
      </c>
      <c r="Q585" s="381"/>
      <c r="R585" s="377"/>
      <c r="S585" s="381"/>
      <c r="T585" s="377"/>
      <c r="U585" s="382"/>
      <c r="V585" s="383"/>
      <c r="W585" s="377"/>
      <c r="X585" s="383"/>
      <c r="Y585" s="381"/>
      <c r="Z585" s="383"/>
      <c r="AA585" s="383"/>
      <c r="AB585" s="377"/>
      <c r="AC585" s="377"/>
      <c r="AD585" s="381"/>
      <c r="AE585" s="383"/>
      <c r="AF585" s="383" t="s">
        <v>1098</v>
      </c>
    </row>
    <row r="586">
      <c r="A586" s="371"/>
      <c r="B586" s="372"/>
      <c r="C586" s="373"/>
      <c r="D586" s="374" t="s">
        <v>1071</v>
      </c>
      <c r="E586" s="377"/>
      <c r="F586" s="376"/>
      <c r="G586" s="377"/>
      <c r="H586" s="377"/>
      <c r="I586" s="378">
        <f t="shared" si="56"/>
      </c>
      <c r="J586" s="379">
        <f t="shared" si="95"/>
      </c>
      <c r="K586" s="377"/>
      <c r="L586" s="379">
        <f t="shared" si="18"/>
      </c>
      <c r="M586" s="377"/>
      <c r="N586" s="380">
        <f t="shared" si="37"/>
      </c>
      <c r="O586" s="377"/>
      <c r="P586" s="380">
        <f t="shared" si="75"/>
      </c>
      <c r="Q586" s="381"/>
      <c r="R586" s="377"/>
      <c r="S586" s="381"/>
      <c r="T586" s="377"/>
      <c r="U586" s="382"/>
      <c r="V586" s="383"/>
      <c r="W586" s="377"/>
      <c r="X586" s="383"/>
      <c r="Y586" s="381"/>
      <c r="Z586" s="383"/>
      <c r="AA586" s="383"/>
      <c r="AB586" s="377"/>
      <c r="AC586" s="377"/>
      <c r="AD586" s="381"/>
      <c r="AE586" s="383"/>
      <c r="AF586" s="383"/>
    </row>
    <row r="587">
      <c r="A587" s="371"/>
      <c r="B587" s="372" t="s">
        <v>1082</v>
      </c>
      <c r="C587" s="373" t="s">
        <v>1076</v>
      </c>
      <c r="D587" s="374" t="s">
        <v>1067</v>
      </c>
      <c r="E587" s="375"/>
      <c r="F587" s="376">
        <f>E587+E588+E589</f>
      </c>
      <c r="G587" s="377"/>
      <c r="H587" s="377"/>
      <c r="I587" s="378">
        <f t="shared" si="56"/>
      </c>
      <c r="J587" s="379">
        <f t="shared" si="95"/>
      </c>
      <c r="K587" s="377"/>
      <c r="L587" s="379">
        <f t="shared" si="18"/>
      </c>
      <c r="M587" s="377"/>
      <c r="N587" s="380">
        <f t="shared" si="37"/>
      </c>
      <c r="O587" s="377"/>
      <c r="P587" s="380">
        <f t="shared" si="75"/>
      </c>
      <c r="Q587" s="381">
        <f>(M587+M589+M588)/(O587+O589+O588)</f>
      </c>
      <c r="R587" s="377"/>
      <c r="S587" s="381">
        <f>(O587+O589)/(K587+K589)</f>
      </c>
      <c r="T587" s="377"/>
      <c r="U587" s="382">
        <f>F587/T587</f>
      </c>
      <c r="V587" s="383">
        <f>(F587+4*500)/T587</f>
      </c>
      <c r="W587" s="377"/>
      <c r="X587" s="383">
        <f>W587/T587</f>
      </c>
      <c r="Y587" s="381">
        <f>T587/R587</f>
      </c>
      <c r="Z587" s="383">
        <f>W587/F587</f>
      </c>
      <c r="AA587" s="383">
        <f>W587/(F587+500)</f>
      </c>
      <c r="AB587" s="377"/>
      <c r="AC587" s="377"/>
      <c r="AD587" s="381">
        <f>AB587/T587</f>
      </c>
      <c r="AE587" s="383">
        <f>(W587-AC587)/(F587+500)</f>
      </c>
      <c r="AF587" s="383" t="s">
        <v>1092</v>
      </c>
    </row>
    <row r="588">
      <c r="A588" s="371"/>
      <c r="B588" s="372"/>
      <c r="C588" s="373"/>
      <c r="D588" s="374" t="s">
        <v>1069</v>
      </c>
      <c r="E588" s="384"/>
      <c r="F588" s="376"/>
      <c r="G588" s="377"/>
      <c r="H588" s="377"/>
      <c r="I588" s="378">
        <f t="shared" si="56"/>
      </c>
      <c r="J588" s="379">
        <f t="shared" si="95"/>
      </c>
      <c r="K588" s="377"/>
      <c r="L588" s="379">
        <f t="shared" si="18"/>
      </c>
      <c r="M588" s="377"/>
      <c r="N588" s="380">
        <f t="shared" si="37"/>
      </c>
      <c r="O588" s="377"/>
      <c r="P588" s="380">
        <f t="shared" si="75"/>
      </c>
      <c r="Q588" s="381"/>
      <c r="R588" s="377"/>
      <c r="S588" s="381"/>
      <c r="T588" s="377"/>
      <c r="U588" s="382"/>
      <c r="V588" s="383"/>
      <c r="W588" s="377"/>
      <c r="X588" s="383"/>
      <c r="Y588" s="381"/>
      <c r="Z588" s="383"/>
      <c r="AA588" s="383"/>
      <c r="AB588" s="377"/>
      <c r="AC588" s="377"/>
      <c r="AD588" s="381"/>
      <c r="AE588" s="383"/>
      <c r="AF588" s="383" t="s">
        <v>1098</v>
      </c>
    </row>
    <row r="589">
      <c r="A589" s="371"/>
      <c r="B589" s="372"/>
      <c r="C589" s="373"/>
      <c r="D589" s="374" t="s">
        <v>1071</v>
      </c>
      <c r="E589" s="377"/>
      <c r="F589" s="376"/>
      <c r="G589" s="377"/>
      <c r="H589" s="377"/>
      <c r="I589" s="378">
        <f t="shared" si="56"/>
      </c>
      <c r="J589" s="379">
        <f t="shared" si="95"/>
      </c>
      <c r="K589" s="377"/>
      <c r="L589" s="379">
        <f t="shared" si="18"/>
      </c>
      <c r="M589" s="377"/>
      <c r="N589" s="380">
        <f t="shared" si="37"/>
      </c>
      <c r="O589" s="377"/>
      <c r="P589" s="380">
        <f t="shared" si="75"/>
      </c>
      <c r="Q589" s="381"/>
      <c r="R589" s="377"/>
      <c r="S589" s="381"/>
      <c r="T589" s="377"/>
      <c r="U589" s="382"/>
      <c r="V589" s="383"/>
      <c r="W589" s="377"/>
      <c r="X589" s="383"/>
      <c r="Y589" s="381"/>
      <c r="Z589" s="383"/>
      <c r="AA589" s="383"/>
      <c r="AB589" s="377"/>
      <c r="AC589" s="377"/>
      <c r="AD589" s="381"/>
      <c r="AE589" s="383"/>
      <c r="AF589" s="383"/>
    </row>
    <row r="590">
      <c r="A590" s="391"/>
      <c r="B590" s="391"/>
      <c r="C590" s="391"/>
      <c r="D590" s="391"/>
      <c r="E590" s="391"/>
      <c r="F590" s="391"/>
      <c r="G590" s="391"/>
      <c r="H590" s="391"/>
      <c r="I590" s="391"/>
      <c r="J590" s="391"/>
      <c r="K590" s="391"/>
      <c r="L590" s="391"/>
      <c r="M590" s="391"/>
      <c r="N590" s="391"/>
      <c r="O590" s="391"/>
      <c r="P590" s="391"/>
      <c r="Q590" s="391"/>
      <c r="R590" s="391"/>
      <c r="S590" s="391"/>
      <c r="T590" s="391"/>
      <c r="U590" s="391"/>
      <c r="V590" s="391"/>
      <c r="W590" s="391"/>
      <c r="X590" s="391"/>
      <c r="Y590" s="391"/>
      <c r="Z590" s="391"/>
      <c r="AA590" s="391"/>
      <c r="AB590" s="391"/>
      <c r="AC590" s="391"/>
      <c r="AD590" s="391"/>
      <c r="AE590" s="391"/>
      <c r="AF590" s="391"/>
      <c r="AG590" s="391"/>
      <c r="AH590" s="391"/>
      <c r="AI590" s="391"/>
      <c r="AJ590" s="391"/>
      <c r="AK590" s="391"/>
    </row>
    <row r="591">
      <c r="A591" s="391"/>
      <c r="B591" s="391"/>
      <c r="C591" s="391"/>
      <c r="D591" s="391"/>
      <c r="E591" s="391"/>
      <c r="F591" s="391"/>
      <c r="G591" s="391"/>
      <c r="H591" s="391"/>
      <c r="I591" s="391"/>
      <c r="J591" s="391"/>
      <c r="K591" s="391"/>
      <c r="L591" s="391"/>
      <c r="M591" s="391"/>
      <c r="N591" s="391"/>
      <c r="O591" s="391"/>
      <c r="P591" s="391"/>
      <c r="Q591" s="391"/>
      <c r="R591" s="391"/>
      <c r="S591" s="391"/>
      <c r="T591" s="391"/>
      <c r="U591" s="391"/>
      <c r="V591" s="391"/>
      <c r="W591" s="391"/>
      <c r="X591" s="391"/>
      <c r="Y591" s="391"/>
      <c r="Z591" s="391"/>
      <c r="AA591" s="391"/>
      <c r="AB591" s="391"/>
      <c r="AC591" s="391"/>
      <c r="AD591" s="391"/>
      <c r="AE591" s="391"/>
      <c r="AF591" s="391"/>
      <c r="AG591" s="391"/>
      <c r="AH591" s="391"/>
      <c r="AI591" s="391"/>
      <c r="AJ591" s="391"/>
      <c r="AK591" s="391"/>
    </row>
    <row r="592">
      <c r="A592" s="391"/>
      <c r="B592" s="391"/>
      <c r="C592" s="391"/>
      <c r="D592" s="391"/>
      <c r="E592" s="391"/>
      <c r="F592" s="391"/>
      <c r="G592" s="391"/>
      <c r="H592" s="391"/>
      <c r="I592" s="391"/>
      <c r="J592" s="391"/>
      <c r="K592" s="391"/>
      <c r="L592" s="391"/>
      <c r="M592" s="391"/>
      <c r="N592" s="391"/>
      <c r="O592" s="391"/>
      <c r="P592" s="391"/>
      <c r="Q592" s="391"/>
      <c r="R592" s="391"/>
      <c r="S592" s="391"/>
      <c r="T592" s="391"/>
      <c r="U592" s="391"/>
      <c r="V592" s="391"/>
      <c r="W592" s="391"/>
      <c r="X592" s="391"/>
      <c r="Y592" s="391"/>
      <c r="Z592" s="391"/>
      <c r="AA592" s="391"/>
      <c r="AB592" s="391"/>
      <c r="AC592" s="391"/>
      <c r="AD592" s="391"/>
      <c r="AE592" s="391"/>
      <c r="AF592" s="391"/>
      <c r="AG592" s="391"/>
      <c r="AH592" s="391"/>
      <c r="AI592" s="391"/>
      <c r="AJ592" s="391"/>
      <c r="AK592" s="391"/>
    </row>
    <row r="593">
      <c r="A593" s="391"/>
      <c r="B593" s="391"/>
      <c r="C593" s="391"/>
      <c r="D593" s="391"/>
      <c r="E593" s="391"/>
      <c r="F593" s="392" t="s">
        <v>1110</v>
      </c>
      <c r="G593" s="393"/>
      <c r="H593" s="393"/>
      <c r="I593" s="393"/>
      <c r="J593" s="393"/>
      <c r="K593" s="391"/>
      <c r="L593" s="391"/>
      <c r="M593" s="391"/>
      <c r="N593" s="391"/>
      <c r="O593" s="391"/>
      <c r="P593" s="391"/>
      <c r="Q593" s="391"/>
      <c r="R593" s="391"/>
      <c r="S593" s="391"/>
      <c r="T593" s="391"/>
      <c r="U593" s="391"/>
      <c r="V593" s="391"/>
      <c r="W593" s="391"/>
      <c r="X593" s="391"/>
      <c r="Y593" s="391"/>
      <c r="Z593" s="391"/>
      <c r="AA593" s="391"/>
      <c r="AB593" s="391"/>
      <c r="AC593" s="391"/>
      <c r="AD593" s="391"/>
      <c r="AE593" s="391"/>
      <c r="AF593" s="391"/>
      <c r="AG593" s="391"/>
      <c r="AH593" s="391"/>
      <c r="AI593" s="391"/>
      <c r="AJ593" s="391"/>
      <c r="AK593" s="391"/>
    </row>
    <row r="594">
      <c r="A594" s="391"/>
      <c r="B594" s="391"/>
      <c r="C594" s="391"/>
      <c r="D594" s="391"/>
      <c r="E594" s="391"/>
      <c r="F594" s="392" t="s">
        <v>1111</v>
      </c>
      <c r="G594" s="392" t="s">
        <v>1112</v>
      </c>
      <c r="H594" s="392" t="s">
        <v>1113</v>
      </c>
      <c r="I594" s="392" t="s">
        <v>1036</v>
      </c>
      <c r="J594" s="392" t="s">
        <v>1114</v>
      </c>
      <c r="K594" s="391"/>
      <c r="L594" s="391"/>
      <c r="M594" s="391"/>
      <c r="N594" s="391"/>
      <c r="O594" s="391"/>
      <c r="P594" s="391"/>
      <c r="Q594" s="391"/>
      <c r="R594" s="391"/>
      <c r="S594" s="391"/>
      <c r="T594" s="391"/>
      <c r="U594" s="391"/>
      <c r="V594" s="391"/>
      <c r="W594" s="391"/>
      <c r="X594" s="391"/>
      <c r="Y594" s="391"/>
      <c r="Z594" s="391"/>
      <c r="AA594" s="391"/>
      <c r="AB594" s="391"/>
      <c r="AC594" s="391"/>
      <c r="AD594" s="391"/>
      <c r="AE594" s="391"/>
      <c r="AF594" s="391"/>
      <c r="AG594" s="391"/>
      <c r="AH594" s="391"/>
      <c r="AI594" s="391"/>
      <c r="AJ594" s="391"/>
      <c r="AK594" s="391"/>
    </row>
    <row r="595">
      <c r="A595" s="391"/>
      <c r="B595" s="391"/>
      <c r="C595" s="391"/>
      <c r="D595" s="391"/>
      <c r="E595" s="391"/>
      <c r="F595" s="394">
        <v>46296</v>
      </c>
      <c r="G595" s="393">
        <v>13</v>
      </c>
      <c r="H595" s="393">
        <v>14943.76</v>
      </c>
      <c r="I595" s="393">
        <v>11028.279999999999</v>
      </c>
      <c r="J595" s="395">
        <f t="shared" ref="J595:J612" si="76">H595/I595</f>
      </c>
      <c r="K595" s="391"/>
      <c r="L595" s="391"/>
      <c r="M595" s="391"/>
      <c r="N595" s="391"/>
      <c r="O595" s="391"/>
      <c r="P595" s="391"/>
      <c r="Q595" s="391"/>
      <c r="R595" s="391"/>
      <c r="S595" s="391"/>
      <c r="T595" s="391"/>
      <c r="U595" s="391"/>
      <c r="V595" s="391"/>
      <c r="W595" s="391"/>
      <c r="X595" s="391"/>
      <c r="Y595" s="391"/>
      <c r="Z595" s="391"/>
      <c r="AA595" s="391"/>
      <c r="AB595" s="391"/>
      <c r="AC595" s="391"/>
      <c r="AD595" s="391"/>
      <c r="AE595" s="391"/>
      <c r="AF595" s="391"/>
      <c r="AG595" s="391"/>
      <c r="AH595" s="391"/>
      <c r="AI595" s="391"/>
      <c r="AJ595" s="391"/>
      <c r="AK595" s="391"/>
    </row>
    <row r="596">
      <c r="A596" s="391"/>
      <c r="B596" s="391"/>
      <c r="C596" s="391"/>
      <c r="D596" s="391"/>
      <c r="E596" s="391"/>
      <c r="F596" s="394">
        <v>46297</v>
      </c>
      <c r="G596" s="393">
        <v>36</v>
      </c>
      <c r="H596" s="393">
        <v>42151.8</v>
      </c>
      <c r="I596" s="393">
        <v>33705.810000000005</v>
      </c>
      <c r="J596" s="395">
        <f t="shared" si="76"/>
      </c>
      <c r="K596" s="391"/>
      <c r="L596" s="391"/>
      <c r="M596" s="391"/>
      <c r="N596" s="391"/>
      <c r="O596" s="391"/>
      <c r="P596" s="391"/>
      <c r="Q596" s="391"/>
      <c r="R596" s="391"/>
      <c r="S596" s="391"/>
      <c r="T596" s="391"/>
      <c r="U596" s="391"/>
      <c r="V596" s="391"/>
      <c r="W596" s="391"/>
      <c r="X596" s="391"/>
      <c r="Y596" s="391"/>
      <c r="Z596" s="391"/>
      <c r="AA596" s="391"/>
      <c r="AB596" s="391"/>
      <c r="AC596" s="391"/>
      <c r="AD596" s="391"/>
      <c r="AE596" s="391"/>
      <c r="AF596" s="391"/>
      <c r="AG596" s="391"/>
      <c r="AH596" s="391"/>
      <c r="AI596" s="391"/>
      <c r="AJ596" s="391"/>
      <c r="AK596" s="391"/>
    </row>
    <row r="597">
      <c r="A597" s="391"/>
      <c r="B597" s="391"/>
      <c r="C597" s="391"/>
      <c r="D597" s="391"/>
      <c r="E597" s="391"/>
      <c r="F597" s="394">
        <v>46298</v>
      </c>
      <c r="G597" s="393">
        <v>17</v>
      </c>
      <c r="H597" s="393">
        <v>20449.199999999997</v>
      </c>
      <c r="I597" s="393">
        <v>17507.69</v>
      </c>
      <c r="J597" s="395">
        <f t="shared" si="76"/>
      </c>
      <c r="K597" s="391"/>
      <c r="L597" s="391"/>
      <c r="M597" s="391"/>
      <c r="N597" s="391"/>
      <c r="O597" s="391"/>
      <c r="P597" s="391"/>
      <c r="Q597" s="391"/>
      <c r="R597" s="391"/>
      <c r="S597" s="391"/>
      <c r="T597" s="391"/>
      <c r="U597" s="391"/>
      <c r="V597" s="391"/>
      <c r="W597" s="391"/>
      <c r="X597" s="391"/>
      <c r="Y597" s="391"/>
      <c r="Z597" s="391"/>
      <c r="AA597" s="391"/>
      <c r="AB597" s="391"/>
      <c r="AC597" s="391"/>
      <c r="AD597" s="391"/>
      <c r="AE597" s="391"/>
      <c r="AF597" s="391"/>
      <c r="AG597" s="391"/>
      <c r="AH597" s="391"/>
      <c r="AI597" s="391"/>
      <c r="AJ597" s="391"/>
      <c r="AK597" s="391"/>
    </row>
    <row r="598">
      <c r="A598" s="391"/>
      <c r="B598" s="391"/>
      <c r="C598" s="391"/>
      <c r="D598" s="391"/>
      <c r="E598" s="391"/>
      <c r="F598" s="394">
        <v>46299</v>
      </c>
      <c r="G598" s="393">
        <v>15</v>
      </c>
      <c r="H598" s="393">
        <v>15618.6</v>
      </c>
      <c r="I598" s="393">
        <v>16361.669999999998</v>
      </c>
      <c r="J598" s="395">
        <f t="shared" si="76"/>
      </c>
      <c r="K598" s="391"/>
      <c r="L598" s="391"/>
      <c r="M598" s="391"/>
      <c r="N598" s="391"/>
      <c r="O598" s="391"/>
      <c r="P598" s="391"/>
      <c r="Q598" s="391"/>
      <c r="R598" s="391"/>
      <c r="S598" s="391"/>
      <c r="T598" s="391"/>
      <c r="U598" s="391"/>
      <c r="V598" s="391"/>
      <c r="W598" s="391"/>
      <c r="X598" s="391"/>
      <c r="Y598" s="391"/>
      <c r="Z598" s="391"/>
      <c r="AA598" s="391"/>
      <c r="AB598" s="391"/>
      <c r="AC598" s="391"/>
      <c r="AD598" s="391"/>
      <c r="AE598" s="391"/>
      <c r="AF598" s="391"/>
      <c r="AG598" s="391"/>
      <c r="AH598" s="391"/>
      <c r="AI598" s="391"/>
      <c r="AJ598" s="391"/>
      <c r="AK598" s="391"/>
    </row>
    <row r="599">
      <c r="A599" s="391"/>
      <c r="B599" s="391"/>
      <c r="C599" s="391"/>
      <c r="D599" s="391"/>
      <c r="E599" s="391"/>
      <c r="F599" s="394">
        <v>46300</v>
      </c>
      <c r="G599" s="393">
        <v>9</v>
      </c>
      <c r="H599" s="393">
        <v>12170</v>
      </c>
      <c r="I599" s="393">
        <v>11041.650000000001</v>
      </c>
      <c r="J599" s="395">
        <f t="shared" si="76"/>
      </c>
      <c r="K599" s="391"/>
      <c r="L599" s="391"/>
      <c r="M599" s="391"/>
      <c r="N599" s="391"/>
      <c r="O599" s="391"/>
      <c r="P599" s="391"/>
      <c r="Q599" s="391"/>
      <c r="R599" s="391"/>
      <c r="S599" s="391"/>
      <c r="T599" s="391"/>
      <c r="U599" s="391"/>
      <c r="V599" s="391"/>
      <c r="W599" s="391"/>
      <c r="X599" s="391"/>
      <c r="Y599" s="391"/>
      <c r="Z599" s="391"/>
      <c r="AA599" s="391"/>
      <c r="AB599" s="391"/>
      <c r="AC599" s="391"/>
      <c r="AD599" s="391"/>
      <c r="AE599" s="391"/>
      <c r="AF599" s="391"/>
      <c r="AG599" s="391"/>
      <c r="AH599" s="391"/>
      <c r="AI599" s="391"/>
      <c r="AJ599" s="391"/>
      <c r="AK599" s="391"/>
    </row>
    <row r="600">
      <c r="A600" s="391"/>
      <c r="B600" s="391"/>
      <c r="C600" s="391"/>
      <c r="D600" s="391"/>
      <c r="E600" s="391"/>
      <c r="F600" s="394">
        <v>46301</v>
      </c>
      <c r="G600" s="393">
        <v>6</v>
      </c>
      <c r="H600" s="393">
        <v>7309.2</v>
      </c>
      <c r="I600" s="393">
        <v>7832.599999999999</v>
      </c>
      <c r="J600" s="395">
        <f t="shared" si="76"/>
      </c>
      <c r="K600" s="391"/>
      <c r="L600" s="391"/>
      <c r="M600" s="391"/>
      <c r="N600" s="391"/>
      <c r="O600" s="391"/>
      <c r="P600" s="391"/>
      <c r="Q600" s="391"/>
      <c r="R600" s="391"/>
      <c r="S600" s="391"/>
      <c r="T600" s="391"/>
      <c r="U600" s="391"/>
      <c r="V600" s="391"/>
      <c r="W600" s="391"/>
      <c r="X600" s="391"/>
      <c r="Y600" s="391"/>
      <c r="Z600" s="391"/>
      <c r="AA600" s="391"/>
      <c r="AB600" s="391"/>
      <c r="AC600" s="391"/>
      <c r="AD600" s="391"/>
      <c r="AE600" s="391"/>
      <c r="AF600" s="391"/>
      <c r="AG600" s="391"/>
      <c r="AH600" s="391"/>
      <c r="AI600" s="391"/>
      <c r="AJ600" s="391"/>
      <c r="AK600" s="391"/>
    </row>
    <row r="601">
      <c r="A601" s="391"/>
      <c r="B601" s="391"/>
      <c r="C601" s="391"/>
      <c r="D601" s="391"/>
      <c r="E601" s="391"/>
      <c r="F601" s="394">
        <v>46302</v>
      </c>
      <c r="G601" s="393">
        <v>5</v>
      </c>
      <c r="H601" s="393">
        <v>8023.200000000001</v>
      </c>
      <c r="I601" s="393">
        <v>8879.08</v>
      </c>
      <c r="J601" s="395">
        <f t="shared" si="76"/>
      </c>
      <c r="K601" s="391"/>
      <c r="L601" s="391"/>
      <c r="M601" s="391"/>
      <c r="N601" s="391"/>
      <c r="O601" s="391"/>
      <c r="P601" s="391"/>
      <c r="Q601" s="391"/>
      <c r="R601" s="391"/>
      <c r="S601" s="391"/>
      <c r="T601" s="391"/>
      <c r="U601" s="391"/>
      <c r="V601" s="391"/>
      <c r="W601" s="391"/>
      <c r="X601" s="391"/>
      <c r="Y601" s="391"/>
      <c r="Z601" s="391"/>
      <c r="AA601" s="391"/>
      <c r="AB601" s="391"/>
      <c r="AC601" s="391"/>
      <c r="AD601" s="391"/>
      <c r="AE601" s="391"/>
      <c r="AF601" s="391"/>
      <c r="AG601" s="391"/>
      <c r="AH601" s="391"/>
      <c r="AI601" s="391"/>
      <c r="AJ601" s="391"/>
      <c r="AK601" s="391"/>
    </row>
    <row r="602">
      <c r="A602" s="391"/>
      <c r="B602" s="391"/>
      <c r="C602" s="391"/>
      <c r="D602" s="391"/>
      <c r="E602" s="391"/>
      <c r="F602" s="394">
        <v>46303</v>
      </c>
      <c r="G602" s="393">
        <v>17</v>
      </c>
      <c r="H602" s="393">
        <v>19680.8</v>
      </c>
      <c r="I602" s="393">
        <v>13021.999999999998</v>
      </c>
      <c r="J602" s="395">
        <f t="shared" si="76"/>
      </c>
      <c r="K602" s="391"/>
      <c r="L602" s="391"/>
      <c r="M602" s="391"/>
      <c r="N602" s="391"/>
      <c r="O602" s="391"/>
      <c r="P602" s="391"/>
      <c r="Q602" s="391"/>
      <c r="R602" s="391"/>
      <c r="S602" s="391"/>
      <c r="T602" s="391"/>
      <c r="U602" s="391"/>
      <c r="V602" s="391"/>
      <c r="W602" s="391"/>
      <c r="X602" s="391"/>
      <c r="Y602" s="391"/>
      <c r="Z602" s="391"/>
      <c r="AA602" s="391"/>
      <c r="AB602" s="391"/>
      <c r="AC602" s="391"/>
      <c r="AD602" s="391"/>
      <c r="AE602" s="391"/>
      <c r="AF602" s="391"/>
      <c r="AG602" s="391"/>
      <c r="AH602" s="391"/>
      <c r="AI602" s="391"/>
      <c r="AJ602" s="391"/>
      <c r="AK602" s="391"/>
    </row>
    <row r="603">
      <c r="A603" s="391"/>
      <c r="B603" s="391"/>
      <c r="C603" s="391"/>
      <c r="D603" s="391"/>
      <c r="E603" s="391"/>
      <c r="F603" s="394">
        <v>46304</v>
      </c>
      <c r="G603" s="393">
        <v>11</v>
      </c>
      <c r="H603" s="393">
        <v>16357.2</v>
      </c>
      <c r="I603" s="393">
        <v>15829.02</v>
      </c>
      <c r="J603" s="395">
        <f t="shared" si="76"/>
      </c>
      <c r="K603" s="391"/>
      <c r="L603" s="391"/>
      <c r="M603" s="391"/>
      <c r="N603" s="391"/>
      <c r="O603" s="391"/>
      <c r="P603" s="391"/>
      <c r="Q603" s="391"/>
      <c r="R603" s="391"/>
      <c r="S603" s="391"/>
      <c r="T603" s="391"/>
      <c r="U603" s="391"/>
      <c r="V603" s="391"/>
      <c r="W603" s="391"/>
      <c r="X603" s="391"/>
      <c r="Y603" s="391"/>
      <c r="Z603" s="391"/>
      <c r="AA603" s="391"/>
      <c r="AB603" s="391"/>
      <c r="AC603" s="391"/>
      <c r="AD603" s="391"/>
      <c r="AE603" s="391"/>
      <c r="AF603" s="391"/>
      <c r="AG603" s="391"/>
      <c r="AH603" s="391"/>
      <c r="AI603" s="391"/>
      <c r="AJ603" s="391"/>
      <c r="AK603" s="391"/>
    </row>
    <row r="604">
      <c r="A604" s="391"/>
      <c r="B604" s="391"/>
      <c r="C604" s="391"/>
      <c r="D604" s="391"/>
      <c r="E604" s="391"/>
      <c r="F604" s="394">
        <v>46305</v>
      </c>
      <c r="G604" s="393">
        <v>4</v>
      </c>
      <c r="H604" s="393">
        <v>5012.4</v>
      </c>
      <c r="I604" s="393">
        <v>7182.18</v>
      </c>
      <c r="J604" s="395">
        <f t="shared" si="76"/>
      </c>
      <c r="K604" s="391"/>
      <c r="L604" s="391"/>
      <c r="M604" s="391"/>
      <c r="N604" s="391"/>
      <c r="O604" s="391"/>
      <c r="P604" s="391"/>
      <c r="Q604" s="391"/>
      <c r="R604" s="391"/>
      <c r="S604" s="391"/>
      <c r="T604" s="391"/>
      <c r="U604" s="391"/>
      <c r="V604" s="391"/>
      <c r="W604" s="391"/>
      <c r="X604" s="391"/>
      <c r="Y604" s="391"/>
      <c r="Z604" s="391"/>
      <c r="AA604" s="391"/>
      <c r="AB604" s="391"/>
      <c r="AC604" s="391"/>
      <c r="AD604" s="391"/>
      <c r="AE604" s="391"/>
      <c r="AF604" s="391"/>
      <c r="AG604" s="391"/>
      <c r="AH604" s="391"/>
      <c r="AI604" s="391"/>
      <c r="AJ604" s="391"/>
      <c r="AK604" s="391"/>
    </row>
    <row r="605">
      <c r="A605" s="391"/>
      <c r="B605" s="391"/>
      <c r="C605" s="391"/>
      <c r="D605" s="391"/>
      <c r="E605" s="391"/>
      <c r="F605" s="394">
        <v>46306</v>
      </c>
      <c r="G605" s="393">
        <v>6</v>
      </c>
      <c r="H605" s="393">
        <v>6749.8</v>
      </c>
      <c r="I605" s="393">
        <v>10649.13</v>
      </c>
      <c r="J605" s="395">
        <f t="shared" si="76"/>
      </c>
      <c r="K605" s="391"/>
      <c r="L605" s="391"/>
      <c r="M605" s="391"/>
      <c r="N605" s="391"/>
      <c r="O605" s="391"/>
      <c r="P605" s="391"/>
      <c r="Q605" s="391"/>
      <c r="R605" s="391"/>
      <c r="S605" s="391"/>
      <c r="T605" s="391"/>
      <c r="U605" s="391"/>
      <c r="V605" s="391"/>
      <c r="W605" s="391"/>
      <c r="X605" s="391"/>
      <c r="Y605" s="391"/>
      <c r="Z605" s="391"/>
      <c r="AA605" s="391"/>
      <c r="AB605" s="391"/>
      <c r="AC605" s="391"/>
      <c r="AD605" s="391"/>
      <c r="AE605" s="391"/>
      <c r="AF605" s="391"/>
      <c r="AG605" s="391"/>
      <c r="AH605" s="391"/>
      <c r="AI605" s="391"/>
      <c r="AJ605" s="391"/>
      <c r="AK605" s="391"/>
    </row>
    <row r="606">
      <c r="A606" s="391"/>
      <c r="B606" s="391"/>
      <c r="C606" s="391"/>
      <c r="D606" s="391"/>
      <c r="E606" s="391"/>
      <c r="F606" s="394">
        <v>46307</v>
      </c>
      <c r="G606" s="393">
        <v>5</v>
      </c>
      <c r="H606" s="393">
        <v>4183.2</v>
      </c>
      <c r="I606" s="393">
        <v>12047.25</v>
      </c>
      <c r="J606" s="395">
        <f t="shared" si="76"/>
      </c>
      <c r="K606" s="391"/>
      <c r="L606" s="391"/>
      <c r="M606" s="391"/>
      <c r="N606" s="391"/>
      <c r="O606" s="391"/>
      <c r="P606" s="391"/>
      <c r="Q606" s="391"/>
      <c r="R606" s="391"/>
      <c r="S606" s="391"/>
      <c r="T606" s="391"/>
      <c r="U606" s="391"/>
      <c r="V606" s="391"/>
      <c r="W606" s="391"/>
      <c r="X606" s="391"/>
      <c r="Y606" s="391"/>
      <c r="Z606" s="391"/>
      <c r="AA606" s="391"/>
      <c r="AB606" s="391"/>
      <c r="AC606" s="391"/>
      <c r="AD606" s="391"/>
      <c r="AE606" s="391"/>
      <c r="AF606" s="391"/>
      <c r="AG606" s="391"/>
      <c r="AH606" s="391"/>
      <c r="AI606" s="391"/>
      <c r="AJ606" s="391"/>
      <c r="AK606" s="391"/>
    </row>
    <row r="607">
      <c r="A607" s="391"/>
      <c r="B607" s="391"/>
      <c r="C607" s="391"/>
      <c r="D607" s="391"/>
      <c r="E607" s="391"/>
      <c r="F607" s="394">
        <v>46308</v>
      </c>
      <c r="G607" s="393">
        <v>18</v>
      </c>
      <c r="H607" s="393">
        <v>18389.8</v>
      </c>
      <c r="I607" s="393">
        <v>19912.890000000003</v>
      </c>
      <c r="J607" s="395">
        <f t="shared" si="76"/>
      </c>
      <c r="K607" s="391"/>
      <c r="L607" s="391"/>
      <c r="M607" s="391"/>
      <c r="N607" s="391"/>
      <c r="O607" s="391"/>
      <c r="P607" s="391"/>
      <c r="Q607" s="391"/>
      <c r="R607" s="391"/>
      <c r="S607" s="391"/>
      <c r="T607" s="391"/>
      <c r="U607" s="391"/>
      <c r="V607" s="391"/>
      <c r="W607" s="391"/>
      <c r="X607" s="391"/>
      <c r="Y607" s="391"/>
      <c r="Z607" s="391"/>
      <c r="AA607" s="391"/>
      <c r="AB607" s="391"/>
      <c r="AC607" s="391"/>
      <c r="AD607" s="391"/>
      <c r="AE607" s="391"/>
      <c r="AF607" s="391"/>
      <c r="AG607" s="391"/>
      <c r="AH607" s="391"/>
      <c r="AI607" s="391"/>
      <c r="AJ607" s="391"/>
      <c r="AK607" s="391"/>
    </row>
    <row r="608">
      <c r="A608" s="391"/>
      <c r="B608" s="391"/>
      <c r="C608" s="391"/>
      <c r="D608" s="391"/>
      <c r="E608" s="391"/>
      <c r="F608" s="394">
        <v>46309</v>
      </c>
      <c r="G608" s="393">
        <v>11</v>
      </c>
      <c r="H608" s="393">
        <v>8980.8</v>
      </c>
      <c r="I608" s="393">
        <v>19458.71</v>
      </c>
      <c r="J608" s="395">
        <f t="shared" si="76"/>
      </c>
      <c r="K608" s="391"/>
      <c r="L608" s="391"/>
      <c r="M608" s="391"/>
      <c r="N608" s="391"/>
      <c r="O608" s="391"/>
      <c r="P608" s="391"/>
      <c r="Q608" s="391"/>
      <c r="R608" s="391"/>
      <c r="S608" s="391"/>
      <c r="T608" s="391"/>
      <c r="U608" s="391"/>
      <c r="V608" s="391"/>
      <c r="W608" s="391"/>
      <c r="X608" s="391"/>
      <c r="Y608" s="391"/>
      <c r="Z608" s="391"/>
      <c r="AA608" s="391"/>
      <c r="AB608" s="391"/>
      <c r="AC608" s="391"/>
      <c r="AD608" s="391"/>
      <c r="AE608" s="391"/>
      <c r="AF608" s="391"/>
      <c r="AG608" s="391"/>
      <c r="AH608" s="391"/>
      <c r="AI608" s="391"/>
      <c r="AJ608" s="391"/>
      <c r="AK608" s="391"/>
    </row>
    <row r="609">
      <c r="A609" s="391"/>
      <c r="B609" s="391"/>
      <c r="C609" s="391"/>
      <c r="D609" s="391"/>
      <c r="E609" s="391"/>
      <c r="F609" s="394">
        <v>46310</v>
      </c>
      <c r="G609" s="393">
        <v>19</v>
      </c>
      <c r="H609" s="393">
        <v>19390.8</v>
      </c>
      <c r="I609" s="393">
        <v>20534.590000000004</v>
      </c>
      <c r="J609" s="395">
        <f t="shared" si="76"/>
      </c>
      <c r="K609" s="391"/>
      <c r="L609" s="391"/>
      <c r="M609" s="391"/>
      <c r="N609" s="391"/>
      <c r="O609" s="391"/>
      <c r="P609" s="391"/>
      <c r="Q609" s="391"/>
      <c r="R609" s="391"/>
      <c r="S609" s="391"/>
      <c r="T609" s="391"/>
      <c r="U609" s="391"/>
      <c r="V609" s="391"/>
      <c r="W609" s="391"/>
      <c r="X609" s="391"/>
      <c r="Y609" s="391"/>
      <c r="Z609" s="391"/>
      <c r="AA609" s="391"/>
      <c r="AB609" s="391"/>
      <c r="AC609" s="391"/>
      <c r="AD609" s="391"/>
      <c r="AE609" s="391"/>
      <c r="AF609" s="391"/>
      <c r="AG609" s="391"/>
      <c r="AH609" s="391"/>
      <c r="AI609" s="391"/>
      <c r="AJ609" s="391"/>
      <c r="AK609" s="391"/>
    </row>
    <row r="610">
      <c r="A610" s="391"/>
      <c r="B610" s="391"/>
      <c r="C610" s="391"/>
      <c r="D610" s="391"/>
      <c r="E610" s="391"/>
      <c r="F610" s="394">
        <v>46311</v>
      </c>
      <c r="G610" s="393">
        <v>8</v>
      </c>
      <c r="H610" s="393">
        <v>12643.199999999999</v>
      </c>
      <c r="I610" s="393">
        <v>12206.140000000001</v>
      </c>
      <c r="J610" s="395">
        <f t="shared" si="76"/>
      </c>
      <c r="K610" s="391"/>
      <c r="L610" s="391"/>
      <c r="M610" s="391"/>
      <c r="N610" s="391"/>
      <c r="O610" s="391"/>
      <c r="P610" s="391"/>
      <c r="Q610" s="391"/>
      <c r="R610" s="391"/>
      <c r="S610" s="391"/>
      <c r="T610" s="391"/>
      <c r="U610" s="391"/>
      <c r="V610" s="391"/>
      <c r="W610" s="391"/>
      <c r="X610" s="391"/>
      <c r="Y610" s="391"/>
      <c r="Z610" s="391"/>
      <c r="AA610" s="391"/>
      <c r="AB610" s="391"/>
      <c r="AC610" s="391"/>
      <c r="AD610" s="391"/>
      <c r="AE610" s="391"/>
      <c r="AF610" s="391"/>
      <c r="AG610" s="391"/>
      <c r="AH610" s="391"/>
      <c r="AI610" s="391"/>
      <c r="AJ610" s="391"/>
      <c r="AK610" s="391"/>
    </row>
    <row r="611">
      <c r="A611" s="391"/>
      <c r="B611" s="391"/>
      <c r="C611" s="391"/>
      <c r="D611" s="391"/>
      <c r="E611" s="391"/>
      <c r="F611" s="394">
        <v>46312</v>
      </c>
      <c r="G611" s="393">
        <v>19</v>
      </c>
      <c r="H611" s="393">
        <v>23081.6</v>
      </c>
      <c r="I611" s="393">
        <v>20789.64</v>
      </c>
      <c r="J611" s="395">
        <f t="shared" si="76"/>
      </c>
      <c r="K611" s="391"/>
      <c r="L611" s="391"/>
      <c r="M611" s="391"/>
      <c r="N611" s="391"/>
      <c r="O611" s="391"/>
      <c r="P611" s="391"/>
      <c r="Q611" s="391"/>
      <c r="R611" s="391"/>
      <c r="S611" s="391"/>
      <c r="T611" s="391"/>
      <c r="U611" s="391"/>
      <c r="V611" s="391"/>
      <c r="W611" s="391"/>
      <c r="X611" s="391"/>
      <c r="Y611" s="391"/>
      <c r="Z611" s="391"/>
      <c r="AA611" s="391"/>
      <c r="AB611" s="391"/>
      <c r="AC611" s="391"/>
      <c r="AD611" s="391"/>
      <c r="AE611" s="391"/>
      <c r="AF611" s="391"/>
      <c r="AG611" s="391"/>
      <c r="AH611" s="391"/>
      <c r="AI611" s="391"/>
      <c r="AJ611" s="391"/>
      <c r="AK611" s="391"/>
    </row>
    <row r="612">
      <c r="A612" s="391"/>
      <c r="B612" s="391"/>
      <c r="C612" s="391"/>
      <c r="D612" s="391"/>
      <c r="E612" s="391"/>
      <c r="F612" s="394">
        <v>46313</v>
      </c>
      <c r="G612" s="393">
        <v>3</v>
      </c>
      <c r="H612" s="393">
        <v>5546.4</v>
      </c>
      <c r="I612" s="393">
        <v>6958.27</v>
      </c>
      <c r="J612" s="395">
        <f t="shared" si="76"/>
      </c>
      <c r="K612" s="391"/>
      <c r="L612" s="391"/>
      <c r="M612" s="391"/>
      <c r="N612" s="391"/>
      <c r="O612" s="391"/>
      <c r="P612" s="391"/>
      <c r="Q612" s="391"/>
      <c r="R612" s="391"/>
      <c r="S612" s="391"/>
      <c r="T612" s="391"/>
      <c r="U612" s="391"/>
      <c r="V612" s="391"/>
      <c r="W612" s="391"/>
      <c r="X612" s="391"/>
      <c r="Y612" s="391">
        <v>13</v>
      </c>
      <c r="Z612" s="391"/>
      <c r="AA612" s="391"/>
      <c r="AB612" s="391">
        <v>14943.76</v>
      </c>
      <c r="AC612" s="391"/>
      <c r="AD612" s="391"/>
      <c r="AE612" s="391"/>
      <c r="AF612" s="391"/>
      <c r="AG612" s="391"/>
      <c r="AH612" s="391"/>
      <c r="AI612" s="391"/>
      <c r="AJ612" s="391"/>
      <c r="AK612" s="391"/>
    </row>
    <row r="613">
      <c r="A613" s="391"/>
      <c r="B613" s="391"/>
      <c r="C613" s="391"/>
      <c r="D613" s="391"/>
      <c r="E613" s="391"/>
      <c r="F613" s="391"/>
      <c r="G613" s="391"/>
      <c r="H613" s="391"/>
      <c r="I613" s="391"/>
      <c r="J613" s="391"/>
      <c r="K613" s="391"/>
      <c r="L613" s="391"/>
      <c r="M613" s="391"/>
      <c r="N613" s="391"/>
      <c r="O613" s="391"/>
      <c r="P613" s="391"/>
      <c r="Q613" s="391"/>
      <c r="R613" s="391"/>
      <c r="S613" s="391"/>
      <c r="T613" s="391"/>
      <c r="U613" s="391"/>
      <c r="V613" s="391"/>
      <c r="W613" s="391"/>
      <c r="X613" s="391"/>
      <c r="Y613" s="391">
        <v>36</v>
      </c>
      <c r="Z613" s="391"/>
      <c r="AA613" s="391"/>
      <c r="AB613" s="391">
        <v>42151.8</v>
      </c>
      <c r="AC613" s="391"/>
      <c r="AD613" s="391"/>
      <c r="AE613" s="391"/>
      <c r="AF613" s="391"/>
      <c r="AG613" s="391"/>
      <c r="AH613" s="391"/>
      <c r="AI613" s="391"/>
      <c r="AJ613" s="391"/>
      <c r="AK613" s="391"/>
    </row>
    <row r="614">
      <c r="A614" s="391"/>
      <c r="B614" s="391"/>
      <c r="C614" s="391"/>
      <c r="D614" s="391"/>
      <c r="E614" s="391"/>
      <c r="F614" s="391"/>
      <c r="G614" s="391"/>
      <c r="H614" s="391"/>
      <c r="I614" s="391"/>
      <c r="J614" s="391"/>
      <c r="K614" s="391"/>
      <c r="L614" s="391"/>
      <c r="M614" s="391"/>
      <c r="N614" s="391"/>
      <c r="O614" s="391"/>
      <c r="P614" s="391"/>
      <c r="Q614" s="391"/>
      <c r="R614" s="391"/>
      <c r="S614" s="391"/>
      <c r="T614" s="391"/>
      <c r="U614" s="391"/>
      <c r="V614" s="391"/>
      <c r="W614" s="391"/>
      <c r="X614" s="391"/>
      <c r="Y614" s="391">
        <v>17</v>
      </c>
      <c r="Z614" s="391"/>
      <c r="AA614" s="391"/>
      <c r="AB614" s="391">
        <v>20449.199999999997</v>
      </c>
      <c r="AC614" s="391"/>
      <c r="AD614" s="391"/>
      <c r="AE614" s="391"/>
      <c r="AF614" s="391"/>
      <c r="AG614" s="391"/>
      <c r="AH614" s="391"/>
      <c r="AI614" s="391"/>
      <c r="AJ614" s="391"/>
      <c r="AK614" s="391"/>
    </row>
    <row r="615">
      <c r="A615" s="391"/>
      <c r="B615" s="391"/>
      <c r="C615" s="391"/>
      <c r="D615" s="391"/>
      <c r="E615" s="391"/>
      <c r="F615" s="391"/>
      <c r="G615" s="391"/>
      <c r="H615" s="391"/>
      <c r="I615" s="391"/>
      <c r="J615" s="391"/>
      <c r="K615" s="391"/>
      <c r="L615" s="391"/>
      <c r="M615" s="391"/>
      <c r="N615" s="391"/>
      <c r="O615" s="391"/>
      <c r="P615" s="391"/>
      <c r="Q615" s="391"/>
      <c r="R615" s="391"/>
      <c r="S615" s="391"/>
      <c r="T615" s="391"/>
      <c r="U615" s="391"/>
      <c r="V615" s="391"/>
      <c r="W615" s="391"/>
      <c r="X615" s="391"/>
      <c r="Y615" s="391">
        <v>15</v>
      </c>
      <c r="Z615" s="391"/>
      <c r="AA615" s="391"/>
      <c r="AB615" s="391">
        <v>15618.6</v>
      </c>
      <c r="AC615" s="391"/>
      <c r="AD615" s="391"/>
      <c r="AE615" s="391"/>
      <c r="AF615" s="391"/>
      <c r="AG615" s="391"/>
      <c r="AH615" s="391"/>
      <c r="AI615" s="391"/>
      <c r="AJ615" s="391"/>
      <c r="AK615" s="391"/>
    </row>
    <row r="616">
      <c r="A616" s="391"/>
      <c r="B616" s="391"/>
      <c r="C616" s="391"/>
      <c r="D616" s="391"/>
      <c r="E616" s="391"/>
      <c r="F616" s="391"/>
      <c r="G616" s="391"/>
      <c r="H616" s="391"/>
      <c r="I616" s="391"/>
      <c r="J616" s="391"/>
      <c r="K616" s="391"/>
      <c r="L616" s="391"/>
      <c r="M616" s="391"/>
      <c r="N616" s="391"/>
      <c r="O616" s="391"/>
      <c r="P616" s="391"/>
      <c r="Q616" s="391"/>
      <c r="R616" s="391"/>
      <c r="S616" s="391"/>
      <c r="T616" s="391"/>
      <c r="U616" s="391"/>
      <c r="V616" s="391"/>
      <c r="W616" s="391"/>
      <c r="X616" s="391"/>
      <c r="Y616" s="391">
        <v>9</v>
      </c>
      <c r="Z616" s="391"/>
      <c r="AA616" s="391"/>
      <c r="AB616" s="391">
        <v>12170</v>
      </c>
      <c r="AC616" s="391"/>
      <c r="AD616" s="391"/>
      <c r="AE616" s="391"/>
      <c r="AF616" s="391"/>
      <c r="AG616" s="391"/>
      <c r="AH616" s="391"/>
      <c r="AI616" s="391"/>
      <c r="AJ616" s="391"/>
      <c r="AK616" s="391"/>
    </row>
    <row r="617">
      <c r="A617" s="391"/>
      <c r="B617" s="391"/>
      <c r="C617" s="391"/>
      <c r="D617" s="391"/>
      <c r="E617" s="391"/>
      <c r="F617" s="391"/>
      <c r="G617" s="391"/>
      <c r="H617" s="391"/>
      <c r="I617" s="391"/>
      <c r="J617" s="391"/>
      <c r="K617" s="391"/>
      <c r="L617" s="391"/>
      <c r="M617" s="391"/>
      <c r="N617" s="391"/>
      <c r="O617" s="391"/>
      <c r="P617" s="391"/>
      <c r="Q617" s="391"/>
      <c r="R617" s="391"/>
      <c r="S617" s="391"/>
      <c r="T617" s="391"/>
      <c r="U617" s="391"/>
      <c r="V617" s="391"/>
      <c r="W617" s="391"/>
      <c r="X617" s="391"/>
      <c r="Y617" s="391">
        <v>6</v>
      </c>
      <c r="Z617" s="391"/>
      <c r="AA617" s="391"/>
      <c r="AB617" s="391">
        <v>7309.2</v>
      </c>
      <c r="AC617" s="391"/>
      <c r="AD617" s="391"/>
      <c r="AE617" s="391"/>
      <c r="AF617" s="391"/>
      <c r="AG617" s="391"/>
      <c r="AH617" s="391"/>
      <c r="AI617" s="391"/>
      <c r="AJ617" s="391"/>
      <c r="AK617" s="391"/>
    </row>
    <row r="618">
      <c r="A618" s="391"/>
      <c r="B618" s="391"/>
      <c r="C618" s="391"/>
      <c r="D618" s="391"/>
      <c r="E618" s="391"/>
      <c r="F618" s="391"/>
      <c r="G618" s="391"/>
      <c r="H618" s="391"/>
      <c r="I618" s="391"/>
      <c r="J618" s="391"/>
      <c r="K618" s="391"/>
      <c r="L618" s="391"/>
      <c r="M618" s="391"/>
      <c r="N618" s="391"/>
      <c r="O618" s="391"/>
      <c r="P618" s="391"/>
      <c r="Q618" s="391"/>
      <c r="R618" s="391"/>
      <c r="S618" s="391"/>
      <c r="T618" s="391"/>
      <c r="U618" s="391"/>
      <c r="V618" s="391"/>
      <c r="W618" s="391"/>
      <c r="X618" s="391"/>
      <c r="Y618" s="391">
        <v>5</v>
      </c>
      <c r="Z618" s="391"/>
      <c r="AA618" s="391"/>
      <c r="AB618" s="391">
        <v>8023.200000000001</v>
      </c>
      <c r="AC618" s="391"/>
      <c r="AD618" s="391"/>
      <c r="AE618" s="391"/>
      <c r="AF618" s="391"/>
      <c r="AG618" s="391"/>
      <c r="AH618" s="391"/>
      <c r="AI618" s="391"/>
      <c r="AJ618" s="391"/>
      <c r="AK618" s="391"/>
    </row>
    <row r="619">
      <c r="A619" s="391"/>
      <c r="B619" s="391"/>
      <c r="C619" s="391"/>
      <c r="D619" s="391"/>
      <c r="E619" s="391"/>
      <c r="F619" s="391"/>
      <c r="G619" s="391"/>
      <c r="H619" s="391"/>
      <c r="I619" s="391"/>
      <c r="J619" s="391"/>
      <c r="K619" s="391"/>
      <c r="L619" s="391"/>
      <c r="M619" s="391"/>
      <c r="N619" s="391"/>
      <c r="O619" s="391"/>
      <c r="P619" s="391"/>
      <c r="Q619" s="391"/>
      <c r="R619" s="391"/>
      <c r="S619" s="391"/>
      <c r="T619" s="391"/>
      <c r="U619" s="391"/>
      <c r="V619" s="391"/>
      <c r="W619" s="391"/>
      <c r="X619" s="391"/>
      <c r="Y619" s="391">
        <v>17</v>
      </c>
      <c r="Z619" s="391"/>
      <c r="AA619" s="391"/>
      <c r="AB619" s="391">
        <v>19680.8</v>
      </c>
      <c r="AC619" s="391"/>
      <c r="AD619" s="391"/>
      <c r="AE619" s="391"/>
      <c r="AF619" s="391"/>
      <c r="AG619" s="391"/>
      <c r="AH619" s="391"/>
      <c r="AI619" s="391"/>
      <c r="AJ619" s="391"/>
      <c r="AK619" s="391"/>
    </row>
    <row r="620">
      <c r="A620" s="391"/>
      <c r="B620" s="391"/>
      <c r="C620" s="391"/>
      <c r="D620" s="391"/>
      <c r="E620" s="391"/>
      <c r="F620" s="391"/>
      <c r="G620" s="391"/>
      <c r="H620" s="391"/>
      <c r="I620" s="391"/>
      <c r="J620" s="391"/>
      <c r="K620" s="391"/>
      <c r="L620" s="391"/>
      <c r="M620" s="391"/>
      <c r="N620" s="391"/>
      <c r="O620" s="391"/>
      <c r="P620" s="391"/>
      <c r="Q620" s="391"/>
      <c r="R620" s="391"/>
      <c r="S620" s="391"/>
      <c r="T620" s="391"/>
      <c r="U620" s="391"/>
      <c r="V620" s="391"/>
      <c r="W620" s="391"/>
      <c r="X620" s="391"/>
      <c r="Y620" s="391">
        <v>11</v>
      </c>
      <c r="Z620" s="391"/>
      <c r="AA620" s="391"/>
      <c r="AB620" s="391">
        <v>16357.2</v>
      </c>
      <c r="AC620" s="391"/>
      <c r="AD620" s="391"/>
      <c r="AE620" s="391"/>
      <c r="AF620" s="391"/>
      <c r="AG620" s="391"/>
      <c r="AH620" s="391"/>
      <c r="AI620" s="391"/>
      <c r="AJ620" s="391"/>
      <c r="AK620" s="391"/>
    </row>
    <row r="621">
      <c r="A621" s="391"/>
      <c r="B621" s="391"/>
      <c r="C621" s="391"/>
      <c r="D621" s="391"/>
      <c r="E621" s="391"/>
      <c r="F621" s="391"/>
      <c r="G621" s="391"/>
      <c r="H621" s="391"/>
      <c r="I621" s="391"/>
      <c r="J621" s="391"/>
      <c r="K621" s="391"/>
      <c r="L621" s="391"/>
      <c r="M621" s="391"/>
      <c r="N621" s="391"/>
      <c r="O621" s="391"/>
      <c r="P621" s="391"/>
      <c r="Q621" s="391"/>
      <c r="R621" s="391"/>
      <c r="S621" s="391"/>
      <c r="T621" s="391"/>
      <c r="U621" s="391"/>
      <c r="V621" s="391"/>
      <c r="W621" s="391"/>
      <c r="X621" s="391"/>
      <c r="Y621" s="391">
        <v>4</v>
      </c>
      <c r="Z621" s="391"/>
      <c r="AA621" s="391"/>
      <c r="AB621" s="391">
        <v>5012.4</v>
      </c>
      <c r="AC621" s="391"/>
      <c r="AD621" s="391"/>
      <c r="AE621" s="391"/>
      <c r="AF621" s="391"/>
      <c r="AG621" s="391"/>
      <c r="AH621" s="391"/>
      <c r="AI621" s="391"/>
      <c r="AJ621" s="391"/>
      <c r="AK621" s="391"/>
    </row>
    <row r="622">
      <c r="A622" s="391"/>
      <c r="B622" s="391"/>
      <c r="C622" s="391"/>
      <c r="D622" s="391"/>
      <c r="E622" s="391"/>
      <c r="F622" s="391"/>
      <c r="G622" s="391"/>
      <c r="H622" s="391"/>
      <c r="I622" s="391"/>
      <c r="J622" s="391"/>
      <c r="K622" s="391"/>
      <c r="L622" s="391"/>
      <c r="M622" s="391"/>
      <c r="N622" s="391"/>
      <c r="O622" s="391"/>
      <c r="P622" s="391"/>
      <c r="Q622" s="391"/>
      <c r="R622" s="391"/>
      <c r="S622" s="391"/>
      <c r="T622" s="391"/>
      <c r="U622" s="391"/>
      <c r="V622" s="391"/>
      <c r="W622" s="391"/>
      <c r="X622" s="391"/>
      <c r="Y622" s="391">
        <v>6</v>
      </c>
      <c r="Z622" s="391"/>
      <c r="AA622" s="391"/>
      <c r="AB622" s="391">
        <v>6749.8</v>
      </c>
      <c r="AC622" s="391"/>
      <c r="AD622" s="391"/>
      <c r="AE622" s="391"/>
      <c r="AF622" s="391"/>
      <c r="AG622" s="391"/>
      <c r="AH622" s="391"/>
      <c r="AI622" s="391"/>
      <c r="AJ622" s="391"/>
      <c r="AK622" s="391"/>
    </row>
    <row r="623">
      <c r="A623" s="391"/>
      <c r="B623" s="391"/>
      <c r="C623" s="391"/>
      <c r="D623" s="391"/>
      <c r="E623" s="391"/>
      <c r="F623" s="391"/>
      <c r="G623" s="391"/>
      <c r="H623" s="391"/>
      <c r="I623" s="391"/>
      <c r="J623" s="391"/>
      <c r="K623" s="391"/>
      <c r="L623" s="391"/>
      <c r="M623" s="391"/>
      <c r="N623" s="391"/>
      <c r="O623" s="391"/>
      <c r="P623" s="391"/>
      <c r="Q623" s="391"/>
      <c r="R623" s="391"/>
      <c r="S623" s="391"/>
      <c r="T623" s="391"/>
      <c r="U623" s="391"/>
      <c r="V623" s="391"/>
      <c r="W623" s="391"/>
      <c r="X623" s="391"/>
      <c r="Y623" s="391">
        <v>5</v>
      </c>
      <c r="Z623" s="391"/>
      <c r="AA623" s="391"/>
      <c r="AB623" s="391">
        <v>4183.2</v>
      </c>
      <c r="AC623" s="391"/>
      <c r="AD623" s="391"/>
      <c r="AE623" s="391"/>
      <c r="AF623" s="391"/>
      <c r="AG623" s="391"/>
      <c r="AH623" s="391"/>
      <c r="AI623" s="391"/>
      <c r="AJ623" s="391"/>
      <c r="AK623" s="391"/>
    </row>
    <row r="624">
      <c r="A624" s="391"/>
      <c r="B624" s="391"/>
      <c r="C624" s="391"/>
      <c r="D624" s="391"/>
      <c r="E624" s="391"/>
      <c r="F624" s="391"/>
      <c r="G624" s="391"/>
      <c r="H624" s="391"/>
      <c r="I624" s="391"/>
      <c r="J624" s="391"/>
      <c r="K624" s="391"/>
      <c r="L624" s="391"/>
      <c r="M624" s="391"/>
      <c r="N624" s="391"/>
      <c r="O624" s="391"/>
      <c r="P624" s="391"/>
      <c r="Q624" s="391"/>
      <c r="R624" s="391"/>
      <c r="S624" s="391"/>
      <c r="T624" s="391"/>
      <c r="U624" s="391"/>
      <c r="V624" s="391"/>
      <c r="W624" s="391"/>
      <c r="X624" s="391"/>
      <c r="Y624" s="391">
        <v>18</v>
      </c>
      <c r="Z624" s="391"/>
      <c r="AA624" s="391"/>
      <c r="AB624" s="391">
        <v>18389.8</v>
      </c>
      <c r="AC624" s="391"/>
      <c r="AD624" s="391"/>
      <c r="AE624" s="391"/>
      <c r="AF624" s="391"/>
      <c r="AG624" s="391"/>
      <c r="AH624" s="391"/>
      <c r="AI624" s="391"/>
      <c r="AJ624" s="391"/>
      <c r="AK624" s="391"/>
    </row>
    <row r="625">
      <c r="A625" s="391"/>
      <c r="B625" s="391"/>
      <c r="C625" s="391"/>
      <c r="D625" s="391"/>
      <c r="E625" s="391"/>
      <c r="F625" s="391"/>
      <c r="G625" s="391"/>
      <c r="H625" s="391"/>
      <c r="I625" s="391"/>
      <c r="J625" s="391"/>
      <c r="K625" s="391"/>
      <c r="L625" s="391"/>
      <c r="M625" s="391"/>
      <c r="N625" s="391"/>
      <c r="O625" s="391"/>
      <c r="P625" s="391"/>
      <c r="Q625" s="391"/>
      <c r="R625" s="391"/>
      <c r="S625" s="391"/>
      <c r="T625" s="391"/>
      <c r="U625" s="391"/>
      <c r="V625" s="391"/>
      <c r="W625" s="391"/>
      <c r="X625" s="391"/>
      <c r="Y625" s="391">
        <v>11</v>
      </c>
      <c r="Z625" s="391"/>
      <c r="AA625" s="391"/>
      <c r="AB625" s="391">
        <v>8980.8</v>
      </c>
      <c r="AC625" s="391"/>
      <c r="AD625" s="391"/>
      <c r="AE625" s="391"/>
      <c r="AF625" s="391"/>
      <c r="AG625" s="391"/>
      <c r="AH625" s="391"/>
      <c r="AI625" s="391"/>
      <c r="AJ625" s="391"/>
      <c r="AK625" s="391"/>
    </row>
    <row r="626">
      <c r="A626" s="391"/>
      <c r="B626" s="391"/>
      <c r="C626" s="391"/>
      <c r="D626" s="391"/>
      <c r="E626" s="391"/>
      <c r="F626" s="391"/>
      <c r="G626" s="391"/>
      <c r="H626" s="391"/>
      <c r="I626" s="391"/>
      <c r="J626" s="391"/>
      <c r="K626" s="391"/>
      <c r="L626" s="391"/>
      <c r="M626" s="391"/>
      <c r="N626" s="391"/>
      <c r="O626" s="391"/>
      <c r="P626" s="391"/>
      <c r="Q626" s="391"/>
      <c r="R626" s="391"/>
      <c r="S626" s="391"/>
      <c r="T626" s="391"/>
      <c r="U626" s="391"/>
      <c r="V626" s="391"/>
      <c r="W626" s="391"/>
      <c r="X626" s="391"/>
      <c r="Y626" s="391">
        <v>19</v>
      </c>
      <c r="Z626" s="391"/>
      <c r="AA626" s="391"/>
      <c r="AB626" s="391">
        <v>19390.8</v>
      </c>
      <c r="AC626" s="391"/>
      <c r="AD626" s="391"/>
      <c r="AE626" s="391"/>
      <c r="AF626" s="391"/>
      <c r="AG626" s="391"/>
      <c r="AH626" s="391"/>
      <c r="AI626" s="391"/>
      <c r="AJ626" s="391"/>
      <c r="AK626" s="391"/>
    </row>
    <row r="627">
      <c r="A627" s="391"/>
      <c r="B627" s="391"/>
      <c r="C627" s="391"/>
      <c r="D627" s="391"/>
      <c r="E627" s="391"/>
      <c r="F627" s="391"/>
      <c r="G627" s="391"/>
      <c r="H627" s="391"/>
      <c r="I627" s="391"/>
      <c r="J627" s="391"/>
      <c r="K627" s="391"/>
      <c r="L627" s="391"/>
      <c r="M627" s="391"/>
      <c r="N627" s="391"/>
      <c r="O627" s="391"/>
      <c r="P627" s="391"/>
      <c r="Q627" s="391"/>
      <c r="R627" s="391"/>
      <c r="S627" s="391"/>
      <c r="T627" s="391"/>
      <c r="U627" s="391"/>
      <c r="V627" s="391"/>
      <c r="W627" s="391"/>
      <c r="X627" s="391"/>
      <c r="Y627" s="391">
        <v>8</v>
      </c>
      <c r="Z627" s="391"/>
      <c r="AA627" s="391"/>
      <c r="AB627" s="391">
        <v>12643.199999999999</v>
      </c>
      <c r="AC627" s="391"/>
      <c r="AD627" s="391"/>
      <c r="AE627" s="391"/>
      <c r="AF627" s="391"/>
      <c r="AG627" s="391"/>
      <c r="AH627" s="391"/>
      <c r="AI627" s="391"/>
      <c r="AJ627" s="391"/>
      <c r="AK627" s="391"/>
    </row>
    <row r="628">
      <c r="A628" s="391"/>
      <c r="B628" s="391"/>
      <c r="C628" s="391"/>
      <c r="D628" s="391"/>
      <c r="E628" s="391"/>
      <c r="F628" s="391"/>
      <c r="G628" s="391"/>
      <c r="H628" s="391"/>
      <c r="I628" s="391"/>
      <c r="J628" s="391"/>
      <c r="K628" s="391"/>
      <c r="L628" s="391"/>
      <c r="M628" s="391"/>
      <c r="N628" s="391"/>
      <c r="O628" s="391"/>
      <c r="P628" s="391"/>
      <c r="Q628" s="391"/>
      <c r="R628" s="391"/>
      <c r="S628" s="391"/>
      <c r="T628" s="391"/>
      <c r="U628" s="391"/>
      <c r="V628" s="391"/>
      <c r="W628" s="391"/>
      <c r="X628" s="391"/>
      <c r="Y628" s="391">
        <v>19</v>
      </c>
      <c r="Z628" s="391"/>
      <c r="AA628" s="391"/>
      <c r="AB628" s="391">
        <v>23081.6</v>
      </c>
      <c r="AC628" s="391"/>
      <c r="AD628" s="391"/>
      <c r="AE628" s="391"/>
      <c r="AF628" s="391"/>
      <c r="AG628" s="391"/>
      <c r="AH628" s="391"/>
      <c r="AI628" s="391"/>
      <c r="AJ628" s="391"/>
      <c r="AK628" s="391"/>
    </row>
    <row r="629">
      <c r="A629" s="391"/>
      <c r="B629" s="391"/>
      <c r="C629" s="391"/>
      <c r="D629" s="391"/>
      <c r="E629" s="391"/>
      <c r="F629" s="391"/>
      <c r="G629" s="391"/>
      <c r="H629" s="391"/>
      <c r="I629" s="391"/>
      <c r="J629" s="391"/>
      <c r="K629" s="391"/>
      <c r="L629" s="391"/>
      <c r="M629" s="391"/>
      <c r="N629" s="391"/>
      <c r="O629" s="391"/>
      <c r="P629" s="391"/>
      <c r="Q629" s="391"/>
      <c r="R629" s="391"/>
      <c r="S629" s="391"/>
      <c r="T629" s="391"/>
      <c r="U629" s="391"/>
      <c r="V629" s="391"/>
      <c r="W629" s="391"/>
      <c r="X629" s="391"/>
      <c r="Y629" s="391">
        <v>3</v>
      </c>
      <c r="Z629" s="391"/>
      <c r="AA629" s="391"/>
      <c r="AB629" s="391">
        <v>5546.4</v>
      </c>
      <c r="AC629" s="391"/>
      <c r="AD629" s="391"/>
      <c r="AE629" s="391"/>
      <c r="AF629" s="391"/>
      <c r="AG629" s="391"/>
      <c r="AH629" s="391"/>
      <c r="AI629" s="391"/>
      <c r="AJ629" s="391"/>
      <c r="AK629" s="391"/>
    </row>
    <row r="630">
      <c r="A630" s="391"/>
      <c r="B630" s="391"/>
      <c r="C630" s="391"/>
      <c r="D630" s="391"/>
      <c r="E630" s="391"/>
      <c r="F630" s="391"/>
      <c r="G630" s="391"/>
      <c r="H630" s="391"/>
      <c r="I630" s="391"/>
      <c r="J630" s="391"/>
      <c r="K630" s="391"/>
      <c r="L630" s="391"/>
      <c r="M630" s="391"/>
      <c r="N630" s="391"/>
      <c r="O630" s="391"/>
      <c r="P630" s="391"/>
      <c r="Q630" s="391"/>
      <c r="R630" s="391"/>
      <c r="S630" s="391"/>
      <c r="T630" s="391"/>
      <c r="U630" s="391"/>
      <c r="V630" s="391"/>
      <c r="W630" s="391"/>
      <c r="X630" s="391"/>
      <c r="Y630" s="391"/>
      <c r="Z630" s="391"/>
      <c r="AA630" s="391"/>
      <c r="AB630" s="391"/>
      <c r="AC630" s="391"/>
      <c r="AD630" s="391"/>
      <c r="AE630" s="391"/>
      <c r="AF630" s="391"/>
      <c r="AG630" s="391"/>
      <c r="AH630" s="391"/>
      <c r="AI630" s="391"/>
      <c r="AJ630" s="391"/>
      <c r="AK630" s="391"/>
    </row>
    <row r="631">
      <c r="A631" s="391"/>
      <c r="B631" s="391"/>
      <c r="C631" s="391"/>
      <c r="D631" s="391"/>
      <c r="E631" s="391"/>
      <c r="F631" s="391"/>
      <c r="G631" s="391"/>
      <c r="H631" s="391"/>
      <c r="I631" s="391"/>
      <c r="J631" s="391"/>
      <c r="K631" s="391"/>
      <c r="L631" s="391"/>
      <c r="M631" s="391"/>
      <c r="N631" s="391"/>
      <c r="O631" s="391"/>
      <c r="P631" s="391"/>
      <c r="Q631" s="391"/>
      <c r="R631" s="391"/>
      <c r="S631" s="391"/>
      <c r="T631" s="391"/>
      <c r="U631" s="391"/>
      <c r="V631" s="391"/>
      <c r="W631" s="391"/>
      <c r="X631" s="391"/>
      <c r="Y631" s="391"/>
      <c r="Z631" s="391"/>
      <c r="AA631" s="391"/>
      <c r="AB631" s="391"/>
      <c r="AC631" s="391"/>
      <c r="AD631" s="391"/>
      <c r="AE631" s="391"/>
      <c r="AF631" s="391"/>
      <c r="AG631" s="391"/>
      <c r="AH631" s="391"/>
      <c r="AI631" s="391"/>
      <c r="AJ631" s="391"/>
      <c r="AK631" s="391"/>
    </row>
    <row r="632">
      <c r="A632" s="391"/>
      <c r="B632" s="391"/>
      <c r="C632" s="391"/>
      <c r="D632" s="391"/>
      <c r="E632" s="391"/>
      <c r="F632" s="391"/>
      <c r="G632" s="391"/>
      <c r="H632" s="391"/>
      <c r="I632" s="391"/>
      <c r="J632" s="391"/>
      <c r="K632" s="391"/>
      <c r="L632" s="391"/>
      <c r="M632" s="391"/>
      <c r="N632" s="391"/>
      <c r="O632" s="391"/>
      <c r="P632" s="391"/>
      <c r="Q632" s="391"/>
      <c r="R632" s="391"/>
      <c r="S632" s="391"/>
      <c r="T632" s="391"/>
      <c r="U632" s="391"/>
      <c r="V632" s="391"/>
      <c r="W632" s="391"/>
      <c r="X632" s="391"/>
      <c r="Y632" s="391"/>
      <c r="Z632" s="391"/>
      <c r="AA632" s="391"/>
      <c r="AB632" s="391"/>
      <c r="AC632" s="391"/>
      <c r="AD632" s="391"/>
      <c r="AE632" s="391"/>
      <c r="AF632" s="391"/>
      <c r="AG632" s="391"/>
      <c r="AH632" s="391"/>
      <c r="AI632" s="391"/>
      <c r="AJ632" s="391"/>
      <c r="AK632" s="391"/>
    </row>
    <row r="633">
      <c r="A633" s="391"/>
      <c r="B633" s="391"/>
      <c r="C633" s="391"/>
      <c r="D633" s="391"/>
      <c r="E633" s="391"/>
      <c r="F633" s="391"/>
      <c r="G633" s="391"/>
      <c r="H633" s="391"/>
      <c r="I633" s="391"/>
      <c r="J633" s="391"/>
      <c r="K633" s="391"/>
      <c r="L633" s="391"/>
      <c r="M633" s="391"/>
      <c r="N633" s="391"/>
      <c r="O633" s="391"/>
      <c r="P633" s="391"/>
      <c r="Q633" s="391"/>
      <c r="R633" s="391"/>
      <c r="S633" s="391"/>
      <c r="T633" s="391"/>
      <c r="U633" s="391"/>
      <c r="V633" s="391"/>
      <c r="W633" s="391"/>
      <c r="X633" s="391"/>
      <c r="Y633" s="391"/>
      <c r="Z633" s="391"/>
      <c r="AA633" s="391"/>
      <c r="AB633" s="391"/>
      <c r="AC633" s="391"/>
      <c r="AD633" s="391"/>
      <c r="AE633" s="391"/>
      <c r="AF633" s="391"/>
      <c r="AG633" s="391"/>
      <c r="AH633" s="391"/>
      <c r="AI633" s="391"/>
      <c r="AJ633" s="391"/>
      <c r="AK633" s="391"/>
    </row>
    <row r="634">
      <c r="A634" s="391"/>
      <c r="B634" s="391"/>
      <c r="C634" s="391"/>
      <c r="D634" s="391"/>
      <c r="E634" s="391"/>
      <c r="F634" s="391"/>
      <c r="G634" s="391"/>
      <c r="H634" s="391"/>
      <c r="I634" s="391"/>
      <c r="J634" s="391"/>
      <c r="K634" s="391"/>
      <c r="L634" s="391"/>
      <c r="M634" s="391"/>
      <c r="N634" s="391"/>
      <c r="O634" s="391"/>
      <c r="P634" s="391"/>
      <c r="Q634" s="391"/>
      <c r="R634" s="391"/>
      <c r="S634" s="391"/>
      <c r="T634" s="391"/>
      <c r="U634" s="391"/>
      <c r="V634" s="391"/>
      <c r="W634" s="391"/>
      <c r="X634" s="391"/>
      <c r="Y634" s="391"/>
      <c r="Z634" s="391"/>
      <c r="AA634" s="391"/>
      <c r="AB634" s="391"/>
      <c r="AC634" s="391"/>
      <c r="AD634" s="391"/>
      <c r="AE634" s="391"/>
      <c r="AF634" s="391"/>
      <c r="AG634" s="391"/>
      <c r="AH634" s="391"/>
      <c r="AI634" s="391"/>
      <c r="AJ634" s="391"/>
      <c r="AK634" s="391"/>
    </row>
    <row r="635">
      <c r="A635" s="391"/>
      <c r="B635" s="391"/>
      <c r="C635" s="391"/>
      <c r="D635" s="391"/>
      <c r="E635" s="391"/>
      <c r="F635" s="391"/>
      <c r="G635" s="391"/>
      <c r="H635" s="391"/>
      <c r="I635" s="391"/>
      <c r="J635" s="391"/>
      <c r="K635" s="391"/>
      <c r="L635" s="391"/>
      <c r="M635" s="391"/>
      <c r="N635" s="391"/>
      <c r="O635" s="391"/>
      <c r="P635" s="391"/>
      <c r="Q635" s="391"/>
      <c r="R635" s="391"/>
      <c r="S635" s="391"/>
      <c r="T635" s="391"/>
      <c r="U635" s="391"/>
      <c r="V635" s="391"/>
      <c r="W635" s="391"/>
      <c r="X635" s="391"/>
      <c r="Y635" s="391"/>
      <c r="Z635" s="391"/>
      <c r="AA635" s="391"/>
      <c r="AB635" s="391"/>
      <c r="AC635" s="391"/>
      <c r="AD635" s="391"/>
      <c r="AE635" s="391"/>
      <c r="AF635" s="391"/>
      <c r="AG635" s="391"/>
      <c r="AH635" s="391"/>
      <c r="AI635" s="391"/>
      <c r="AJ635" s="391"/>
      <c r="AK635" s="391"/>
    </row>
    <row r="636">
      <c r="A636" s="391"/>
      <c r="B636" s="391"/>
      <c r="C636" s="391"/>
      <c r="D636" s="391"/>
      <c r="E636" s="391"/>
      <c r="F636" s="391"/>
      <c r="G636" s="391"/>
      <c r="H636" s="391"/>
      <c r="I636" s="391"/>
      <c r="J636" s="391"/>
      <c r="K636" s="391"/>
      <c r="L636" s="391"/>
      <c r="M636" s="391"/>
      <c r="N636" s="391"/>
      <c r="O636" s="391"/>
      <c r="P636" s="391"/>
      <c r="Q636" s="391"/>
      <c r="R636" s="391"/>
      <c r="S636" s="391"/>
      <c r="T636" s="391"/>
      <c r="U636" s="391"/>
      <c r="V636" s="391"/>
      <c r="W636" s="391"/>
      <c r="X636" s="391"/>
      <c r="Y636" s="391"/>
      <c r="Z636" s="391"/>
      <c r="AA636" s="391"/>
      <c r="AB636" s="391"/>
      <c r="AC636" s="391"/>
      <c r="AD636" s="391"/>
      <c r="AE636" s="391"/>
      <c r="AF636" s="391"/>
      <c r="AG636" s="391"/>
      <c r="AH636" s="391"/>
      <c r="AI636" s="391"/>
      <c r="AJ636" s="391"/>
      <c r="AK636" s="391"/>
    </row>
    <row r="637">
      <c r="A637" s="391"/>
      <c r="B637" s="391"/>
      <c r="C637" s="391"/>
      <c r="D637" s="391"/>
      <c r="E637" s="391"/>
      <c r="F637" s="391"/>
      <c r="G637" s="391"/>
      <c r="H637" s="391"/>
      <c r="I637" s="391"/>
      <c r="J637" s="391"/>
      <c r="K637" s="391"/>
      <c r="L637" s="391"/>
      <c r="M637" s="391"/>
      <c r="N637" s="391"/>
      <c r="O637" s="391"/>
      <c r="P637" s="391"/>
      <c r="Q637" s="391"/>
      <c r="R637" s="391"/>
      <c r="S637" s="391"/>
      <c r="T637" s="391"/>
      <c r="U637" s="391"/>
      <c r="V637" s="391"/>
      <c r="W637" s="391"/>
      <c r="X637" s="391"/>
      <c r="Y637" s="391"/>
      <c r="Z637" s="391"/>
      <c r="AA637" s="391"/>
      <c r="AB637" s="391"/>
      <c r="AC637" s="391"/>
      <c r="AD637" s="391"/>
      <c r="AE637" s="391"/>
      <c r="AF637" s="391"/>
      <c r="AG637" s="391"/>
      <c r="AH637" s="391"/>
      <c r="AI637" s="391"/>
      <c r="AJ637" s="391"/>
      <c r="AK637" s="391"/>
    </row>
    <row r="638">
      <c r="A638" s="391"/>
      <c r="B638" s="391"/>
      <c r="C638" s="391"/>
      <c r="D638" s="391"/>
      <c r="E638" s="391"/>
      <c r="F638" s="391"/>
      <c r="G638" s="391"/>
      <c r="H638" s="391"/>
      <c r="I638" s="391"/>
      <c r="J638" s="391"/>
      <c r="K638" s="391"/>
      <c r="L638" s="391"/>
      <c r="M638" s="391"/>
      <c r="N638" s="391"/>
      <c r="O638" s="391"/>
      <c r="P638" s="391"/>
      <c r="Q638" s="391"/>
      <c r="R638" s="391"/>
      <c r="S638" s="391"/>
      <c r="T638" s="391"/>
      <c r="U638" s="391"/>
      <c r="V638" s="391"/>
      <c r="W638" s="391"/>
      <c r="X638" s="391"/>
      <c r="Y638" s="391"/>
      <c r="Z638" s="391"/>
      <c r="AA638" s="391"/>
      <c r="AB638" s="391"/>
      <c r="AC638" s="391"/>
      <c r="AD638" s="391"/>
      <c r="AE638" s="391"/>
      <c r="AF638" s="391"/>
      <c r="AG638" s="391"/>
      <c r="AH638" s="391"/>
      <c r="AI638" s="391"/>
      <c r="AJ638" s="391"/>
      <c r="AK638" s="391"/>
    </row>
    <row r="639">
      <c r="A639" s="391"/>
      <c r="B639" s="391"/>
      <c r="C639" s="391"/>
      <c r="D639" s="391"/>
      <c r="E639" s="391"/>
      <c r="F639" s="391"/>
      <c r="G639" s="391"/>
      <c r="H639" s="391"/>
      <c r="I639" s="391"/>
      <c r="J639" s="391"/>
      <c r="K639" s="391"/>
      <c r="L639" s="391"/>
      <c r="M639" s="391"/>
      <c r="N639" s="391"/>
      <c r="O639" s="391"/>
      <c r="P639" s="391"/>
      <c r="Q639" s="391"/>
      <c r="R639" s="391"/>
      <c r="S639" s="391"/>
      <c r="T639" s="391"/>
      <c r="U639" s="391"/>
      <c r="V639" s="391"/>
      <c r="W639" s="391"/>
      <c r="X639" s="391"/>
      <c r="Y639" s="391"/>
      <c r="Z639" s="391"/>
      <c r="AA639" s="391"/>
      <c r="AB639" s="391"/>
      <c r="AC639" s="391"/>
      <c r="AD639" s="391"/>
      <c r="AE639" s="391"/>
      <c r="AF639" s="391"/>
      <c r="AG639" s="391"/>
      <c r="AH639" s="391"/>
      <c r="AI639" s="391"/>
      <c r="AJ639" s="391"/>
      <c r="AK639" s="391"/>
    </row>
    <row r="640">
      <c r="A640" s="391"/>
      <c r="B640" s="391"/>
      <c r="C640" s="391"/>
      <c r="D640" s="391"/>
      <c r="E640" s="391"/>
      <c r="F640" s="391"/>
      <c r="G640" s="391"/>
      <c r="H640" s="391"/>
      <c r="I640" s="391"/>
      <c r="J640" s="391"/>
      <c r="K640" s="391"/>
      <c r="L640" s="391"/>
      <c r="M640" s="391"/>
      <c r="N640" s="391"/>
      <c r="O640" s="391"/>
      <c r="P640" s="391"/>
      <c r="Q640" s="391"/>
      <c r="R640" s="391"/>
      <c r="S640" s="391"/>
      <c r="T640" s="391"/>
      <c r="U640" s="391"/>
      <c r="V640" s="391"/>
      <c r="W640" s="391"/>
      <c r="X640" s="391"/>
      <c r="Y640" s="391"/>
      <c r="Z640" s="391"/>
      <c r="AA640" s="391"/>
      <c r="AB640" s="391"/>
      <c r="AC640" s="391"/>
      <c r="AD640" s="391"/>
      <c r="AE640" s="391"/>
      <c r="AF640" s="391"/>
      <c r="AG640" s="391"/>
      <c r="AH640" s="391"/>
      <c r="AI640" s="391"/>
      <c r="AJ640" s="391"/>
      <c r="AK640" s="391"/>
    </row>
    <row r="641">
      <c r="A641" s="391"/>
      <c r="B641" s="391"/>
      <c r="C641" s="391"/>
      <c r="D641" s="391"/>
      <c r="E641" s="391"/>
      <c r="F641" s="391"/>
      <c r="G641" s="391"/>
      <c r="H641" s="391"/>
      <c r="I641" s="391"/>
      <c r="J641" s="391"/>
      <c r="K641" s="391"/>
      <c r="L641" s="391"/>
      <c r="M641" s="391"/>
      <c r="N641" s="391"/>
      <c r="O641" s="391"/>
      <c r="P641" s="391"/>
      <c r="Q641" s="391"/>
      <c r="R641" s="391"/>
      <c r="S641" s="391"/>
      <c r="T641" s="391"/>
      <c r="U641" s="391"/>
      <c r="V641" s="391"/>
      <c r="W641" s="391"/>
      <c r="X641" s="391"/>
      <c r="Y641" s="391"/>
      <c r="Z641" s="391"/>
      <c r="AA641" s="391"/>
      <c r="AB641" s="391"/>
      <c r="AC641" s="391"/>
      <c r="AD641" s="391"/>
      <c r="AE641" s="391"/>
      <c r="AF641" s="391"/>
      <c r="AG641" s="391"/>
      <c r="AH641" s="391"/>
      <c r="AI641" s="391"/>
      <c r="AJ641" s="391"/>
      <c r="AK641" s="391"/>
    </row>
    <row r="642">
      <c r="A642" s="391"/>
      <c r="B642" s="391"/>
      <c r="C642" s="391"/>
      <c r="D642" s="391"/>
      <c r="E642" s="391"/>
      <c r="F642" s="391"/>
      <c r="G642" s="391"/>
      <c r="H642" s="391"/>
      <c r="I642" s="391"/>
      <c r="J642" s="391"/>
      <c r="K642" s="391"/>
      <c r="L642" s="391"/>
      <c r="M642" s="391"/>
      <c r="N642" s="391"/>
      <c r="O642" s="391"/>
      <c r="P642" s="391"/>
      <c r="Q642" s="391"/>
      <c r="R642" s="391"/>
      <c r="S642" s="391"/>
      <c r="T642" s="391"/>
      <c r="U642" s="391"/>
      <c r="V642" s="391"/>
      <c r="W642" s="391"/>
      <c r="X642" s="391"/>
      <c r="Y642" s="391"/>
      <c r="Z642" s="391"/>
      <c r="AA642" s="391"/>
      <c r="AB642" s="391"/>
      <c r="AC642" s="391"/>
      <c r="AD642" s="391"/>
      <c r="AE642" s="391"/>
      <c r="AF642" s="391"/>
      <c r="AG642" s="391"/>
      <c r="AH642" s="391"/>
      <c r="AI642" s="391"/>
      <c r="AJ642" s="391"/>
      <c r="AK642" s="391"/>
    </row>
    <row r="643">
      <c r="A643" s="391"/>
      <c r="B643" s="391"/>
      <c r="C643" s="391"/>
      <c r="D643" s="391"/>
      <c r="E643" s="391"/>
      <c r="F643" s="391"/>
      <c r="G643" s="391"/>
      <c r="H643" s="391"/>
      <c r="I643" s="391"/>
      <c r="J643" s="391"/>
      <c r="K643" s="391"/>
      <c r="L643" s="391"/>
      <c r="M643" s="391"/>
      <c r="N643" s="391"/>
      <c r="O643" s="391"/>
      <c r="P643" s="391"/>
      <c r="Q643" s="391"/>
      <c r="R643" s="391"/>
      <c r="S643" s="391"/>
      <c r="T643" s="391"/>
      <c r="U643" s="391"/>
      <c r="V643" s="391"/>
      <c r="W643" s="391"/>
      <c r="X643" s="391"/>
      <c r="Y643" s="391"/>
      <c r="Z643" s="391"/>
      <c r="AA643" s="391"/>
      <c r="AB643" s="391"/>
      <c r="AC643" s="391"/>
      <c r="AD643" s="391"/>
      <c r="AE643" s="391"/>
      <c r="AF643" s="391"/>
      <c r="AG643" s="391"/>
      <c r="AH643" s="391"/>
      <c r="AI643" s="391"/>
      <c r="AJ643" s="391"/>
      <c r="AK643" s="391"/>
    </row>
    <row r="644">
      <c r="A644" s="391"/>
      <c r="B644" s="391"/>
      <c r="C644" s="391"/>
      <c r="D644" s="391"/>
      <c r="E644" s="391"/>
      <c r="F644" s="391"/>
      <c r="G644" s="391"/>
      <c r="H644" s="391"/>
      <c r="I644" s="391"/>
      <c r="J644" s="391"/>
      <c r="K644" s="391"/>
      <c r="L644" s="391"/>
      <c r="M644" s="391"/>
      <c r="N644" s="391"/>
      <c r="O644" s="391"/>
      <c r="P644" s="391"/>
      <c r="Q644" s="391"/>
      <c r="R644" s="391"/>
      <c r="S644" s="391"/>
      <c r="T644" s="391"/>
      <c r="U644" s="391"/>
      <c r="V644" s="391"/>
      <c r="W644" s="391"/>
      <c r="X644" s="391"/>
      <c r="Y644" s="391"/>
      <c r="Z644" s="391"/>
      <c r="AA644" s="391"/>
      <c r="AB644" s="391"/>
      <c r="AC644" s="391"/>
      <c r="AD644" s="391"/>
      <c r="AE644" s="391"/>
      <c r="AF644" s="391"/>
      <c r="AG644" s="391"/>
      <c r="AH644" s="391"/>
      <c r="AI644" s="391"/>
      <c r="AJ644" s="391"/>
      <c r="AK644" s="391"/>
    </row>
    <row r="645">
      <c r="A645" s="391"/>
      <c r="B645" s="391"/>
      <c r="C645" s="391"/>
      <c r="D645" s="391"/>
      <c r="E645" s="391"/>
      <c r="F645" s="391"/>
      <c r="G645" s="391"/>
      <c r="H645" s="391"/>
      <c r="I645" s="391"/>
      <c r="J645" s="391"/>
      <c r="K645" s="391"/>
      <c r="L645" s="391"/>
      <c r="M645" s="391"/>
      <c r="N645" s="391"/>
      <c r="O645" s="391"/>
      <c r="P645" s="391"/>
      <c r="Q645" s="391"/>
      <c r="R645" s="391"/>
      <c r="S645" s="391"/>
      <c r="T645" s="391"/>
      <c r="U645" s="391"/>
      <c r="V645" s="391"/>
      <c r="W645" s="391"/>
      <c r="X645" s="391"/>
      <c r="Y645" s="391"/>
      <c r="Z645" s="391"/>
      <c r="AA645" s="391"/>
      <c r="AB645" s="391"/>
      <c r="AC645" s="391"/>
      <c r="AD645" s="391"/>
      <c r="AE645" s="391"/>
      <c r="AF645" s="391"/>
      <c r="AG645" s="391"/>
      <c r="AH645" s="391"/>
      <c r="AI645" s="391"/>
      <c r="AJ645" s="391"/>
      <c r="AK645" s="391"/>
    </row>
    <row r="646">
      <c r="A646" s="391"/>
      <c r="B646" s="391"/>
      <c r="C646" s="391"/>
      <c r="D646" s="391"/>
      <c r="E646" s="391"/>
      <c r="F646" s="391"/>
      <c r="G646" s="391"/>
      <c r="H646" s="391"/>
      <c r="I646" s="391"/>
      <c r="J646" s="391"/>
      <c r="K646" s="391"/>
      <c r="L646" s="391"/>
      <c r="M646" s="391"/>
      <c r="N646" s="391"/>
      <c r="O646" s="391"/>
      <c r="P646" s="391"/>
      <c r="Q646" s="391"/>
      <c r="R646" s="391"/>
      <c r="S646" s="391"/>
      <c r="T646" s="391"/>
      <c r="U646" s="391"/>
      <c r="V646" s="391"/>
      <c r="W646" s="391"/>
      <c r="X646" s="391"/>
      <c r="Y646" s="391"/>
      <c r="Z646" s="391"/>
      <c r="AA646" s="391"/>
      <c r="AB646" s="391"/>
      <c r="AC646" s="391"/>
      <c r="AD646" s="391"/>
      <c r="AE646" s="391"/>
      <c r="AF646" s="391"/>
      <c r="AG646" s="391"/>
      <c r="AH646" s="391"/>
      <c r="AI646" s="391"/>
      <c r="AJ646" s="391"/>
      <c r="AK646" s="391"/>
    </row>
    <row r="647">
      <c r="A647" s="391"/>
      <c r="B647" s="391"/>
      <c r="C647" s="391"/>
      <c r="D647" s="391"/>
      <c r="E647" s="391"/>
      <c r="F647" s="391"/>
      <c r="G647" s="391"/>
      <c r="H647" s="391"/>
      <c r="I647" s="391"/>
      <c r="J647" s="391"/>
      <c r="K647" s="391"/>
      <c r="L647" s="391"/>
      <c r="M647" s="391"/>
      <c r="N647" s="391"/>
      <c r="O647" s="391"/>
      <c r="P647" s="391"/>
      <c r="Q647" s="391"/>
      <c r="R647" s="391"/>
      <c r="S647" s="391"/>
      <c r="T647" s="391"/>
      <c r="U647" s="391"/>
      <c r="V647" s="391"/>
      <c r="W647" s="391"/>
      <c r="X647" s="391"/>
      <c r="Y647" s="391"/>
      <c r="Z647" s="391"/>
      <c r="AA647" s="391"/>
      <c r="AB647" s="391"/>
      <c r="AC647" s="391"/>
      <c r="AD647" s="391"/>
      <c r="AE647" s="391"/>
      <c r="AF647" s="391"/>
      <c r="AG647" s="391"/>
      <c r="AH647" s="391"/>
      <c r="AI647" s="391"/>
      <c r="AJ647" s="391"/>
      <c r="AK647" s="391"/>
    </row>
    <row r="648">
      <c r="A648" s="391"/>
      <c r="B648" s="391"/>
      <c r="C648" s="391"/>
      <c r="D648" s="391"/>
      <c r="E648" s="391"/>
      <c r="F648" s="391"/>
      <c r="G648" s="391"/>
      <c r="H648" s="391"/>
      <c r="I648" s="391"/>
      <c r="J648" s="391"/>
      <c r="K648" s="391"/>
      <c r="L648" s="391"/>
      <c r="M648" s="391"/>
      <c r="N648" s="391"/>
      <c r="O648" s="391"/>
      <c r="P648" s="391"/>
      <c r="Q648" s="391"/>
      <c r="R648" s="391"/>
      <c r="S648" s="391"/>
      <c r="T648" s="391"/>
      <c r="U648" s="391"/>
      <c r="V648" s="391"/>
      <c r="W648" s="391"/>
      <c r="X648" s="391"/>
      <c r="Y648" s="391"/>
      <c r="Z648" s="391"/>
      <c r="AA648" s="391"/>
      <c r="AB648" s="391"/>
      <c r="AC648" s="391"/>
      <c r="AD648" s="391"/>
      <c r="AE648" s="391"/>
      <c r="AF648" s="391"/>
      <c r="AG648" s="391"/>
      <c r="AH648" s="391"/>
      <c r="AI648" s="391"/>
      <c r="AJ648" s="391"/>
      <c r="AK648" s="391"/>
    </row>
    <row r="649">
      <c r="A649" s="391"/>
      <c r="B649" s="391"/>
      <c r="C649" s="391"/>
      <c r="D649" s="391"/>
      <c r="E649" s="391"/>
      <c r="F649" s="391"/>
      <c r="G649" s="391"/>
      <c r="H649" s="391"/>
      <c r="I649" s="391"/>
      <c r="J649" s="391"/>
      <c r="K649" s="391"/>
      <c r="L649" s="391"/>
      <c r="M649" s="391"/>
      <c r="N649" s="391"/>
      <c r="O649" s="391"/>
      <c r="P649" s="391"/>
      <c r="Q649" s="391"/>
      <c r="R649" s="391"/>
      <c r="S649" s="391"/>
      <c r="T649" s="391"/>
      <c r="U649" s="391"/>
      <c r="V649" s="391"/>
      <c r="W649" s="391"/>
      <c r="X649" s="391"/>
      <c r="Y649" s="391"/>
      <c r="Z649" s="391"/>
      <c r="AA649" s="391"/>
      <c r="AB649" s="391"/>
      <c r="AC649" s="391"/>
      <c r="AD649" s="391"/>
      <c r="AE649" s="391"/>
      <c r="AF649" s="391"/>
      <c r="AG649" s="391"/>
      <c r="AH649" s="391"/>
      <c r="AI649" s="391"/>
      <c r="AJ649" s="391"/>
      <c r="AK649" s="391"/>
    </row>
    <row r="650">
      <c r="A650" s="391"/>
      <c r="B650" s="391"/>
      <c r="C650" s="391"/>
      <c r="D650" s="391"/>
      <c r="E650" s="391"/>
      <c r="F650" s="391"/>
      <c r="G650" s="391"/>
      <c r="H650" s="391"/>
      <c r="I650" s="391"/>
      <c r="J650" s="391"/>
      <c r="K650" s="391"/>
      <c r="L650" s="391"/>
      <c r="M650" s="391"/>
      <c r="N650" s="391"/>
      <c r="O650" s="391"/>
      <c r="P650" s="391"/>
      <c r="Q650" s="391"/>
      <c r="R650" s="391"/>
      <c r="S650" s="391"/>
      <c r="T650" s="391"/>
      <c r="U650" s="391"/>
      <c r="V650" s="391"/>
      <c r="W650" s="391"/>
      <c r="X650" s="391"/>
      <c r="Y650" s="391"/>
      <c r="Z650" s="391"/>
      <c r="AA650" s="391"/>
      <c r="AB650" s="391"/>
      <c r="AC650" s="391"/>
      <c r="AD650" s="391"/>
      <c r="AE650" s="391"/>
      <c r="AF650" s="391"/>
      <c r="AG650" s="391"/>
      <c r="AH650" s="391"/>
      <c r="AI650" s="391"/>
      <c r="AJ650" s="391"/>
      <c r="AK650" s="391"/>
    </row>
    <row r="651">
      <c r="A651" s="391"/>
      <c r="B651" s="391"/>
      <c r="C651" s="391"/>
      <c r="D651" s="391"/>
      <c r="E651" s="391"/>
      <c r="F651" s="391"/>
      <c r="G651" s="391"/>
      <c r="H651" s="391"/>
      <c r="I651" s="391"/>
      <c r="J651" s="391"/>
      <c r="K651" s="391"/>
      <c r="L651" s="391"/>
      <c r="M651" s="391"/>
      <c r="N651" s="391"/>
      <c r="O651" s="391"/>
      <c r="P651" s="391"/>
      <c r="Q651" s="391"/>
      <c r="R651" s="391"/>
      <c r="S651" s="391"/>
      <c r="T651" s="391"/>
      <c r="U651" s="391"/>
      <c r="V651" s="391"/>
      <c r="W651" s="391"/>
      <c r="X651" s="391"/>
      <c r="Y651" s="391"/>
      <c r="Z651" s="391"/>
      <c r="AA651" s="391"/>
      <c r="AB651" s="391"/>
      <c r="AC651" s="391"/>
      <c r="AD651" s="391"/>
      <c r="AE651" s="391"/>
      <c r="AF651" s="391"/>
      <c r="AG651" s="391"/>
      <c r="AH651" s="391"/>
      <c r="AI651" s="391"/>
      <c r="AJ651" s="391"/>
      <c r="AK651" s="391"/>
    </row>
    <row customHeight="true" ht="16.071428571428573" r="652">
      <c r="A652" s="391"/>
      <c r="B652" s="391"/>
      <c r="C652" s="391"/>
      <c r="D652" s="391"/>
      <c r="E652" s="391"/>
      <c r="F652" s="391"/>
      <c r="G652" s="391"/>
      <c r="H652" s="391"/>
      <c r="I652" s="391"/>
      <c r="J652" s="391"/>
      <c r="K652" s="391"/>
      <c r="L652" s="391"/>
      <c r="M652" s="391"/>
      <c r="N652" s="391"/>
      <c r="O652" s="391"/>
      <c r="P652" s="391"/>
      <c r="Q652" s="391"/>
      <c r="R652" s="391"/>
      <c r="S652" s="391"/>
      <c r="T652" s="391"/>
      <c r="U652" s="391"/>
      <c r="V652" s="391"/>
      <c r="W652" s="391"/>
      <c r="X652" s="391"/>
      <c r="Y652" s="391"/>
      <c r="Z652" s="391"/>
      <c r="AA652" s="391"/>
      <c r="AB652" s="391"/>
      <c r="AC652" s="391"/>
      <c r="AD652" s="391"/>
      <c r="AE652" s="391"/>
      <c r="AF652" s="391"/>
      <c r="AG652" s="391"/>
      <c r="AH652" s="391"/>
      <c r="AI652" s="391"/>
      <c r="AJ652" s="391"/>
      <c r="AK652" s="391"/>
    </row>
    <row customHeight="true" ht="16.071428571428573" r="653">
      <c r="A653" s="391"/>
      <c r="B653" s="391"/>
      <c r="C653" s="391"/>
      <c r="D653" s="391"/>
      <c r="E653" s="391"/>
      <c r="F653" s="391"/>
      <c r="G653" s="391"/>
      <c r="H653" s="391"/>
      <c r="I653" s="391"/>
      <c r="J653" s="391"/>
      <c r="K653" s="391"/>
      <c r="L653" s="391"/>
      <c r="M653" s="391"/>
      <c r="N653" s="391"/>
      <c r="O653" s="391"/>
      <c r="P653" s="391"/>
      <c r="Q653" s="391"/>
      <c r="R653" s="391"/>
      <c r="S653" s="391"/>
      <c r="T653" s="391"/>
      <c r="U653" s="391"/>
      <c r="V653" s="391"/>
      <c r="W653" s="391"/>
      <c r="X653" s="391"/>
      <c r="Y653" s="391"/>
      <c r="Z653" s="391"/>
      <c r="AA653" s="391"/>
      <c r="AB653" s="391"/>
      <c r="AC653" s="391"/>
      <c r="AD653" s="391"/>
      <c r="AE653" s="391"/>
      <c r="AF653" s="391"/>
      <c r="AG653" s="391"/>
      <c r="AH653" s="391"/>
      <c r="AI653" s="391"/>
      <c r="AJ653" s="391"/>
      <c r="AK653" s="391"/>
    </row>
    <row customHeight="true" ht="16.071428571428573" r="654">
      <c r="A654" s="391"/>
      <c r="B654" s="391"/>
      <c r="C654" s="391"/>
      <c r="D654" s="391"/>
      <c r="E654" s="391"/>
      <c r="F654" s="391"/>
      <c r="G654" s="391"/>
      <c r="H654" s="391"/>
      <c r="I654" s="391"/>
      <c r="J654" s="391"/>
      <c r="K654" s="391"/>
      <c r="L654" s="391"/>
      <c r="M654" s="391"/>
      <c r="N654" s="391"/>
      <c r="O654" s="391"/>
      <c r="P654" s="391"/>
      <c r="Q654" s="391"/>
      <c r="R654" s="391"/>
      <c r="S654" s="391"/>
      <c r="T654" s="391"/>
      <c r="U654" s="391"/>
      <c r="V654" s="391"/>
      <c r="W654" s="391"/>
      <c r="X654" s="391"/>
      <c r="Y654" s="391"/>
      <c r="Z654" s="391"/>
      <c r="AA654" s="391"/>
      <c r="AB654" s="391"/>
      <c r="AC654" s="391"/>
      <c r="AD654" s="391"/>
      <c r="AE654" s="391"/>
      <c r="AF654" s="391"/>
      <c r="AG654" s="391"/>
      <c r="AH654" s="391"/>
      <c r="AI654" s="391"/>
      <c r="AJ654" s="391"/>
      <c r="AK654" s="391"/>
    </row>
    <row customHeight="true" ht="16.071428571428573" r="655">
      <c r="A655" s="391"/>
      <c r="B655" s="391"/>
      <c r="C655" s="391"/>
      <c r="D655" s="391"/>
      <c r="E655" s="391"/>
      <c r="F655" s="391"/>
      <c r="G655" s="391"/>
      <c r="H655" s="391"/>
      <c r="I655" s="391"/>
      <c r="J655" s="391"/>
      <c r="K655" s="391"/>
      <c r="L655" s="391"/>
      <c r="M655" s="391"/>
      <c r="N655" s="391"/>
      <c r="O655" s="391"/>
      <c r="P655" s="391"/>
      <c r="Q655" s="391"/>
      <c r="R655" s="391"/>
      <c r="S655" s="391"/>
      <c r="T655" s="391"/>
      <c r="U655" s="391"/>
      <c r="V655" s="391"/>
      <c r="W655" s="391"/>
      <c r="X655" s="391"/>
      <c r="Y655" s="391"/>
      <c r="Z655" s="391"/>
      <c r="AA655" s="391"/>
      <c r="AB655" s="391"/>
      <c r="AC655" s="391"/>
      <c r="AD655" s="391"/>
      <c r="AE655" s="391"/>
      <c r="AF655" s="391"/>
      <c r="AG655" s="391"/>
      <c r="AH655" s="391"/>
      <c r="AI655" s="391"/>
      <c r="AJ655" s="391"/>
      <c r="AK655" s="391"/>
    </row>
    <row customHeight="true" ht="16.071428571428573" r="656">
      <c r="A656" s="391"/>
      <c r="B656" s="391"/>
      <c r="C656" s="391"/>
      <c r="D656" s="391"/>
      <c r="E656" s="391"/>
      <c r="F656" s="391"/>
      <c r="G656" s="391"/>
      <c r="H656" s="391"/>
      <c r="I656" s="391"/>
      <c r="J656" s="391"/>
      <c r="K656" s="391"/>
      <c r="L656" s="391"/>
      <c r="M656" s="391"/>
      <c r="N656" s="391"/>
      <c r="O656" s="391"/>
      <c r="P656" s="391"/>
      <c r="Q656" s="391"/>
      <c r="R656" s="391"/>
      <c r="S656" s="391"/>
      <c r="T656" s="391"/>
      <c r="U656" s="391"/>
      <c r="V656" s="391"/>
      <c r="W656" s="391"/>
      <c r="X656" s="391"/>
      <c r="Y656" s="391"/>
      <c r="Z656" s="391"/>
      <c r="AA656" s="391"/>
      <c r="AB656" s="391"/>
      <c r="AC656" s="391"/>
      <c r="AD656" s="391"/>
      <c r="AE656" s="391"/>
      <c r="AF656" s="391"/>
      <c r="AG656" s="391"/>
      <c r="AH656" s="391"/>
      <c r="AI656" s="391"/>
      <c r="AJ656" s="391"/>
      <c r="AK656" s="391"/>
    </row>
    <row customHeight="true" ht="16.071428571428573" r="657">
      <c r="A657" s="391"/>
      <c r="B657" s="391"/>
      <c r="C657" s="391"/>
      <c r="D657" s="391"/>
      <c r="E657" s="391"/>
      <c r="F657" s="391"/>
      <c r="G657" s="391"/>
      <c r="H657" s="391"/>
      <c r="I657" s="391"/>
      <c r="J657" s="391"/>
      <c r="K657" s="391"/>
      <c r="L657" s="391"/>
      <c r="M657" s="391"/>
      <c r="N657" s="391"/>
      <c r="O657" s="391"/>
      <c r="P657" s="391"/>
      <c r="Q657" s="391"/>
      <c r="R657" s="391"/>
      <c r="S657" s="391"/>
      <c r="T657" s="391"/>
      <c r="U657" s="391"/>
      <c r="V657" s="391"/>
      <c r="W657" s="391"/>
      <c r="X657" s="391"/>
      <c r="Y657" s="391"/>
      <c r="Z657" s="391"/>
      <c r="AA657" s="391"/>
      <c r="AB657" s="391"/>
      <c r="AC657" s="391"/>
      <c r="AD657" s="391"/>
      <c r="AE657" s="391"/>
      <c r="AF657" s="391"/>
      <c r="AG657" s="391"/>
      <c r="AH657" s="391"/>
      <c r="AI657" s="391"/>
      <c r="AJ657" s="391"/>
      <c r="AK657" s="391"/>
    </row>
    <row customHeight="true" ht="16.071428571428573" r="658">
      <c r="A658" s="391"/>
      <c r="B658" s="391"/>
      <c r="C658" s="391"/>
      <c r="D658" s="391"/>
      <c r="E658" s="391"/>
      <c r="F658" s="391"/>
      <c r="G658" s="391"/>
      <c r="H658" s="391"/>
      <c r="I658" s="391"/>
      <c r="J658" s="391"/>
      <c r="K658" s="391"/>
      <c r="L658" s="391"/>
      <c r="M658" s="391"/>
      <c r="N658" s="391"/>
      <c r="O658" s="391"/>
      <c r="P658" s="391"/>
      <c r="Q658" s="391"/>
      <c r="R658" s="391"/>
      <c r="S658" s="391"/>
      <c r="T658" s="391"/>
      <c r="U658" s="391"/>
      <c r="V658" s="391"/>
      <c r="W658" s="391"/>
      <c r="X658" s="391"/>
      <c r="Y658" s="391"/>
      <c r="Z658" s="391"/>
      <c r="AA658" s="391"/>
      <c r="AB658" s="391"/>
      <c r="AC658" s="391"/>
      <c r="AD658" s="391"/>
      <c r="AE658" s="391"/>
      <c r="AF658" s="391"/>
      <c r="AG658" s="391"/>
      <c r="AH658" s="391"/>
      <c r="AI658" s="391"/>
      <c r="AJ658" s="391"/>
      <c r="AK658" s="391"/>
    </row>
    <row customHeight="true" ht="16.071428571428573" r="659">
      <c r="A659" s="391"/>
      <c r="B659" s="391"/>
      <c r="C659" s="391"/>
      <c r="D659" s="391"/>
      <c r="E659" s="391"/>
      <c r="F659" s="391"/>
      <c r="G659" s="391"/>
      <c r="H659" s="391"/>
      <c r="I659" s="391"/>
      <c r="J659" s="391"/>
      <c r="K659" s="391"/>
      <c r="L659" s="391"/>
      <c r="M659" s="391"/>
      <c r="N659" s="391"/>
      <c r="O659" s="391"/>
      <c r="P659" s="391"/>
      <c r="Q659" s="391"/>
      <c r="R659" s="391"/>
      <c r="S659" s="391"/>
      <c r="T659" s="391"/>
      <c r="U659" s="391"/>
      <c r="V659" s="391"/>
      <c r="W659" s="391"/>
      <c r="X659" s="391"/>
      <c r="Y659" s="391"/>
      <c r="Z659" s="391"/>
      <c r="AA659" s="391"/>
      <c r="AB659" s="391"/>
      <c r="AC659" s="391"/>
      <c r="AD659" s="391"/>
      <c r="AE659" s="391"/>
      <c r="AF659" s="391"/>
      <c r="AG659" s="391"/>
      <c r="AH659" s="391"/>
      <c r="AI659" s="391"/>
      <c r="AJ659" s="391"/>
      <c r="AK659" s="391"/>
    </row>
    <row customHeight="true" ht="16.071428571428573" r="660">
      <c r="A660" s="391"/>
      <c r="B660" s="391"/>
      <c r="C660" s="391"/>
      <c r="D660" s="391"/>
      <c r="E660" s="391"/>
      <c r="F660" s="391"/>
      <c r="G660" s="391"/>
      <c r="H660" s="391"/>
      <c r="I660" s="391"/>
      <c r="J660" s="391"/>
      <c r="K660" s="391"/>
      <c r="L660" s="391"/>
      <c r="M660" s="391"/>
      <c r="N660" s="391"/>
      <c r="O660" s="391"/>
      <c r="P660" s="391"/>
      <c r="Q660" s="391"/>
      <c r="R660" s="391"/>
      <c r="S660" s="391"/>
      <c r="T660" s="391"/>
      <c r="U660" s="391"/>
      <c r="V660" s="391"/>
      <c r="W660" s="391"/>
      <c r="X660" s="391"/>
      <c r="Y660" s="391"/>
      <c r="Z660" s="391"/>
      <c r="AA660" s="391"/>
      <c r="AB660" s="391"/>
      <c r="AC660" s="391"/>
      <c r="AD660" s="391"/>
      <c r="AE660" s="391"/>
      <c r="AF660" s="391"/>
      <c r="AG660" s="391"/>
      <c r="AH660" s="391"/>
      <c r="AI660" s="391"/>
      <c r="AJ660" s="391"/>
      <c r="AK660" s="391"/>
    </row>
    <row customHeight="true" ht="16.071428571428573" r="661">
      <c r="A661" s="391"/>
      <c r="B661" s="391"/>
      <c r="C661" s="391"/>
      <c r="D661" s="391"/>
      <c r="E661" s="391"/>
      <c r="F661" s="391"/>
      <c r="G661" s="391"/>
      <c r="H661" s="391"/>
      <c r="I661" s="391"/>
      <c r="J661" s="391"/>
      <c r="K661" s="391"/>
      <c r="L661" s="391"/>
      <c r="M661" s="391"/>
      <c r="N661" s="391"/>
      <c r="O661" s="391"/>
      <c r="P661" s="391"/>
      <c r="Q661" s="391"/>
      <c r="R661" s="391"/>
      <c r="S661" s="391"/>
      <c r="T661" s="391"/>
      <c r="U661" s="391"/>
      <c r="V661" s="391"/>
      <c r="W661" s="391"/>
      <c r="X661" s="391"/>
      <c r="Y661" s="391"/>
      <c r="Z661" s="391"/>
      <c r="AA661" s="391"/>
      <c r="AB661" s="391"/>
      <c r="AC661" s="391"/>
      <c r="AD661" s="391"/>
      <c r="AE661" s="391"/>
      <c r="AF661" s="391"/>
      <c r="AG661" s="391"/>
      <c r="AH661" s="391"/>
      <c r="AI661" s="391"/>
      <c r="AJ661" s="391"/>
      <c r="AK661" s="391"/>
    </row>
    <row customHeight="true" ht="16.071428571428573" r="662">
      <c r="A662" s="391"/>
      <c r="B662" s="391"/>
      <c r="C662" s="391"/>
      <c r="D662" s="391"/>
      <c r="E662" s="391"/>
      <c r="F662" s="391"/>
      <c r="G662" s="391"/>
      <c r="H662" s="391"/>
      <c r="I662" s="391"/>
      <c r="J662" s="391"/>
      <c r="K662" s="391"/>
      <c r="L662" s="391"/>
      <c r="M662" s="391"/>
      <c r="N662" s="391"/>
      <c r="O662" s="391"/>
      <c r="P662" s="391"/>
      <c r="Q662" s="391"/>
      <c r="R662" s="391"/>
      <c r="S662" s="391"/>
      <c r="T662" s="391"/>
      <c r="U662" s="391"/>
      <c r="V662" s="391"/>
      <c r="W662" s="391"/>
      <c r="X662" s="391"/>
      <c r="Y662" s="391"/>
      <c r="Z662" s="391"/>
      <c r="AA662" s="391"/>
      <c r="AB662" s="391"/>
      <c r="AC662" s="391"/>
      <c r="AD662" s="391"/>
      <c r="AE662" s="391"/>
      <c r="AF662" s="391"/>
      <c r="AG662" s="391"/>
      <c r="AH662" s="391"/>
      <c r="AI662" s="391"/>
      <c r="AJ662" s="391"/>
      <c r="AK662" s="391"/>
    </row>
    <row customHeight="true" ht="16.071428571428573" r="663">
      <c r="A663" s="391"/>
      <c r="B663" s="391"/>
      <c r="C663" s="391"/>
      <c r="D663" s="391"/>
      <c r="E663" s="391"/>
      <c r="F663" s="391"/>
      <c r="G663" s="391"/>
      <c r="H663" s="391"/>
      <c r="I663" s="391"/>
      <c r="J663" s="391"/>
      <c r="K663" s="391"/>
      <c r="L663" s="391"/>
      <c r="M663" s="391"/>
      <c r="N663" s="391"/>
      <c r="O663" s="391"/>
      <c r="P663" s="391"/>
      <c r="Q663" s="391"/>
      <c r="R663" s="391"/>
      <c r="S663" s="391"/>
      <c r="T663" s="391"/>
      <c r="U663" s="391"/>
      <c r="V663" s="391"/>
      <c r="W663" s="391"/>
      <c r="X663" s="391"/>
      <c r="Y663" s="391"/>
      <c r="Z663" s="391"/>
      <c r="AA663" s="391"/>
      <c r="AB663" s="391"/>
      <c r="AC663" s="391"/>
      <c r="AD663" s="391"/>
      <c r="AE663" s="391"/>
      <c r="AF663" s="391"/>
      <c r="AG663" s="391"/>
      <c r="AH663" s="391"/>
      <c r="AI663" s="391"/>
      <c r="AJ663" s="391"/>
      <c r="AK663" s="391"/>
    </row>
    <row customHeight="true" ht="16.071428571428573" r="664">
      <c r="A664" s="391"/>
      <c r="B664" s="391"/>
      <c r="C664" s="391"/>
      <c r="D664" s="391"/>
      <c r="E664" s="391"/>
      <c r="F664" s="391"/>
      <c r="G664" s="391"/>
      <c r="H664" s="391"/>
      <c r="I664" s="391"/>
      <c r="J664" s="391"/>
      <c r="K664" s="391"/>
      <c r="L664" s="391"/>
      <c r="M664" s="391"/>
      <c r="N664" s="391"/>
      <c r="O664" s="391"/>
      <c r="P664" s="391"/>
      <c r="Q664" s="391"/>
      <c r="R664" s="391"/>
      <c r="S664" s="391"/>
      <c r="T664" s="391"/>
      <c r="U664" s="391"/>
      <c r="V664" s="391"/>
      <c r="W664" s="391"/>
      <c r="X664" s="391"/>
      <c r="Y664" s="391"/>
      <c r="Z664" s="391"/>
      <c r="AA664" s="391"/>
      <c r="AB664" s="391"/>
      <c r="AC664" s="391"/>
      <c r="AD664" s="391"/>
      <c r="AE664" s="391"/>
      <c r="AF664" s="391"/>
      <c r="AG664" s="391"/>
      <c r="AH664" s="391"/>
      <c r="AI664" s="391"/>
      <c r="AJ664" s="391"/>
      <c r="AK664" s="391"/>
    </row>
    <row customHeight="true" ht="16.071428571428573" r="665">
      <c r="A665" s="391"/>
      <c r="B665" s="391"/>
      <c r="C665" s="391"/>
      <c r="D665" s="391"/>
      <c r="E665" s="391"/>
      <c r="F665" s="391"/>
      <c r="G665" s="391"/>
      <c r="H665" s="391"/>
      <c r="I665" s="391"/>
      <c r="J665" s="391"/>
      <c r="K665" s="391"/>
      <c r="L665" s="391"/>
      <c r="M665" s="391"/>
      <c r="N665" s="391"/>
      <c r="O665" s="391"/>
      <c r="P665" s="391"/>
      <c r="Q665" s="391"/>
      <c r="R665" s="391"/>
      <c r="S665" s="391"/>
      <c r="T665" s="391"/>
      <c r="U665" s="391"/>
      <c r="V665" s="391"/>
      <c r="W665" s="391"/>
      <c r="X665" s="391"/>
      <c r="Y665" s="391"/>
      <c r="Z665" s="391"/>
      <c r="AA665" s="391"/>
      <c r="AB665" s="391"/>
      <c r="AC665" s="391"/>
      <c r="AD665" s="391"/>
      <c r="AE665" s="391"/>
      <c r="AF665" s="391"/>
      <c r="AG665" s="391"/>
      <c r="AH665" s="391"/>
      <c r="AI665" s="391"/>
      <c r="AJ665" s="391"/>
      <c r="AK665" s="391"/>
    </row>
    <row customHeight="true" ht="16.071428571428573" r="666">
      <c r="A666" s="391"/>
      <c r="B666" s="391"/>
      <c r="C666" s="391"/>
      <c r="D666" s="391"/>
      <c r="E666" s="391"/>
      <c r="F666" s="391"/>
      <c r="G666" s="391"/>
      <c r="H666" s="391"/>
      <c r="I666" s="391"/>
      <c r="J666" s="391"/>
      <c r="K666" s="391"/>
      <c r="L666" s="391"/>
      <c r="M666" s="391"/>
      <c r="N666" s="391"/>
      <c r="O666" s="391"/>
      <c r="P666" s="391"/>
      <c r="Q666" s="391"/>
      <c r="R666" s="391"/>
      <c r="S666" s="391"/>
      <c r="T666" s="391"/>
      <c r="U666" s="391"/>
      <c r="V666" s="391"/>
      <c r="W666" s="391"/>
      <c r="X666" s="391"/>
      <c r="Y666" s="391"/>
      <c r="Z666" s="391"/>
      <c r="AA666" s="391"/>
      <c r="AB666" s="391"/>
      <c r="AC666" s="391"/>
      <c r="AD666" s="391"/>
      <c r="AE666" s="391"/>
      <c r="AF666" s="391"/>
      <c r="AG666" s="391"/>
      <c r="AH666" s="391"/>
      <c r="AI666" s="391"/>
      <c r="AJ666" s="391"/>
      <c r="AK666" s="391"/>
    </row>
    <row customHeight="true" ht="16.071428571428573" r="667">
      <c r="A667" s="391"/>
      <c r="B667" s="391"/>
      <c r="C667" s="391"/>
      <c r="D667" s="391"/>
      <c r="E667" s="391"/>
      <c r="F667" s="391"/>
      <c r="G667" s="391"/>
      <c r="H667" s="391"/>
      <c r="I667" s="391"/>
      <c r="J667" s="391"/>
      <c r="K667" s="391"/>
      <c r="L667" s="391"/>
      <c r="M667" s="391"/>
      <c r="N667" s="391"/>
      <c r="O667" s="391"/>
      <c r="P667" s="391"/>
      <c r="Q667" s="391"/>
      <c r="R667" s="391"/>
      <c r="S667" s="391"/>
      <c r="T667" s="391"/>
      <c r="U667" s="391"/>
      <c r="V667" s="391"/>
      <c r="W667" s="391"/>
      <c r="X667" s="391"/>
      <c r="Y667" s="391"/>
      <c r="Z667" s="391"/>
      <c r="AA667" s="391"/>
      <c r="AB667" s="391"/>
      <c r="AC667" s="391"/>
      <c r="AD667" s="391"/>
      <c r="AE667" s="391"/>
      <c r="AF667" s="391"/>
      <c r="AG667" s="391"/>
      <c r="AH667" s="391"/>
      <c r="AI667" s="391"/>
      <c r="AJ667" s="391"/>
      <c r="AK667" s="391"/>
    </row>
    <row customHeight="true" ht="16.071428571428573" r="668">
      <c r="A668" s="391"/>
      <c r="B668" s="391"/>
      <c r="C668" s="391"/>
      <c r="D668" s="391"/>
      <c r="E668" s="391"/>
      <c r="F668" s="391"/>
      <c r="G668" s="391"/>
      <c r="H668" s="391"/>
      <c r="I668" s="391"/>
      <c r="J668" s="391"/>
      <c r="K668" s="391"/>
      <c r="L668" s="391"/>
      <c r="M668" s="391"/>
      <c r="N668" s="391"/>
      <c r="O668" s="391"/>
      <c r="P668" s="391"/>
      <c r="Q668" s="391"/>
      <c r="R668" s="391"/>
      <c r="S668" s="391"/>
      <c r="T668" s="391"/>
      <c r="U668" s="391"/>
      <c r="V668" s="391"/>
      <c r="W668" s="391"/>
      <c r="X668" s="391"/>
      <c r="Y668" s="391"/>
      <c r="Z668" s="391"/>
      <c r="AA668" s="391"/>
      <c r="AB668" s="391"/>
      <c r="AC668" s="391"/>
      <c r="AD668" s="391"/>
      <c r="AE668" s="391"/>
      <c r="AF668" s="391"/>
      <c r="AG668" s="391"/>
      <c r="AH668" s="391"/>
      <c r="AI668" s="391"/>
      <c r="AJ668" s="391"/>
      <c r="AK668" s="391"/>
    </row>
    <row customHeight="true" ht="16.071428571428573" r="669">
      <c r="A669" s="391"/>
      <c r="B669" s="391"/>
      <c r="C669" s="391"/>
      <c r="D669" s="391"/>
      <c r="E669" s="391"/>
      <c r="F669" s="391"/>
      <c r="G669" s="391"/>
      <c r="H669" s="391"/>
      <c r="I669" s="391"/>
      <c r="J669" s="391"/>
      <c r="K669" s="391"/>
      <c r="L669" s="391"/>
      <c r="M669" s="391"/>
      <c r="N669" s="391"/>
      <c r="O669" s="391"/>
      <c r="P669" s="391"/>
      <c r="Q669" s="391"/>
      <c r="R669" s="391"/>
      <c r="S669" s="391"/>
      <c r="T669" s="391"/>
      <c r="U669" s="391"/>
      <c r="V669" s="391"/>
      <c r="W669" s="391"/>
      <c r="X669" s="391"/>
      <c r="Y669" s="391"/>
      <c r="Z669" s="391"/>
      <c r="AA669" s="391"/>
      <c r="AB669" s="391"/>
      <c r="AC669" s="391"/>
      <c r="AD669" s="391"/>
      <c r="AE669" s="391"/>
      <c r="AF669" s="391"/>
      <c r="AG669" s="391"/>
      <c r="AH669" s="391"/>
      <c r="AI669" s="391"/>
      <c r="AJ669" s="391"/>
      <c r="AK669" s="391"/>
    </row>
    <row customHeight="true" ht="16.071428571428573" r="670">
      <c r="A670" s="391"/>
      <c r="B670" s="391"/>
      <c r="C670" s="391"/>
      <c r="D670" s="391"/>
      <c r="E670" s="391"/>
      <c r="F670" s="391"/>
      <c r="G670" s="391"/>
      <c r="H670" s="391"/>
      <c r="I670" s="391"/>
      <c r="J670" s="391"/>
      <c r="K670" s="391"/>
      <c r="L670" s="391"/>
      <c r="M670" s="391"/>
      <c r="N670" s="391"/>
      <c r="O670" s="391"/>
      <c r="P670" s="391"/>
      <c r="Q670" s="391"/>
      <c r="R670" s="391"/>
      <c r="S670" s="391"/>
      <c r="T670" s="391"/>
      <c r="U670" s="391"/>
      <c r="V670" s="391"/>
      <c r="W670" s="391"/>
      <c r="X670" s="391"/>
      <c r="Y670" s="391"/>
      <c r="Z670" s="391"/>
      <c r="AA670" s="391"/>
      <c r="AB670" s="391"/>
      <c r="AC670" s="391"/>
      <c r="AD670" s="391"/>
      <c r="AE670" s="391"/>
      <c r="AF670" s="391"/>
      <c r="AG670" s="391"/>
      <c r="AH670" s="391"/>
      <c r="AI670" s="391"/>
      <c r="AJ670" s="391"/>
      <c r="AK670" s="391"/>
    </row>
    <row customHeight="true" ht="16.071428571428573" r="671">
      <c r="A671" s="391"/>
      <c r="B671" s="391"/>
      <c r="C671" s="391"/>
      <c r="D671" s="391"/>
      <c r="E671" s="391"/>
      <c r="F671" s="391"/>
      <c r="G671" s="391"/>
      <c r="H671" s="391"/>
      <c r="I671" s="391"/>
      <c r="J671" s="391"/>
      <c r="K671" s="391"/>
      <c r="L671" s="391"/>
      <c r="M671" s="391"/>
      <c r="N671" s="391"/>
      <c r="O671" s="391"/>
      <c r="P671" s="391"/>
      <c r="Q671" s="391"/>
      <c r="R671" s="391"/>
      <c r="S671" s="391"/>
      <c r="T671" s="391"/>
      <c r="U671" s="391"/>
      <c r="V671" s="391"/>
      <c r="W671" s="391"/>
      <c r="X671" s="391"/>
      <c r="Y671" s="391"/>
      <c r="Z671" s="391"/>
      <c r="AA671" s="391"/>
      <c r="AB671" s="391"/>
      <c r="AC671" s="391"/>
      <c r="AD671" s="391"/>
      <c r="AE671" s="391"/>
      <c r="AF671" s="391"/>
      <c r="AG671" s="391"/>
      <c r="AH671" s="391"/>
      <c r="AI671" s="391"/>
      <c r="AJ671" s="391"/>
      <c r="AK671" s="391"/>
    </row>
    <row customHeight="true" ht="16.071428571428573" r="672">
      <c r="A672" s="391"/>
      <c r="B672" s="391"/>
      <c r="C672" s="391"/>
      <c r="D672" s="391"/>
      <c r="E672" s="391"/>
      <c r="F672" s="391"/>
      <c r="G672" s="391"/>
      <c r="H672" s="391"/>
      <c r="I672" s="391"/>
      <c r="J672" s="391"/>
      <c r="K672" s="391"/>
      <c r="L672" s="391"/>
      <c r="M672" s="391"/>
      <c r="N672" s="391"/>
      <c r="O672" s="391"/>
      <c r="P672" s="391"/>
      <c r="Q672" s="391"/>
      <c r="R672" s="391"/>
      <c r="S672" s="391"/>
      <c r="T672" s="391"/>
      <c r="U672" s="391"/>
      <c r="V672" s="391"/>
      <c r="W672" s="391"/>
      <c r="X672" s="391"/>
      <c r="Y672" s="391"/>
      <c r="Z672" s="391"/>
      <c r="AA672" s="391"/>
      <c r="AB672" s="391"/>
      <c r="AC672" s="391"/>
      <c r="AD672" s="391"/>
      <c r="AE672" s="391"/>
      <c r="AF672" s="391"/>
      <c r="AG672" s="391"/>
      <c r="AH672" s="391"/>
      <c r="AI672" s="391"/>
      <c r="AJ672" s="391"/>
      <c r="AK672" s="391"/>
    </row>
    <row customHeight="true" ht="16.071428571428573" r="673">
      <c r="A673" s="391"/>
      <c r="B673" s="391"/>
      <c r="C673" s="391"/>
      <c r="D673" s="391"/>
      <c r="E673" s="391"/>
      <c r="F673" s="391"/>
      <c r="G673" s="391"/>
      <c r="H673" s="391"/>
      <c r="I673" s="391"/>
      <c r="J673" s="391"/>
      <c r="K673" s="391"/>
      <c r="L673" s="391"/>
      <c r="M673" s="391"/>
      <c r="N673" s="391"/>
      <c r="O673" s="391"/>
      <c r="P673" s="391"/>
      <c r="Q673" s="391"/>
      <c r="R673" s="391"/>
      <c r="S673" s="391"/>
      <c r="T673" s="391"/>
      <c r="U673" s="391"/>
      <c r="V673" s="391"/>
      <c r="W673" s="391"/>
      <c r="X673" s="391"/>
      <c r="Y673" s="391"/>
      <c r="Z673" s="391"/>
      <c r="AA673" s="391"/>
      <c r="AB673" s="391"/>
      <c r="AC673" s="391"/>
      <c r="AD673" s="391"/>
      <c r="AE673" s="391"/>
      <c r="AF673" s="391"/>
      <c r="AG673" s="391"/>
      <c r="AH673" s="391"/>
      <c r="AI673" s="391"/>
      <c r="AJ673" s="391"/>
      <c r="AK673" s="391"/>
    </row>
    <row customHeight="true" ht="16.071428571428573" r="674">
      <c r="A674" s="391"/>
      <c r="B674" s="391"/>
      <c r="C674" s="391"/>
      <c r="D674" s="391"/>
      <c r="E674" s="391"/>
      <c r="F674" s="391"/>
      <c r="G674" s="391"/>
      <c r="H674" s="391"/>
      <c r="I674" s="391"/>
      <c r="J674" s="391"/>
      <c r="K674" s="391"/>
      <c r="L674" s="391"/>
      <c r="M674" s="391"/>
      <c r="N674" s="391"/>
      <c r="O674" s="391"/>
      <c r="P674" s="391"/>
      <c r="Q674" s="391"/>
      <c r="R674" s="391"/>
      <c r="S674" s="391"/>
      <c r="T674" s="391"/>
      <c r="U674" s="391"/>
      <c r="V674" s="391"/>
      <c r="W674" s="391"/>
      <c r="X674" s="391"/>
      <c r="Y674" s="391"/>
      <c r="Z674" s="391"/>
      <c r="AA674" s="391"/>
      <c r="AB674" s="391"/>
      <c r="AC674" s="391"/>
      <c r="AD674" s="391"/>
      <c r="AE674" s="391"/>
      <c r="AF674" s="391"/>
      <c r="AG674" s="391"/>
      <c r="AH674" s="391"/>
      <c r="AI674" s="391"/>
      <c r="AJ674" s="391"/>
      <c r="AK674" s="391"/>
    </row>
    <row customHeight="true" ht="16.071428571428573" r="675">
      <c r="A675" s="391"/>
      <c r="B675" s="391"/>
      <c r="C675" s="391"/>
      <c r="D675" s="391"/>
      <c r="E675" s="391"/>
      <c r="F675" s="391"/>
      <c r="G675" s="391"/>
      <c r="H675" s="391"/>
      <c r="I675" s="391"/>
      <c r="J675" s="391"/>
      <c r="K675" s="391"/>
      <c r="L675" s="391"/>
      <c r="M675" s="391"/>
      <c r="N675" s="391"/>
      <c r="O675" s="391"/>
      <c r="P675" s="391"/>
      <c r="Q675" s="391"/>
      <c r="R675" s="391"/>
      <c r="S675" s="391"/>
      <c r="T675" s="391"/>
      <c r="U675" s="391"/>
      <c r="V675" s="391"/>
      <c r="W675" s="391"/>
      <c r="X675" s="391"/>
      <c r="Y675" s="391"/>
      <c r="Z675" s="391"/>
      <c r="AA675" s="391"/>
      <c r="AB675" s="391"/>
      <c r="AC675" s="391"/>
      <c r="AD675" s="391"/>
      <c r="AE675" s="391"/>
      <c r="AF675" s="391"/>
      <c r="AG675" s="391"/>
      <c r="AH675" s="391"/>
      <c r="AI675" s="391"/>
      <c r="AJ675" s="391"/>
      <c r="AK675" s="391"/>
    </row>
    <row customHeight="true" ht="16.071428571428573" r="676">
      <c r="A676" s="391"/>
      <c r="B676" s="391"/>
      <c r="C676" s="391"/>
      <c r="D676" s="391"/>
      <c r="E676" s="391"/>
      <c r="F676" s="391"/>
      <c r="G676" s="391"/>
      <c r="H676" s="391"/>
      <c r="I676" s="391"/>
      <c r="J676" s="391"/>
      <c r="K676" s="391"/>
      <c r="L676" s="391"/>
      <c r="M676" s="391"/>
      <c r="N676" s="391"/>
      <c r="O676" s="391"/>
      <c r="P676" s="391"/>
      <c r="Q676" s="391"/>
      <c r="R676" s="391"/>
      <c r="S676" s="391"/>
      <c r="T676" s="391"/>
      <c r="U676" s="391"/>
      <c r="V676" s="391"/>
      <c r="W676" s="391"/>
      <c r="X676" s="391"/>
      <c r="Y676" s="391"/>
      <c r="Z676" s="391"/>
      <c r="AA676" s="391"/>
      <c r="AB676" s="391"/>
      <c r="AC676" s="391"/>
      <c r="AD676" s="391"/>
      <c r="AE676" s="391"/>
      <c r="AF676" s="391"/>
      <c r="AG676" s="391"/>
      <c r="AH676" s="391"/>
      <c r="AI676" s="391"/>
      <c r="AJ676" s="391"/>
      <c r="AK676" s="391"/>
    </row>
    <row customHeight="true" ht="16.071428571428573" r="677">
      <c r="A677" s="391"/>
      <c r="B677" s="391"/>
      <c r="C677" s="391"/>
      <c r="D677" s="391"/>
      <c r="E677" s="391"/>
      <c r="F677" s="391"/>
      <c r="G677" s="391"/>
      <c r="H677" s="391"/>
      <c r="I677" s="391"/>
      <c r="J677" s="391"/>
      <c r="K677" s="391"/>
      <c r="L677" s="391"/>
      <c r="M677" s="391"/>
      <c r="N677" s="391"/>
      <c r="O677" s="391"/>
      <c r="P677" s="391"/>
      <c r="Q677" s="391"/>
      <c r="R677" s="391"/>
      <c r="S677" s="391"/>
      <c r="T677" s="391"/>
      <c r="U677" s="391"/>
      <c r="V677" s="391"/>
      <c r="W677" s="391"/>
      <c r="X677" s="391"/>
      <c r="Y677" s="391"/>
      <c r="Z677" s="391"/>
      <c r="AA677" s="391"/>
      <c r="AB677" s="391"/>
      <c r="AC677" s="391"/>
      <c r="AD677" s="391"/>
      <c r="AE677" s="391"/>
      <c r="AF677" s="391"/>
      <c r="AG677" s="391"/>
      <c r="AH677" s="391"/>
      <c r="AI677" s="391"/>
      <c r="AJ677" s="391"/>
      <c r="AK677" s="391"/>
    </row>
    <row customHeight="true" ht="16.071428571428573" r="678">
      <c r="A678" s="391"/>
      <c r="B678" s="391"/>
      <c r="C678" s="391"/>
      <c r="D678" s="391"/>
      <c r="E678" s="391"/>
      <c r="F678" s="391"/>
      <c r="G678" s="391"/>
      <c r="H678" s="391"/>
      <c r="I678" s="391"/>
      <c r="J678" s="391"/>
      <c r="K678" s="391"/>
      <c r="L678" s="391"/>
      <c r="M678" s="391"/>
      <c r="N678" s="391"/>
      <c r="O678" s="391"/>
      <c r="P678" s="391"/>
      <c r="Q678" s="391"/>
      <c r="R678" s="391"/>
      <c r="S678" s="391"/>
      <c r="T678" s="391"/>
      <c r="U678" s="391"/>
      <c r="V678" s="391"/>
      <c r="W678" s="391"/>
      <c r="X678" s="391"/>
      <c r="Y678" s="391"/>
      <c r="Z678" s="391"/>
      <c r="AA678" s="391"/>
      <c r="AB678" s="391"/>
      <c r="AC678" s="391"/>
      <c r="AD678" s="391"/>
      <c r="AE678" s="391"/>
      <c r="AF678" s="391"/>
      <c r="AG678" s="391"/>
      <c r="AH678" s="391"/>
      <c r="AI678" s="391"/>
      <c r="AJ678" s="391"/>
      <c r="AK678" s="391"/>
    </row>
    <row customHeight="true" ht="16.071428571428573" r="679">
      <c r="A679" s="391"/>
      <c r="B679" s="391"/>
      <c r="C679" s="391"/>
      <c r="D679" s="391"/>
      <c r="E679" s="391"/>
      <c r="F679" s="391"/>
      <c r="G679" s="391"/>
      <c r="H679" s="391"/>
      <c r="I679" s="391"/>
      <c r="J679" s="391"/>
      <c r="K679" s="391"/>
      <c r="L679" s="391"/>
      <c r="M679" s="391"/>
      <c r="N679" s="391"/>
      <c r="O679" s="391"/>
      <c r="P679" s="391"/>
      <c r="Q679" s="391"/>
      <c r="R679" s="391"/>
      <c r="S679" s="391"/>
      <c r="T679" s="391"/>
      <c r="U679" s="391"/>
      <c r="V679" s="391"/>
      <c r="W679" s="391"/>
      <c r="X679" s="391"/>
      <c r="Y679" s="391"/>
      <c r="Z679" s="391"/>
      <c r="AA679" s="391"/>
      <c r="AB679" s="391"/>
      <c r="AC679" s="391"/>
      <c r="AD679" s="391"/>
      <c r="AE679" s="391"/>
      <c r="AF679" s="391"/>
      <c r="AG679" s="391"/>
      <c r="AH679" s="391"/>
      <c r="AI679" s="391"/>
      <c r="AJ679" s="391"/>
      <c r="AK679" s="391"/>
    </row>
    <row customHeight="true" ht="16.071428571428573" r="680">
      <c r="A680" s="391"/>
      <c r="B680" s="391"/>
      <c r="C680" s="391"/>
      <c r="D680" s="391"/>
      <c r="E680" s="391"/>
      <c r="F680" s="391"/>
      <c r="G680" s="391"/>
      <c r="H680" s="391"/>
      <c r="I680" s="391"/>
      <c r="J680" s="391"/>
      <c r="K680" s="391"/>
      <c r="L680" s="391"/>
      <c r="M680" s="391"/>
      <c r="N680" s="391"/>
      <c r="O680" s="391"/>
      <c r="P680" s="391"/>
      <c r="Q680" s="391"/>
      <c r="R680" s="391"/>
      <c r="S680" s="391"/>
      <c r="T680" s="391"/>
      <c r="U680" s="391"/>
      <c r="V680" s="391"/>
      <c r="W680" s="391"/>
      <c r="X680" s="391"/>
      <c r="Y680" s="391"/>
      <c r="Z680" s="391"/>
      <c r="AA680" s="391"/>
      <c r="AB680" s="391"/>
      <c r="AC680" s="391"/>
      <c r="AD680" s="391"/>
      <c r="AE680" s="391"/>
      <c r="AF680" s="391"/>
      <c r="AG680" s="391"/>
      <c r="AH680" s="391"/>
      <c r="AI680" s="391"/>
      <c r="AJ680" s="391"/>
      <c r="AK680" s="391"/>
    </row>
    <row customHeight="true" ht="16.071428571428573" r="681">
      <c r="A681" s="391"/>
      <c r="B681" s="391"/>
      <c r="C681" s="391"/>
      <c r="D681" s="391"/>
      <c r="E681" s="391"/>
      <c r="F681" s="391"/>
      <c r="G681" s="391"/>
      <c r="H681" s="391"/>
      <c r="I681" s="391"/>
      <c r="J681" s="391"/>
      <c r="K681" s="391"/>
      <c r="L681" s="391"/>
      <c r="M681" s="391"/>
      <c r="N681" s="391"/>
      <c r="O681" s="391"/>
      <c r="P681" s="391"/>
      <c r="Q681" s="391"/>
      <c r="R681" s="391"/>
      <c r="S681" s="391"/>
      <c r="T681" s="391"/>
      <c r="U681" s="391"/>
      <c r="V681" s="391"/>
      <c r="W681" s="391"/>
      <c r="X681" s="391"/>
      <c r="Y681" s="391"/>
      <c r="Z681" s="391"/>
      <c r="AA681" s="391"/>
      <c r="AB681" s="391"/>
      <c r="AC681" s="391"/>
      <c r="AD681" s="391"/>
      <c r="AE681" s="391"/>
      <c r="AF681" s="391"/>
      <c r="AG681" s="391"/>
      <c r="AH681" s="391"/>
      <c r="AI681" s="391"/>
      <c r="AJ681" s="391"/>
      <c r="AK681" s="391"/>
    </row>
    <row customHeight="true" ht="16.071428571428573" r="682">
      <c r="A682" s="391"/>
      <c r="B682" s="391"/>
      <c r="C682" s="391"/>
      <c r="D682" s="391"/>
      <c r="E682" s="391"/>
      <c r="F682" s="391"/>
      <c r="G682" s="391"/>
      <c r="H682" s="391"/>
      <c r="I682" s="391"/>
      <c r="J682" s="391"/>
      <c r="K682" s="391"/>
      <c r="L682" s="391"/>
      <c r="M682" s="391"/>
      <c r="N682" s="391"/>
      <c r="O682" s="391"/>
      <c r="P682" s="391"/>
      <c r="Q682" s="391"/>
      <c r="R682" s="391"/>
      <c r="S682" s="391"/>
      <c r="T682" s="391"/>
      <c r="U682" s="391"/>
      <c r="V682" s="391"/>
      <c r="W682" s="391"/>
      <c r="X682" s="391"/>
      <c r="Y682" s="391"/>
      <c r="Z682" s="391"/>
      <c r="AA682" s="391"/>
      <c r="AB682" s="391"/>
      <c r="AC682" s="391"/>
      <c r="AD682" s="391"/>
      <c r="AE682" s="391"/>
      <c r="AF682" s="391"/>
      <c r="AG682" s="391"/>
      <c r="AH682" s="391"/>
      <c r="AI682" s="391"/>
      <c r="AJ682" s="391"/>
      <c r="AK682" s="391"/>
    </row>
    <row customHeight="true" ht="16.071428571428573" r="683">
      <c r="A683" s="391"/>
      <c r="B683" s="391"/>
      <c r="C683" s="391"/>
      <c r="D683" s="391"/>
      <c r="E683" s="391"/>
      <c r="F683" s="391"/>
      <c r="G683" s="391"/>
      <c r="H683" s="391"/>
      <c r="I683" s="391"/>
      <c r="J683" s="391"/>
      <c r="K683" s="391"/>
      <c r="L683" s="391"/>
      <c r="M683" s="391"/>
      <c r="N683" s="391"/>
      <c r="O683" s="391"/>
      <c r="P683" s="391"/>
      <c r="Q683" s="391"/>
      <c r="R683" s="391"/>
      <c r="S683" s="391"/>
      <c r="T683" s="391"/>
      <c r="U683" s="391"/>
      <c r="V683" s="391"/>
      <c r="W683" s="391"/>
      <c r="X683" s="391"/>
      <c r="Y683" s="391"/>
      <c r="Z683" s="391"/>
      <c r="AA683" s="391"/>
      <c r="AB683" s="391"/>
      <c r="AC683" s="391"/>
      <c r="AD683" s="391"/>
      <c r="AE683" s="391"/>
      <c r="AF683" s="391"/>
      <c r="AG683" s="391"/>
      <c r="AH683" s="391"/>
      <c r="AI683" s="391"/>
      <c r="AJ683" s="391"/>
      <c r="AK683" s="391"/>
    </row>
    <row customHeight="true" ht="16.071428571428573" r="684">
      <c r="A684" s="391"/>
      <c r="B684" s="391"/>
      <c r="C684" s="391"/>
      <c r="D684" s="391"/>
      <c r="E684" s="391"/>
      <c r="F684" s="391"/>
      <c r="G684" s="391"/>
      <c r="H684" s="391"/>
      <c r="I684" s="391"/>
      <c r="J684" s="391"/>
      <c r="K684" s="391"/>
      <c r="L684" s="391"/>
      <c r="M684" s="391"/>
      <c r="N684" s="391"/>
      <c r="O684" s="391"/>
      <c r="P684" s="391"/>
      <c r="Q684" s="391"/>
      <c r="R684" s="391"/>
      <c r="S684" s="391"/>
      <c r="T684" s="391"/>
      <c r="U684" s="391"/>
      <c r="V684" s="391"/>
      <c r="W684" s="391"/>
      <c r="X684" s="391"/>
      <c r="Y684" s="391"/>
      <c r="Z684" s="391"/>
      <c r="AA684" s="391"/>
      <c r="AB684" s="391"/>
      <c r="AC684" s="391"/>
      <c r="AD684" s="391"/>
      <c r="AE684" s="391"/>
      <c r="AF684" s="391"/>
      <c r="AG684" s="391"/>
      <c r="AH684" s="391"/>
      <c r="AI684" s="391"/>
      <c r="AJ684" s="391"/>
      <c r="AK684" s="391"/>
    </row>
    <row customHeight="true" ht="16.071428571428573" r="685">
      <c r="A685" s="391"/>
      <c r="B685" s="391"/>
      <c r="C685" s="391"/>
      <c r="D685" s="391"/>
      <c r="E685" s="391"/>
      <c r="F685" s="391"/>
      <c r="G685" s="391"/>
      <c r="H685" s="391"/>
      <c r="I685" s="391"/>
      <c r="J685" s="391"/>
      <c r="K685" s="391"/>
      <c r="L685" s="391"/>
      <c r="M685" s="391"/>
      <c r="N685" s="391"/>
      <c r="O685" s="391"/>
      <c r="P685" s="391"/>
      <c r="Q685" s="391"/>
      <c r="R685" s="391"/>
      <c r="S685" s="391"/>
      <c r="T685" s="391"/>
      <c r="U685" s="391"/>
      <c r="V685" s="391"/>
      <c r="W685" s="391"/>
      <c r="X685" s="391"/>
      <c r="Y685" s="391"/>
      <c r="Z685" s="391"/>
      <c r="AA685" s="391"/>
      <c r="AB685" s="391"/>
      <c r="AC685" s="391"/>
      <c r="AD685" s="391"/>
      <c r="AE685" s="391"/>
      <c r="AF685" s="391"/>
      <c r="AG685" s="391"/>
      <c r="AH685" s="391"/>
      <c r="AI685" s="391"/>
      <c r="AJ685" s="391"/>
      <c r="AK685" s="391"/>
    </row>
    <row customHeight="true" ht="16.071428571428573" r="686">
      <c r="A686" s="391"/>
      <c r="B686" s="391"/>
      <c r="C686" s="391"/>
      <c r="D686" s="391"/>
      <c r="E686" s="391"/>
      <c r="F686" s="391"/>
      <c r="G686" s="391"/>
      <c r="H686" s="391"/>
      <c r="I686" s="391"/>
      <c r="J686" s="391"/>
      <c r="K686" s="391"/>
      <c r="L686" s="391"/>
      <c r="M686" s="391"/>
      <c r="N686" s="391"/>
      <c r="O686" s="391"/>
      <c r="P686" s="391"/>
      <c r="Q686" s="391"/>
      <c r="R686" s="391"/>
      <c r="S686" s="391"/>
      <c r="T686" s="391"/>
      <c r="U686" s="391"/>
      <c r="V686" s="391"/>
      <c r="W686" s="391"/>
      <c r="X686" s="391"/>
      <c r="Y686" s="391"/>
      <c r="Z686" s="391"/>
      <c r="AA686" s="391"/>
      <c r="AB686" s="391"/>
      <c r="AC686" s="391"/>
      <c r="AD686" s="391"/>
      <c r="AE686" s="391"/>
      <c r="AF686" s="391"/>
      <c r="AG686" s="391"/>
      <c r="AH686" s="391"/>
      <c r="AI686" s="391"/>
      <c r="AJ686" s="391"/>
      <c r="AK686" s="391"/>
    </row>
    <row customHeight="true" ht="16.071428571428573" r="687">
      <c r="A687" s="391"/>
      <c r="B687" s="391"/>
      <c r="C687" s="391"/>
      <c r="D687" s="391"/>
      <c r="E687" s="391"/>
      <c r="F687" s="391"/>
      <c r="G687" s="391"/>
      <c r="H687" s="391"/>
      <c r="I687" s="391"/>
      <c r="J687" s="391"/>
      <c r="K687" s="391"/>
      <c r="L687" s="391"/>
      <c r="M687" s="391"/>
      <c r="N687" s="391"/>
      <c r="O687" s="391"/>
      <c r="P687" s="391"/>
      <c r="Q687" s="391"/>
      <c r="R687" s="391"/>
      <c r="S687" s="391"/>
      <c r="T687" s="391"/>
      <c r="U687" s="391"/>
      <c r="V687" s="391"/>
      <c r="W687" s="391"/>
      <c r="X687" s="391"/>
      <c r="Y687" s="391"/>
      <c r="Z687" s="391"/>
      <c r="AA687" s="391"/>
      <c r="AB687" s="391"/>
      <c r="AC687" s="391"/>
      <c r="AD687" s="391"/>
      <c r="AE687" s="391"/>
      <c r="AF687" s="391"/>
      <c r="AG687" s="391"/>
      <c r="AH687" s="391"/>
      <c r="AI687" s="391"/>
      <c r="AJ687" s="391"/>
      <c r="AK687" s="391"/>
    </row>
    <row customHeight="true" ht="16.071428571428573" r="688">
      <c r="A688" s="391"/>
      <c r="B688" s="391"/>
      <c r="C688" s="391"/>
      <c r="D688" s="391"/>
      <c r="E688" s="391"/>
      <c r="F688" s="391"/>
      <c r="G688" s="391"/>
      <c r="H688" s="391"/>
      <c r="I688" s="391"/>
      <c r="J688" s="391"/>
      <c r="K688" s="391"/>
      <c r="L688" s="391"/>
      <c r="M688" s="391"/>
      <c r="N688" s="391"/>
      <c r="O688" s="391"/>
      <c r="P688" s="391"/>
      <c r="Q688" s="391"/>
      <c r="R688" s="391"/>
      <c r="S688" s="391"/>
      <c r="T688" s="391"/>
      <c r="U688" s="391"/>
      <c r="V688" s="391"/>
      <c r="W688" s="391"/>
      <c r="X688" s="391"/>
      <c r="Y688" s="391"/>
      <c r="Z688" s="391"/>
      <c r="AA688" s="391"/>
      <c r="AB688" s="391"/>
      <c r="AC688" s="391"/>
      <c r="AD688" s="391"/>
      <c r="AE688" s="391"/>
      <c r="AF688" s="391"/>
      <c r="AG688" s="391"/>
      <c r="AH688" s="391"/>
      <c r="AI688" s="391"/>
      <c r="AJ688" s="391"/>
      <c r="AK688" s="391"/>
    </row>
    <row customHeight="true" ht="16.071428571428573" r="689">
      <c r="A689" s="391"/>
      <c r="B689" s="391"/>
      <c r="C689" s="391"/>
      <c r="D689" s="391"/>
      <c r="E689" s="391"/>
      <c r="F689" s="391"/>
      <c r="G689" s="391"/>
      <c r="H689" s="391"/>
      <c r="I689" s="391"/>
      <c r="J689" s="391"/>
      <c r="K689" s="391"/>
      <c r="L689" s="391"/>
      <c r="M689" s="391"/>
      <c r="N689" s="391"/>
      <c r="O689" s="391"/>
      <c r="P689" s="391"/>
      <c r="Q689" s="391"/>
      <c r="R689" s="391"/>
      <c r="S689" s="391"/>
      <c r="T689" s="391"/>
      <c r="U689" s="391"/>
      <c r="V689" s="391"/>
      <c r="W689" s="391"/>
      <c r="X689" s="391"/>
      <c r="Y689" s="391"/>
      <c r="Z689" s="391"/>
      <c r="AA689" s="391"/>
      <c r="AB689" s="391"/>
      <c r="AC689" s="391"/>
      <c r="AD689" s="391"/>
      <c r="AE689" s="391"/>
      <c r="AF689" s="391"/>
      <c r="AG689" s="391"/>
      <c r="AH689" s="391"/>
      <c r="AI689" s="391"/>
      <c r="AJ689" s="391"/>
      <c r="AK689" s="391"/>
    </row>
    <row customHeight="true" ht="16.071428571428573" r="690">
      <c r="A690" s="391"/>
      <c r="B690" s="391"/>
      <c r="C690" s="391"/>
      <c r="D690" s="391"/>
      <c r="E690" s="391"/>
      <c r="F690" s="391"/>
      <c r="G690" s="391"/>
      <c r="H690" s="391"/>
      <c r="I690" s="391"/>
      <c r="J690" s="391"/>
      <c r="K690" s="391"/>
      <c r="L690" s="391"/>
      <c r="M690" s="391"/>
      <c r="N690" s="391"/>
      <c r="O690" s="391"/>
      <c r="P690" s="391"/>
      <c r="Q690" s="391"/>
      <c r="R690" s="391"/>
      <c r="S690" s="391"/>
      <c r="T690" s="391"/>
      <c r="U690" s="391"/>
      <c r="V690" s="391"/>
      <c r="W690" s="391"/>
      <c r="X690" s="391"/>
      <c r="Y690" s="391"/>
      <c r="Z690" s="391"/>
      <c r="AA690" s="391"/>
      <c r="AB690" s="391"/>
      <c r="AC690" s="391"/>
      <c r="AD690" s="391"/>
      <c r="AE690" s="391"/>
      <c r="AF690" s="391"/>
      <c r="AG690" s="391"/>
      <c r="AH690" s="391"/>
      <c r="AI690" s="391"/>
      <c r="AJ690" s="391"/>
      <c r="AK690" s="391"/>
    </row>
    <row customHeight="true" ht="16.071428571428573" r="691">
      <c r="A691" s="391"/>
      <c r="B691" s="391"/>
      <c r="C691" s="391"/>
      <c r="D691" s="391"/>
      <c r="E691" s="391"/>
      <c r="F691" s="391"/>
      <c r="G691" s="391"/>
      <c r="H691" s="391"/>
      <c r="I691" s="391"/>
      <c r="J691" s="391"/>
      <c r="K691" s="391"/>
      <c r="L691" s="391"/>
      <c r="M691" s="391"/>
      <c r="N691" s="391"/>
      <c r="O691" s="391"/>
      <c r="P691" s="391"/>
      <c r="Q691" s="391"/>
      <c r="R691" s="391"/>
      <c r="S691" s="391"/>
      <c r="T691" s="391"/>
      <c r="U691" s="391"/>
      <c r="V691" s="391"/>
      <c r="W691" s="391"/>
      <c r="X691" s="391"/>
      <c r="Y691" s="391"/>
      <c r="Z691" s="391"/>
      <c r="AA691" s="391"/>
      <c r="AB691" s="391"/>
      <c r="AC691" s="391"/>
      <c r="AD691" s="391"/>
      <c r="AE691" s="391"/>
      <c r="AF691" s="391"/>
      <c r="AG691" s="391"/>
      <c r="AH691" s="391"/>
      <c r="AI691" s="391"/>
      <c r="AJ691" s="391"/>
      <c r="AK691" s="391"/>
    </row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>
      <c r="I731">
        <v>11028.279999999999</v>
      </c>
      <c r="J731">
        <v>11028.279999999999</v>
      </c>
      <c r="X731">
        <v>13</v>
      </c>
      <c r="AA731">
        <v>14943.76</v>
      </c>
    </row>
    <row r="732">
      <c r="I732">
        <v>33705.81</v>
      </c>
      <c r="J732">
        <v>33705.810000000005</v>
      </c>
      <c r="X732">
        <v>36</v>
      </c>
      <c r="AA732">
        <v>42151.8</v>
      </c>
    </row>
    <row r="733">
      <c r="I733">
        <v>17507.690000000002</v>
      </c>
      <c r="J733">
        <v>17507.69</v>
      </c>
      <c r="X733">
        <v>17</v>
      </c>
      <c r="AA733">
        <v>20449.199999999997</v>
      </c>
    </row>
    <row r="734">
      <c r="I734">
        <v>16361.670000000002</v>
      </c>
      <c r="J734">
        <v>16361.669999999998</v>
      </c>
      <c r="X734">
        <v>15</v>
      </c>
      <c r="AA734">
        <v>15618.6</v>
      </c>
    </row>
    <row r="735">
      <c r="I735">
        <v>11041.650000000001</v>
      </c>
      <c r="J735">
        <v>11041.650000000001</v>
      </c>
      <c r="X735">
        <v>9</v>
      </c>
      <c r="AA735">
        <v>12170</v>
      </c>
    </row>
    <row r="736">
      <c r="I736">
        <v>7832.600000000001</v>
      </c>
      <c r="J736">
        <v>7832.599999999999</v>
      </c>
      <c r="X736">
        <v>6</v>
      </c>
      <c r="AA736">
        <v>7309.2</v>
      </c>
    </row>
    <row r="737">
      <c r="I737">
        <v>8879.08</v>
      </c>
      <c r="J737">
        <v>8879.08</v>
      </c>
      <c r="X737">
        <v>5</v>
      </c>
      <c r="AA737">
        <v>8023.200000000001</v>
      </c>
    </row>
    <row r="738">
      <c r="I738">
        <v>13022</v>
      </c>
      <c r="J738">
        <v>13021.999999999998</v>
      </c>
      <c r="X738">
        <v>17</v>
      </c>
      <c r="AA738">
        <v>19680.8</v>
      </c>
    </row>
    <row r="739">
      <c r="I739">
        <v>15829.019999999997</v>
      </c>
      <c r="J739">
        <v>15829.02</v>
      </c>
      <c r="X739">
        <v>11</v>
      </c>
      <c r="AA739">
        <v>16357.2</v>
      </c>
    </row>
    <row r="740">
      <c r="I740">
        <v>7182.179999999999</v>
      </c>
      <c r="J740">
        <v>7182.18</v>
      </c>
      <c r="X740">
        <v>4</v>
      </c>
      <c r="AA740">
        <v>5012.4</v>
      </c>
    </row>
    <row r="741">
      <c r="I741">
        <v>10649.13</v>
      </c>
      <c r="J741">
        <v>10649.13</v>
      </c>
      <c r="X741">
        <v>6</v>
      </c>
      <c r="AA741">
        <v>6749.8</v>
      </c>
    </row>
    <row r="742">
      <c r="I742">
        <v>12047.249999999998</v>
      </c>
      <c r="J742">
        <v>12047.25</v>
      </c>
      <c r="X742">
        <v>5</v>
      </c>
      <c r="AA742">
        <v>4183.2</v>
      </c>
    </row>
    <row r="743">
      <c r="I743">
        <v>19912.89</v>
      </c>
      <c r="J743">
        <v>19912.890000000003</v>
      </c>
      <c r="X743">
        <v>18</v>
      </c>
      <c r="AA743">
        <v>18389.8</v>
      </c>
    </row>
    <row r="744">
      <c r="I744">
        <v>19458.710000000003</v>
      </c>
      <c r="J744">
        <v>19458.71</v>
      </c>
      <c r="X744">
        <v>11</v>
      </c>
      <c r="AA744">
        <v>8980.8</v>
      </c>
    </row>
    <row r="745">
      <c r="I745">
        <v>20534.589999999997</v>
      </c>
      <c r="J745">
        <v>20534.590000000004</v>
      </c>
      <c r="X745">
        <v>19</v>
      </c>
      <c r="AA745">
        <v>19390.8</v>
      </c>
    </row>
    <row r="746">
      <c r="I746">
        <v>12206.140000000001</v>
      </c>
      <c r="J746">
        <v>12206.140000000001</v>
      </c>
      <c r="X746">
        <v>8</v>
      </c>
      <c r="AA746">
        <v>12643.199999999999</v>
      </c>
    </row>
    <row r="747">
      <c r="I747">
        <v>20789.64</v>
      </c>
      <c r="J747">
        <v>20789.64</v>
      </c>
      <c r="X747">
        <v>19</v>
      </c>
      <c r="AA747">
        <v>23081.6</v>
      </c>
    </row>
    <row r="748">
      <c r="I748">
        <v>6958.270000000001</v>
      </c>
      <c r="J748">
        <v>6958.27</v>
      </c>
      <c r="X748">
        <v>3</v>
      </c>
      <c r="AA748">
        <v>5546.4</v>
      </c>
    </row>
  </sheetData>
  <autoFilter ref="A1:AF589"/>
  <mergeCells>
    <mergeCell ref="AE587:AE589"/>
    <mergeCell ref="AD587:AD589"/>
    <mergeCell ref="AC587:AC589"/>
    <mergeCell ref="AB587:AB589"/>
    <mergeCell ref="AA587:AA589"/>
    <mergeCell ref="Z587:Z589"/>
    <mergeCell ref="Y587:Y589"/>
    <mergeCell ref="X587:X589"/>
    <mergeCell ref="W587:W589"/>
    <mergeCell ref="V587:V589"/>
    <mergeCell ref="U587:U589"/>
    <mergeCell ref="T587:T589"/>
    <mergeCell ref="S587:S589"/>
    <mergeCell ref="R587:R589"/>
    <mergeCell ref="Q587:Q589"/>
    <mergeCell ref="F587:F589"/>
    <mergeCell ref="C587:C589"/>
    <mergeCell ref="B587:B589"/>
    <mergeCell ref="AE584:AE586"/>
    <mergeCell ref="AD584:AD586"/>
    <mergeCell ref="AC584:AC586"/>
    <mergeCell ref="AB584:AB586"/>
    <mergeCell ref="AA584:AA586"/>
    <mergeCell ref="Z584:Z586"/>
    <mergeCell ref="Y584:Y586"/>
    <mergeCell ref="X584:X586"/>
    <mergeCell ref="W584:W586"/>
    <mergeCell ref="V584:V586"/>
    <mergeCell ref="U584:U586"/>
    <mergeCell ref="T584:T586"/>
    <mergeCell ref="S584:S586"/>
    <mergeCell ref="R584:R586"/>
    <mergeCell ref="Q584:Q586"/>
    <mergeCell ref="F584:F586"/>
    <mergeCell ref="C584:C586"/>
    <mergeCell ref="B584:B586"/>
    <mergeCell ref="AE581:AE583"/>
    <mergeCell ref="AD581:AD583"/>
    <mergeCell ref="AC581:AC583"/>
    <mergeCell ref="AB581:AB583"/>
    <mergeCell ref="AA581:AA583"/>
    <mergeCell ref="Z581:Z583"/>
    <mergeCell ref="Y581:Y583"/>
    <mergeCell ref="X581:X583"/>
    <mergeCell ref="W581:W583"/>
    <mergeCell ref="V581:V583"/>
    <mergeCell ref="U581:U583"/>
    <mergeCell ref="T581:T583"/>
    <mergeCell ref="S581:S583"/>
    <mergeCell ref="R581:R583"/>
    <mergeCell ref="Q581:Q583"/>
    <mergeCell ref="F581:F583"/>
    <mergeCell ref="C581:C583"/>
    <mergeCell ref="B581:B583"/>
    <mergeCell ref="AE578:AE580"/>
    <mergeCell ref="AD578:AD580"/>
    <mergeCell ref="AC578:AC580"/>
    <mergeCell ref="AB578:AB580"/>
    <mergeCell ref="AA578:AA580"/>
    <mergeCell ref="Z578:Z580"/>
    <mergeCell ref="Y578:Y580"/>
    <mergeCell ref="X578:X580"/>
    <mergeCell ref="W578:W580"/>
    <mergeCell ref="V578:V580"/>
    <mergeCell ref="U578:U580"/>
    <mergeCell ref="T578:T580"/>
    <mergeCell ref="S578:S580"/>
    <mergeCell ref="R578:R580"/>
    <mergeCell ref="Q578:Q580"/>
    <mergeCell ref="F578:F580"/>
    <mergeCell ref="C578:C580"/>
    <mergeCell ref="B578:B580"/>
    <mergeCell ref="AE575:AE577"/>
    <mergeCell ref="AD575:AD577"/>
    <mergeCell ref="AC575:AC577"/>
    <mergeCell ref="AB575:AB577"/>
    <mergeCell ref="AA575:AA577"/>
    <mergeCell ref="Z575:Z577"/>
    <mergeCell ref="Y575:Y577"/>
    <mergeCell ref="X575:X577"/>
    <mergeCell ref="W575:W577"/>
    <mergeCell ref="V575:V577"/>
    <mergeCell ref="U575:U577"/>
    <mergeCell ref="T575:T577"/>
    <mergeCell ref="S575:S577"/>
    <mergeCell ref="R575:R577"/>
    <mergeCell ref="Q575:Q577"/>
    <mergeCell ref="F575:F577"/>
    <mergeCell ref="C575:C577"/>
    <mergeCell ref="B575:B577"/>
    <mergeCell ref="AE572:AE574"/>
    <mergeCell ref="AD572:AD574"/>
    <mergeCell ref="AC572:AC574"/>
    <mergeCell ref="AB572:AB574"/>
    <mergeCell ref="AA572:AA574"/>
    <mergeCell ref="Z572:Z574"/>
    <mergeCell ref="Y572:Y574"/>
    <mergeCell ref="X572:X574"/>
    <mergeCell ref="W572:W574"/>
    <mergeCell ref="V572:V574"/>
    <mergeCell ref="U572:U574"/>
    <mergeCell ref="T572:T574"/>
    <mergeCell ref="S572:S574"/>
    <mergeCell ref="R572:R574"/>
    <mergeCell ref="Q572:Q574"/>
    <mergeCell ref="F572:F574"/>
    <mergeCell ref="C572:C574"/>
    <mergeCell ref="B572:B574"/>
    <mergeCell ref="AE569:AE571"/>
    <mergeCell ref="AD569:AD571"/>
    <mergeCell ref="AC569:AC571"/>
    <mergeCell ref="AB569:AB571"/>
    <mergeCell ref="AA569:AA571"/>
    <mergeCell ref="Z569:Z571"/>
    <mergeCell ref="Y569:Y571"/>
    <mergeCell ref="X569:X571"/>
    <mergeCell ref="W569:W571"/>
    <mergeCell ref="V569:V571"/>
    <mergeCell ref="U569:U571"/>
    <mergeCell ref="T569:T571"/>
    <mergeCell ref="S569:S571"/>
    <mergeCell ref="R569:R571"/>
    <mergeCell ref="Q569:Q571"/>
    <mergeCell ref="F569:F571"/>
    <mergeCell ref="C569:C571"/>
    <mergeCell ref="B569:B571"/>
    <mergeCell ref="AE566:AE568"/>
    <mergeCell ref="AD566:AD568"/>
    <mergeCell ref="AC566:AC568"/>
    <mergeCell ref="AB566:AB568"/>
    <mergeCell ref="AA566:AA568"/>
    <mergeCell ref="Z566:Z568"/>
    <mergeCell ref="Y566:Y568"/>
    <mergeCell ref="X566:X568"/>
    <mergeCell ref="W566:W568"/>
    <mergeCell ref="V566:V568"/>
    <mergeCell ref="U566:U568"/>
    <mergeCell ref="T566:T568"/>
    <mergeCell ref="S566:S568"/>
    <mergeCell ref="R566:R568"/>
    <mergeCell ref="Q566:Q568"/>
    <mergeCell ref="F566:F568"/>
    <mergeCell ref="C566:C568"/>
    <mergeCell ref="B566:B568"/>
    <mergeCell ref="AE563:AE565"/>
    <mergeCell ref="AD563:AD565"/>
    <mergeCell ref="AC563:AC565"/>
    <mergeCell ref="AB563:AB565"/>
    <mergeCell ref="AA563:AA565"/>
    <mergeCell ref="Z563:Z565"/>
    <mergeCell ref="Y563:Y565"/>
    <mergeCell ref="X563:X565"/>
    <mergeCell ref="W563:W565"/>
    <mergeCell ref="V563:V565"/>
    <mergeCell ref="U563:U565"/>
    <mergeCell ref="T563:T565"/>
    <mergeCell ref="S563:S565"/>
    <mergeCell ref="R563:R565"/>
    <mergeCell ref="Q563:Q565"/>
    <mergeCell ref="F563:F565"/>
    <mergeCell ref="C563:C565"/>
    <mergeCell ref="B563:B565"/>
    <mergeCell ref="AE560:AE562"/>
    <mergeCell ref="AD560:AD562"/>
    <mergeCell ref="AC560:AC562"/>
    <mergeCell ref="AB560:AB562"/>
    <mergeCell ref="AA560:AA562"/>
    <mergeCell ref="Z560:Z562"/>
    <mergeCell ref="Y560:Y562"/>
    <mergeCell ref="X560:X562"/>
    <mergeCell ref="W560:W562"/>
    <mergeCell ref="V560:V562"/>
    <mergeCell ref="U560:U562"/>
    <mergeCell ref="T560:T562"/>
    <mergeCell ref="S560:S562"/>
    <mergeCell ref="R560:R562"/>
    <mergeCell ref="Q560:Q562"/>
    <mergeCell ref="F560:F562"/>
    <mergeCell ref="C560:C562"/>
    <mergeCell ref="B560:B562"/>
    <mergeCell ref="A560:A589"/>
    <mergeCell ref="A529:A558"/>
    <mergeCell ref="B529:B531"/>
    <mergeCell ref="C529:C531"/>
    <mergeCell ref="F529:F531"/>
    <mergeCell ref="Q529:Q531"/>
    <mergeCell ref="R529:R531"/>
    <mergeCell ref="S529:S531"/>
    <mergeCell ref="T529:T531"/>
    <mergeCell ref="U529:U531"/>
    <mergeCell ref="V529:V531"/>
    <mergeCell ref="W529:W531"/>
    <mergeCell ref="X529:X531"/>
    <mergeCell ref="Y529:Y531"/>
    <mergeCell ref="Z529:Z531"/>
    <mergeCell ref="AA529:AA531"/>
    <mergeCell ref="AB529:AB531"/>
    <mergeCell ref="AC529:AC531"/>
    <mergeCell ref="AD529:AD531"/>
    <mergeCell ref="AE529:AE531"/>
    <mergeCell ref="B532:B534"/>
    <mergeCell ref="C532:C534"/>
    <mergeCell ref="F532:F534"/>
    <mergeCell ref="Q532:Q534"/>
    <mergeCell ref="R532:R534"/>
    <mergeCell ref="S532:S534"/>
    <mergeCell ref="T532:T534"/>
    <mergeCell ref="U532:U534"/>
    <mergeCell ref="V532:V534"/>
    <mergeCell ref="W532:W534"/>
    <mergeCell ref="X532:X534"/>
    <mergeCell ref="Y532:Y534"/>
    <mergeCell ref="Z532:Z534"/>
    <mergeCell ref="AA532:AA534"/>
    <mergeCell ref="AB532:AB534"/>
    <mergeCell ref="AC532:AC534"/>
    <mergeCell ref="AD532:AD534"/>
    <mergeCell ref="AE532:AE534"/>
    <mergeCell ref="B535:B537"/>
    <mergeCell ref="C535:C537"/>
    <mergeCell ref="F535:F537"/>
    <mergeCell ref="Q535:Q537"/>
    <mergeCell ref="R535:R537"/>
    <mergeCell ref="S535:S537"/>
    <mergeCell ref="T535:T537"/>
    <mergeCell ref="U535:U537"/>
    <mergeCell ref="V535:V537"/>
    <mergeCell ref="W535:W537"/>
    <mergeCell ref="X535:X537"/>
    <mergeCell ref="Y535:Y537"/>
    <mergeCell ref="Z535:Z537"/>
    <mergeCell ref="AA535:AA537"/>
    <mergeCell ref="AB535:AB537"/>
    <mergeCell ref="AC535:AC537"/>
    <mergeCell ref="AD535:AD537"/>
    <mergeCell ref="AE535:AE537"/>
    <mergeCell ref="B538:B540"/>
    <mergeCell ref="C538:C540"/>
    <mergeCell ref="F538:F540"/>
    <mergeCell ref="Q538:Q540"/>
    <mergeCell ref="R538:R540"/>
    <mergeCell ref="S538:S540"/>
    <mergeCell ref="T538:T540"/>
    <mergeCell ref="U538:U540"/>
    <mergeCell ref="V538:V540"/>
    <mergeCell ref="W538:W540"/>
    <mergeCell ref="X538:X540"/>
    <mergeCell ref="Y538:Y540"/>
    <mergeCell ref="Z538:Z540"/>
    <mergeCell ref="AA538:AA540"/>
    <mergeCell ref="AB538:AB540"/>
    <mergeCell ref="AC538:AC540"/>
    <mergeCell ref="AD538:AD540"/>
    <mergeCell ref="AE538:AE540"/>
    <mergeCell ref="B541:B543"/>
    <mergeCell ref="C541:C543"/>
    <mergeCell ref="F541:F543"/>
    <mergeCell ref="Q541:Q543"/>
    <mergeCell ref="R541:R543"/>
    <mergeCell ref="S541:S543"/>
    <mergeCell ref="T541:T543"/>
    <mergeCell ref="U541:U543"/>
    <mergeCell ref="V541:V543"/>
    <mergeCell ref="W541:W543"/>
    <mergeCell ref="X541:X543"/>
    <mergeCell ref="Y541:Y543"/>
    <mergeCell ref="Z541:Z543"/>
    <mergeCell ref="AA541:AA543"/>
    <mergeCell ref="AB541:AB543"/>
    <mergeCell ref="AC541:AC543"/>
    <mergeCell ref="AD541:AD543"/>
    <mergeCell ref="AE541:AE543"/>
    <mergeCell ref="B544:B546"/>
    <mergeCell ref="C544:C546"/>
    <mergeCell ref="F544:F546"/>
    <mergeCell ref="Q544:Q546"/>
    <mergeCell ref="R544:R546"/>
    <mergeCell ref="S544:S546"/>
    <mergeCell ref="T544:T546"/>
    <mergeCell ref="U544:U546"/>
    <mergeCell ref="V544:V546"/>
    <mergeCell ref="W544:W546"/>
    <mergeCell ref="X544:X546"/>
    <mergeCell ref="Y544:Y546"/>
    <mergeCell ref="Z544:Z546"/>
    <mergeCell ref="AA544:AA546"/>
    <mergeCell ref="AB544:AB546"/>
    <mergeCell ref="AC544:AC546"/>
    <mergeCell ref="AD544:AD546"/>
    <mergeCell ref="AE544:AE546"/>
    <mergeCell ref="B547:B549"/>
    <mergeCell ref="C547:C549"/>
    <mergeCell ref="F547:F549"/>
    <mergeCell ref="Q547:Q549"/>
    <mergeCell ref="R547:R549"/>
    <mergeCell ref="S547:S549"/>
    <mergeCell ref="T547:T549"/>
    <mergeCell ref="U547:U549"/>
    <mergeCell ref="V547:V549"/>
    <mergeCell ref="W547:W549"/>
    <mergeCell ref="X547:X549"/>
    <mergeCell ref="Y547:Y549"/>
    <mergeCell ref="Z547:Z549"/>
    <mergeCell ref="AA547:AA549"/>
    <mergeCell ref="AB547:AB549"/>
    <mergeCell ref="AC547:AC549"/>
    <mergeCell ref="AD547:AD549"/>
    <mergeCell ref="AE547:AE549"/>
    <mergeCell ref="B550:B552"/>
    <mergeCell ref="C550:C552"/>
    <mergeCell ref="F550:F552"/>
    <mergeCell ref="Q550:Q552"/>
    <mergeCell ref="R550:R552"/>
    <mergeCell ref="S550:S552"/>
    <mergeCell ref="T550:T552"/>
    <mergeCell ref="U550:U552"/>
    <mergeCell ref="V550:V552"/>
    <mergeCell ref="W550:W552"/>
    <mergeCell ref="X550:X552"/>
    <mergeCell ref="Y550:Y552"/>
    <mergeCell ref="Z550:Z552"/>
    <mergeCell ref="AA550:AA552"/>
    <mergeCell ref="AB550:AB552"/>
    <mergeCell ref="AC550:AC552"/>
    <mergeCell ref="AD550:AD552"/>
    <mergeCell ref="AE550:AE552"/>
    <mergeCell ref="B553:B555"/>
    <mergeCell ref="C553:C555"/>
    <mergeCell ref="F553:F555"/>
    <mergeCell ref="Q553:Q555"/>
    <mergeCell ref="R553:R555"/>
    <mergeCell ref="S553:S555"/>
    <mergeCell ref="T553:T555"/>
    <mergeCell ref="U553:U555"/>
    <mergeCell ref="V553:V555"/>
    <mergeCell ref="W553:W555"/>
    <mergeCell ref="X553:X555"/>
    <mergeCell ref="Y553:Y555"/>
    <mergeCell ref="Z553:Z555"/>
    <mergeCell ref="AA553:AA555"/>
    <mergeCell ref="AB553:AB555"/>
    <mergeCell ref="AC553:AC555"/>
    <mergeCell ref="AD553:AD555"/>
    <mergeCell ref="AE553:AE555"/>
    <mergeCell ref="B556:B558"/>
    <mergeCell ref="C556:C558"/>
    <mergeCell ref="F556:F558"/>
    <mergeCell ref="Q556:Q558"/>
    <mergeCell ref="R556:R558"/>
    <mergeCell ref="S556:S558"/>
    <mergeCell ref="T556:T558"/>
    <mergeCell ref="U556:U558"/>
    <mergeCell ref="V556:V558"/>
    <mergeCell ref="W556:W558"/>
    <mergeCell ref="X556:X558"/>
    <mergeCell ref="Y556:Y558"/>
    <mergeCell ref="Z556:Z558"/>
    <mergeCell ref="AA556:AA558"/>
    <mergeCell ref="AB556:AB558"/>
    <mergeCell ref="AC556:AC558"/>
    <mergeCell ref="AD556:AD558"/>
    <mergeCell ref="AE556:AE558"/>
    <mergeCell ref="AE525:AE527"/>
    <mergeCell ref="AD525:AD527"/>
    <mergeCell ref="AC525:AC527"/>
    <mergeCell ref="AB525:AB527"/>
    <mergeCell ref="AA525:AA527"/>
    <mergeCell ref="Z525:Z527"/>
    <mergeCell ref="Y525:Y527"/>
    <mergeCell ref="X525:X527"/>
    <mergeCell ref="W525:W527"/>
    <mergeCell ref="V525:V527"/>
    <mergeCell ref="U525:U527"/>
    <mergeCell ref="T525:T527"/>
    <mergeCell ref="S525:S527"/>
    <mergeCell ref="R525:R527"/>
    <mergeCell ref="Q525:Q527"/>
    <mergeCell ref="F525:F527"/>
    <mergeCell ref="C525:C527"/>
    <mergeCell ref="B525:B527"/>
    <mergeCell ref="AE522:AE524"/>
    <mergeCell ref="AD522:AD524"/>
    <mergeCell ref="AC522:AC524"/>
    <mergeCell ref="AB522:AB524"/>
    <mergeCell ref="AA522:AA524"/>
    <mergeCell ref="Z522:Z524"/>
    <mergeCell ref="Y522:Y524"/>
    <mergeCell ref="X522:X524"/>
    <mergeCell ref="W522:W524"/>
    <mergeCell ref="V522:V524"/>
    <mergeCell ref="U522:U524"/>
    <mergeCell ref="T522:T524"/>
    <mergeCell ref="S522:S524"/>
    <mergeCell ref="R522:R524"/>
    <mergeCell ref="Q522:Q524"/>
    <mergeCell ref="F522:F524"/>
    <mergeCell ref="C522:C524"/>
    <mergeCell ref="B522:B524"/>
    <mergeCell ref="AE519:AE521"/>
    <mergeCell ref="AD519:AD521"/>
    <mergeCell ref="AC519:AC521"/>
    <mergeCell ref="AB519:AB521"/>
    <mergeCell ref="AA519:AA521"/>
    <mergeCell ref="Z519:Z521"/>
    <mergeCell ref="Y519:Y521"/>
    <mergeCell ref="X519:X521"/>
    <mergeCell ref="W519:W521"/>
    <mergeCell ref="V519:V521"/>
    <mergeCell ref="U519:U521"/>
    <mergeCell ref="T519:T521"/>
    <mergeCell ref="S519:S521"/>
    <mergeCell ref="R519:R521"/>
    <mergeCell ref="Q519:Q521"/>
    <mergeCell ref="F519:F521"/>
    <mergeCell ref="C519:C521"/>
    <mergeCell ref="B519:B521"/>
    <mergeCell ref="AE516:AE518"/>
    <mergeCell ref="AD516:AD518"/>
    <mergeCell ref="AC516:AC518"/>
    <mergeCell ref="AB516:AB518"/>
    <mergeCell ref="AA516:AA518"/>
    <mergeCell ref="Z516:Z518"/>
    <mergeCell ref="Y516:Y518"/>
    <mergeCell ref="X516:X518"/>
    <mergeCell ref="W516:W518"/>
    <mergeCell ref="V516:V518"/>
    <mergeCell ref="U516:U518"/>
    <mergeCell ref="T516:T518"/>
    <mergeCell ref="S516:S518"/>
    <mergeCell ref="R516:R518"/>
    <mergeCell ref="Q516:Q518"/>
    <mergeCell ref="F516:F518"/>
    <mergeCell ref="C516:C518"/>
    <mergeCell ref="B516:B518"/>
    <mergeCell ref="AE513:AE515"/>
    <mergeCell ref="AD513:AD515"/>
    <mergeCell ref="AC513:AC515"/>
    <mergeCell ref="AB513:AB515"/>
    <mergeCell ref="AA513:AA515"/>
    <mergeCell ref="Z513:Z515"/>
    <mergeCell ref="Y513:Y515"/>
    <mergeCell ref="X513:X515"/>
    <mergeCell ref="W513:W515"/>
    <mergeCell ref="V513:V515"/>
    <mergeCell ref="U513:U515"/>
    <mergeCell ref="T513:T515"/>
    <mergeCell ref="S513:S515"/>
    <mergeCell ref="R513:R515"/>
    <mergeCell ref="Q513:Q515"/>
    <mergeCell ref="F513:F515"/>
    <mergeCell ref="C513:C515"/>
    <mergeCell ref="B513:B515"/>
    <mergeCell ref="AE510:AE512"/>
    <mergeCell ref="AD510:AD512"/>
    <mergeCell ref="AC510:AC512"/>
    <mergeCell ref="AB510:AB512"/>
    <mergeCell ref="AA510:AA512"/>
    <mergeCell ref="Z510:Z512"/>
    <mergeCell ref="Y510:Y512"/>
    <mergeCell ref="X510:X512"/>
    <mergeCell ref="W510:W512"/>
    <mergeCell ref="V510:V512"/>
    <mergeCell ref="U510:U512"/>
    <mergeCell ref="T510:T512"/>
    <mergeCell ref="S510:S512"/>
    <mergeCell ref="R510:R512"/>
    <mergeCell ref="Q510:Q512"/>
    <mergeCell ref="F510:F512"/>
    <mergeCell ref="C510:C512"/>
    <mergeCell ref="B510:B512"/>
    <mergeCell ref="AE507:AE509"/>
    <mergeCell ref="AD507:AD509"/>
    <mergeCell ref="AC507:AC509"/>
    <mergeCell ref="AB507:AB509"/>
    <mergeCell ref="AA507:AA509"/>
    <mergeCell ref="Z507:Z509"/>
    <mergeCell ref="Y507:Y509"/>
    <mergeCell ref="X507:X509"/>
    <mergeCell ref="W507:W509"/>
    <mergeCell ref="V507:V509"/>
    <mergeCell ref="U507:U509"/>
    <mergeCell ref="T507:T509"/>
    <mergeCell ref="S507:S509"/>
    <mergeCell ref="R507:R509"/>
    <mergeCell ref="Q507:Q509"/>
    <mergeCell ref="F507:F509"/>
    <mergeCell ref="C507:C509"/>
    <mergeCell ref="B507:B509"/>
    <mergeCell ref="AE504:AE506"/>
    <mergeCell ref="AD504:AD506"/>
    <mergeCell ref="AC504:AC506"/>
    <mergeCell ref="AB504:AB506"/>
    <mergeCell ref="AA504:AA506"/>
    <mergeCell ref="Z504:Z506"/>
    <mergeCell ref="Y504:Y506"/>
    <mergeCell ref="X504:X506"/>
    <mergeCell ref="W504:W506"/>
    <mergeCell ref="V504:V506"/>
    <mergeCell ref="U504:U506"/>
    <mergeCell ref="T504:T506"/>
    <mergeCell ref="S504:S506"/>
    <mergeCell ref="R504:R506"/>
    <mergeCell ref="Q504:Q506"/>
    <mergeCell ref="F504:F506"/>
    <mergeCell ref="C504:C506"/>
    <mergeCell ref="B504:B506"/>
    <mergeCell ref="AE501:AE503"/>
    <mergeCell ref="AD501:AD503"/>
    <mergeCell ref="AC501:AC503"/>
    <mergeCell ref="AB501:AB503"/>
    <mergeCell ref="AA501:AA503"/>
    <mergeCell ref="Z501:Z503"/>
    <mergeCell ref="Y501:Y503"/>
    <mergeCell ref="X501:X503"/>
    <mergeCell ref="W501:W503"/>
    <mergeCell ref="V501:V503"/>
    <mergeCell ref="U501:U503"/>
    <mergeCell ref="T501:T503"/>
    <mergeCell ref="S501:S503"/>
    <mergeCell ref="R501:R503"/>
    <mergeCell ref="Q501:Q503"/>
    <mergeCell ref="F501:F503"/>
    <mergeCell ref="C501:C503"/>
    <mergeCell ref="B501:B503"/>
    <mergeCell ref="AE498:AE500"/>
    <mergeCell ref="AD498:AD500"/>
    <mergeCell ref="AC498:AC500"/>
    <mergeCell ref="AB498:AB500"/>
    <mergeCell ref="AA498:AA500"/>
    <mergeCell ref="Z498:Z500"/>
    <mergeCell ref="Y498:Y500"/>
    <mergeCell ref="X498:X500"/>
    <mergeCell ref="W498:W500"/>
    <mergeCell ref="V498:V500"/>
    <mergeCell ref="U498:U500"/>
    <mergeCell ref="T498:T500"/>
    <mergeCell ref="S498:S500"/>
    <mergeCell ref="R498:R500"/>
    <mergeCell ref="Q498:Q500"/>
    <mergeCell ref="F498:F500"/>
    <mergeCell ref="C498:C500"/>
    <mergeCell ref="B498:B500"/>
    <mergeCell ref="A498:A527"/>
    <mergeCell ref="A467:A496"/>
    <mergeCell ref="B467:B469"/>
    <mergeCell ref="C467:C469"/>
    <mergeCell ref="F467:F469"/>
    <mergeCell ref="Q467:Q469"/>
    <mergeCell ref="R467:R469"/>
    <mergeCell ref="S467:S469"/>
    <mergeCell ref="T467:T469"/>
    <mergeCell ref="U467:U469"/>
    <mergeCell ref="V467:V469"/>
    <mergeCell ref="W467:W469"/>
    <mergeCell ref="X467:X469"/>
    <mergeCell ref="Y467:Y469"/>
    <mergeCell ref="Z467:Z469"/>
    <mergeCell ref="AA467:AA469"/>
    <mergeCell ref="AB467:AB469"/>
    <mergeCell ref="AC467:AC469"/>
    <mergeCell ref="AD467:AD469"/>
    <mergeCell ref="AE467:AE469"/>
    <mergeCell ref="B470:B472"/>
    <mergeCell ref="C470:C472"/>
    <mergeCell ref="F470:F472"/>
    <mergeCell ref="Q470:Q472"/>
    <mergeCell ref="R470:R472"/>
    <mergeCell ref="S470:S472"/>
    <mergeCell ref="T470:T472"/>
    <mergeCell ref="U470:U472"/>
    <mergeCell ref="V470:V472"/>
    <mergeCell ref="W470:W472"/>
    <mergeCell ref="X470:X472"/>
    <mergeCell ref="Y470:Y472"/>
    <mergeCell ref="Z470:Z472"/>
    <mergeCell ref="AA470:AA472"/>
    <mergeCell ref="AB470:AB472"/>
    <mergeCell ref="AC470:AC472"/>
    <mergeCell ref="AD470:AD472"/>
    <mergeCell ref="AE470:AE472"/>
    <mergeCell ref="B473:B475"/>
    <mergeCell ref="C473:C475"/>
    <mergeCell ref="F473:F475"/>
    <mergeCell ref="Q473:Q475"/>
    <mergeCell ref="R473:R475"/>
    <mergeCell ref="S473:S475"/>
    <mergeCell ref="T473:T475"/>
    <mergeCell ref="U473:U475"/>
    <mergeCell ref="V473:V475"/>
    <mergeCell ref="W473:W475"/>
    <mergeCell ref="X473:X475"/>
    <mergeCell ref="Y473:Y475"/>
    <mergeCell ref="Z473:Z475"/>
    <mergeCell ref="AA473:AA475"/>
    <mergeCell ref="AB473:AB475"/>
    <mergeCell ref="AC473:AC475"/>
    <mergeCell ref="AD473:AD475"/>
    <mergeCell ref="AE473:AE475"/>
    <mergeCell ref="B476:B478"/>
    <mergeCell ref="C476:C478"/>
    <mergeCell ref="F476:F478"/>
    <mergeCell ref="Q476:Q478"/>
    <mergeCell ref="R476:R478"/>
    <mergeCell ref="S476:S478"/>
    <mergeCell ref="T476:T478"/>
    <mergeCell ref="U476:U478"/>
    <mergeCell ref="V476:V478"/>
    <mergeCell ref="W476:W478"/>
    <mergeCell ref="X476:X478"/>
    <mergeCell ref="Y476:Y478"/>
    <mergeCell ref="Z476:Z478"/>
    <mergeCell ref="AA476:AA478"/>
    <mergeCell ref="AB476:AB478"/>
    <mergeCell ref="AC476:AC478"/>
    <mergeCell ref="AD476:AD478"/>
    <mergeCell ref="AE476:AE478"/>
    <mergeCell ref="B479:B481"/>
    <mergeCell ref="C479:C481"/>
    <mergeCell ref="F479:F481"/>
    <mergeCell ref="Q479:Q481"/>
    <mergeCell ref="R479:R481"/>
    <mergeCell ref="S479:S481"/>
    <mergeCell ref="T479:T481"/>
    <mergeCell ref="U479:U481"/>
    <mergeCell ref="V479:V481"/>
    <mergeCell ref="W479:W481"/>
    <mergeCell ref="X479:X481"/>
    <mergeCell ref="Y479:Y481"/>
    <mergeCell ref="Z479:Z481"/>
    <mergeCell ref="AA479:AA481"/>
    <mergeCell ref="AB479:AB481"/>
    <mergeCell ref="AC479:AC481"/>
    <mergeCell ref="AD479:AD481"/>
    <mergeCell ref="AE479:AE481"/>
    <mergeCell ref="B482:B484"/>
    <mergeCell ref="C482:C484"/>
    <mergeCell ref="F482:F484"/>
    <mergeCell ref="Q482:Q484"/>
    <mergeCell ref="R482:R484"/>
    <mergeCell ref="S482:S484"/>
    <mergeCell ref="T482:T484"/>
    <mergeCell ref="U482:U484"/>
    <mergeCell ref="V482:V484"/>
    <mergeCell ref="W482:W484"/>
    <mergeCell ref="X482:X484"/>
    <mergeCell ref="Y482:Y484"/>
    <mergeCell ref="Z482:Z484"/>
    <mergeCell ref="AA482:AA484"/>
    <mergeCell ref="AB482:AB484"/>
    <mergeCell ref="AC482:AC484"/>
    <mergeCell ref="AD482:AD484"/>
    <mergeCell ref="AE482:AE484"/>
    <mergeCell ref="B485:B487"/>
    <mergeCell ref="C485:C487"/>
    <mergeCell ref="F485:F487"/>
    <mergeCell ref="Q485:Q487"/>
    <mergeCell ref="R485:R487"/>
    <mergeCell ref="S485:S487"/>
    <mergeCell ref="T485:T487"/>
    <mergeCell ref="U485:U487"/>
    <mergeCell ref="V485:V487"/>
    <mergeCell ref="W485:W487"/>
    <mergeCell ref="X485:X487"/>
    <mergeCell ref="Y485:Y487"/>
    <mergeCell ref="Z485:Z487"/>
    <mergeCell ref="AA485:AA487"/>
    <mergeCell ref="AB485:AB487"/>
    <mergeCell ref="AC485:AC487"/>
    <mergeCell ref="AD485:AD487"/>
    <mergeCell ref="AE485:AE487"/>
    <mergeCell ref="B488:B490"/>
    <mergeCell ref="C488:C490"/>
    <mergeCell ref="F488:F490"/>
    <mergeCell ref="Q488:Q490"/>
    <mergeCell ref="R488:R490"/>
    <mergeCell ref="S488:S490"/>
    <mergeCell ref="T488:T490"/>
    <mergeCell ref="U488:U490"/>
    <mergeCell ref="V488:V490"/>
    <mergeCell ref="W488:W490"/>
    <mergeCell ref="X488:X490"/>
    <mergeCell ref="Y488:Y490"/>
    <mergeCell ref="Z488:Z490"/>
    <mergeCell ref="AA488:AA490"/>
    <mergeCell ref="AB488:AB490"/>
    <mergeCell ref="AC488:AC490"/>
    <mergeCell ref="AD488:AD490"/>
    <mergeCell ref="AE488:AE490"/>
    <mergeCell ref="B491:B493"/>
    <mergeCell ref="C491:C493"/>
    <mergeCell ref="F491:F493"/>
    <mergeCell ref="Q491:Q493"/>
    <mergeCell ref="R491:R493"/>
    <mergeCell ref="S491:S493"/>
    <mergeCell ref="T491:T493"/>
    <mergeCell ref="U491:U493"/>
    <mergeCell ref="V491:V493"/>
    <mergeCell ref="W491:W493"/>
    <mergeCell ref="X491:X493"/>
    <mergeCell ref="Y491:Y493"/>
    <mergeCell ref="Z491:Z493"/>
    <mergeCell ref="AA491:AA493"/>
    <mergeCell ref="AB491:AB493"/>
    <mergeCell ref="AC491:AC493"/>
    <mergeCell ref="AD491:AD493"/>
    <mergeCell ref="AE491:AE493"/>
    <mergeCell ref="B494:B496"/>
    <mergeCell ref="C494:C496"/>
    <mergeCell ref="F494:F496"/>
    <mergeCell ref="Q494:Q496"/>
    <mergeCell ref="R494:R496"/>
    <mergeCell ref="S494:S496"/>
    <mergeCell ref="T494:T496"/>
    <mergeCell ref="U494:U496"/>
    <mergeCell ref="V494:V496"/>
    <mergeCell ref="W494:W496"/>
    <mergeCell ref="X494:X496"/>
    <mergeCell ref="Y494:Y496"/>
    <mergeCell ref="Z494:Z496"/>
    <mergeCell ref="AA494:AA496"/>
    <mergeCell ref="AB494:AB496"/>
    <mergeCell ref="AC494:AC496"/>
    <mergeCell ref="AD494:AD496"/>
    <mergeCell ref="AE494:AE496"/>
    <mergeCell ref="AE463:AE465"/>
    <mergeCell ref="AD463:AD465"/>
    <mergeCell ref="AC463:AC465"/>
    <mergeCell ref="AB463:AB465"/>
    <mergeCell ref="AA463:AA465"/>
    <mergeCell ref="Z463:Z465"/>
    <mergeCell ref="Y463:Y465"/>
    <mergeCell ref="X463:X465"/>
    <mergeCell ref="W463:W465"/>
    <mergeCell ref="V463:V465"/>
    <mergeCell ref="U463:U465"/>
    <mergeCell ref="T463:T465"/>
    <mergeCell ref="S463:S465"/>
    <mergeCell ref="R463:R465"/>
    <mergeCell ref="Q463:Q465"/>
    <mergeCell ref="F463:F465"/>
    <mergeCell ref="C463:C465"/>
    <mergeCell ref="B463:B465"/>
    <mergeCell ref="AE460:AE462"/>
    <mergeCell ref="AD460:AD462"/>
    <mergeCell ref="AC460:AC462"/>
    <mergeCell ref="AB460:AB462"/>
    <mergeCell ref="AA460:AA462"/>
    <mergeCell ref="Z460:Z462"/>
    <mergeCell ref="Y460:Y462"/>
    <mergeCell ref="X460:X462"/>
    <mergeCell ref="W460:W462"/>
    <mergeCell ref="V460:V462"/>
    <mergeCell ref="U460:U462"/>
    <mergeCell ref="T460:T462"/>
    <mergeCell ref="S460:S462"/>
    <mergeCell ref="R460:R462"/>
    <mergeCell ref="Q460:Q462"/>
    <mergeCell ref="F460:F462"/>
    <mergeCell ref="C460:C462"/>
    <mergeCell ref="B460:B462"/>
    <mergeCell ref="AE457:AE459"/>
    <mergeCell ref="AD457:AD459"/>
    <mergeCell ref="AC457:AC459"/>
    <mergeCell ref="AB457:AB459"/>
    <mergeCell ref="AA457:AA459"/>
    <mergeCell ref="Z457:Z459"/>
    <mergeCell ref="Y457:Y459"/>
    <mergeCell ref="X457:X459"/>
    <mergeCell ref="W457:W459"/>
    <mergeCell ref="V457:V459"/>
    <mergeCell ref="U457:U459"/>
    <mergeCell ref="T457:T459"/>
    <mergeCell ref="S457:S459"/>
    <mergeCell ref="R457:R459"/>
    <mergeCell ref="Q457:Q459"/>
    <mergeCell ref="F457:F459"/>
    <mergeCell ref="C457:C459"/>
    <mergeCell ref="B457:B459"/>
    <mergeCell ref="AE454:AE456"/>
    <mergeCell ref="AD454:AD456"/>
    <mergeCell ref="AC454:AC456"/>
    <mergeCell ref="AB454:AB456"/>
    <mergeCell ref="AA454:AA456"/>
    <mergeCell ref="Z454:Z456"/>
    <mergeCell ref="Y454:Y456"/>
    <mergeCell ref="X454:X456"/>
    <mergeCell ref="W454:W456"/>
    <mergeCell ref="V454:V456"/>
    <mergeCell ref="U454:U456"/>
    <mergeCell ref="T454:T456"/>
    <mergeCell ref="S454:S456"/>
    <mergeCell ref="R454:R456"/>
    <mergeCell ref="Q454:Q456"/>
    <mergeCell ref="F454:F456"/>
    <mergeCell ref="C454:C456"/>
    <mergeCell ref="B454:B456"/>
    <mergeCell ref="AE451:AE453"/>
    <mergeCell ref="AD451:AD453"/>
    <mergeCell ref="AC451:AC453"/>
    <mergeCell ref="AB451:AB453"/>
    <mergeCell ref="AA451:AA453"/>
    <mergeCell ref="Z451:Z453"/>
    <mergeCell ref="Y451:Y453"/>
    <mergeCell ref="X451:X453"/>
    <mergeCell ref="W451:W453"/>
    <mergeCell ref="V451:V453"/>
    <mergeCell ref="U451:U453"/>
    <mergeCell ref="T451:T453"/>
    <mergeCell ref="S451:S453"/>
    <mergeCell ref="R451:R453"/>
    <mergeCell ref="Q451:Q453"/>
    <mergeCell ref="F451:F453"/>
    <mergeCell ref="C451:C453"/>
    <mergeCell ref="B451:B453"/>
    <mergeCell ref="AE448:AE450"/>
    <mergeCell ref="AD448:AD450"/>
    <mergeCell ref="AC448:AC450"/>
    <mergeCell ref="AB448:AB450"/>
    <mergeCell ref="AA448:AA450"/>
    <mergeCell ref="Z448:Z450"/>
    <mergeCell ref="Y448:Y450"/>
    <mergeCell ref="X448:X450"/>
    <mergeCell ref="W448:W450"/>
    <mergeCell ref="V448:V450"/>
    <mergeCell ref="U448:U450"/>
    <mergeCell ref="T448:T450"/>
    <mergeCell ref="S448:S450"/>
    <mergeCell ref="R448:R450"/>
    <mergeCell ref="Q448:Q450"/>
    <mergeCell ref="F448:F450"/>
    <mergeCell ref="C448:C450"/>
    <mergeCell ref="B448:B450"/>
    <mergeCell ref="AE445:AE447"/>
    <mergeCell ref="AD445:AD447"/>
    <mergeCell ref="AC445:AC447"/>
    <mergeCell ref="AB445:AB447"/>
    <mergeCell ref="AA445:AA447"/>
    <mergeCell ref="Z445:Z447"/>
    <mergeCell ref="Y445:Y447"/>
    <mergeCell ref="X445:X447"/>
    <mergeCell ref="W445:W447"/>
    <mergeCell ref="V445:V447"/>
    <mergeCell ref="U445:U447"/>
    <mergeCell ref="T445:T447"/>
    <mergeCell ref="S445:S447"/>
    <mergeCell ref="R445:R447"/>
    <mergeCell ref="Q445:Q447"/>
    <mergeCell ref="F445:F447"/>
    <mergeCell ref="C445:C447"/>
    <mergeCell ref="B445:B447"/>
    <mergeCell ref="AE442:AE444"/>
    <mergeCell ref="AD442:AD444"/>
    <mergeCell ref="AC442:AC444"/>
    <mergeCell ref="AB442:AB444"/>
    <mergeCell ref="AA442:AA444"/>
    <mergeCell ref="Z442:Z444"/>
    <mergeCell ref="Y442:Y444"/>
    <mergeCell ref="X442:X444"/>
    <mergeCell ref="W442:W444"/>
    <mergeCell ref="V442:V444"/>
    <mergeCell ref="U442:U444"/>
    <mergeCell ref="T442:T444"/>
    <mergeCell ref="S442:S444"/>
    <mergeCell ref="R442:R444"/>
    <mergeCell ref="Q442:Q444"/>
    <mergeCell ref="F442:F444"/>
    <mergeCell ref="C442:C444"/>
    <mergeCell ref="B442:B444"/>
    <mergeCell ref="AE439:AE441"/>
    <mergeCell ref="AD439:AD441"/>
    <mergeCell ref="AC439:AC441"/>
    <mergeCell ref="AB439:AB441"/>
    <mergeCell ref="AA439:AA441"/>
    <mergeCell ref="Z439:Z441"/>
    <mergeCell ref="Y439:Y441"/>
    <mergeCell ref="X439:X441"/>
    <mergeCell ref="W439:W441"/>
    <mergeCell ref="V439:V441"/>
    <mergeCell ref="U439:U441"/>
    <mergeCell ref="T439:T441"/>
    <mergeCell ref="S439:S441"/>
    <mergeCell ref="R439:R441"/>
    <mergeCell ref="Q439:Q441"/>
    <mergeCell ref="F439:F441"/>
    <mergeCell ref="C439:C441"/>
    <mergeCell ref="B439:B441"/>
    <mergeCell ref="AE436:AE438"/>
    <mergeCell ref="AD436:AD438"/>
    <mergeCell ref="AC436:AC438"/>
    <mergeCell ref="AB436:AB438"/>
    <mergeCell ref="AA436:AA438"/>
    <mergeCell ref="Z436:Z438"/>
    <mergeCell ref="Y436:Y438"/>
    <mergeCell ref="X436:X438"/>
    <mergeCell ref="W436:W438"/>
    <mergeCell ref="V436:V438"/>
    <mergeCell ref="U436:U438"/>
    <mergeCell ref="T436:T438"/>
    <mergeCell ref="S436:S438"/>
    <mergeCell ref="R436:R438"/>
    <mergeCell ref="Q436:Q438"/>
    <mergeCell ref="F436:F438"/>
    <mergeCell ref="C436:C438"/>
    <mergeCell ref="B436:B438"/>
    <mergeCell ref="A436:A465"/>
    <mergeCell ref="A405:A434"/>
    <mergeCell ref="B405:B407"/>
    <mergeCell ref="C405:C407"/>
    <mergeCell ref="F405:F407"/>
    <mergeCell ref="Q405:Q407"/>
    <mergeCell ref="R405:R407"/>
    <mergeCell ref="S405:S407"/>
    <mergeCell ref="T405:T407"/>
    <mergeCell ref="U405:U407"/>
    <mergeCell ref="V405:V407"/>
    <mergeCell ref="W405:W407"/>
    <mergeCell ref="X405:X407"/>
    <mergeCell ref="Y405:Y407"/>
    <mergeCell ref="Z405:Z407"/>
    <mergeCell ref="AA405:AA407"/>
    <mergeCell ref="AB405:AB407"/>
    <mergeCell ref="AC405:AC407"/>
    <mergeCell ref="AD405:AD407"/>
    <mergeCell ref="AE405:AE407"/>
    <mergeCell ref="B408:B410"/>
    <mergeCell ref="C408:C410"/>
    <mergeCell ref="F408:F410"/>
    <mergeCell ref="Q408:Q410"/>
    <mergeCell ref="R408:R410"/>
    <mergeCell ref="S408:S410"/>
    <mergeCell ref="T408:T410"/>
    <mergeCell ref="U408:U410"/>
    <mergeCell ref="V408:V410"/>
    <mergeCell ref="W408:W410"/>
    <mergeCell ref="X408:X410"/>
    <mergeCell ref="Y408:Y410"/>
    <mergeCell ref="Z408:Z410"/>
    <mergeCell ref="AA408:AA410"/>
    <mergeCell ref="AB408:AB410"/>
    <mergeCell ref="AC408:AC410"/>
    <mergeCell ref="AD408:AD410"/>
    <mergeCell ref="AE408:AE410"/>
    <mergeCell ref="B411:B413"/>
    <mergeCell ref="C411:C413"/>
    <mergeCell ref="F411:F413"/>
    <mergeCell ref="Q411:Q413"/>
    <mergeCell ref="R411:R413"/>
    <mergeCell ref="S411:S413"/>
    <mergeCell ref="T411:T413"/>
    <mergeCell ref="U411:U413"/>
    <mergeCell ref="V411:V413"/>
    <mergeCell ref="W411:W413"/>
    <mergeCell ref="X411:X413"/>
    <mergeCell ref="Y411:Y413"/>
    <mergeCell ref="Z411:Z413"/>
    <mergeCell ref="AA411:AA413"/>
    <mergeCell ref="AB411:AB413"/>
    <mergeCell ref="AC411:AC413"/>
    <mergeCell ref="AD411:AD413"/>
    <mergeCell ref="AE411:AE413"/>
    <mergeCell ref="B414:B416"/>
    <mergeCell ref="C414:C416"/>
    <mergeCell ref="F414:F416"/>
    <mergeCell ref="Q414:Q416"/>
    <mergeCell ref="R414:R416"/>
    <mergeCell ref="S414:S416"/>
    <mergeCell ref="T414:T416"/>
    <mergeCell ref="U414:U416"/>
    <mergeCell ref="V414:V416"/>
    <mergeCell ref="W414:W416"/>
    <mergeCell ref="X414:X416"/>
    <mergeCell ref="Y414:Y416"/>
    <mergeCell ref="Z414:Z416"/>
    <mergeCell ref="AA414:AA416"/>
    <mergeCell ref="AB414:AB416"/>
    <mergeCell ref="AC414:AC416"/>
    <mergeCell ref="AD414:AD416"/>
    <mergeCell ref="AE414:AE416"/>
    <mergeCell ref="B417:B419"/>
    <mergeCell ref="C417:C419"/>
    <mergeCell ref="F417:F419"/>
    <mergeCell ref="Q417:Q419"/>
    <mergeCell ref="R417:R419"/>
    <mergeCell ref="S417:S419"/>
    <mergeCell ref="T417:T419"/>
    <mergeCell ref="U417:U419"/>
    <mergeCell ref="V417:V419"/>
    <mergeCell ref="W417:W419"/>
    <mergeCell ref="X417:X419"/>
    <mergeCell ref="Y417:Y419"/>
    <mergeCell ref="Z417:Z419"/>
    <mergeCell ref="AA417:AA419"/>
    <mergeCell ref="AB417:AB419"/>
    <mergeCell ref="AC417:AC419"/>
    <mergeCell ref="AD417:AD419"/>
    <mergeCell ref="AE417:AE419"/>
    <mergeCell ref="B420:B422"/>
    <mergeCell ref="C420:C422"/>
    <mergeCell ref="F420:F422"/>
    <mergeCell ref="Q420:Q422"/>
    <mergeCell ref="R420:R422"/>
    <mergeCell ref="S420:S422"/>
    <mergeCell ref="T420:T422"/>
    <mergeCell ref="U420:U422"/>
    <mergeCell ref="V420:V422"/>
    <mergeCell ref="W420:W422"/>
    <mergeCell ref="X420:X422"/>
    <mergeCell ref="Y420:Y422"/>
    <mergeCell ref="Z420:Z422"/>
    <mergeCell ref="AA420:AA422"/>
    <mergeCell ref="AB420:AB422"/>
    <mergeCell ref="AC420:AC422"/>
    <mergeCell ref="AD420:AD422"/>
    <mergeCell ref="AE420:AE422"/>
    <mergeCell ref="B423:B425"/>
    <mergeCell ref="C423:C425"/>
    <mergeCell ref="F423:F425"/>
    <mergeCell ref="Q423:Q425"/>
    <mergeCell ref="R423:R425"/>
    <mergeCell ref="S423:S425"/>
    <mergeCell ref="T423:T425"/>
    <mergeCell ref="U423:U425"/>
    <mergeCell ref="V423:V425"/>
    <mergeCell ref="W423:W425"/>
    <mergeCell ref="X423:X425"/>
    <mergeCell ref="Y423:Y425"/>
    <mergeCell ref="Z423:Z425"/>
    <mergeCell ref="AA423:AA425"/>
    <mergeCell ref="AB423:AB425"/>
    <mergeCell ref="AC423:AC425"/>
    <mergeCell ref="AD423:AD425"/>
    <mergeCell ref="AE423:AE425"/>
    <mergeCell ref="B426:B428"/>
    <mergeCell ref="C426:C428"/>
    <mergeCell ref="F426:F428"/>
    <mergeCell ref="Q426:Q428"/>
    <mergeCell ref="R426:R428"/>
    <mergeCell ref="S426:S428"/>
    <mergeCell ref="T426:T428"/>
    <mergeCell ref="U426:U428"/>
    <mergeCell ref="V426:V428"/>
    <mergeCell ref="W426:W428"/>
    <mergeCell ref="X426:X428"/>
    <mergeCell ref="Y426:Y428"/>
    <mergeCell ref="Z426:Z428"/>
    <mergeCell ref="AA426:AA428"/>
    <mergeCell ref="AB426:AB428"/>
    <mergeCell ref="AC426:AC428"/>
    <mergeCell ref="AD426:AD428"/>
    <mergeCell ref="AE426:AE428"/>
    <mergeCell ref="B429:B431"/>
    <mergeCell ref="C429:C431"/>
    <mergeCell ref="F429:F431"/>
    <mergeCell ref="Q429:Q431"/>
    <mergeCell ref="R429:R431"/>
    <mergeCell ref="S429:S431"/>
    <mergeCell ref="T429:T431"/>
    <mergeCell ref="U429:U431"/>
    <mergeCell ref="V429:V431"/>
    <mergeCell ref="W429:W431"/>
    <mergeCell ref="X429:X431"/>
    <mergeCell ref="Y429:Y431"/>
    <mergeCell ref="Z429:Z431"/>
    <mergeCell ref="AA429:AA431"/>
    <mergeCell ref="AB429:AB431"/>
    <mergeCell ref="AC429:AC431"/>
    <mergeCell ref="AD429:AD431"/>
    <mergeCell ref="AE429:AE431"/>
    <mergeCell ref="B432:B434"/>
    <mergeCell ref="C432:C434"/>
    <mergeCell ref="F432:F434"/>
    <mergeCell ref="Q432:Q434"/>
    <mergeCell ref="R432:R434"/>
    <mergeCell ref="S432:S434"/>
    <mergeCell ref="T432:T434"/>
    <mergeCell ref="U432:U434"/>
    <mergeCell ref="V432:V434"/>
    <mergeCell ref="W432:W434"/>
    <mergeCell ref="X432:X434"/>
    <mergeCell ref="Y432:Y434"/>
    <mergeCell ref="Z432:Z434"/>
    <mergeCell ref="AA432:AA434"/>
    <mergeCell ref="AB432:AB434"/>
    <mergeCell ref="AC432:AC434"/>
    <mergeCell ref="AD432:AD434"/>
    <mergeCell ref="AE432:AE434"/>
    <mergeCell ref="AE401:AE403"/>
    <mergeCell ref="AD401:AD403"/>
    <mergeCell ref="AC401:AC403"/>
    <mergeCell ref="AB401:AB403"/>
    <mergeCell ref="AA401:AA403"/>
    <mergeCell ref="Z401:Z403"/>
    <mergeCell ref="Y401:Y403"/>
    <mergeCell ref="X401:X403"/>
    <mergeCell ref="W401:W403"/>
    <mergeCell ref="V401:V403"/>
    <mergeCell ref="U401:U403"/>
    <mergeCell ref="T401:T403"/>
    <mergeCell ref="S401:S403"/>
    <mergeCell ref="R401:R403"/>
    <mergeCell ref="Q401:Q403"/>
    <mergeCell ref="F401:F403"/>
    <mergeCell ref="C401:C403"/>
    <mergeCell ref="B401:B403"/>
    <mergeCell ref="AE398:AE400"/>
    <mergeCell ref="AD398:AD400"/>
    <mergeCell ref="AC398:AC400"/>
    <mergeCell ref="AB398:AB400"/>
    <mergeCell ref="AA398:AA400"/>
    <mergeCell ref="Z398:Z400"/>
    <mergeCell ref="Y398:Y400"/>
    <mergeCell ref="X398:X400"/>
    <mergeCell ref="W398:W400"/>
    <mergeCell ref="V398:V400"/>
    <mergeCell ref="U398:U400"/>
    <mergeCell ref="T398:T400"/>
    <mergeCell ref="S398:S400"/>
    <mergeCell ref="R398:R400"/>
    <mergeCell ref="Q398:Q400"/>
    <mergeCell ref="F398:F400"/>
    <mergeCell ref="C398:C400"/>
    <mergeCell ref="B398:B400"/>
    <mergeCell ref="AE395:AE397"/>
    <mergeCell ref="AD395:AD397"/>
    <mergeCell ref="AC395:AC397"/>
    <mergeCell ref="AB395:AB397"/>
    <mergeCell ref="AA395:AA397"/>
    <mergeCell ref="Z395:Z397"/>
    <mergeCell ref="Y395:Y397"/>
    <mergeCell ref="X395:X397"/>
    <mergeCell ref="W395:W397"/>
    <mergeCell ref="V395:V397"/>
    <mergeCell ref="U395:U397"/>
    <mergeCell ref="T395:T397"/>
    <mergeCell ref="S395:S397"/>
    <mergeCell ref="R395:R397"/>
    <mergeCell ref="Q395:Q397"/>
    <mergeCell ref="F395:F397"/>
    <mergeCell ref="C395:C397"/>
    <mergeCell ref="B395:B397"/>
    <mergeCell ref="AE392:AE394"/>
    <mergeCell ref="AD392:AD394"/>
    <mergeCell ref="AC392:AC394"/>
    <mergeCell ref="AB392:AB394"/>
    <mergeCell ref="AA392:AA394"/>
    <mergeCell ref="Z392:Z394"/>
    <mergeCell ref="Y392:Y394"/>
    <mergeCell ref="X392:X394"/>
    <mergeCell ref="W392:W394"/>
    <mergeCell ref="V392:V394"/>
    <mergeCell ref="U392:U394"/>
    <mergeCell ref="T392:T394"/>
    <mergeCell ref="S392:S394"/>
    <mergeCell ref="R392:R394"/>
    <mergeCell ref="Q392:Q394"/>
    <mergeCell ref="F392:F394"/>
    <mergeCell ref="C392:C394"/>
    <mergeCell ref="B392:B394"/>
    <mergeCell ref="AE389:AE391"/>
    <mergeCell ref="AD389:AD391"/>
    <mergeCell ref="AC389:AC391"/>
    <mergeCell ref="AB389:AB391"/>
    <mergeCell ref="AA389:AA391"/>
    <mergeCell ref="Z389:Z391"/>
    <mergeCell ref="Y389:Y391"/>
    <mergeCell ref="X389:X391"/>
    <mergeCell ref="W389:W391"/>
    <mergeCell ref="V389:V391"/>
    <mergeCell ref="U389:U391"/>
    <mergeCell ref="T389:T391"/>
    <mergeCell ref="S389:S391"/>
    <mergeCell ref="R389:R391"/>
    <mergeCell ref="Q389:Q391"/>
    <mergeCell ref="F389:F391"/>
    <mergeCell ref="C389:C391"/>
    <mergeCell ref="B389:B391"/>
    <mergeCell ref="AE386:AE388"/>
    <mergeCell ref="AD386:AD388"/>
    <mergeCell ref="AC386:AC388"/>
    <mergeCell ref="AB386:AB388"/>
    <mergeCell ref="AA386:AA388"/>
    <mergeCell ref="Z386:Z388"/>
    <mergeCell ref="Y386:Y388"/>
    <mergeCell ref="X386:X388"/>
    <mergeCell ref="W386:W388"/>
    <mergeCell ref="V386:V388"/>
    <mergeCell ref="U386:U388"/>
    <mergeCell ref="T386:T388"/>
    <mergeCell ref="S386:S388"/>
    <mergeCell ref="R386:R388"/>
    <mergeCell ref="Q386:Q388"/>
    <mergeCell ref="F386:F388"/>
    <mergeCell ref="C386:C388"/>
    <mergeCell ref="B386:B388"/>
    <mergeCell ref="AE383:AE385"/>
    <mergeCell ref="AD383:AD385"/>
    <mergeCell ref="AC383:AC385"/>
    <mergeCell ref="AB383:AB385"/>
    <mergeCell ref="AA383:AA385"/>
    <mergeCell ref="Z383:Z385"/>
    <mergeCell ref="Y383:Y385"/>
    <mergeCell ref="X383:X385"/>
    <mergeCell ref="W383:W385"/>
    <mergeCell ref="V383:V385"/>
    <mergeCell ref="U383:U385"/>
    <mergeCell ref="T383:T385"/>
    <mergeCell ref="S383:S385"/>
    <mergeCell ref="R383:R385"/>
    <mergeCell ref="Q383:Q385"/>
    <mergeCell ref="F383:F385"/>
    <mergeCell ref="C383:C385"/>
    <mergeCell ref="B383:B385"/>
    <mergeCell ref="AE380:AE382"/>
    <mergeCell ref="AD380:AD382"/>
    <mergeCell ref="AC380:AC382"/>
    <mergeCell ref="AB380:AB382"/>
    <mergeCell ref="AA380:AA382"/>
    <mergeCell ref="Z380:Z382"/>
    <mergeCell ref="Y380:Y382"/>
    <mergeCell ref="X380:X382"/>
    <mergeCell ref="W380:W382"/>
    <mergeCell ref="V380:V382"/>
    <mergeCell ref="U380:U382"/>
    <mergeCell ref="T380:T382"/>
    <mergeCell ref="S380:S382"/>
    <mergeCell ref="R380:R382"/>
    <mergeCell ref="Q380:Q382"/>
    <mergeCell ref="F380:F382"/>
    <mergeCell ref="C380:C382"/>
    <mergeCell ref="B380:B382"/>
    <mergeCell ref="AE377:AE379"/>
    <mergeCell ref="AD377:AD379"/>
    <mergeCell ref="AC377:AC379"/>
    <mergeCell ref="AB377:AB379"/>
    <mergeCell ref="AA377:AA379"/>
    <mergeCell ref="Z377:Z379"/>
    <mergeCell ref="Y377:Y379"/>
    <mergeCell ref="X377:X379"/>
    <mergeCell ref="W377:W379"/>
    <mergeCell ref="V377:V379"/>
    <mergeCell ref="U377:U379"/>
    <mergeCell ref="T377:T379"/>
    <mergeCell ref="S377:S379"/>
    <mergeCell ref="R377:R379"/>
    <mergeCell ref="Q377:Q379"/>
    <mergeCell ref="F377:F379"/>
    <mergeCell ref="C377:C379"/>
    <mergeCell ref="B377:B379"/>
    <mergeCell ref="AE374:AE376"/>
    <mergeCell ref="AD374:AD376"/>
    <mergeCell ref="AC374:AC376"/>
    <mergeCell ref="AB374:AB376"/>
    <mergeCell ref="AA374:AA376"/>
    <mergeCell ref="Z374:Z376"/>
    <mergeCell ref="Y374:Y376"/>
    <mergeCell ref="X374:X376"/>
    <mergeCell ref="W374:W376"/>
    <mergeCell ref="V374:V376"/>
    <mergeCell ref="U374:U376"/>
    <mergeCell ref="T374:T376"/>
    <mergeCell ref="S374:S376"/>
    <mergeCell ref="R374:R376"/>
    <mergeCell ref="Q374:Q376"/>
    <mergeCell ref="F374:F376"/>
    <mergeCell ref="C374:C376"/>
    <mergeCell ref="B374:B376"/>
    <mergeCell ref="A374:A403"/>
    <mergeCell ref="A343:A372"/>
    <mergeCell ref="B343:B345"/>
    <mergeCell ref="C343:C345"/>
    <mergeCell ref="F343:F345"/>
    <mergeCell ref="Q343:Q345"/>
    <mergeCell ref="R343:R345"/>
    <mergeCell ref="S343:S345"/>
    <mergeCell ref="T343:T345"/>
    <mergeCell ref="U343:U345"/>
    <mergeCell ref="V343:V345"/>
    <mergeCell ref="W343:W345"/>
    <mergeCell ref="X343:X345"/>
    <mergeCell ref="Y343:Y345"/>
    <mergeCell ref="Z343:Z345"/>
    <mergeCell ref="AA343:AA345"/>
    <mergeCell ref="AB343:AB345"/>
    <mergeCell ref="AC343:AC345"/>
    <mergeCell ref="AD343:AD345"/>
    <mergeCell ref="AE343:AE345"/>
    <mergeCell ref="B346:B348"/>
    <mergeCell ref="C346:C348"/>
    <mergeCell ref="F346:F348"/>
    <mergeCell ref="Q346:Q348"/>
    <mergeCell ref="R346:R348"/>
    <mergeCell ref="S346:S348"/>
    <mergeCell ref="T346:T348"/>
    <mergeCell ref="U346:U348"/>
    <mergeCell ref="V346:V348"/>
    <mergeCell ref="W346:W348"/>
    <mergeCell ref="X346:X348"/>
    <mergeCell ref="Y346:Y348"/>
    <mergeCell ref="Z346:Z348"/>
    <mergeCell ref="AA346:AA348"/>
    <mergeCell ref="AB346:AB348"/>
    <mergeCell ref="AC346:AC348"/>
    <mergeCell ref="AD346:AD348"/>
    <mergeCell ref="AE346:AE348"/>
    <mergeCell ref="B349:B351"/>
    <mergeCell ref="C349:C351"/>
    <mergeCell ref="F349:F351"/>
    <mergeCell ref="Q349:Q351"/>
    <mergeCell ref="R349:R351"/>
    <mergeCell ref="S349:S351"/>
    <mergeCell ref="T349:T351"/>
    <mergeCell ref="U349:U351"/>
    <mergeCell ref="V349:V351"/>
    <mergeCell ref="W349:W351"/>
    <mergeCell ref="X349:X351"/>
    <mergeCell ref="Y349:Y351"/>
    <mergeCell ref="Z349:Z351"/>
    <mergeCell ref="AA349:AA351"/>
    <mergeCell ref="AB349:AB351"/>
    <mergeCell ref="AC349:AC351"/>
    <mergeCell ref="AD349:AD351"/>
    <mergeCell ref="AE349:AE351"/>
    <mergeCell ref="B352:B354"/>
    <mergeCell ref="C352:C354"/>
    <mergeCell ref="F352:F354"/>
    <mergeCell ref="Q352:Q354"/>
    <mergeCell ref="R352:R354"/>
    <mergeCell ref="S352:S354"/>
    <mergeCell ref="T352:T354"/>
    <mergeCell ref="U352:U354"/>
    <mergeCell ref="V352:V354"/>
    <mergeCell ref="W352:W354"/>
    <mergeCell ref="X352:X354"/>
    <mergeCell ref="Y352:Y354"/>
    <mergeCell ref="Z352:Z354"/>
    <mergeCell ref="AA352:AA354"/>
    <mergeCell ref="AB352:AB354"/>
    <mergeCell ref="AC352:AC354"/>
    <mergeCell ref="AD352:AD354"/>
    <mergeCell ref="AE352:AE354"/>
    <mergeCell ref="B355:B357"/>
    <mergeCell ref="C355:C357"/>
    <mergeCell ref="F355:F357"/>
    <mergeCell ref="Q355:Q357"/>
    <mergeCell ref="R355:R357"/>
    <mergeCell ref="S355:S357"/>
    <mergeCell ref="T355:T357"/>
    <mergeCell ref="U355:U357"/>
    <mergeCell ref="V355:V357"/>
    <mergeCell ref="W355:W357"/>
    <mergeCell ref="X355:X357"/>
    <mergeCell ref="Y355:Y357"/>
    <mergeCell ref="Z355:Z357"/>
    <mergeCell ref="AA355:AA357"/>
    <mergeCell ref="AB355:AB357"/>
    <mergeCell ref="AC355:AC357"/>
    <mergeCell ref="AD355:AD357"/>
    <mergeCell ref="AE355:AE357"/>
    <mergeCell ref="B358:B360"/>
    <mergeCell ref="C358:C360"/>
    <mergeCell ref="F358:F360"/>
    <mergeCell ref="Q358:Q360"/>
    <mergeCell ref="R358:R360"/>
    <mergeCell ref="S358:S360"/>
    <mergeCell ref="T358:T360"/>
    <mergeCell ref="U358:U360"/>
    <mergeCell ref="V358:V360"/>
    <mergeCell ref="W358:W360"/>
    <mergeCell ref="X358:X360"/>
    <mergeCell ref="Y358:Y360"/>
    <mergeCell ref="Z358:Z360"/>
    <mergeCell ref="AA358:AA360"/>
    <mergeCell ref="AB358:AB360"/>
    <mergeCell ref="AC358:AC360"/>
    <mergeCell ref="AD358:AD360"/>
    <mergeCell ref="AE358:AE360"/>
    <mergeCell ref="B361:B363"/>
    <mergeCell ref="C361:C363"/>
    <mergeCell ref="F361:F363"/>
    <mergeCell ref="Q361:Q363"/>
    <mergeCell ref="R361:R363"/>
    <mergeCell ref="S361:S363"/>
    <mergeCell ref="T361:T363"/>
    <mergeCell ref="U361:U363"/>
    <mergeCell ref="V361:V363"/>
    <mergeCell ref="W361:W363"/>
    <mergeCell ref="X361:X363"/>
    <mergeCell ref="Y361:Y363"/>
    <mergeCell ref="Z361:Z363"/>
    <mergeCell ref="AA361:AA363"/>
    <mergeCell ref="AB361:AB363"/>
    <mergeCell ref="AC361:AC363"/>
    <mergeCell ref="AD361:AD363"/>
    <mergeCell ref="AE361:AE363"/>
    <mergeCell ref="B364:B366"/>
    <mergeCell ref="C364:C366"/>
    <mergeCell ref="F364:F366"/>
    <mergeCell ref="Q364:Q366"/>
    <mergeCell ref="R364:R366"/>
    <mergeCell ref="S364:S366"/>
    <mergeCell ref="T364:T366"/>
    <mergeCell ref="U364:U366"/>
    <mergeCell ref="V364:V366"/>
    <mergeCell ref="W364:W366"/>
    <mergeCell ref="X364:X366"/>
    <mergeCell ref="Y364:Y366"/>
    <mergeCell ref="Z364:Z366"/>
    <mergeCell ref="AA364:AA366"/>
    <mergeCell ref="AB364:AB366"/>
    <mergeCell ref="AC364:AC366"/>
    <mergeCell ref="AD364:AD366"/>
    <mergeCell ref="AE364:AE366"/>
    <mergeCell ref="B367:B369"/>
    <mergeCell ref="C367:C369"/>
    <mergeCell ref="F367:F369"/>
    <mergeCell ref="Q367:Q369"/>
    <mergeCell ref="R367:R369"/>
    <mergeCell ref="S367:S369"/>
    <mergeCell ref="T367:T369"/>
    <mergeCell ref="U367:U369"/>
    <mergeCell ref="V367:V369"/>
    <mergeCell ref="W367:W369"/>
    <mergeCell ref="X367:X369"/>
    <mergeCell ref="Y367:Y369"/>
    <mergeCell ref="Z367:Z369"/>
    <mergeCell ref="AA367:AA369"/>
    <mergeCell ref="AB367:AB369"/>
    <mergeCell ref="AC367:AC369"/>
    <mergeCell ref="AD367:AD369"/>
    <mergeCell ref="AE367:AE369"/>
    <mergeCell ref="B370:B372"/>
    <mergeCell ref="C370:C372"/>
    <mergeCell ref="F370:F372"/>
    <mergeCell ref="Q370:Q372"/>
    <mergeCell ref="R370:R372"/>
    <mergeCell ref="S370:S372"/>
    <mergeCell ref="T370:T372"/>
    <mergeCell ref="U370:U372"/>
    <mergeCell ref="V370:V372"/>
    <mergeCell ref="W370:W372"/>
    <mergeCell ref="X370:X372"/>
    <mergeCell ref="Y370:Y372"/>
    <mergeCell ref="Z370:Z372"/>
    <mergeCell ref="AA370:AA372"/>
    <mergeCell ref="AB370:AB372"/>
    <mergeCell ref="AC370:AC372"/>
    <mergeCell ref="AD370:AD372"/>
    <mergeCell ref="AE370:AE372"/>
    <mergeCell ref="AE339:AE341"/>
    <mergeCell ref="AD339:AD341"/>
    <mergeCell ref="AC339:AC341"/>
    <mergeCell ref="AB339:AB341"/>
    <mergeCell ref="AA339:AA341"/>
    <mergeCell ref="Z339:Z341"/>
    <mergeCell ref="Y339:Y341"/>
    <mergeCell ref="X339:X341"/>
    <mergeCell ref="W339:W341"/>
    <mergeCell ref="V339:V341"/>
    <mergeCell ref="U339:U341"/>
    <mergeCell ref="T339:T341"/>
    <mergeCell ref="S339:S341"/>
    <mergeCell ref="R339:R341"/>
    <mergeCell ref="Q339:Q341"/>
    <mergeCell ref="F339:F341"/>
    <mergeCell ref="C339:C341"/>
    <mergeCell ref="B339:B341"/>
    <mergeCell ref="AE336:AE338"/>
    <mergeCell ref="AD336:AD338"/>
    <mergeCell ref="AC336:AC338"/>
    <mergeCell ref="AB336:AB338"/>
    <mergeCell ref="AA336:AA338"/>
    <mergeCell ref="Z336:Z338"/>
    <mergeCell ref="Y336:Y338"/>
    <mergeCell ref="X336:X338"/>
    <mergeCell ref="W336:W338"/>
    <mergeCell ref="V336:V338"/>
    <mergeCell ref="U336:U338"/>
    <mergeCell ref="T336:T338"/>
    <mergeCell ref="S336:S338"/>
    <mergeCell ref="R336:R338"/>
    <mergeCell ref="Q336:Q338"/>
    <mergeCell ref="F336:F338"/>
    <mergeCell ref="C336:C338"/>
    <mergeCell ref="B336:B338"/>
    <mergeCell ref="AE333:AE335"/>
    <mergeCell ref="AD333:AD335"/>
    <mergeCell ref="AC333:AC335"/>
    <mergeCell ref="AB333:AB335"/>
    <mergeCell ref="AA333:AA335"/>
    <mergeCell ref="Z333:Z335"/>
    <mergeCell ref="Y333:Y335"/>
    <mergeCell ref="X333:X335"/>
    <mergeCell ref="W333:W335"/>
    <mergeCell ref="V333:V335"/>
    <mergeCell ref="U333:U335"/>
    <mergeCell ref="T333:T335"/>
    <mergeCell ref="S333:S335"/>
    <mergeCell ref="R333:R335"/>
    <mergeCell ref="Q333:Q335"/>
    <mergeCell ref="F333:F335"/>
    <mergeCell ref="C333:C335"/>
    <mergeCell ref="B333:B335"/>
    <mergeCell ref="AE330:AE332"/>
    <mergeCell ref="AD330:AD332"/>
    <mergeCell ref="AC330:AC332"/>
    <mergeCell ref="AB330:AB332"/>
    <mergeCell ref="AA330:AA332"/>
    <mergeCell ref="Z330:Z332"/>
    <mergeCell ref="Y330:Y332"/>
    <mergeCell ref="X330:X332"/>
    <mergeCell ref="W330:W332"/>
    <mergeCell ref="V330:V332"/>
    <mergeCell ref="U330:U332"/>
    <mergeCell ref="T330:T332"/>
    <mergeCell ref="S330:S332"/>
    <mergeCell ref="R330:R332"/>
    <mergeCell ref="Q330:Q332"/>
    <mergeCell ref="F330:F332"/>
    <mergeCell ref="C330:C332"/>
    <mergeCell ref="B330:B332"/>
    <mergeCell ref="AE327:AE329"/>
    <mergeCell ref="AD327:AD329"/>
    <mergeCell ref="AC327:AC329"/>
    <mergeCell ref="AB327:AB329"/>
    <mergeCell ref="AA327:AA329"/>
    <mergeCell ref="Z327:Z329"/>
    <mergeCell ref="Y327:Y329"/>
    <mergeCell ref="X327:X329"/>
    <mergeCell ref="W327:W329"/>
    <mergeCell ref="V327:V329"/>
    <mergeCell ref="U327:U329"/>
    <mergeCell ref="T327:T329"/>
    <mergeCell ref="S327:S329"/>
    <mergeCell ref="R327:R329"/>
    <mergeCell ref="Q327:Q329"/>
    <mergeCell ref="F327:F329"/>
    <mergeCell ref="C327:C329"/>
    <mergeCell ref="B327:B329"/>
    <mergeCell ref="AE324:AE326"/>
    <mergeCell ref="AD324:AD326"/>
    <mergeCell ref="AC324:AC326"/>
    <mergeCell ref="AB324:AB326"/>
    <mergeCell ref="AA324:AA326"/>
    <mergeCell ref="Z324:Z326"/>
    <mergeCell ref="Y324:Y326"/>
    <mergeCell ref="X324:X326"/>
    <mergeCell ref="W324:W326"/>
    <mergeCell ref="V324:V326"/>
    <mergeCell ref="U324:U326"/>
    <mergeCell ref="T324:T326"/>
    <mergeCell ref="S324:S326"/>
    <mergeCell ref="R324:R326"/>
    <mergeCell ref="Q324:Q326"/>
    <mergeCell ref="F324:F326"/>
    <mergeCell ref="C324:C326"/>
    <mergeCell ref="B324:B326"/>
    <mergeCell ref="AE321:AE323"/>
    <mergeCell ref="AD321:AD323"/>
    <mergeCell ref="AC321:AC323"/>
    <mergeCell ref="AB321:AB323"/>
    <mergeCell ref="AA321:AA323"/>
    <mergeCell ref="Z321:Z323"/>
    <mergeCell ref="Y321:Y323"/>
    <mergeCell ref="X321:X323"/>
    <mergeCell ref="W321:W323"/>
    <mergeCell ref="V321:V323"/>
    <mergeCell ref="U321:U323"/>
    <mergeCell ref="T321:T323"/>
    <mergeCell ref="S321:S323"/>
    <mergeCell ref="R321:R323"/>
    <mergeCell ref="Q321:Q323"/>
    <mergeCell ref="F321:F323"/>
    <mergeCell ref="C321:C323"/>
    <mergeCell ref="B321:B323"/>
    <mergeCell ref="AE318:AE320"/>
    <mergeCell ref="AD318:AD320"/>
    <mergeCell ref="AC318:AC320"/>
    <mergeCell ref="AB318:AB320"/>
    <mergeCell ref="AA318:AA320"/>
    <mergeCell ref="Z318:Z320"/>
    <mergeCell ref="Y318:Y320"/>
    <mergeCell ref="X318:X320"/>
    <mergeCell ref="W318:W320"/>
    <mergeCell ref="V318:V320"/>
    <mergeCell ref="U318:U320"/>
    <mergeCell ref="T318:T320"/>
    <mergeCell ref="S318:S320"/>
    <mergeCell ref="R318:R320"/>
    <mergeCell ref="Q318:Q320"/>
    <mergeCell ref="F318:F320"/>
    <mergeCell ref="C318:C320"/>
    <mergeCell ref="B318:B320"/>
    <mergeCell ref="AE315:AE317"/>
    <mergeCell ref="AD315:AD317"/>
    <mergeCell ref="AC315:AC317"/>
    <mergeCell ref="AB315:AB317"/>
    <mergeCell ref="AA315:AA317"/>
    <mergeCell ref="Z315:Z317"/>
    <mergeCell ref="Y315:Y317"/>
    <mergeCell ref="X315:X317"/>
    <mergeCell ref="W315:W317"/>
    <mergeCell ref="V315:V317"/>
    <mergeCell ref="U315:U317"/>
    <mergeCell ref="T315:T317"/>
    <mergeCell ref="S315:S317"/>
    <mergeCell ref="R315:R317"/>
    <mergeCell ref="Q315:Q317"/>
    <mergeCell ref="F315:F317"/>
    <mergeCell ref="C315:C317"/>
    <mergeCell ref="B315:B317"/>
    <mergeCell ref="AE312:AE314"/>
    <mergeCell ref="AD312:AD314"/>
    <mergeCell ref="AC312:AC314"/>
    <mergeCell ref="AB312:AB314"/>
    <mergeCell ref="AA312:AA314"/>
    <mergeCell ref="Z312:Z314"/>
    <mergeCell ref="Y312:Y314"/>
    <mergeCell ref="X312:X314"/>
    <mergeCell ref="W312:W314"/>
    <mergeCell ref="V312:V314"/>
    <mergeCell ref="U312:U314"/>
    <mergeCell ref="T312:T314"/>
    <mergeCell ref="S312:S314"/>
    <mergeCell ref="R312:R314"/>
    <mergeCell ref="Q312:Q314"/>
    <mergeCell ref="F312:F314"/>
    <mergeCell ref="C312:C314"/>
    <mergeCell ref="B312:B314"/>
    <mergeCell ref="A312:A341"/>
    <mergeCell ref="A281:A310"/>
    <mergeCell ref="B281:B283"/>
    <mergeCell ref="C281:C283"/>
    <mergeCell ref="F281:F283"/>
    <mergeCell ref="Q281:Q283"/>
    <mergeCell ref="R281:R283"/>
    <mergeCell ref="S281:S283"/>
    <mergeCell ref="T281:T283"/>
    <mergeCell ref="U281:U283"/>
    <mergeCell ref="V281:V283"/>
    <mergeCell ref="W281:W283"/>
    <mergeCell ref="X281:X283"/>
    <mergeCell ref="Y281:Y283"/>
    <mergeCell ref="Z281:Z283"/>
    <mergeCell ref="AA281:AA283"/>
    <mergeCell ref="AB281:AB283"/>
    <mergeCell ref="AC281:AC283"/>
    <mergeCell ref="AD281:AD283"/>
    <mergeCell ref="AE281:AE283"/>
    <mergeCell ref="B284:B286"/>
    <mergeCell ref="C284:C286"/>
    <mergeCell ref="F284:F286"/>
    <mergeCell ref="Q284:Q286"/>
    <mergeCell ref="R284:R286"/>
    <mergeCell ref="S284:S286"/>
    <mergeCell ref="T284:T286"/>
    <mergeCell ref="U284:U286"/>
    <mergeCell ref="V284:V286"/>
    <mergeCell ref="W284:W286"/>
    <mergeCell ref="X284:X286"/>
    <mergeCell ref="Y284:Y286"/>
    <mergeCell ref="Z284:Z286"/>
    <mergeCell ref="AA284:AA286"/>
    <mergeCell ref="AB284:AB286"/>
    <mergeCell ref="AC284:AC286"/>
    <mergeCell ref="AD284:AD286"/>
    <mergeCell ref="AE284:AE286"/>
    <mergeCell ref="B287:B289"/>
    <mergeCell ref="C287:C289"/>
    <mergeCell ref="F287:F289"/>
    <mergeCell ref="Q287:Q289"/>
    <mergeCell ref="R287:R289"/>
    <mergeCell ref="S287:S289"/>
    <mergeCell ref="T287:T289"/>
    <mergeCell ref="U287:U289"/>
    <mergeCell ref="V287:V289"/>
    <mergeCell ref="W287:W289"/>
    <mergeCell ref="X287:X289"/>
    <mergeCell ref="Y287:Y289"/>
    <mergeCell ref="Z287:Z289"/>
    <mergeCell ref="AA287:AA289"/>
    <mergeCell ref="AB287:AB289"/>
    <mergeCell ref="AC287:AC289"/>
    <mergeCell ref="AD287:AD289"/>
    <mergeCell ref="AE287:AE289"/>
    <mergeCell ref="B290:B292"/>
    <mergeCell ref="C290:C292"/>
    <mergeCell ref="F290:F292"/>
    <mergeCell ref="Q290:Q292"/>
    <mergeCell ref="R290:R292"/>
    <mergeCell ref="S290:S292"/>
    <mergeCell ref="T290:T292"/>
    <mergeCell ref="U290:U292"/>
    <mergeCell ref="V290:V292"/>
    <mergeCell ref="W290:W292"/>
    <mergeCell ref="X290:X292"/>
    <mergeCell ref="Y290:Y292"/>
    <mergeCell ref="Z290:Z292"/>
    <mergeCell ref="AA290:AA292"/>
    <mergeCell ref="AB290:AB292"/>
    <mergeCell ref="AC290:AC292"/>
    <mergeCell ref="AD290:AD292"/>
    <mergeCell ref="AE290:AE292"/>
    <mergeCell ref="B293:B295"/>
    <mergeCell ref="C293:C295"/>
    <mergeCell ref="F293:F295"/>
    <mergeCell ref="Q293:Q295"/>
    <mergeCell ref="R293:R295"/>
    <mergeCell ref="S293:S295"/>
    <mergeCell ref="T293:T295"/>
    <mergeCell ref="U293:U295"/>
    <mergeCell ref="V293:V295"/>
    <mergeCell ref="W293:W295"/>
    <mergeCell ref="X293:X295"/>
    <mergeCell ref="Y293:Y295"/>
    <mergeCell ref="Z293:Z295"/>
    <mergeCell ref="AA293:AA295"/>
    <mergeCell ref="AB293:AB295"/>
    <mergeCell ref="AC293:AC295"/>
    <mergeCell ref="AD293:AD295"/>
    <mergeCell ref="AE293:AE295"/>
    <mergeCell ref="B296:B298"/>
    <mergeCell ref="C296:C298"/>
    <mergeCell ref="F296:F298"/>
    <mergeCell ref="Q296:Q298"/>
    <mergeCell ref="R296:R298"/>
    <mergeCell ref="S296:S298"/>
    <mergeCell ref="T296:T298"/>
    <mergeCell ref="U296:U298"/>
    <mergeCell ref="V296:V298"/>
    <mergeCell ref="W296:W298"/>
    <mergeCell ref="X296:X298"/>
    <mergeCell ref="Y296:Y298"/>
    <mergeCell ref="Z296:Z298"/>
    <mergeCell ref="AA296:AA298"/>
    <mergeCell ref="AB296:AB298"/>
    <mergeCell ref="AC296:AC298"/>
    <mergeCell ref="AD296:AD298"/>
    <mergeCell ref="AE296:AE298"/>
    <mergeCell ref="B299:B301"/>
    <mergeCell ref="C299:C301"/>
    <mergeCell ref="F299:F301"/>
    <mergeCell ref="Q299:Q301"/>
    <mergeCell ref="R299:R301"/>
    <mergeCell ref="S299:S301"/>
    <mergeCell ref="T299:T301"/>
    <mergeCell ref="U299:U301"/>
    <mergeCell ref="V299:V301"/>
    <mergeCell ref="W299:W301"/>
    <mergeCell ref="X299:X301"/>
    <mergeCell ref="Y299:Y301"/>
    <mergeCell ref="Z299:Z301"/>
    <mergeCell ref="AA299:AA301"/>
    <mergeCell ref="AB299:AB301"/>
    <mergeCell ref="AC299:AC301"/>
    <mergeCell ref="AD299:AD301"/>
    <mergeCell ref="AE299:AE301"/>
    <mergeCell ref="B302:B304"/>
    <mergeCell ref="C302:C304"/>
    <mergeCell ref="F302:F304"/>
    <mergeCell ref="Q302:Q304"/>
    <mergeCell ref="R302:R304"/>
    <mergeCell ref="S302:S304"/>
    <mergeCell ref="T302:T304"/>
    <mergeCell ref="U302:U304"/>
    <mergeCell ref="V302:V304"/>
    <mergeCell ref="W302:W304"/>
    <mergeCell ref="X302:X304"/>
    <mergeCell ref="Y302:Y304"/>
    <mergeCell ref="Z302:Z304"/>
    <mergeCell ref="AA302:AA304"/>
    <mergeCell ref="AB302:AB304"/>
    <mergeCell ref="AC302:AC304"/>
    <mergeCell ref="AD302:AD304"/>
    <mergeCell ref="AE302:AE304"/>
    <mergeCell ref="B305:B307"/>
    <mergeCell ref="C305:C307"/>
    <mergeCell ref="F305:F307"/>
    <mergeCell ref="Q305:Q307"/>
    <mergeCell ref="R305:R307"/>
    <mergeCell ref="S305:S307"/>
    <mergeCell ref="T305:T307"/>
    <mergeCell ref="U305:U307"/>
    <mergeCell ref="V305:V307"/>
    <mergeCell ref="W305:W307"/>
    <mergeCell ref="X305:X307"/>
    <mergeCell ref="Y305:Y307"/>
    <mergeCell ref="Z305:Z307"/>
    <mergeCell ref="AA305:AA307"/>
    <mergeCell ref="AB305:AB307"/>
    <mergeCell ref="AC305:AC307"/>
    <mergeCell ref="AD305:AD307"/>
    <mergeCell ref="AE305:AE307"/>
    <mergeCell ref="B308:B310"/>
    <mergeCell ref="C308:C310"/>
    <mergeCell ref="F308:F310"/>
    <mergeCell ref="Q308:Q310"/>
    <mergeCell ref="R308:R310"/>
    <mergeCell ref="S308:S310"/>
    <mergeCell ref="T308:T310"/>
    <mergeCell ref="U308:U310"/>
    <mergeCell ref="V308:V310"/>
    <mergeCell ref="W308:W310"/>
    <mergeCell ref="X308:X310"/>
    <mergeCell ref="Y308:Y310"/>
    <mergeCell ref="Z308:Z310"/>
    <mergeCell ref="AA308:AA310"/>
    <mergeCell ref="AB308:AB310"/>
    <mergeCell ref="AC308:AC310"/>
    <mergeCell ref="AD308:AD310"/>
    <mergeCell ref="AE308:AE310"/>
    <mergeCell ref="AE277:AE279"/>
    <mergeCell ref="AD277:AD279"/>
    <mergeCell ref="AC277:AC279"/>
    <mergeCell ref="AB277:AB279"/>
    <mergeCell ref="AA277:AA279"/>
    <mergeCell ref="Z277:Z279"/>
    <mergeCell ref="Y277:Y279"/>
    <mergeCell ref="X277:X279"/>
    <mergeCell ref="W277:W279"/>
    <mergeCell ref="V277:V279"/>
    <mergeCell ref="U277:U279"/>
    <mergeCell ref="T277:T279"/>
    <mergeCell ref="S277:S279"/>
    <mergeCell ref="R277:R279"/>
    <mergeCell ref="Q277:Q279"/>
    <mergeCell ref="F277:F279"/>
    <mergeCell ref="C277:C279"/>
    <mergeCell ref="B277:B279"/>
    <mergeCell ref="AE274:AE276"/>
    <mergeCell ref="AD274:AD276"/>
    <mergeCell ref="AC274:AC276"/>
    <mergeCell ref="AB274:AB276"/>
    <mergeCell ref="AA274:AA276"/>
    <mergeCell ref="Z274:Z276"/>
    <mergeCell ref="Y274:Y276"/>
    <mergeCell ref="X274:X276"/>
    <mergeCell ref="W274:W276"/>
    <mergeCell ref="V274:V276"/>
    <mergeCell ref="U274:U276"/>
    <mergeCell ref="T274:T276"/>
    <mergeCell ref="S274:S276"/>
    <mergeCell ref="R274:R276"/>
    <mergeCell ref="Q274:Q276"/>
    <mergeCell ref="F274:F276"/>
    <mergeCell ref="C274:C276"/>
    <mergeCell ref="B274:B276"/>
    <mergeCell ref="AE271:AE273"/>
    <mergeCell ref="AD271:AD273"/>
    <mergeCell ref="AC271:AC273"/>
    <mergeCell ref="AB271:AB273"/>
    <mergeCell ref="AA271:AA273"/>
    <mergeCell ref="Z271:Z273"/>
    <mergeCell ref="Y271:Y273"/>
    <mergeCell ref="X271:X273"/>
    <mergeCell ref="W271:W273"/>
    <mergeCell ref="V271:V273"/>
    <mergeCell ref="U271:U273"/>
    <mergeCell ref="T271:T273"/>
    <mergeCell ref="S271:S273"/>
    <mergeCell ref="R271:R273"/>
    <mergeCell ref="Q271:Q273"/>
    <mergeCell ref="F271:F273"/>
    <mergeCell ref="C271:C273"/>
    <mergeCell ref="B271:B273"/>
    <mergeCell ref="AE268:AE270"/>
    <mergeCell ref="AD268:AD270"/>
    <mergeCell ref="AC268:AC270"/>
    <mergeCell ref="AB268:AB270"/>
    <mergeCell ref="AA268:AA270"/>
    <mergeCell ref="Z268:Z270"/>
    <mergeCell ref="Y268:Y270"/>
    <mergeCell ref="X268:X270"/>
    <mergeCell ref="W268:W270"/>
    <mergeCell ref="V268:V270"/>
    <mergeCell ref="U268:U270"/>
    <mergeCell ref="T268:T270"/>
    <mergeCell ref="S268:S270"/>
    <mergeCell ref="R268:R270"/>
    <mergeCell ref="Q268:Q270"/>
    <mergeCell ref="F268:F270"/>
    <mergeCell ref="C268:C270"/>
    <mergeCell ref="B268:B270"/>
    <mergeCell ref="AE265:AE267"/>
    <mergeCell ref="AD265:AD267"/>
    <mergeCell ref="AC265:AC267"/>
    <mergeCell ref="AB265:AB267"/>
    <mergeCell ref="AA265:AA267"/>
    <mergeCell ref="Z265:Z267"/>
    <mergeCell ref="Y265:Y267"/>
    <mergeCell ref="X265:X267"/>
    <mergeCell ref="W265:W267"/>
    <mergeCell ref="V265:V267"/>
    <mergeCell ref="U265:U267"/>
    <mergeCell ref="T265:T267"/>
    <mergeCell ref="S265:S267"/>
    <mergeCell ref="R265:R267"/>
    <mergeCell ref="Q265:Q267"/>
    <mergeCell ref="F265:F267"/>
    <mergeCell ref="C265:C267"/>
    <mergeCell ref="B265:B267"/>
    <mergeCell ref="AE262:AE264"/>
    <mergeCell ref="AD262:AD264"/>
    <mergeCell ref="AC262:AC264"/>
    <mergeCell ref="AB262:AB264"/>
    <mergeCell ref="AA262:AA264"/>
    <mergeCell ref="Z262:Z264"/>
    <mergeCell ref="Y262:Y264"/>
    <mergeCell ref="X262:X264"/>
    <mergeCell ref="W262:W264"/>
    <mergeCell ref="V262:V264"/>
    <mergeCell ref="U262:U264"/>
    <mergeCell ref="T262:T264"/>
    <mergeCell ref="S262:S264"/>
    <mergeCell ref="R262:R264"/>
    <mergeCell ref="Q262:Q264"/>
    <mergeCell ref="F262:F264"/>
    <mergeCell ref="C262:C264"/>
    <mergeCell ref="B262:B264"/>
    <mergeCell ref="AE259:AE261"/>
    <mergeCell ref="AD259:AD261"/>
    <mergeCell ref="AC259:AC261"/>
    <mergeCell ref="AB259:AB261"/>
    <mergeCell ref="AA259:AA261"/>
    <mergeCell ref="Z259:Z261"/>
    <mergeCell ref="Y259:Y261"/>
    <mergeCell ref="X259:X261"/>
    <mergeCell ref="W259:W261"/>
    <mergeCell ref="V259:V261"/>
    <mergeCell ref="U259:U261"/>
    <mergeCell ref="T259:T261"/>
    <mergeCell ref="S259:S261"/>
    <mergeCell ref="R259:R261"/>
    <mergeCell ref="Q259:Q261"/>
    <mergeCell ref="F259:F261"/>
    <mergeCell ref="C259:C261"/>
    <mergeCell ref="B259:B261"/>
    <mergeCell ref="AE256:AE258"/>
    <mergeCell ref="AD256:AD258"/>
    <mergeCell ref="AC256:AC258"/>
    <mergeCell ref="AB256:AB258"/>
    <mergeCell ref="AA256:AA258"/>
    <mergeCell ref="Z256:Z258"/>
    <mergeCell ref="Y256:Y258"/>
    <mergeCell ref="X256:X258"/>
    <mergeCell ref="W256:W258"/>
    <mergeCell ref="V256:V258"/>
    <mergeCell ref="U256:U258"/>
    <mergeCell ref="T256:T258"/>
    <mergeCell ref="S256:S258"/>
    <mergeCell ref="R256:R258"/>
    <mergeCell ref="Q256:Q258"/>
    <mergeCell ref="F256:F258"/>
    <mergeCell ref="C256:C258"/>
    <mergeCell ref="B256:B258"/>
    <mergeCell ref="AE253:AE255"/>
    <mergeCell ref="AD253:AD255"/>
    <mergeCell ref="AC253:AC255"/>
    <mergeCell ref="AB253:AB255"/>
    <mergeCell ref="AA253:AA255"/>
    <mergeCell ref="Z253:Z255"/>
    <mergeCell ref="Y253:Y255"/>
    <mergeCell ref="X253:X255"/>
    <mergeCell ref="W253:W255"/>
    <mergeCell ref="V253:V255"/>
    <mergeCell ref="U253:U255"/>
    <mergeCell ref="T253:T255"/>
    <mergeCell ref="S253:S255"/>
    <mergeCell ref="R253:R255"/>
    <mergeCell ref="Q253:Q255"/>
    <mergeCell ref="F253:F255"/>
    <mergeCell ref="C253:C255"/>
    <mergeCell ref="B253:B255"/>
    <mergeCell ref="AE250:AE252"/>
    <mergeCell ref="AD250:AD252"/>
    <mergeCell ref="AC250:AC252"/>
    <mergeCell ref="AB250:AB252"/>
    <mergeCell ref="AA250:AA252"/>
    <mergeCell ref="Z250:Z252"/>
    <mergeCell ref="Y250:Y252"/>
    <mergeCell ref="X250:X252"/>
    <mergeCell ref="W250:W252"/>
    <mergeCell ref="V250:V252"/>
    <mergeCell ref="U250:U252"/>
    <mergeCell ref="T250:T252"/>
    <mergeCell ref="S250:S252"/>
    <mergeCell ref="R250:R252"/>
    <mergeCell ref="Q250:Q252"/>
    <mergeCell ref="F250:F252"/>
    <mergeCell ref="C250:C252"/>
    <mergeCell ref="B250:B252"/>
    <mergeCell ref="A250:A279"/>
    <mergeCell ref="A219:A248"/>
    <mergeCell ref="B219:B221"/>
    <mergeCell ref="C219:C221"/>
    <mergeCell ref="F219:F221"/>
    <mergeCell ref="Q219:Q221"/>
    <mergeCell ref="R219:R221"/>
    <mergeCell ref="S219:S221"/>
    <mergeCell ref="T219:T221"/>
    <mergeCell ref="U219:U221"/>
    <mergeCell ref="V219:V221"/>
    <mergeCell ref="W219:W221"/>
    <mergeCell ref="X219:X221"/>
    <mergeCell ref="Y219:Y221"/>
    <mergeCell ref="Z219:Z221"/>
    <mergeCell ref="AA219:AA221"/>
    <mergeCell ref="AB219:AB221"/>
    <mergeCell ref="AC219:AC221"/>
    <mergeCell ref="AD219:AD221"/>
    <mergeCell ref="AE219:AE221"/>
    <mergeCell ref="B222:B224"/>
    <mergeCell ref="C222:C224"/>
    <mergeCell ref="F222:F224"/>
    <mergeCell ref="Q222:Q224"/>
    <mergeCell ref="R222:R224"/>
    <mergeCell ref="S222:S224"/>
    <mergeCell ref="T222:T224"/>
    <mergeCell ref="U222:U224"/>
    <mergeCell ref="V222:V224"/>
    <mergeCell ref="W222:W224"/>
    <mergeCell ref="X222:X224"/>
    <mergeCell ref="Y222:Y224"/>
    <mergeCell ref="Z222:Z224"/>
    <mergeCell ref="AA222:AA224"/>
    <mergeCell ref="AB222:AB224"/>
    <mergeCell ref="AC222:AC224"/>
    <mergeCell ref="AD222:AD224"/>
    <mergeCell ref="AE222:AE224"/>
    <mergeCell ref="B225:B227"/>
    <mergeCell ref="C225:C227"/>
    <mergeCell ref="F225:F227"/>
    <mergeCell ref="Q225:Q227"/>
    <mergeCell ref="R225:R227"/>
    <mergeCell ref="S225:S227"/>
    <mergeCell ref="T225:T227"/>
    <mergeCell ref="U225:U227"/>
    <mergeCell ref="V225:V227"/>
    <mergeCell ref="W225:W227"/>
    <mergeCell ref="X225:X227"/>
    <mergeCell ref="Y225:Y227"/>
    <mergeCell ref="Z225:Z227"/>
    <mergeCell ref="AA225:AA227"/>
    <mergeCell ref="AB225:AB227"/>
    <mergeCell ref="AC225:AC227"/>
    <mergeCell ref="AD225:AD227"/>
    <mergeCell ref="AE225:AE227"/>
    <mergeCell ref="B228:B230"/>
    <mergeCell ref="C228:C230"/>
    <mergeCell ref="F228:F230"/>
    <mergeCell ref="Q228:Q230"/>
    <mergeCell ref="R228:R230"/>
    <mergeCell ref="S228:S230"/>
    <mergeCell ref="T228:T230"/>
    <mergeCell ref="U228:U230"/>
    <mergeCell ref="V228:V230"/>
    <mergeCell ref="W228:W230"/>
    <mergeCell ref="X228:X230"/>
    <mergeCell ref="Y228:Y230"/>
    <mergeCell ref="Z228:Z230"/>
    <mergeCell ref="AA228:AA230"/>
    <mergeCell ref="AB228:AB230"/>
    <mergeCell ref="AC228:AC230"/>
    <mergeCell ref="AD228:AD230"/>
    <mergeCell ref="AE228:AE230"/>
    <mergeCell ref="B231:B233"/>
    <mergeCell ref="C231:C233"/>
    <mergeCell ref="F231:F233"/>
    <mergeCell ref="Q231:Q233"/>
    <mergeCell ref="R231:R233"/>
    <mergeCell ref="S231:S233"/>
    <mergeCell ref="T231:T233"/>
    <mergeCell ref="U231:U233"/>
    <mergeCell ref="V231:V233"/>
    <mergeCell ref="W231:W233"/>
    <mergeCell ref="X231:X233"/>
    <mergeCell ref="Y231:Y233"/>
    <mergeCell ref="Z231:Z233"/>
    <mergeCell ref="AA231:AA233"/>
    <mergeCell ref="AB231:AB233"/>
    <mergeCell ref="AC231:AC233"/>
    <mergeCell ref="AD231:AD233"/>
    <mergeCell ref="AE231:AE233"/>
    <mergeCell ref="B234:B236"/>
    <mergeCell ref="C234:C236"/>
    <mergeCell ref="F234:F236"/>
    <mergeCell ref="Q234:Q236"/>
    <mergeCell ref="R234:R236"/>
    <mergeCell ref="S234:S236"/>
    <mergeCell ref="T234:T236"/>
    <mergeCell ref="U234:U236"/>
    <mergeCell ref="V234:V236"/>
    <mergeCell ref="W234:W236"/>
    <mergeCell ref="X234:X236"/>
    <mergeCell ref="Y234:Y236"/>
    <mergeCell ref="Z234:Z236"/>
    <mergeCell ref="AA234:AA236"/>
    <mergeCell ref="AB234:AB236"/>
    <mergeCell ref="AC234:AC236"/>
    <mergeCell ref="AD234:AD236"/>
    <mergeCell ref="AE234:AE236"/>
    <mergeCell ref="B237:B239"/>
    <mergeCell ref="C237:C239"/>
    <mergeCell ref="F237:F239"/>
    <mergeCell ref="Q237:Q239"/>
    <mergeCell ref="R237:R239"/>
    <mergeCell ref="S237:S239"/>
    <mergeCell ref="T237:T239"/>
    <mergeCell ref="U237:U239"/>
    <mergeCell ref="V237:V239"/>
    <mergeCell ref="W237:W239"/>
    <mergeCell ref="X237:X239"/>
    <mergeCell ref="Y237:Y239"/>
    <mergeCell ref="Z237:Z239"/>
    <mergeCell ref="AA237:AA239"/>
    <mergeCell ref="AB237:AB239"/>
    <mergeCell ref="AC237:AC239"/>
    <mergeCell ref="AD237:AD239"/>
    <mergeCell ref="AE237:AE239"/>
    <mergeCell ref="B240:B242"/>
    <mergeCell ref="C240:C242"/>
    <mergeCell ref="F240:F242"/>
    <mergeCell ref="Q240:Q242"/>
    <mergeCell ref="R240:R242"/>
    <mergeCell ref="S240:S242"/>
    <mergeCell ref="T240:T242"/>
    <mergeCell ref="U240:U242"/>
    <mergeCell ref="V240:V242"/>
    <mergeCell ref="W240:W242"/>
    <mergeCell ref="X240:X242"/>
    <mergeCell ref="Y240:Y242"/>
    <mergeCell ref="Z240:Z242"/>
    <mergeCell ref="AA240:AA242"/>
    <mergeCell ref="AB240:AB242"/>
    <mergeCell ref="AC240:AC242"/>
    <mergeCell ref="AD240:AD242"/>
    <mergeCell ref="AE240:AE242"/>
    <mergeCell ref="B243:B245"/>
    <mergeCell ref="C243:C245"/>
    <mergeCell ref="F243:F245"/>
    <mergeCell ref="Q243:Q245"/>
    <mergeCell ref="R243:R245"/>
    <mergeCell ref="S243:S245"/>
    <mergeCell ref="T243:T245"/>
    <mergeCell ref="U243:U245"/>
    <mergeCell ref="V243:V245"/>
    <mergeCell ref="W243:W245"/>
    <mergeCell ref="X243:X245"/>
    <mergeCell ref="Y243:Y245"/>
    <mergeCell ref="Z243:Z245"/>
    <mergeCell ref="AA243:AA245"/>
    <mergeCell ref="AB243:AB245"/>
    <mergeCell ref="AC243:AC245"/>
    <mergeCell ref="AD243:AD245"/>
    <mergeCell ref="AE243:AE245"/>
    <mergeCell ref="B246:B248"/>
    <mergeCell ref="C246:C248"/>
    <mergeCell ref="F246:F248"/>
    <mergeCell ref="Q246:Q248"/>
    <mergeCell ref="R246:R248"/>
    <mergeCell ref="S246:S248"/>
    <mergeCell ref="T246:T248"/>
    <mergeCell ref="U246:U248"/>
    <mergeCell ref="V246:V248"/>
    <mergeCell ref="W246:W248"/>
    <mergeCell ref="X246:X248"/>
    <mergeCell ref="Y246:Y248"/>
    <mergeCell ref="Z246:Z248"/>
    <mergeCell ref="AA246:AA248"/>
    <mergeCell ref="AB246:AB248"/>
    <mergeCell ref="AC246:AC248"/>
    <mergeCell ref="AD246:AD248"/>
    <mergeCell ref="AE246:AE248"/>
    <mergeCell ref="AE215:AE217"/>
    <mergeCell ref="AD215:AD217"/>
    <mergeCell ref="AC215:AC217"/>
    <mergeCell ref="AB215:AB217"/>
    <mergeCell ref="AA215:AA217"/>
    <mergeCell ref="Z215:Z217"/>
    <mergeCell ref="Y215:Y217"/>
    <mergeCell ref="X215:X217"/>
    <mergeCell ref="W215:W217"/>
    <mergeCell ref="V215:V217"/>
    <mergeCell ref="U215:U217"/>
    <mergeCell ref="T215:T217"/>
    <mergeCell ref="S215:S217"/>
    <mergeCell ref="R215:R217"/>
    <mergeCell ref="Q215:Q217"/>
    <mergeCell ref="F215:F217"/>
    <mergeCell ref="C215:C217"/>
    <mergeCell ref="B215:B217"/>
    <mergeCell ref="AE212:AE214"/>
    <mergeCell ref="AD212:AD214"/>
    <mergeCell ref="AC212:AC214"/>
    <mergeCell ref="AB212:AB214"/>
    <mergeCell ref="AA212:AA214"/>
    <mergeCell ref="Z212:Z214"/>
    <mergeCell ref="Y212:Y214"/>
    <mergeCell ref="X212:X214"/>
    <mergeCell ref="W212:W214"/>
    <mergeCell ref="V212:V214"/>
    <mergeCell ref="U212:U214"/>
    <mergeCell ref="T212:T214"/>
    <mergeCell ref="S212:S214"/>
    <mergeCell ref="R212:R214"/>
    <mergeCell ref="Q212:Q214"/>
    <mergeCell ref="F212:F214"/>
    <mergeCell ref="C212:C214"/>
    <mergeCell ref="B212:B214"/>
    <mergeCell ref="AE209:AE211"/>
    <mergeCell ref="AD209:AD211"/>
    <mergeCell ref="AC209:AC211"/>
    <mergeCell ref="AB209:AB211"/>
    <mergeCell ref="AA209:AA211"/>
    <mergeCell ref="Z209:Z211"/>
    <mergeCell ref="Y209:Y211"/>
    <mergeCell ref="X209:X211"/>
    <mergeCell ref="W209:W211"/>
    <mergeCell ref="V209:V211"/>
    <mergeCell ref="U209:U211"/>
    <mergeCell ref="T209:T211"/>
    <mergeCell ref="S209:S211"/>
    <mergeCell ref="R209:R211"/>
    <mergeCell ref="Q209:Q211"/>
    <mergeCell ref="F209:F211"/>
    <mergeCell ref="C209:C211"/>
    <mergeCell ref="B209:B211"/>
    <mergeCell ref="AE206:AE208"/>
    <mergeCell ref="AD206:AD208"/>
    <mergeCell ref="AC206:AC208"/>
    <mergeCell ref="AB206:AB208"/>
    <mergeCell ref="AA206:AA208"/>
    <mergeCell ref="Z206:Z208"/>
    <mergeCell ref="Y206:Y208"/>
    <mergeCell ref="X206:X208"/>
    <mergeCell ref="W206:W208"/>
    <mergeCell ref="V206:V208"/>
    <mergeCell ref="U206:U208"/>
    <mergeCell ref="T206:T208"/>
    <mergeCell ref="S206:S208"/>
    <mergeCell ref="R206:R208"/>
    <mergeCell ref="Q206:Q208"/>
    <mergeCell ref="F206:F208"/>
    <mergeCell ref="C206:C208"/>
    <mergeCell ref="B206:B208"/>
    <mergeCell ref="AE203:AE205"/>
    <mergeCell ref="AD203:AD205"/>
    <mergeCell ref="AC203:AC205"/>
    <mergeCell ref="AB203:AB205"/>
    <mergeCell ref="AA203:AA205"/>
    <mergeCell ref="Z203:Z205"/>
    <mergeCell ref="Y203:Y205"/>
    <mergeCell ref="X203:X205"/>
    <mergeCell ref="W203:W205"/>
    <mergeCell ref="V203:V205"/>
    <mergeCell ref="U203:U205"/>
    <mergeCell ref="T203:T205"/>
    <mergeCell ref="S203:S205"/>
    <mergeCell ref="R203:R205"/>
    <mergeCell ref="Q203:Q205"/>
    <mergeCell ref="F203:F205"/>
    <mergeCell ref="C203:C205"/>
    <mergeCell ref="B203:B205"/>
    <mergeCell ref="AE200:AE202"/>
    <mergeCell ref="AD200:AD202"/>
    <mergeCell ref="AC200:AC202"/>
    <mergeCell ref="AB200:AB202"/>
    <mergeCell ref="AA200:AA202"/>
    <mergeCell ref="Z200:Z202"/>
    <mergeCell ref="Y200:Y202"/>
    <mergeCell ref="X200:X202"/>
    <mergeCell ref="W200:W202"/>
    <mergeCell ref="V200:V202"/>
    <mergeCell ref="U200:U202"/>
    <mergeCell ref="T200:T202"/>
    <mergeCell ref="S200:S202"/>
    <mergeCell ref="R200:R202"/>
    <mergeCell ref="Q200:Q202"/>
    <mergeCell ref="F200:F202"/>
    <mergeCell ref="C200:C202"/>
    <mergeCell ref="B200:B202"/>
    <mergeCell ref="AE197:AE199"/>
    <mergeCell ref="AD197:AD199"/>
    <mergeCell ref="AC197:AC199"/>
    <mergeCell ref="AB197:AB199"/>
    <mergeCell ref="AA197:AA199"/>
    <mergeCell ref="Z197:Z199"/>
    <mergeCell ref="Y197:Y199"/>
    <mergeCell ref="X197:X199"/>
    <mergeCell ref="W197:W199"/>
    <mergeCell ref="V197:V199"/>
    <mergeCell ref="U197:U199"/>
    <mergeCell ref="T197:T199"/>
    <mergeCell ref="S197:S199"/>
    <mergeCell ref="R197:R199"/>
    <mergeCell ref="Q197:Q199"/>
    <mergeCell ref="F197:F199"/>
    <mergeCell ref="C197:C199"/>
    <mergeCell ref="B197:B199"/>
    <mergeCell ref="AE194:AE196"/>
    <mergeCell ref="AD194:AD196"/>
    <mergeCell ref="AC194:AC196"/>
    <mergeCell ref="AB194:AB196"/>
    <mergeCell ref="AA194:AA196"/>
    <mergeCell ref="Z194:Z196"/>
    <mergeCell ref="Y194:Y196"/>
    <mergeCell ref="X194:X196"/>
    <mergeCell ref="W194:W196"/>
    <mergeCell ref="V194:V196"/>
    <mergeCell ref="U194:U196"/>
    <mergeCell ref="T194:T196"/>
    <mergeCell ref="S194:S196"/>
    <mergeCell ref="R194:R196"/>
    <mergeCell ref="Q194:Q196"/>
    <mergeCell ref="F194:F196"/>
    <mergeCell ref="C194:C196"/>
    <mergeCell ref="B194:B196"/>
    <mergeCell ref="AE191:AE193"/>
    <mergeCell ref="AD191:AD193"/>
    <mergeCell ref="AC191:AC193"/>
    <mergeCell ref="AB191:AB193"/>
    <mergeCell ref="AA191:AA193"/>
    <mergeCell ref="Z191:Z193"/>
    <mergeCell ref="Y191:Y193"/>
    <mergeCell ref="X191:X193"/>
    <mergeCell ref="W191:W193"/>
    <mergeCell ref="V191:V193"/>
    <mergeCell ref="U191:U193"/>
    <mergeCell ref="T191:T193"/>
    <mergeCell ref="S191:S193"/>
    <mergeCell ref="R191:R193"/>
    <mergeCell ref="Q191:Q193"/>
    <mergeCell ref="F191:F193"/>
    <mergeCell ref="C191:C193"/>
    <mergeCell ref="B191:B193"/>
    <mergeCell ref="AE188:AE190"/>
    <mergeCell ref="AD188:AD190"/>
    <mergeCell ref="AC188:AC190"/>
    <mergeCell ref="AB188:AB190"/>
    <mergeCell ref="AA188:AA190"/>
    <mergeCell ref="Z188:Z190"/>
    <mergeCell ref="Y188:Y190"/>
    <mergeCell ref="X188:X190"/>
    <mergeCell ref="W188:W190"/>
    <mergeCell ref="V188:V190"/>
    <mergeCell ref="U188:U190"/>
    <mergeCell ref="T188:T190"/>
    <mergeCell ref="S188:S190"/>
    <mergeCell ref="R188:R190"/>
    <mergeCell ref="Q188:Q190"/>
    <mergeCell ref="F188:F190"/>
    <mergeCell ref="C188:C190"/>
    <mergeCell ref="B188:B190"/>
    <mergeCell ref="A188:A217"/>
    <mergeCell ref="A157:A186"/>
    <mergeCell ref="B157:B159"/>
    <mergeCell ref="C157:C159"/>
    <mergeCell ref="F157:F159"/>
    <mergeCell ref="Q157:Q159"/>
    <mergeCell ref="R157:R159"/>
    <mergeCell ref="S157:S159"/>
    <mergeCell ref="T157:T159"/>
    <mergeCell ref="U157:U159"/>
    <mergeCell ref="V157:V159"/>
    <mergeCell ref="W157:W159"/>
    <mergeCell ref="X157:X159"/>
    <mergeCell ref="Y157:Y159"/>
    <mergeCell ref="Z157:Z159"/>
    <mergeCell ref="AA157:AA159"/>
    <mergeCell ref="AB157:AB159"/>
    <mergeCell ref="AC157:AC159"/>
    <mergeCell ref="AD157:AD159"/>
    <mergeCell ref="AE157:AE159"/>
    <mergeCell ref="B160:B162"/>
    <mergeCell ref="C160:C162"/>
    <mergeCell ref="F160:F162"/>
    <mergeCell ref="Q160:Q162"/>
    <mergeCell ref="R160:R162"/>
    <mergeCell ref="S160:S162"/>
    <mergeCell ref="T160:T162"/>
    <mergeCell ref="U160:U162"/>
    <mergeCell ref="V160:V162"/>
    <mergeCell ref="W160:W162"/>
    <mergeCell ref="X160:X162"/>
    <mergeCell ref="Y160:Y162"/>
    <mergeCell ref="Z160:Z162"/>
    <mergeCell ref="AA160:AA162"/>
    <mergeCell ref="AB160:AB162"/>
    <mergeCell ref="AC160:AC162"/>
    <mergeCell ref="AD160:AD162"/>
    <mergeCell ref="AE160:AE162"/>
    <mergeCell ref="B163:B165"/>
    <mergeCell ref="C163:C165"/>
    <mergeCell ref="F163:F165"/>
    <mergeCell ref="Q163:Q165"/>
    <mergeCell ref="R163:R165"/>
    <mergeCell ref="S163:S165"/>
    <mergeCell ref="T163:T165"/>
    <mergeCell ref="U163:U165"/>
    <mergeCell ref="V163:V165"/>
    <mergeCell ref="W163:W165"/>
    <mergeCell ref="X163:X165"/>
    <mergeCell ref="Y163:Y165"/>
    <mergeCell ref="Z163:Z165"/>
    <mergeCell ref="AA163:AA165"/>
    <mergeCell ref="AB163:AB165"/>
    <mergeCell ref="AC163:AC165"/>
    <mergeCell ref="AD163:AD165"/>
    <mergeCell ref="AE163:AE165"/>
    <mergeCell ref="B166:B168"/>
    <mergeCell ref="C166:C168"/>
    <mergeCell ref="F166:F168"/>
    <mergeCell ref="Q166:Q168"/>
    <mergeCell ref="R166:R168"/>
    <mergeCell ref="S166:S168"/>
    <mergeCell ref="T166:T168"/>
    <mergeCell ref="U166:U168"/>
    <mergeCell ref="V166:V168"/>
    <mergeCell ref="W166:W168"/>
    <mergeCell ref="X166:X168"/>
    <mergeCell ref="Y166:Y168"/>
    <mergeCell ref="Z166:Z168"/>
    <mergeCell ref="AA166:AA168"/>
    <mergeCell ref="AB166:AB168"/>
    <mergeCell ref="AC166:AC168"/>
    <mergeCell ref="AD166:AD168"/>
    <mergeCell ref="AE166:AE168"/>
    <mergeCell ref="B169:B171"/>
    <mergeCell ref="C169:C171"/>
    <mergeCell ref="F169:F171"/>
    <mergeCell ref="Q169:Q171"/>
    <mergeCell ref="R169:R171"/>
    <mergeCell ref="S169:S171"/>
    <mergeCell ref="T169:T171"/>
    <mergeCell ref="U169:U171"/>
    <mergeCell ref="V169:V171"/>
    <mergeCell ref="W169:W171"/>
    <mergeCell ref="X169:X171"/>
    <mergeCell ref="Y169:Y171"/>
    <mergeCell ref="Z169:Z171"/>
    <mergeCell ref="AA169:AA171"/>
    <mergeCell ref="AB169:AB171"/>
    <mergeCell ref="AC169:AC171"/>
    <mergeCell ref="AD169:AD171"/>
    <mergeCell ref="AE169:AE171"/>
    <mergeCell ref="B172:B174"/>
    <mergeCell ref="C172:C174"/>
    <mergeCell ref="F172:F174"/>
    <mergeCell ref="Q172:Q174"/>
    <mergeCell ref="R172:R174"/>
    <mergeCell ref="S172:S174"/>
    <mergeCell ref="T172:T174"/>
    <mergeCell ref="U172:U174"/>
    <mergeCell ref="V172:V174"/>
    <mergeCell ref="W172:W174"/>
    <mergeCell ref="X172:X174"/>
    <mergeCell ref="Y172:Y174"/>
    <mergeCell ref="Z172:Z174"/>
    <mergeCell ref="AA172:AA174"/>
    <mergeCell ref="AB172:AB174"/>
    <mergeCell ref="AC172:AC174"/>
    <mergeCell ref="AD172:AD174"/>
    <mergeCell ref="AE172:AE174"/>
    <mergeCell ref="B175:B177"/>
    <mergeCell ref="C175:C177"/>
    <mergeCell ref="F175:F177"/>
    <mergeCell ref="Q175:Q177"/>
    <mergeCell ref="R175:R177"/>
    <mergeCell ref="S175:S177"/>
    <mergeCell ref="T175:T177"/>
    <mergeCell ref="U175:U177"/>
    <mergeCell ref="V175:V177"/>
    <mergeCell ref="W175:W177"/>
    <mergeCell ref="X175:X177"/>
    <mergeCell ref="Y175:Y177"/>
    <mergeCell ref="Z175:Z177"/>
    <mergeCell ref="AA175:AA177"/>
    <mergeCell ref="AB175:AB177"/>
    <mergeCell ref="AC175:AC177"/>
    <mergeCell ref="AD175:AD177"/>
    <mergeCell ref="AE175:AE177"/>
    <mergeCell ref="B178:B180"/>
    <mergeCell ref="C178:C180"/>
    <mergeCell ref="F178:F180"/>
    <mergeCell ref="Q178:Q180"/>
    <mergeCell ref="R178:R180"/>
    <mergeCell ref="S178:S180"/>
    <mergeCell ref="T178:T180"/>
    <mergeCell ref="U178:U180"/>
    <mergeCell ref="V178:V180"/>
    <mergeCell ref="W178:W180"/>
    <mergeCell ref="X178:X180"/>
    <mergeCell ref="Y178:Y180"/>
    <mergeCell ref="Z178:Z180"/>
    <mergeCell ref="AA178:AA180"/>
    <mergeCell ref="AB178:AB180"/>
    <mergeCell ref="AC178:AC180"/>
    <mergeCell ref="AD178:AD180"/>
    <mergeCell ref="AE178:AE180"/>
    <mergeCell ref="B181:B183"/>
    <mergeCell ref="C181:C183"/>
    <mergeCell ref="F181:F183"/>
    <mergeCell ref="Q181:Q183"/>
    <mergeCell ref="R181:R183"/>
    <mergeCell ref="S181:S183"/>
    <mergeCell ref="T181:T183"/>
    <mergeCell ref="U181:U183"/>
    <mergeCell ref="V181:V183"/>
    <mergeCell ref="W181:W183"/>
    <mergeCell ref="X181:X183"/>
    <mergeCell ref="Y181:Y183"/>
    <mergeCell ref="Z181:Z183"/>
    <mergeCell ref="AA181:AA183"/>
    <mergeCell ref="AB181:AB183"/>
    <mergeCell ref="AC181:AC183"/>
    <mergeCell ref="AD181:AD183"/>
    <mergeCell ref="AE181:AE183"/>
    <mergeCell ref="B184:B186"/>
    <mergeCell ref="C184:C186"/>
    <mergeCell ref="F184:F186"/>
    <mergeCell ref="Q184:Q186"/>
    <mergeCell ref="R184:R186"/>
    <mergeCell ref="S184:S186"/>
    <mergeCell ref="T184:T186"/>
    <mergeCell ref="U184:U186"/>
    <mergeCell ref="V184:V186"/>
    <mergeCell ref="W184:W186"/>
    <mergeCell ref="X184:X186"/>
    <mergeCell ref="Y184:Y186"/>
    <mergeCell ref="Z184:Z186"/>
    <mergeCell ref="AA184:AA186"/>
    <mergeCell ref="AB184:AB186"/>
    <mergeCell ref="AC184:AC186"/>
    <mergeCell ref="AD184:AD186"/>
    <mergeCell ref="AE184:AE186"/>
    <mergeCell ref="AE153:AE155"/>
    <mergeCell ref="AD153:AD155"/>
    <mergeCell ref="AC153:AC155"/>
    <mergeCell ref="AB153:AB155"/>
    <mergeCell ref="AA153:AA155"/>
    <mergeCell ref="Z153:Z155"/>
    <mergeCell ref="Y153:Y155"/>
    <mergeCell ref="X153:X155"/>
    <mergeCell ref="W153:W155"/>
    <mergeCell ref="V153:V155"/>
    <mergeCell ref="U153:U155"/>
    <mergeCell ref="T153:T155"/>
    <mergeCell ref="S153:S155"/>
    <mergeCell ref="R153:R155"/>
    <mergeCell ref="Q153:Q155"/>
    <mergeCell ref="F153:F155"/>
    <mergeCell ref="C153:C155"/>
    <mergeCell ref="B153:B155"/>
    <mergeCell ref="AE150:AE152"/>
    <mergeCell ref="AD150:AD152"/>
    <mergeCell ref="AC150:AC152"/>
    <mergeCell ref="AB150:AB152"/>
    <mergeCell ref="AA150:AA152"/>
    <mergeCell ref="Z150:Z152"/>
    <mergeCell ref="Y150:Y152"/>
    <mergeCell ref="X150:X152"/>
    <mergeCell ref="W150:W152"/>
    <mergeCell ref="V150:V152"/>
    <mergeCell ref="U150:U152"/>
    <mergeCell ref="T150:T152"/>
    <mergeCell ref="S150:S152"/>
    <mergeCell ref="R150:R152"/>
    <mergeCell ref="Q150:Q152"/>
    <mergeCell ref="F150:F152"/>
    <mergeCell ref="C150:C152"/>
    <mergeCell ref="B150:B152"/>
    <mergeCell ref="AE147:AE149"/>
    <mergeCell ref="AD147:AD149"/>
    <mergeCell ref="AC147:AC149"/>
    <mergeCell ref="AB147:AB149"/>
    <mergeCell ref="AA147:AA149"/>
    <mergeCell ref="Z147:Z149"/>
    <mergeCell ref="Y147:Y149"/>
    <mergeCell ref="X147:X149"/>
    <mergeCell ref="W147:W149"/>
    <mergeCell ref="V147:V149"/>
    <mergeCell ref="U147:U149"/>
    <mergeCell ref="T147:T149"/>
    <mergeCell ref="S147:S149"/>
    <mergeCell ref="R147:R149"/>
    <mergeCell ref="Q147:Q149"/>
    <mergeCell ref="F147:F149"/>
    <mergeCell ref="C147:C149"/>
    <mergeCell ref="B147:B149"/>
    <mergeCell ref="AE144:AE146"/>
    <mergeCell ref="AD144:AD146"/>
    <mergeCell ref="AC144:AC146"/>
    <mergeCell ref="AB144:AB146"/>
    <mergeCell ref="AA144:AA146"/>
    <mergeCell ref="Z144:Z146"/>
    <mergeCell ref="Y144:Y146"/>
    <mergeCell ref="X144:X146"/>
    <mergeCell ref="W144:W146"/>
    <mergeCell ref="V144:V146"/>
    <mergeCell ref="U144:U146"/>
    <mergeCell ref="T144:T146"/>
    <mergeCell ref="S144:S146"/>
    <mergeCell ref="R144:R146"/>
    <mergeCell ref="Q144:Q146"/>
    <mergeCell ref="F144:F146"/>
    <mergeCell ref="C144:C146"/>
    <mergeCell ref="B144:B146"/>
    <mergeCell ref="AE141:AE143"/>
    <mergeCell ref="AD141:AD143"/>
    <mergeCell ref="AC141:AC143"/>
    <mergeCell ref="AB141:AB143"/>
    <mergeCell ref="AA141:AA143"/>
    <mergeCell ref="Z141:Z143"/>
    <mergeCell ref="Y141:Y143"/>
    <mergeCell ref="X141:X143"/>
    <mergeCell ref="W141:W143"/>
    <mergeCell ref="V141:V143"/>
    <mergeCell ref="U141:U143"/>
    <mergeCell ref="T141:T143"/>
    <mergeCell ref="S141:S143"/>
    <mergeCell ref="R141:R143"/>
    <mergeCell ref="Q141:Q143"/>
    <mergeCell ref="F141:F143"/>
    <mergeCell ref="C141:C143"/>
    <mergeCell ref="B141:B143"/>
    <mergeCell ref="AE138:AE140"/>
    <mergeCell ref="AD138:AD140"/>
    <mergeCell ref="AC138:AC140"/>
    <mergeCell ref="AB138:AB140"/>
    <mergeCell ref="AA138:AA140"/>
    <mergeCell ref="Z138:Z140"/>
    <mergeCell ref="Y138:Y140"/>
    <mergeCell ref="X138:X140"/>
    <mergeCell ref="W138:W140"/>
    <mergeCell ref="V138:V140"/>
    <mergeCell ref="U138:U140"/>
    <mergeCell ref="T138:T140"/>
    <mergeCell ref="S138:S140"/>
    <mergeCell ref="R138:R140"/>
    <mergeCell ref="Q138:Q140"/>
    <mergeCell ref="F138:F140"/>
    <mergeCell ref="C138:C140"/>
    <mergeCell ref="B138:B140"/>
    <mergeCell ref="AE135:AE137"/>
    <mergeCell ref="AD135:AD137"/>
    <mergeCell ref="AC135:AC137"/>
    <mergeCell ref="AB135:AB137"/>
    <mergeCell ref="AA135:AA137"/>
    <mergeCell ref="Z135:Z137"/>
    <mergeCell ref="Y135:Y137"/>
    <mergeCell ref="X135:X137"/>
    <mergeCell ref="W135:W137"/>
    <mergeCell ref="V135:V137"/>
    <mergeCell ref="U135:U137"/>
    <mergeCell ref="T135:T137"/>
    <mergeCell ref="S135:S137"/>
    <mergeCell ref="R135:R137"/>
    <mergeCell ref="Q135:Q137"/>
    <mergeCell ref="F135:F137"/>
    <mergeCell ref="C135:C137"/>
    <mergeCell ref="B135:B137"/>
    <mergeCell ref="AE132:AE134"/>
    <mergeCell ref="AD132:AD134"/>
    <mergeCell ref="AC132:AC134"/>
    <mergeCell ref="AB132:AB134"/>
    <mergeCell ref="AA132:AA134"/>
    <mergeCell ref="Z132:Z134"/>
    <mergeCell ref="Y132:Y134"/>
    <mergeCell ref="X132:X134"/>
    <mergeCell ref="W132:W134"/>
    <mergeCell ref="V132:V134"/>
    <mergeCell ref="U132:U134"/>
    <mergeCell ref="T132:T134"/>
    <mergeCell ref="S132:S134"/>
    <mergeCell ref="R132:R134"/>
    <mergeCell ref="Q132:Q134"/>
    <mergeCell ref="F132:F134"/>
    <mergeCell ref="C132:C134"/>
    <mergeCell ref="B132:B134"/>
    <mergeCell ref="AE129:AE131"/>
    <mergeCell ref="AD129:AD131"/>
    <mergeCell ref="AC129:AC131"/>
    <mergeCell ref="AB129:AB131"/>
    <mergeCell ref="AA129:AA131"/>
    <mergeCell ref="Z129:Z131"/>
    <mergeCell ref="Y129:Y131"/>
    <mergeCell ref="X129:X131"/>
    <mergeCell ref="W129:W131"/>
    <mergeCell ref="V129:V131"/>
    <mergeCell ref="U129:U131"/>
    <mergeCell ref="T129:T131"/>
    <mergeCell ref="S129:S131"/>
    <mergeCell ref="R129:R131"/>
    <mergeCell ref="Q129:Q131"/>
    <mergeCell ref="F129:F131"/>
    <mergeCell ref="C129:C131"/>
    <mergeCell ref="B129:B131"/>
    <mergeCell ref="AE126:AE128"/>
    <mergeCell ref="AD126:AD128"/>
    <mergeCell ref="AC126:AC128"/>
    <mergeCell ref="AB126:AB128"/>
    <mergeCell ref="AA126:AA128"/>
    <mergeCell ref="Z126:Z128"/>
    <mergeCell ref="Y126:Y128"/>
    <mergeCell ref="X126:X128"/>
    <mergeCell ref="W126:W128"/>
    <mergeCell ref="V126:V128"/>
    <mergeCell ref="U126:U128"/>
    <mergeCell ref="T126:T128"/>
    <mergeCell ref="S126:S128"/>
    <mergeCell ref="R126:R128"/>
    <mergeCell ref="Q126:Q128"/>
    <mergeCell ref="F126:F128"/>
    <mergeCell ref="C126:C128"/>
    <mergeCell ref="B126:B128"/>
    <mergeCell ref="A126:A155"/>
    <mergeCell ref="A95:A124"/>
    <mergeCell ref="B95:B97"/>
    <mergeCell ref="C95:C97"/>
    <mergeCell ref="F95:F97"/>
    <mergeCell ref="Q95:Q97"/>
    <mergeCell ref="R95:R97"/>
    <mergeCell ref="S95:S97"/>
    <mergeCell ref="T95:T97"/>
    <mergeCell ref="U95:U97"/>
    <mergeCell ref="V95:V97"/>
    <mergeCell ref="W95:W97"/>
    <mergeCell ref="X95:X97"/>
    <mergeCell ref="Y95:Y97"/>
    <mergeCell ref="Z95:Z97"/>
    <mergeCell ref="AA95:AA97"/>
    <mergeCell ref="AB95:AB97"/>
    <mergeCell ref="AC95:AC97"/>
    <mergeCell ref="AD95:AD97"/>
    <mergeCell ref="AE95:AE97"/>
    <mergeCell ref="B98:B100"/>
    <mergeCell ref="C98:C100"/>
    <mergeCell ref="F98:F100"/>
    <mergeCell ref="Q98:Q100"/>
    <mergeCell ref="R98:R100"/>
    <mergeCell ref="S98:S100"/>
    <mergeCell ref="T98:T100"/>
    <mergeCell ref="U98:U100"/>
    <mergeCell ref="V98:V100"/>
    <mergeCell ref="W98:W100"/>
    <mergeCell ref="X98:X100"/>
    <mergeCell ref="Y98:Y100"/>
    <mergeCell ref="Z98:Z100"/>
    <mergeCell ref="AA98:AA100"/>
    <mergeCell ref="AB98:AB100"/>
    <mergeCell ref="AC98:AC100"/>
    <mergeCell ref="AD98:AD100"/>
    <mergeCell ref="AE98:AE100"/>
    <mergeCell ref="B101:B103"/>
    <mergeCell ref="C101:C103"/>
    <mergeCell ref="F101:F103"/>
    <mergeCell ref="Q101:Q103"/>
    <mergeCell ref="R101:R103"/>
    <mergeCell ref="S101:S103"/>
    <mergeCell ref="T101:T103"/>
    <mergeCell ref="U101:U103"/>
    <mergeCell ref="V101:V103"/>
    <mergeCell ref="W101:W103"/>
    <mergeCell ref="X101:X103"/>
    <mergeCell ref="Y101:Y103"/>
    <mergeCell ref="Z101:Z103"/>
    <mergeCell ref="AA101:AA103"/>
    <mergeCell ref="AB101:AB103"/>
    <mergeCell ref="AC101:AC103"/>
    <mergeCell ref="AD101:AD103"/>
    <mergeCell ref="AE101:AE103"/>
    <mergeCell ref="B104:B106"/>
    <mergeCell ref="C104:C106"/>
    <mergeCell ref="F104:F106"/>
    <mergeCell ref="Q104:Q106"/>
    <mergeCell ref="R104:R106"/>
    <mergeCell ref="S104:S106"/>
    <mergeCell ref="T104:T106"/>
    <mergeCell ref="U104:U106"/>
    <mergeCell ref="V104:V106"/>
    <mergeCell ref="W104:W106"/>
    <mergeCell ref="X104:X106"/>
    <mergeCell ref="Y104:Y106"/>
    <mergeCell ref="Z104:Z106"/>
    <mergeCell ref="AA104:AA106"/>
    <mergeCell ref="AB104:AB106"/>
    <mergeCell ref="AC104:AC106"/>
    <mergeCell ref="AD104:AD106"/>
    <mergeCell ref="AE104:AE106"/>
    <mergeCell ref="B107:B109"/>
    <mergeCell ref="C107:C109"/>
    <mergeCell ref="F107:F109"/>
    <mergeCell ref="Q107:Q109"/>
    <mergeCell ref="R107:R109"/>
    <mergeCell ref="S107:S109"/>
    <mergeCell ref="T107:T109"/>
    <mergeCell ref="U107:U109"/>
    <mergeCell ref="V107:V109"/>
    <mergeCell ref="W107:W109"/>
    <mergeCell ref="X107:X109"/>
    <mergeCell ref="Y107:Y109"/>
    <mergeCell ref="Z107:Z109"/>
    <mergeCell ref="AA107:AA109"/>
    <mergeCell ref="AB107:AB109"/>
    <mergeCell ref="AC107:AC109"/>
    <mergeCell ref="AD107:AD109"/>
    <mergeCell ref="AE107:AE109"/>
    <mergeCell ref="B110:B112"/>
    <mergeCell ref="C110:C112"/>
    <mergeCell ref="F110:F112"/>
    <mergeCell ref="Q110:Q112"/>
    <mergeCell ref="R110:R112"/>
    <mergeCell ref="S110:S112"/>
    <mergeCell ref="T110:T112"/>
    <mergeCell ref="U110:U112"/>
    <mergeCell ref="V110:V112"/>
    <mergeCell ref="W110:W112"/>
    <mergeCell ref="X110:X112"/>
    <mergeCell ref="Y110:Y112"/>
    <mergeCell ref="Z110:Z112"/>
    <mergeCell ref="AA110:AA112"/>
    <mergeCell ref="AB110:AB112"/>
    <mergeCell ref="AC110:AC112"/>
    <mergeCell ref="AD110:AD112"/>
    <mergeCell ref="AE110:AE112"/>
    <mergeCell ref="B113:B115"/>
    <mergeCell ref="C113:C115"/>
    <mergeCell ref="F113:F115"/>
    <mergeCell ref="Q113:Q115"/>
    <mergeCell ref="R113:R115"/>
    <mergeCell ref="S113:S115"/>
    <mergeCell ref="T113:T115"/>
    <mergeCell ref="U113:U115"/>
    <mergeCell ref="V113:V115"/>
    <mergeCell ref="W113:W115"/>
    <mergeCell ref="X113:X115"/>
    <mergeCell ref="Y113:Y115"/>
    <mergeCell ref="Z113:Z115"/>
    <mergeCell ref="AA113:AA115"/>
    <mergeCell ref="AB113:AB115"/>
    <mergeCell ref="AC113:AC115"/>
    <mergeCell ref="AD113:AD115"/>
    <mergeCell ref="AE113:AE115"/>
    <mergeCell ref="B116:B118"/>
    <mergeCell ref="C116:C118"/>
    <mergeCell ref="F116:F118"/>
    <mergeCell ref="Q116:Q118"/>
    <mergeCell ref="R116:R118"/>
    <mergeCell ref="S116:S118"/>
    <mergeCell ref="T116:T118"/>
    <mergeCell ref="U116:U118"/>
    <mergeCell ref="V116:V118"/>
    <mergeCell ref="W116:W118"/>
    <mergeCell ref="X116:X118"/>
    <mergeCell ref="Y116:Y118"/>
    <mergeCell ref="Z116:Z118"/>
    <mergeCell ref="AA116:AA118"/>
    <mergeCell ref="AB116:AB118"/>
    <mergeCell ref="AC116:AC118"/>
    <mergeCell ref="AD116:AD118"/>
    <mergeCell ref="AE116:AE118"/>
    <mergeCell ref="B119:B121"/>
    <mergeCell ref="C119:C121"/>
    <mergeCell ref="F119:F121"/>
    <mergeCell ref="Q119:Q121"/>
    <mergeCell ref="R119:R121"/>
    <mergeCell ref="S119:S121"/>
    <mergeCell ref="T119:T121"/>
    <mergeCell ref="U119:U121"/>
    <mergeCell ref="V119:V121"/>
    <mergeCell ref="W119:W121"/>
    <mergeCell ref="X119:X121"/>
    <mergeCell ref="Y119:Y121"/>
    <mergeCell ref="Z119:Z121"/>
    <mergeCell ref="AA119:AA121"/>
    <mergeCell ref="AB119:AB121"/>
    <mergeCell ref="AC119:AC121"/>
    <mergeCell ref="AD119:AD121"/>
    <mergeCell ref="AE119:AE121"/>
    <mergeCell ref="B122:B124"/>
    <mergeCell ref="C122:C124"/>
    <mergeCell ref="F122:F124"/>
    <mergeCell ref="Q122:Q124"/>
    <mergeCell ref="R122:R124"/>
    <mergeCell ref="S122:S124"/>
    <mergeCell ref="T122:T124"/>
    <mergeCell ref="U122:U124"/>
    <mergeCell ref="V122:V124"/>
    <mergeCell ref="W122:W124"/>
    <mergeCell ref="X122:X124"/>
    <mergeCell ref="Y122:Y124"/>
    <mergeCell ref="Z122:Z124"/>
    <mergeCell ref="AA122:AA124"/>
    <mergeCell ref="AB122:AB124"/>
    <mergeCell ref="AC122:AC124"/>
    <mergeCell ref="AD122:AD124"/>
    <mergeCell ref="AE122:AE124"/>
    <mergeCell ref="AE91:AE93"/>
    <mergeCell ref="AD91:AD93"/>
    <mergeCell ref="AC91:AC93"/>
    <mergeCell ref="AB91:AB93"/>
    <mergeCell ref="AA91:AA93"/>
    <mergeCell ref="Z91:Z93"/>
    <mergeCell ref="Y91:Y93"/>
    <mergeCell ref="X91:X93"/>
    <mergeCell ref="W91:W93"/>
    <mergeCell ref="V91:V93"/>
    <mergeCell ref="U91:U93"/>
    <mergeCell ref="T91:T93"/>
    <mergeCell ref="S91:S93"/>
    <mergeCell ref="R91:R93"/>
    <mergeCell ref="Q91:Q93"/>
    <mergeCell ref="F91:F93"/>
    <mergeCell ref="C91:C93"/>
    <mergeCell ref="B91:B93"/>
    <mergeCell ref="AE88:AE90"/>
    <mergeCell ref="AD88:AD90"/>
    <mergeCell ref="AC88:AC90"/>
    <mergeCell ref="AB88:AB90"/>
    <mergeCell ref="AA88:AA90"/>
    <mergeCell ref="Z88:Z90"/>
    <mergeCell ref="Y88:Y90"/>
    <mergeCell ref="X88:X90"/>
    <mergeCell ref="W88:W90"/>
    <mergeCell ref="V88:V90"/>
    <mergeCell ref="U88:U90"/>
    <mergeCell ref="T88:T90"/>
    <mergeCell ref="S88:S90"/>
    <mergeCell ref="R88:R90"/>
    <mergeCell ref="Q88:Q90"/>
    <mergeCell ref="F88:F90"/>
    <mergeCell ref="C88:C90"/>
    <mergeCell ref="B88:B90"/>
    <mergeCell ref="AE85:AE87"/>
    <mergeCell ref="AD85:AD87"/>
    <mergeCell ref="AC85:AC87"/>
    <mergeCell ref="AB85:AB87"/>
    <mergeCell ref="AA85:AA87"/>
    <mergeCell ref="Z85:Z87"/>
    <mergeCell ref="Y85:Y87"/>
    <mergeCell ref="X85:X87"/>
    <mergeCell ref="W85:W87"/>
    <mergeCell ref="V85:V87"/>
    <mergeCell ref="U85:U87"/>
    <mergeCell ref="T85:T87"/>
    <mergeCell ref="S85:S87"/>
    <mergeCell ref="R85:R87"/>
    <mergeCell ref="Q85:Q87"/>
    <mergeCell ref="F85:F87"/>
    <mergeCell ref="C85:C87"/>
    <mergeCell ref="B85:B87"/>
    <mergeCell ref="AE82:AE84"/>
    <mergeCell ref="AD82:AD84"/>
    <mergeCell ref="AC82:AC84"/>
    <mergeCell ref="AB82:AB84"/>
    <mergeCell ref="AA82:AA84"/>
    <mergeCell ref="Z82:Z84"/>
    <mergeCell ref="Y82:Y84"/>
    <mergeCell ref="X82:X84"/>
    <mergeCell ref="W82:W84"/>
    <mergeCell ref="V82:V84"/>
    <mergeCell ref="U82:U84"/>
    <mergeCell ref="T82:T84"/>
    <mergeCell ref="S82:S84"/>
    <mergeCell ref="R82:R84"/>
    <mergeCell ref="Q82:Q84"/>
    <mergeCell ref="F82:F84"/>
    <mergeCell ref="C82:C84"/>
    <mergeCell ref="B82:B84"/>
    <mergeCell ref="AE79:AE81"/>
    <mergeCell ref="AD79:AD81"/>
    <mergeCell ref="AC79:AC81"/>
    <mergeCell ref="AB79:AB81"/>
    <mergeCell ref="AA79:AA81"/>
    <mergeCell ref="Z79:Z81"/>
    <mergeCell ref="Y79:Y81"/>
    <mergeCell ref="X79:X81"/>
    <mergeCell ref="W79:W81"/>
    <mergeCell ref="V79:V81"/>
    <mergeCell ref="U79:U81"/>
    <mergeCell ref="T79:T81"/>
    <mergeCell ref="S79:S81"/>
    <mergeCell ref="R79:R81"/>
    <mergeCell ref="Q79:Q81"/>
    <mergeCell ref="F79:F81"/>
    <mergeCell ref="C79:C81"/>
    <mergeCell ref="B79:B81"/>
    <mergeCell ref="AE76:AE78"/>
    <mergeCell ref="AD76:AD78"/>
    <mergeCell ref="AC76:AC78"/>
    <mergeCell ref="AB76:AB78"/>
    <mergeCell ref="AA76:AA78"/>
    <mergeCell ref="Z76:Z78"/>
    <mergeCell ref="Y76:Y78"/>
    <mergeCell ref="X76:X78"/>
    <mergeCell ref="W76:W78"/>
    <mergeCell ref="V76:V78"/>
    <mergeCell ref="U76:U78"/>
    <mergeCell ref="T76:T78"/>
    <mergeCell ref="S76:S78"/>
    <mergeCell ref="R76:R78"/>
    <mergeCell ref="Q76:Q78"/>
    <mergeCell ref="F76:F78"/>
    <mergeCell ref="C76:C78"/>
    <mergeCell ref="B76:B78"/>
    <mergeCell ref="AE73:AE75"/>
    <mergeCell ref="AD73:AD75"/>
    <mergeCell ref="AC73:AC75"/>
    <mergeCell ref="AB73:AB75"/>
    <mergeCell ref="AA73:AA75"/>
    <mergeCell ref="Z73:Z75"/>
    <mergeCell ref="Y73:Y75"/>
    <mergeCell ref="X73:X75"/>
    <mergeCell ref="W73:W75"/>
    <mergeCell ref="V73:V75"/>
    <mergeCell ref="U73:U75"/>
    <mergeCell ref="T73:T75"/>
    <mergeCell ref="S73:S75"/>
    <mergeCell ref="R73:R75"/>
    <mergeCell ref="Q73:Q75"/>
    <mergeCell ref="F73:F75"/>
    <mergeCell ref="C73:C75"/>
    <mergeCell ref="B73:B75"/>
    <mergeCell ref="AE70:AE72"/>
    <mergeCell ref="AD70:AD72"/>
    <mergeCell ref="AC70:AC72"/>
    <mergeCell ref="AB70:AB72"/>
    <mergeCell ref="AA70:AA72"/>
    <mergeCell ref="Z70:Z72"/>
    <mergeCell ref="Y70:Y72"/>
    <mergeCell ref="X70:X72"/>
    <mergeCell ref="W70:W72"/>
    <mergeCell ref="V70:V72"/>
    <mergeCell ref="U70:U72"/>
    <mergeCell ref="T70:T72"/>
    <mergeCell ref="S70:S72"/>
    <mergeCell ref="R70:R72"/>
    <mergeCell ref="Q70:Q72"/>
    <mergeCell ref="F70:F72"/>
    <mergeCell ref="C70:C72"/>
    <mergeCell ref="B70:B72"/>
    <mergeCell ref="AE67:AE69"/>
    <mergeCell ref="AD67:AD69"/>
    <mergeCell ref="AC67:AC69"/>
    <mergeCell ref="AB67:AB69"/>
    <mergeCell ref="AA67:AA69"/>
    <mergeCell ref="Z67:Z69"/>
    <mergeCell ref="Y67:Y69"/>
    <mergeCell ref="X67:X69"/>
    <mergeCell ref="W67:W69"/>
    <mergeCell ref="V67:V69"/>
    <mergeCell ref="U67:U69"/>
    <mergeCell ref="T67:T69"/>
    <mergeCell ref="S67:S69"/>
    <mergeCell ref="R67:R69"/>
    <mergeCell ref="Q67:Q69"/>
    <mergeCell ref="F67:F69"/>
    <mergeCell ref="C67:C69"/>
    <mergeCell ref="B67:B69"/>
    <mergeCell ref="AE64:AE66"/>
    <mergeCell ref="AD64:AD66"/>
    <mergeCell ref="AC64:AC66"/>
    <mergeCell ref="AB64:AB66"/>
    <mergeCell ref="AA64:AA66"/>
    <mergeCell ref="Z64:Z66"/>
    <mergeCell ref="Y64:Y66"/>
    <mergeCell ref="X64:X66"/>
    <mergeCell ref="W64:W66"/>
    <mergeCell ref="V64:V66"/>
    <mergeCell ref="U64:U66"/>
    <mergeCell ref="T64:T66"/>
    <mergeCell ref="S64:S66"/>
    <mergeCell ref="R64:R66"/>
    <mergeCell ref="Q64:Q66"/>
    <mergeCell ref="F64:F66"/>
    <mergeCell ref="C64:C66"/>
    <mergeCell ref="B64:B66"/>
    <mergeCell ref="A64:A93"/>
    <mergeCell ref="A33:A62"/>
    <mergeCell ref="B33:B35"/>
    <mergeCell ref="C33:C35"/>
    <mergeCell ref="F33:F35"/>
    <mergeCell ref="Q33:Q35"/>
    <mergeCell ref="R33:R35"/>
    <mergeCell ref="S33:S35"/>
    <mergeCell ref="T33:T35"/>
    <mergeCell ref="U33:U35"/>
    <mergeCell ref="V33:V35"/>
    <mergeCell ref="W33:W35"/>
    <mergeCell ref="X33:X35"/>
    <mergeCell ref="Y33:Y35"/>
    <mergeCell ref="Z33:Z35"/>
    <mergeCell ref="AA33:AA35"/>
    <mergeCell ref="AB33:AB35"/>
    <mergeCell ref="AC33:AC35"/>
    <mergeCell ref="AD33:AD35"/>
    <mergeCell ref="AE33:AE35"/>
    <mergeCell ref="B36:B38"/>
    <mergeCell ref="C36:C38"/>
    <mergeCell ref="F36:F38"/>
    <mergeCell ref="Q36:Q38"/>
    <mergeCell ref="R36:R38"/>
    <mergeCell ref="S36:S38"/>
    <mergeCell ref="T36:T38"/>
    <mergeCell ref="U36:U38"/>
    <mergeCell ref="V36:V38"/>
    <mergeCell ref="W36:W38"/>
    <mergeCell ref="X36:X38"/>
    <mergeCell ref="Y36:Y38"/>
    <mergeCell ref="Z36:Z38"/>
    <mergeCell ref="AA36:AA38"/>
    <mergeCell ref="AB36:AB38"/>
    <mergeCell ref="AC36:AC38"/>
    <mergeCell ref="AD36:AD38"/>
    <mergeCell ref="AE36:AE38"/>
    <mergeCell ref="B39:B41"/>
    <mergeCell ref="C39:C41"/>
    <mergeCell ref="F39:F41"/>
    <mergeCell ref="Q39:Q41"/>
    <mergeCell ref="R39:R41"/>
    <mergeCell ref="S39:S41"/>
    <mergeCell ref="T39:T41"/>
    <mergeCell ref="U39:U41"/>
    <mergeCell ref="V39:V41"/>
    <mergeCell ref="W39:W41"/>
    <mergeCell ref="X39:X41"/>
    <mergeCell ref="Y39:Y41"/>
    <mergeCell ref="Z39:Z41"/>
    <mergeCell ref="AA39:AA41"/>
    <mergeCell ref="AB39:AB41"/>
    <mergeCell ref="AC39:AC41"/>
    <mergeCell ref="AD39:AD41"/>
    <mergeCell ref="AE39:AE41"/>
    <mergeCell ref="B42:B44"/>
    <mergeCell ref="C42:C44"/>
    <mergeCell ref="F42:F44"/>
    <mergeCell ref="Q42:Q44"/>
    <mergeCell ref="R42:R44"/>
    <mergeCell ref="S42:S44"/>
    <mergeCell ref="T42:T44"/>
    <mergeCell ref="U42:U44"/>
    <mergeCell ref="V42:V44"/>
    <mergeCell ref="W42:W44"/>
    <mergeCell ref="X42:X44"/>
    <mergeCell ref="Y42:Y44"/>
    <mergeCell ref="Z42:Z44"/>
    <mergeCell ref="AA42:AA44"/>
    <mergeCell ref="AB42:AB44"/>
    <mergeCell ref="AC42:AC44"/>
    <mergeCell ref="AD42:AD44"/>
    <mergeCell ref="AE42:AE44"/>
    <mergeCell ref="B45:B47"/>
    <mergeCell ref="C45:C47"/>
    <mergeCell ref="F45:F47"/>
    <mergeCell ref="Q45:Q47"/>
    <mergeCell ref="R45:R47"/>
    <mergeCell ref="S45:S47"/>
    <mergeCell ref="T45:T47"/>
    <mergeCell ref="U45:U47"/>
    <mergeCell ref="V45:V47"/>
    <mergeCell ref="W45:W47"/>
    <mergeCell ref="X45:X47"/>
    <mergeCell ref="Y45:Y47"/>
    <mergeCell ref="Z45:Z47"/>
    <mergeCell ref="AA45:AA47"/>
    <mergeCell ref="AB45:AB47"/>
    <mergeCell ref="AC45:AC47"/>
    <mergeCell ref="AD45:AD47"/>
    <mergeCell ref="AE45:AE47"/>
    <mergeCell ref="B48:B50"/>
    <mergeCell ref="C48:C50"/>
    <mergeCell ref="F48:F50"/>
    <mergeCell ref="Q48:Q50"/>
    <mergeCell ref="R48:R50"/>
    <mergeCell ref="S48:S50"/>
    <mergeCell ref="T48:T50"/>
    <mergeCell ref="U48:U50"/>
    <mergeCell ref="V48:V50"/>
    <mergeCell ref="W48:W50"/>
    <mergeCell ref="X48:X50"/>
    <mergeCell ref="Y48:Y50"/>
    <mergeCell ref="Z48:Z50"/>
    <mergeCell ref="AA48:AA50"/>
    <mergeCell ref="AB48:AB50"/>
    <mergeCell ref="AC48:AC50"/>
    <mergeCell ref="AD48:AD50"/>
    <mergeCell ref="AE48:AE50"/>
    <mergeCell ref="B51:B53"/>
    <mergeCell ref="C51:C53"/>
    <mergeCell ref="F51:F53"/>
    <mergeCell ref="Q51:Q53"/>
    <mergeCell ref="R51:R53"/>
    <mergeCell ref="S51:S53"/>
    <mergeCell ref="T51:T53"/>
    <mergeCell ref="U51:U53"/>
    <mergeCell ref="V51:V53"/>
    <mergeCell ref="W51:W53"/>
    <mergeCell ref="X51:X53"/>
    <mergeCell ref="Y51:Y53"/>
    <mergeCell ref="Z51:Z53"/>
    <mergeCell ref="AA51:AA53"/>
    <mergeCell ref="AB51:AB53"/>
    <mergeCell ref="AC51:AC53"/>
    <mergeCell ref="AD51:AD53"/>
    <mergeCell ref="AE51:AE53"/>
    <mergeCell ref="B54:B56"/>
    <mergeCell ref="C54:C56"/>
    <mergeCell ref="F54:F56"/>
    <mergeCell ref="Q54:Q56"/>
    <mergeCell ref="R54:R56"/>
    <mergeCell ref="S54:S56"/>
    <mergeCell ref="T54:T56"/>
    <mergeCell ref="U54:U56"/>
    <mergeCell ref="V54:V56"/>
    <mergeCell ref="W54:W56"/>
    <mergeCell ref="X54:X56"/>
    <mergeCell ref="Y54:Y56"/>
    <mergeCell ref="Z54:Z56"/>
    <mergeCell ref="AA54:AA56"/>
    <mergeCell ref="AB54:AB56"/>
    <mergeCell ref="AC54:AC56"/>
    <mergeCell ref="AD54:AD56"/>
    <mergeCell ref="AE54:AE56"/>
    <mergeCell ref="B57:B59"/>
    <mergeCell ref="C57:C59"/>
    <mergeCell ref="F57:F59"/>
    <mergeCell ref="Q57:Q59"/>
    <mergeCell ref="R57:R59"/>
    <mergeCell ref="S57:S59"/>
    <mergeCell ref="T57:T59"/>
    <mergeCell ref="U57:U59"/>
    <mergeCell ref="V57:V59"/>
    <mergeCell ref="W57:W59"/>
    <mergeCell ref="X57:X59"/>
    <mergeCell ref="Y57:Y59"/>
    <mergeCell ref="Z57:Z59"/>
    <mergeCell ref="AA57:AA59"/>
    <mergeCell ref="AB57:AB59"/>
    <mergeCell ref="AC57:AC59"/>
    <mergeCell ref="AD57:AD59"/>
    <mergeCell ref="AE57:AE59"/>
    <mergeCell ref="B60:B62"/>
    <mergeCell ref="C60:C62"/>
    <mergeCell ref="F60:F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E29:AE31"/>
    <mergeCell ref="AD29:AD31"/>
    <mergeCell ref="AC29:AC31"/>
    <mergeCell ref="AB29:AB31"/>
    <mergeCell ref="AA29:AA31"/>
    <mergeCell ref="Z29:Z31"/>
    <mergeCell ref="Y29:Y31"/>
    <mergeCell ref="X29:X31"/>
    <mergeCell ref="W29:W31"/>
    <mergeCell ref="V29:V31"/>
    <mergeCell ref="U29:U31"/>
    <mergeCell ref="T29:T31"/>
    <mergeCell ref="S29:S31"/>
    <mergeCell ref="R29:R31"/>
    <mergeCell ref="Q29:Q31"/>
    <mergeCell ref="F29:F31"/>
    <mergeCell ref="C29:C31"/>
    <mergeCell ref="B29:B31"/>
    <mergeCell ref="AE26:AE28"/>
    <mergeCell ref="AD26:AD28"/>
    <mergeCell ref="AC26:AC28"/>
    <mergeCell ref="AB26:AB28"/>
    <mergeCell ref="AA26:AA28"/>
    <mergeCell ref="Z26:Z28"/>
    <mergeCell ref="Y26:Y28"/>
    <mergeCell ref="X26:X28"/>
    <mergeCell ref="W26:W28"/>
    <mergeCell ref="V26:V28"/>
    <mergeCell ref="U26:U28"/>
    <mergeCell ref="T26:T28"/>
    <mergeCell ref="S26:S28"/>
    <mergeCell ref="R26:R28"/>
    <mergeCell ref="Q26:Q28"/>
    <mergeCell ref="F26:F28"/>
    <mergeCell ref="C26:C28"/>
    <mergeCell ref="B26:B28"/>
    <mergeCell ref="AE23:AE25"/>
    <mergeCell ref="AD23:AD25"/>
    <mergeCell ref="AC23:AC25"/>
    <mergeCell ref="AB23:AB25"/>
    <mergeCell ref="AA23:AA25"/>
    <mergeCell ref="Z23:Z25"/>
    <mergeCell ref="Y23:Y25"/>
    <mergeCell ref="X23:X25"/>
    <mergeCell ref="W23:W25"/>
    <mergeCell ref="V23:V25"/>
    <mergeCell ref="U23:U25"/>
    <mergeCell ref="T23:T25"/>
    <mergeCell ref="S23:S25"/>
    <mergeCell ref="R23:R25"/>
    <mergeCell ref="Q23:Q25"/>
    <mergeCell ref="F23:F25"/>
    <mergeCell ref="C23:C25"/>
    <mergeCell ref="B23:B25"/>
    <mergeCell ref="AE20:AE22"/>
    <mergeCell ref="AD20:AD22"/>
    <mergeCell ref="AC20:AC22"/>
    <mergeCell ref="AB20:AB22"/>
    <mergeCell ref="AA20:AA22"/>
    <mergeCell ref="Z20:Z22"/>
    <mergeCell ref="Y20:Y22"/>
    <mergeCell ref="X20:X22"/>
    <mergeCell ref="W20:W22"/>
    <mergeCell ref="V20:V22"/>
    <mergeCell ref="U20:U22"/>
    <mergeCell ref="T20:T22"/>
    <mergeCell ref="S20:S22"/>
    <mergeCell ref="R20:R22"/>
    <mergeCell ref="Q20:Q22"/>
    <mergeCell ref="F20:F22"/>
    <mergeCell ref="C20:C22"/>
    <mergeCell ref="B20:B22"/>
    <mergeCell ref="AE17:AE19"/>
    <mergeCell ref="AD17:AD19"/>
    <mergeCell ref="AC17:AC19"/>
    <mergeCell ref="AB17:AB19"/>
    <mergeCell ref="AA17:AA19"/>
    <mergeCell ref="Z17:Z19"/>
    <mergeCell ref="Y17:Y19"/>
    <mergeCell ref="X17:X19"/>
    <mergeCell ref="W17:W19"/>
    <mergeCell ref="V17:V19"/>
    <mergeCell ref="U17:U19"/>
    <mergeCell ref="T17:T19"/>
    <mergeCell ref="S17:S19"/>
    <mergeCell ref="R17:R19"/>
    <mergeCell ref="Q17:Q19"/>
    <mergeCell ref="F17:F19"/>
    <mergeCell ref="C17:C19"/>
    <mergeCell ref="B17:B19"/>
    <mergeCell ref="AE14:AE16"/>
    <mergeCell ref="AD14:AD16"/>
    <mergeCell ref="AC14:AC16"/>
    <mergeCell ref="AB14:AB16"/>
    <mergeCell ref="AA14:AA16"/>
    <mergeCell ref="Z14:Z16"/>
    <mergeCell ref="Y14:Y16"/>
    <mergeCell ref="X14:X16"/>
    <mergeCell ref="W14:W16"/>
    <mergeCell ref="V14:V16"/>
    <mergeCell ref="U14:U16"/>
    <mergeCell ref="T14:T16"/>
    <mergeCell ref="S14:S16"/>
    <mergeCell ref="R14:R16"/>
    <mergeCell ref="Q14:Q16"/>
    <mergeCell ref="F14:F16"/>
    <mergeCell ref="C14:C16"/>
    <mergeCell ref="B14:B16"/>
    <mergeCell ref="AE11:AE13"/>
    <mergeCell ref="AD11:AD13"/>
    <mergeCell ref="AC11:AC13"/>
    <mergeCell ref="AB11:AB13"/>
    <mergeCell ref="AA11:AA13"/>
    <mergeCell ref="Z11:Z13"/>
    <mergeCell ref="Y11:Y13"/>
    <mergeCell ref="X11:X13"/>
    <mergeCell ref="W11:W13"/>
    <mergeCell ref="V11:V13"/>
    <mergeCell ref="U11:U13"/>
    <mergeCell ref="T11:T13"/>
    <mergeCell ref="S11:S13"/>
    <mergeCell ref="R11:R13"/>
    <mergeCell ref="Q11:Q13"/>
    <mergeCell ref="F11:F13"/>
    <mergeCell ref="C11:C13"/>
    <mergeCell ref="B11:B13"/>
    <mergeCell ref="AE8:AE10"/>
    <mergeCell ref="AD8:AD10"/>
    <mergeCell ref="AC8:AC10"/>
    <mergeCell ref="AB8:AB10"/>
    <mergeCell ref="AA8:AA10"/>
    <mergeCell ref="Z8:Z10"/>
    <mergeCell ref="Y8:Y10"/>
    <mergeCell ref="X8:X10"/>
    <mergeCell ref="W8:W10"/>
    <mergeCell ref="V8:V10"/>
    <mergeCell ref="U8:U10"/>
    <mergeCell ref="T8:T10"/>
    <mergeCell ref="S8:S10"/>
    <mergeCell ref="R8:R10"/>
    <mergeCell ref="Q8:Q10"/>
    <mergeCell ref="F8:F10"/>
    <mergeCell ref="C8:C10"/>
    <mergeCell ref="B8:B10"/>
    <mergeCell ref="AE5:AE7"/>
    <mergeCell ref="AD5:AD7"/>
    <mergeCell ref="AC5:AC7"/>
    <mergeCell ref="AB5:AB7"/>
    <mergeCell ref="AA5:AA7"/>
    <mergeCell ref="Z5:Z7"/>
    <mergeCell ref="Y5:Y7"/>
    <mergeCell ref="X5:X7"/>
    <mergeCell ref="W5:W7"/>
    <mergeCell ref="V5:V7"/>
    <mergeCell ref="U5:U7"/>
    <mergeCell ref="T5:T7"/>
    <mergeCell ref="S5:S7"/>
    <mergeCell ref="R5:R7"/>
    <mergeCell ref="Q5:Q7"/>
    <mergeCell ref="F5:F7"/>
    <mergeCell ref="C5:C7"/>
    <mergeCell ref="B5:B7"/>
    <mergeCell ref="AE2:AE4"/>
    <mergeCell ref="AD2:AD4"/>
    <mergeCell ref="AC2:AC4"/>
    <mergeCell ref="AB2:AB4"/>
    <mergeCell ref="AA2:AA4"/>
    <mergeCell ref="Z2:Z4"/>
    <mergeCell ref="Y2:Y4"/>
    <mergeCell ref="X2:X4"/>
    <mergeCell ref="W2:W4"/>
    <mergeCell ref="V2:V4"/>
    <mergeCell ref="U2:U4"/>
    <mergeCell ref="T2:T4"/>
    <mergeCell ref="S2:S4"/>
    <mergeCell ref="R2:R4"/>
    <mergeCell ref="Q2:Q4"/>
    <mergeCell ref="F2:F4"/>
    <mergeCell ref="C2:C4"/>
    <mergeCell ref="B2:B4"/>
    <mergeCell ref="A2:A31"/>
    <mergeCell ref="F593:J59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