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9" sheetId="2" r:id="rId5"/>
    <sheet name="2026.8" sheetId="3" r:id="rId7"/>
    <sheet name="2026.7" sheetId="4" r:id="rId9"/>
    <sheet name="Sheet4" sheetId="5" r:id="rId11"/>
  </sheets>
  <calcPr calcMode="auto"/>
  <pivotCaches>
    <pivotCache cacheId="1" r:id="rId6"/>
    <pivotCache cacheId="2" r:id="rId8"/>
    <pivotCache cacheId="3" r:id="rId10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<sst xmlns="http://schemas.openxmlformats.org/spreadsheetml/2006/main" count="123" uniqueCount="123">
  <si>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</si>
  <si>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</si>
  <si>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</si>
  <si>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</si>
  <si>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</si>
  <si>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</si>
  <si>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</si>
  <si>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</si>
  <si>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</si>
  <si>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</si>
  <si>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</si>
  <si>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</si>
  <si>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</si>
  <si>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</si>
  <si>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</si>
  <si>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</si>
  <si>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</si>
  <si>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王梦晴</t>
  </si>
  <si>
    <t xml:space="preserve">8:00-12:00</t>
  </si>
  <si>
    <t xml:space="preserve">王学伟</t>
  </si>
  <si>
    <t xml:space="preserve">徐梦婷</t>
  </si>
  <si>
    <t xml:space="preserve">12:00-15:00</t>
  </si>
  <si>
    <t xml:space="preserve">8:00-11:00</t>
  </si>
  <si>
    <t xml:space="preserve">王井伊</t>
  </si>
  <si>
    <t xml:space="preserve">11:00-14:00</t>
  </si>
  <si>
    <t xml:space="preserve">10:00-12:30</t>
  </si>
  <si>
    <t xml:space="preserve">王学伟双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</si>
  <si>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</si>
  <si>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</si>
  <si>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</si>
  <si>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</si>
  <si>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</si>
  <si>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</si>
  <si>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</si>
  <si>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</si>
  <si>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</si>
  <si>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</si>
  <si>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</si>
  <si>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</si>
  <si>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</si>
  <si>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</si>
  <si>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</si>
  <si>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</si>
  <si>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</si>
  <si>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</si>
  <si>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王琪琪</t>
  </si>
  <si>
    <t xml:space="preserve">07:00-11:00</t>
  </si>
  <si>
    <t xml:space="preserve">王学伟双</t>
  </si>
  <si>
    <t xml:space="preserve">郭子硕</t>
  </si>
  <si>
    <t xml:space="preserve">11:00-15:00</t>
  </si>
  <si>
    <t xml:space="preserve">商潇涵</t>
  </si>
  <si>
    <t xml:space="preserve">徐梦婷</t>
  </si>
  <si>
    <t xml:space="preserve">7:00-10.30</t>
  </si>
  <si>
    <t xml:space="preserve">7:00-11：00</t>
  </si>
  <si>
    <t xml:space="preserve">7:00-11.00</t>
  </si>
  <si>
    <t xml:space="preserve">孙紫欣</t>
  </si>
  <si>
    <t xml:space="preserve">7:00-12：00</t>
  </si>
  <si>
    <t xml:space="preserve">7:00-10：00</t>
  </si>
  <si>
    <t xml:space="preserve">8:00-12：00</t>
  </si>
  <si>
    <t xml:space="preserve">8:00-12:00</t>
  </si>
  <si>
    <t xml:space="preserve">罗丽洋双</t>
  </si>
  <si>
    <t xml:space="preserve">王学伟</t>
  </si>
  <si>
    <t xml:space="preserve">王梦晴</t>
  </si>
  <si>
    <t xml:space="preserve">12:00-15:00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</si>
  <si>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</si>
  <si>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</si>
  <si>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</si>
  <si>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</si>
  <si>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</si>
  <si>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</si>
  <si>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</si>
  <si>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</si>
  <si>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</si>
  <si>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</si>
  <si>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</si>
  <si>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</si>
  <si>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</si>
  <si>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</si>
  <si>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</si>
  <si>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</si>
  <si>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郭子硕</t>
  </si>
  <si>
    <t xml:space="preserve">16:00-20:00</t>
  </si>
  <si>
    <t xml:space="preserve">王学伟</t>
  </si>
  <si>
    <t xml:space="preserve">徐梦婷</t>
  </si>
  <si>
    <t xml:space="preserve">20:00-22:00</t>
  </si>
  <si>
    <t xml:space="preserve">储欣欣</t>
  </si>
  <si>
    <t xml:space="preserve">22:00-24:00</t>
  </si>
  <si>
    <t xml:space="preserve">王琪琪</t>
  </si>
  <si>
    <t xml:space="preserve">18:00-21:00</t>
  </si>
  <si>
    <t xml:space="preserve">18:00-20:00</t>
  </si>
  <si>
    <t xml:space="preserve">王学伟晚</t>
  </si>
  <si>
    <t xml:space="preserve">22:00-2:00</t>
  </si>
  <si>
    <t xml:space="preserve">18:00-22:00</t>
  </si>
  <si>
    <t xml:space="preserve">21:00-23:00</t>
  </si>
  <si>
    <t xml:space="preserve">23:00-2:00</t>
  </si>
  <si>
    <t xml:space="preserve">商潇涵晚</t>
  </si>
  <si>
    <t xml:space="preserve">22：00-2:00</t>
  </si>
  <si>
    <t xml:space="preserve">日期</t>
  </si>
  <si>
    <t xml:space="preserve">主播</t>
  </si>
  <si>
    <t xml:space="preserve">直播时段</t>
  </si>
  <si>
    <t xml:space="preserve">直播时长</t>
  </si>
  <si>
    <t xml:space="preserve">总订单</t>
  </si>
  <si>
    <t xml:space="preserve">保单数量</t>
  </si>
  <si>
    <t xml:space="preserve">保险支付数</t>
  </si>
  <si>
    <t xml:space="preserve">一号保单数</t>
  </si>
  <si>
    <t xml:space="preserve">家庭单数量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</si>
  <si>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</si>
  <si>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</si>
  <si>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</si>
  <si>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</si>
  <si>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</si>
  <si>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</si>
  <si>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助播时长</t>
  </si>
  <si>
    <t xml:space="preserve">王梦晴</t>
  </si>
  <si>
    <t xml:space="preserve">8:00-12:00</t>
  </si>
  <si>
    <t xml:space="preserve">王学伟</t>
  </si>
  <si>
    <t xml:space="preserve">徐梦婷</t>
  </si>
  <si>
    <t xml:space="preserve">12:00-15:00</t>
  </si>
  <si>
    <t xml:space="preserve">8:00-11:00</t>
  </si>
  <si>
    <t xml:space="preserve">王井伊</t>
  </si>
  <si>
    <t xml:space="preserve">11:00-14:00</t>
  </si>
  <si>
    <t xml:space="preserve">10:00-12:30</t>
  </si>
  <si>
    <t xml:space="preserve">王学伟双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</si>
</sst>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0.00_);[Red](0.00)"/>
    <numFmt numFmtId="165" formatCode="yyyy&quot;.&quot;m&quot;.&quot;d"/>
    <numFmt numFmtId="166" formatCode="#,##0.00"/>
    <numFmt numFmtId="167" formatCode="0.00"/>
    <numFmt numFmtId="168" formatCode="0.00_);[Red](0.00)"/>
    <numFmt numFmtId="169" formatCode="yyyy&quot;.&quot;m&quot;.&quot;d"/>
    <numFmt numFmtId="170" formatCode="#,##0.00"/>
    <numFmt numFmtId="171" formatCode="0.00"/>
    <numFmt numFmtId="172" formatCode="0.00_);[Red](0.00)"/>
    <numFmt numFmtId="173" formatCode="yyyy&quot;.&quot;m&quot;.&quot;d"/>
    <numFmt numFmtId="174" formatCode="#,##0.00"/>
    <numFmt numFmtId="175" formatCode="0.00"/>
    <numFmt numFmtId="176" formatCode="0"/>
    <numFmt numFmtId="177" formatCode="0.00_);[Red](0.00)"/>
    <numFmt numFmtId="178" formatCode="yyyy&quot;.&quot;m&quot;.&quot;d"/>
    <numFmt numFmtId="179" formatCode="#,##0.00"/>
    <numFmt numFmtId="180" formatCode="0.00"/>
  </numFmts>
  <fonts count="9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Microsoft YaHei"/>
      <family val="2"/>
    </font>
    <font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E3C36"/>
      <name val="Calibri"/>
      <family val="2"/>
      <scheme val="minor"/>
    </font>
    <font>
      <sz val="11"/>
      <color rgb="FF8F959E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8CDDFA"/>
        <bgColor/>
      </patternFill>
    </fill>
  </fills>
  <borders count="4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true" applyProtection="false" borderId="1" fillId="2" fontId="2" numFmtId="164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true" applyProtection="false" borderId="2" fillId="0" fontId="3" numFmtId="166" xfId="0">
      <alignment horizontal="center" vertical="center"/>
    </xf>
    <xf applyAlignment="true" applyBorder="false" applyFill="true" applyFont="true" applyNumberFormat="true" applyProtection="false" borderId="1" fillId="3" fontId="4" numFmtId="167" xfId="0">
      <alignment horizontal="center" vertical="center"/>
    </xf>
    <xf applyAlignment="true" applyBorder="false" applyFill="false" applyFont="true" applyNumberFormat="true" applyProtection="false" borderId="3" fillId="0" fontId="3" numFmtId="164" xfId="0">
      <alignment horizontal="center" vertical="center"/>
    </xf>
    <xf applyAlignment="true" applyBorder="false" applyFill="true" applyFont="true" applyNumberFormat="false" applyProtection="false" borderId="4" fillId="4" fontId="5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4" fillId="4" fontId="7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true" applyFont="true" applyNumberFormat="true" applyProtection="false" borderId="6" fillId="5" fontId="3" numFmtId="165" xfId="0">
      <alignment horizontal="center" vertical="center"/>
    </xf>
    <xf applyAlignment="true" applyBorder="false" applyFill="true" applyFont="true" applyNumberFormat="false" applyProtection="false" borderId="6" fillId="5" fontId="7" numFmtId="0" xfId="0">
      <alignment horizontal="center" vertical="center"/>
    </xf>
    <xf applyAlignment="true" applyBorder="false" applyFill="true" applyFont="true" applyNumberFormat="true" applyProtection="false" borderId="7" fillId="5" fontId="7" numFmtId="164" xfId="0">
      <alignment horizontal="center" vertical="center"/>
    </xf>
    <xf applyAlignment="true" applyBorder="false" applyFill="true" applyFont="true" applyNumberFormat="false" applyProtection="false" borderId="8" fillId="5" fontId="7" numFmtId="0" xfId="0">
      <alignment horizontal="center" vertical="center"/>
    </xf>
    <xf applyAlignment="true" applyBorder="false" applyFill="true" applyFont="true" applyNumberFormat="false" applyProtection="false" borderId="9" fillId="5" fontId="7" numFmtId="0" xfId="0">
      <alignment horizontal="center" vertical="center"/>
    </xf>
    <xf applyAlignment="true" applyBorder="false" applyFill="false" applyFont="true" applyNumberFormat="false" applyProtection="false" borderId="10" fillId="0" fontId="3" numFmtId="0" xfId="0">
      <alignment horizontal="center" vertical="center"/>
    </xf>
    <xf applyAlignment="true" applyBorder="false" applyFill="false" applyFont="true" applyNumberFormat="false" applyProtection="false" borderId="5" fillId="0" fontId="6" numFmtId="0" xfId="0">
      <alignment horizontal="center" vertical="center"/>
    </xf>
    <xf applyAlignment="true" applyBorder="false" applyFill="false" applyFont="true" applyNumberFormat="true" applyProtection="false" borderId="11" fillId="0" fontId="3" numFmtId="166" xfId="0">
      <alignment horizontal="center" vertical="center"/>
    </xf>
    <xf applyAlignment="true" applyBorder="false" applyFill="true" applyFont="true" applyNumberFormat="false" applyProtection="false" borderId="12" fillId="6" fontId="1" numFmtId="0" xfId="0">
      <alignment horizontal="center" vertical="center"/>
    </xf>
    <xf applyAlignment="true" applyBorder="false" applyFill="true" applyFont="true" applyNumberFormat="false" applyProtection="false" borderId="12" fillId="6" fontId="2" numFmtId="0" xfId="0">
      <alignment horizontal="center" vertical="center"/>
    </xf>
    <xf applyAlignment="true" applyBorder="false" applyFill="true" applyFont="true" applyNumberFormat="true" applyProtection="false" borderId="12" fillId="6" fontId="2" numFmtId="168" xfId="0">
      <alignment horizontal="center" vertical="center"/>
    </xf>
    <xf applyAlignment="true" applyBorder="false" applyFill="true" applyFont="true" applyNumberFormat="false" applyProtection="false" borderId="0" fillId="6" fontId="2" numFmtId="0" xfId="0">
      <alignment horizontal="center" vertical="center"/>
    </xf>
    <xf applyAlignment="true" applyBorder="false" applyFill="false" applyFont="true" applyNumberFormat="true" applyProtection="false" borderId="13" fillId="0" fontId="3" numFmtId="169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 wrapText="true"/>
    </xf>
    <xf applyAlignment="true" applyBorder="false" applyFill="false" applyFont="true" applyNumberFormat="true" applyProtection="false" borderId="13" fillId="0" fontId="3" numFmtId="170" xfId="0">
      <alignment horizontal="center" vertical="center"/>
    </xf>
    <xf applyAlignment="true" applyBorder="false" applyFill="true" applyFont="true" applyNumberFormat="true" applyProtection="false" borderId="12" fillId="7" fontId="4" numFmtId="171" xfId="0">
      <alignment horizontal="center" vertical="center"/>
    </xf>
    <xf applyAlignment="true" applyBorder="false" applyFill="false" applyFont="true" applyNumberFormat="true" applyProtection="false" borderId="14" fillId="0" fontId="3" numFmtId="168" xfId="0">
      <alignment horizontal="center" vertical="center"/>
    </xf>
    <xf applyAlignment="true" applyBorder="false" applyFill="true" applyFont="true" applyNumberFormat="false" applyProtection="false" borderId="15" fillId="8" fontId="5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15" fillId="8" fontId="7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true" applyFont="true" applyNumberFormat="true" applyProtection="false" borderId="17" fillId="9" fontId="3" numFmtId="169" xfId="0">
      <alignment horizontal="center" vertical="center"/>
    </xf>
    <xf applyAlignment="true" applyBorder="false" applyFill="true" applyFont="true" applyNumberFormat="false" applyProtection="false" borderId="17" fillId="9" fontId="7" numFmtId="0" xfId="0">
      <alignment horizontal="center" vertical="center"/>
    </xf>
    <xf applyAlignment="true" applyBorder="false" applyFill="true" applyFont="true" applyNumberFormat="true" applyProtection="false" borderId="18" fillId="9" fontId="7" numFmtId="168" xfId="0">
      <alignment horizontal="center" vertical="center"/>
    </xf>
    <xf applyAlignment="true" applyBorder="false" applyFill="true" applyFont="true" applyNumberFormat="false" applyProtection="false" borderId="19" fillId="9" fontId="7" numFmtId="0" xfId="0">
      <alignment horizontal="center" vertical="center"/>
    </xf>
    <xf applyAlignment="true" applyBorder="false" applyFill="true" applyFont="true" applyNumberFormat="false" applyProtection="false" borderId="20" fillId="9" fontId="7" numFmtId="0" xfId="0">
      <alignment horizontal="center" vertical="center"/>
    </xf>
    <xf applyAlignment="true" applyBorder="false" applyFill="false" applyFont="true" applyNumberFormat="true" applyProtection="false" borderId="14" fillId="0" fontId="3" numFmtId="168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true" applyFont="true" applyNumberFormat="false" applyProtection="false" borderId="17" fillId="9" fontId="7" numFmtId="0" xfId="0">
      <alignment horizontal="center" vertical="center"/>
    </xf>
    <xf applyAlignment="true" applyBorder="false" applyFill="true" applyFont="true" applyNumberFormat="true" applyProtection="false" borderId="18" fillId="9" fontId="7" numFmtId="168" xfId="0">
      <alignment horizontal="center" vertical="center"/>
    </xf>
    <xf applyAlignment="true" applyBorder="false" applyFill="true" applyFont="true" applyNumberFormat="true" applyProtection="false" borderId="12" fillId="7" fontId="3" numFmtId="171" xfId="0">
      <alignment horizontal="center" vertical="center"/>
    </xf>
    <xf applyAlignment="true" applyBorder="false" applyFill="false" applyFont="true" applyNumberFormat="true" applyProtection="false" borderId="13" fillId="0" fontId="3" numFmtId="17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true" applyFont="true" applyNumberFormat="true" applyProtection="false" borderId="17" fillId="9" fontId="3" numFmtId="169" xfId="0">
      <alignment horizontal="center" vertical="center"/>
    </xf>
    <xf applyAlignment="true" applyBorder="false" applyFill="true" applyFont="true" applyNumberFormat="false" applyProtection="false" borderId="20" fillId="9" fontId="7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21" fillId="0" fontId="3" numFmtId="170" xfId="0">
      <alignment horizontal="center" vertical="center"/>
    </xf>
    <xf applyAlignment="true" applyBorder="false" applyFill="false" applyFont="true" applyNumberFormat="true" applyProtection="false" borderId="22" fillId="0" fontId="3" numFmtId="168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true" applyFont="true" applyNumberFormat="false" applyProtection="false" borderId="0" fillId="10" fontId="8" numFmtId="0" xfId="0">
      <alignment vertical="center"/>
    </xf>
    <xf applyAlignment="true" applyBorder="false" applyFill="false" applyFont="true" applyNumberFormat="true" applyProtection="false" borderId="0" fillId="0" fontId="6" numFmtId="17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23" fillId="11" fontId="1" numFmtId="0" xfId="0">
      <alignment horizontal="center" vertical="center"/>
    </xf>
    <xf applyAlignment="true" applyBorder="false" applyFill="true" applyFont="true" applyNumberFormat="false" applyProtection="false" borderId="23" fillId="11" fontId="2" numFmtId="0" xfId="0">
      <alignment horizontal="center" vertical="center"/>
    </xf>
    <xf applyAlignment="true" applyBorder="false" applyFill="true" applyFont="true" applyNumberFormat="true" applyProtection="false" borderId="23" fillId="11" fontId="2" numFmtId="172" xfId="0">
      <alignment horizontal="center" vertical="center"/>
    </xf>
    <xf applyAlignment="true" applyBorder="false" applyFill="true" applyFont="true" applyNumberFormat="false" applyProtection="false" borderId="0" fillId="11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24" fillId="0" fontId="3" numFmtId="173" xfId="0">
      <alignment horizontal="center" vertical="center"/>
    </xf>
    <xf applyAlignment="true" applyBorder="false" applyFill="false" applyFont="true" applyNumberFormat="false" applyProtection="false" borderId="24" fillId="0" fontId="3" numFmtId="0" xfId="0">
      <alignment horizontal="center" vertical="center"/>
    </xf>
    <xf applyAlignment="true" applyBorder="false" applyFill="false" applyFont="true" applyNumberFormat="false" applyProtection="false" borderId="24" fillId="0" fontId="3" numFmtId="0" xfId="0">
      <alignment horizontal="center" vertical="center" wrapText="true"/>
    </xf>
    <xf applyAlignment="true" applyBorder="false" applyFill="false" applyFont="true" applyNumberFormat="true" applyProtection="false" borderId="24" fillId="0" fontId="3" numFmtId="174" xfId="0">
      <alignment horizontal="center" vertical="center"/>
    </xf>
    <xf applyAlignment="true" applyBorder="false" applyFill="true" applyFont="true" applyNumberFormat="true" applyProtection="false" borderId="23" fillId="12" fontId="4" numFmtId="175" xfId="0">
      <alignment horizontal="center" vertical="center"/>
    </xf>
    <xf applyAlignment="true" applyBorder="false" applyFill="false" applyFont="true" applyNumberFormat="true" applyProtection="false" borderId="25" fillId="0" fontId="3" numFmtId="172" xfId="0">
      <alignment horizontal="center" vertical="center"/>
    </xf>
    <xf applyAlignment="true" applyBorder="false" applyFill="true" applyFont="true" applyNumberFormat="false" applyProtection="false" borderId="26" fillId="13" fontId="5" numFmtId="0" xfId="0">
      <alignment horizontal="center" vertical="center"/>
    </xf>
    <xf applyAlignment="true" applyBorder="false" applyFill="false" applyFont="true" applyNumberFormat="false" applyProtection="false" borderId="27" fillId="0" fontId="3" numFmtId="0" xfId="0">
      <alignment horizontal="center" vertical="center"/>
    </xf>
    <xf applyAlignment="true" applyBorder="false" applyFill="false" applyFont="true" applyNumberFormat="false" applyProtection="false" borderId="24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24" fillId="0" fontId="3" numFmtId="174" xfId="0">
      <alignment horizontal="center" vertical="center"/>
    </xf>
    <xf applyAlignment="true" applyBorder="false" applyFill="true" applyFont="true" applyNumberFormat="false" applyProtection="false" borderId="26" fillId="13" fontId="7" numFmtId="0" xfId="0">
      <alignment horizontal="center" vertical="center"/>
    </xf>
    <xf applyAlignment="true" applyBorder="false" applyFill="false" applyFont="true" applyNumberFormat="false" applyProtection="false" borderId="27" fillId="0" fontId="3" numFmtId="0" xfId="0">
      <alignment vertical="center"/>
    </xf>
    <xf applyAlignment="true" applyBorder="false" applyFill="true" applyFont="true" applyNumberFormat="false" applyProtection="false" borderId="26" fillId="13" fontId="5" numFmtId="0" xfId="0">
      <alignment horizontal="center" vertical="center"/>
    </xf>
    <xf applyAlignment="true" applyBorder="false" applyFill="true" applyFont="true" applyNumberFormat="true" applyProtection="false" borderId="28" fillId="14" fontId="3" numFmtId="173" xfId="0">
      <alignment horizontal="center" vertical="center"/>
    </xf>
    <xf applyAlignment="true" applyBorder="false" applyFill="true" applyFont="true" applyNumberFormat="false" applyProtection="false" borderId="28" fillId="14" fontId="7" numFmtId="0" xfId="0">
      <alignment horizontal="center" vertical="center"/>
    </xf>
    <xf applyAlignment="true" applyBorder="false" applyFill="true" applyFont="true" applyNumberFormat="true" applyProtection="false" borderId="29" fillId="14" fontId="7" numFmtId="172" xfId="0">
      <alignment horizontal="center" vertical="center"/>
    </xf>
    <xf applyAlignment="true" applyBorder="false" applyFill="true" applyFont="true" applyNumberFormat="false" applyProtection="false" borderId="30" fillId="14" fontId="7" numFmtId="0" xfId="0">
      <alignment horizontal="center" vertical="center"/>
    </xf>
    <xf applyAlignment="true" applyBorder="false" applyFill="true" applyFont="true" applyNumberFormat="false" applyProtection="false" borderId="31" fillId="14" fontId="7" numFmtId="0" xfId="0">
      <alignment horizontal="center" vertical="center"/>
    </xf>
    <xf applyAlignment="true" applyBorder="false" applyFill="false" applyFont="true" applyNumberFormat="true" applyProtection="false" borderId="24" fillId="0" fontId="3" numFmtId="173" xfId="0">
      <alignment horizontal="center" vertical="center"/>
    </xf>
    <xf applyAlignment="true" applyBorder="false" applyFill="true" applyFont="true" applyNumberFormat="true" applyProtection="false" borderId="23" fillId="12" fontId="4" numFmtId="175" xfId="0">
      <alignment horizontal="center" vertical="center"/>
    </xf>
    <xf applyAlignment="true" applyBorder="false" applyFill="false" applyFont="true" applyNumberFormat="false" applyProtection="false" borderId="24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24" fillId="0" fontId="3" numFmtId="176" xfId="0">
      <alignment horizontal="center" vertical="center"/>
    </xf>
    <xf applyAlignment="true" applyBorder="false" applyFill="false" applyFont="true" applyNumberFormat="false" applyProtection="false" borderId="23" fillId="0" fontId="3" numFmtId="0" xfId="0">
      <alignment horizontal="center" vertical="center"/>
    </xf>
    <xf applyAlignment="true" applyBorder="false" applyFill="false" applyFont="true" applyNumberFormat="false" applyProtection="false" borderId="23" fillId="0" fontId="3" numFmtId="0" xfId="0">
      <alignment vertical="center"/>
    </xf>
    <xf applyAlignment="true" applyBorder="false" applyFill="true" applyFont="true" applyNumberFormat="true" applyProtection="false" borderId="28" fillId="14" fontId="3" numFmtId="173" xfId="0">
      <alignment horizontal="center" vertical="center"/>
    </xf>
    <xf applyAlignment="true" applyBorder="false" applyFill="true" applyFont="true" applyNumberFormat="false" applyProtection="false" borderId="31" fillId="14" fontId="7" numFmtId="0" xfId="0">
      <alignment horizontal="center" vertical="center"/>
    </xf>
    <xf applyAlignment="true" applyBorder="false" applyFill="true" applyFont="true" applyNumberFormat="false" applyProtection="false" borderId="26" fillId="13" fontId="5" numFmtId="0" xfId="0">
      <alignment horizontal="center" vertical="center"/>
    </xf>
    <xf applyAlignment="true" applyBorder="false" applyFill="true" applyFont="true" applyNumberFormat="true" applyProtection="false" borderId="28" fillId="12" fontId="3" numFmtId="173" xfId="0">
      <alignment horizontal="center" vertical="center"/>
    </xf>
    <xf applyAlignment="true" applyBorder="false" applyFill="true" applyFont="true" applyNumberFormat="false" applyProtection="false" borderId="28" fillId="12" fontId="7" numFmtId="0" xfId="0">
      <alignment horizontal="center" vertical="center"/>
    </xf>
    <xf applyAlignment="true" applyBorder="false" applyFill="true" applyFont="true" applyNumberFormat="true" applyProtection="false" borderId="29" fillId="12" fontId="7" numFmtId="172" xfId="0">
      <alignment horizontal="center" vertical="center"/>
    </xf>
    <xf applyAlignment="true" applyBorder="false" applyFill="true" applyFont="true" applyNumberFormat="false" applyProtection="false" borderId="30" fillId="12" fontId="7" numFmtId="0" xfId="0">
      <alignment horizontal="center" vertical="center"/>
    </xf>
    <xf applyAlignment="true" applyBorder="false" applyFill="true" applyFont="true" applyNumberFormat="false" applyProtection="false" borderId="31" fillId="12" fontId="7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32" fillId="15" fontId="1" numFmtId="0" xfId="0">
      <alignment horizontal="center" vertical="center"/>
    </xf>
    <xf applyAlignment="true" applyBorder="false" applyFill="true" applyFont="true" applyNumberFormat="false" applyProtection="false" borderId="32" fillId="15" fontId="2" numFmtId="0" xfId="0">
      <alignment horizontal="center" vertical="center"/>
    </xf>
    <xf applyAlignment="true" applyBorder="false" applyFill="true" applyFont="true" applyNumberFormat="true" applyProtection="false" borderId="32" fillId="15" fontId="2" numFmtId="177" xfId="0">
      <alignment horizontal="center" vertical="center"/>
    </xf>
    <xf applyAlignment="true" applyBorder="false" applyFill="true" applyFont="true" applyNumberFormat="false" applyProtection="false" borderId="0" fillId="15" fontId="2" numFmtId="0" xfId="0">
      <alignment horizontal="center" vertical="center"/>
    </xf>
    <xf applyAlignment="true" applyBorder="false" applyFill="false" applyFont="true" applyNumberFormat="true" applyProtection="false" borderId="33" fillId="0" fontId="3" numFmtId="178" xfId="0">
      <alignment horizontal="center" vertical="center"/>
    </xf>
    <xf applyAlignment="true" applyBorder="false" applyFill="false" applyFont="true" applyNumberFormat="false" applyProtection="false" borderId="33" fillId="0" fontId="3" numFmtId="0" xfId="0">
      <alignment horizontal="center" vertical="center"/>
    </xf>
    <xf applyAlignment="true" applyBorder="false" applyFill="false" applyFont="true" applyNumberFormat="false" applyProtection="false" borderId="33" fillId="0" fontId="3" numFmtId="0" xfId="0">
      <alignment horizontal="center" vertical="center" wrapText="true"/>
    </xf>
    <xf applyAlignment="true" applyBorder="false" applyFill="false" applyFont="true" applyNumberFormat="true" applyProtection="false" borderId="33" fillId="0" fontId="3" numFmtId="179" xfId="0">
      <alignment horizontal="center" vertical="center"/>
    </xf>
    <xf applyAlignment="true" applyBorder="false" applyFill="true" applyFont="true" applyNumberFormat="true" applyProtection="false" borderId="32" fillId="16" fontId="4" numFmtId="180" xfId="0">
      <alignment horizontal="center" vertical="center"/>
    </xf>
    <xf applyAlignment="true" applyBorder="false" applyFill="false" applyFont="true" applyNumberFormat="true" applyProtection="false" borderId="34" fillId="0" fontId="3" numFmtId="177" xfId="0">
      <alignment horizontal="center" vertical="center"/>
    </xf>
    <xf applyAlignment="true" applyBorder="false" applyFill="true" applyFont="true" applyNumberFormat="false" applyProtection="false" borderId="35" fillId="17" fontId="5" numFmtId="0" xfId="0">
      <alignment horizontal="center" vertical="center"/>
    </xf>
    <xf applyAlignment="true" applyBorder="false" applyFill="false" applyFont="true" applyNumberFormat="false" applyProtection="false" borderId="36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35" fillId="17" fontId="7" numFmtId="0" xfId="0">
      <alignment horizontal="center" vertical="center"/>
    </xf>
    <xf applyAlignment="true" applyBorder="false" applyFill="false" applyFont="true" applyNumberFormat="false" applyProtection="false" borderId="36" fillId="0" fontId="3" numFmtId="0" xfId="0">
      <alignment vertical="center"/>
    </xf>
    <xf applyAlignment="true" applyBorder="false" applyFill="true" applyFont="true" applyNumberFormat="true" applyProtection="false" borderId="37" fillId="18" fontId="3" numFmtId="178" xfId="0">
      <alignment horizontal="center" vertical="center"/>
    </xf>
    <xf applyAlignment="true" applyBorder="false" applyFill="true" applyFont="true" applyNumberFormat="false" applyProtection="false" borderId="37" fillId="18" fontId="7" numFmtId="0" xfId="0">
      <alignment horizontal="center" vertical="center"/>
    </xf>
    <xf applyAlignment="true" applyBorder="false" applyFill="true" applyFont="true" applyNumberFormat="true" applyProtection="false" borderId="38" fillId="18" fontId="7" numFmtId="177" xfId="0">
      <alignment horizontal="center" vertical="center"/>
    </xf>
    <xf applyAlignment="true" applyBorder="false" applyFill="true" applyFont="true" applyNumberFormat="false" applyProtection="false" borderId="39" fillId="18" fontId="7" numFmtId="0" xfId="0">
      <alignment horizontal="center" vertical="center"/>
    </xf>
    <xf applyAlignment="true" applyBorder="false" applyFill="true" applyFont="true" applyNumberFormat="false" applyProtection="false" borderId="40" fillId="18" fontId="7" numFmtId="0" xfId="0">
      <alignment horizontal="center" vertical="center"/>
    </xf>
    <xf applyAlignment="true" applyBorder="false" applyFill="false" applyFont="true" applyNumberFormat="false" applyProtection="false" borderId="41" fillId="0" fontId="3" numFmtId="0" xfId="0">
      <alignment horizontal="center" vertical="center"/>
    </xf>
    <xf applyAlignment="true" applyBorder="false" applyFill="false" applyFont="true" applyNumberFormat="false" applyProtection="false" borderId="36" fillId="0" fontId="6" numFmtId="0" xfId="0">
      <alignment horizontal="center" vertical="center"/>
    </xf>
    <xf applyAlignment="true" applyBorder="false" applyFill="false" applyFont="true" applyNumberFormat="true" applyProtection="false" borderId="42" fillId="0" fontId="3" numFmtId="179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worksheets/sheet3.xml" Type="http://schemas.openxmlformats.org/officeDocument/2006/relationships/worksheet"></Relationship><Relationship Id="rId8" Target="/xl/pivotCache/pivotCacheDefinition2.xml" Type="http://schemas.openxmlformats.org/officeDocument/2006/relationships/pivotCacheDefinition"></Relationship><Relationship Id="rId9" Target="worksheets/sheet4.xml" Type="http://schemas.openxmlformats.org/officeDocument/2006/relationships/worksheet"></Relationship><Relationship Id="rId10" Target="/xl/pivotCache/pivotCacheDefinition3.xml" Type="http://schemas.openxmlformats.org/officeDocument/2006/relationships/pivotCacheDefinition"></Relationship><Relationship Id="rId11" Target="worksheets/sheet5.xml" Type="http://schemas.openxmlformats.org/officeDocument/2006/relationships/worksheet"></Relationship><Relationship Id="rId12" Target="/xl/pivotCache/pivotCacheDefinition4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2" sheet="2026.9"/>
  </cacheSource>
  <cacheFields count="16">
    <cacheField name="日期" numFmtId="0">
      <sharedItems containsSemiMixedTypes="false" containsNonDate="false" containsDate="true" containsString="false" minDate="2026-09-01T00:00:00.000Z" maxDate="2026-09-04T00:00:00.000Z" count="0"/>
    </cacheField>
    <cacheField name="主播" numFmtId="0">
      <sharedItems containsBlank="true" count="4">
        <s v="王梦晴"/>
        <s v="徐梦婷"/>
        <m/>
        <s v="王井伊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.5" maxValue="7" count="5">
        <n v="4"/>
        <n v="3"/>
        <n v="7"/>
        <n v="6"/>
        <n v="2.5"/>
      </sharedItems>
    </cacheField>
    <cacheField name="总订单" numFmtId="0">
      <sharedItems containsSemiMixedTypes="false" containsString="false" containsNumber="true" containsInteger="true" minValue="2" maxValue="34" count="0"/>
    </cacheField>
    <cacheField name="保单数量" numFmtId="0">
      <sharedItems containsSemiMixedTypes="false" containsString="false" containsNumber="true" containsInteger="true" minValue="0" maxValue="21" count="0"/>
    </cacheField>
    <cacheField name="保险支付数" numFmtId="0">
      <sharedItems containsSemiMixedTypes="false" containsString="false" containsNumber="true" containsInteger="true" minValue="0" maxValue="14" count="0"/>
    </cacheField>
    <cacheField name="一号保单数" numFmtId="0">
      <sharedItems containsSemiMixedTypes="false" containsString="false" containsNumber="true" containsInteger="true" minValue="0" maxValue="15" count="0"/>
    </cacheField>
    <cacheField name="家庭单数量" numFmtId="0">
      <sharedItems containsSemiMixedTypes="false" containsString="false" containsNumber="true" containsInteger="true" minValue="0" maxValue="2" count="0"/>
    </cacheField>
    <cacheField name="年化保费" numFmtId="0">
      <sharedItems containsSemiMixedTypes="false" containsString="false" containsNumber="true" minValue="0" maxValue="27382" count="10">
        <n v="14878"/>
        <n v="12503.999999999998"/>
        <n v="27382"/>
        <n v="6146.400000000001"/>
        <n v="1832.3999999999996"/>
        <n v="7978.8"/>
        <n v="4612.799999999999"/>
        <n v="720"/>
        <n v="5332.799999999999"/>
        <n v="0"/>
      </sharedItems>
    </cacheField>
    <cacheField name="投流消耗" numFmtId="0">
      <sharedItems containsSemiMixedTypes="false" containsString="false" containsNumber="true" minValue="3048.52" maxValue="14191.119999999999" count="10">
        <n v="8204.119999999999"/>
        <n v="5987"/>
        <n v="14191.119999999999"/>
        <n v="8307.24"/>
        <n v="3048.52"/>
        <n v="11355.76"/>
        <n v="6660.81"/>
        <n v="4306.04"/>
        <n v="10966.85"/>
        <n v="3169.82"/>
      </sharedItems>
    </cacheField>
    <cacheField name="ROI" numFmtId="0">
      <sharedItems containsSemiMixedTypes="false" containsString="false" containsNumber="true" minValue="0" maxValue="2.0885251377985634" count="0"/>
    </cacheField>
    <cacheField name="单均" numFmtId="0">
      <sharedItems containsMixedTypes="true" containsNumber="true" minValue="0" maxValue="1595.76" count="0"/>
    </cacheField>
    <cacheField name="保单成本" numFmtId="0">
      <sharedItems containsMixedTypes="true" containsNumber="true" minValue="437.22315789473686" maxValue="4306.04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2.5" maxValue="7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69" sheet="2026.8"/>
  </cacheSource>
  <cacheFields count="16">
    <cacheField name="日期" numFmtId="0">
      <sharedItems containsSemiMixedTypes="false" containsNonDate="false" containsDate="true" containsString="false" minDate="2026-08-01T00:00:00.000Z" maxDate="2026-08-31T00:00:00.000Z" count="0"/>
    </cacheField>
    <cacheField name="主播" numFmtId="0">
      <sharedItems containsBlank="true" count="0"/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3" maxValue="8" count="0"/>
    </cacheField>
    <cacheField name="总订单" numFmtId="0">
      <sharedItems containsSemiMixedTypes="false" containsString="false" containsNumber="true" containsInteger="true" minValue="3" maxValue="100" count="0"/>
    </cacheField>
    <cacheField name="保单数量" numFmtId="0">
      <sharedItems containsSemiMixedTypes="false" containsString="false" containsNumber="true" containsInteger="true" minValue="0" maxValue="53" count="0"/>
    </cacheField>
    <cacheField name="保险支付数" numFmtId="0">
      <sharedItems containsSemiMixedTypes="false" containsString="false" containsNumber="true" containsInteger="true" minValue="0" maxValue="42" count="0"/>
    </cacheField>
    <cacheField name="一号保单数" numFmtId="0">
      <sharedItems containsSemiMixedTypes="false" containsString="false" containsNumber="true" containsInteger="true" minValue="0" maxValue="40" count="0"/>
    </cacheField>
    <cacheField name="家庭单数量" numFmtId="0">
      <sharedItems containsSemiMixedTypes="false" containsString="false" containsNumber="true" containsInteger="true" minValue="0" maxValue="6" count="0"/>
    </cacheField>
    <cacheField name="年化保费" numFmtId="0">
      <sharedItems containsSemiMixedTypes="false" containsString="false" containsNumber="true" minValue="0" maxValue="54867.60000000001" count="0"/>
    </cacheField>
    <cacheField name="投流消耗" numFmtId="0">
      <sharedItems containsSemiMixedTypes="false" containsString="false" containsNumber="true" minValue="2847.31" maxValue="38979.09" count="0"/>
    </cacheField>
    <cacheField name="ROI" numFmtId="0">
      <sharedItems containsSemiMixedTypes="false" containsString="false" containsNumber="true" minValue="0" maxValue="2.04" count="0"/>
    </cacheField>
    <cacheField name="单均" numFmtId="0">
      <sharedItems containsMixedTypes="true" containsNumber="true" minValue="600" maxValue="3766.8" count="0"/>
    </cacheField>
    <cacheField name="保单成本" numFmtId="0">
      <sharedItems containsMixedTypes="true" containsNumber="true" minValue="406.75857142857143" maxValue="4457.22" count="0"/>
    </cacheField>
    <cacheField name="助播" numFmtId="0">
      <sharedItems containsBlank="true" count="5">
        <s v="王学伟双"/>
        <m/>
        <s v="商潇涵"/>
        <s v="罗丽洋双"/>
        <s v="王学伟"/>
      </sharedItems>
    </cacheField>
    <cacheField name="助播时长" numFmtId="0">
      <sharedItems containsString="false" containsBlank="true" containsNumber="true" minValue="3" maxValue="8" count="7">
        <n v="8"/>
        <m/>
        <n v="3.5"/>
        <n v="4"/>
        <n v="5"/>
        <n v="3"/>
        <n v="7"/>
      </sharedItems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43" sheet="2026.7"/>
  </cacheSource>
  <cacheFields count="16">
    <cacheField name="日期" numFmtId="0">
      <sharedItems containsSemiMixedTypes="false" containsNonDate="false" containsDate="true" containsString="false" minDate="2026-07-20T00:00:00.000Z" maxDate="2026-07-31T00:00:00.000Z" count="0"/>
    </cacheField>
    <cacheField name="主播" numFmtId="0">
      <sharedItems containsBlank="true" count="0"/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2" maxValue="8" count="0"/>
    </cacheField>
    <cacheField name="总订单" numFmtId="0">
      <sharedItems containsSemiMixedTypes="false" containsString="false" containsNumber="true" containsInteger="true" minValue="1" maxValue="47" count="0"/>
    </cacheField>
    <cacheField name="保单数量" numFmtId="0">
      <sharedItems containsSemiMixedTypes="false" containsString="false" containsNumber="true" containsInteger="true" minValue="0" maxValue="25" count="0"/>
    </cacheField>
    <cacheField name="保险支付数" numFmtId="0">
      <sharedItems containsSemiMixedTypes="false" containsString="false" containsNumber="true" containsInteger="true" minValue="0" maxValue="22" count="0"/>
    </cacheField>
    <cacheField name="一号保单数" numFmtId="0">
      <sharedItems containsSemiMixedTypes="false" containsString="false" containsNumber="true" containsInteger="true" minValue="0" maxValue="19" count="0"/>
    </cacheField>
    <cacheField name="家庭单数量" numFmtId="0">
      <sharedItems containsSemiMixedTypes="false" containsString="false" containsNumber="true" containsInteger="true" minValue="0" maxValue="3" count="0"/>
    </cacheField>
    <cacheField name="年化保费" numFmtId="0">
      <sharedItems containsSemiMixedTypes="false" containsString="false" containsNumber="true" minValue="0" maxValue="37254" count="0"/>
    </cacheField>
    <cacheField name="投流消耗" numFmtId="0">
      <sharedItems containsSemiMixedTypes="false" containsString="false" containsNumber="true" minValue="1369.81" maxValue="26656.329999999998" count="0"/>
    </cacheField>
    <cacheField name="ROI" numFmtId="0">
      <sharedItems containsSemiMixedTypes="false" containsString="false" containsNumber="true" minValue="0" maxValue="2.1712314648531055" count="0"/>
    </cacheField>
    <cacheField name="单均" numFmtId="0">
      <sharedItems containsMixedTypes="true" containsNumber="true" minValue="660" maxValue="2928.2400000000002" count="0"/>
    </cacheField>
    <cacheField name="保单成本" numFmtId="0">
      <sharedItems containsMixedTypes="true" containsNumber="true" minValue="737.725" maxValue="3835.5299999999997" count="0"/>
    </cacheField>
    <cacheField name="助播" numFmtId="0">
      <sharedItems containsBlank="true" count="4">
        <s v="王学伟"/>
        <m/>
        <s v="王学伟晚"/>
        <s v="商潇涵晚"/>
      </sharedItems>
    </cacheField>
    <cacheField name="助播时长" numFmtId="0">
      <sharedItems containsString="false" containsBlank="true" containsNumber="true" containsInteger="true" minValue="3" maxValue="8" count="3">
        <n v="8"/>
        <m/>
        <n v="3"/>
      </sharedItems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K$15" sheet="Sheet4"/>
  </cacheSource>
  <cacheFields count="11">
    <cacheField name="日期" numFmtId="0">
      <sharedItems containsSemiMixedTypes="false" containsNonDate="false" containsDate="true" containsString="false" minDate="2026-08-31T00:00:00.000Z" maxDate="2026-09-04T00:00:00.000Z" count="0"/>
    </cacheField>
    <cacheField name="主播" numFmtId="0">
      <sharedItems containsBlank="true" count="4">
        <s v="王梦晴"/>
        <s v="徐梦婷"/>
        <m/>
        <s v="王井伊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.5" maxValue="7" count="5">
        <n v="4"/>
        <n v="3"/>
        <n v="7"/>
        <n v="6"/>
        <n v="2.5"/>
      </sharedItems>
    </cacheField>
    <cacheField name="总订单" numFmtId="0">
      <sharedItems containsSemiMixedTypes="false" containsString="false" containsNumber="true" containsInteger="true" minValue="2" maxValue="34" count="0"/>
    </cacheField>
    <cacheField name="保单数量" numFmtId="0">
      <sharedItems containsSemiMixedTypes="false" containsString="false" containsNumber="true" containsInteger="true" minValue="0" maxValue="21" count="11">
        <n v="10"/>
        <n v="11"/>
        <n v="21"/>
        <n v="3"/>
        <n v="2"/>
        <n v="5"/>
        <n v="1"/>
        <n v="6"/>
        <n v="0"/>
        <n v="4"/>
        <n v="8"/>
      </sharedItems>
    </cacheField>
    <cacheField name="保险支付数" numFmtId="0">
      <sharedItems containsSemiMixedTypes="false" containsString="false" containsNumber="true" containsInteger="true" minValue="0" maxValue="14" count="0"/>
    </cacheField>
    <cacheField name="一号保单数" numFmtId="0">
      <sharedItems containsSemiMixedTypes="false" containsString="false" containsNumber="true" containsInteger="true" minValue="0" maxValue="15" count="10">
        <n v="6"/>
        <n v="9"/>
        <n v="15"/>
        <n v="1"/>
        <n v="2"/>
        <n v="3"/>
        <n v="5"/>
        <n v="0"/>
        <n v="4"/>
        <n v="7"/>
      </sharedItems>
    </cacheField>
    <cacheField name="家庭单数量" numFmtId="0">
      <sharedItems containsSemiMixedTypes="false" containsString="false" containsNumber="true" containsInteger="true" minValue="0" maxValue="2" count="0"/>
    </cacheField>
    <cacheField name="年化保费" numFmtId="0">
      <sharedItems containsSemiMixedTypes="false" containsString="false" containsNumber="true" minValue="0" maxValue="27382" count="0"/>
    </cacheField>
    <cacheField name="投流消耗" numFmtId="0">
      <sharedItems containsSemiMixedTypes="false" containsString="false" containsNumber="true" minValue="3048.52" maxValue="18030.579999999998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D$18:$G$22" firstHeaderRow="1" firstDataRow="1" firstDataCol="1"/>
  <pivotFields count="16">
    <pivotField compact="false" outline="false" showAll="false"/>
    <pivotField axis="axisRow" compact="false" outline="false" showAll="false">
      <items count="5">
        <item x="0"/>
        <item x="1"/>
        <item h="true" x="2"/>
        <item x="3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9" subtotal="sum"/>
    <dataField name="求和项:投流消耗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C$74:$D$79" firstHeaderRow="1" firstDataRow="1" firstDataCol="1"/>
  <pivotFields count="16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6">
        <item x="0"/>
        <item h="true" x="1"/>
        <item x="2"/>
        <item x="3"/>
        <item x="4"/>
        <item t="default"/>
      </items>
    </pivotField>
    <pivotField dataField="true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dataFields count="1">
    <dataField name="求和项:助播时长" fld="1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49:$D$53" firstHeaderRow="1" firstDataRow="1" firstDataCol="1"/>
  <pivotFields count="16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5">
        <item x="0"/>
        <item h="true" x="1"/>
        <item x="2"/>
        <item x="3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</pivotFields>
  <rowFields count="1">
    <field x="14"/>
  </rowFields>
  <dataFields count="1">
    <dataField name="求和项:助播时长" fld="1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19:$F$24" firstHeaderRow="1" firstDataRow="1" firstDataCol="1"/>
  <pivotFields count="11">
    <pivotField compact="false" outline="false" showAll="false"/>
    <pivotField axis="axisRow" compact="false" outline="false" showAll="false">
      <items count="5">
        <item x="0"/>
        <item x="1"/>
        <item x="2"/>
        <item x="3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保单数量" fld="5" subtotal="sum"/>
    <dataField name="求和项:一号保单数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3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3" t="s">
        <v>13</v>
      </c>
      <c r="N1" s="3" t="s">
        <v>14</v>
      </c>
      <c r="O1" s="4" t="s">
        <v>15</v>
      </c>
      <c r="P1" s="4" t="s">
        <v>16</v>
      </c>
    </row>
    <row hidden="true" r="2">
      <c r="A2" s="5">
        <v>46266</v>
      </c>
      <c r="B2" s="6" t="s">
        <v>17</v>
      </c>
      <c r="C2" s="7" t="s">
        <v>18</v>
      </c>
      <c r="D2" s="6">
        <v>4</v>
      </c>
      <c r="E2" s="6">
        <v>16</v>
      </c>
      <c r="F2" s="6">
        <v>10</v>
      </c>
      <c r="G2" s="6">
        <v>7</v>
      </c>
      <c r="H2" s="6">
        <v>6</v>
      </c>
      <c r="I2" s="6">
        <v>1</v>
      </c>
      <c r="J2" s="8">
        <v>14878</v>
      </c>
      <c r="K2" s="9">
        <v>8204.119999999999</v>
      </c>
      <c r="L2" s="10">
        <f t="shared" ref="L2:L12" si="0">J2/K2</f>
      </c>
      <c r="M2" s="10">
        <f t="shared" ref="M2:M4" si="1">J2/F2</f>
      </c>
      <c r="N2" s="10">
        <f t="shared" ref="N2:N4" si="4">K2/F2</f>
      </c>
      <c r="O2" s="11" t="s">
        <v>19</v>
      </c>
      <c r="P2" s="12">
        <v>7</v>
      </c>
    </row>
    <row hidden="true" r="3">
      <c r="A3" s="5">
        <v>46266</v>
      </c>
      <c r="B3" s="6" t="s">
        <v>20</v>
      </c>
      <c r="C3" s="7" t="s">
        <v>21</v>
      </c>
      <c r="D3" s="6">
        <v>3</v>
      </c>
      <c r="E3" s="6">
        <v>18</v>
      </c>
      <c r="F3" s="6">
        <v>11</v>
      </c>
      <c r="G3" s="6">
        <v>7</v>
      </c>
      <c r="H3" s="6">
        <v>9</v>
      </c>
      <c r="I3" s="13">
        <v>1</v>
      </c>
      <c r="J3" s="8">
        <v>12503.999999999998</v>
      </c>
      <c r="K3" s="8">
        <v>5987</v>
      </c>
      <c r="L3" s="10">
        <f t="shared" si="0"/>
      </c>
      <c r="M3" s="10">
        <f t="shared" si="1"/>
      </c>
      <c r="N3" s="10">
        <f t="shared" si="4"/>
      </c>
      <c r="O3" s="14"/>
      <c r="P3" s="15"/>
    </row>
    <row r="4">
      <c r="A4" s="16">
        <v>46266</v>
      </c>
      <c r="B4" s="17"/>
      <c r="C4" s="17"/>
      <c r="D4" s="17">
        <f>SUM(D2:D3)</f>
      </c>
      <c r="E4" s="17">
        <f>SUM(E2:E3)</f>
      </c>
      <c r="F4" s="17">
        <f>SUM(F2:F3)</f>
      </c>
      <c r="G4" s="17">
        <f>SUM(G2:G3)</f>
      </c>
      <c r="H4" s="17">
        <f>SUM(H2:H3)</f>
      </c>
      <c r="I4" s="17">
        <f>SUM(I2:I3)</f>
      </c>
      <c r="J4" s="17">
        <f>SUM(J2:J3)</f>
      </c>
      <c r="K4" s="17">
        <f>SUM(K2:K3)</f>
      </c>
      <c r="L4" s="18">
        <f t="shared" si="0"/>
      </c>
      <c r="M4" s="18">
        <f t="shared" si="1"/>
      </c>
      <c r="N4" s="18">
        <f t="shared" si="4"/>
      </c>
      <c r="O4" s="19"/>
      <c r="P4" s="20">
        <f>SUM(P2:P3)</f>
      </c>
    </row>
    <row hidden="true" r="5">
      <c r="A5" s="5">
        <v>46267</v>
      </c>
      <c r="B5" s="6" t="s">
        <v>17</v>
      </c>
      <c r="C5" s="7" t="s">
        <v>18</v>
      </c>
      <c r="D5" s="6">
        <v>4</v>
      </c>
      <c r="E5" s="6">
        <v>19</v>
      </c>
      <c r="F5" s="6">
        <v>3</v>
      </c>
      <c r="G5" s="6">
        <v>3</v>
      </c>
      <c r="H5" s="21">
        <v>1</v>
      </c>
      <c r="I5" s="22">
        <v>1</v>
      </c>
      <c r="J5" s="23">
        <v>6146.400000000001</v>
      </c>
      <c r="K5" s="9">
        <v>8307.24</v>
      </c>
      <c r="L5" s="10">
        <f t="shared" si="0"/>
      </c>
      <c r="M5" s="10">
        <f>J5/E5</f>
      </c>
      <c r="N5" s="10">
        <f>K5/E5</f>
      </c>
      <c r="O5" s="11" t="s">
        <v>19</v>
      </c>
      <c r="P5" s="12">
        <v>7</v>
      </c>
    </row>
    <row hidden="true" r="6">
      <c r="A6" s="5">
        <v>46267</v>
      </c>
      <c r="B6" s="6" t="s">
        <v>20</v>
      </c>
      <c r="C6" s="7" t="s">
        <v>21</v>
      </c>
      <c r="D6" s="6">
        <v>3</v>
      </c>
      <c r="E6" s="6">
        <v>6</v>
      </c>
      <c r="F6" s="6">
        <v>2</v>
      </c>
      <c r="G6" s="6">
        <v>3</v>
      </c>
      <c r="H6" s="6">
        <v>2</v>
      </c>
      <c r="I6" s="13">
        <v>0</v>
      </c>
      <c r="J6" s="8">
        <v>1832.3999999999996</v>
      </c>
      <c r="K6" s="8">
        <v>3048.52</v>
      </c>
      <c r="L6" s="10">
        <f t="shared" si="0"/>
      </c>
      <c r="M6" s="10">
        <f t="shared" ref="M6:M7" si="2">J6/F6</f>
      </c>
      <c r="N6" s="10">
        <f t="shared" ref="N6:N7" si="5">K6/F6</f>
      </c>
      <c r="O6" s="14"/>
      <c r="P6" s="15"/>
    </row>
    <row r="7">
      <c r="A7" s="16">
        <v>46267</v>
      </c>
      <c r="B7" s="17"/>
      <c r="C7" s="17"/>
      <c r="D7" s="17">
        <f>SUM(D5:D6)</f>
      </c>
      <c r="E7" s="17">
        <f>SUM(E5:E6)</f>
      </c>
      <c r="F7" s="17">
        <f>SUM(F5:F6)</f>
      </c>
      <c r="G7" s="17">
        <f>SUM(G5:G6)</f>
      </c>
      <c r="H7" s="17">
        <f>SUM(H5:H6)</f>
      </c>
      <c r="I7" s="17">
        <f>SUM(I5:I6)</f>
      </c>
      <c r="J7" s="17">
        <f>SUM(J5:J6)</f>
      </c>
      <c r="K7" s="17">
        <f>SUM(K5:K6)</f>
      </c>
      <c r="L7" s="18">
        <f t="shared" si="0"/>
      </c>
      <c r="M7" s="18">
        <f t="shared" si="2"/>
      </c>
      <c r="N7" s="18">
        <f t="shared" si="5"/>
      </c>
      <c r="O7" s="19"/>
      <c r="P7" s="20">
        <f>SUM(P5:P6)</f>
      </c>
    </row>
    <row hidden="true" r="8">
      <c r="A8" s="5">
        <v>46268</v>
      </c>
      <c r="B8" s="6" t="s">
        <v>17</v>
      </c>
      <c r="C8" s="7" t="s">
        <v>22</v>
      </c>
      <c r="D8" s="6">
        <v>3</v>
      </c>
      <c r="E8" s="6">
        <v>9</v>
      </c>
      <c r="F8" s="6">
        <v>5</v>
      </c>
      <c r="G8" s="6">
        <v>5</v>
      </c>
      <c r="H8" s="21">
        <v>5</v>
      </c>
      <c r="I8" s="22">
        <v>0</v>
      </c>
      <c r="J8" s="23">
        <v>4612.799999999999</v>
      </c>
      <c r="K8" s="9">
        <v>6660.81</v>
      </c>
      <c r="L8" s="10">
        <f t="shared" si="0"/>
      </c>
      <c r="M8" s="10">
        <f>J8/E8</f>
      </c>
      <c r="N8" s="10">
        <f>K8/E8</f>
      </c>
      <c r="O8" s="11" t="s">
        <v>19</v>
      </c>
      <c r="P8" s="12">
        <v>6</v>
      </c>
    </row>
    <row hidden="true" r="9">
      <c r="A9" s="5">
        <v>46268</v>
      </c>
      <c r="B9" s="6" t="s">
        <v>23</v>
      </c>
      <c r="C9" s="7" t="s">
        <v>24</v>
      </c>
      <c r="D9" s="6">
        <v>3</v>
      </c>
      <c r="E9" s="6">
        <v>9</v>
      </c>
      <c r="F9" s="6">
        <v>1</v>
      </c>
      <c r="G9" s="6">
        <v>1</v>
      </c>
      <c r="H9" s="6">
        <v>1</v>
      </c>
      <c r="I9" s="13">
        <v>0</v>
      </c>
      <c r="J9" s="8">
        <v>720</v>
      </c>
      <c r="K9" s="8">
        <v>4306.04</v>
      </c>
      <c r="L9" s="10">
        <f t="shared" si="0"/>
      </c>
      <c r="M9" s="10">
        <f t="shared" ref="M9:M10" si="3">J9/F9</f>
      </c>
      <c r="N9" s="10">
        <f t="shared" ref="N9:N10" si="6">K9/F9</f>
      </c>
      <c r="O9" s="14"/>
      <c r="P9" s="15"/>
    </row>
    <row r="10">
      <c r="A10" s="16">
        <v>46268</v>
      </c>
      <c r="B10" s="17"/>
      <c r="C10" s="17"/>
      <c r="D10" s="17">
        <f>SUM(D8:D9)</f>
      </c>
      <c r="E10" s="17">
        <f>SUM(E8:E9)</f>
      </c>
      <c r="F10" s="17">
        <f>SUM(F8:F9)</f>
      </c>
      <c r="G10" s="17">
        <f>SUM(G8:G9)</f>
      </c>
      <c r="H10" s="17">
        <f>SUM(H8:H9)</f>
      </c>
      <c r="I10" s="17">
        <f>SUM(I8:I9)</f>
      </c>
      <c r="J10" s="17">
        <f>SUM(J8:J9)</f>
      </c>
      <c r="K10" s="17">
        <f>SUM(K8:K9)</f>
      </c>
      <c r="L10" s="18">
        <f t="shared" si="0"/>
      </c>
      <c r="M10" s="18">
        <f t="shared" si="3"/>
      </c>
      <c r="N10" s="18">
        <f t="shared" si="6"/>
      </c>
      <c r="O10" s="19"/>
      <c r="P10" s="20">
        <f>SUM(P8:P9)</f>
      </c>
    </row>
    <row hidden="true" r="11">
      <c r="A11" s="5">
        <v>46269</v>
      </c>
      <c r="B11" s="6" t="s">
        <v>17</v>
      </c>
      <c r="C11" s="7" t="s">
        <v>25</v>
      </c>
      <c r="D11" s="6">
        <v>2.5</v>
      </c>
      <c r="E11" s="6">
        <v>2</v>
      </c>
      <c r="F11" s="6">
        <v>0</v>
      </c>
      <c r="G11" s="6">
        <v>0</v>
      </c>
      <c r="H11" s="21">
        <v>0</v>
      </c>
      <c r="I11" s="22">
        <v>0</v>
      </c>
      <c r="J11" s="23">
        <v>0</v>
      </c>
      <c r="K11" s="9">
        <v>3169.82</v>
      </c>
      <c r="L11" s="10">
        <f t="shared" si="0"/>
      </c>
      <c r="M11" s="10">
        <f>J11/E11</f>
      </c>
      <c r="N11" s="10">
        <f>K11/E11</f>
      </c>
      <c r="O11" s="11" t="s">
        <v>26</v>
      </c>
      <c r="P11" s="12">
        <v>2.5</v>
      </c>
    </row>
    <row r="12">
      <c r="A12" s="16">
        <v>46269</v>
      </c>
      <c r="B12" s="17"/>
      <c r="C12" s="17"/>
      <c r="D12" s="17">
        <f>SUM(D11)</f>
      </c>
      <c r="E12" s="17">
        <f>SUM(E11)</f>
      </c>
      <c r="F12" s="17">
        <f>SUM(F11)</f>
      </c>
      <c r="G12" s="17">
        <f>SUM(G11)</f>
      </c>
      <c r="H12" s="17">
        <f>SUM(H11)</f>
      </c>
      <c r="I12" s="17">
        <f>SUM(I11)</f>
      </c>
      <c r="J12" s="17">
        <f>SUM(J11)</f>
      </c>
      <c r="K12" s="17">
        <f>SUM(K11)</f>
      </c>
      <c r="L12" s="18">
        <f t="shared" si="0"/>
      </c>
      <c r="M12" s="18">
        <f>J12/F12</f>
      </c>
      <c r="N12" s="18">
        <f>K12/F12</f>
      </c>
      <c r="O12" s="19"/>
      <c r="P12" s="20">
        <f>SUM(P11)</f>
      </c>
    </row>
    <row r="13"/>
    <row r="14"/>
    <row r="15"/>
    <row r="16"/>
    <row r="17"/>
    <row r="18"/>
    <row r="19">
      <c r="K19" t="s">
        <v>15</v>
      </c>
      <c r="L19" t="s">
        <v>27</v>
      </c>
    </row>
    <row r="20">
      <c r="K20" t="s">
        <v>19</v>
      </c>
      <c r="L20">
        <v>20</v>
      </c>
    </row>
    <row r="21">
      <c r="K21" t="s">
        <v>26</v>
      </c>
      <c r="L21">
        <v>2.5</v>
      </c>
    </row>
    <row r="22">
      <c r="K22" t="s">
        <v>28</v>
      </c>
      <c r="L22">
        <v>22.5</v>
      </c>
    </row>
  </sheetData>
  <autoFilter ref="A1:P13">
    <filterColumn colId="1">
      <filters blank="true"/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24" t="s">
        <v>29</v>
      </c>
      <c r="B1" s="25" t="s">
        <v>30</v>
      </c>
      <c r="C1" s="25" t="s">
        <v>31</v>
      </c>
      <c r="D1" s="25" t="s">
        <v>32</v>
      </c>
      <c r="E1" s="25" t="s">
        <v>33</v>
      </c>
      <c r="F1" s="25" t="s">
        <v>34</v>
      </c>
      <c r="G1" s="25" t="s">
        <v>35</v>
      </c>
      <c r="H1" s="26" t="s">
        <v>36</v>
      </c>
      <c r="I1" s="25" t="s">
        <v>37</v>
      </c>
      <c r="J1" s="25" t="s">
        <v>38</v>
      </c>
      <c r="K1" s="25" t="s">
        <v>39</v>
      </c>
      <c r="L1" s="26" t="s">
        <v>40</v>
      </c>
      <c r="M1" s="26" t="s">
        <v>41</v>
      </c>
      <c r="N1" s="26" t="s">
        <v>42</v>
      </c>
      <c r="O1" s="27" t="s">
        <v>43</v>
      </c>
      <c r="P1" s="27" t="s">
        <v>44</v>
      </c>
    </row>
    <row hidden="true" r="2">
      <c r="A2" s="28">
        <v>46235</v>
      </c>
      <c r="B2" s="29" t="s">
        <v>45</v>
      </c>
      <c r="C2" s="30" t="s">
        <v>46</v>
      </c>
      <c r="D2" s="29">
        <v>4</v>
      </c>
      <c r="E2" s="29">
        <v>5</v>
      </c>
      <c r="F2" s="29">
        <v>3</v>
      </c>
      <c r="G2" s="29">
        <v>2</v>
      </c>
      <c r="H2" s="29">
        <v>3</v>
      </c>
      <c r="I2" s="29">
        <v>0</v>
      </c>
      <c r="J2" s="31">
        <v>2923.2000000000003</v>
      </c>
      <c r="K2" s="32">
        <v>4816.95</v>
      </c>
      <c r="L2" s="33">
        <f t="shared" ref="L2:L4" si="0">J2/K2</f>
      </c>
      <c r="M2" s="33">
        <f t="shared" ref="M2:M69" si="4">J2/F2</f>
      </c>
      <c r="N2" s="33">
        <f t="shared" ref="N2:N69" si="3">K2/F2</f>
      </c>
      <c r="O2" s="34" t="s">
        <v>47</v>
      </c>
      <c r="P2" s="35">
        <v>8</v>
      </c>
    </row>
    <row hidden="true" r="3">
      <c r="A3" s="28">
        <v>46235</v>
      </c>
      <c r="B3" s="29" t="s">
        <v>48</v>
      </c>
      <c r="C3" s="30" t="s">
        <v>49</v>
      </c>
      <c r="D3" s="29">
        <v>4</v>
      </c>
      <c r="E3" s="29">
        <v>8</v>
      </c>
      <c r="F3" s="29">
        <v>7</v>
      </c>
      <c r="G3" s="29">
        <v>7</v>
      </c>
      <c r="H3" s="29">
        <v>7</v>
      </c>
      <c r="I3" s="36">
        <v>1</v>
      </c>
      <c r="J3" s="31">
        <v>5142.4</v>
      </c>
      <c r="K3" s="31">
        <v>2847.31</v>
      </c>
      <c r="L3" s="33">
        <f t="shared" si="0"/>
      </c>
      <c r="M3" s="33">
        <f t="shared" si="4"/>
      </c>
      <c r="N3" s="33">
        <f t="shared" si="3"/>
      </c>
      <c r="O3" s="37"/>
      <c r="P3" s="38"/>
    </row>
    <row hidden="true" r="4">
      <c r="A4" s="39">
        <v>46235</v>
      </c>
      <c r="B4" s="40"/>
      <c r="C4" s="40"/>
      <c r="D4" s="40">
        <f>SUM(D2:D3)</f>
      </c>
      <c r="E4" s="40">
        <f>SUM(E2:E3)</f>
      </c>
      <c r="F4" s="40">
        <f>SUM(F2:F3)</f>
      </c>
      <c r="G4" s="40">
        <f>SUM(G2:G3)</f>
      </c>
      <c r="H4" s="40">
        <f>SUM(H2:H3)</f>
      </c>
      <c r="I4" s="40">
        <f>SUM(I2:I3)</f>
      </c>
      <c r="J4" s="40">
        <f>SUM(J2:J3)</f>
      </c>
      <c r="K4" s="40">
        <f>SUM(K2:K3)</f>
      </c>
      <c r="L4" s="41">
        <f t="shared" si="0"/>
      </c>
      <c r="M4" s="41">
        <f t="shared" si="4"/>
      </c>
      <c r="N4" s="41">
        <f t="shared" si="3"/>
      </c>
      <c r="O4" s="42"/>
      <c r="P4" s="43">
        <f>SUM(P2:P3)</f>
      </c>
    </row>
    <row r="5">
      <c r="A5" s="28">
        <v>46236</v>
      </c>
      <c r="B5" s="29" t="s">
        <v>48</v>
      </c>
      <c r="C5" s="30" t="s">
        <v>46</v>
      </c>
      <c r="D5" s="29">
        <v>4</v>
      </c>
      <c r="E5" s="29">
        <v>8</v>
      </c>
      <c r="F5" s="29">
        <v>3</v>
      </c>
      <c r="G5" s="29">
        <v>3</v>
      </c>
      <c r="H5" s="29">
        <v>3</v>
      </c>
      <c r="I5" s="29">
        <v>0</v>
      </c>
      <c r="J5" s="31">
        <v>3600.4</v>
      </c>
      <c r="K5" s="32">
        <v>4754.9</v>
      </c>
      <c r="L5" s="44">
        <v>0.75</v>
      </c>
      <c r="M5" s="33">
        <f t="shared" si="4"/>
      </c>
      <c r="N5" s="33">
        <f t="shared" si="3"/>
      </c>
      <c r="O5" s="34" t="s">
        <v>50</v>
      </c>
      <c r="P5" s="35">
        <v>8</v>
      </c>
    </row>
    <row hidden="true" r="6">
      <c r="A6" s="28">
        <v>46236</v>
      </c>
      <c r="B6" s="29" t="s">
        <v>51</v>
      </c>
      <c r="C6" s="30" t="s">
        <v>49</v>
      </c>
      <c r="D6" s="29">
        <v>4</v>
      </c>
      <c r="E6" s="29">
        <v>4</v>
      </c>
      <c r="F6" s="29">
        <v>3</v>
      </c>
      <c r="G6" s="29">
        <v>3</v>
      </c>
      <c r="H6" s="29">
        <v>2</v>
      </c>
      <c r="I6" s="36">
        <v>0</v>
      </c>
      <c r="J6" s="31">
        <v>3008.4</v>
      </c>
      <c r="K6" s="31">
        <v>4060.13</v>
      </c>
      <c r="L6" s="44">
        <v>0.74</v>
      </c>
      <c r="M6" s="33">
        <f t="shared" si="4"/>
      </c>
      <c r="N6" s="33">
        <f t="shared" si="3"/>
      </c>
      <c r="O6" s="37"/>
      <c r="P6" s="38"/>
    </row>
    <row hidden="true" r="7">
      <c r="A7" s="39">
        <v>46236</v>
      </c>
      <c r="B7" s="40"/>
      <c r="C7" s="40"/>
      <c r="D7" s="40">
        <f>SUM(D5:D6)</f>
      </c>
      <c r="E7" s="40">
        <f>SUM(E5:E6)</f>
      </c>
      <c r="F7" s="40">
        <f>SUM(F5:F6)</f>
      </c>
      <c r="G7" s="40">
        <f>SUM(G5:G6)</f>
      </c>
      <c r="H7" s="40">
        <f>SUM(H5:H6)</f>
      </c>
      <c r="I7" s="40">
        <f>SUM(I5:I6)</f>
      </c>
      <c r="J7" s="40">
        <f>SUM(J5:J6)</f>
      </c>
      <c r="K7" s="40">
        <f>SUM(K5:K6)</f>
      </c>
      <c r="L7" s="41">
        <f>J7/K7</f>
      </c>
      <c r="M7" s="41">
        <f t="shared" si="4"/>
      </c>
      <c r="N7" s="41">
        <f t="shared" si="3"/>
      </c>
      <c r="O7" s="42"/>
      <c r="P7" s="43">
        <f>SUM(P5:P6)</f>
      </c>
    </row>
    <row r="8">
      <c r="A8" s="28">
        <v>46237</v>
      </c>
      <c r="B8" s="29" t="s">
        <v>45</v>
      </c>
      <c r="C8" s="30" t="s">
        <v>52</v>
      </c>
      <c r="D8" s="29">
        <v>3.5</v>
      </c>
      <c r="E8" s="29">
        <v>3</v>
      </c>
      <c r="F8" s="29">
        <v>0</v>
      </c>
      <c r="G8" s="29">
        <v>0</v>
      </c>
      <c r="H8" s="45">
        <v>0</v>
      </c>
      <c r="I8" s="36">
        <v>0</v>
      </c>
      <c r="J8" s="31">
        <v>0</v>
      </c>
      <c r="K8" s="31">
        <v>3154</v>
      </c>
      <c r="L8" s="44">
        <v>0</v>
      </c>
      <c r="M8" s="33">
        <f t="shared" si="4"/>
      </c>
      <c r="N8" s="33">
        <f t="shared" si="3"/>
      </c>
      <c r="O8" s="34" t="s">
        <v>50</v>
      </c>
      <c r="P8" s="35">
        <v>3.5</v>
      </c>
    </row>
    <row hidden="true" r="9">
      <c r="A9" s="39">
        <v>46237</v>
      </c>
      <c r="B9" s="40"/>
      <c r="C9" s="40"/>
      <c r="D9" s="46">
        <v>3.5</v>
      </c>
      <c r="E9" s="46">
        <v>3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3154</v>
      </c>
      <c r="L9" s="47">
        <v>0</v>
      </c>
      <c r="M9" s="41">
        <f t="shared" si="4"/>
      </c>
      <c r="N9" s="41">
        <f t="shared" si="3"/>
      </c>
      <c r="O9" s="42"/>
      <c r="P9" s="43">
        <f>3.5</f>
      </c>
    </row>
    <row r="10">
      <c r="A10" s="28">
        <v>46238</v>
      </c>
      <c r="B10" s="29" t="s">
        <v>45</v>
      </c>
      <c r="C10" s="30" t="s">
        <v>53</v>
      </c>
      <c r="D10" s="29">
        <v>4</v>
      </c>
      <c r="E10" s="29">
        <v>8</v>
      </c>
      <c r="F10" s="29">
        <v>4</v>
      </c>
      <c r="G10" s="29">
        <v>2</v>
      </c>
      <c r="H10" s="29">
        <v>3</v>
      </c>
      <c r="I10" s="29">
        <v>1</v>
      </c>
      <c r="J10" s="31">
        <v>3353.2</v>
      </c>
      <c r="K10" s="32">
        <v>4554.92</v>
      </c>
      <c r="L10" s="44">
        <v>0.74</v>
      </c>
      <c r="M10" s="33">
        <f t="shared" si="4"/>
      </c>
      <c r="N10" s="33">
        <f t="shared" si="3"/>
      </c>
      <c r="O10" s="34" t="s">
        <v>50</v>
      </c>
      <c r="P10" s="35">
        <v>8</v>
      </c>
    </row>
    <row hidden="true" r="11">
      <c r="A11" s="28">
        <v>46238</v>
      </c>
      <c r="B11" s="29" t="s">
        <v>51</v>
      </c>
      <c r="C11" s="30" t="s">
        <v>49</v>
      </c>
      <c r="D11" s="29">
        <v>4</v>
      </c>
      <c r="E11" s="29">
        <v>3</v>
      </c>
      <c r="F11" s="29">
        <v>2</v>
      </c>
      <c r="G11" s="29">
        <v>2</v>
      </c>
      <c r="H11" s="29">
        <v>1</v>
      </c>
      <c r="I11" s="36">
        <v>0</v>
      </c>
      <c r="J11" s="31">
        <v>7533.6</v>
      </c>
      <c r="K11" s="31">
        <v>4555.07</v>
      </c>
      <c r="L11" s="44">
        <v>1.69</v>
      </c>
      <c r="M11" s="33">
        <f t="shared" si="4"/>
      </c>
      <c r="N11" s="33">
        <f t="shared" si="3"/>
      </c>
      <c r="O11" s="37"/>
      <c r="P11" s="38"/>
    </row>
    <row hidden="true" r="12">
      <c r="A12" s="39">
        <v>46238</v>
      </c>
      <c r="B12" s="40"/>
      <c r="C12" s="40"/>
      <c r="D12" s="40">
        <f>SUM(D10:D11)</f>
      </c>
      <c r="E12" s="40">
        <f>SUM(E10:E11)</f>
      </c>
      <c r="F12" s="40">
        <f>SUM(F10:F11)</f>
      </c>
      <c r="G12" s="40">
        <f>SUM(G10:G11)</f>
      </c>
      <c r="H12" s="40">
        <f>SUM(H10:H11)</f>
      </c>
      <c r="I12" s="40">
        <f>SUM(I10:I11)</f>
      </c>
      <c r="J12" s="40">
        <f>SUM(J10:J11)</f>
      </c>
      <c r="K12" s="40">
        <f>SUM(K10:K11)</f>
      </c>
      <c r="L12" s="41">
        <f>J12/K12</f>
      </c>
      <c r="M12" s="41">
        <f t="shared" si="4"/>
      </c>
      <c r="N12" s="41">
        <f t="shared" si="3"/>
      </c>
      <c r="O12" s="42"/>
      <c r="P12" s="43">
        <f>SUM(P10:P11)</f>
      </c>
    </row>
    <row r="13">
      <c r="A13" s="28">
        <v>46239</v>
      </c>
      <c r="B13" s="29" t="s">
        <v>48</v>
      </c>
      <c r="C13" s="30" t="s">
        <v>53</v>
      </c>
      <c r="D13" s="29">
        <v>4</v>
      </c>
      <c r="E13" s="29">
        <v>4</v>
      </c>
      <c r="F13" s="29">
        <v>1</v>
      </c>
      <c r="G13" s="29">
        <v>1</v>
      </c>
      <c r="H13" s="29">
        <v>1</v>
      </c>
      <c r="I13" s="29">
        <v>0</v>
      </c>
      <c r="J13" s="31">
        <v>600</v>
      </c>
      <c r="K13" s="32">
        <v>4457.22</v>
      </c>
      <c r="L13" s="44">
        <v>0.13</v>
      </c>
      <c r="M13" s="33">
        <f t="shared" si="4"/>
      </c>
      <c r="N13" s="33">
        <f t="shared" si="3"/>
      </c>
      <c r="O13" s="34" t="s">
        <v>50</v>
      </c>
      <c r="P13" s="35">
        <v>8</v>
      </c>
    </row>
    <row hidden="true" r="14">
      <c r="A14" s="28">
        <v>46239</v>
      </c>
      <c r="B14" s="29" t="s">
        <v>51</v>
      </c>
      <c r="C14" s="30" t="s">
        <v>49</v>
      </c>
      <c r="D14" s="29">
        <v>4</v>
      </c>
      <c r="E14" s="29">
        <v>10</v>
      </c>
      <c r="F14" s="29">
        <v>7</v>
      </c>
      <c r="G14" s="29">
        <v>6</v>
      </c>
      <c r="H14" s="29">
        <v>5</v>
      </c>
      <c r="I14" s="36">
        <v>0</v>
      </c>
      <c r="J14" s="31">
        <v>9066</v>
      </c>
      <c r="K14" s="31">
        <v>4476.88</v>
      </c>
      <c r="L14" s="44">
        <v>2.04</v>
      </c>
      <c r="M14" s="33">
        <f t="shared" si="4"/>
      </c>
      <c r="N14" s="33">
        <f t="shared" si="3"/>
      </c>
      <c r="O14" s="37"/>
      <c r="P14" s="38"/>
    </row>
    <row hidden="true" r="15">
      <c r="A15" s="39">
        <v>46239</v>
      </c>
      <c r="B15" s="40"/>
      <c r="C15" s="40"/>
      <c r="D15" s="40">
        <f>SUM(D13:D14)</f>
      </c>
      <c r="E15" s="40">
        <f>SUM(E13:E14)</f>
      </c>
      <c r="F15" s="40">
        <f>SUM(F13:F14)</f>
      </c>
      <c r="G15" s="40">
        <f>SUM(G13:G14)</f>
      </c>
      <c r="H15" s="40">
        <f>SUM(H13:H14)</f>
      </c>
      <c r="I15" s="40">
        <f>SUM(I13:I14)</f>
      </c>
      <c r="J15" s="40">
        <f>SUM(J13:J14)</f>
      </c>
      <c r="K15" s="40">
        <f>SUM(K13:K14)</f>
      </c>
      <c r="L15" s="41">
        <f t="shared" ref="L15:L23" si="1">J15/K15</f>
      </c>
      <c r="M15" s="41">
        <f t="shared" si="4"/>
      </c>
      <c r="N15" s="41">
        <f t="shared" si="3"/>
      </c>
      <c r="O15" s="42"/>
      <c r="P15" s="43">
        <f>SUM(P13:P14)</f>
      </c>
    </row>
    <row r="16">
      <c r="A16" s="28">
        <v>46240</v>
      </c>
      <c r="B16" s="29" t="s">
        <v>45</v>
      </c>
      <c r="C16" s="30" t="s">
        <v>54</v>
      </c>
      <c r="D16" s="29">
        <v>4</v>
      </c>
      <c r="E16" s="29">
        <v>5</v>
      </c>
      <c r="F16" s="29">
        <v>4</v>
      </c>
      <c r="G16" s="29">
        <v>4</v>
      </c>
      <c r="H16" s="29">
        <v>2</v>
      </c>
      <c r="I16" s="29">
        <v>0</v>
      </c>
      <c r="J16" s="31">
        <v>4830.8</v>
      </c>
      <c r="K16" s="32">
        <v>6196.73</v>
      </c>
      <c r="L16" s="44">
        <f t="shared" si="1"/>
      </c>
      <c r="M16" s="33">
        <f t="shared" si="4"/>
      </c>
      <c r="N16" s="33">
        <f t="shared" si="3"/>
      </c>
      <c r="O16" s="34" t="s">
        <v>50</v>
      </c>
      <c r="P16" s="35">
        <v>8</v>
      </c>
    </row>
    <row hidden="true" r="17">
      <c r="A17" s="28">
        <v>46240</v>
      </c>
      <c r="B17" s="29" t="s">
        <v>51</v>
      </c>
      <c r="C17" s="30" t="s">
        <v>49</v>
      </c>
      <c r="D17" s="29">
        <v>4</v>
      </c>
      <c r="E17" s="29">
        <v>5</v>
      </c>
      <c r="F17" s="29">
        <v>4</v>
      </c>
      <c r="G17" s="29">
        <v>2</v>
      </c>
      <c r="H17" s="29">
        <v>4</v>
      </c>
      <c r="I17" s="36">
        <v>1</v>
      </c>
      <c r="J17" s="31">
        <v>6985</v>
      </c>
      <c r="K17" s="31">
        <v>5523.15</v>
      </c>
      <c r="L17" s="44">
        <f t="shared" si="1"/>
      </c>
      <c r="M17" s="33">
        <f t="shared" si="4"/>
      </c>
      <c r="N17" s="33">
        <f t="shared" si="3"/>
      </c>
      <c r="O17" s="37"/>
      <c r="P17" s="38"/>
    </row>
    <row hidden="true" r="18">
      <c r="A18" s="39">
        <v>46240</v>
      </c>
      <c r="B18" s="40"/>
      <c r="C18" s="40"/>
      <c r="D18" s="40">
        <f>SUM(D16:D17)</f>
      </c>
      <c r="E18" s="40">
        <f>SUM(E16:E17)</f>
      </c>
      <c r="F18" s="40">
        <f>SUM(F16:F17)</f>
      </c>
      <c r="G18" s="40">
        <f>SUM(G16:G17)</f>
      </c>
      <c r="H18" s="40">
        <f>SUM(H16:H17)</f>
      </c>
      <c r="I18" s="40">
        <f>SUM(I16:I17)</f>
      </c>
      <c r="J18" s="40">
        <f>SUM(J16:J17)</f>
      </c>
      <c r="K18" s="40">
        <f>SUM(K16:K17)</f>
      </c>
      <c r="L18" s="41">
        <f t="shared" si="1"/>
      </c>
      <c r="M18" s="41">
        <f t="shared" si="4"/>
      </c>
      <c r="N18" s="41">
        <f t="shared" si="3"/>
      </c>
      <c r="O18" s="42"/>
      <c r="P18" s="43">
        <v>8</v>
      </c>
    </row>
    <row customHeight="true" hidden="true" ht="19.047619047619047" r="19">
      <c r="A19" s="28">
        <v>46241</v>
      </c>
      <c r="B19" s="29" t="s">
        <v>48</v>
      </c>
      <c r="C19" s="30" t="s">
        <v>54</v>
      </c>
      <c r="D19" s="29">
        <v>4</v>
      </c>
      <c r="E19" s="29">
        <v>23</v>
      </c>
      <c r="F19" s="29">
        <v>11</v>
      </c>
      <c r="G19" s="29">
        <v>9</v>
      </c>
      <c r="H19" s="29">
        <v>7</v>
      </c>
      <c r="I19" s="29">
        <v>2</v>
      </c>
      <c r="J19" s="31">
        <v>17506.4</v>
      </c>
      <c r="K19" s="32">
        <v>10676.13</v>
      </c>
      <c r="L19" s="44">
        <f t="shared" si="1"/>
      </c>
      <c r="M19" s="33">
        <f t="shared" si="4"/>
      </c>
      <c r="N19" s="33">
        <f t="shared" si="3"/>
      </c>
      <c r="O19" s="34"/>
      <c r="P19" s="35"/>
    </row>
    <row hidden="true" r="20">
      <c r="A20" s="39">
        <v>46241</v>
      </c>
      <c r="B20" s="40"/>
      <c r="C20" s="40"/>
      <c r="D20" s="40">
        <f>SUM(D19)</f>
      </c>
      <c r="E20" s="40">
        <f>SUM(E19)</f>
      </c>
      <c r="F20" s="40">
        <f>SUM(F19)</f>
      </c>
      <c r="G20" s="40">
        <f>SUM(G19)</f>
      </c>
      <c r="H20" s="40">
        <f>SUM(H19)</f>
      </c>
      <c r="I20" s="40">
        <f>SUM(I19)</f>
      </c>
      <c r="J20" s="40">
        <f>SUM(J19)</f>
      </c>
      <c r="K20" s="40">
        <f>SUM(K19)</f>
      </c>
      <c r="L20" s="41">
        <f t="shared" si="1"/>
      </c>
      <c r="M20" s="41">
        <f t="shared" si="4"/>
      </c>
      <c r="N20" s="41">
        <f t="shared" si="3"/>
      </c>
      <c r="O20" s="42"/>
      <c r="P20" s="43">
        <v>4</v>
      </c>
    </row>
    <row hidden="true" r="21">
      <c r="A21" s="28">
        <v>46242</v>
      </c>
      <c r="B21" s="29" t="s">
        <v>51</v>
      </c>
      <c r="C21" s="30" t="s">
        <v>54</v>
      </c>
      <c r="D21" s="29">
        <v>4</v>
      </c>
      <c r="E21" s="29">
        <v>18</v>
      </c>
      <c r="F21" s="29">
        <v>11</v>
      </c>
      <c r="G21" s="29">
        <v>8</v>
      </c>
      <c r="H21" s="29">
        <v>6</v>
      </c>
      <c r="I21" s="29">
        <v>1</v>
      </c>
      <c r="J21" s="31">
        <v>14131.199999999999</v>
      </c>
      <c r="K21" s="32">
        <v>10743.59</v>
      </c>
      <c r="L21" s="44">
        <f t="shared" si="1"/>
      </c>
      <c r="M21" s="33">
        <f t="shared" si="4"/>
      </c>
      <c r="N21" s="33">
        <f t="shared" si="3"/>
      </c>
      <c r="O21" s="34"/>
      <c r="P21" s="35"/>
    </row>
    <row hidden="true" r="22">
      <c r="A22" s="39">
        <v>46242</v>
      </c>
      <c r="B22" s="40"/>
      <c r="C22" s="40"/>
      <c r="D22" s="40">
        <f>SUM(D21)</f>
      </c>
      <c r="E22" s="40">
        <f>SUM(E21)</f>
      </c>
      <c r="F22" s="40">
        <f>SUM(F21)</f>
      </c>
      <c r="G22" s="40">
        <f>SUM(G21)</f>
      </c>
      <c r="H22" s="40">
        <f>SUM(H21)</f>
      </c>
      <c r="I22" s="40">
        <f>SUM(I21)</f>
      </c>
      <c r="J22" s="40">
        <f>SUM(J21)</f>
      </c>
      <c r="K22" s="40">
        <f>SUM(K21)</f>
      </c>
      <c r="L22" s="41">
        <f t="shared" si="1"/>
      </c>
      <c r="M22" s="41">
        <f t="shared" si="4"/>
      </c>
      <c r="N22" s="41">
        <f t="shared" si="3"/>
      </c>
      <c r="O22" s="42"/>
      <c r="P22" s="43">
        <v>4</v>
      </c>
    </row>
    <row r="23">
      <c r="A23" s="28">
        <v>46243</v>
      </c>
      <c r="B23" s="29" t="s">
        <v>45</v>
      </c>
      <c r="C23" s="30" t="s">
        <v>54</v>
      </c>
      <c r="D23" s="29">
        <v>4</v>
      </c>
      <c r="E23" s="29">
        <v>31</v>
      </c>
      <c r="F23" s="29">
        <v>18</v>
      </c>
      <c r="G23" s="29">
        <v>15</v>
      </c>
      <c r="H23" s="29">
        <v>11</v>
      </c>
      <c r="I23" s="29">
        <v>2</v>
      </c>
      <c r="J23" s="31">
        <v>26205.8</v>
      </c>
      <c r="K23" s="36">
        <v>17612.87</v>
      </c>
      <c r="L23" s="44">
        <f t="shared" si="1"/>
      </c>
      <c r="M23" s="33">
        <f t="shared" si="4"/>
      </c>
      <c r="N23" s="33">
        <f t="shared" si="3"/>
      </c>
      <c r="O23" s="34" t="s">
        <v>50</v>
      </c>
      <c r="P23" s="35">
        <v>4</v>
      </c>
    </row>
    <row hidden="true" r="24">
      <c r="A24" s="39">
        <v>46243</v>
      </c>
      <c r="B24" s="40"/>
      <c r="C24" s="40"/>
      <c r="D24" s="40">
        <f>SUM(D23)</f>
      </c>
      <c r="E24" s="40">
        <f>SUM(E23)</f>
      </c>
      <c r="F24" s="40">
        <f>SUM(F23)</f>
      </c>
      <c r="G24" s="40">
        <f>SUM(G23)</f>
      </c>
      <c r="H24" s="40">
        <f>SUM(H23)</f>
      </c>
      <c r="I24" s="40">
        <f>SUM(I23)</f>
      </c>
      <c r="J24" s="40">
        <f>SUM(J23)</f>
      </c>
      <c r="K24" s="40">
        <f>SUM(K23)</f>
      </c>
      <c r="L24" s="40">
        <f>SUM(L23)</f>
      </c>
      <c r="M24" s="41">
        <f t="shared" si="4"/>
      </c>
      <c r="N24" s="41">
        <f t="shared" si="3"/>
      </c>
      <c r="O24" s="42"/>
      <c r="P24" s="43">
        <v>4</v>
      </c>
    </row>
    <row r="25">
      <c r="A25" s="28">
        <v>46244</v>
      </c>
      <c r="B25" s="29" t="s">
        <v>55</v>
      </c>
      <c r="C25" s="30" t="s">
        <v>54</v>
      </c>
      <c r="D25" s="29">
        <v>4</v>
      </c>
      <c r="E25" s="29">
        <v>53</v>
      </c>
      <c r="F25" s="29">
        <v>28</v>
      </c>
      <c r="G25" s="29">
        <v>22</v>
      </c>
      <c r="H25" s="29">
        <v>12</v>
      </c>
      <c r="I25" s="29">
        <v>4</v>
      </c>
      <c r="J25" s="31">
        <v>30934.4</v>
      </c>
      <c r="K25" s="36">
        <v>24963.06</v>
      </c>
      <c r="L25" s="44">
        <f>J25/K25</f>
      </c>
      <c r="M25" s="33">
        <f t="shared" si="4"/>
      </c>
      <c r="N25" s="33">
        <f t="shared" si="3"/>
      </c>
      <c r="O25" s="34" t="s">
        <v>50</v>
      </c>
      <c r="P25" s="35">
        <v>4</v>
      </c>
    </row>
    <row hidden="true" r="26">
      <c r="A26" s="39">
        <v>46244</v>
      </c>
      <c r="B26" s="40"/>
      <c r="C26" s="40"/>
      <c r="D26" s="40">
        <f>SUM(D25)</f>
      </c>
      <c r="E26" s="40">
        <f>SUM(E25)</f>
      </c>
      <c r="F26" s="40">
        <f>SUM(F25)</f>
      </c>
      <c r="G26" s="40">
        <f>SUM(G25)</f>
      </c>
      <c r="H26" s="40">
        <f>SUM(H25)</f>
      </c>
      <c r="I26" s="40">
        <f>SUM(I25)</f>
      </c>
      <c r="J26" s="40">
        <f>SUM(J25)</f>
      </c>
      <c r="K26" s="40">
        <f>SUM(K25)</f>
      </c>
      <c r="L26" s="40">
        <f>SUM(L25)</f>
      </c>
      <c r="M26" s="41">
        <f t="shared" si="4"/>
      </c>
      <c r="N26" s="41">
        <f t="shared" si="3"/>
      </c>
      <c r="O26" s="42"/>
      <c r="P26" s="43">
        <v>4</v>
      </c>
    </row>
    <row r="27">
      <c r="A27" s="28">
        <v>46245</v>
      </c>
      <c r="B27" s="29" t="s">
        <v>55</v>
      </c>
      <c r="C27" s="30" t="s">
        <v>56</v>
      </c>
      <c r="D27" s="29">
        <v>5</v>
      </c>
      <c r="E27" s="29">
        <v>37</v>
      </c>
      <c r="F27" s="29">
        <v>16</v>
      </c>
      <c r="G27" s="29">
        <v>15</v>
      </c>
      <c r="H27" s="29">
        <v>8</v>
      </c>
      <c r="I27" s="29">
        <v>0</v>
      </c>
      <c r="J27" s="31">
        <v>18271</v>
      </c>
      <c r="K27" s="48">
        <f>23806.75</f>
      </c>
      <c r="L27" s="44">
        <f>J27/K27</f>
      </c>
      <c r="M27" s="33">
        <f t="shared" si="4"/>
      </c>
      <c r="N27" s="33">
        <f t="shared" si="3"/>
      </c>
      <c r="O27" s="34" t="s">
        <v>50</v>
      </c>
      <c r="P27" s="35">
        <v>5</v>
      </c>
    </row>
    <row hidden="true" r="28">
      <c r="A28" s="39">
        <v>46245</v>
      </c>
      <c r="B28" s="40"/>
      <c r="C28" s="40"/>
      <c r="D28" s="40">
        <f>SUM(D27)</f>
      </c>
      <c r="E28" s="40">
        <f>SUM(E27)</f>
      </c>
      <c r="F28" s="40">
        <f>SUM(F27)</f>
      </c>
      <c r="G28" s="40">
        <f>SUM(G27)</f>
      </c>
      <c r="H28" s="40">
        <f>SUM(H27)</f>
      </c>
      <c r="I28" s="40">
        <f>SUM(I27)</f>
      </c>
      <c r="J28" s="40">
        <f>SUM(J27)</f>
      </c>
      <c r="K28" s="40">
        <f>SUM(K27)</f>
      </c>
      <c r="L28" s="40">
        <f>SUM(L27)</f>
      </c>
      <c r="M28" s="41">
        <f t="shared" si="4"/>
      </c>
      <c r="N28" s="41">
        <f t="shared" si="3"/>
      </c>
      <c r="O28" s="42"/>
      <c r="P28" s="43">
        <v>5</v>
      </c>
    </row>
    <row r="29">
      <c r="A29" s="28">
        <v>46246</v>
      </c>
      <c r="B29" s="29" t="s">
        <v>55</v>
      </c>
      <c r="C29" s="30" t="s">
        <v>56</v>
      </c>
      <c r="D29" s="29">
        <v>5</v>
      </c>
      <c r="E29" s="29">
        <v>40</v>
      </c>
      <c r="F29" s="29">
        <v>17</v>
      </c>
      <c r="G29" s="29">
        <v>14</v>
      </c>
      <c r="H29" s="29">
        <v>8</v>
      </c>
      <c r="I29" s="29">
        <v>1</v>
      </c>
      <c r="J29" s="31">
        <v>26208</v>
      </c>
      <c r="K29" s="36">
        <v>20394.2</v>
      </c>
      <c r="L29" s="44">
        <f>J29/K29</f>
      </c>
      <c r="M29" s="33">
        <f t="shared" si="4"/>
      </c>
      <c r="N29" s="33">
        <f t="shared" si="3"/>
      </c>
      <c r="O29" s="34" t="s">
        <v>50</v>
      </c>
      <c r="P29" s="35">
        <v>5</v>
      </c>
    </row>
    <row hidden="true" r="30">
      <c r="A30" s="39">
        <v>46246</v>
      </c>
      <c r="B30" s="40"/>
      <c r="C30" s="40"/>
      <c r="D30" s="40">
        <f>SUM(D29)</f>
      </c>
      <c r="E30" s="40">
        <f>SUM(E29)</f>
      </c>
      <c r="F30" s="40">
        <f>SUM(F29)</f>
      </c>
      <c r="G30" s="40">
        <f>SUM(G29)</f>
      </c>
      <c r="H30" s="40">
        <f>SUM(H29)</f>
      </c>
      <c r="I30" s="40">
        <f>SUM(I29)</f>
      </c>
      <c r="J30" s="40">
        <f>SUM(J29)</f>
      </c>
      <c r="K30" s="40">
        <f>SUM(K29)</f>
      </c>
      <c r="L30" s="40">
        <f>SUM(L29)</f>
      </c>
      <c r="M30" s="41">
        <f t="shared" si="4"/>
      </c>
      <c r="N30" s="41">
        <f t="shared" si="3"/>
      </c>
      <c r="O30" s="42"/>
      <c r="P30" s="43">
        <v>5</v>
      </c>
    </row>
    <row r="31">
      <c r="A31" s="28">
        <v>46247</v>
      </c>
      <c r="B31" s="29" t="s">
        <v>48</v>
      </c>
      <c r="C31" s="30" t="s">
        <v>53</v>
      </c>
      <c r="D31" s="29">
        <v>4</v>
      </c>
      <c r="E31" s="29">
        <v>22</v>
      </c>
      <c r="F31" s="29">
        <v>12</v>
      </c>
      <c r="G31" s="29">
        <v>11</v>
      </c>
      <c r="H31" s="29">
        <v>5</v>
      </c>
      <c r="I31" s="29">
        <v>1</v>
      </c>
      <c r="J31" s="31">
        <v>14858.6</v>
      </c>
      <c r="K31" s="36">
        <v>13934.14</v>
      </c>
      <c r="L31" s="44">
        <f>J31/K31</f>
      </c>
      <c r="M31" s="33">
        <f t="shared" si="4"/>
      </c>
      <c r="N31" s="33">
        <f t="shared" si="3"/>
      </c>
      <c r="O31" s="34" t="s">
        <v>50</v>
      </c>
      <c r="P31" s="35">
        <v>4</v>
      </c>
    </row>
    <row hidden="true" r="32">
      <c r="A32" s="39">
        <v>46247</v>
      </c>
      <c r="B32" s="40"/>
      <c r="C32" s="40"/>
      <c r="D32" s="40">
        <f>SUM(D31)</f>
      </c>
      <c r="E32" s="40">
        <f>SUM(E31)</f>
      </c>
      <c r="F32" s="40">
        <f>SUM(F31)</f>
      </c>
      <c r="G32" s="40">
        <f>SUM(G31)</f>
      </c>
      <c r="H32" s="40">
        <f>SUM(H31)</f>
      </c>
      <c r="I32" s="40">
        <f>SUM(I31)</f>
      </c>
      <c r="J32" s="40">
        <f>SUM(J31)</f>
      </c>
      <c r="K32" s="40">
        <f>SUM(K31)</f>
      </c>
      <c r="L32" s="40">
        <f>SUM(L31)</f>
      </c>
      <c r="M32" s="41">
        <f t="shared" si="4"/>
      </c>
      <c r="N32" s="41">
        <f t="shared" si="3"/>
      </c>
      <c r="O32" s="42"/>
      <c r="P32" s="43">
        <v>4</v>
      </c>
    </row>
    <row hidden="true" r="33">
      <c r="A33" s="28">
        <v>46248</v>
      </c>
      <c r="B33" s="29" t="s">
        <v>55</v>
      </c>
      <c r="C33" s="30" t="s">
        <v>56</v>
      </c>
      <c r="D33" s="29">
        <v>5</v>
      </c>
      <c r="E33" s="29">
        <v>65</v>
      </c>
      <c r="F33" s="29">
        <v>35</v>
      </c>
      <c r="G33" s="29">
        <v>28</v>
      </c>
      <c r="H33" s="29">
        <v>23</v>
      </c>
      <c r="I33" s="29">
        <v>6</v>
      </c>
      <c r="J33" s="49">
        <v>35042.479999999996</v>
      </c>
      <c r="K33" s="50">
        <v>24957.04</v>
      </c>
      <c r="L33" s="44">
        <f>J33/K33</f>
      </c>
      <c r="M33" s="33">
        <f t="shared" si="4"/>
      </c>
      <c r="N33" s="33">
        <f t="shared" si="3"/>
      </c>
      <c r="O33" s="34" t="s">
        <v>47</v>
      </c>
      <c r="P33" s="51">
        <v>5</v>
      </c>
    </row>
    <row hidden="true" r="34">
      <c r="A34" s="52">
        <v>46248</v>
      </c>
      <c r="B34" s="40"/>
      <c r="C34" s="40"/>
      <c r="D34" s="40">
        <f>SUM(D33)</f>
      </c>
      <c r="E34" s="40">
        <f>SUM(E33)</f>
      </c>
      <c r="F34" s="40">
        <f>SUM(F33)</f>
      </c>
      <c r="G34" s="40">
        <f>SUM(G33)</f>
      </c>
      <c r="H34" s="40">
        <f>SUM(H33)</f>
      </c>
      <c r="I34" s="40">
        <f>SUM(I33)</f>
      </c>
      <c r="J34" s="40">
        <f>SUM(J33)</f>
      </c>
      <c r="K34" s="40">
        <f>SUM(K33)</f>
      </c>
      <c r="L34" s="40">
        <f>SUM(L33)</f>
      </c>
      <c r="M34" s="41">
        <f t="shared" si="4"/>
      </c>
      <c r="N34" s="41">
        <f t="shared" si="3"/>
      </c>
      <c r="O34" s="42"/>
      <c r="P34" s="53">
        <f>P33</f>
      </c>
    </row>
    <row hidden="true" r="35">
      <c r="A35" s="28">
        <v>46249</v>
      </c>
      <c r="B35" s="29" t="s">
        <v>55</v>
      </c>
      <c r="C35" s="30" t="s">
        <v>56</v>
      </c>
      <c r="D35" s="29">
        <v>5</v>
      </c>
      <c r="E35" s="29">
        <v>100</v>
      </c>
      <c r="F35" s="29">
        <v>53</v>
      </c>
      <c r="G35" s="29">
        <v>42</v>
      </c>
      <c r="H35" s="29">
        <v>40</v>
      </c>
      <c r="I35" s="29">
        <v>5</v>
      </c>
      <c r="J35" s="49">
        <v>54867.60000000001</v>
      </c>
      <c r="K35" s="50">
        <v>37487.13</v>
      </c>
      <c r="L35" s="44">
        <f>J35/K35</f>
      </c>
      <c r="M35" s="33">
        <f t="shared" si="4"/>
      </c>
      <c r="N35" s="33">
        <f t="shared" si="3"/>
      </c>
      <c r="O35" s="34" t="s">
        <v>47</v>
      </c>
      <c r="P35" s="51">
        <v>5</v>
      </c>
    </row>
    <row hidden="true" r="36">
      <c r="A36" s="52">
        <v>46249</v>
      </c>
      <c r="B36" s="40"/>
      <c r="C36" s="40"/>
      <c r="D36" s="40">
        <f>SUM(D35)</f>
      </c>
      <c r="E36" s="40">
        <f>SUM(E35)</f>
      </c>
      <c r="F36" s="40">
        <f>SUM(F35)</f>
      </c>
      <c r="G36" s="40">
        <f>SUM(G35)</f>
      </c>
      <c r="H36" s="40">
        <f>SUM(H35)</f>
      </c>
      <c r="I36" s="40">
        <f>SUM(I35)</f>
      </c>
      <c r="J36" s="40">
        <f>SUM(J35)</f>
      </c>
      <c r="K36" s="40">
        <f>SUM(K35)</f>
      </c>
      <c r="L36" s="40">
        <f>SUM(L35)</f>
      </c>
      <c r="M36" s="41">
        <f t="shared" si="4"/>
      </c>
      <c r="N36" s="41">
        <f t="shared" si="3"/>
      </c>
      <c r="O36" s="42"/>
      <c r="P36" s="53">
        <f>P35</f>
      </c>
    </row>
    <row hidden="true" r="37">
      <c r="A37" s="28">
        <v>46250</v>
      </c>
      <c r="B37" s="29" t="s">
        <v>55</v>
      </c>
      <c r="C37" s="30" t="s">
        <v>56</v>
      </c>
      <c r="D37" s="29">
        <v>5</v>
      </c>
      <c r="E37" s="29">
        <v>60</v>
      </c>
      <c r="F37" s="29">
        <v>28</v>
      </c>
      <c r="G37" s="29">
        <v>22</v>
      </c>
      <c r="H37" s="29">
        <v>16</v>
      </c>
      <c r="I37" s="29">
        <v>3</v>
      </c>
      <c r="J37" s="49">
        <v>33592.100000000006</v>
      </c>
      <c r="K37" s="50">
        <v>23532.190000000002</v>
      </c>
      <c r="L37" s="44">
        <f>J37/K37</f>
      </c>
      <c r="M37" s="33">
        <f t="shared" si="4"/>
      </c>
      <c r="N37" s="33">
        <f t="shared" si="3"/>
      </c>
      <c r="O37" s="34" t="s">
        <v>47</v>
      </c>
      <c r="P37" s="51">
        <v>5</v>
      </c>
    </row>
    <row hidden="true" r="38">
      <c r="A38" s="52">
        <v>46250</v>
      </c>
      <c r="B38" s="40"/>
      <c r="C38" s="40"/>
      <c r="D38" s="40">
        <f>SUM(D37)</f>
      </c>
      <c r="E38" s="40">
        <f>SUM(E37)</f>
      </c>
      <c r="F38" s="40">
        <f>SUM(F37)</f>
      </c>
      <c r="G38" s="40">
        <f>SUM(G37)</f>
      </c>
      <c r="H38" s="40">
        <f>SUM(H37)</f>
      </c>
      <c r="I38" s="40">
        <f>SUM(I37)</f>
      </c>
      <c r="J38" s="40">
        <f>SUM(J37)</f>
      </c>
      <c r="K38" s="40">
        <f>SUM(K37)</f>
      </c>
      <c r="L38" s="40">
        <f>SUM(L37)</f>
      </c>
      <c r="M38" s="41">
        <f t="shared" si="4"/>
      </c>
      <c r="N38" s="41">
        <f t="shared" si="3"/>
      </c>
      <c r="O38" s="42"/>
      <c r="P38" s="53">
        <f>P37</f>
      </c>
    </row>
    <row hidden="true" r="39">
      <c r="A39" s="28">
        <v>46251</v>
      </c>
      <c r="B39" s="29" t="s">
        <v>55</v>
      </c>
      <c r="C39" s="30" t="s">
        <v>56</v>
      </c>
      <c r="D39" s="29">
        <v>5</v>
      </c>
      <c r="E39" s="29">
        <v>81</v>
      </c>
      <c r="F39" s="29">
        <v>39</v>
      </c>
      <c r="G39" s="29">
        <v>32</v>
      </c>
      <c r="H39" s="29">
        <v>26</v>
      </c>
      <c r="I39" s="29">
        <v>6</v>
      </c>
      <c r="J39" s="49">
        <v>46643.600000000006</v>
      </c>
      <c r="K39" s="54">
        <v>38979.09</v>
      </c>
      <c r="L39" s="44">
        <f>J39/K39</f>
      </c>
      <c r="M39" s="33">
        <f t="shared" si="4"/>
      </c>
      <c r="N39" s="33">
        <f t="shared" si="3"/>
      </c>
      <c r="O39" s="34" t="s">
        <v>47</v>
      </c>
      <c r="P39" s="51">
        <v>5</v>
      </c>
    </row>
    <row hidden="true" r="40">
      <c r="A40" s="52">
        <v>46251</v>
      </c>
      <c r="B40" s="40"/>
      <c r="C40" s="40"/>
      <c r="D40" s="40">
        <f>SUM(D39)</f>
      </c>
      <c r="E40" s="40">
        <f>SUM(E39)</f>
      </c>
      <c r="F40" s="40">
        <f>SUM(F39)</f>
      </c>
      <c r="G40" s="40">
        <f>SUM(G39)</f>
      </c>
      <c r="H40" s="40">
        <f>SUM(H39)</f>
      </c>
      <c r="I40" s="40">
        <f>SUM(I39)</f>
      </c>
      <c r="J40" s="40">
        <f>SUM(J39)</f>
      </c>
      <c r="K40" s="40">
        <f>SUM(K39)</f>
      </c>
      <c r="L40" s="40">
        <f>SUM(L39)</f>
      </c>
      <c r="M40" s="41">
        <f t="shared" si="4"/>
      </c>
      <c r="N40" s="41">
        <f t="shared" si="3"/>
      </c>
      <c r="O40" s="42"/>
      <c r="P40" s="53">
        <f>P39</f>
      </c>
    </row>
    <row hidden="true" r="41">
      <c r="A41" s="28">
        <v>46252</v>
      </c>
      <c r="B41" s="29" t="s">
        <v>48</v>
      </c>
      <c r="C41" s="30" t="s">
        <v>53</v>
      </c>
      <c r="D41" s="29">
        <v>4</v>
      </c>
      <c r="E41" s="29">
        <v>32</v>
      </c>
      <c r="F41" s="29">
        <v>16</v>
      </c>
      <c r="G41" s="29">
        <v>12</v>
      </c>
      <c r="H41" s="29">
        <v>9</v>
      </c>
      <c r="I41" s="29">
        <v>2</v>
      </c>
      <c r="J41" s="49">
        <v>27957.600000000002</v>
      </c>
      <c r="K41" s="50">
        <v>17829.11</v>
      </c>
      <c r="L41" s="44">
        <f>J41/K41</f>
      </c>
      <c r="M41" s="33">
        <f t="shared" si="4"/>
      </c>
      <c r="N41" s="33">
        <f t="shared" si="3"/>
      </c>
      <c r="O41" s="34" t="s">
        <v>47</v>
      </c>
      <c r="P41" s="51">
        <v>4</v>
      </c>
    </row>
    <row hidden="true" r="42">
      <c r="A42" s="52">
        <v>46252</v>
      </c>
      <c r="B42" s="40"/>
      <c r="C42" s="40"/>
      <c r="D42" s="40">
        <f>SUM(D41)</f>
      </c>
      <c r="E42" s="40">
        <f>SUM(E41)</f>
      </c>
      <c r="F42" s="40">
        <f>SUM(F41)</f>
      </c>
      <c r="G42" s="40">
        <f>SUM(G41)</f>
      </c>
      <c r="H42" s="40">
        <f>SUM(H41)</f>
      </c>
      <c r="I42" s="40">
        <f>SUM(I41)</f>
      </c>
      <c r="J42" s="40">
        <f>SUM(J41)</f>
      </c>
      <c r="K42" s="40">
        <f>SUM(K41)</f>
      </c>
      <c r="L42" s="40">
        <f>SUM(L41)</f>
      </c>
      <c r="M42" s="41">
        <f t="shared" si="4"/>
      </c>
      <c r="N42" s="41">
        <f t="shared" si="3"/>
      </c>
      <c r="O42" s="42"/>
      <c r="P42" s="53">
        <f>P41</f>
      </c>
    </row>
    <row hidden="true" r="43">
      <c r="A43" s="28">
        <v>46253</v>
      </c>
      <c r="B43" s="29" t="s">
        <v>51</v>
      </c>
      <c r="C43" s="30" t="s">
        <v>53</v>
      </c>
      <c r="D43" s="29">
        <v>4</v>
      </c>
      <c r="E43" s="29">
        <v>43</v>
      </c>
      <c r="F43" s="29">
        <v>15</v>
      </c>
      <c r="G43" s="29">
        <v>11</v>
      </c>
      <c r="H43" s="29">
        <v>12</v>
      </c>
      <c r="I43" s="29">
        <v>3</v>
      </c>
      <c r="J43" s="55">
        <v>23745.6</v>
      </c>
      <c r="K43" s="35">
        <v>15750.2</v>
      </c>
      <c r="L43" s="56">
        <f>J43/K43</f>
      </c>
      <c r="M43" s="33">
        <f t="shared" si="4"/>
      </c>
      <c r="N43" s="33">
        <f t="shared" si="3"/>
      </c>
      <c r="O43" s="34" t="s">
        <v>47</v>
      </c>
      <c r="P43" s="51">
        <v>4</v>
      </c>
    </row>
    <row hidden="true" r="44">
      <c r="A44" s="52">
        <v>46253</v>
      </c>
      <c r="B44" s="40"/>
      <c r="C44" s="40"/>
      <c r="D44" s="40">
        <f>SUM(D43)</f>
      </c>
      <c r="E44" s="40">
        <f>SUM(E43)</f>
      </c>
      <c r="F44" s="40">
        <f>SUM(F43)</f>
      </c>
      <c r="G44" s="40">
        <f>SUM(G43)</f>
      </c>
      <c r="H44" s="40">
        <f>SUM(H43)</f>
      </c>
      <c r="I44" s="40">
        <f>SUM(I43)</f>
      </c>
      <c r="J44" s="40">
        <f>SUM(J43)</f>
      </c>
      <c r="K44" s="40">
        <f>SUM(K43)</f>
      </c>
      <c r="L44" s="40">
        <f>SUM(L43)</f>
      </c>
      <c r="M44" s="41">
        <f t="shared" si="4"/>
      </c>
      <c r="N44" s="41">
        <f t="shared" si="3"/>
      </c>
      <c r="O44" s="42"/>
      <c r="P44" s="53">
        <f>P43</f>
      </c>
    </row>
    <row hidden="true" r="45">
      <c r="A45" s="28">
        <v>46254</v>
      </c>
      <c r="B45" s="29" t="s">
        <v>45</v>
      </c>
      <c r="C45" s="30" t="s">
        <v>53</v>
      </c>
      <c r="D45" s="29">
        <v>4</v>
      </c>
      <c r="E45" s="29">
        <v>29</v>
      </c>
      <c r="F45" s="29">
        <v>13</v>
      </c>
      <c r="G45" s="29">
        <v>13</v>
      </c>
      <c r="H45" s="29">
        <v>8</v>
      </c>
      <c r="I45" s="29">
        <v>0</v>
      </c>
      <c r="J45" s="49">
        <v>13333.2</v>
      </c>
      <c r="K45" s="54">
        <v>15667.46</v>
      </c>
      <c r="L45" s="44">
        <f>J45/K45</f>
      </c>
      <c r="M45" s="33">
        <f t="shared" si="4"/>
      </c>
      <c r="N45" s="33">
        <f t="shared" si="3"/>
      </c>
      <c r="O45" s="34" t="s">
        <v>47</v>
      </c>
      <c r="P45" s="51">
        <v>4</v>
      </c>
    </row>
    <row hidden="true" r="46">
      <c r="A46" s="52">
        <v>46254</v>
      </c>
      <c r="B46" s="40"/>
      <c r="C46" s="40"/>
      <c r="D46" s="40">
        <f>SUM(D45)</f>
      </c>
      <c r="E46" s="40">
        <f>SUM(E45)</f>
      </c>
      <c r="F46" s="40">
        <f>SUM(F45)</f>
      </c>
      <c r="G46" s="40">
        <f>SUM(G45)</f>
      </c>
      <c r="H46" s="40">
        <f>SUM(H45)</f>
      </c>
      <c r="I46" s="40">
        <f>SUM(I45)</f>
      </c>
      <c r="J46" s="40">
        <f>SUM(J45)</f>
      </c>
      <c r="K46" s="40">
        <f>SUM(K45)</f>
      </c>
      <c r="L46" s="40">
        <f>SUM(L45)</f>
      </c>
      <c r="M46" s="41">
        <f t="shared" si="4"/>
      </c>
      <c r="N46" s="41">
        <f t="shared" si="3"/>
      </c>
      <c r="O46" s="42"/>
      <c r="P46" s="53">
        <f>P45</f>
      </c>
    </row>
    <row hidden="true" r="47">
      <c r="A47" s="28">
        <v>46255</v>
      </c>
      <c r="B47" s="29" t="s">
        <v>48</v>
      </c>
      <c r="C47" s="30" t="s">
        <v>57</v>
      </c>
      <c r="D47" s="29">
        <v>3</v>
      </c>
      <c r="E47" s="29">
        <v>17</v>
      </c>
      <c r="F47" s="29">
        <v>4</v>
      </c>
      <c r="G47" s="29">
        <v>4</v>
      </c>
      <c r="H47" s="29">
        <v>2</v>
      </c>
      <c r="I47" s="29">
        <v>0</v>
      </c>
      <c r="J47" s="49">
        <v>2702.4000000000005</v>
      </c>
      <c r="K47" s="54">
        <v>11277.48</v>
      </c>
      <c r="L47" s="44">
        <f>J47/K47</f>
      </c>
      <c r="M47" s="33">
        <f t="shared" si="4"/>
      </c>
      <c r="N47" s="33">
        <f t="shared" si="3"/>
      </c>
      <c r="O47" s="34" t="s">
        <v>47</v>
      </c>
      <c r="P47" s="51">
        <v>3</v>
      </c>
    </row>
    <row hidden="true" r="48">
      <c r="A48" s="39">
        <v>46255</v>
      </c>
      <c r="B48" s="40"/>
      <c r="C48" s="40"/>
      <c r="D48" s="40">
        <f>SUM(D47)</f>
      </c>
      <c r="E48" s="40">
        <f>SUM(E47)</f>
      </c>
      <c r="F48" s="40">
        <f>SUM(F47)</f>
      </c>
      <c r="G48" s="40">
        <f>SUM(G47)</f>
      </c>
      <c r="H48" s="40">
        <f>SUM(H47)</f>
      </c>
      <c r="I48" s="40">
        <f>SUM(I47)</f>
      </c>
      <c r="J48" s="40">
        <f>SUM(J47)</f>
      </c>
      <c r="K48" s="40">
        <f>SUM(K47)</f>
      </c>
      <c r="L48" s="40">
        <f>SUM(L47)</f>
      </c>
      <c r="M48" s="41">
        <f t="shared" si="4"/>
      </c>
      <c r="N48" s="41">
        <f t="shared" si="3"/>
      </c>
      <c r="O48" s="42"/>
      <c r="P48" s="53">
        <f>P47</f>
      </c>
    </row>
    <row hidden="true" r="49">
      <c r="A49" s="28">
        <v>46256</v>
      </c>
      <c r="B49" s="29" t="s">
        <v>51</v>
      </c>
      <c r="C49" s="30" t="s">
        <v>58</v>
      </c>
      <c r="D49" s="29">
        <v>4</v>
      </c>
      <c r="E49" s="29">
        <v>24</v>
      </c>
      <c r="F49" s="29">
        <v>11</v>
      </c>
      <c r="G49" s="29">
        <v>9</v>
      </c>
      <c r="H49" s="29">
        <v>8</v>
      </c>
      <c r="I49" s="29">
        <v>1</v>
      </c>
      <c r="J49" s="55">
        <v>15356.400000000001</v>
      </c>
      <c r="K49" s="35">
        <v>11746.16</v>
      </c>
      <c r="L49" s="56">
        <f>J49/K49</f>
      </c>
      <c r="M49" s="33">
        <f t="shared" si="4"/>
      </c>
      <c r="N49" s="33">
        <f t="shared" si="3"/>
      </c>
      <c r="O49" s="34" t="s">
        <v>47</v>
      </c>
      <c r="P49" s="51">
        <v>4</v>
      </c>
    </row>
    <row hidden="true" r="50">
      <c r="A50" s="39">
        <v>46256</v>
      </c>
      <c r="B50" s="40"/>
      <c r="C50" s="40"/>
      <c r="D50" s="40">
        <f>SUM(D49)</f>
      </c>
      <c r="E50" s="40">
        <f>SUM(E49)</f>
      </c>
      <c r="F50" s="40">
        <f>SUM(F49)</f>
      </c>
      <c r="G50" s="40">
        <f>SUM(G49)</f>
      </c>
      <c r="H50" s="40">
        <f>SUM(H49)</f>
      </c>
      <c r="I50" s="40">
        <f>SUM(I49)</f>
      </c>
      <c r="J50" s="40">
        <f>SUM(J49)</f>
      </c>
      <c r="K50" s="40">
        <f>SUM(K49)</f>
      </c>
      <c r="L50" s="40">
        <f>SUM(L49)</f>
      </c>
      <c r="M50" s="41">
        <f t="shared" si="4"/>
      </c>
      <c r="N50" s="41">
        <f t="shared" si="3"/>
      </c>
      <c r="O50" s="42"/>
      <c r="P50" s="53">
        <f>P49</f>
      </c>
    </row>
    <row hidden="true" r="51">
      <c r="A51" s="28">
        <v>46257</v>
      </c>
      <c r="B51" s="29" t="s">
        <v>51</v>
      </c>
      <c r="C51" s="30" t="s">
        <v>58</v>
      </c>
      <c r="D51" s="29">
        <v>4</v>
      </c>
      <c r="E51" s="29">
        <v>20</v>
      </c>
      <c r="F51" s="29">
        <v>9</v>
      </c>
      <c r="G51" s="29">
        <v>9</v>
      </c>
      <c r="H51" s="29">
        <v>6</v>
      </c>
      <c r="I51" s="29">
        <v>0</v>
      </c>
      <c r="J51" s="55">
        <v>8960.400000000001</v>
      </c>
      <c r="K51" s="57">
        <v>11302.76</v>
      </c>
      <c r="L51" s="56">
        <f>J51/K51</f>
      </c>
      <c r="M51" s="33">
        <f t="shared" si="4"/>
      </c>
      <c r="N51" s="33">
        <f t="shared" si="3"/>
      </c>
      <c r="O51" s="34" t="s">
        <v>47</v>
      </c>
      <c r="P51" s="51">
        <v>4</v>
      </c>
    </row>
    <row hidden="true" r="52">
      <c r="A52" s="39">
        <v>46257</v>
      </c>
      <c r="B52" s="40"/>
      <c r="C52" s="40"/>
      <c r="D52" s="40">
        <f>SUM(D51)</f>
      </c>
      <c r="E52" s="40">
        <f>SUM(E51)</f>
      </c>
      <c r="F52" s="40">
        <f>SUM(F51)</f>
      </c>
      <c r="G52" s="40">
        <f>SUM(G51)</f>
      </c>
      <c r="H52" s="40">
        <f>SUM(H51)</f>
      </c>
      <c r="I52" s="40">
        <f>SUM(I51)</f>
      </c>
      <c r="J52" s="40">
        <f>SUM(J51)</f>
      </c>
      <c r="K52" s="40">
        <f>SUM(K51)</f>
      </c>
      <c r="L52" s="40">
        <f>SUM(L51)</f>
      </c>
      <c r="M52" s="41">
        <f t="shared" si="4"/>
      </c>
      <c r="N52" s="41">
        <f t="shared" si="3"/>
      </c>
      <c r="O52" s="42"/>
      <c r="P52" s="53">
        <f>P51</f>
      </c>
    </row>
    <row hidden="true" r="53">
      <c r="A53" s="28">
        <v>46258</v>
      </c>
      <c r="B53" s="29" t="s">
        <v>51</v>
      </c>
      <c r="C53" s="30" t="s">
        <v>59</v>
      </c>
      <c r="D53" s="29">
        <v>4</v>
      </c>
      <c r="E53" s="29">
        <v>20</v>
      </c>
      <c r="F53" s="29">
        <v>8</v>
      </c>
      <c r="G53" s="29">
        <v>7</v>
      </c>
      <c r="H53" s="29">
        <v>4</v>
      </c>
      <c r="I53" s="29">
        <v>1</v>
      </c>
      <c r="J53" s="31">
        <v>10994.4</v>
      </c>
      <c r="K53" s="50">
        <v>11339.460000000001</v>
      </c>
      <c r="L53" s="44">
        <f>J53/K53</f>
      </c>
      <c r="M53" s="33">
        <f t="shared" si="4"/>
      </c>
      <c r="N53" s="33">
        <f t="shared" si="3"/>
      </c>
      <c r="O53" s="34" t="s">
        <v>60</v>
      </c>
      <c r="P53" s="51">
        <v>4</v>
      </c>
    </row>
    <row hidden="true" r="54">
      <c r="A54" s="39">
        <v>46258</v>
      </c>
      <c r="B54" s="40"/>
      <c r="C54" s="40"/>
      <c r="D54" s="40">
        <f>SUM(D53)</f>
      </c>
      <c r="E54" s="40">
        <f>SUM(E53)</f>
      </c>
      <c r="F54" s="40">
        <f>SUM(F53)</f>
      </c>
      <c r="G54" s="40">
        <f>SUM(G53)</f>
      </c>
      <c r="H54" s="40">
        <f>SUM(H53)</f>
      </c>
      <c r="I54" s="40">
        <f>SUM(I53)</f>
      </c>
      <c r="J54" s="40">
        <f>SUM(J53)</f>
      </c>
      <c r="K54" s="40">
        <f>SUM(K53)</f>
      </c>
      <c r="L54" s="40">
        <f>SUM(L53)</f>
      </c>
      <c r="M54" s="41">
        <f t="shared" si="4"/>
      </c>
      <c r="N54" s="41">
        <f t="shared" si="3"/>
      </c>
      <c r="O54" s="42"/>
      <c r="P54" s="53">
        <f>P53</f>
      </c>
    </row>
    <row hidden="true" r="55">
      <c r="A55" s="28">
        <v>46259</v>
      </c>
      <c r="B55" s="29" t="s">
        <v>48</v>
      </c>
      <c r="C55" s="30" t="s">
        <v>59</v>
      </c>
      <c r="D55" s="29">
        <v>4</v>
      </c>
      <c r="E55" s="29">
        <v>24</v>
      </c>
      <c r="F55" s="29">
        <v>12</v>
      </c>
      <c r="G55" s="29">
        <v>11</v>
      </c>
      <c r="H55" s="29">
        <v>10</v>
      </c>
      <c r="I55" s="29">
        <v>0</v>
      </c>
      <c r="J55" s="31">
        <v>13790.399999999998</v>
      </c>
      <c r="K55" s="54">
        <v>11698.699999999999</v>
      </c>
      <c r="L55" s="44">
        <f>J55/K55</f>
      </c>
      <c r="M55" s="33">
        <f t="shared" si="4"/>
      </c>
      <c r="N55" s="33">
        <f t="shared" si="3"/>
      </c>
      <c r="O55" s="34" t="s">
        <v>47</v>
      </c>
      <c r="P55" s="51">
        <v>4</v>
      </c>
    </row>
    <row hidden="true" r="56">
      <c r="A56" s="39">
        <v>46259</v>
      </c>
      <c r="B56" s="40"/>
      <c r="C56" s="40"/>
      <c r="D56" s="40">
        <f>SUM(D55)</f>
      </c>
      <c r="E56" s="40">
        <f>SUM(E55)</f>
      </c>
      <c r="F56" s="40">
        <f>SUM(F55)</f>
      </c>
      <c r="G56" s="40">
        <f>SUM(G55)</f>
      </c>
      <c r="H56" s="40">
        <f>SUM(H55)</f>
      </c>
      <c r="I56" s="40">
        <f>SUM(I55)</f>
      </c>
      <c r="J56" s="40">
        <f>SUM(J55)</f>
      </c>
      <c r="K56" s="40">
        <f>SUM(K55)</f>
      </c>
      <c r="L56" s="40">
        <f>SUM(L55)</f>
      </c>
      <c r="M56" s="41">
        <f t="shared" si="4"/>
      </c>
      <c r="N56" s="41">
        <f t="shared" si="3"/>
      </c>
      <c r="O56" s="42"/>
      <c r="P56" s="53">
        <f>P55</f>
      </c>
    </row>
    <row hidden="true" r="57">
      <c r="A57" s="28">
        <v>46260</v>
      </c>
      <c r="B57" s="29" t="s">
        <v>48</v>
      </c>
      <c r="C57" s="30" t="s">
        <v>59</v>
      </c>
      <c r="D57" s="29">
        <v>4</v>
      </c>
      <c r="E57" s="29">
        <v>31</v>
      </c>
      <c r="F57" s="29">
        <v>10</v>
      </c>
      <c r="G57" s="29">
        <v>10</v>
      </c>
      <c r="H57" s="29">
        <v>5</v>
      </c>
      <c r="I57" s="29">
        <v>0</v>
      </c>
      <c r="J57" s="31">
        <v>12095.399999999998</v>
      </c>
      <c r="K57" s="54">
        <v>11788.650000000001</v>
      </c>
      <c r="L57" s="44">
        <f>J57/K57</f>
      </c>
      <c r="M57" s="33">
        <f t="shared" si="4"/>
      </c>
      <c r="N57" s="33">
        <f t="shared" si="3"/>
      </c>
      <c r="O57" s="34" t="s">
        <v>47</v>
      </c>
      <c r="P57" s="51">
        <v>4</v>
      </c>
    </row>
    <row hidden="true" r="58">
      <c r="A58" s="39">
        <v>46260</v>
      </c>
      <c r="B58" s="40"/>
      <c r="C58" s="40"/>
      <c r="D58" s="40">
        <f>SUM(D57)</f>
      </c>
      <c r="E58" s="40">
        <f>SUM(E57)</f>
      </c>
      <c r="F58" s="40">
        <f>SUM(F57)</f>
      </c>
      <c r="G58" s="40">
        <f>SUM(G57)</f>
      </c>
      <c r="H58" s="40">
        <f>SUM(H57)</f>
      </c>
      <c r="I58" s="40">
        <f>SUM(I57)</f>
      </c>
      <c r="J58" s="40">
        <f>SUM(J57)</f>
      </c>
      <c r="K58" s="40">
        <f>SUM(K57)</f>
      </c>
      <c r="L58" s="40">
        <f>SUM(L57)</f>
      </c>
      <c r="M58" s="41">
        <f t="shared" si="4"/>
      </c>
      <c r="N58" s="41">
        <f t="shared" si="3"/>
      </c>
      <c r="O58" s="42"/>
      <c r="P58" s="53">
        <f>P57</f>
      </c>
    </row>
    <row hidden="true" r="59">
      <c r="A59" s="28">
        <v>46261</v>
      </c>
      <c r="B59" s="29" t="s">
        <v>48</v>
      </c>
      <c r="C59" s="30" t="s">
        <v>59</v>
      </c>
      <c r="D59" s="29">
        <v>4</v>
      </c>
      <c r="E59" s="29">
        <v>34</v>
      </c>
      <c r="F59" s="29">
        <v>14</v>
      </c>
      <c r="G59" s="29">
        <v>13</v>
      </c>
      <c r="H59" s="29">
        <v>14</v>
      </c>
      <c r="I59" s="29">
        <v>0</v>
      </c>
      <c r="J59" s="31">
        <v>12593.999999999998</v>
      </c>
      <c r="K59" s="54">
        <v>13129.419999999998</v>
      </c>
      <c r="L59" s="44">
        <f>J59/K59</f>
      </c>
      <c r="M59" s="33">
        <f t="shared" si="4"/>
      </c>
      <c r="N59" s="33">
        <f t="shared" si="3"/>
      </c>
      <c r="O59" s="34" t="s">
        <v>61</v>
      </c>
      <c r="P59" s="51">
        <v>4</v>
      </c>
    </row>
    <row hidden="true" r="60">
      <c r="A60" s="39">
        <v>46261</v>
      </c>
      <c r="B60" s="40"/>
      <c r="C60" s="40"/>
      <c r="D60" s="40">
        <f>SUM(D59)</f>
      </c>
      <c r="E60" s="40">
        <f>SUM(E59)</f>
      </c>
      <c r="F60" s="40">
        <f>SUM(F59)</f>
      </c>
      <c r="G60" s="40">
        <f>SUM(G59)</f>
      </c>
      <c r="H60" s="40">
        <f>SUM(H59)</f>
      </c>
      <c r="I60" s="40">
        <f>SUM(I59)</f>
      </c>
      <c r="J60" s="40">
        <f>SUM(J59)</f>
      </c>
      <c r="K60" s="40">
        <f>SUM(K59)</f>
      </c>
      <c r="L60" s="40">
        <f>SUM(L59)</f>
      </c>
      <c r="M60" s="41">
        <f t="shared" si="4"/>
      </c>
      <c r="N60" s="41">
        <f t="shared" si="3"/>
      </c>
      <c r="O60" s="42"/>
      <c r="P60" s="53">
        <f>P59</f>
      </c>
    </row>
    <row hidden="true" r="61">
      <c r="A61" s="28">
        <v>46262</v>
      </c>
      <c r="B61" s="29" t="s">
        <v>48</v>
      </c>
      <c r="C61" s="30" t="s">
        <v>59</v>
      </c>
      <c r="D61" s="29">
        <v>4</v>
      </c>
      <c r="E61" s="29">
        <v>29</v>
      </c>
      <c r="F61" s="29">
        <v>8</v>
      </c>
      <c r="G61" s="29">
        <v>7</v>
      </c>
      <c r="H61" s="29">
        <v>4</v>
      </c>
      <c r="I61" s="29">
        <v>0</v>
      </c>
      <c r="J61" s="31">
        <v>11278.2</v>
      </c>
      <c r="K61" s="54">
        <v>12464.45</v>
      </c>
      <c r="L61" s="44">
        <f>J61/K61</f>
      </c>
      <c r="M61" s="33">
        <f t="shared" si="4"/>
      </c>
      <c r="N61" s="33">
        <f t="shared" si="3"/>
      </c>
      <c r="O61" s="34" t="s">
        <v>61</v>
      </c>
      <c r="P61" s="51">
        <v>4</v>
      </c>
    </row>
    <row hidden="true" r="62">
      <c r="A62" s="39">
        <v>46262</v>
      </c>
      <c r="B62" s="40"/>
      <c r="C62" s="40"/>
      <c r="D62" s="40">
        <f>SUM(D61)</f>
      </c>
      <c r="E62" s="40">
        <f>SUM(E61)</f>
      </c>
      <c r="F62" s="40">
        <f>SUM(F61)</f>
      </c>
      <c r="G62" s="40">
        <f>SUM(G61)</f>
      </c>
      <c r="H62" s="40">
        <f>SUM(H61)</f>
      </c>
      <c r="I62" s="40">
        <f>SUM(I61)</f>
      </c>
      <c r="J62" s="40">
        <f>SUM(J61)</f>
      </c>
      <c r="K62" s="40">
        <f>SUM(K61)</f>
      </c>
      <c r="L62" s="40">
        <f>SUM(L61)</f>
      </c>
      <c r="M62" s="41">
        <f t="shared" si="4"/>
      </c>
      <c r="N62" s="41">
        <f t="shared" si="3"/>
      </c>
      <c r="O62" s="42"/>
      <c r="P62" s="53">
        <f>P61</f>
      </c>
    </row>
    <row hidden="true" r="63">
      <c r="A63" s="28">
        <v>46263</v>
      </c>
      <c r="B63" s="29" t="s">
        <v>51</v>
      </c>
      <c r="C63" s="30" t="s">
        <v>59</v>
      </c>
      <c r="D63" s="29">
        <v>4</v>
      </c>
      <c r="E63" s="29">
        <v>40</v>
      </c>
      <c r="F63" s="29">
        <v>13</v>
      </c>
      <c r="G63" s="29">
        <v>11</v>
      </c>
      <c r="H63" s="29">
        <v>12</v>
      </c>
      <c r="I63" s="29">
        <v>2</v>
      </c>
      <c r="J63" s="31">
        <v>17413.2</v>
      </c>
      <c r="K63" s="54">
        <v>14498.570000000002</v>
      </c>
      <c r="L63" s="44">
        <f>J63/K63</f>
      </c>
      <c r="M63" s="33">
        <f t="shared" si="4"/>
      </c>
      <c r="N63" s="33">
        <f t="shared" si="3"/>
      </c>
      <c r="O63" s="34" t="s">
        <v>61</v>
      </c>
      <c r="P63" s="51">
        <v>4</v>
      </c>
    </row>
    <row hidden="true" r="64">
      <c r="A64" s="39">
        <v>46263</v>
      </c>
      <c r="B64" s="40"/>
      <c r="C64" s="40"/>
      <c r="D64" s="40">
        <f>SUM(D63)</f>
      </c>
      <c r="E64" s="40">
        <f>SUM(E63)</f>
      </c>
      <c r="F64" s="40">
        <f>SUM(F63)</f>
      </c>
      <c r="G64" s="40">
        <f>SUM(G63)</f>
      </c>
      <c r="H64" s="40">
        <f>SUM(H63)</f>
      </c>
      <c r="I64" s="40">
        <f>SUM(I63)</f>
      </c>
      <c r="J64" s="40">
        <f>SUM(J63)</f>
      </c>
      <c r="K64" s="40">
        <f>SUM(K63)</f>
      </c>
      <c r="L64" s="40">
        <f>SUM(L63)</f>
      </c>
      <c r="M64" s="41">
        <f t="shared" si="4"/>
      </c>
      <c r="N64" s="41">
        <f t="shared" si="3"/>
      </c>
      <c r="O64" s="42"/>
      <c r="P64" s="53">
        <f>P63</f>
      </c>
    </row>
    <row hidden="true" r="65">
      <c r="A65" s="28">
        <v>46264</v>
      </c>
      <c r="B65" s="29" t="s">
        <v>51</v>
      </c>
      <c r="C65" s="30" t="s">
        <v>59</v>
      </c>
      <c r="D65" s="29">
        <v>4</v>
      </c>
      <c r="E65" s="29">
        <v>29</v>
      </c>
      <c r="F65" s="29">
        <v>15</v>
      </c>
      <c r="G65" s="29">
        <v>14</v>
      </c>
      <c r="H65" s="29">
        <v>11</v>
      </c>
      <c r="I65" s="29">
        <v>1</v>
      </c>
      <c r="J65" s="31">
        <v>20181</v>
      </c>
      <c r="K65" s="54">
        <v>13271.51</v>
      </c>
      <c r="L65" s="44">
        <f>J65/K65</f>
      </c>
      <c r="M65" s="33">
        <f t="shared" si="4"/>
      </c>
      <c r="N65" s="33">
        <f t="shared" si="3"/>
      </c>
      <c r="O65" s="34" t="s">
        <v>61</v>
      </c>
      <c r="P65" s="51">
        <v>4</v>
      </c>
    </row>
    <row hidden="true" r="66">
      <c r="A66" s="39">
        <v>46264</v>
      </c>
      <c r="B66" s="40"/>
      <c r="C66" s="40"/>
      <c r="D66" s="40">
        <f>SUM(D65)</f>
      </c>
      <c r="E66" s="40">
        <f>SUM(E65)</f>
      </c>
      <c r="F66" s="40">
        <f>SUM(F65)</f>
      </c>
      <c r="G66" s="40">
        <f>SUM(G65)</f>
      </c>
      <c r="H66" s="40">
        <f>SUM(H65)</f>
      </c>
      <c r="I66" s="40">
        <f>SUM(I65)</f>
      </c>
      <c r="J66" s="40">
        <f>SUM(J65)</f>
      </c>
      <c r="K66" s="40">
        <f>SUM(K65)</f>
      </c>
      <c r="L66" s="40">
        <f>SUM(L65)</f>
      </c>
      <c r="M66" s="41">
        <f t="shared" si="4"/>
      </c>
      <c r="N66" s="41">
        <f t="shared" si="3"/>
      </c>
      <c r="O66" s="42"/>
      <c r="P66" s="53">
        <f>P65</f>
      </c>
    </row>
    <row hidden="true" r="67">
      <c r="A67" s="28">
        <v>46265</v>
      </c>
      <c r="B67" s="29" t="s">
        <v>51</v>
      </c>
      <c r="C67" s="30" t="s">
        <v>59</v>
      </c>
      <c r="D67" s="29">
        <v>4</v>
      </c>
      <c r="E67" s="29">
        <v>17</v>
      </c>
      <c r="F67" s="29">
        <v>4</v>
      </c>
      <c r="G67" s="29">
        <v>4</v>
      </c>
      <c r="H67" s="29">
        <v>4</v>
      </c>
      <c r="I67" s="29">
        <v>0</v>
      </c>
      <c r="J67" s="31">
        <v>3796.7999999999997</v>
      </c>
      <c r="K67" s="32">
        <v>11697.949999999999</v>
      </c>
      <c r="L67" s="33">
        <f t="shared" ref="L67:L69" si="2">J67/K67</f>
      </c>
      <c r="M67" s="33">
        <f t="shared" si="4"/>
      </c>
      <c r="N67" s="33">
        <f t="shared" si="3"/>
      </c>
      <c r="O67" s="34" t="s">
        <v>61</v>
      </c>
      <c r="P67" s="35">
        <v>7</v>
      </c>
    </row>
    <row hidden="true" r="68">
      <c r="A68" s="28">
        <v>46265</v>
      </c>
      <c r="B68" s="29" t="s">
        <v>62</v>
      </c>
      <c r="C68" s="30" t="s">
        <v>63</v>
      </c>
      <c r="D68" s="29">
        <v>3</v>
      </c>
      <c r="E68" s="29">
        <v>11</v>
      </c>
      <c r="F68" s="29">
        <v>4</v>
      </c>
      <c r="G68" s="29">
        <v>3</v>
      </c>
      <c r="H68" s="29">
        <v>3</v>
      </c>
      <c r="I68" s="36">
        <v>0</v>
      </c>
      <c r="J68" s="31">
        <v>6758.4</v>
      </c>
      <c r="K68" s="31">
        <v>6332.63</v>
      </c>
      <c r="L68" s="33">
        <f t="shared" si="2"/>
      </c>
      <c r="M68" s="33">
        <f t="shared" si="4"/>
      </c>
      <c r="N68" s="33">
        <f t="shared" si="3"/>
      </c>
      <c r="O68" s="37"/>
      <c r="P68" s="38"/>
    </row>
    <row hidden="true" r="69">
      <c r="A69" s="39">
        <v>46265</v>
      </c>
      <c r="B69" s="40"/>
      <c r="C69" s="40"/>
      <c r="D69" s="40">
        <f>SUM(D67:D68)</f>
      </c>
      <c r="E69" s="40">
        <f>SUM(E67:E68)</f>
      </c>
      <c r="F69" s="40">
        <f>SUM(F67:F68)</f>
      </c>
      <c r="G69" s="40">
        <f>SUM(G67:G68)</f>
      </c>
      <c r="H69" s="40">
        <f>SUM(H67:H68)</f>
      </c>
      <c r="I69" s="40">
        <f>SUM(I67:I68)</f>
      </c>
      <c r="J69" s="40">
        <f>SUM(J67:J68)</f>
      </c>
      <c r="K69" s="40">
        <f>SUM(K67:K68)</f>
      </c>
      <c r="L69" s="41">
        <f t="shared" si="2"/>
      </c>
      <c r="M69" s="41">
        <f t="shared" si="4"/>
      </c>
      <c r="N69" s="41">
        <f t="shared" si="3"/>
      </c>
      <c r="O69" s="42"/>
      <c r="P69" s="43">
        <f>SUM(P67:P68)</f>
      </c>
    </row>
    <row hidden="true" r="70">
      <c r="K70" s="58"/>
    </row>
    <row hidden="true" r="71"/>
    <row hidden="true" r="72">
      <c r="D72" s="58"/>
      <c r="K72" s="59"/>
    </row>
    <row hidden="true" r="73"/>
    <row r="74"/>
    <row r="75"/>
    <row r="76">
      <c r="K76" s="59"/>
    </row>
    <row r="77"/>
    <row r="78"/>
    <row r="79"/>
    <row r="80">
      <c r="G80" s="59"/>
    </row>
    <row r="81">
      <c r="I81" s="59"/>
    </row>
    <row r="82">
      <c r="E82" s="59"/>
    </row>
    <row r="83">
      <c r="K83" s="59"/>
    </row>
    <row r="84">
      <c r="E84" s="59"/>
    </row>
    <row r="85"/>
    <row r="86"/>
    <row r="87">
      <c r="E87" s="60"/>
    </row>
    <row r="88"/>
    <row r="89">
      <c r="K89" s="59"/>
    </row>
  </sheetData>
  <autoFilter ref="A1:P73">
    <filterColumn colId="14">
      <filters>
        <filter val="商潇涵"/>
      </filters>
    </filterColumn>
  </autoFilter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3" min="3" style="0" width="11.211267605633802"/>
    <col collapsed="false" customWidth="true" hidden="false" max="5" min="5" style="0" width="11.211267605633802"/>
  </cols>
  <sheetData>
    <row r="1">
      <c r="A1" s="61" t="s">
        <v>64</v>
      </c>
      <c r="B1" s="62" t="s">
        <v>65</v>
      </c>
      <c r="C1" s="62" t="s">
        <v>66</v>
      </c>
      <c r="D1" s="62" t="s">
        <v>67</v>
      </c>
      <c r="E1" s="62" t="s">
        <v>68</v>
      </c>
      <c r="F1" s="62" t="s">
        <v>69</v>
      </c>
      <c r="G1" s="62" t="s">
        <v>70</v>
      </c>
      <c r="H1" s="63" t="s">
        <v>71</v>
      </c>
      <c r="I1" s="62" t="s">
        <v>72</v>
      </c>
      <c r="J1" s="62" t="s">
        <v>73</v>
      </c>
      <c r="K1" s="62" t="s">
        <v>74</v>
      </c>
      <c r="L1" s="63" t="s">
        <v>75</v>
      </c>
      <c r="M1" s="63" t="s">
        <v>76</v>
      </c>
      <c r="N1" s="63" t="s">
        <v>77</v>
      </c>
      <c r="O1" s="64" t="s">
        <v>78</v>
      </c>
      <c r="P1" s="64" t="s">
        <v>79</v>
      </c>
      <c r="Q1" s="65"/>
      <c r="R1" s="65"/>
    </row>
    <row hidden="true" r="2">
      <c r="A2" s="66">
        <v>46223</v>
      </c>
      <c r="B2" s="67" t="s">
        <v>80</v>
      </c>
      <c r="C2" s="68" t="s">
        <v>81</v>
      </c>
      <c r="D2" s="67">
        <v>4</v>
      </c>
      <c r="E2" s="67">
        <v>2</v>
      </c>
      <c r="F2" s="67">
        <v>0</v>
      </c>
      <c r="G2" s="67">
        <v>0</v>
      </c>
      <c r="H2" s="67">
        <v>0</v>
      </c>
      <c r="I2" s="67">
        <v>0</v>
      </c>
      <c r="J2" s="69">
        <v>0</v>
      </c>
      <c r="K2" s="70">
        <v>1369.81</v>
      </c>
      <c r="L2" s="71">
        <f t="shared" ref="L2:L43" si="0">J2/K2</f>
      </c>
      <c r="M2" s="71">
        <f t="shared" ref="M2:M43" si="1">J2/F2</f>
      </c>
      <c r="N2" s="71">
        <f t="shared" ref="N2:N43" si="2">K2/F2</f>
      </c>
      <c r="O2" s="72" t="s">
        <v>82</v>
      </c>
      <c r="P2" s="73">
        <v>8</v>
      </c>
      <c r="Q2" s="65"/>
      <c r="R2" s="65"/>
    </row>
    <row customHeight="true" hidden="true" ht="16.071428571428573" r="3">
      <c r="A3" s="66">
        <v>46223</v>
      </c>
      <c r="B3" s="74" t="s">
        <v>83</v>
      </c>
      <c r="C3" s="68" t="s">
        <v>84</v>
      </c>
      <c r="D3" s="67">
        <v>2</v>
      </c>
      <c r="E3" s="67">
        <v>8</v>
      </c>
      <c r="F3" s="67">
        <v>2</v>
      </c>
      <c r="G3" s="67">
        <v>2</v>
      </c>
      <c r="H3" s="67">
        <v>2</v>
      </c>
      <c r="I3" s="75">
        <v>0</v>
      </c>
      <c r="J3" s="76">
        <v>1320</v>
      </c>
      <c r="K3" s="69">
        <v>3377.15</v>
      </c>
      <c r="L3" s="71">
        <f t="shared" si="0"/>
      </c>
      <c r="M3" s="71">
        <f t="shared" si="1"/>
      </c>
      <c r="N3" s="71">
        <f t="shared" si="2"/>
      </c>
      <c r="O3" s="77"/>
      <c r="P3" s="78"/>
      <c r="Q3" s="65"/>
      <c r="R3" s="65"/>
    </row>
    <row hidden="true" r="4">
      <c r="A4" s="66">
        <v>46223</v>
      </c>
      <c r="B4" s="74" t="s">
        <v>85</v>
      </c>
      <c r="C4" s="68" t="s">
        <v>86</v>
      </c>
      <c r="D4" s="67">
        <v>2</v>
      </c>
      <c r="E4" s="67">
        <v>1</v>
      </c>
      <c r="F4" s="67">
        <v>0</v>
      </c>
      <c r="G4" s="67">
        <v>0</v>
      </c>
      <c r="H4" s="67">
        <v>0</v>
      </c>
      <c r="I4" s="67">
        <v>0</v>
      </c>
      <c r="J4" s="69">
        <v>0</v>
      </c>
      <c r="K4" s="76">
        <v>2924.1</v>
      </c>
      <c r="L4" s="71">
        <f t="shared" si="0"/>
      </c>
      <c r="M4" s="71">
        <f t="shared" si="1"/>
      </c>
      <c r="N4" s="71">
        <f t="shared" si="2"/>
      </c>
      <c r="O4" s="79"/>
      <c r="P4" s="78"/>
      <c r="Q4" s="65"/>
      <c r="R4" s="65"/>
    </row>
    <row r="5">
      <c r="A5" s="80">
        <v>46223</v>
      </c>
      <c r="B5" s="81"/>
      <c r="C5" s="81"/>
      <c r="D5" s="81">
        <f>SUM(D2:D4)</f>
      </c>
      <c r="E5" s="81">
        <f>SUM(E2:E4)</f>
      </c>
      <c r="F5" s="81">
        <f>SUM(F2:F4)</f>
      </c>
      <c r="G5" s="81">
        <f>SUM(G2:G4)</f>
      </c>
      <c r="H5" s="81">
        <f>SUM(H2:H4)</f>
      </c>
      <c r="I5" s="81">
        <f>SUM(I2:I4)</f>
      </c>
      <c r="J5" s="81">
        <f>SUM(J2:J4)</f>
      </c>
      <c r="K5" s="81">
        <f>SUM(K2:K4)</f>
      </c>
      <c r="L5" s="82">
        <f t="shared" si="0"/>
      </c>
      <c r="M5" s="82">
        <f t="shared" si="1"/>
      </c>
      <c r="N5" s="82">
        <f t="shared" si="2"/>
      </c>
      <c r="O5" s="83"/>
      <c r="P5" s="84">
        <f>SUM(P2:P4)</f>
      </c>
      <c r="Q5" s="65"/>
      <c r="R5" s="65"/>
    </row>
    <row hidden="true" r="6">
      <c r="A6" s="85">
        <v>46224</v>
      </c>
      <c r="B6" s="67" t="s">
        <v>80</v>
      </c>
      <c r="C6" s="68" t="s">
        <v>81</v>
      </c>
      <c r="D6" s="67">
        <v>4</v>
      </c>
      <c r="E6" s="67">
        <v>7</v>
      </c>
      <c r="F6" s="67">
        <v>0</v>
      </c>
      <c r="G6" s="67">
        <v>0</v>
      </c>
      <c r="H6" s="67">
        <v>0</v>
      </c>
      <c r="I6" s="67">
        <v>0</v>
      </c>
      <c r="J6" s="69">
        <v>0</v>
      </c>
      <c r="K6" s="86">
        <v>3004.52</v>
      </c>
      <c r="L6" s="71">
        <f t="shared" si="0"/>
      </c>
      <c r="M6" s="71">
        <f t="shared" si="1"/>
      </c>
      <c r="N6" s="71">
        <f t="shared" si="2"/>
      </c>
      <c r="O6" s="72" t="s">
        <v>82</v>
      </c>
      <c r="P6" s="73">
        <v>8</v>
      </c>
    </row>
    <row hidden="true" r="7">
      <c r="A7" s="66">
        <v>46224</v>
      </c>
      <c r="B7" s="74" t="s">
        <v>83</v>
      </c>
      <c r="C7" s="68" t="s">
        <v>84</v>
      </c>
      <c r="D7" s="67">
        <v>2</v>
      </c>
      <c r="E7" s="67">
        <v>4</v>
      </c>
      <c r="F7" s="67">
        <v>2</v>
      </c>
      <c r="G7" s="67">
        <v>1</v>
      </c>
      <c r="H7" s="67">
        <v>2</v>
      </c>
      <c r="I7" s="75">
        <v>0</v>
      </c>
      <c r="J7" s="76">
        <v>1716.6</v>
      </c>
      <c r="K7" s="76">
        <v>1475.45</v>
      </c>
      <c r="L7" s="71">
        <f t="shared" si="0"/>
      </c>
      <c r="M7" s="71">
        <f t="shared" si="1"/>
      </c>
      <c r="N7" s="71">
        <f t="shared" si="2"/>
      </c>
      <c r="O7" s="77"/>
      <c r="P7" s="78"/>
    </row>
    <row hidden="true" r="8">
      <c r="A8" s="66">
        <v>46224</v>
      </c>
      <c r="B8" s="67" t="s">
        <v>87</v>
      </c>
      <c r="C8" s="68" t="s">
        <v>86</v>
      </c>
      <c r="D8" s="67">
        <v>2</v>
      </c>
      <c r="E8" s="67">
        <v>5</v>
      </c>
      <c r="F8" s="67">
        <v>2</v>
      </c>
      <c r="G8" s="67">
        <v>2</v>
      </c>
      <c r="H8" s="67">
        <v>1</v>
      </c>
      <c r="I8" s="67">
        <v>0</v>
      </c>
      <c r="J8" s="69">
        <v>4258.8</v>
      </c>
      <c r="K8" s="69">
        <v>2476.98</v>
      </c>
      <c r="L8" s="71">
        <f t="shared" si="0"/>
      </c>
      <c r="M8" s="71">
        <f t="shared" si="1"/>
      </c>
      <c r="N8" s="71">
        <f t="shared" si="2"/>
      </c>
      <c r="O8" s="79"/>
      <c r="P8" s="78"/>
    </row>
    <row r="9">
      <c r="A9" s="80">
        <v>46224</v>
      </c>
      <c r="B9" s="81"/>
      <c r="C9" s="81"/>
      <c r="D9" s="81">
        <f>SUM(D6:D8)</f>
      </c>
      <c r="E9" s="81">
        <f>SUM(E6:E8)</f>
      </c>
      <c r="F9" s="81">
        <f>SUM(F6:F8)</f>
      </c>
      <c r="G9" s="81">
        <f>SUM(G6:G8)</f>
      </c>
      <c r="H9" s="81">
        <f>SUM(H6:H8)</f>
      </c>
      <c r="I9" s="81">
        <f>SUM(I6:I8)</f>
      </c>
      <c r="J9" s="81">
        <f>SUM(J6:J8)</f>
      </c>
      <c r="K9" s="81">
        <f>SUM(K6:K8)</f>
      </c>
      <c r="L9" s="82">
        <f t="shared" si="0"/>
      </c>
      <c r="M9" s="82">
        <f t="shared" si="1"/>
      </c>
      <c r="N9" s="82">
        <f t="shared" si="2"/>
      </c>
      <c r="O9" s="83"/>
      <c r="P9" s="84">
        <f>SUM(P6:P8)</f>
      </c>
    </row>
    <row hidden="true" r="10">
      <c r="A10" s="85">
        <v>46225</v>
      </c>
      <c r="B10" s="67" t="s">
        <v>85</v>
      </c>
      <c r="C10" s="68" t="s">
        <v>88</v>
      </c>
      <c r="D10" s="67">
        <v>3</v>
      </c>
      <c r="E10" s="67">
        <v>2</v>
      </c>
      <c r="F10" s="67">
        <v>1</v>
      </c>
      <c r="G10" s="67">
        <v>1</v>
      </c>
      <c r="H10" s="67">
        <v>1</v>
      </c>
      <c r="I10" s="67">
        <v>0</v>
      </c>
      <c r="J10" s="69">
        <v>1525.1999999999998</v>
      </c>
      <c r="K10" s="70">
        <v>1618.52</v>
      </c>
      <c r="L10" s="71">
        <f t="shared" si="0"/>
      </c>
      <c r="M10" s="71">
        <f t="shared" si="1"/>
      </c>
      <c r="N10" s="71">
        <f t="shared" si="2"/>
      </c>
      <c r="O10" s="72" t="s">
        <v>82</v>
      </c>
      <c r="P10" s="73">
        <v>3</v>
      </c>
    </row>
    <row r="11">
      <c r="A11" s="80">
        <v>46225</v>
      </c>
      <c r="B11" s="81"/>
      <c r="C11" s="81"/>
      <c r="D11" s="81">
        <f>SUM(D10)</f>
      </c>
      <c r="E11" s="81">
        <f>SUM(E10)</f>
      </c>
      <c r="F11" s="81">
        <f>SUM(F10)</f>
      </c>
      <c r="G11" s="81">
        <f>SUM(G10)</f>
      </c>
      <c r="H11" s="81">
        <f>SUM(H10)</f>
      </c>
      <c r="I11" s="81">
        <f>SUM(I10)</f>
      </c>
      <c r="J11" s="81">
        <f>SUM(J10)</f>
      </c>
      <c r="K11" s="81">
        <f>SUM(K10)</f>
      </c>
      <c r="L11" s="82">
        <f t="shared" si="0"/>
      </c>
      <c r="M11" s="82">
        <f t="shared" si="1"/>
      </c>
      <c r="N11" s="82">
        <f t="shared" si="2"/>
      </c>
      <c r="O11" s="83"/>
      <c r="P11" s="84">
        <f>SUM(P10)</f>
      </c>
    </row>
    <row hidden="true" r="12">
      <c r="A12" s="85">
        <v>46226</v>
      </c>
      <c r="B12" s="67" t="s">
        <v>85</v>
      </c>
      <c r="C12" s="68" t="s">
        <v>89</v>
      </c>
      <c r="D12" s="67">
        <v>2</v>
      </c>
      <c r="E12" s="67">
        <v>1</v>
      </c>
      <c r="F12" s="67">
        <v>0</v>
      </c>
      <c r="G12" s="67">
        <v>0</v>
      </c>
      <c r="H12" s="67">
        <v>0</v>
      </c>
      <c r="I12" s="67">
        <v>0</v>
      </c>
      <c r="J12" s="69">
        <v>0</v>
      </c>
      <c r="K12" s="86">
        <v>3915.97</v>
      </c>
      <c r="L12" s="71">
        <f t="shared" si="0"/>
      </c>
      <c r="M12" s="71">
        <f t="shared" si="1"/>
      </c>
      <c r="N12" s="71">
        <f t="shared" si="2"/>
      </c>
      <c r="O12" s="72" t="s">
        <v>90</v>
      </c>
      <c r="P12" s="73">
        <v>8</v>
      </c>
    </row>
    <row hidden="true" r="13">
      <c r="A13" s="66">
        <v>46226</v>
      </c>
      <c r="B13" s="67" t="s">
        <v>87</v>
      </c>
      <c r="C13" s="68" t="s">
        <v>84</v>
      </c>
      <c r="D13" s="67">
        <v>2</v>
      </c>
      <c r="E13" s="67">
        <v>10</v>
      </c>
      <c r="F13" s="67">
        <v>6</v>
      </c>
      <c r="G13" s="67">
        <v>6</v>
      </c>
      <c r="H13" s="67">
        <v>3</v>
      </c>
      <c r="I13" s="75">
        <v>0</v>
      </c>
      <c r="J13" s="69">
        <v>9211.2</v>
      </c>
      <c r="K13" s="76">
        <v>6726.24</v>
      </c>
      <c r="L13" s="71">
        <f t="shared" si="0"/>
      </c>
      <c r="M13" s="71">
        <f t="shared" si="1"/>
      </c>
      <c r="N13" s="71">
        <f t="shared" si="2"/>
      </c>
      <c r="O13" s="77"/>
      <c r="P13" s="78"/>
    </row>
    <row hidden="true" r="14">
      <c r="A14" s="66">
        <v>46226</v>
      </c>
      <c r="B14" s="74" t="s">
        <v>83</v>
      </c>
      <c r="C14" s="68" t="s">
        <v>91</v>
      </c>
      <c r="D14" s="67">
        <v>4</v>
      </c>
      <c r="E14" s="67">
        <v>10</v>
      </c>
      <c r="F14" s="67">
        <v>4</v>
      </c>
      <c r="G14" s="67">
        <v>4</v>
      </c>
      <c r="H14" s="67">
        <v>3</v>
      </c>
      <c r="I14" s="67">
        <v>0</v>
      </c>
      <c r="J14" s="69">
        <v>4057.2000000000007</v>
      </c>
      <c r="K14" s="69">
        <v>9512.4</v>
      </c>
      <c r="L14" s="71">
        <f t="shared" si="0"/>
      </c>
      <c r="M14" s="71">
        <f t="shared" si="1"/>
      </c>
      <c r="N14" s="71">
        <f t="shared" si="2"/>
      </c>
      <c r="O14" s="79"/>
      <c r="P14" s="78"/>
    </row>
    <row r="15">
      <c r="A15" s="80">
        <v>46226</v>
      </c>
      <c r="B15" s="81"/>
      <c r="C15" s="81"/>
      <c r="D15" s="81">
        <f>SUM(D12:D14)</f>
      </c>
      <c r="E15" s="81">
        <f>SUM(E12:E14)</f>
      </c>
      <c r="F15" s="81">
        <f>SUM(F12:F14)</f>
      </c>
      <c r="G15" s="81">
        <f>SUM(G12:G14)</f>
      </c>
      <c r="H15" s="81">
        <f>SUM(H12:H14)</f>
      </c>
      <c r="I15" s="81">
        <f>SUM(I12:I14)</f>
      </c>
      <c r="J15" s="81">
        <f>SUM(J12:J14)</f>
      </c>
      <c r="K15" s="81">
        <f>SUM(K12:K14)</f>
      </c>
      <c r="L15" s="82">
        <f t="shared" si="0"/>
      </c>
      <c r="M15" s="82">
        <f t="shared" si="1"/>
      </c>
      <c r="N15" s="82">
        <f t="shared" si="2"/>
      </c>
      <c r="O15" s="83"/>
      <c r="P15" s="84">
        <f>SUM(P12:P14)</f>
      </c>
    </row>
    <row hidden="true" r="16">
      <c r="A16" s="66">
        <v>46227</v>
      </c>
      <c r="B16" s="67" t="s">
        <v>87</v>
      </c>
      <c r="C16" s="68" t="s">
        <v>92</v>
      </c>
      <c r="D16" s="67">
        <v>4</v>
      </c>
      <c r="E16" s="67">
        <v>22</v>
      </c>
      <c r="F16" s="67">
        <v>12</v>
      </c>
      <c r="G16" s="67">
        <v>8</v>
      </c>
      <c r="H16" s="67">
        <v>9</v>
      </c>
      <c r="I16" s="75">
        <v>2</v>
      </c>
      <c r="J16" s="69">
        <v>13972.2</v>
      </c>
      <c r="K16" s="76">
        <v>10711.77</v>
      </c>
      <c r="L16" s="71">
        <f t="shared" si="0"/>
      </c>
      <c r="M16" s="71">
        <f t="shared" si="1"/>
      </c>
      <c r="N16" s="71">
        <f t="shared" si="2"/>
      </c>
      <c r="O16" s="72" t="s">
        <v>90</v>
      </c>
      <c r="P16" s="73">
        <v>8</v>
      </c>
    </row>
    <row hidden="true" r="17">
      <c r="A17" s="66">
        <v>46227</v>
      </c>
      <c r="B17" s="74" t="s">
        <v>83</v>
      </c>
      <c r="C17" s="68" t="s">
        <v>91</v>
      </c>
      <c r="D17" s="67">
        <v>4</v>
      </c>
      <c r="E17" s="67">
        <v>23</v>
      </c>
      <c r="F17" s="67">
        <v>12</v>
      </c>
      <c r="G17" s="67">
        <v>11</v>
      </c>
      <c r="H17" s="67">
        <v>10</v>
      </c>
      <c r="I17" s="67">
        <v>1</v>
      </c>
      <c r="J17" s="69">
        <v>14900.400000000001</v>
      </c>
      <c r="K17" s="69">
        <v>12806.95</v>
      </c>
      <c r="L17" s="71">
        <f t="shared" si="0"/>
      </c>
      <c r="M17" s="71">
        <f t="shared" si="1"/>
      </c>
      <c r="N17" s="71">
        <f t="shared" si="2"/>
      </c>
      <c r="O17" s="79"/>
      <c r="P17" s="78"/>
    </row>
    <row r="18">
      <c r="A18" s="80">
        <v>46227</v>
      </c>
      <c r="B18" s="81"/>
      <c r="C18" s="81"/>
      <c r="D18" s="81">
        <f>SUM(D16:D17)</f>
      </c>
      <c r="E18" s="81">
        <f>SUM(E16:E17)</f>
      </c>
      <c r="F18" s="81">
        <f>SUM(F16:F17)</f>
      </c>
      <c r="G18" s="81">
        <f>SUM(G16:G17)</f>
      </c>
      <c r="H18" s="81">
        <f>SUM(H16:H17)</f>
      </c>
      <c r="I18" s="81">
        <f>SUM(I16:I17)</f>
      </c>
      <c r="J18" s="81">
        <f>SUM(J16:J17)</f>
      </c>
      <c r="K18" s="81">
        <f>SUM(K16:K17)</f>
      </c>
      <c r="L18" s="82">
        <f t="shared" si="0"/>
      </c>
      <c r="M18" s="82">
        <f t="shared" si="1"/>
      </c>
      <c r="N18" s="82">
        <f t="shared" si="2"/>
      </c>
      <c r="O18" s="83"/>
      <c r="P18" s="84">
        <f>SUM(P16:P17)</f>
      </c>
    </row>
    <row hidden="true" r="19">
      <c r="A19" s="85">
        <v>46228</v>
      </c>
      <c r="B19" s="67" t="s">
        <v>87</v>
      </c>
      <c r="C19" s="68" t="s">
        <v>92</v>
      </c>
      <c r="D19" s="67">
        <v>4</v>
      </c>
      <c r="E19" s="67">
        <v>18</v>
      </c>
      <c r="F19" s="67">
        <v>10</v>
      </c>
      <c r="G19" s="67">
        <v>6</v>
      </c>
      <c r="H19" s="67">
        <v>9</v>
      </c>
      <c r="I19" s="75">
        <v>1</v>
      </c>
      <c r="J19" s="69">
        <v>10694</v>
      </c>
      <c r="K19" s="76">
        <v>11760.960000000001</v>
      </c>
      <c r="L19" s="71">
        <f t="shared" si="0"/>
      </c>
      <c r="M19" s="71">
        <f t="shared" si="1"/>
      </c>
      <c r="N19" s="71">
        <f t="shared" si="2"/>
      </c>
      <c r="O19" s="72" t="s">
        <v>90</v>
      </c>
      <c r="P19" s="73">
        <v>8</v>
      </c>
    </row>
    <row hidden="true" r="20">
      <c r="A20" s="66">
        <v>46228</v>
      </c>
      <c r="B20" s="74" t="s">
        <v>83</v>
      </c>
      <c r="C20" s="68" t="s">
        <v>91</v>
      </c>
      <c r="D20" s="67">
        <v>4</v>
      </c>
      <c r="E20" s="67">
        <v>26</v>
      </c>
      <c r="F20" s="67">
        <v>12</v>
      </c>
      <c r="G20" s="67">
        <v>11</v>
      </c>
      <c r="H20" s="67">
        <v>7</v>
      </c>
      <c r="I20" s="67">
        <v>0</v>
      </c>
      <c r="J20" s="69">
        <v>16959.4</v>
      </c>
      <c r="K20" s="69">
        <v>12922.62</v>
      </c>
      <c r="L20" s="71">
        <f t="shared" si="0"/>
      </c>
      <c r="M20" s="71">
        <f t="shared" si="1"/>
      </c>
      <c r="N20" s="71">
        <f t="shared" si="2"/>
      </c>
      <c r="O20" s="79"/>
      <c r="P20" s="78"/>
    </row>
    <row r="21">
      <c r="A21" s="80">
        <v>46228</v>
      </c>
      <c r="B21" s="81"/>
      <c r="C21" s="81"/>
      <c r="D21" s="81">
        <f>SUM(D19:D20)</f>
      </c>
      <c r="E21" s="81">
        <f>SUM(E19:E20)</f>
      </c>
      <c r="F21" s="81">
        <f>SUM(F19:F20)</f>
      </c>
      <c r="G21" s="81">
        <f>SUM(G19:G20)</f>
      </c>
      <c r="H21" s="81">
        <f>SUM(H19:H20)</f>
      </c>
      <c r="I21" s="81">
        <f>SUM(I19:I20)</f>
      </c>
      <c r="J21" s="81">
        <f>SUM(J19:J20)</f>
      </c>
      <c r="K21" s="81">
        <f>SUM(K19:K20)</f>
      </c>
      <c r="L21" s="82">
        <f t="shared" si="0"/>
      </c>
      <c r="M21" s="82">
        <f t="shared" si="1"/>
      </c>
      <c r="N21" s="82">
        <f t="shared" si="2"/>
      </c>
      <c r="O21" s="83"/>
      <c r="P21" s="84">
        <f>SUM(P19:P20)</f>
      </c>
    </row>
    <row hidden="true" r="22">
      <c r="A22" s="66">
        <v>46229</v>
      </c>
      <c r="B22" s="74" t="s">
        <v>83</v>
      </c>
      <c r="C22" s="87" t="s">
        <v>92</v>
      </c>
      <c r="D22" s="74">
        <v>4</v>
      </c>
      <c r="E22" s="74">
        <v>20</v>
      </c>
      <c r="F22" s="74">
        <v>11</v>
      </c>
      <c r="G22" s="74">
        <v>9</v>
      </c>
      <c r="H22" s="74">
        <v>7</v>
      </c>
      <c r="I22" s="88">
        <v>1</v>
      </c>
      <c r="J22" s="89">
        <v>20010</v>
      </c>
      <c r="K22" s="76">
        <v>10883.589999999998</v>
      </c>
      <c r="L22" s="71">
        <f t="shared" si="0"/>
      </c>
      <c r="M22" s="71">
        <f t="shared" si="1"/>
      </c>
      <c r="N22" s="71">
        <f t="shared" si="2"/>
      </c>
      <c r="O22" s="79" t="s">
        <v>90</v>
      </c>
      <c r="P22" s="90">
        <v>8</v>
      </c>
    </row>
    <row hidden="true" r="23">
      <c r="A23" s="66">
        <v>46229</v>
      </c>
      <c r="B23" s="74" t="s">
        <v>87</v>
      </c>
      <c r="C23" s="87" t="s">
        <v>91</v>
      </c>
      <c r="D23" s="74">
        <v>4</v>
      </c>
      <c r="E23" s="67">
        <v>27</v>
      </c>
      <c r="F23" s="67">
        <v>14</v>
      </c>
      <c r="G23" s="67">
        <v>13</v>
      </c>
      <c r="H23" s="67">
        <v>11</v>
      </c>
      <c r="I23" s="67">
        <v>1</v>
      </c>
      <c r="J23" s="76">
        <v>17244</v>
      </c>
      <c r="K23" s="76">
        <v>15772.74</v>
      </c>
      <c r="L23" s="71">
        <f t="shared" si="0"/>
      </c>
      <c r="M23" s="71">
        <f t="shared" si="1"/>
      </c>
      <c r="N23" s="71">
        <f t="shared" si="2"/>
      </c>
      <c r="O23" s="79"/>
      <c r="P23" s="91"/>
    </row>
    <row r="24">
      <c r="A24" s="92">
        <v>46229</v>
      </c>
      <c r="B24" s="81"/>
      <c r="C24" s="81"/>
      <c r="D24" s="81">
        <f>SUM(D22:D23)</f>
      </c>
      <c r="E24" s="81">
        <f>SUM(E22:E23)</f>
      </c>
      <c r="F24" s="81">
        <f>SUM(F22:F23)</f>
      </c>
      <c r="G24" s="81">
        <f>SUM(G22:G23)</f>
      </c>
      <c r="H24" s="81">
        <f>SUM(H22:H23)</f>
      </c>
      <c r="I24" s="81">
        <f>SUM(I22:I23)</f>
      </c>
      <c r="J24" s="81">
        <f>SUM(J22:J23)</f>
      </c>
      <c r="K24" s="81">
        <f>SUM(K22:K23)</f>
      </c>
      <c r="L24" s="82">
        <f t="shared" si="0"/>
      </c>
      <c r="M24" s="82">
        <f t="shared" si="1"/>
      </c>
      <c r="N24" s="82">
        <f t="shared" si="2"/>
      </c>
      <c r="O24" s="83"/>
      <c r="P24" s="93">
        <f>SUM(P22:P23)</f>
      </c>
    </row>
    <row hidden="true" r="25">
      <c r="A25" s="85">
        <v>46230</v>
      </c>
      <c r="B25" s="67" t="s">
        <v>83</v>
      </c>
      <c r="C25" s="68" t="s">
        <v>88</v>
      </c>
      <c r="D25" s="67">
        <v>3</v>
      </c>
      <c r="E25" s="67">
        <v>13</v>
      </c>
      <c r="F25" s="67">
        <v>0</v>
      </c>
      <c r="G25" s="67">
        <v>0</v>
      </c>
      <c r="H25" s="67">
        <v>0</v>
      </c>
      <c r="I25" s="67">
        <v>0</v>
      </c>
      <c r="J25" s="69">
        <v>0</v>
      </c>
      <c r="K25" s="86">
        <v>7427.8099999999995</v>
      </c>
      <c r="L25" s="71">
        <f t="shared" si="0"/>
      </c>
      <c r="M25" s="71">
        <f t="shared" si="1"/>
      </c>
      <c r="N25" s="71">
        <f t="shared" si="2"/>
      </c>
      <c r="O25" s="79" t="s">
        <v>90</v>
      </c>
      <c r="P25" s="73">
        <v>8</v>
      </c>
    </row>
    <row hidden="true" r="26">
      <c r="A26" s="85">
        <v>46230</v>
      </c>
      <c r="B26" s="67" t="s">
        <v>85</v>
      </c>
      <c r="C26" s="68" t="s">
        <v>93</v>
      </c>
      <c r="D26" s="67">
        <v>2</v>
      </c>
      <c r="E26" s="67">
        <v>15</v>
      </c>
      <c r="F26" s="67">
        <v>6</v>
      </c>
      <c r="G26" s="67">
        <v>4</v>
      </c>
      <c r="H26" s="67">
        <v>5</v>
      </c>
      <c r="I26" s="75">
        <v>0</v>
      </c>
      <c r="J26" s="69">
        <v>7053.6</v>
      </c>
      <c r="K26" s="76">
        <v>5196.030000000001</v>
      </c>
      <c r="L26" s="71">
        <f t="shared" si="0"/>
      </c>
      <c r="M26" s="71">
        <f t="shared" si="1"/>
      </c>
      <c r="N26" s="71">
        <f t="shared" si="2"/>
      </c>
      <c r="O26" s="77"/>
      <c r="P26" s="78"/>
    </row>
    <row hidden="true" r="27">
      <c r="A27" s="85">
        <v>46230</v>
      </c>
      <c r="B27" s="67" t="s">
        <v>87</v>
      </c>
      <c r="C27" s="68" t="s">
        <v>94</v>
      </c>
      <c r="D27" s="67">
        <v>3</v>
      </c>
      <c r="E27" s="67">
        <v>11</v>
      </c>
      <c r="F27" s="67">
        <v>7</v>
      </c>
      <c r="G27" s="67">
        <v>6</v>
      </c>
      <c r="H27" s="67">
        <v>7</v>
      </c>
      <c r="I27" s="67">
        <v>0</v>
      </c>
      <c r="J27" s="69">
        <v>7306.799999999999</v>
      </c>
      <c r="K27" s="76">
        <v>9575.119999999999</v>
      </c>
      <c r="L27" s="71">
        <f t="shared" si="0"/>
      </c>
      <c r="M27" s="71">
        <f t="shared" si="1"/>
      </c>
      <c r="N27" s="71">
        <f t="shared" si="2"/>
      </c>
      <c r="O27" s="79"/>
      <c r="P27" s="78"/>
    </row>
    <row r="28">
      <c r="A28" s="80">
        <v>46230</v>
      </c>
      <c r="B28" s="81"/>
      <c r="C28" s="81"/>
      <c r="D28" s="81">
        <f>SUM(D25:D27)</f>
      </c>
      <c r="E28" s="81">
        <f>SUM(E25:E27)</f>
      </c>
      <c r="F28" s="81">
        <f>SUM(F25:F27)</f>
      </c>
      <c r="G28" s="81">
        <f>SUM(G25:G27)</f>
      </c>
      <c r="H28" s="81">
        <f>SUM(H25:H27)</f>
      </c>
      <c r="I28" s="81">
        <f>SUM(I25:I27)</f>
      </c>
      <c r="J28" s="81">
        <f>SUM(J25:J27)</f>
      </c>
      <c r="K28" s="81">
        <f>SUM(K25:K27)</f>
      </c>
      <c r="L28" s="82">
        <f t="shared" si="0"/>
      </c>
      <c r="M28" s="82">
        <f t="shared" si="1"/>
      </c>
      <c r="N28" s="82">
        <f t="shared" si="2"/>
      </c>
      <c r="O28" s="83"/>
      <c r="P28" s="84">
        <f>SUM(P25:P27)</f>
      </c>
    </row>
    <row hidden="true" r="29">
      <c r="A29" s="85">
        <v>46231</v>
      </c>
      <c r="B29" s="67" t="s">
        <v>83</v>
      </c>
      <c r="C29" s="68" t="s">
        <v>88</v>
      </c>
      <c r="D29" s="67">
        <v>3</v>
      </c>
      <c r="E29" s="67">
        <v>12</v>
      </c>
      <c r="F29" s="67">
        <v>5</v>
      </c>
      <c r="G29" s="67">
        <v>2</v>
      </c>
      <c r="H29" s="67">
        <v>1</v>
      </c>
      <c r="I29" s="67">
        <v>1</v>
      </c>
      <c r="J29" s="69">
        <v>14641.2</v>
      </c>
      <c r="K29" s="70">
        <v>6743.27</v>
      </c>
      <c r="L29" s="71">
        <f t="shared" si="0"/>
      </c>
      <c r="M29" s="71">
        <f t="shared" si="1"/>
      </c>
      <c r="N29" s="71">
        <f t="shared" si="2"/>
      </c>
      <c r="O29" s="94" t="s">
        <v>95</v>
      </c>
      <c r="P29" s="73">
        <v>8</v>
      </c>
    </row>
    <row hidden="true" r="30">
      <c r="A30" s="85">
        <v>46231</v>
      </c>
      <c r="B30" s="67" t="s">
        <v>80</v>
      </c>
      <c r="C30" s="68" t="s">
        <v>93</v>
      </c>
      <c r="D30" s="67">
        <v>2</v>
      </c>
      <c r="E30" s="67">
        <v>14</v>
      </c>
      <c r="F30" s="67">
        <v>9</v>
      </c>
      <c r="G30" s="67">
        <v>8</v>
      </c>
      <c r="H30" s="67">
        <v>6</v>
      </c>
      <c r="I30" s="75">
        <v>1</v>
      </c>
      <c r="J30" s="69">
        <v>6505.2</v>
      </c>
      <c r="K30" s="76">
        <v>6731.799999999999</v>
      </c>
      <c r="L30" s="71">
        <f t="shared" si="0"/>
      </c>
      <c r="M30" s="71">
        <f t="shared" si="1"/>
      </c>
      <c r="N30" s="71">
        <f t="shared" si="2"/>
      </c>
      <c r="O30" s="77"/>
      <c r="P30" s="78"/>
    </row>
    <row hidden="true" r="31">
      <c r="A31" s="85">
        <v>46231</v>
      </c>
      <c r="B31" s="67" t="s">
        <v>87</v>
      </c>
      <c r="C31" s="68" t="s">
        <v>94</v>
      </c>
      <c r="D31" s="67">
        <v>3</v>
      </c>
      <c r="E31" s="67">
        <v>12</v>
      </c>
      <c r="F31" s="67">
        <v>5</v>
      </c>
      <c r="G31" s="67">
        <v>4</v>
      </c>
      <c r="H31" s="67">
        <v>4</v>
      </c>
      <c r="I31" s="67">
        <v>0</v>
      </c>
      <c r="J31" s="69">
        <v>7040.399999999998</v>
      </c>
      <c r="K31" s="69">
        <v>6306.2</v>
      </c>
      <c r="L31" s="71">
        <f t="shared" si="0"/>
      </c>
      <c r="M31" s="71">
        <f t="shared" si="1"/>
      </c>
      <c r="N31" s="71">
        <f t="shared" si="2"/>
      </c>
      <c r="O31" s="79"/>
      <c r="P31" s="78"/>
    </row>
    <row r="32">
      <c r="A32" s="80">
        <v>46231</v>
      </c>
      <c r="B32" s="81"/>
      <c r="C32" s="81"/>
      <c r="D32" s="81">
        <f>SUM(D29:D31)</f>
      </c>
      <c r="E32" s="81">
        <f>SUM(E29:E31)</f>
      </c>
      <c r="F32" s="81">
        <f>SUM(F29:F31)</f>
      </c>
      <c r="G32" s="81">
        <f>SUM(G29:G31)</f>
      </c>
      <c r="H32" s="81">
        <f>SUM(H29:H31)</f>
      </c>
      <c r="I32" s="81">
        <f>SUM(I29:I31)</f>
      </c>
      <c r="J32" s="81">
        <f>SUM(J29:J31)</f>
      </c>
      <c r="K32" s="81">
        <f>SUM(K29:K31)</f>
      </c>
      <c r="L32" s="82">
        <f t="shared" si="0"/>
      </c>
      <c r="M32" s="82">
        <f t="shared" si="1"/>
      </c>
      <c r="N32" s="82">
        <f t="shared" si="2"/>
      </c>
      <c r="O32" s="83"/>
      <c r="P32" s="84">
        <f>SUM(P29:P31)</f>
      </c>
    </row>
    <row hidden="true" r="33">
      <c r="A33" s="85">
        <v>46232</v>
      </c>
      <c r="B33" s="67" t="s">
        <v>87</v>
      </c>
      <c r="C33" s="68" t="s">
        <v>88</v>
      </c>
      <c r="D33" s="67">
        <v>3</v>
      </c>
      <c r="E33" s="67">
        <v>8</v>
      </c>
      <c r="F33" s="67">
        <v>7</v>
      </c>
      <c r="G33" s="67">
        <v>7</v>
      </c>
      <c r="H33" s="67">
        <v>5</v>
      </c>
      <c r="I33" s="67">
        <v>0</v>
      </c>
      <c r="J33" s="69">
        <v>12431.2</v>
      </c>
      <c r="K33" s="70">
        <v>7143.43</v>
      </c>
      <c r="L33" s="71">
        <f t="shared" si="0"/>
      </c>
      <c r="M33" s="71">
        <f t="shared" si="1"/>
      </c>
      <c r="N33" s="71">
        <f t="shared" si="2"/>
      </c>
      <c r="O33" s="94" t="s">
        <v>95</v>
      </c>
      <c r="P33" s="73">
        <v>8</v>
      </c>
    </row>
    <row hidden="true" r="34">
      <c r="A34" s="85">
        <v>46232</v>
      </c>
      <c r="B34" s="67" t="s">
        <v>80</v>
      </c>
      <c r="C34" s="68" t="s">
        <v>93</v>
      </c>
      <c r="D34" s="67">
        <v>2</v>
      </c>
      <c r="E34" s="67">
        <v>9</v>
      </c>
      <c r="F34" s="67">
        <v>6</v>
      </c>
      <c r="G34" s="67">
        <v>3</v>
      </c>
      <c r="H34" s="67">
        <v>5</v>
      </c>
      <c r="I34" s="75">
        <v>2</v>
      </c>
      <c r="J34" s="69">
        <v>5683.2</v>
      </c>
      <c r="K34" s="69">
        <v>4520.45</v>
      </c>
      <c r="L34" s="71">
        <f t="shared" si="0"/>
      </c>
      <c r="M34" s="71">
        <f t="shared" si="1"/>
      </c>
      <c r="N34" s="71">
        <f t="shared" si="2"/>
      </c>
      <c r="O34" s="77"/>
      <c r="P34" s="78"/>
    </row>
    <row hidden="true" r="35">
      <c r="A35" s="85">
        <v>46232</v>
      </c>
      <c r="B35" s="67" t="s">
        <v>85</v>
      </c>
      <c r="C35" s="68" t="s">
        <v>94</v>
      </c>
      <c r="D35" s="67">
        <v>3</v>
      </c>
      <c r="E35" s="67">
        <v>15</v>
      </c>
      <c r="F35" s="67">
        <v>4</v>
      </c>
      <c r="G35" s="67">
        <v>4</v>
      </c>
      <c r="H35" s="67">
        <v>2</v>
      </c>
      <c r="I35" s="67">
        <v>0</v>
      </c>
      <c r="J35" s="69">
        <v>4616.4</v>
      </c>
      <c r="K35" s="69">
        <v>7129.24</v>
      </c>
      <c r="L35" s="71">
        <f t="shared" si="0"/>
      </c>
      <c r="M35" s="71">
        <f t="shared" si="1"/>
      </c>
      <c r="N35" s="71">
        <f t="shared" si="2"/>
      </c>
      <c r="O35" s="79"/>
      <c r="P35" s="78"/>
    </row>
    <row r="36">
      <c r="A36" s="80">
        <v>46232</v>
      </c>
      <c r="B36" s="81"/>
      <c r="C36" s="81"/>
      <c r="D36" s="81">
        <f>SUM(D33:D35)</f>
      </c>
      <c r="E36" s="81">
        <f>SUM(E33:E35)</f>
      </c>
      <c r="F36" s="81">
        <f>SUM(F33:F35)</f>
      </c>
      <c r="G36" s="81">
        <f>SUM(G33:G35)</f>
      </c>
      <c r="H36" s="81">
        <f>SUM(H33:H35)</f>
      </c>
      <c r="I36" s="81">
        <f>SUM(I33:I35)</f>
      </c>
      <c r="J36" s="81">
        <f>SUM(J33:J35)</f>
      </c>
      <c r="K36" s="81">
        <f>SUM(K33:K35)</f>
      </c>
      <c r="L36" s="82">
        <f t="shared" si="0"/>
      </c>
      <c r="M36" s="82">
        <f t="shared" si="1"/>
      </c>
      <c r="N36" s="82">
        <f t="shared" si="2"/>
      </c>
      <c r="O36" s="83"/>
      <c r="P36" s="84">
        <f>SUM(P33:P35)</f>
      </c>
    </row>
    <row hidden="true" r="37">
      <c r="A37" s="85">
        <v>46233</v>
      </c>
      <c r="B37" s="67" t="s">
        <v>87</v>
      </c>
      <c r="C37" s="68" t="s">
        <v>88</v>
      </c>
      <c r="D37" s="67">
        <v>3</v>
      </c>
      <c r="E37" s="67">
        <v>10</v>
      </c>
      <c r="F37" s="67">
        <v>6</v>
      </c>
      <c r="G37" s="67">
        <v>6</v>
      </c>
      <c r="H37" s="67">
        <v>4</v>
      </c>
      <c r="I37" s="67">
        <v>0</v>
      </c>
      <c r="J37" s="69">
        <v>5713.2</v>
      </c>
      <c r="K37" s="70">
        <v>5320.2</v>
      </c>
      <c r="L37" s="71">
        <f t="shared" si="0"/>
      </c>
      <c r="M37" s="71">
        <f t="shared" si="1"/>
      </c>
      <c r="N37" s="71">
        <f t="shared" si="2"/>
      </c>
      <c r="O37" s="94" t="s">
        <v>95</v>
      </c>
      <c r="P37" s="73">
        <v>8</v>
      </c>
    </row>
    <row hidden="true" r="38">
      <c r="A38" s="85">
        <v>46233</v>
      </c>
      <c r="B38" s="67" t="s">
        <v>85</v>
      </c>
      <c r="C38" s="68" t="s">
        <v>93</v>
      </c>
      <c r="D38" s="67">
        <v>2</v>
      </c>
      <c r="E38" s="67">
        <v>11</v>
      </c>
      <c r="F38" s="67">
        <v>3</v>
      </c>
      <c r="G38" s="67">
        <v>3</v>
      </c>
      <c r="H38" s="67">
        <v>2</v>
      </c>
      <c r="I38" s="75">
        <v>0</v>
      </c>
      <c r="J38" s="69">
        <v>2626.8</v>
      </c>
      <c r="K38" s="69">
        <v>3955.36</v>
      </c>
      <c r="L38" s="71">
        <f t="shared" si="0"/>
      </c>
      <c r="M38" s="71">
        <f t="shared" si="1"/>
      </c>
      <c r="N38" s="71">
        <f t="shared" si="2"/>
      </c>
      <c r="O38" s="77"/>
      <c r="P38" s="78"/>
    </row>
    <row hidden="true" r="39">
      <c r="A39" s="85">
        <v>46233</v>
      </c>
      <c r="B39" s="67" t="s">
        <v>83</v>
      </c>
      <c r="C39" s="68" t="s">
        <v>94</v>
      </c>
      <c r="D39" s="67">
        <v>3</v>
      </c>
      <c r="E39" s="67">
        <v>4</v>
      </c>
      <c r="F39" s="67">
        <v>0</v>
      </c>
      <c r="G39" s="67">
        <v>0</v>
      </c>
      <c r="H39" s="67">
        <v>0</v>
      </c>
      <c r="I39" s="67">
        <v>0</v>
      </c>
      <c r="J39" s="69">
        <v>0</v>
      </c>
      <c r="K39" s="69">
        <v>5208</v>
      </c>
      <c r="L39" s="71">
        <f t="shared" si="0"/>
      </c>
      <c r="M39" s="71">
        <f t="shared" si="1"/>
      </c>
      <c r="N39" s="71">
        <f t="shared" si="2"/>
      </c>
      <c r="O39" s="79"/>
      <c r="P39" s="78"/>
    </row>
    <row r="40">
      <c r="A40" s="80">
        <v>46233</v>
      </c>
      <c r="B40" s="81"/>
      <c r="C40" s="81"/>
      <c r="D40" s="81">
        <f>SUM(D37:D39)</f>
      </c>
      <c r="E40" s="81">
        <f>SUM(E37:E39)</f>
      </c>
      <c r="F40" s="81">
        <f>SUM(F37:F39)</f>
      </c>
      <c r="G40" s="81">
        <f>SUM(G37:G39)</f>
      </c>
      <c r="H40" s="81">
        <f>SUM(H37:H39)</f>
      </c>
      <c r="I40" s="81">
        <f>SUM(I37:I39)</f>
      </c>
      <c r="J40" s="81">
        <f>SUM(J37:J39)</f>
      </c>
      <c r="K40" s="81">
        <f>SUM(K37:K39)</f>
      </c>
      <c r="L40" s="82">
        <f t="shared" si="0"/>
      </c>
      <c r="M40" s="82">
        <f t="shared" si="1"/>
      </c>
      <c r="N40" s="82">
        <f t="shared" si="2"/>
      </c>
      <c r="O40" s="83"/>
      <c r="P40" s="84">
        <f>SUM(P37:P39)</f>
      </c>
    </row>
    <row hidden="true" r="41">
      <c r="A41" s="85">
        <v>46234</v>
      </c>
      <c r="B41" s="67" t="s">
        <v>87</v>
      </c>
      <c r="C41" s="68" t="s">
        <v>92</v>
      </c>
      <c r="D41" s="67">
        <v>4</v>
      </c>
      <c r="E41" s="67">
        <v>6</v>
      </c>
      <c r="F41" s="67">
        <v>3</v>
      </c>
      <c r="G41" s="67">
        <v>3</v>
      </c>
      <c r="H41" s="67">
        <v>2</v>
      </c>
      <c r="I41" s="67">
        <v>0</v>
      </c>
      <c r="J41" s="69">
        <v>6212.400000000001</v>
      </c>
      <c r="K41" s="70">
        <v>3340.05</v>
      </c>
      <c r="L41" s="71">
        <f t="shared" si="0"/>
      </c>
      <c r="M41" s="71">
        <f t="shared" si="1"/>
      </c>
      <c r="N41" s="71">
        <f t="shared" si="2"/>
      </c>
      <c r="O41" s="94" t="s">
        <v>95</v>
      </c>
      <c r="P41" s="73">
        <v>8</v>
      </c>
    </row>
    <row hidden="true" r="42">
      <c r="A42" s="85">
        <v>46234</v>
      </c>
      <c r="B42" s="67" t="s">
        <v>83</v>
      </c>
      <c r="C42" s="68" t="s">
        <v>96</v>
      </c>
      <c r="D42" s="67">
        <v>4</v>
      </c>
      <c r="E42" s="67">
        <v>12</v>
      </c>
      <c r="F42" s="67">
        <v>8</v>
      </c>
      <c r="G42" s="67">
        <v>6</v>
      </c>
      <c r="H42" s="67">
        <v>6</v>
      </c>
      <c r="I42" s="75">
        <v>1</v>
      </c>
      <c r="J42" s="69">
        <v>10473.6</v>
      </c>
      <c r="K42" s="69">
        <v>7276.52</v>
      </c>
      <c r="L42" s="71">
        <f t="shared" si="0"/>
      </c>
      <c r="M42" s="71">
        <f t="shared" si="1"/>
      </c>
      <c r="N42" s="71">
        <f t="shared" si="2"/>
      </c>
      <c r="O42" s="77"/>
      <c r="P42" s="78"/>
    </row>
    <row r="43">
      <c r="A43" s="80">
        <v>46234</v>
      </c>
      <c r="B43" s="81"/>
      <c r="C43" s="81"/>
      <c r="D43" s="81">
        <f>SUM(D41:D42)</f>
      </c>
      <c r="E43" s="81">
        <f>SUM(E41:E42)</f>
      </c>
      <c r="F43" s="81">
        <f>SUM(F41:F42)</f>
      </c>
      <c r="G43" s="81">
        <f>SUM(G41:G42)</f>
      </c>
      <c r="H43" s="81">
        <f>SUM(H41:H42)</f>
      </c>
      <c r="I43" s="81">
        <f>SUM(I41:I42)</f>
      </c>
      <c r="J43" s="81">
        <f>SUM(J41:J42)</f>
      </c>
      <c r="K43" s="81">
        <f>SUM(K41:K42)</f>
      </c>
      <c r="L43" s="82">
        <f t="shared" si="0"/>
      </c>
      <c r="M43" s="82">
        <f t="shared" si="1"/>
      </c>
      <c r="N43" s="82">
        <f t="shared" si="2"/>
      </c>
      <c r="O43" s="83"/>
      <c r="P43" s="84">
        <f>SUM(P41:P42)</f>
      </c>
    </row>
    <row r="44">
      <c r="A44" s="95"/>
      <c r="B44" s="96"/>
      <c r="C44" s="96"/>
      <c r="D44" s="96"/>
      <c r="E44" s="96"/>
      <c r="F44" s="96"/>
      <c r="G44" s="96"/>
      <c r="H44" s="96"/>
      <c r="I44" s="96"/>
      <c r="L44" s="97"/>
      <c r="M44" s="97"/>
      <c r="N44" s="97"/>
      <c r="O44" s="98"/>
      <c r="P44" s="99"/>
    </row>
    <row r="45"/>
    <row r="46">
      <c r="K46" s="100"/>
    </row>
    <row r="47"/>
    <row r="48"/>
    <row r="49">
      <c r="J49" s="96"/>
      <c r="K49" s="96"/>
    </row>
    <row r="50">
      <c r="D50" s="101"/>
    </row>
  </sheetData>
  <autoFilter ref="A1:P44">
    <filterColumn colId="1">
      <filters blank="true"/>
    </filterColumn>
  </autoFilter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2.64480633802817"/>
  </cols>
  <sheetData>
    <row r="1">
      <c r="A1" s="102" t="s">
        <v>97</v>
      </c>
      <c r="B1" s="103" t="s">
        <v>98</v>
      </c>
      <c r="C1" s="103" t="s">
        <v>99</v>
      </c>
      <c r="D1" s="103" t="s">
        <v>100</v>
      </c>
      <c r="E1" s="103" t="s">
        <v>101</v>
      </c>
      <c r="F1" s="103" t="s">
        <v>102</v>
      </c>
      <c r="G1" s="103" t="s">
        <v>103</v>
      </c>
      <c r="H1" s="104" t="s">
        <v>104</v>
      </c>
      <c r="I1" s="103" t="s">
        <v>105</v>
      </c>
      <c r="J1" s="103" t="s">
        <v>106</v>
      </c>
      <c r="K1" s="103" t="s">
        <v>107</v>
      </c>
      <c r="L1" s="104" t="s">
        <v>108</v>
      </c>
      <c r="M1" s="104" t="s">
        <v>109</v>
      </c>
      <c r="N1" s="104" t="s">
        <v>110</v>
      </c>
      <c r="O1" s="105" t="s">
        <v>111</v>
      </c>
      <c r="P1" s="105" t="s">
        <v>112</v>
      </c>
    </row>
    <row r="2">
      <c r="A2" s="106">
        <v>46266</v>
      </c>
      <c r="B2" s="107" t="s">
        <v>113</v>
      </c>
      <c r="C2" s="108" t="s">
        <v>114</v>
      </c>
      <c r="D2" s="107">
        <v>4</v>
      </c>
      <c r="E2" s="107">
        <v>16</v>
      </c>
      <c r="F2" s="107">
        <v>10</v>
      </c>
      <c r="G2" s="107">
        <v>7</v>
      </c>
      <c r="H2" s="107">
        <v>6</v>
      </c>
      <c r="I2" s="107">
        <v>1</v>
      </c>
      <c r="J2" s="109">
        <v>14878</v>
      </c>
      <c r="K2" s="110">
        <v>8204.119999999999</v>
      </c>
      <c r="L2" s="111">
        <f t="shared" ref="L2:L15" si="1">J2/K2</f>
      </c>
      <c r="M2" s="111">
        <f t="shared" ref="M2:M4" si="2">J2/F2</f>
      </c>
      <c r="N2" s="111">
        <f t="shared" ref="N2:N4" si="6">K2/F2</f>
      </c>
      <c r="O2" s="112" t="s">
        <v>115</v>
      </c>
      <c r="P2" s="113">
        <v>7</v>
      </c>
    </row>
    <row r="3">
      <c r="A3" s="106">
        <v>46266</v>
      </c>
      <c r="B3" s="107" t="s">
        <v>116</v>
      </c>
      <c r="C3" s="108" t="s">
        <v>117</v>
      </c>
      <c r="D3" s="107">
        <v>3</v>
      </c>
      <c r="E3" s="107">
        <v>18</v>
      </c>
      <c r="F3" s="107">
        <v>11</v>
      </c>
      <c r="G3" s="107">
        <v>7</v>
      </c>
      <c r="H3" s="107">
        <v>9</v>
      </c>
      <c r="I3" s="114">
        <v>1</v>
      </c>
      <c r="J3" s="109">
        <v>12503.999999999998</v>
      </c>
      <c r="K3" s="109">
        <v>5987</v>
      </c>
      <c r="L3" s="111">
        <f t="shared" si="1"/>
      </c>
      <c r="M3" s="111">
        <f t="shared" si="2"/>
      </c>
      <c r="N3" s="111">
        <f t="shared" si="6"/>
      </c>
      <c r="O3" s="115"/>
      <c r="P3" s="116"/>
    </row>
    <row r="4">
      <c r="A4" s="117">
        <v>46266</v>
      </c>
      <c r="B4" s="118"/>
      <c r="C4" s="118"/>
      <c r="D4" s="118">
        <f>SUM(D2:D3)</f>
      </c>
      <c r="E4" s="118">
        <f>SUM(E2:E3)</f>
      </c>
      <c r="F4" s="118">
        <f>SUM(F2:F3)</f>
      </c>
      <c r="G4" s="118">
        <f>SUM(G2:G3)</f>
      </c>
      <c r="H4" s="118">
        <f>SUM(H2:H3)</f>
      </c>
      <c r="I4" s="118">
        <f>SUM(I2:I3)</f>
      </c>
      <c r="J4" s="118">
        <f>SUM(J2:J3)</f>
      </c>
      <c r="K4" s="118">
        <f>SUM(K2:K3)</f>
      </c>
      <c r="L4" s="119">
        <f t="shared" si="1"/>
      </c>
      <c r="M4" s="119">
        <f t="shared" si="2"/>
      </c>
      <c r="N4" s="119">
        <f t="shared" si="6"/>
      </c>
      <c r="O4" s="120"/>
      <c r="P4" s="121">
        <f>SUM(P2:P3)</f>
      </c>
    </row>
    <row r="5">
      <c r="A5" s="106">
        <v>46267</v>
      </c>
      <c r="B5" s="107" t="s">
        <v>113</v>
      </c>
      <c r="C5" s="108" t="s">
        <v>114</v>
      </c>
      <c r="D5" s="107">
        <v>4</v>
      </c>
      <c r="E5" s="107">
        <v>19</v>
      </c>
      <c r="F5" s="107">
        <v>3</v>
      </c>
      <c r="G5" s="107">
        <v>3</v>
      </c>
      <c r="H5" s="122">
        <v>1</v>
      </c>
      <c r="I5" s="123">
        <v>1</v>
      </c>
      <c r="J5" s="124">
        <v>6146.400000000001</v>
      </c>
      <c r="K5" s="110">
        <v>8307.24</v>
      </c>
      <c r="L5" s="111">
        <f t="shared" si="1"/>
      </c>
      <c r="M5" s="111">
        <f>J5/E5</f>
      </c>
      <c r="N5" s="111">
        <f>K5/E5</f>
      </c>
      <c r="O5" s="112" t="s">
        <v>115</v>
      </c>
      <c r="P5" s="113">
        <v>7</v>
      </c>
    </row>
    <row r="6">
      <c r="A6" s="106">
        <v>46267</v>
      </c>
      <c r="B6" s="107" t="s">
        <v>116</v>
      </c>
      <c r="C6" s="108" t="s">
        <v>117</v>
      </c>
      <c r="D6" s="107">
        <v>3</v>
      </c>
      <c r="E6" s="107">
        <v>6</v>
      </c>
      <c r="F6" s="107">
        <v>2</v>
      </c>
      <c r="G6" s="107">
        <v>3</v>
      </c>
      <c r="H6" s="107">
        <v>2</v>
      </c>
      <c r="I6" s="114">
        <v>0</v>
      </c>
      <c r="J6" s="109">
        <v>1832.3999999999996</v>
      </c>
      <c r="K6" s="109">
        <v>3048.52</v>
      </c>
      <c r="L6" s="111">
        <f t="shared" si="1"/>
      </c>
      <c r="M6" s="111">
        <f t="shared" ref="M6:M7" si="3">J6/F6</f>
      </c>
      <c r="N6" s="111">
        <f t="shared" ref="N6:N7" si="7">K6/F6</f>
      </c>
      <c r="O6" s="115"/>
      <c r="P6" s="116"/>
    </row>
    <row r="7">
      <c r="A7" s="117">
        <v>46267</v>
      </c>
      <c r="B7" s="118"/>
      <c r="C7" s="118"/>
      <c r="D7" s="118">
        <f>SUM(D5:D6)</f>
      </c>
      <c r="E7" s="118">
        <f>SUM(E5:E6)</f>
      </c>
      <c r="F7" s="118">
        <f>SUM(F5:F6)</f>
      </c>
      <c r="G7" s="118">
        <f>SUM(G5:G6)</f>
      </c>
      <c r="H7" s="118">
        <f>SUM(H5:H6)</f>
      </c>
      <c r="I7" s="118">
        <f>SUM(I5:I6)</f>
      </c>
      <c r="J7" s="118">
        <f>SUM(J5:J6)</f>
      </c>
      <c r="K7" s="118">
        <f>SUM(K5:K6)</f>
      </c>
      <c r="L7" s="119">
        <f t="shared" si="1"/>
      </c>
      <c r="M7" s="119">
        <f t="shared" si="3"/>
      </c>
      <c r="N7" s="119">
        <f t="shared" si="7"/>
      </c>
      <c r="O7" s="120"/>
      <c r="P7" s="121">
        <f>SUM(P5:P6)</f>
      </c>
    </row>
    <row r="8">
      <c r="A8" s="106">
        <v>46268</v>
      </c>
      <c r="B8" s="107" t="s">
        <v>113</v>
      </c>
      <c r="C8" s="108" t="s">
        <v>118</v>
      </c>
      <c r="D8" s="107">
        <v>3</v>
      </c>
      <c r="E8" s="107">
        <v>9</v>
      </c>
      <c r="F8" s="107">
        <v>5</v>
      </c>
      <c r="G8" s="107">
        <v>5</v>
      </c>
      <c r="H8" s="122">
        <v>5</v>
      </c>
      <c r="I8" s="123">
        <v>0</v>
      </c>
      <c r="J8" s="124">
        <v>4612.799999999999</v>
      </c>
      <c r="K8" s="110">
        <v>6660.81</v>
      </c>
      <c r="L8" s="111">
        <f t="shared" si="1"/>
      </c>
      <c r="M8" s="111">
        <f>J8/E8</f>
      </c>
      <c r="N8" s="111">
        <f>K8/E8</f>
      </c>
      <c r="O8" s="112" t="s">
        <v>115</v>
      </c>
      <c r="P8" s="113">
        <v>6</v>
      </c>
    </row>
    <row r="9">
      <c r="A9" s="106">
        <v>46268</v>
      </c>
      <c r="B9" s="107" t="s">
        <v>119</v>
      </c>
      <c r="C9" s="108" t="s">
        <v>120</v>
      </c>
      <c r="D9" s="107">
        <v>3</v>
      </c>
      <c r="E9" s="107">
        <v>9</v>
      </c>
      <c r="F9" s="107">
        <v>1</v>
      </c>
      <c r="G9" s="107">
        <v>1</v>
      </c>
      <c r="H9" s="107">
        <v>1</v>
      </c>
      <c r="I9" s="114">
        <v>0</v>
      </c>
      <c r="J9" s="109">
        <v>720</v>
      </c>
      <c r="K9" s="109">
        <v>4306.04</v>
      </c>
      <c r="L9" s="111">
        <f t="shared" si="1"/>
      </c>
      <c r="M9" s="111">
        <f t="shared" ref="M9:M10" si="4">J9/F9</f>
      </c>
      <c r="N9" s="111">
        <f t="shared" ref="N9:N10" si="8">K9/F9</f>
      </c>
      <c r="O9" s="115"/>
      <c r="P9" s="116"/>
    </row>
    <row r="10">
      <c r="A10" s="117">
        <v>46268</v>
      </c>
      <c r="B10" s="118"/>
      <c r="C10" s="118"/>
      <c r="D10" s="118">
        <f>SUM(D8:D9)</f>
      </c>
      <c r="E10" s="118">
        <f>SUM(E8:E9)</f>
      </c>
      <c r="F10" s="118">
        <f>SUM(F8:F9)</f>
      </c>
      <c r="G10" s="118">
        <f>SUM(G8:G9)</f>
      </c>
      <c r="H10" s="118">
        <f>SUM(H8:H9)</f>
      </c>
      <c r="I10" s="118">
        <f>SUM(I8:I9)</f>
      </c>
      <c r="J10" s="118">
        <f>SUM(J8:J9)</f>
      </c>
      <c r="K10" s="118">
        <f>SUM(K8:K9)</f>
      </c>
      <c r="L10" s="119">
        <f t="shared" si="1"/>
      </c>
      <c r="M10" s="119">
        <f t="shared" si="4"/>
      </c>
      <c r="N10" s="119">
        <f t="shared" si="8"/>
      </c>
      <c r="O10" s="120"/>
      <c r="P10" s="121">
        <f>SUM(P8:P9)</f>
      </c>
    </row>
    <row r="11">
      <c r="A11" s="106">
        <v>46269</v>
      </c>
      <c r="B11" s="107" t="s">
        <v>113</v>
      </c>
      <c r="C11" s="108" t="s">
        <v>121</v>
      </c>
      <c r="D11" s="107">
        <v>2.5</v>
      </c>
      <c r="E11" s="107">
        <v>2</v>
      </c>
      <c r="F11" s="107">
        <v>0</v>
      </c>
      <c r="G11" s="107">
        <v>0</v>
      </c>
      <c r="H11" s="122">
        <v>0</v>
      </c>
      <c r="I11" s="123">
        <v>0</v>
      </c>
      <c r="J11" s="124">
        <v>0</v>
      </c>
      <c r="K11" s="110">
        <v>3169.82</v>
      </c>
      <c r="L11" s="111">
        <f t="shared" si="1"/>
      </c>
      <c r="M11" s="111">
        <f>J11/E11</f>
      </c>
      <c r="N11" s="111">
        <f>K11/E11</f>
      </c>
      <c r="O11" s="112" t="s">
        <v>122</v>
      </c>
      <c r="P11" s="113">
        <v>2.5</v>
      </c>
    </row>
    <row r="12">
      <c r="A12" s="117">
        <v>46269</v>
      </c>
      <c r="B12" s="118"/>
      <c r="C12" s="118"/>
      <c r="D12" s="118">
        <f>SUM(D11)</f>
      </c>
      <c r="E12" s="118">
        <f>SUM(E11)</f>
      </c>
      <c r="F12" s="118">
        <f>SUM(F11)</f>
      </c>
      <c r="G12" s="118">
        <f>SUM(G11)</f>
      </c>
      <c r="H12" s="118">
        <f>SUM(H11)</f>
      </c>
      <c r="I12" s="118">
        <f>SUM(I11)</f>
      </c>
      <c r="J12" s="118">
        <f>SUM(J11)</f>
      </c>
      <c r="K12" s="118">
        <f>SUM(K11)</f>
      </c>
      <c r="L12" s="119">
        <f t="shared" si="1"/>
      </c>
      <c r="M12" s="119">
        <f t="shared" ref="M12:M15" si="5">J12/F12</f>
      </c>
      <c r="N12" s="119">
        <f t="shared" ref="N12:N15" si="9">K12/F12</f>
      </c>
      <c r="O12" s="120"/>
      <c r="P12" s="121">
        <f>SUM(P11)</f>
      </c>
    </row>
    <row r="13">
      <c r="A13" s="106">
        <v>46265</v>
      </c>
      <c r="B13" s="107" t="s">
        <v>116</v>
      </c>
      <c r="C13" s="108" t="s">
        <v>114</v>
      </c>
      <c r="D13" s="107">
        <v>4</v>
      </c>
      <c r="E13" s="107">
        <v>17</v>
      </c>
      <c r="F13" s="107">
        <v>4</v>
      </c>
      <c r="G13" s="107">
        <v>4</v>
      </c>
      <c r="H13" s="107">
        <v>4</v>
      </c>
      <c r="I13" s="107">
        <v>0</v>
      </c>
      <c r="J13" s="109">
        <v>3796.7999999999997</v>
      </c>
      <c r="K13" s="110">
        <v>11697.949999999999</v>
      </c>
      <c r="L13" s="111">
        <f t="shared" si="1"/>
      </c>
      <c r="M13" s="111">
        <f t="shared" si="5"/>
      </c>
      <c r="N13" s="111">
        <f t="shared" si="9"/>
      </c>
      <c r="O13" s="112" t="s">
        <v>115</v>
      </c>
      <c r="P13" s="113">
        <v>7</v>
      </c>
    </row>
    <row r="14">
      <c r="A14" s="106">
        <v>46265</v>
      </c>
      <c r="B14" s="107" t="s">
        <v>113</v>
      </c>
      <c r="C14" s="108" t="s">
        <v>117</v>
      </c>
      <c r="D14" s="107">
        <v>3</v>
      </c>
      <c r="E14" s="107">
        <v>11</v>
      </c>
      <c r="F14" s="107">
        <v>4</v>
      </c>
      <c r="G14" s="107">
        <v>3</v>
      </c>
      <c r="H14" s="107">
        <v>3</v>
      </c>
      <c r="I14" s="114">
        <v>0</v>
      </c>
      <c r="J14" s="109">
        <v>6758.4</v>
      </c>
      <c r="K14" s="109">
        <v>6332.63</v>
      </c>
      <c r="L14" s="111">
        <f t="shared" si="1"/>
      </c>
      <c r="M14" s="111">
        <f t="shared" si="5"/>
      </c>
      <c r="N14" s="111">
        <f t="shared" si="9"/>
      </c>
      <c r="O14" s="115"/>
      <c r="P14" s="116"/>
    </row>
    <row r="15">
      <c r="A15" s="117">
        <v>46265</v>
      </c>
      <c r="B15" s="118"/>
      <c r="C15" s="118"/>
      <c r="D15" s="118">
        <f>SUM(D13:D14)</f>
      </c>
      <c r="E15" s="118">
        <f>SUM(E13:E14)</f>
      </c>
      <c r="F15" s="118">
        <f>SUM(F13:F14)</f>
      </c>
      <c r="G15" s="118">
        <f>SUM(G13:G14)</f>
      </c>
      <c r="H15" s="118">
        <f>SUM(H13:H14)</f>
      </c>
      <c r="I15" s="118">
        <f>SUM(I13:I14)</f>
      </c>
      <c r="J15" s="118">
        <f>SUM(J13:J14)</f>
      </c>
      <c r="K15" s="118">
        <f>SUM(K13:K14)</f>
      </c>
      <c r="L15" s="119">
        <f t="shared" si="1"/>
      </c>
      <c r="M15" s="119">
        <f t="shared" si="5"/>
      </c>
      <c r="N15" s="119">
        <f t="shared" si="9"/>
      </c>
      <c r="O15" s="120"/>
      <c r="P15" s="121">
        <f>SUM(P13:P14)</f>
      </c>
    </row>
    <row r="16"/>
    <row r="17"/>
    <row r="18"/>
    <row r="19"/>
    <row r="20">
      <c r="G20">
        <f t="shared" ref="G20:G23" si="0">F20/E20</f>
      </c>
    </row>
    <row r="21">
      <c r="G21">
        <f t="shared" si="0"/>
      </c>
    </row>
    <row r="22">
      <c r="G22">
        <f t="shared" si="0"/>
      </c>
    </row>
    <row r="23">
      <c r="G23">
        <f t="shared" si="0"/>
      </c>
    </row>
  </sheetData>
  <autoFilter ref="A1:P2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